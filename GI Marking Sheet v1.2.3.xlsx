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win\OneDrive\Desktop\GENIUS\Marking\JasperMarking3\"/>
    </mc:Choice>
  </mc:AlternateContent>
  <xr:revisionPtr revIDLastSave="0" documentId="13_ncr:1_{3D4CCC94-54C0-4115-8560-A37140D70E4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fo" sheetId="1" r:id="rId1"/>
    <sheet name="Input Sheet" sheetId="2" r:id="rId2"/>
    <sheet name="Calculation" sheetId="3" r:id="rId3"/>
    <sheet name="Graph Outp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co8GcL6OlvZX7DSMe0jRZ5eGfuC94dvgSP6MeUQ3nM="/>
    </ext>
  </extLst>
</workbook>
</file>

<file path=xl/calcChain.xml><?xml version="1.0" encoding="utf-8"?>
<calcChain xmlns="http://schemas.openxmlformats.org/spreadsheetml/2006/main">
  <c r="F18" i="2" l="1"/>
  <c r="U1002" i="4"/>
  <c r="U1001" i="4"/>
  <c r="U1000" i="4"/>
  <c r="U999" i="4"/>
  <c r="U998" i="4"/>
  <c r="U997" i="4"/>
  <c r="U996" i="4"/>
  <c r="U995" i="4"/>
  <c r="U994" i="4"/>
  <c r="U993" i="4"/>
  <c r="U992" i="4"/>
  <c r="U991" i="4"/>
  <c r="U990" i="4"/>
  <c r="U989" i="4"/>
  <c r="U988" i="4"/>
  <c r="U987" i="4"/>
  <c r="U986" i="4"/>
  <c r="U985" i="4"/>
  <c r="U984" i="4"/>
  <c r="U983" i="4"/>
  <c r="U982" i="4"/>
  <c r="U981" i="4"/>
  <c r="U980" i="4"/>
  <c r="U979" i="4"/>
  <c r="U978" i="4"/>
  <c r="U977" i="4"/>
  <c r="U976" i="4"/>
  <c r="U975" i="4"/>
  <c r="U974" i="4"/>
  <c r="U973" i="4"/>
  <c r="U972" i="4"/>
  <c r="U971" i="4"/>
  <c r="U970" i="4"/>
  <c r="U969" i="4"/>
  <c r="U968" i="4"/>
  <c r="U967" i="4"/>
  <c r="U966" i="4"/>
  <c r="U965" i="4"/>
  <c r="U964" i="4"/>
  <c r="U963" i="4"/>
  <c r="U962" i="4"/>
  <c r="U961" i="4"/>
  <c r="U960" i="4"/>
  <c r="U959" i="4"/>
  <c r="U958" i="4"/>
  <c r="U957" i="4"/>
  <c r="U956" i="4"/>
  <c r="U955" i="4"/>
  <c r="U954" i="4"/>
  <c r="U953" i="4"/>
  <c r="U952" i="4"/>
  <c r="U951" i="4"/>
  <c r="U950" i="4"/>
  <c r="U949" i="4"/>
  <c r="U948" i="4"/>
  <c r="U947" i="4"/>
  <c r="U946" i="4"/>
  <c r="U945" i="4"/>
  <c r="U944" i="4"/>
  <c r="U943" i="4"/>
  <c r="U942" i="4"/>
  <c r="U941" i="4"/>
  <c r="U940" i="4"/>
  <c r="U939" i="4"/>
  <c r="U938" i="4"/>
  <c r="U937" i="4"/>
  <c r="U936" i="4"/>
  <c r="U935" i="4"/>
  <c r="U934" i="4"/>
  <c r="U933" i="4"/>
  <c r="U932" i="4"/>
  <c r="U931" i="4"/>
  <c r="U930" i="4"/>
  <c r="U929" i="4"/>
  <c r="U928" i="4"/>
  <c r="U927" i="4"/>
  <c r="U926" i="4"/>
  <c r="U925" i="4"/>
  <c r="U924" i="4"/>
  <c r="U923" i="4"/>
  <c r="U922" i="4"/>
  <c r="U921" i="4"/>
  <c r="U920" i="4"/>
  <c r="U919" i="4"/>
  <c r="U918" i="4"/>
  <c r="U917" i="4"/>
  <c r="U916" i="4"/>
  <c r="U915" i="4"/>
  <c r="U914" i="4"/>
  <c r="U913" i="4"/>
  <c r="U912" i="4"/>
  <c r="U911" i="4"/>
  <c r="U910" i="4"/>
  <c r="U909" i="4"/>
  <c r="U908" i="4"/>
  <c r="U907" i="4"/>
  <c r="U906" i="4"/>
  <c r="U905" i="4"/>
  <c r="U904" i="4"/>
  <c r="U903" i="4"/>
  <c r="U902" i="4"/>
  <c r="U901" i="4"/>
  <c r="U900" i="4"/>
  <c r="U899" i="4"/>
  <c r="U898" i="4"/>
  <c r="U897" i="4"/>
  <c r="U896" i="4"/>
  <c r="U895" i="4"/>
  <c r="U894" i="4"/>
  <c r="U893" i="4"/>
  <c r="U892" i="4"/>
  <c r="U891" i="4"/>
  <c r="U890" i="4"/>
  <c r="U889" i="4"/>
  <c r="U888" i="4"/>
  <c r="U887" i="4"/>
  <c r="U886" i="4"/>
  <c r="U885" i="4"/>
  <c r="U884" i="4"/>
  <c r="U883" i="4"/>
  <c r="U882" i="4"/>
  <c r="U881" i="4"/>
  <c r="U880" i="4"/>
  <c r="U879" i="4"/>
  <c r="U878" i="4"/>
  <c r="U877" i="4"/>
  <c r="U876" i="4"/>
  <c r="U875" i="4"/>
  <c r="U874" i="4"/>
  <c r="U873" i="4"/>
  <c r="U872" i="4"/>
  <c r="U871" i="4"/>
  <c r="U870" i="4"/>
  <c r="U869" i="4"/>
  <c r="U868" i="4"/>
  <c r="U867" i="4"/>
  <c r="U866" i="4"/>
  <c r="U865" i="4"/>
  <c r="U864" i="4"/>
  <c r="U863" i="4"/>
  <c r="U862" i="4"/>
  <c r="U861" i="4"/>
  <c r="U860" i="4"/>
  <c r="U859" i="4"/>
  <c r="U858" i="4"/>
  <c r="U857" i="4"/>
  <c r="U856" i="4"/>
  <c r="U855" i="4"/>
  <c r="U854" i="4"/>
  <c r="U853" i="4"/>
  <c r="U852" i="4"/>
  <c r="U851" i="4"/>
  <c r="U850" i="4"/>
  <c r="U849" i="4"/>
  <c r="U848" i="4"/>
  <c r="U847" i="4"/>
  <c r="U846" i="4"/>
  <c r="U845" i="4"/>
  <c r="U844" i="4"/>
  <c r="U843" i="4"/>
  <c r="U842" i="4"/>
  <c r="U841" i="4"/>
  <c r="U840" i="4"/>
  <c r="U839" i="4"/>
  <c r="U838" i="4"/>
  <c r="U837" i="4"/>
  <c r="U836" i="4"/>
  <c r="U835" i="4"/>
  <c r="U834" i="4"/>
  <c r="U833" i="4"/>
  <c r="U832" i="4"/>
  <c r="U831" i="4"/>
  <c r="U830" i="4"/>
  <c r="U829" i="4"/>
  <c r="U828" i="4"/>
  <c r="U827" i="4"/>
  <c r="U826" i="4"/>
  <c r="U825" i="4"/>
  <c r="U824" i="4"/>
  <c r="U823" i="4"/>
  <c r="U822" i="4"/>
  <c r="U821" i="4"/>
  <c r="U820" i="4"/>
  <c r="U819" i="4"/>
  <c r="U818" i="4"/>
  <c r="U817" i="4"/>
  <c r="U816" i="4"/>
  <c r="U815" i="4"/>
  <c r="U814" i="4"/>
  <c r="U813" i="4"/>
  <c r="U812" i="4"/>
  <c r="U811" i="4"/>
  <c r="U810" i="4"/>
  <c r="U809" i="4"/>
  <c r="U808" i="4"/>
  <c r="U807" i="4"/>
  <c r="U806" i="4"/>
  <c r="U805" i="4"/>
  <c r="U804" i="4"/>
  <c r="U803" i="4"/>
  <c r="U802" i="4"/>
  <c r="U801" i="4"/>
  <c r="U800" i="4"/>
  <c r="U799" i="4"/>
  <c r="U798" i="4"/>
  <c r="U797" i="4"/>
  <c r="U796" i="4"/>
  <c r="U795" i="4"/>
  <c r="U794" i="4"/>
  <c r="U793" i="4"/>
  <c r="U792" i="4"/>
  <c r="U791" i="4"/>
  <c r="U790" i="4"/>
  <c r="U789" i="4"/>
  <c r="U788" i="4"/>
  <c r="U787" i="4"/>
  <c r="U786" i="4"/>
  <c r="U785" i="4"/>
  <c r="U784" i="4"/>
  <c r="U783" i="4"/>
  <c r="U782" i="4"/>
  <c r="U781" i="4"/>
  <c r="U780" i="4"/>
  <c r="U779" i="4"/>
  <c r="U778" i="4"/>
  <c r="U777" i="4"/>
  <c r="U776" i="4"/>
  <c r="U775" i="4"/>
  <c r="U774" i="4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94" i="4"/>
  <c r="U593" i="4"/>
  <c r="U592" i="4"/>
  <c r="U591" i="4"/>
  <c r="U590" i="4"/>
  <c r="U589" i="4"/>
  <c r="U588" i="4"/>
  <c r="U587" i="4"/>
  <c r="U586" i="4"/>
  <c r="U585" i="4"/>
  <c r="U584" i="4"/>
  <c r="U583" i="4"/>
  <c r="U582" i="4"/>
  <c r="U581" i="4"/>
  <c r="U580" i="4"/>
  <c r="U579" i="4"/>
  <c r="U578" i="4"/>
  <c r="U577" i="4"/>
  <c r="U576" i="4"/>
  <c r="U575" i="4"/>
  <c r="U574" i="4"/>
  <c r="U573" i="4"/>
  <c r="U572" i="4"/>
  <c r="U571" i="4"/>
  <c r="U570" i="4"/>
  <c r="U569" i="4"/>
  <c r="U568" i="4"/>
  <c r="U567" i="4"/>
  <c r="U566" i="4"/>
  <c r="U565" i="4"/>
  <c r="U564" i="4"/>
  <c r="U563" i="4"/>
  <c r="U562" i="4"/>
  <c r="U561" i="4"/>
  <c r="U560" i="4"/>
  <c r="U559" i="4"/>
  <c r="U558" i="4"/>
  <c r="U557" i="4"/>
  <c r="U556" i="4"/>
  <c r="U555" i="4"/>
  <c r="U554" i="4"/>
  <c r="U553" i="4"/>
  <c r="U552" i="4"/>
  <c r="U551" i="4"/>
  <c r="U550" i="4"/>
  <c r="U549" i="4"/>
  <c r="U548" i="4"/>
  <c r="U547" i="4"/>
  <c r="U546" i="4"/>
  <c r="U545" i="4"/>
  <c r="U544" i="4"/>
  <c r="U543" i="4"/>
  <c r="U542" i="4"/>
  <c r="U541" i="4"/>
  <c r="U540" i="4"/>
  <c r="U539" i="4"/>
  <c r="U538" i="4"/>
  <c r="U537" i="4"/>
  <c r="U536" i="4"/>
  <c r="U535" i="4"/>
  <c r="U534" i="4"/>
  <c r="U533" i="4"/>
  <c r="U532" i="4"/>
  <c r="U531" i="4"/>
  <c r="U530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A1005" i="3"/>
  <c r="C1005" i="3" s="1"/>
  <c r="A1004" i="3"/>
  <c r="B1004" i="3" s="1"/>
  <c r="D1003" i="3"/>
  <c r="A1003" i="3"/>
  <c r="C1003" i="3" s="1"/>
  <c r="C1002" i="3"/>
  <c r="A1002" i="3"/>
  <c r="D1002" i="3" s="1"/>
  <c r="D1001" i="3"/>
  <c r="C1001" i="3"/>
  <c r="B1001" i="3"/>
  <c r="A1001" i="3"/>
  <c r="A1000" i="3"/>
  <c r="D1000" i="3" s="1"/>
  <c r="D999" i="3"/>
  <c r="B999" i="3"/>
  <c r="A999" i="3"/>
  <c r="C999" i="3" s="1"/>
  <c r="K998" i="3"/>
  <c r="E998" i="3" s="1"/>
  <c r="A998" i="3"/>
  <c r="B998" i="3" s="1"/>
  <c r="J998" i="3" s="1"/>
  <c r="D997" i="3"/>
  <c r="C997" i="3"/>
  <c r="A997" i="3"/>
  <c r="C996" i="3"/>
  <c r="B996" i="3"/>
  <c r="A996" i="3"/>
  <c r="D996" i="3" s="1"/>
  <c r="A995" i="3"/>
  <c r="C995" i="3" s="1"/>
  <c r="D994" i="3"/>
  <c r="C994" i="3"/>
  <c r="A994" i="3"/>
  <c r="K993" i="3"/>
  <c r="E993" i="3" s="1"/>
  <c r="D993" i="3"/>
  <c r="C993" i="3"/>
  <c r="B993" i="3"/>
  <c r="I993" i="3" s="1"/>
  <c r="A993" i="3"/>
  <c r="A992" i="3"/>
  <c r="D991" i="3"/>
  <c r="A991" i="3"/>
  <c r="C991" i="3" s="1"/>
  <c r="A990" i="3"/>
  <c r="D989" i="3"/>
  <c r="C989" i="3"/>
  <c r="A989" i="3"/>
  <c r="I988" i="3"/>
  <c r="C988" i="3"/>
  <c r="B988" i="3"/>
  <c r="A988" i="3"/>
  <c r="D988" i="3" s="1"/>
  <c r="A987" i="3"/>
  <c r="D986" i="3"/>
  <c r="C986" i="3"/>
  <c r="A986" i="3"/>
  <c r="D985" i="3"/>
  <c r="C985" i="3"/>
  <c r="B985" i="3"/>
  <c r="A985" i="3"/>
  <c r="A984" i="3"/>
  <c r="D983" i="3"/>
  <c r="A983" i="3"/>
  <c r="C983" i="3" s="1"/>
  <c r="A982" i="3"/>
  <c r="D981" i="3"/>
  <c r="C981" i="3"/>
  <c r="A981" i="3"/>
  <c r="I980" i="3"/>
  <c r="C980" i="3"/>
  <c r="B980" i="3"/>
  <c r="A980" i="3"/>
  <c r="D980" i="3" s="1"/>
  <c r="A979" i="3"/>
  <c r="D978" i="3"/>
  <c r="C978" i="3"/>
  <c r="A978" i="3"/>
  <c r="D977" i="3"/>
  <c r="C977" i="3"/>
  <c r="B977" i="3"/>
  <c r="A977" i="3"/>
  <c r="A976" i="3"/>
  <c r="D975" i="3"/>
  <c r="A975" i="3"/>
  <c r="C975" i="3" s="1"/>
  <c r="A974" i="3"/>
  <c r="D973" i="3"/>
  <c r="C973" i="3"/>
  <c r="A973" i="3"/>
  <c r="I972" i="3"/>
  <c r="C972" i="3"/>
  <c r="B972" i="3"/>
  <c r="A972" i="3"/>
  <c r="D972" i="3" s="1"/>
  <c r="A971" i="3"/>
  <c r="D970" i="3"/>
  <c r="C970" i="3"/>
  <c r="A970" i="3"/>
  <c r="D969" i="3"/>
  <c r="C969" i="3"/>
  <c r="B969" i="3"/>
  <c r="A969" i="3"/>
  <c r="A968" i="3"/>
  <c r="D967" i="3"/>
  <c r="A967" i="3"/>
  <c r="C967" i="3" s="1"/>
  <c r="A966" i="3"/>
  <c r="D965" i="3"/>
  <c r="C965" i="3"/>
  <c r="A965" i="3"/>
  <c r="I964" i="3"/>
  <c r="C964" i="3"/>
  <c r="B964" i="3"/>
  <c r="A964" i="3"/>
  <c r="D964" i="3" s="1"/>
  <c r="A963" i="3"/>
  <c r="D962" i="3"/>
  <c r="C962" i="3"/>
  <c r="A962" i="3"/>
  <c r="D961" i="3"/>
  <c r="C961" i="3"/>
  <c r="B961" i="3"/>
  <c r="A961" i="3"/>
  <c r="A960" i="3"/>
  <c r="D959" i="3"/>
  <c r="A959" i="3"/>
  <c r="C959" i="3" s="1"/>
  <c r="A958" i="3"/>
  <c r="D957" i="3"/>
  <c r="C957" i="3"/>
  <c r="A957" i="3"/>
  <c r="I956" i="3"/>
  <c r="C956" i="3"/>
  <c r="B956" i="3"/>
  <c r="A956" i="3"/>
  <c r="D956" i="3" s="1"/>
  <c r="A955" i="3"/>
  <c r="D954" i="3"/>
  <c r="C954" i="3"/>
  <c r="A954" i="3"/>
  <c r="D953" i="3"/>
  <c r="C953" i="3"/>
  <c r="B953" i="3"/>
  <c r="A953" i="3"/>
  <c r="A952" i="3"/>
  <c r="D951" i="3"/>
  <c r="A951" i="3"/>
  <c r="C951" i="3" s="1"/>
  <c r="A950" i="3"/>
  <c r="D949" i="3"/>
  <c r="C949" i="3"/>
  <c r="A949" i="3"/>
  <c r="I948" i="3"/>
  <c r="C948" i="3"/>
  <c r="B948" i="3"/>
  <c r="A948" i="3"/>
  <c r="D948" i="3" s="1"/>
  <c r="A947" i="3"/>
  <c r="D946" i="3"/>
  <c r="C946" i="3"/>
  <c r="A946" i="3"/>
  <c r="D945" i="3"/>
  <c r="C945" i="3"/>
  <c r="B945" i="3"/>
  <c r="A945" i="3"/>
  <c r="A944" i="3"/>
  <c r="D943" i="3"/>
  <c r="A943" i="3"/>
  <c r="C943" i="3" s="1"/>
  <c r="A942" i="3"/>
  <c r="D941" i="3"/>
  <c r="C941" i="3"/>
  <c r="A941" i="3"/>
  <c r="I940" i="3"/>
  <c r="C940" i="3"/>
  <c r="B940" i="3"/>
  <c r="A940" i="3"/>
  <c r="D940" i="3" s="1"/>
  <c r="A939" i="3"/>
  <c r="D938" i="3"/>
  <c r="C938" i="3"/>
  <c r="A938" i="3"/>
  <c r="D937" i="3"/>
  <c r="C937" i="3"/>
  <c r="B937" i="3"/>
  <c r="A937" i="3"/>
  <c r="A936" i="3"/>
  <c r="D935" i="3"/>
  <c r="A935" i="3"/>
  <c r="C935" i="3" s="1"/>
  <c r="A934" i="3"/>
  <c r="D933" i="3"/>
  <c r="C933" i="3"/>
  <c r="A933" i="3"/>
  <c r="C932" i="3"/>
  <c r="A932" i="3"/>
  <c r="D932" i="3" s="1"/>
  <c r="A931" i="3"/>
  <c r="C930" i="3"/>
  <c r="A930" i="3"/>
  <c r="K929" i="3"/>
  <c r="E929" i="3" s="1"/>
  <c r="D929" i="3"/>
  <c r="C929" i="3"/>
  <c r="B929" i="3"/>
  <c r="L929" i="3" s="1"/>
  <c r="A929" i="3"/>
  <c r="A928" i="3"/>
  <c r="I927" i="3"/>
  <c r="D927" i="3"/>
  <c r="B927" i="3"/>
  <c r="A927" i="3"/>
  <c r="C927" i="3" s="1"/>
  <c r="D926" i="3"/>
  <c r="A926" i="3"/>
  <c r="L925" i="3"/>
  <c r="D925" i="3"/>
  <c r="C925" i="3"/>
  <c r="B925" i="3"/>
  <c r="A925" i="3"/>
  <c r="B924" i="3"/>
  <c r="A924" i="3"/>
  <c r="D924" i="3" s="1"/>
  <c r="D923" i="3"/>
  <c r="A923" i="3"/>
  <c r="A922" i="3"/>
  <c r="D921" i="3"/>
  <c r="C921" i="3"/>
  <c r="A921" i="3"/>
  <c r="C920" i="3"/>
  <c r="A920" i="3"/>
  <c r="D919" i="3"/>
  <c r="A919" i="3"/>
  <c r="C919" i="3" s="1"/>
  <c r="A918" i="3"/>
  <c r="D917" i="3"/>
  <c r="C917" i="3"/>
  <c r="A917" i="3"/>
  <c r="A916" i="3"/>
  <c r="A915" i="3"/>
  <c r="D914" i="3"/>
  <c r="C914" i="3"/>
  <c r="A914" i="3"/>
  <c r="D913" i="3"/>
  <c r="C913" i="3"/>
  <c r="B913" i="3"/>
  <c r="A913" i="3"/>
  <c r="A912" i="3"/>
  <c r="A911" i="3"/>
  <c r="C911" i="3" s="1"/>
  <c r="D910" i="3"/>
  <c r="A910" i="3"/>
  <c r="H909" i="3"/>
  <c r="D909" i="3"/>
  <c r="C909" i="3"/>
  <c r="B909" i="3"/>
  <c r="A909" i="3"/>
  <c r="C908" i="3"/>
  <c r="B908" i="3"/>
  <c r="A908" i="3"/>
  <c r="D908" i="3" s="1"/>
  <c r="D907" i="3"/>
  <c r="A907" i="3"/>
  <c r="L906" i="3"/>
  <c r="D906" i="3"/>
  <c r="A906" i="3"/>
  <c r="B906" i="3" s="1"/>
  <c r="D905" i="3"/>
  <c r="C905" i="3"/>
  <c r="A905" i="3"/>
  <c r="C904" i="3"/>
  <c r="A904" i="3"/>
  <c r="A903" i="3"/>
  <c r="A902" i="3"/>
  <c r="D901" i="3"/>
  <c r="C901" i="3"/>
  <c r="A901" i="3"/>
  <c r="C900" i="3"/>
  <c r="A900" i="3"/>
  <c r="D900" i="3" s="1"/>
  <c r="A899" i="3"/>
  <c r="C898" i="3"/>
  <c r="A898" i="3"/>
  <c r="K897" i="3"/>
  <c r="E897" i="3" s="1"/>
  <c r="D897" i="3"/>
  <c r="C897" i="3"/>
  <c r="B897" i="3"/>
  <c r="L897" i="3" s="1"/>
  <c r="A897" i="3"/>
  <c r="A896" i="3"/>
  <c r="I895" i="3"/>
  <c r="D895" i="3"/>
  <c r="B895" i="3"/>
  <c r="A895" i="3"/>
  <c r="C895" i="3" s="1"/>
  <c r="D894" i="3"/>
  <c r="A894" i="3"/>
  <c r="L893" i="3"/>
  <c r="D893" i="3"/>
  <c r="C893" i="3"/>
  <c r="B893" i="3"/>
  <c r="A893" i="3"/>
  <c r="B892" i="3"/>
  <c r="A892" i="3"/>
  <c r="D892" i="3" s="1"/>
  <c r="D891" i="3"/>
  <c r="A891" i="3"/>
  <c r="A890" i="3"/>
  <c r="D889" i="3"/>
  <c r="C889" i="3"/>
  <c r="A889" i="3"/>
  <c r="C888" i="3"/>
  <c r="A888" i="3"/>
  <c r="D887" i="3"/>
  <c r="A887" i="3"/>
  <c r="C887" i="3" s="1"/>
  <c r="A886" i="3"/>
  <c r="D885" i="3"/>
  <c r="C885" i="3"/>
  <c r="A885" i="3"/>
  <c r="A884" i="3"/>
  <c r="A883" i="3"/>
  <c r="D882" i="3"/>
  <c r="C882" i="3"/>
  <c r="A882" i="3"/>
  <c r="D881" i="3"/>
  <c r="C881" i="3"/>
  <c r="B881" i="3"/>
  <c r="A881" i="3"/>
  <c r="A880" i="3"/>
  <c r="A879" i="3"/>
  <c r="C879" i="3" s="1"/>
  <c r="D878" i="3"/>
  <c r="A878" i="3"/>
  <c r="D877" i="3"/>
  <c r="C877" i="3"/>
  <c r="B877" i="3"/>
  <c r="H877" i="3" s="1"/>
  <c r="A877" i="3"/>
  <c r="I876" i="3"/>
  <c r="C876" i="3"/>
  <c r="B876" i="3"/>
  <c r="A876" i="3"/>
  <c r="D876" i="3" s="1"/>
  <c r="D875" i="3"/>
  <c r="A875" i="3"/>
  <c r="L874" i="3"/>
  <c r="D874" i="3"/>
  <c r="A874" i="3"/>
  <c r="B874" i="3" s="1"/>
  <c r="D873" i="3"/>
  <c r="C873" i="3"/>
  <c r="A873" i="3"/>
  <c r="C872" i="3"/>
  <c r="A872" i="3"/>
  <c r="A871" i="3"/>
  <c r="A870" i="3"/>
  <c r="D869" i="3"/>
  <c r="C869" i="3"/>
  <c r="A869" i="3"/>
  <c r="C868" i="3"/>
  <c r="A868" i="3"/>
  <c r="D868" i="3" s="1"/>
  <c r="A867" i="3"/>
  <c r="C866" i="3"/>
  <c r="A866" i="3"/>
  <c r="K865" i="3"/>
  <c r="E865" i="3" s="1"/>
  <c r="D865" i="3"/>
  <c r="C865" i="3"/>
  <c r="B865" i="3"/>
  <c r="L865" i="3" s="1"/>
  <c r="A865" i="3"/>
  <c r="A864" i="3"/>
  <c r="I863" i="3"/>
  <c r="D863" i="3"/>
  <c r="A863" i="3"/>
  <c r="B863" i="3" s="1"/>
  <c r="L863" i="3" s="1"/>
  <c r="D862" i="3"/>
  <c r="C862" i="3"/>
  <c r="B862" i="3"/>
  <c r="A862" i="3"/>
  <c r="A861" i="3"/>
  <c r="D860" i="3"/>
  <c r="A860" i="3"/>
  <c r="C860" i="3" s="1"/>
  <c r="A859" i="3"/>
  <c r="D858" i="3"/>
  <c r="C858" i="3"/>
  <c r="A858" i="3"/>
  <c r="C857" i="3"/>
  <c r="A857" i="3"/>
  <c r="D857" i="3" s="1"/>
  <c r="A856" i="3"/>
  <c r="D855" i="3"/>
  <c r="A855" i="3"/>
  <c r="D854" i="3"/>
  <c r="C854" i="3"/>
  <c r="B854" i="3"/>
  <c r="A854" i="3"/>
  <c r="A853" i="3"/>
  <c r="D852" i="3"/>
  <c r="A852" i="3"/>
  <c r="C852" i="3" s="1"/>
  <c r="A851" i="3"/>
  <c r="D850" i="3"/>
  <c r="C850" i="3"/>
  <c r="A850" i="3"/>
  <c r="C849" i="3"/>
  <c r="A849" i="3"/>
  <c r="D849" i="3" s="1"/>
  <c r="A848" i="3"/>
  <c r="D847" i="3"/>
  <c r="A847" i="3"/>
  <c r="L846" i="3"/>
  <c r="D846" i="3"/>
  <c r="C846" i="3"/>
  <c r="B846" i="3"/>
  <c r="A846" i="3"/>
  <c r="A845" i="3"/>
  <c r="D844" i="3"/>
  <c r="A844" i="3"/>
  <c r="C844" i="3" s="1"/>
  <c r="A843" i="3"/>
  <c r="D842" i="3"/>
  <c r="C842" i="3"/>
  <c r="A842" i="3"/>
  <c r="C841" i="3"/>
  <c r="A841" i="3"/>
  <c r="D841" i="3" s="1"/>
  <c r="A840" i="3"/>
  <c r="D839" i="3"/>
  <c r="A839" i="3"/>
  <c r="L838" i="3"/>
  <c r="D838" i="3"/>
  <c r="C838" i="3"/>
  <c r="B838" i="3"/>
  <c r="A838" i="3"/>
  <c r="A837" i="3"/>
  <c r="D836" i="3"/>
  <c r="A836" i="3"/>
  <c r="A835" i="3"/>
  <c r="D834" i="3"/>
  <c r="C834" i="3"/>
  <c r="B834" i="3"/>
  <c r="J834" i="3" s="1"/>
  <c r="A834" i="3"/>
  <c r="C833" i="3"/>
  <c r="A833" i="3"/>
  <c r="A832" i="3"/>
  <c r="A831" i="3"/>
  <c r="D830" i="3"/>
  <c r="C830" i="3"/>
  <c r="B830" i="3"/>
  <c r="A830" i="3"/>
  <c r="A829" i="3"/>
  <c r="A828" i="3"/>
  <c r="A827" i="3"/>
  <c r="D826" i="3"/>
  <c r="C826" i="3"/>
  <c r="B826" i="3"/>
  <c r="A826" i="3"/>
  <c r="A825" i="3"/>
  <c r="A824" i="3"/>
  <c r="D823" i="3"/>
  <c r="A823" i="3"/>
  <c r="L822" i="3"/>
  <c r="D822" i="3"/>
  <c r="C822" i="3"/>
  <c r="B822" i="3"/>
  <c r="A822" i="3"/>
  <c r="A821" i="3"/>
  <c r="D820" i="3"/>
  <c r="A820" i="3"/>
  <c r="A819" i="3"/>
  <c r="J818" i="3"/>
  <c r="D818" i="3"/>
  <c r="C818" i="3"/>
  <c r="B818" i="3"/>
  <c r="A818" i="3"/>
  <c r="C817" i="3"/>
  <c r="A817" i="3"/>
  <c r="A816" i="3"/>
  <c r="A815" i="3"/>
  <c r="D814" i="3"/>
  <c r="C814" i="3"/>
  <c r="B814" i="3"/>
  <c r="A814" i="3"/>
  <c r="A813" i="3"/>
  <c r="A812" i="3"/>
  <c r="A811" i="3"/>
  <c r="D810" i="3"/>
  <c r="C810" i="3"/>
  <c r="B810" i="3"/>
  <c r="A810" i="3"/>
  <c r="A809" i="3"/>
  <c r="A808" i="3"/>
  <c r="D807" i="3"/>
  <c r="A807" i="3"/>
  <c r="L806" i="3"/>
  <c r="D806" i="3"/>
  <c r="C806" i="3"/>
  <c r="B806" i="3"/>
  <c r="A806" i="3"/>
  <c r="A805" i="3"/>
  <c r="D804" i="3"/>
  <c r="A804" i="3"/>
  <c r="A803" i="3"/>
  <c r="J802" i="3"/>
  <c r="D802" i="3"/>
  <c r="C802" i="3"/>
  <c r="B802" i="3"/>
  <c r="A802" i="3"/>
  <c r="C801" i="3"/>
  <c r="A801" i="3"/>
  <c r="A800" i="3"/>
  <c r="A799" i="3"/>
  <c r="D798" i="3"/>
  <c r="C798" i="3"/>
  <c r="B798" i="3"/>
  <c r="A798" i="3"/>
  <c r="A797" i="3"/>
  <c r="A796" i="3"/>
  <c r="A795" i="3"/>
  <c r="D794" i="3"/>
  <c r="C794" i="3"/>
  <c r="B794" i="3"/>
  <c r="A794" i="3"/>
  <c r="A793" i="3"/>
  <c r="A792" i="3"/>
  <c r="D791" i="3"/>
  <c r="A791" i="3"/>
  <c r="L790" i="3"/>
  <c r="D790" i="3"/>
  <c r="C790" i="3"/>
  <c r="B790" i="3"/>
  <c r="A790" i="3"/>
  <c r="A789" i="3"/>
  <c r="D788" i="3"/>
  <c r="A788" i="3"/>
  <c r="A787" i="3"/>
  <c r="J786" i="3"/>
  <c r="D786" i="3"/>
  <c r="C786" i="3"/>
  <c r="B786" i="3"/>
  <c r="A786" i="3"/>
  <c r="C785" i="3"/>
  <c r="A785" i="3"/>
  <c r="A784" i="3"/>
  <c r="A783" i="3"/>
  <c r="D782" i="3"/>
  <c r="C782" i="3"/>
  <c r="B782" i="3"/>
  <c r="A782" i="3"/>
  <c r="A781" i="3"/>
  <c r="A780" i="3"/>
  <c r="A779" i="3"/>
  <c r="D778" i="3"/>
  <c r="C778" i="3"/>
  <c r="B778" i="3"/>
  <c r="A778" i="3"/>
  <c r="A777" i="3"/>
  <c r="A776" i="3"/>
  <c r="D775" i="3"/>
  <c r="A775" i="3"/>
  <c r="L774" i="3"/>
  <c r="D774" i="3"/>
  <c r="C774" i="3"/>
  <c r="B774" i="3"/>
  <c r="A774" i="3"/>
  <c r="A773" i="3"/>
  <c r="D772" i="3"/>
  <c r="A772" i="3"/>
  <c r="A771" i="3"/>
  <c r="J770" i="3"/>
  <c r="D770" i="3"/>
  <c r="C770" i="3"/>
  <c r="B770" i="3"/>
  <c r="A770" i="3"/>
  <c r="C769" i="3"/>
  <c r="A769" i="3"/>
  <c r="A768" i="3"/>
  <c r="A767" i="3"/>
  <c r="D766" i="3"/>
  <c r="C766" i="3"/>
  <c r="B766" i="3"/>
  <c r="A766" i="3"/>
  <c r="A765" i="3"/>
  <c r="A764" i="3"/>
  <c r="A763" i="3"/>
  <c r="D762" i="3"/>
  <c r="C762" i="3"/>
  <c r="B762" i="3"/>
  <c r="A762" i="3"/>
  <c r="A761" i="3"/>
  <c r="A760" i="3"/>
  <c r="D759" i="3"/>
  <c r="A759" i="3"/>
  <c r="L758" i="3"/>
  <c r="D758" i="3"/>
  <c r="C758" i="3"/>
  <c r="B758" i="3"/>
  <c r="A758" i="3"/>
  <c r="A757" i="3"/>
  <c r="D756" i="3"/>
  <c r="A756" i="3"/>
  <c r="A755" i="3"/>
  <c r="J754" i="3"/>
  <c r="D754" i="3"/>
  <c r="C754" i="3"/>
  <c r="B754" i="3"/>
  <c r="A754" i="3"/>
  <c r="C753" i="3"/>
  <c r="A753" i="3"/>
  <c r="A752" i="3"/>
  <c r="A751" i="3"/>
  <c r="D750" i="3"/>
  <c r="C750" i="3"/>
  <c r="B750" i="3"/>
  <c r="A750" i="3"/>
  <c r="A749" i="3"/>
  <c r="A748" i="3"/>
  <c r="A747" i="3"/>
  <c r="D746" i="3"/>
  <c r="C746" i="3"/>
  <c r="B746" i="3"/>
  <c r="A746" i="3"/>
  <c r="A745" i="3"/>
  <c r="A744" i="3"/>
  <c r="D743" i="3"/>
  <c r="A743" i="3"/>
  <c r="L742" i="3"/>
  <c r="D742" i="3"/>
  <c r="C742" i="3"/>
  <c r="B742" i="3"/>
  <c r="A742" i="3"/>
  <c r="A741" i="3"/>
  <c r="D740" i="3"/>
  <c r="A740" i="3"/>
  <c r="A739" i="3"/>
  <c r="J738" i="3"/>
  <c r="D738" i="3"/>
  <c r="C738" i="3"/>
  <c r="B738" i="3"/>
  <c r="A738" i="3"/>
  <c r="C737" i="3"/>
  <c r="A737" i="3"/>
  <c r="A736" i="3"/>
  <c r="A735" i="3"/>
  <c r="D734" i="3"/>
  <c r="C734" i="3"/>
  <c r="B734" i="3"/>
  <c r="A734" i="3"/>
  <c r="A733" i="3"/>
  <c r="A732" i="3"/>
  <c r="A731" i="3"/>
  <c r="D730" i="3"/>
  <c r="C730" i="3"/>
  <c r="B730" i="3"/>
  <c r="A730" i="3"/>
  <c r="A729" i="3"/>
  <c r="A728" i="3"/>
  <c r="D727" i="3"/>
  <c r="A727" i="3"/>
  <c r="L726" i="3"/>
  <c r="D726" i="3"/>
  <c r="C726" i="3"/>
  <c r="B726" i="3"/>
  <c r="A726" i="3"/>
  <c r="A725" i="3"/>
  <c r="D724" i="3"/>
  <c r="A724" i="3"/>
  <c r="A723" i="3"/>
  <c r="J722" i="3"/>
  <c r="D722" i="3"/>
  <c r="C722" i="3"/>
  <c r="B722" i="3"/>
  <c r="A722" i="3"/>
  <c r="C721" i="3"/>
  <c r="A721" i="3"/>
  <c r="A720" i="3"/>
  <c r="A719" i="3"/>
  <c r="D718" i="3"/>
  <c r="C718" i="3"/>
  <c r="B718" i="3"/>
  <c r="A718" i="3"/>
  <c r="A717" i="3"/>
  <c r="A716" i="3"/>
  <c r="A715" i="3"/>
  <c r="D714" i="3"/>
  <c r="C714" i="3"/>
  <c r="B714" i="3"/>
  <c r="A714" i="3"/>
  <c r="A713" i="3"/>
  <c r="A712" i="3"/>
  <c r="D711" i="3"/>
  <c r="A711" i="3"/>
  <c r="L710" i="3"/>
  <c r="D710" i="3"/>
  <c r="C710" i="3"/>
  <c r="B710" i="3"/>
  <c r="A710" i="3"/>
  <c r="A709" i="3"/>
  <c r="D708" i="3"/>
  <c r="A708" i="3"/>
  <c r="A707" i="3"/>
  <c r="J706" i="3"/>
  <c r="D706" i="3"/>
  <c r="C706" i="3"/>
  <c r="B706" i="3"/>
  <c r="A706" i="3"/>
  <c r="C705" i="3"/>
  <c r="A705" i="3"/>
  <c r="A704" i="3"/>
  <c r="A703" i="3"/>
  <c r="D702" i="3"/>
  <c r="C702" i="3"/>
  <c r="B702" i="3"/>
  <c r="A702" i="3"/>
  <c r="A701" i="3"/>
  <c r="A700" i="3"/>
  <c r="D699" i="3"/>
  <c r="C699" i="3"/>
  <c r="A699" i="3"/>
  <c r="D698" i="3"/>
  <c r="C698" i="3"/>
  <c r="B698" i="3"/>
  <c r="A698" i="3"/>
  <c r="A697" i="3"/>
  <c r="A696" i="3"/>
  <c r="C696" i="3" s="1"/>
  <c r="D695" i="3"/>
  <c r="A695" i="3"/>
  <c r="H694" i="3"/>
  <c r="D694" i="3"/>
  <c r="C694" i="3"/>
  <c r="B694" i="3"/>
  <c r="A694" i="3"/>
  <c r="C693" i="3"/>
  <c r="B693" i="3"/>
  <c r="I693" i="3" s="1"/>
  <c r="A693" i="3"/>
  <c r="D693" i="3" s="1"/>
  <c r="A692" i="3"/>
  <c r="D691" i="3"/>
  <c r="A691" i="3"/>
  <c r="D690" i="3"/>
  <c r="C690" i="3"/>
  <c r="A690" i="3"/>
  <c r="C689" i="3"/>
  <c r="A689" i="3"/>
  <c r="A688" i="3"/>
  <c r="A687" i="3"/>
  <c r="D686" i="3"/>
  <c r="C686" i="3"/>
  <c r="A686" i="3"/>
  <c r="C685" i="3"/>
  <c r="A685" i="3"/>
  <c r="D685" i="3" s="1"/>
  <c r="A684" i="3"/>
  <c r="A683" i="3"/>
  <c r="D682" i="3"/>
  <c r="C682" i="3"/>
  <c r="A682" i="3"/>
  <c r="A681" i="3"/>
  <c r="D680" i="3"/>
  <c r="B680" i="3"/>
  <c r="I680" i="3" s="1"/>
  <c r="A680" i="3"/>
  <c r="C680" i="3" s="1"/>
  <c r="A679" i="3"/>
  <c r="D678" i="3"/>
  <c r="C678" i="3"/>
  <c r="A678" i="3"/>
  <c r="A677" i="3"/>
  <c r="D677" i="3" s="1"/>
  <c r="D676" i="3"/>
  <c r="A676" i="3"/>
  <c r="A675" i="3"/>
  <c r="D674" i="3"/>
  <c r="C674" i="3"/>
  <c r="A674" i="3"/>
  <c r="A673" i="3"/>
  <c r="D672" i="3"/>
  <c r="A672" i="3"/>
  <c r="C672" i="3" s="1"/>
  <c r="A671" i="3"/>
  <c r="D670" i="3"/>
  <c r="C670" i="3"/>
  <c r="A670" i="3"/>
  <c r="A669" i="3"/>
  <c r="A668" i="3"/>
  <c r="D667" i="3"/>
  <c r="C667" i="3"/>
  <c r="A667" i="3"/>
  <c r="D666" i="3"/>
  <c r="C666" i="3"/>
  <c r="B666" i="3"/>
  <c r="A666" i="3"/>
  <c r="A665" i="3"/>
  <c r="A664" i="3"/>
  <c r="C664" i="3" s="1"/>
  <c r="A663" i="3"/>
  <c r="D662" i="3"/>
  <c r="C662" i="3"/>
  <c r="A662" i="3"/>
  <c r="C661" i="3"/>
  <c r="A661" i="3"/>
  <c r="D661" i="3" s="1"/>
  <c r="A660" i="3"/>
  <c r="D659" i="3"/>
  <c r="A659" i="3"/>
  <c r="D658" i="3"/>
  <c r="C658" i="3"/>
  <c r="B658" i="3"/>
  <c r="A658" i="3"/>
  <c r="A657" i="3"/>
  <c r="D656" i="3"/>
  <c r="A656" i="3"/>
  <c r="C656" i="3" s="1"/>
  <c r="A655" i="3"/>
  <c r="D654" i="3"/>
  <c r="C654" i="3"/>
  <c r="A654" i="3"/>
  <c r="J653" i="3"/>
  <c r="I653" i="3"/>
  <c r="C653" i="3"/>
  <c r="B653" i="3"/>
  <c r="K653" i="3" s="1"/>
  <c r="E653" i="3" s="1"/>
  <c r="A653" i="3"/>
  <c r="D653" i="3" s="1"/>
  <c r="A652" i="3"/>
  <c r="D651" i="3"/>
  <c r="C651" i="3"/>
  <c r="A651" i="3"/>
  <c r="D650" i="3"/>
  <c r="C650" i="3"/>
  <c r="B650" i="3"/>
  <c r="A650" i="3"/>
  <c r="A649" i="3"/>
  <c r="D648" i="3"/>
  <c r="A648" i="3"/>
  <c r="C648" i="3" s="1"/>
  <c r="A647" i="3"/>
  <c r="D646" i="3"/>
  <c r="C646" i="3"/>
  <c r="A646" i="3"/>
  <c r="I645" i="3"/>
  <c r="C645" i="3"/>
  <c r="B645" i="3"/>
  <c r="K645" i="3" s="1"/>
  <c r="E645" i="3" s="1"/>
  <c r="A645" i="3"/>
  <c r="D645" i="3" s="1"/>
  <c r="A644" i="3"/>
  <c r="D643" i="3"/>
  <c r="C643" i="3"/>
  <c r="A643" i="3"/>
  <c r="D642" i="3"/>
  <c r="C642" i="3"/>
  <c r="B642" i="3"/>
  <c r="A642" i="3"/>
  <c r="A641" i="3"/>
  <c r="D640" i="3"/>
  <c r="A640" i="3"/>
  <c r="C640" i="3" s="1"/>
  <c r="A639" i="3"/>
  <c r="D638" i="3"/>
  <c r="C638" i="3"/>
  <c r="A638" i="3"/>
  <c r="I637" i="3"/>
  <c r="C637" i="3"/>
  <c r="B637" i="3"/>
  <c r="K637" i="3" s="1"/>
  <c r="E637" i="3" s="1"/>
  <c r="A637" i="3"/>
  <c r="D637" i="3" s="1"/>
  <c r="A636" i="3"/>
  <c r="D635" i="3"/>
  <c r="C635" i="3"/>
  <c r="A635" i="3"/>
  <c r="D634" i="3"/>
  <c r="C634" i="3"/>
  <c r="B634" i="3"/>
  <c r="A634" i="3"/>
  <c r="A633" i="3"/>
  <c r="D632" i="3"/>
  <c r="A632" i="3"/>
  <c r="C632" i="3" s="1"/>
  <c r="A631" i="3"/>
  <c r="D630" i="3"/>
  <c r="C630" i="3"/>
  <c r="A630" i="3"/>
  <c r="I629" i="3"/>
  <c r="C629" i="3"/>
  <c r="B629" i="3"/>
  <c r="K629" i="3" s="1"/>
  <c r="E629" i="3" s="1"/>
  <c r="A629" i="3"/>
  <c r="D629" i="3" s="1"/>
  <c r="A628" i="3"/>
  <c r="D627" i="3"/>
  <c r="C627" i="3"/>
  <c r="A627" i="3"/>
  <c r="D626" i="3"/>
  <c r="C626" i="3"/>
  <c r="B626" i="3"/>
  <c r="A626" i="3"/>
  <c r="A625" i="3"/>
  <c r="D624" i="3"/>
  <c r="A624" i="3"/>
  <c r="C624" i="3" s="1"/>
  <c r="A623" i="3"/>
  <c r="D622" i="3"/>
  <c r="C622" i="3"/>
  <c r="A622" i="3"/>
  <c r="I621" i="3"/>
  <c r="C621" i="3"/>
  <c r="B621" i="3"/>
  <c r="K621" i="3" s="1"/>
  <c r="E621" i="3" s="1"/>
  <c r="A621" i="3"/>
  <c r="D621" i="3" s="1"/>
  <c r="A620" i="3"/>
  <c r="D619" i="3"/>
  <c r="C619" i="3"/>
  <c r="A619" i="3"/>
  <c r="D618" i="3"/>
  <c r="C618" i="3"/>
  <c r="B618" i="3"/>
  <c r="A618" i="3"/>
  <c r="A617" i="3"/>
  <c r="D616" i="3"/>
  <c r="A616" i="3"/>
  <c r="C616" i="3" s="1"/>
  <c r="A615" i="3"/>
  <c r="D614" i="3"/>
  <c r="C614" i="3"/>
  <c r="A614" i="3"/>
  <c r="I613" i="3"/>
  <c r="C613" i="3"/>
  <c r="B613" i="3"/>
  <c r="K613" i="3" s="1"/>
  <c r="E613" i="3" s="1"/>
  <c r="A613" i="3"/>
  <c r="D613" i="3" s="1"/>
  <c r="A612" i="3"/>
  <c r="D611" i="3"/>
  <c r="C611" i="3"/>
  <c r="A611" i="3"/>
  <c r="D610" i="3"/>
  <c r="C610" i="3"/>
  <c r="B610" i="3"/>
  <c r="A610" i="3"/>
  <c r="A609" i="3"/>
  <c r="D608" i="3"/>
  <c r="A608" i="3"/>
  <c r="C608" i="3" s="1"/>
  <c r="A607" i="3"/>
  <c r="D606" i="3"/>
  <c r="C606" i="3"/>
  <c r="A606" i="3"/>
  <c r="I605" i="3"/>
  <c r="C605" i="3"/>
  <c r="B605" i="3"/>
  <c r="K605" i="3" s="1"/>
  <c r="E605" i="3" s="1"/>
  <c r="A605" i="3"/>
  <c r="D605" i="3" s="1"/>
  <c r="A604" i="3"/>
  <c r="D603" i="3"/>
  <c r="C603" i="3"/>
  <c r="A603" i="3"/>
  <c r="D602" i="3"/>
  <c r="C602" i="3"/>
  <c r="B602" i="3"/>
  <c r="A602" i="3"/>
  <c r="A601" i="3"/>
  <c r="D600" i="3"/>
  <c r="A600" i="3"/>
  <c r="C600" i="3" s="1"/>
  <c r="A599" i="3"/>
  <c r="D598" i="3"/>
  <c r="C598" i="3"/>
  <c r="A598" i="3"/>
  <c r="I597" i="3"/>
  <c r="C597" i="3"/>
  <c r="B597" i="3"/>
  <c r="K597" i="3" s="1"/>
  <c r="E597" i="3" s="1"/>
  <c r="A597" i="3"/>
  <c r="D597" i="3" s="1"/>
  <c r="A596" i="3"/>
  <c r="D595" i="3"/>
  <c r="A595" i="3"/>
  <c r="D594" i="3"/>
  <c r="C594" i="3"/>
  <c r="B594" i="3"/>
  <c r="A594" i="3"/>
  <c r="A593" i="3"/>
  <c r="D592" i="3"/>
  <c r="A592" i="3"/>
  <c r="C592" i="3" s="1"/>
  <c r="A591" i="3"/>
  <c r="D590" i="3"/>
  <c r="C590" i="3"/>
  <c r="A590" i="3"/>
  <c r="C589" i="3"/>
  <c r="A589" i="3"/>
  <c r="D589" i="3" s="1"/>
  <c r="A588" i="3"/>
  <c r="D587" i="3"/>
  <c r="A587" i="3"/>
  <c r="D586" i="3"/>
  <c r="C586" i="3"/>
  <c r="B586" i="3"/>
  <c r="A586" i="3"/>
  <c r="A585" i="3"/>
  <c r="D584" i="3"/>
  <c r="A584" i="3"/>
  <c r="C584" i="3" s="1"/>
  <c r="A583" i="3"/>
  <c r="D582" i="3"/>
  <c r="C582" i="3"/>
  <c r="A582" i="3"/>
  <c r="C581" i="3"/>
  <c r="A581" i="3"/>
  <c r="D581" i="3" s="1"/>
  <c r="A580" i="3"/>
  <c r="D579" i="3"/>
  <c r="A579" i="3"/>
  <c r="D578" i="3"/>
  <c r="C578" i="3"/>
  <c r="B578" i="3"/>
  <c r="A578" i="3"/>
  <c r="A577" i="3"/>
  <c r="D576" i="3"/>
  <c r="A576" i="3"/>
  <c r="C576" i="3" s="1"/>
  <c r="A575" i="3"/>
  <c r="D574" i="3"/>
  <c r="C574" i="3"/>
  <c r="A574" i="3"/>
  <c r="C573" i="3"/>
  <c r="A573" i="3"/>
  <c r="D573" i="3" s="1"/>
  <c r="C572" i="3"/>
  <c r="A572" i="3"/>
  <c r="B572" i="3" s="1"/>
  <c r="L572" i="3" s="1"/>
  <c r="D571" i="3"/>
  <c r="B571" i="3"/>
  <c r="A571" i="3"/>
  <c r="C571" i="3" s="1"/>
  <c r="A570" i="3"/>
  <c r="D569" i="3"/>
  <c r="C569" i="3"/>
  <c r="A569" i="3"/>
  <c r="C568" i="3"/>
  <c r="A568" i="3"/>
  <c r="B568" i="3" s="1"/>
  <c r="K568" i="3" s="1"/>
  <c r="E568" i="3" s="1"/>
  <c r="D567" i="3"/>
  <c r="B567" i="3"/>
  <c r="A567" i="3"/>
  <c r="C567" i="3" s="1"/>
  <c r="A566" i="3"/>
  <c r="D565" i="3"/>
  <c r="C565" i="3"/>
  <c r="A565" i="3"/>
  <c r="C564" i="3"/>
  <c r="A564" i="3"/>
  <c r="B564" i="3" s="1"/>
  <c r="K564" i="3" s="1"/>
  <c r="E564" i="3" s="1"/>
  <c r="D563" i="3"/>
  <c r="B563" i="3"/>
  <c r="A563" i="3"/>
  <c r="C563" i="3" s="1"/>
  <c r="A562" i="3"/>
  <c r="D561" i="3"/>
  <c r="C561" i="3"/>
  <c r="A561" i="3"/>
  <c r="C560" i="3"/>
  <c r="A560" i="3"/>
  <c r="B560" i="3" s="1"/>
  <c r="K560" i="3" s="1"/>
  <c r="E560" i="3" s="1"/>
  <c r="J559" i="3"/>
  <c r="D559" i="3"/>
  <c r="B559" i="3"/>
  <c r="A559" i="3"/>
  <c r="C559" i="3" s="1"/>
  <c r="C558" i="3"/>
  <c r="A558" i="3"/>
  <c r="D557" i="3"/>
  <c r="C557" i="3"/>
  <c r="B557" i="3"/>
  <c r="L557" i="3" s="1"/>
  <c r="A557" i="3"/>
  <c r="A556" i="3"/>
  <c r="H555" i="3"/>
  <c r="N555" i="3" s="1"/>
  <c r="D555" i="3"/>
  <c r="B555" i="3"/>
  <c r="L555" i="3" s="1"/>
  <c r="A555" i="3"/>
  <c r="C555" i="3" s="1"/>
  <c r="A554" i="3"/>
  <c r="D553" i="3"/>
  <c r="C553" i="3"/>
  <c r="B553" i="3"/>
  <c r="L553" i="3" s="1"/>
  <c r="A553" i="3"/>
  <c r="A552" i="3"/>
  <c r="C552" i="3" s="1"/>
  <c r="D551" i="3"/>
  <c r="B551" i="3"/>
  <c r="H551" i="3" s="1"/>
  <c r="A551" i="3"/>
  <c r="C551" i="3" s="1"/>
  <c r="A550" i="3"/>
  <c r="B549" i="3" s="1"/>
  <c r="D549" i="3"/>
  <c r="C549" i="3"/>
  <c r="A549" i="3"/>
  <c r="A548" i="3"/>
  <c r="B547" i="3" s="1"/>
  <c r="D547" i="3"/>
  <c r="A547" i="3"/>
  <c r="C547" i="3" s="1"/>
  <c r="A546" i="3"/>
  <c r="B545" i="3" s="1"/>
  <c r="D545" i="3"/>
  <c r="C545" i="3"/>
  <c r="A545" i="3"/>
  <c r="C544" i="3"/>
  <c r="A544" i="3"/>
  <c r="N543" i="3"/>
  <c r="H543" i="3"/>
  <c r="R543" i="3" s="1"/>
  <c r="D543" i="3"/>
  <c r="B543" i="3"/>
  <c r="A543" i="3"/>
  <c r="C543" i="3" s="1"/>
  <c r="C542" i="3"/>
  <c r="A542" i="3"/>
  <c r="D541" i="3"/>
  <c r="C541" i="3"/>
  <c r="B541" i="3"/>
  <c r="L541" i="3" s="1"/>
  <c r="A541" i="3"/>
  <c r="A540" i="3"/>
  <c r="H539" i="3"/>
  <c r="N539" i="3" s="1"/>
  <c r="D539" i="3"/>
  <c r="B539" i="3"/>
  <c r="L539" i="3" s="1"/>
  <c r="A539" i="3"/>
  <c r="C539" i="3" s="1"/>
  <c r="A538" i="3"/>
  <c r="D537" i="3"/>
  <c r="C537" i="3"/>
  <c r="B537" i="3"/>
  <c r="L537" i="3" s="1"/>
  <c r="A537" i="3"/>
  <c r="A536" i="3"/>
  <c r="C536" i="3" s="1"/>
  <c r="D535" i="3"/>
  <c r="B535" i="3"/>
  <c r="H535" i="3" s="1"/>
  <c r="A535" i="3"/>
  <c r="C535" i="3" s="1"/>
  <c r="A534" i="3"/>
  <c r="B533" i="3" s="1"/>
  <c r="D533" i="3"/>
  <c r="C533" i="3"/>
  <c r="A533" i="3"/>
  <c r="A532" i="3"/>
  <c r="B531" i="3" s="1"/>
  <c r="D531" i="3"/>
  <c r="A531" i="3"/>
  <c r="C531" i="3" s="1"/>
  <c r="K530" i="3"/>
  <c r="E530" i="3" s="1"/>
  <c r="A530" i="3"/>
  <c r="B530" i="3" s="1"/>
  <c r="J530" i="3" s="1"/>
  <c r="D529" i="3"/>
  <c r="C529" i="3"/>
  <c r="A529" i="3"/>
  <c r="C528" i="3"/>
  <c r="B528" i="3"/>
  <c r="K528" i="3" s="1"/>
  <c r="E528" i="3" s="1"/>
  <c r="A528" i="3"/>
  <c r="D528" i="3" s="1"/>
  <c r="A527" i="3"/>
  <c r="C527" i="3" s="1"/>
  <c r="D526" i="3"/>
  <c r="C526" i="3"/>
  <c r="A526" i="3"/>
  <c r="K525" i="3"/>
  <c r="E525" i="3" s="1"/>
  <c r="D525" i="3"/>
  <c r="C525" i="3"/>
  <c r="B525" i="3"/>
  <c r="I525" i="3" s="1"/>
  <c r="A525" i="3"/>
  <c r="A524" i="3"/>
  <c r="D524" i="3" s="1"/>
  <c r="D523" i="3"/>
  <c r="B523" i="3"/>
  <c r="K523" i="3" s="1"/>
  <c r="E523" i="3" s="1"/>
  <c r="A523" i="3"/>
  <c r="C523" i="3" s="1"/>
  <c r="K522" i="3"/>
  <c r="E522" i="3" s="1"/>
  <c r="A522" i="3"/>
  <c r="B522" i="3" s="1"/>
  <c r="J522" i="3" s="1"/>
  <c r="D521" i="3"/>
  <c r="C521" i="3"/>
  <c r="A521" i="3"/>
  <c r="C520" i="3"/>
  <c r="B520" i="3"/>
  <c r="K520" i="3" s="1"/>
  <c r="E520" i="3" s="1"/>
  <c r="A520" i="3"/>
  <c r="D520" i="3" s="1"/>
  <c r="A519" i="3"/>
  <c r="C519" i="3" s="1"/>
  <c r="D518" i="3"/>
  <c r="C518" i="3"/>
  <c r="A518" i="3"/>
  <c r="K517" i="3"/>
  <c r="E517" i="3" s="1"/>
  <c r="D517" i="3"/>
  <c r="C517" i="3"/>
  <c r="B517" i="3"/>
  <c r="I517" i="3" s="1"/>
  <c r="A517" i="3"/>
  <c r="A516" i="3"/>
  <c r="D516" i="3" s="1"/>
  <c r="D515" i="3"/>
  <c r="B515" i="3"/>
  <c r="K515" i="3" s="1"/>
  <c r="E515" i="3" s="1"/>
  <c r="A515" i="3"/>
  <c r="C515" i="3" s="1"/>
  <c r="K514" i="3"/>
  <c r="E514" i="3" s="1"/>
  <c r="A514" i="3"/>
  <c r="B514" i="3" s="1"/>
  <c r="J514" i="3" s="1"/>
  <c r="D513" i="3"/>
  <c r="C513" i="3"/>
  <c r="A513" i="3"/>
  <c r="C512" i="3"/>
  <c r="B512" i="3"/>
  <c r="K512" i="3" s="1"/>
  <c r="E512" i="3" s="1"/>
  <c r="A512" i="3"/>
  <c r="D512" i="3" s="1"/>
  <c r="A511" i="3"/>
  <c r="C511" i="3" s="1"/>
  <c r="D510" i="3"/>
  <c r="C510" i="3"/>
  <c r="A510" i="3"/>
  <c r="K509" i="3"/>
  <c r="E509" i="3" s="1"/>
  <c r="D509" i="3"/>
  <c r="C509" i="3"/>
  <c r="B509" i="3"/>
  <c r="I509" i="3" s="1"/>
  <c r="A509" i="3"/>
  <c r="A508" i="3"/>
  <c r="D508" i="3" s="1"/>
  <c r="D507" i="3"/>
  <c r="B507" i="3"/>
  <c r="K507" i="3" s="1"/>
  <c r="E507" i="3" s="1"/>
  <c r="A507" i="3"/>
  <c r="C507" i="3" s="1"/>
  <c r="K506" i="3"/>
  <c r="E506" i="3" s="1"/>
  <c r="A506" i="3"/>
  <c r="B506" i="3" s="1"/>
  <c r="J506" i="3" s="1"/>
  <c r="D505" i="3"/>
  <c r="C505" i="3"/>
  <c r="A505" i="3"/>
  <c r="C504" i="3"/>
  <c r="B504" i="3"/>
  <c r="K504" i="3" s="1"/>
  <c r="E504" i="3" s="1"/>
  <c r="A504" i="3"/>
  <c r="D504" i="3" s="1"/>
  <c r="A503" i="3"/>
  <c r="C503" i="3" s="1"/>
  <c r="D502" i="3"/>
  <c r="C502" i="3"/>
  <c r="A502" i="3"/>
  <c r="K501" i="3"/>
  <c r="E501" i="3" s="1"/>
  <c r="D501" i="3"/>
  <c r="C501" i="3"/>
  <c r="B501" i="3"/>
  <c r="I501" i="3" s="1"/>
  <c r="A501" i="3"/>
  <c r="A500" i="3"/>
  <c r="D500" i="3" s="1"/>
  <c r="D499" i="3"/>
  <c r="B499" i="3"/>
  <c r="K499" i="3" s="1"/>
  <c r="E499" i="3" s="1"/>
  <c r="A499" i="3"/>
  <c r="C499" i="3" s="1"/>
  <c r="K498" i="3"/>
  <c r="E498" i="3" s="1"/>
  <c r="A498" i="3"/>
  <c r="B498" i="3" s="1"/>
  <c r="J498" i="3" s="1"/>
  <c r="D497" i="3"/>
  <c r="C497" i="3"/>
  <c r="A497" i="3"/>
  <c r="C496" i="3"/>
  <c r="B496" i="3"/>
  <c r="K496" i="3" s="1"/>
  <c r="E496" i="3" s="1"/>
  <c r="A496" i="3"/>
  <c r="D496" i="3" s="1"/>
  <c r="A495" i="3"/>
  <c r="C495" i="3" s="1"/>
  <c r="D494" i="3"/>
  <c r="C494" i="3"/>
  <c r="A494" i="3"/>
  <c r="D493" i="3"/>
  <c r="C493" i="3"/>
  <c r="B493" i="3"/>
  <c r="I493" i="3" s="1"/>
  <c r="A493" i="3"/>
  <c r="A492" i="3"/>
  <c r="D492" i="3" s="1"/>
  <c r="D491" i="3"/>
  <c r="A491" i="3"/>
  <c r="C491" i="3" s="1"/>
  <c r="A490" i="3"/>
  <c r="B490" i="3" s="1"/>
  <c r="J490" i="3" s="1"/>
  <c r="D489" i="3"/>
  <c r="C489" i="3"/>
  <c r="A489" i="3"/>
  <c r="I488" i="3"/>
  <c r="C488" i="3"/>
  <c r="B488" i="3"/>
  <c r="K488" i="3" s="1"/>
  <c r="E488" i="3" s="1"/>
  <c r="A488" i="3"/>
  <c r="D488" i="3" s="1"/>
  <c r="A487" i="3"/>
  <c r="C487" i="3" s="1"/>
  <c r="D486" i="3"/>
  <c r="C486" i="3"/>
  <c r="A486" i="3"/>
  <c r="D485" i="3"/>
  <c r="C485" i="3"/>
  <c r="B485" i="3"/>
  <c r="I485" i="3" s="1"/>
  <c r="A485" i="3"/>
  <c r="A484" i="3"/>
  <c r="D484" i="3" s="1"/>
  <c r="D483" i="3"/>
  <c r="A483" i="3"/>
  <c r="C483" i="3" s="1"/>
  <c r="A482" i="3"/>
  <c r="B482" i="3" s="1"/>
  <c r="J482" i="3" s="1"/>
  <c r="D481" i="3"/>
  <c r="C481" i="3"/>
  <c r="A481" i="3"/>
  <c r="I480" i="3"/>
  <c r="C480" i="3"/>
  <c r="B480" i="3"/>
  <c r="K480" i="3" s="1"/>
  <c r="E480" i="3" s="1"/>
  <c r="A480" i="3"/>
  <c r="D480" i="3" s="1"/>
  <c r="A479" i="3"/>
  <c r="C479" i="3" s="1"/>
  <c r="D478" i="3"/>
  <c r="C478" i="3"/>
  <c r="A478" i="3"/>
  <c r="D477" i="3"/>
  <c r="C477" i="3"/>
  <c r="B477" i="3"/>
  <c r="I477" i="3" s="1"/>
  <c r="A477" i="3"/>
  <c r="A476" i="3"/>
  <c r="D476" i="3" s="1"/>
  <c r="D475" i="3"/>
  <c r="A475" i="3"/>
  <c r="C475" i="3" s="1"/>
  <c r="A474" i="3"/>
  <c r="D473" i="3"/>
  <c r="C473" i="3"/>
  <c r="A473" i="3"/>
  <c r="I472" i="3"/>
  <c r="C472" i="3"/>
  <c r="B472" i="3"/>
  <c r="K472" i="3" s="1"/>
  <c r="E472" i="3" s="1"/>
  <c r="A472" i="3"/>
  <c r="D472" i="3" s="1"/>
  <c r="A471" i="3"/>
  <c r="D470" i="3"/>
  <c r="C470" i="3"/>
  <c r="A470" i="3"/>
  <c r="D469" i="3"/>
  <c r="C469" i="3"/>
  <c r="B469" i="3"/>
  <c r="A469" i="3"/>
  <c r="A468" i="3"/>
  <c r="D467" i="3"/>
  <c r="A467" i="3"/>
  <c r="C467" i="3" s="1"/>
  <c r="A466" i="3"/>
  <c r="D465" i="3"/>
  <c r="C465" i="3"/>
  <c r="A465" i="3"/>
  <c r="I464" i="3"/>
  <c r="C464" i="3"/>
  <c r="B464" i="3"/>
  <c r="K464" i="3" s="1"/>
  <c r="E464" i="3" s="1"/>
  <c r="A464" i="3"/>
  <c r="D464" i="3" s="1"/>
  <c r="A463" i="3"/>
  <c r="D462" i="3"/>
  <c r="C462" i="3"/>
  <c r="A462" i="3"/>
  <c r="D461" i="3"/>
  <c r="C461" i="3"/>
  <c r="B461" i="3"/>
  <c r="A461" i="3"/>
  <c r="A460" i="3"/>
  <c r="D459" i="3"/>
  <c r="A459" i="3"/>
  <c r="C459" i="3" s="1"/>
  <c r="A458" i="3"/>
  <c r="D457" i="3"/>
  <c r="C457" i="3"/>
  <c r="A457" i="3"/>
  <c r="I456" i="3"/>
  <c r="C456" i="3"/>
  <c r="B456" i="3"/>
  <c r="K456" i="3" s="1"/>
  <c r="E456" i="3" s="1"/>
  <c r="A456" i="3"/>
  <c r="D456" i="3" s="1"/>
  <c r="A455" i="3"/>
  <c r="D454" i="3"/>
  <c r="C454" i="3"/>
  <c r="A454" i="3"/>
  <c r="D453" i="3"/>
  <c r="C453" i="3"/>
  <c r="B453" i="3"/>
  <c r="A453" i="3"/>
  <c r="A452" i="3"/>
  <c r="D451" i="3"/>
  <c r="A451" i="3"/>
  <c r="C451" i="3" s="1"/>
  <c r="A450" i="3"/>
  <c r="D449" i="3"/>
  <c r="C449" i="3"/>
  <c r="A449" i="3"/>
  <c r="I448" i="3"/>
  <c r="C448" i="3"/>
  <c r="B448" i="3"/>
  <c r="K448" i="3" s="1"/>
  <c r="E448" i="3" s="1"/>
  <c r="A448" i="3"/>
  <c r="D448" i="3" s="1"/>
  <c r="A447" i="3"/>
  <c r="D446" i="3"/>
  <c r="C446" i="3"/>
  <c r="A446" i="3"/>
  <c r="D445" i="3"/>
  <c r="C445" i="3"/>
  <c r="B445" i="3"/>
  <c r="A445" i="3"/>
  <c r="A444" i="3"/>
  <c r="D443" i="3"/>
  <c r="A443" i="3"/>
  <c r="C443" i="3" s="1"/>
  <c r="A442" i="3"/>
  <c r="D441" i="3"/>
  <c r="C441" i="3"/>
  <c r="A441" i="3"/>
  <c r="I440" i="3"/>
  <c r="C440" i="3"/>
  <c r="B440" i="3"/>
  <c r="K440" i="3" s="1"/>
  <c r="E440" i="3" s="1"/>
  <c r="A440" i="3"/>
  <c r="D440" i="3" s="1"/>
  <c r="A439" i="3"/>
  <c r="D438" i="3"/>
  <c r="C438" i="3"/>
  <c r="A438" i="3"/>
  <c r="D437" i="3"/>
  <c r="C437" i="3"/>
  <c r="B437" i="3"/>
  <c r="A437" i="3"/>
  <c r="A436" i="3"/>
  <c r="D435" i="3"/>
  <c r="A435" i="3"/>
  <c r="C435" i="3" s="1"/>
  <c r="A434" i="3"/>
  <c r="D433" i="3"/>
  <c r="C433" i="3"/>
  <c r="A433" i="3"/>
  <c r="C432" i="3"/>
  <c r="B432" i="3"/>
  <c r="A432" i="3"/>
  <c r="D432" i="3" s="1"/>
  <c r="A431" i="3"/>
  <c r="D430" i="3"/>
  <c r="C430" i="3"/>
  <c r="A430" i="3"/>
  <c r="L429" i="3"/>
  <c r="G429" i="3" s="1"/>
  <c r="K429" i="3"/>
  <c r="E429" i="3" s="1"/>
  <c r="D429" i="3"/>
  <c r="C429" i="3"/>
  <c r="B429" i="3"/>
  <c r="A429" i="3"/>
  <c r="A428" i="3"/>
  <c r="D427" i="3"/>
  <c r="B427" i="3"/>
  <c r="A427" i="3"/>
  <c r="C427" i="3" s="1"/>
  <c r="A426" i="3"/>
  <c r="D425" i="3"/>
  <c r="C425" i="3"/>
  <c r="A425" i="3"/>
  <c r="C424" i="3"/>
  <c r="B424" i="3"/>
  <c r="A424" i="3"/>
  <c r="D424" i="3" s="1"/>
  <c r="A423" i="3"/>
  <c r="D422" i="3"/>
  <c r="C422" i="3"/>
  <c r="A422" i="3"/>
  <c r="L421" i="3"/>
  <c r="G421" i="3" s="1"/>
  <c r="K421" i="3"/>
  <c r="E421" i="3" s="1"/>
  <c r="D421" i="3"/>
  <c r="C421" i="3"/>
  <c r="B421" i="3"/>
  <c r="A421" i="3"/>
  <c r="A420" i="3"/>
  <c r="N419" i="3"/>
  <c r="H419" i="3"/>
  <c r="M419" i="3" s="1"/>
  <c r="D419" i="3"/>
  <c r="B419" i="3"/>
  <c r="A419" i="3"/>
  <c r="C419" i="3" s="1"/>
  <c r="A418" i="3"/>
  <c r="D417" i="3"/>
  <c r="C417" i="3"/>
  <c r="A417" i="3"/>
  <c r="C416" i="3"/>
  <c r="B416" i="3"/>
  <c r="A416" i="3"/>
  <c r="D416" i="3" s="1"/>
  <c r="A415" i="3"/>
  <c r="A414" i="3"/>
  <c r="D414" i="3" s="1"/>
  <c r="D413" i="3"/>
  <c r="C413" i="3"/>
  <c r="A413" i="3"/>
  <c r="C412" i="3"/>
  <c r="A412" i="3"/>
  <c r="D411" i="3"/>
  <c r="B411" i="3"/>
  <c r="H411" i="3" s="1"/>
  <c r="A411" i="3"/>
  <c r="C411" i="3" s="1"/>
  <c r="A410" i="3"/>
  <c r="D409" i="3"/>
  <c r="C409" i="3"/>
  <c r="A409" i="3"/>
  <c r="C408" i="3"/>
  <c r="A408" i="3"/>
  <c r="D408" i="3" s="1"/>
  <c r="D407" i="3"/>
  <c r="A407" i="3"/>
  <c r="A406" i="3"/>
  <c r="B406" i="3" s="1"/>
  <c r="D405" i="3"/>
  <c r="C405" i="3"/>
  <c r="A405" i="3"/>
  <c r="A404" i="3"/>
  <c r="L403" i="3"/>
  <c r="G403" i="3" s="1"/>
  <c r="D403" i="3"/>
  <c r="B403" i="3"/>
  <c r="A403" i="3"/>
  <c r="C403" i="3" s="1"/>
  <c r="A402" i="3"/>
  <c r="D401" i="3"/>
  <c r="C401" i="3"/>
  <c r="A401" i="3"/>
  <c r="A400" i="3"/>
  <c r="D400" i="3" s="1"/>
  <c r="D399" i="3"/>
  <c r="A399" i="3"/>
  <c r="I398" i="3"/>
  <c r="C398" i="3"/>
  <c r="A398" i="3"/>
  <c r="B398" i="3" s="1"/>
  <c r="D397" i="3"/>
  <c r="C397" i="3"/>
  <c r="B397" i="3"/>
  <c r="L397" i="3" s="1"/>
  <c r="A397" i="3"/>
  <c r="A396" i="3"/>
  <c r="D395" i="3"/>
  <c r="A395" i="3"/>
  <c r="C395" i="3" s="1"/>
  <c r="D394" i="3"/>
  <c r="A394" i="3"/>
  <c r="D393" i="3"/>
  <c r="C393" i="3"/>
  <c r="B393" i="3"/>
  <c r="A393" i="3"/>
  <c r="B392" i="3"/>
  <c r="A392" i="3"/>
  <c r="D392" i="3" s="1"/>
  <c r="A391" i="3"/>
  <c r="D390" i="3"/>
  <c r="C390" i="3"/>
  <c r="A390" i="3"/>
  <c r="J389" i="3"/>
  <c r="D389" i="3"/>
  <c r="C389" i="3"/>
  <c r="B389" i="3"/>
  <c r="A389" i="3"/>
  <c r="C388" i="3"/>
  <c r="A388" i="3"/>
  <c r="A387" i="3"/>
  <c r="C387" i="3" s="1"/>
  <c r="D386" i="3"/>
  <c r="A386" i="3"/>
  <c r="J385" i="3"/>
  <c r="D385" i="3"/>
  <c r="C385" i="3"/>
  <c r="B385" i="3"/>
  <c r="A385" i="3"/>
  <c r="K384" i="3"/>
  <c r="E384" i="3" s="1"/>
  <c r="C384" i="3"/>
  <c r="B384" i="3"/>
  <c r="A384" i="3"/>
  <c r="D384" i="3" s="1"/>
  <c r="A383" i="3"/>
  <c r="D382" i="3"/>
  <c r="A382" i="3"/>
  <c r="D381" i="3"/>
  <c r="C381" i="3"/>
  <c r="A381" i="3"/>
  <c r="C380" i="3"/>
  <c r="A380" i="3"/>
  <c r="B379" i="3"/>
  <c r="H379" i="3" s="1"/>
  <c r="A379" i="3"/>
  <c r="C379" i="3" s="1"/>
  <c r="A378" i="3"/>
  <c r="D377" i="3"/>
  <c r="C377" i="3"/>
  <c r="A377" i="3"/>
  <c r="C376" i="3"/>
  <c r="A376" i="3"/>
  <c r="D376" i="3" s="1"/>
  <c r="D375" i="3"/>
  <c r="A375" i="3"/>
  <c r="A374" i="3"/>
  <c r="B374" i="3" s="1"/>
  <c r="D373" i="3"/>
  <c r="C373" i="3"/>
  <c r="A373" i="3"/>
  <c r="A372" i="3"/>
  <c r="L371" i="3"/>
  <c r="G371" i="3" s="1"/>
  <c r="D371" i="3"/>
  <c r="B371" i="3"/>
  <c r="A371" i="3"/>
  <c r="C371" i="3" s="1"/>
  <c r="A370" i="3"/>
  <c r="D369" i="3"/>
  <c r="C369" i="3"/>
  <c r="A369" i="3"/>
  <c r="A368" i="3"/>
  <c r="D368" i="3" s="1"/>
  <c r="D367" i="3"/>
  <c r="A367" i="3"/>
  <c r="I366" i="3"/>
  <c r="C366" i="3"/>
  <c r="A366" i="3"/>
  <c r="B366" i="3" s="1"/>
  <c r="D365" i="3"/>
  <c r="C365" i="3"/>
  <c r="B365" i="3"/>
  <c r="L365" i="3" s="1"/>
  <c r="A365" i="3"/>
  <c r="A364" i="3"/>
  <c r="D363" i="3"/>
  <c r="A363" i="3"/>
  <c r="C363" i="3" s="1"/>
  <c r="D362" i="3"/>
  <c r="A362" i="3"/>
  <c r="D361" i="3"/>
  <c r="C361" i="3"/>
  <c r="B361" i="3"/>
  <c r="A361" i="3"/>
  <c r="B360" i="3"/>
  <c r="A360" i="3"/>
  <c r="D360" i="3" s="1"/>
  <c r="A359" i="3"/>
  <c r="D358" i="3"/>
  <c r="C358" i="3"/>
  <c r="A358" i="3"/>
  <c r="J357" i="3"/>
  <c r="D357" i="3"/>
  <c r="C357" i="3"/>
  <c r="B357" i="3"/>
  <c r="A357" i="3"/>
  <c r="C356" i="3"/>
  <c r="A356" i="3"/>
  <c r="A355" i="3"/>
  <c r="C355" i="3" s="1"/>
  <c r="D354" i="3"/>
  <c r="A354" i="3"/>
  <c r="J353" i="3"/>
  <c r="D353" i="3"/>
  <c r="C353" i="3"/>
  <c r="B353" i="3"/>
  <c r="A353" i="3"/>
  <c r="K352" i="3"/>
  <c r="E352" i="3" s="1"/>
  <c r="C352" i="3"/>
  <c r="B352" i="3"/>
  <c r="A352" i="3"/>
  <c r="D352" i="3" s="1"/>
  <c r="A351" i="3"/>
  <c r="D350" i="3"/>
  <c r="A350" i="3"/>
  <c r="D349" i="3"/>
  <c r="C349" i="3"/>
  <c r="A349" i="3"/>
  <c r="C348" i="3"/>
  <c r="A348" i="3"/>
  <c r="B347" i="3"/>
  <c r="H347" i="3" s="1"/>
  <c r="A347" i="3"/>
  <c r="C347" i="3" s="1"/>
  <c r="A346" i="3"/>
  <c r="D345" i="3"/>
  <c r="C345" i="3"/>
  <c r="A345" i="3"/>
  <c r="C344" i="3"/>
  <c r="A344" i="3"/>
  <c r="D344" i="3" s="1"/>
  <c r="D343" i="3"/>
  <c r="A343" i="3"/>
  <c r="A342" i="3"/>
  <c r="B342" i="3" s="1"/>
  <c r="D341" i="3"/>
  <c r="C341" i="3"/>
  <c r="A341" i="3"/>
  <c r="A340" i="3"/>
  <c r="L339" i="3"/>
  <c r="G339" i="3" s="1"/>
  <c r="D339" i="3"/>
  <c r="B339" i="3"/>
  <c r="A339" i="3"/>
  <c r="C339" i="3" s="1"/>
  <c r="A338" i="3"/>
  <c r="D337" i="3"/>
  <c r="C337" i="3"/>
  <c r="A337" i="3"/>
  <c r="A336" i="3"/>
  <c r="D336" i="3" s="1"/>
  <c r="D335" i="3"/>
  <c r="A335" i="3"/>
  <c r="I334" i="3"/>
  <c r="C334" i="3"/>
  <c r="A334" i="3"/>
  <c r="B334" i="3" s="1"/>
  <c r="D333" i="3"/>
  <c r="C333" i="3"/>
  <c r="B333" i="3"/>
  <c r="L333" i="3" s="1"/>
  <c r="A333" i="3"/>
  <c r="A332" i="3"/>
  <c r="D331" i="3"/>
  <c r="A331" i="3"/>
  <c r="C331" i="3" s="1"/>
  <c r="D330" i="3"/>
  <c r="A330" i="3"/>
  <c r="D329" i="3"/>
  <c r="C329" i="3"/>
  <c r="B329" i="3"/>
  <c r="A329" i="3"/>
  <c r="B328" i="3"/>
  <c r="A328" i="3"/>
  <c r="D328" i="3" s="1"/>
  <c r="A327" i="3"/>
  <c r="D326" i="3"/>
  <c r="C326" i="3"/>
  <c r="A326" i="3"/>
  <c r="J325" i="3"/>
  <c r="D325" i="3"/>
  <c r="C325" i="3"/>
  <c r="B325" i="3"/>
  <c r="A325" i="3"/>
  <c r="C324" i="3"/>
  <c r="A324" i="3"/>
  <c r="A323" i="3"/>
  <c r="C323" i="3" s="1"/>
  <c r="D322" i="3"/>
  <c r="A322" i="3"/>
  <c r="J321" i="3"/>
  <c r="D321" i="3"/>
  <c r="C321" i="3"/>
  <c r="B321" i="3"/>
  <c r="A321" i="3"/>
  <c r="K320" i="3"/>
  <c r="E320" i="3" s="1"/>
  <c r="C320" i="3"/>
  <c r="B320" i="3"/>
  <c r="A320" i="3"/>
  <c r="D320" i="3" s="1"/>
  <c r="A319" i="3"/>
  <c r="D318" i="3"/>
  <c r="A318" i="3"/>
  <c r="D317" i="3"/>
  <c r="C317" i="3"/>
  <c r="A317" i="3"/>
  <c r="C316" i="3"/>
  <c r="A316" i="3"/>
  <c r="B315" i="3"/>
  <c r="H315" i="3" s="1"/>
  <c r="A315" i="3"/>
  <c r="C315" i="3" s="1"/>
  <c r="A314" i="3"/>
  <c r="D313" i="3"/>
  <c r="C313" i="3"/>
  <c r="A313" i="3"/>
  <c r="C312" i="3"/>
  <c r="A312" i="3"/>
  <c r="D312" i="3" s="1"/>
  <c r="D311" i="3"/>
  <c r="A311" i="3"/>
  <c r="A310" i="3"/>
  <c r="B310" i="3" s="1"/>
  <c r="D309" i="3"/>
  <c r="C309" i="3"/>
  <c r="A309" i="3"/>
  <c r="A308" i="3"/>
  <c r="L307" i="3"/>
  <c r="G307" i="3" s="1"/>
  <c r="D307" i="3"/>
  <c r="B307" i="3"/>
  <c r="A307" i="3"/>
  <c r="C307" i="3" s="1"/>
  <c r="A306" i="3"/>
  <c r="D305" i="3"/>
  <c r="C305" i="3"/>
  <c r="A305" i="3"/>
  <c r="A304" i="3"/>
  <c r="D304" i="3" s="1"/>
  <c r="D303" i="3"/>
  <c r="A303" i="3"/>
  <c r="I302" i="3"/>
  <c r="C302" i="3"/>
  <c r="A302" i="3"/>
  <c r="B302" i="3" s="1"/>
  <c r="D301" i="3"/>
  <c r="C301" i="3"/>
  <c r="B301" i="3"/>
  <c r="L301" i="3" s="1"/>
  <c r="A301" i="3"/>
  <c r="A300" i="3"/>
  <c r="D299" i="3"/>
  <c r="A299" i="3"/>
  <c r="C299" i="3" s="1"/>
  <c r="D298" i="3"/>
  <c r="A298" i="3"/>
  <c r="D297" i="3"/>
  <c r="C297" i="3"/>
  <c r="B297" i="3"/>
  <c r="A297" i="3"/>
  <c r="B296" i="3"/>
  <c r="A296" i="3"/>
  <c r="D296" i="3" s="1"/>
  <c r="A295" i="3"/>
  <c r="D294" i="3"/>
  <c r="C294" i="3"/>
  <c r="A294" i="3"/>
  <c r="J293" i="3"/>
  <c r="D293" i="3"/>
  <c r="C293" i="3"/>
  <c r="B293" i="3"/>
  <c r="A293" i="3"/>
  <c r="C292" i="3"/>
  <c r="A292" i="3"/>
  <c r="A291" i="3"/>
  <c r="C291" i="3" s="1"/>
  <c r="D290" i="3"/>
  <c r="A290" i="3"/>
  <c r="J289" i="3"/>
  <c r="D289" i="3"/>
  <c r="C289" i="3"/>
  <c r="B289" i="3"/>
  <c r="A289" i="3"/>
  <c r="K288" i="3"/>
  <c r="E288" i="3" s="1"/>
  <c r="C288" i="3"/>
  <c r="B288" i="3"/>
  <c r="A288" i="3"/>
  <c r="D288" i="3" s="1"/>
  <c r="A287" i="3"/>
  <c r="D286" i="3"/>
  <c r="A286" i="3"/>
  <c r="D285" i="3"/>
  <c r="C285" i="3"/>
  <c r="A285" i="3"/>
  <c r="C284" i="3"/>
  <c r="A284" i="3"/>
  <c r="B283" i="3"/>
  <c r="H283" i="3" s="1"/>
  <c r="A283" i="3"/>
  <c r="C283" i="3" s="1"/>
  <c r="A282" i="3"/>
  <c r="D281" i="3"/>
  <c r="C281" i="3"/>
  <c r="A281" i="3"/>
  <c r="C280" i="3"/>
  <c r="A280" i="3"/>
  <c r="D280" i="3" s="1"/>
  <c r="D279" i="3"/>
  <c r="A279" i="3"/>
  <c r="A278" i="3"/>
  <c r="B278" i="3" s="1"/>
  <c r="D277" i="3"/>
  <c r="C277" i="3"/>
  <c r="A277" i="3"/>
  <c r="A276" i="3"/>
  <c r="L275" i="3"/>
  <c r="G275" i="3" s="1"/>
  <c r="D275" i="3"/>
  <c r="B275" i="3"/>
  <c r="A275" i="3"/>
  <c r="C275" i="3" s="1"/>
  <c r="A274" i="3"/>
  <c r="D273" i="3"/>
  <c r="C273" i="3"/>
  <c r="A273" i="3"/>
  <c r="A272" i="3"/>
  <c r="D272" i="3" s="1"/>
  <c r="D271" i="3"/>
  <c r="A271" i="3"/>
  <c r="I270" i="3"/>
  <c r="C270" i="3"/>
  <c r="A270" i="3"/>
  <c r="B270" i="3" s="1"/>
  <c r="D269" i="3"/>
  <c r="C269" i="3"/>
  <c r="B269" i="3"/>
  <c r="L269" i="3" s="1"/>
  <c r="A269" i="3"/>
  <c r="A268" i="3"/>
  <c r="D267" i="3"/>
  <c r="A267" i="3"/>
  <c r="C267" i="3" s="1"/>
  <c r="D266" i="3"/>
  <c r="A266" i="3"/>
  <c r="D265" i="3"/>
  <c r="C265" i="3"/>
  <c r="B265" i="3"/>
  <c r="A265" i="3"/>
  <c r="B264" i="3"/>
  <c r="A264" i="3"/>
  <c r="D264" i="3" s="1"/>
  <c r="A263" i="3"/>
  <c r="D262" i="3"/>
  <c r="C262" i="3"/>
  <c r="A262" i="3"/>
  <c r="J261" i="3"/>
  <c r="D261" i="3"/>
  <c r="C261" i="3"/>
  <c r="B261" i="3"/>
  <c r="A261" i="3"/>
  <c r="C260" i="3"/>
  <c r="A260" i="3"/>
  <c r="A259" i="3"/>
  <c r="C259" i="3" s="1"/>
  <c r="D258" i="3"/>
  <c r="A258" i="3"/>
  <c r="D257" i="3"/>
  <c r="C257" i="3"/>
  <c r="B257" i="3"/>
  <c r="J257" i="3" s="1"/>
  <c r="A257" i="3"/>
  <c r="C256" i="3"/>
  <c r="B256" i="3"/>
  <c r="K256" i="3" s="1"/>
  <c r="E256" i="3" s="1"/>
  <c r="A256" i="3"/>
  <c r="D256" i="3" s="1"/>
  <c r="A255" i="3"/>
  <c r="D254" i="3"/>
  <c r="A254" i="3"/>
  <c r="D253" i="3"/>
  <c r="C253" i="3"/>
  <c r="A253" i="3"/>
  <c r="C252" i="3"/>
  <c r="A252" i="3"/>
  <c r="B251" i="3"/>
  <c r="H251" i="3" s="1"/>
  <c r="A251" i="3"/>
  <c r="C251" i="3" s="1"/>
  <c r="A250" i="3"/>
  <c r="D249" i="3"/>
  <c r="C249" i="3"/>
  <c r="A249" i="3"/>
  <c r="C248" i="3"/>
  <c r="A248" i="3"/>
  <c r="D248" i="3" s="1"/>
  <c r="D247" i="3"/>
  <c r="A247" i="3"/>
  <c r="A246" i="3"/>
  <c r="B246" i="3" s="1"/>
  <c r="D245" i="3"/>
  <c r="C245" i="3"/>
  <c r="A245" i="3"/>
  <c r="A244" i="3"/>
  <c r="D243" i="3"/>
  <c r="B243" i="3"/>
  <c r="L243" i="3" s="1"/>
  <c r="G243" i="3" s="1"/>
  <c r="A243" i="3"/>
  <c r="C243" i="3" s="1"/>
  <c r="A242" i="3"/>
  <c r="D241" i="3"/>
  <c r="C241" i="3"/>
  <c r="A241" i="3"/>
  <c r="A240" i="3"/>
  <c r="D240" i="3" s="1"/>
  <c r="D239" i="3"/>
  <c r="A239" i="3"/>
  <c r="C238" i="3"/>
  <c r="A238" i="3"/>
  <c r="B238" i="3" s="1"/>
  <c r="I238" i="3" s="1"/>
  <c r="D237" i="3"/>
  <c r="C237" i="3"/>
  <c r="B237" i="3"/>
  <c r="L237" i="3" s="1"/>
  <c r="A237" i="3"/>
  <c r="A236" i="3"/>
  <c r="D235" i="3"/>
  <c r="A235" i="3"/>
  <c r="C235" i="3" s="1"/>
  <c r="D234" i="3"/>
  <c r="A234" i="3"/>
  <c r="D233" i="3"/>
  <c r="C233" i="3"/>
  <c r="B233" i="3"/>
  <c r="A233" i="3"/>
  <c r="B232" i="3"/>
  <c r="A232" i="3"/>
  <c r="D232" i="3" s="1"/>
  <c r="A231" i="3"/>
  <c r="D230" i="3"/>
  <c r="C230" i="3"/>
  <c r="A230" i="3"/>
  <c r="D229" i="3"/>
  <c r="C229" i="3"/>
  <c r="B229" i="3"/>
  <c r="J229" i="3" s="1"/>
  <c r="A229" i="3"/>
  <c r="C228" i="3"/>
  <c r="A228" i="3"/>
  <c r="A227" i="3"/>
  <c r="C227" i="3" s="1"/>
  <c r="D226" i="3"/>
  <c r="A226" i="3"/>
  <c r="D225" i="3"/>
  <c r="C225" i="3"/>
  <c r="B225" i="3"/>
  <c r="J225" i="3" s="1"/>
  <c r="A225" i="3"/>
  <c r="C224" i="3"/>
  <c r="B224" i="3"/>
  <c r="K224" i="3" s="1"/>
  <c r="E224" i="3" s="1"/>
  <c r="A224" i="3"/>
  <c r="D224" i="3" s="1"/>
  <c r="A223" i="3"/>
  <c r="D222" i="3"/>
  <c r="A222" i="3"/>
  <c r="D221" i="3"/>
  <c r="C221" i="3"/>
  <c r="A221" i="3"/>
  <c r="C220" i="3"/>
  <c r="A220" i="3"/>
  <c r="B219" i="3"/>
  <c r="H219" i="3" s="1"/>
  <c r="A219" i="3"/>
  <c r="C219" i="3" s="1"/>
  <c r="A218" i="3"/>
  <c r="D217" i="3"/>
  <c r="C217" i="3"/>
  <c r="A217" i="3"/>
  <c r="C216" i="3"/>
  <c r="A216" i="3"/>
  <c r="D216" i="3" s="1"/>
  <c r="D215" i="3"/>
  <c r="A215" i="3"/>
  <c r="A214" i="3"/>
  <c r="B214" i="3" s="1"/>
  <c r="D213" i="3"/>
  <c r="C213" i="3"/>
  <c r="A213" i="3"/>
  <c r="A212" i="3"/>
  <c r="D211" i="3"/>
  <c r="B211" i="3"/>
  <c r="L211" i="3" s="1"/>
  <c r="G211" i="3" s="1"/>
  <c r="A211" i="3"/>
  <c r="C211" i="3" s="1"/>
  <c r="A210" i="3"/>
  <c r="D209" i="3"/>
  <c r="C209" i="3"/>
  <c r="A209" i="3"/>
  <c r="A208" i="3"/>
  <c r="D208" i="3" s="1"/>
  <c r="D207" i="3"/>
  <c r="A207" i="3"/>
  <c r="C206" i="3"/>
  <c r="A206" i="3"/>
  <c r="B206" i="3" s="1"/>
  <c r="I206" i="3" s="1"/>
  <c r="D205" i="3"/>
  <c r="C205" i="3"/>
  <c r="B205" i="3"/>
  <c r="L205" i="3" s="1"/>
  <c r="A205" i="3"/>
  <c r="A204" i="3"/>
  <c r="D203" i="3"/>
  <c r="A203" i="3"/>
  <c r="C203" i="3" s="1"/>
  <c r="D202" i="3"/>
  <c r="A202" i="3"/>
  <c r="D201" i="3"/>
  <c r="C201" i="3"/>
  <c r="B201" i="3"/>
  <c r="A201" i="3"/>
  <c r="B200" i="3"/>
  <c r="A200" i="3"/>
  <c r="D200" i="3" s="1"/>
  <c r="D199" i="3"/>
  <c r="A199" i="3"/>
  <c r="D198" i="3"/>
  <c r="C198" i="3"/>
  <c r="A198" i="3"/>
  <c r="B198" i="3" s="1"/>
  <c r="L198" i="3" s="1"/>
  <c r="F198" i="3" s="1"/>
  <c r="D197" i="3"/>
  <c r="C197" i="3"/>
  <c r="B197" i="3"/>
  <c r="J197" i="3" s="1"/>
  <c r="A197" i="3"/>
  <c r="C196" i="3"/>
  <c r="A196" i="3"/>
  <c r="A195" i="3"/>
  <c r="C195" i="3" s="1"/>
  <c r="D194" i="3"/>
  <c r="A194" i="3"/>
  <c r="D193" i="3"/>
  <c r="C193" i="3"/>
  <c r="B193" i="3"/>
  <c r="J193" i="3" s="1"/>
  <c r="A193" i="3"/>
  <c r="C192" i="3"/>
  <c r="B192" i="3"/>
  <c r="K192" i="3" s="1"/>
  <c r="E192" i="3" s="1"/>
  <c r="A192" i="3"/>
  <c r="D192" i="3" s="1"/>
  <c r="A191" i="3"/>
  <c r="C190" i="3"/>
  <c r="A190" i="3"/>
  <c r="D189" i="3"/>
  <c r="C189" i="3"/>
  <c r="A189" i="3"/>
  <c r="C188" i="3"/>
  <c r="B188" i="3"/>
  <c r="K188" i="3" s="1"/>
  <c r="E188" i="3" s="1"/>
  <c r="A188" i="3"/>
  <c r="D188" i="3" s="1"/>
  <c r="B187" i="3"/>
  <c r="K187" i="3" s="1"/>
  <c r="E187" i="3" s="1"/>
  <c r="A187" i="3"/>
  <c r="C187" i="3" s="1"/>
  <c r="D186" i="3"/>
  <c r="C186" i="3"/>
  <c r="A186" i="3"/>
  <c r="D185" i="3"/>
  <c r="C185" i="3"/>
  <c r="B185" i="3"/>
  <c r="I185" i="3" s="1"/>
  <c r="A185" i="3"/>
  <c r="B184" i="3"/>
  <c r="K184" i="3" s="1"/>
  <c r="E184" i="3" s="1"/>
  <c r="A184" i="3"/>
  <c r="D184" i="3" s="1"/>
  <c r="D183" i="3"/>
  <c r="A183" i="3"/>
  <c r="C183" i="3" s="1"/>
  <c r="C182" i="3"/>
  <c r="A182" i="3"/>
  <c r="B182" i="3" s="1"/>
  <c r="J182" i="3" s="1"/>
  <c r="D181" i="3"/>
  <c r="C181" i="3"/>
  <c r="A181" i="3"/>
  <c r="J180" i="3"/>
  <c r="C180" i="3"/>
  <c r="B180" i="3"/>
  <c r="K180" i="3" s="1"/>
  <c r="E180" i="3" s="1"/>
  <c r="A180" i="3"/>
  <c r="D180" i="3" s="1"/>
  <c r="B179" i="3"/>
  <c r="K179" i="3" s="1"/>
  <c r="E179" i="3" s="1"/>
  <c r="A179" i="3"/>
  <c r="C179" i="3" s="1"/>
  <c r="D178" i="3"/>
  <c r="A178" i="3"/>
  <c r="D177" i="3"/>
  <c r="C177" i="3"/>
  <c r="B177" i="3"/>
  <c r="I177" i="3" s="1"/>
  <c r="A177" i="3"/>
  <c r="B176" i="3"/>
  <c r="K176" i="3" s="1"/>
  <c r="E176" i="3" s="1"/>
  <c r="A176" i="3"/>
  <c r="D176" i="3" s="1"/>
  <c r="D175" i="3"/>
  <c r="A175" i="3"/>
  <c r="C175" i="3" s="1"/>
  <c r="C174" i="3"/>
  <c r="A174" i="3"/>
  <c r="B174" i="3" s="1"/>
  <c r="J174" i="3" s="1"/>
  <c r="D173" i="3"/>
  <c r="C173" i="3"/>
  <c r="A173" i="3"/>
  <c r="C172" i="3"/>
  <c r="A172" i="3"/>
  <c r="D172" i="3" s="1"/>
  <c r="B171" i="3"/>
  <c r="K171" i="3" s="1"/>
  <c r="E171" i="3" s="1"/>
  <c r="A171" i="3"/>
  <c r="C171" i="3" s="1"/>
  <c r="D170" i="3"/>
  <c r="A170" i="3"/>
  <c r="D169" i="3"/>
  <c r="C169" i="3"/>
  <c r="B169" i="3"/>
  <c r="I169" i="3" s="1"/>
  <c r="A169" i="3"/>
  <c r="B168" i="3"/>
  <c r="K168" i="3" s="1"/>
  <c r="E168" i="3" s="1"/>
  <c r="A168" i="3"/>
  <c r="D168" i="3" s="1"/>
  <c r="D167" i="3"/>
  <c r="A167" i="3"/>
  <c r="C167" i="3" s="1"/>
  <c r="C166" i="3"/>
  <c r="A166" i="3"/>
  <c r="B166" i="3" s="1"/>
  <c r="J166" i="3" s="1"/>
  <c r="D165" i="3"/>
  <c r="C165" i="3"/>
  <c r="A165" i="3"/>
  <c r="C164" i="3"/>
  <c r="A164" i="3"/>
  <c r="D164" i="3" s="1"/>
  <c r="B163" i="3"/>
  <c r="K163" i="3" s="1"/>
  <c r="E163" i="3" s="1"/>
  <c r="A163" i="3"/>
  <c r="C163" i="3" s="1"/>
  <c r="D162" i="3"/>
  <c r="A162" i="3"/>
  <c r="D161" i="3"/>
  <c r="C161" i="3"/>
  <c r="B161" i="3"/>
  <c r="I161" i="3" s="1"/>
  <c r="A161" i="3"/>
  <c r="B160" i="3"/>
  <c r="K160" i="3" s="1"/>
  <c r="E160" i="3" s="1"/>
  <c r="A160" i="3"/>
  <c r="D160" i="3" s="1"/>
  <c r="D159" i="3"/>
  <c r="A159" i="3"/>
  <c r="C159" i="3" s="1"/>
  <c r="C158" i="3"/>
  <c r="A158" i="3"/>
  <c r="B158" i="3" s="1"/>
  <c r="J158" i="3" s="1"/>
  <c r="D157" i="3"/>
  <c r="C157" i="3"/>
  <c r="A157" i="3"/>
  <c r="C156" i="3"/>
  <c r="A156" i="3"/>
  <c r="D156" i="3" s="1"/>
  <c r="B155" i="3"/>
  <c r="K155" i="3" s="1"/>
  <c r="E155" i="3" s="1"/>
  <c r="A155" i="3"/>
  <c r="C155" i="3" s="1"/>
  <c r="D154" i="3"/>
  <c r="A154" i="3"/>
  <c r="D153" i="3"/>
  <c r="C153" i="3"/>
  <c r="B153" i="3"/>
  <c r="I153" i="3" s="1"/>
  <c r="A153" i="3"/>
  <c r="B152" i="3"/>
  <c r="K152" i="3" s="1"/>
  <c r="E152" i="3" s="1"/>
  <c r="A152" i="3"/>
  <c r="D152" i="3" s="1"/>
  <c r="D151" i="3"/>
  <c r="A151" i="3"/>
  <c r="C151" i="3" s="1"/>
  <c r="C150" i="3"/>
  <c r="A150" i="3"/>
  <c r="B150" i="3" s="1"/>
  <c r="J150" i="3" s="1"/>
  <c r="D149" i="3"/>
  <c r="C149" i="3"/>
  <c r="A149" i="3"/>
  <c r="C148" i="3"/>
  <c r="A148" i="3"/>
  <c r="D148" i="3" s="1"/>
  <c r="B147" i="3"/>
  <c r="K147" i="3" s="1"/>
  <c r="E147" i="3" s="1"/>
  <c r="A147" i="3"/>
  <c r="C147" i="3" s="1"/>
  <c r="D146" i="3"/>
  <c r="A146" i="3"/>
  <c r="D145" i="3"/>
  <c r="C145" i="3"/>
  <c r="B145" i="3"/>
  <c r="I145" i="3" s="1"/>
  <c r="A145" i="3"/>
  <c r="B144" i="3"/>
  <c r="K144" i="3" s="1"/>
  <c r="E144" i="3" s="1"/>
  <c r="A144" i="3"/>
  <c r="D144" i="3" s="1"/>
  <c r="D143" i="3"/>
  <c r="A143" i="3"/>
  <c r="C143" i="3" s="1"/>
  <c r="C142" i="3"/>
  <c r="A142" i="3"/>
  <c r="B142" i="3" s="1"/>
  <c r="J142" i="3" s="1"/>
  <c r="D141" i="3"/>
  <c r="C141" i="3"/>
  <c r="A141" i="3"/>
  <c r="C140" i="3"/>
  <c r="A140" i="3"/>
  <c r="D140" i="3" s="1"/>
  <c r="B139" i="3"/>
  <c r="K139" i="3" s="1"/>
  <c r="E139" i="3" s="1"/>
  <c r="A139" i="3"/>
  <c r="C139" i="3" s="1"/>
  <c r="D138" i="3"/>
  <c r="A138" i="3"/>
  <c r="D137" i="3"/>
  <c r="C137" i="3"/>
  <c r="B137" i="3"/>
  <c r="I137" i="3" s="1"/>
  <c r="A137" i="3"/>
  <c r="B136" i="3"/>
  <c r="K136" i="3" s="1"/>
  <c r="E136" i="3" s="1"/>
  <c r="A136" i="3"/>
  <c r="D136" i="3" s="1"/>
  <c r="D135" i="3"/>
  <c r="A135" i="3"/>
  <c r="C135" i="3" s="1"/>
  <c r="C134" i="3"/>
  <c r="A134" i="3"/>
  <c r="B134" i="3" s="1"/>
  <c r="J134" i="3" s="1"/>
  <c r="D133" i="3"/>
  <c r="C133" i="3"/>
  <c r="A133" i="3"/>
  <c r="C132" i="3"/>
  <c r="A132" i="3"/>
  <c r="D132" i="3" s="1"/>
  <c r="B131" i="3"/>
  <c r="K131" i="3" s="1"/>
  <c r="E131" i="3" s="1"/>
  <c r="A131" i="3"/>
  <c r="C131" i="3" s="1"/>
  <c r="D130" i="3"/>
  <c r="A130" i="3"/>
  <c r="D129" i="3"/>
  <c r="C129" i="3"/>
  <c r="B129" i="3"/>
  <c r="I129" i="3" s="1"/>
  <c r="A129" i="3"/>
  <c r="B128" i="3"/>
  <c r="K128" i="3" s="1"/>
  <c r="E128" i="3" s="1"/>
  <c r="A128" i="3"/>
  <c r="D128" i="3" s="1"/>
  <c r="D127" i="3"/>
  <c r="A127" i="3"/>
  <c r="C127" i="3" s="1"/>
  <c r="C126" i="3"/>
  <c r="A126" i="3"/>
  <c r="B126" i="3" s="1"/>
  <c r="J126" i="3" s="1"/>
  <c r="D125" i="3"/>
  <c r="C125" i="3"/>
  <c r="A125" i="3"/>
  <c r="C124" i="3"/>
  <c r="A124" i="3"/>
  <c r="D124" i="3" s="1"/>
  <c r="B123" i="3"/>
  <c r="K123" i="3" s="1"/>
  <c r="E123" i="3" s="1"/>
  <c r="A123" i="3"/>
  <c r="C123" i="3" s="1"/>
  <c r="D122" i="3"/>
  <c r="A122" i="3"/>
  <c r="D121" i="3"/>
  <c r="C121" i="3"/>
  <c r="B121" i="3"/>
  <c r="I121" i="3" s="1"/>
  <c r="A121" i="3"/>
  <c r="B120" i="3"/>
  <c r="L120" i="3" s="1"/>
  <c r="A120" i="3"/>
  <c r="D120" i="3" s="1"/>
  <c r="A119" i="3"/>
  <c r="C119" i="3" s="1"/>
  <c r="D118" i="3"/>
  <c r="C118" i="3"/>
  <c r="A118" i="3"/>
  <c r="B118" i="3" s="1"/>
  <c r="D117" i="3"/>
  <c r="C117" i="3"/>
  <c r="B117" i="3"/>
  <c r="I117" i="3" s="1"/>
  <c r="A117" i="3"/>
  <c r="B116" i="3"/>
  <c r="L116" i="3" s="1"/>
  <c r="A116" i="3"/>
  <c r="D116" i="3" s="1"/>
  <c r="A115" i="3"/>
  <c r="C115" i="3" s="1"/>
  <c r="D114" i="3"/>
  <c r="C114" i="3"/>
  <c r="A114" i="3"/>
  <c r="B114" i="3" s="1"/>
  <c r="D113" i="3"/>
  <c r="C113" i="3"/>
  <c r="B113" i="3"/>
  <c r="I113" i="3" s="1"/>
  <c r="A113" i="3"/>
  <c r="B112" i="3"/>
  <c r="L112" i="3" s="1"/>
  <c r="A112" i="3"/>
  <c r="D112" i="3" s="1"/>
  <c r="A111" i="3"/>
  <c r="C111" i="3" s="1"/>
  <c r="D110" i="3"/>
  <c r="C110" i="3"/>
  <c r="A110" i="3"/>
  <c r="B110" i="3" s="1"/>
  <c r="D109" i="3"/>
  <c r="C109" i="3"/>
  <c r="B109" i="3"/>
  <c r="I109" i="3" s="1"/>
  <c r="A109" i="3"/>
  <c r="B108" i="3"/>
  <c r="L108" i="3" s="1"/>
  <c r="A108" i="3"/>
  <c r="D108" i="3" s="1"/>
  <c r="A107" i="3"/>
  <c r="C107" i="3" s="1"/>
  <c r="D106" i="3"/>
  <c r="C106" i="3"/>
  <c r="A106" i="3"/>
  <c r="B106" i="3" s="1"/>
  <c r="D105" i="3"/>
  <c r="C105" i="3"/>
  <c r="B105" i="3"/>
  <c r="I105" i="3" s="1"/>
  <c r="A105" i="3"/>
  <c r="B104" i="3"/>
  <c r="L104" i="3" s="1"/>
  <c r="A104" i="3"/>
  <c r="D104" i="3" s="1"/>
  <c r="A103" i="3"/>
  <c r="C103" i="3" s="1"/>
  <c r="D102" i="3"/>
  <c r="C102" i="3"/>
  <c r="A102" i="3"/>
  <c r="B102" i="3" s="1"/>
  <c r="D101" i="3"/>
  <c r="C101" i="3"/>
  <c r="B101" i="3"/>
  <c r="I101" i="3" s="1"/>
  <c r="A101" i="3"/>
  <c r="B100" i="3"/>
  <c r="L100" i="3" s="1"/>
  <c r="A100" i="3"/>
  <c r="D100" i="3" s="1"/>
  <c r="A99" i="3"/>
  <c r="C99" i="3" s="1"/>
  <c r="D98" i="3"/>
  <c r="C98" i="3"/>
  <c r="A98" i="3"/>
  <c r="B98" i="3" s="1"/>
  <c r="D97" i="3"/>
  <c r="C97" i="3"/>
  <c r="B97" i="3"/>
  <c r="I97" i="3" s="1"/>
  <c r="A97" i="3"/>
  <c r="B96" i="3"/>
  <c r="L96" i="3" s="1"/>
  <c r="A96" i="3"/>
  <c r="D96" i="3" s="1"/>
  <c r="A95" i="3"/>
  <c r="C95" i="3" s="1"/>
  <c r="D94" i="3"/>
  <c r="C94" i="3"/>
  <c r="A94" i="3"/>
  <c r="B94" i="3" s="1"/>
  <c r="D93" i="3"/>
  <c r="C93" i="3"/>
  <c r="B93" i="3"/>
  <c r="I93" i="3" s="1"/>
  <c r="A93" i="3"/>
  <c r="B92" i="3"/>
  <c r="L92" i="3" s="1"/>
  <c r="A92" i="3"/>
  <c r="D92" i="3" s="1"/>
  <c r="A91" i="3"/>
  <c r="C91" i="3" s="1"/>
  <c r="D90" i="3"/>
  <c r="C90" i="3"/>
  <c r="A90" i="3"/>
  <c r="B90" i="3" s="1"/>
  <c r="D89" i="3"/>
  <c r="C89" i="3"/>
  <c r="B89" i="3"/>
  <c r="I89" i="3" s="1"/>
  <c r="A89" i="3"/>
  <c r="B88" i="3"/>
  <c r="L88" i="3" s="1"/>
  <c r="A88" i="3"/>
  <c r="D88" i="3" s="1"/>
  <c r="A87" i="3"/>
  <c r="C87" i="3" s="1"/>
  <c r="D86" i="3"/>
  <c r="C86" i="3"/>
  <c r="A86" i="3"/>
  <c r="B86" i="3" s="1"/>
  <c r="D85" i="3"/>
  <c r="C85" i="3"/>
  <c r="B85" i="3"/>
  <c r="I85" i="3" s="1"/>
  <c r="A85" i="3"/>
  <c r="B84" i="3"/>
  <c r="L84" i="3" s="1"/>
  <c r="A84" i="3"/>
  <c r="D84" i="3" s="1"/>
  <c r="A83" i="3"/>
  <c r="C83" i="3" s="1"/>
  <c r="D82" i="3"/>
  <c r="C82" i="3"/>
  <c r="A82" i="3"/>
  <c r="B82" i="3" s="1"/>
  <c r="D81" i="3"/>
  <c r="C81" i="3"/>
  <c r="B81" i="3"/>
  <c r="I81" i="3" s="1"/>
  <c r="A81" i="3"/>
  <c r="B80" i="3"/>
  <c r="L80" i="3" s="1"/>
  <c r="A80" i="3"/>
  <c r="D80" i="3" s="1"/>
  <c r="A79" i="3"/>
  <c r="C79" i="3" s="1"/>
  <c r="D78" i="3"/>
  <c r="C78" i="3"/>
  <c r="A78" i="3"/>
  <c r="B78" i="3" s="1"/>
  <c r="D77" i="3"/>
  <c r="C77" i="3"/>
  <c r="B77" i="3"/>
  <c r="I77" i="3" s="1"/>
  <c r="A77" i="3"/>
  <c r="B76" i="3"/>
  <c r="L76" i="3" s="1"/>
  <c r="A76" i="3"/>
  <c r="D76" i="3" s="1"/>
  <c r="A75" i="3"/>
  <c r="C75" i="3" s="1"/>
  <c r="D74" i="3"/>
  <c r="C74" i="3"/>
  <c r="A74" i="3"/>
  <c r="B74" i="3" s="1"/>
  <c r="D73" i="3"/>
  <c r="C73" i="3"/>
  <c r="B73" i="3"/>
  <c r="I73" i="3" s="1"/>
  <c r="A73" i="3"/>
  <c r="B72" i="3"/>
  <c r="L72" i="3" s="1"/>
  <c r="A72" i="3"/>
  <c r="D72" i="3" s="1"/>
  <c r="A71" i="3"/>
  <c r="C71" i="3" s="1"/>
  <c r="D70" i="3"/>
  <c r="C70" i="3"/>
  <c r="A70" i="3"/>
  <c r="B70" i="3" s="1"/>
  <c r="D69" i="3"/>
  <c r="C69" i="3"/>
  <c r="B69" i="3"/>
  <c r="I69" i="3" s="1"/>
  <c r="A69" i="3"/>
  <c r="B68" i="3"/>
  <c r="L68" i="3" s="1"/>
  <c r="A68" i="3"/>
  <c r="D68" i="3" s="1"/>
  <c r="A67" i="3"/>
  <c r="C67" i="3" s="1"/>
  <c r="D66" i="3"/>
  <c r="C66" i="3"/>
  <c r="A66" i="3"/>
  <c r="B66" i="3" s="1"/>
  <c r="D65" i="3"/>
  <c r="C65" i="3"/>
  <c r="B65" i="3"/>
  <c r="I65" i="3" s="1"/>
  <c r="A65" i="3"/>
  <c r="B64" i="3"/>
  <c r="L64" i="3" s="1"/>
  <c r="A64" i="3"/>
  <c r="D64" i="3" s="1"/>
  <c r="A63" i="3"/>
  <c r="C63" i="3" s="1"/>
  <c r="D62" i="3"/>
  <c r="C62" i="3"/>
  <c r="A62" i="3"/>
  <c r="B62" i="3" s="1"/>
  <c r="D61" i="3"/>
  <c r="C61" i="3"/>
  <c r="B61" i="3"/>
  <c r="I61" i="3" s="1"/>
  <c r="A61" i="3"/>
  <c r="B60" i="3"/>
  <c r="L60" i="3" s="1"/>
  <c r="A60" i="3"/>
  <c r="D60" i="3" s="1"/>
  <c r="A59" i="3"/>
  <c r="C59" i="3" s="1"/>
  <c r="D58" i="3"/>
  <c r="C58" i="3"/>
  <c r="A58" i="3"/>
  <c r="B58" i="3" s="1"/>
  <c r="D57" i="3"/>
  <c r="C57" i="3"/>
  <c r="B57" i="3"/>
  <c r="I57" i="3" s="1"/>
  <c r="A57" i="3"/>
  <c r="B56" i="3"/>
  <c r="L56" i="3" s="1"/>
  <c r="A56" i="3"/>
  <c r="D56" i="3" s="1"/>
  <c r="A55" i="3"/>
  <c r="C55" i="3" s="1"/>
  <c r="D54" i="3"/>
  <c r="C54" i="3"/>
  <c r="A54" i="3"/>
  <c r="B54" i="3" s="1"/>
  <c r="D53" i="3"/>
  <c r="C53" i="3"/>
  <c r="B53" i="3"/>
  <c r="I53" i="3" s="1"/>
  <c r="A53" i="3"/>
  <c r="B52" i="3"/>
  <c r="L52" i="3" s="1"/>
  <c r="A52" i="3"/>
  <c r="D52" i="3" s="1"/>
  <c r="A51" i="3"/>
  <c r="C51" i="3" s="1"/>
  <c r="D50" i="3"/>
  <c r="C50" i="3"/>
  <c r="A50" i="3"/>
  <c r="B50" i="3" s="1"/>
  <c r="D49" i="3"/>
  <c r="C49" i="3"/>
  <c r="B49" i="3"/>
  <c r="I49" i="3" s="1"/>
  <c r="A49" i="3"/>
  <c r="B48" i="3"/>
  <c r="L48" i="3" s="1"/>
  <c r="A48" i="3"/>
  <c r="D48" i="3" s="1"/>
  <c r="A47" i="3"/>
  <c r="C47" i="3" s="1"/>
  <c r="D46" i="3"/>
  <c r="C46" i="3"/>
  <c r="A46" i="3"/>
  <c r="B46" i="3" s="1"/>
  <c r="D45" i="3"/>
  <c r="C45" i="3"/>
  <c r="B45" i="3"/>
  <c r="I45" i="3" s="1"/>
  <c r="A45" i="3"/>
  <c r="B44" i="3"/>
  <c r="L44" i="3" s="1"/>
  <c r="A44" i="3"/>
  <c r="D44" i="3" s="1"/>
  <c r="A43" i="3"/>
  <c r="C43" i="3" s="1"/>
  <c r="D42" i="3"/>
  <c r="C42" i="3"/>
  <c r="A42" i="3"/>
  <c r="B42" i="3" s="1"/>
  <c r="K41" i="3"/>
  <c r="E41" i="3" s="1"/>
  <c r="D41" i="3"/>
  <c r="C41" i="3"/>
  <c r="B41" i="3"/>
  <c r="I41" i="3" s="1"/>
  <c r="A41" i="3"/>
  <c r="B40" i="3"/>
  <c r="L40" i="3" s="1"/>
  <c r="A40" i="3"/>
  <c r="D40" i="3" s="1"/>
  <c r="A39" i="3"/>
  <c r="C39" i="3" s="1"/>
  <c r="D38" i="3"/>
  <c r="C38" i="3"/>
  <c r="A38" i="3"/>
  <c r="B38" i="3" s="1"/>
  <c r="D37" i="3"/>
  <c r="C37" i="3"/>
  <c r="B37" i="3"/>
  <c r="I37" i="3" s="1"/>
  <c r="A37" i="3"/>
  <c r="B36" i="3"/>
  <c r="L36" i="3" s="1"/>
  <c r="A36" i="3"/>
  <c r="D36" i="3" s="1"/>
  <c r="A35" i="3"/>
  <c r="C35" i="3" s="1"/>
  <c r="D34" i="3"/>
  <c r="C34" i="3"/>
  <c r="A34" i="3"/>
  <c r="B34" i="3" s="1"/>
  <c r="D33" i="3"/>
  <c r="C33" i="3"/>
  <c r="B33" i="3"/>
  <c r="I33" i="3" s="1"/>
  <c r="A33" i="3"/>
  <c r="B32" i="3"/>
  <c r="L32" i="3" s="1"/>
  <c r="A32" i="3"/>
  <c r="D32" i="3" s="1"/>
  <c r="A31" i="3"/>
  <c r="C31" i="3" s="1"/>
  <c r="D30" i="3"/>
  <c r="C30" i="3"/>
  <c r="A30" i="3"/>
  <c r="B30" i="3" s="1"/>
  <c r="D29" i="3"/>
  <c r="C29" i="3"/>
  <c r="B29" i="3"/>
  <c r="I29" i="3" s="1"/>
  <c r="A29" i="3"/>
  <c r="B28" i="3"/>
  <c r="L28" i="3" s="1"/>
  <c r="A28" i="3"/>
  <c r="D28" i="3" s="1"/>
  <c r="A27" i="3"/>
  <c r="C27" i="3" s="1"/>
  <c r="D26" i="3"/>
  <c r="C26" i="3"/>
  <c r="A26" i="3"/>
  <c r="B26" i="3" s="1"/>
  <c r="D25" i="3"/>
  <c r="C25" i="3"/>
  <c r="B25" i="3"/>
  <c r="I25" i="3" s="1"/>
  <c r="A25" i="3"/>
  <c r="B24" i="3"/>
  <c r="L24" i="3" s="1"/>
  <c r="A24" i="3"/>
  <c r="D24" i="3" s="1"/>
  <c r="A23" i="3"/>
  <c r="C23" i="3" s="1"/>
  <c r="D22" i="3"/>
  <c r="C22" i="3"/>
  <c r="A22" i="3"/>
  <c r="B22" i="3" s="1"/>
  <c r="C21" i="3"/>
  <c r="B21" i="3"/>
  <c r="I21" i="3" s="1"/>
  <c r="A21" i="3"/>
  <c r="D21" i="3" s="1"/>
  <c r="A20" i="3"/>
  <c r="D20" i="3" s="1"/>
  <c r="A19" i="3"/>
  <c r="C19" i="3" s="1"/>
  <c r="D18" i="3"/>
  <c r="C18" i="3"/>
  <c r="A18" i="3"/>
  <c r="D17" i="3"/>
  <c r="C17" i="3"/>
  <c r="A17" i="3"/>
  <c r="A16" i="3"/>
  <c r="D16" i="3" s="1"/>
  <c r="A15" i="3"/>
  <c r="C15" i="3" s="1"/>
  <c r="D14" i="3"/>
  <c r="C14" i="3"/>
  <c r="A14" i="3"/>
  <c r="K13" i="3"/>
  <c r="E13" i="3" s="1"/>
  <c r="D13" i="3"/>
  <c r="C13" i="3"/>
  <c r="B13" i="3"/>
  <c r="I13" i="3" s="1"/>
  <c r="A13" i="3"/>
  <c r="B12" i="3"/>
  <c r="L12" i="3" s="1"/>
  <c r="A12" i="3"/>
  <c r="D12" i="3" s="1"/>
  <c r="B11" i="3"/>
  <c r="L11" i="3" s="1"/>
  <c r="A11" i="3"/>
  <c r="D11" i="3" s="1"/>
  <c r="B10" i="3"/>
  <c r="L10" i="3" s="1"/>
  <c r="A10" i="3"/>
  <c r="D10" i="3" s="1"/>
  <c r="B9" i="3"/>
  <c r="L9" i="3" s="1"/>
  <c r="A9" i="3"/>
  <c r="D9" i="3" s="1"/>
  <c r="B8" i="3"/>
  <c r="L8" i="3" s="1"/>
  <c r="A8" i="3"/>
  <c r="D8" i="3" s="1"/>
  <c r="B7" i="3"/>
  <c r="L7" i="3" s="1"/>
  <c r="A7" i="3"/>
  <c r="D7" i="3" s="1"/>
  <c r="B6" i="3"/>
  <c r="L6" i="3" s="1"/>
  <c r="A6" i="3"/>
  <c r="D6" i="3" s="1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K105" i="3" l="1"/>
  <c r="E105" i="3" s="1"/>
  <c r="H158" i="3"/>
  <c r="Q158" i="3" s="1"/>
  <c r="K73" i="3"/>
  <c r="E73" i="3" s="1"/>
  <c r="H129" i="3"/>
  <c r="R129" i="3" s="1"/>
  <c r="H134" i="3"/>
  <c r="Q134" i="3" s="1"/>
  <c r="K53" i="3"/>
  <c r="E53" i="3" s="1"/>
  <c r="K117" i="3"/>
  <c r="E117" i="3" s="1"/>
  <c r="B20" i="3"/>
  <c r="K20" i="3" s="1"/>
  <c r="K21" i="3"/>
  <c r="K85" i="3"/>
  <c r="E85" i="3" s="1"/>
  <c r="H126" i="3"/>
  <c r="Q126" i="3" s="1"/>
  <c r="H161" i="3"/>
  <c r="R161" i="3" s="1"/>
  <c r="H166" i="3"/>
  <c r="Q166" i="3" s="1"/>
  <c r="I188" i="3"/>
  <c r="B16" i="3"/>
  <c r="B18" i="3"/>
  <c r="J18" i="3" s="1"/>
  <c r="K37" i="3"/>
  <c r="E37" i="3" s="1"/>
  <c r="K69" i="3"/>
  <c r="E69" i="3" s="1"/>
  <c r="K101" i="3"/>
  <c r="E101" i="3" s="1"/>
  <c r="J188" i="3"/>
  <c r="K25" i="3"/>
  <c r="E25" i="3" s="1"/>
  <c r="K57" i="3"/>
  <c r="E57" i="3" s="1"/>
  <c r="K89" i="3"/>
  <c r="E89" i="3" s="1"/>
  <c r="H121" i="3"/>
  <c r="R121" i="3" s="1"/>
  <c r="H153" i="3"/>
  <c r="R153" i="3" s="1"/>
  <c r="B14" i="3"/>
  <c r="I14" i="3" s="1"/>
  <c r="K33" i="3"/>
  <c r="E33" i="3" s="1"/>
  <c r="K49" i="3"/>
  <c r="E49" i="3" s="1"/>
  <c r="K65" i="3"/>
  <c r="E65" i="3" s="1"/>
  <c r="K81" i="3"/>
  <c r="E81" i="3" s="1"/>
  <c r="K97" i="3"/>
  <c r="E97" i="3" s="1"/>
  <c r="K113" i="3"/>
  <c r="E113" i="3" s="1"/>
  <c r="H137" i="3"/>
  <c r="R137" i="3" s="1"/>
  <c r="H142" i="3"/>
  <c r="Q142" i="3" s="1"/>
  <c r="H169" i="3"/>
  <c r="R169" i="3" s="1"/>
  <c r="H174" i="3"/>
  <c r="Q174" i="3" s="1"/>
  <c r="H182" i="3"/>
  <c r="Q182" i="3" s="1"/>
  <c r="I198" i="3"/>
  <c r="K29" i="3"/>
  <c r="E29" i="3" s="1"/>
  <c r="K45" i="3"/>
  <c r="E45" i="3" s="1"/>
  <c r="K61" i="3"/>
  <c r="E61" i="3" s="1"/>
  <c r="K77" i="3"/>
  <c r="E77" i="3" s="1"/>
  <c r="K93" i="3"/>
  <c r="E93" i="3" s="1"/>
  <c r="K109" i="3"/>
  <c r="E109" i="3" s="1"/>
  <c r="H145" i="3"/>
  <c r="R145" i="3" s="1"/>
  <c r="H150" i="3"/>
  <c r="Q150" i="3" s="1"/>
  <c r="H177" i="3"/>
  <c r="R177" i="3" s="1"/>
  <c r="I180" i="3"/>
  <c r="H185" i="3"/>
  <c r="R185" i="3" s="1"/>
  <c r="J14" i="3"/>
  <c r="G6" i="3"/>
  <c r="F6" i="3"/>
  <c r="G8" i="3"/>
  <c r="F8" i="3"/>
  <c r="G10" i="3"/>
  <c r="F10" i="3"/>
  <c r="G12" i="3"/>
  <c r="F12" i="3"/>
  <c r="J30" i="3"/>
  <c r="I30" i="3"/>
  <c r="L30" i="3"/>
  <c r="K30" i="3"/>
  <c r="E30" i="3" s="1"/>
  <c r="H30" i="3"/>
  <c r="G36" i="3"/>
  <c r="F36" i="3"/>
  <c r="J46" i="3"/>
  <c r="I46" i="3"/>
  <c r="H46" i="3"/>
  <c r="K46" i="3"/>
  <c r="E46" i="3" s="1"/>
  <c r="L46" i="3"/>
  <c r="G52" i="3"/>
  <c r="F52" i="3"/>
  <c r="J62" i="3"/>
  <c r="I62" i="3"/>
  <c r="L62" i="3"/>
  <c r="H62" i="3"/>
  <c r="K62" i="3"/>
  <c r="E62" i="3" s="1"/>
  <c r="G68" i="3"/>
  <c r="F68" i="3"/>
  <c r="J78" i="3"/>
  <c r="I78" i="3"/>
  <c r="H78" i="3"/>
  <c r="L78" i="3"/>
  <c r="K78" i="3"/>
  <c r="E78" i="3" s="1"/>
  <c r="G84" i="3"/>
  <c r="F84" i="3"/>
  <c r="J94" i="3"/>
  <c r="I94" i="3"/>
  <c r="L94" i="3"/>
  <c r="H94" i="3"/>
  <c r="K94" i="3"/>
  <c r="E94" i="3" s="1"/>
  <c r="G100" i="3"/>
  <c r="F100" i="3"/>
  <c r="J110" i="3"/>
  <c r="I110" i="3"/>
  <c r="L110" i="3"/>
  <c r="H110" i="3"/>
  <c r="K110" i="3"/>
  <c r="E110" i="3" s="1"/>
  <c r="G116" i="3"/>
  <c r="F116" i="3"/>
  <c r="S251" i="3"/>
  <c r="O251" i="3"/>
  <c r="P251" i="3"/>
  <c r="M251" i="3"/>
  <c r="R251" i="3"/>
  <c r="Q251" i="3"/>
  <c r="N251" i="3"/>
  <c r="G269" i="3"/>
  <c r="F269" i="3"/>
  <c r="S379" i="3"/>
  <c r="O379" i="3"/>
  <c r="P379" i="3"/>
  <c r="M379" i="3"/>
  <c r="R379" i="3"/>
  <c r="Q379" i="3"/>
  <c r="N379" i="3"/>
  <c r="G397" i="3"/>
  <c r="F397" i="3"/>
  <c r="J26" i="3"/>
  <c r="I26" i="3"/>
  <c r="K26" i="3"/>
  <c r="E26" i="3" s="1"/>
  <c r="L26" i="3"/>
  <c r="H26" i="3"/>
  <c r="G32" i="3"/>
  <c r="F32" i="3"/>
  <c r="J42" i="3"/>
  <c r="I42" i="3"/>
  <c r="L42" i="3"/>
  <c r="H42" i="3"/>
  <c r="K42" i="3"/>
  <c r="E42" i="3" s="1"/>
  <c r="G48" i="3"/>
  <c r="F48" i="3"/>
  <c r="J58" i="3"/>
  <c r="I58" i="3"/>
  <c r="K58" i="3"/>
  <c r="E58" i="3" s="1"/>
  <c r="L58" i="3"/>
  <c r="H58" i="3"/>
  <c r="G64" i="3"/>
  <c r="F64" i="3"/>
  <c r="J74" i="3"/>
  <c r="I74" i="3"/>
  <c r="L74" i="3"/>
  <c r="H74" i="3"/>
  <c r="K74" i="3"/>
  <c r="E74" i="3" s="1"/>
  <c r="G80" i="3"/>
  <c r="F80" i="3"/>
  <c r="J90" i="3"/>
  <c r="I90" i="3"/>
  <c r="H90" i="3"/>
  <c r="L90" i="3"/>
  <c r="K90" i="3"/>
  <c r="E90" i="3" s="1"/>
  <c r="G96" i="3"/>
  <c r="F96" i="3"/>
  <c r="J106" i="3"/>
  <c r="I106" i="3"/>
  <c r="L106" i="3"/>
  <c r="H106" i="3"/>
  <c r="K106" i="3"/>
  <c r="E106" i="3" s="1"/>
  <c r="G112" i="3"/>
  <c r="F112" i="3"/>
  <c r="S219" i="3"/>
  <c r="O219" i="3"/>
  <c r="P219" i="3"/>
  <c r="M219" i="3"/>
  <c r="R219" i="3"/>
  <c r="Q219" i="3"/>
  <c r="N219" i="3"/>
  <c r="G237" i="3"/>
  <c r="F237" i="3"/>
  <c r="S347" i="3"/>
  <c r="O347" i="3"/>
  <c r="P347" i="3"/>
  <c r="M347" i="3"/>
  <c r="R347" i="3"/>
  <c r="Q347" i="3"/>
  <c r="N347" i="3"/>
  <c r="G365" i="3"/>
  <c r="F365" i="3"/>
  <c r="G205" i="3"/>
  <c r="F205" i="3"/>
  <c r="S315" i="3"/>
  <c r="O315" i="3"/>
  <c r="P315" i="3"/>
  <c r="M315" i="3"/>
  <c r="R315" i="3"/>
  <c r="Q315" i="3"/>
  <c r="N315" i="3"/>
  <c r="G333" i="3"/>
  <c r="F333" i="3"/>
  <c r="G7" i="3"/>
  <c r="F7" i="3"/>
  <c r="G9" i="3"/>
  <c r="F9" i="3"/>
  <c r="G11" i="3"/>
  <c r="F11" i="3"/>
  <c r="J22" i="3"/>
  <c r="I22" i="3"/>
  <c r="K22" i="3"/>
  <c r="E22" i="3" s="1"/>
  <c r="L22" i="3"/>
  <c r="H22" i="3"/>
  <c r="G28" i="3"/>
  <c r="F28" i="3"/>
  <c r="J38" i="3"/>
  <c r="I38" i="3"/>
  <c r="L38" i="3"/>
  <c r="H38" i="3"/>
  <c r="K38" i="3"/>
  <c r="E38" i="3" s="1"/>
  <c r="G44" i="3"/>
  <c r="F44" i="3"/>
  <c r="J54" i="3"/>
  <c r="I54" i="3"/>
  <c r="K54" i="3"/>
  <c r="E54" i="3" s="1"/>
  <c r="L54" i="3"/>
  <c r="H54" i="3"/>
  <c r="G60" i="3"/>
  <c r="F60" i="3"/>
  <c r="J70" i="3"/>
  <c r="I70" i="3"/>
  <c r="H70" i="3"/>
  <c r="L70" i="3"/>
  <c r="K70" i="3"/>
  <c r="E70" i="3" s="1"/>
  <c r="G76" i="3"/>
  <c r="F76" i="3"/>
  <c r="J86" i="3"/>
  <c r="I86" i="3"/>
  <c r="H86" i="3"/>
  <c r="L86" i="3"/>
  <c r="K86" i="3"/>
  <c r="E86" i="3" s="1"/>
  <c r="G92" i="3"/>
  <c r="F92" i="3"/>
  <c r="J102" i="3"/>
  <c r="I102" i="3"/>
  <c r="H102" i="3"/>
  <c r="L102" i="3"/>
  <c r="K102" i="3"/>
  <c r="E102" i="3" s="1"/>
  <c r="G108" i="3"/>
  <c r="F108" i="3"/>
  <c r="J118" i="3"/>
  <c r="I118" i="3"/>
  <c r="L118" i="3"/>
  <c r="H118" i="3"/>
  <c r="K118" i="3"/>
  <c r="E118" i="3" s="1"/>
  <c r="K18" i="3"/>
  <c r="G24" i="3"/>
  <c r="F24" i="3"/>
  <c r="J34" i="3"/>
  <c r="I34" i="3"/>
  <c r="K34" i="3"/>
  <c r="E34" i="3" s="1"/>
  <c r="L34" i="3"/>
  <c r="H34" i="3"/>
  <c r="G40" i="3"/>
  <c r="F40" i="3"/>
  <c r="J50" i="3"/>
  <c r="I50" i="3"/>
  <c r="L50" i="3"/>
  <c r="H50" i="3"/>
  <c r="K50" i="3"/>
  <c r="E50" i="3" s="1"/>
  <c r="G56" i="3"/>
  <c r="F56" i="3"/>
  <c r="J66" i="3"/>
  <c r="I66" i="3"/>
  <c r="L66" i="3"/>
  <c r="H66" i="3"/>
  <c r="K66" i="3"/>
  <c r="E66" i="3" s="1"/>
  <c r="G72" i="3"/>
  <c r="F72" i="3"/>
  <c r="J82" i="3"/>
  <c r="I82" i="3"/>
  <c r="L82" i="3"/>
  <c r="H82" i="3"/>
  <c r="K82" i="3"/>
  <c r="E82" i="3" s="1"/>
  <c r="G88" i="3"/>
  <c r="F88" i="3"/>
  <c r="J98" i="3"/>
  <c r="I98" i="3"/>
  <c r="L98" i="3"/>
  <c r="H98" i="3"/>
  <c r="K98" i="3"/>
  <c r="E98" i="3" s="1"/>
  <c r="G104" i="3"/>
  <c r="F104" i="3"/>
  <c r="J114" i="3"/>
  <c r="I114" i="3"/>
  <c r="L114" i="3"/>
  <c r="H114" i="3"/>
  <c r="K114" i="3"/>
  <c r="E114" i="3" s="1"/>
  <c r="G120" i="3"/>
  <c r="F120" i="3"/>
  <c r="S283" i="3"/>
  <c r="O283" i="3"/>
  <c r="P283" i="3"/>
  <c r="M283" i="3"/>
  <c r="R283" i="3"/>
  <c r="Q283" i="3"/>
  <c r="N283" i="3"/>
  <c r="G301" i="3"/>
  <c r="F301" i="3"/>
  <c r="S411" i="3"/>
  <c r="O411" i="3"/>
  <c r="P411" i="3"/>
  <c r="M411" i="3"/>
  <c r="R411" i="3"/>
  <c r="Q411" i="3"/>
  <c r="N411" i="3"/>
  <c r="J7" i="3"/>
  <c r="J9" i="3"/>
  <c r="J11" i="3"/>
  <c r="J12" i="3"/>
  <c r="J28" i="3"/>
  <c r="J36" i="3"/>
  <c r="J48" i="3"/>
  <c r="J60" i="3"/>
  <c r="I6" i="3"/>
  <c r="I7" i="3"/>
  <c r="I8" i="3"/>
  <c r="I9" i="3"/>
  <c r="I10" i="3"/>
  <c r="I11" i="3"/>
  <c r="I12" i="3"/>
  <c r="J13" i="3"/>
  <c r="D15" i="3"/>
  <c r="B17" i="3"/>
  <c r="D19" i="3"/>
  <c r="J21" i="3"/>
  <c r="D23" i="3"/>
  <c r="I24" i="3"/>
  <c r="J25" i="3"/>
  <c r="D27" i="3"/>
  <c r="I28" i="3"/>
  <c r="J29" i="3"/>
  <c r="D31" i="3"/>
  <c r="I32" i="3"/>
  <c r="J33" i="3"/>
  <c r="D35" i="3"/>
  <c r="I36" i="3"/>
  <c r="J37" i="3"/>
  <c r="D39" i="3"/>
  <c r="I40" i="3"/>
  <c r="J41" i="3"/>
  <c r="D43" i="3"/>
  <c r="I44" i="3"/>
  <c r="J45" i="3"/>
  <c r="D47" i="3"/>
  <c r="I48" i="3"/>
  <c r="J49" i="3"/>
  <c r="D51" i="3"/>
  <c r="I52" i="3"/>
  <c r="J53" i="3"/>
  <c r="D55" i="3"/>
  <c r="I56" i="3"/>
  <c r="J57" i="3"/>
  <c r="D59" i="3"/>
  <c r="I60" i="3"/>
  <c r="J61" i="3"/>
  <c r="D63" i="3"/>
  <c r="I64" i="3"/>
  <c r="J65" i="3"/>
  <c r="D67" i="3"/>
  <c r="I68" i="3"/>
  <c r="J69" i="3"/>
  <c r="D71" i="3"/>
  <c r="I72" i="3"/>
  <c r="J73" i="3"/>
  <c r="D75" i="3"/>
  <c r="I76" i="3"/>
  <c r="J77" i="3"/>
  <c r="D79" i="3"/>
  <c r="I80" i="3"/>
  <c r="J81" i="3"/>
  <c r="D83" i="3"/>
  <c r="I84" i="3"/>
  <c r="J85" i="3"/>
  <c r="D87" i="3"/>
  <c r="I88" i="3"/>
  <c r="J89" i="3"/>
  <c r="D91" i="3"/>
  <c r="I92" i="3"/>
  <c r="J93" i="3"/>
  <c r="D95" i="3"/>
  <c r="I96" i="3"/>
  <c r="J97" i="3"/>
  <c r="D99" i="3"/>
  <c r="I100" i="3"/>
  <c r="J101" i="3"/>
  <c r="D103" i="3"/>
  <c r="I104" i="3"/>
  <c r="J105" i="3"/>
  <c r="D107" i="3"/>
  <c r="I108" i="3"/>
  <c r="J109" i="3"/>
  <c r="D111" i="3"/>
  <c r="I112" i="3"/>
  <c r="J113" i="3"/>
  <c r="D115" i="3"/>
  <c r="I116" i="3"/>
  <c r="J117" i="3"/>
  <c r="D119" i="3"/>
  <c r="I120" i="3"/>
  <c r="L121" i="3"/>
  <c r="L123" i="3"/>
  <c r="L126" i="3"/>
  <c r="L129" i="3"/>
  <c r="L131" i="3"/>
  <c r="L134" i="3"/>
  <c r="L137" i="3"/>
  <c r="L139" i="3"/>
  <c r="L142" i="3"/>
  <c r="L145" i="3"/>
  <c r="L147" i="3"/>
  <c r="L150" i="3"/>
  <c r="L153" i="3"/>
  <c r="L155" i="3"/>
  <c r="L158" i="3"/>
  <c r="L161" i="3"/>
  <c r="L163" i="3"/>
  <c r="L166" i="3"/>
  <c r="L169" i="3"/>
  <c r="L171" i="3"/>
  <c r="L174" i="3"/>
  <c r="L177" i="3"/>
  <c r="L179" i="3"/>
  <c r="L182" i="3"/>
  <c r="L185" i="3"/>
  <c r="L187" i="3"/>
  <c r="B190" i="3"/>
  <c r="L192" i="3"/>
  <c r="H192" i="3"/>
  <c r="J192" i="3"/>
  <c r="I192" i="3"/>
  <c r="I193" i="3"/>
  <c r="K193" i="3"/>
  <c r="E193" i="3" s="1"/>
  <c r="H193" i="3"/>
  <c r="D196" i="3"/>
  <c r="B196" i="3"/>
  <c r="I197" i="3"/>
  <c r="H197" i="3"/>
  <c r="B202" i="3"/>
  <c r="C202" i="3"/>
  <c r="J206" i="3"/>
  <c r="K206" i="3"/>
  <c r="E206" i="3" s="1"/>
  <c r="H206" i="3"/>
  <c r="K211" i="3"/>
  <c r="E211" i="3" s="1"/>
  <c r="J211" i="3"/>
  <c r="I211" i="3"/>
  <c r="C215" i="3"/>
  <c r="B215" i="3"/>
  <c r="L224" i="3"/>
  <c r="H224" i="3"/>
  <c r="J224" i="3"/>
  <c r="I224" i="3"/>
  <c r="I225" i="3"/>
  <c r="K225" i="3"/>
  <c r="E225" i="3" s="1"/>
  <c r="H225" i="3"/>
  <c r="D228" i="3"/>
  <c r="B228" i="3"/>
  <c r="I229" i="3"/>
  <c r="H229" i="3"/>
  <c r="B234" i="3"/>
  <c r="C234" i="3"/>
  <c r="J238" i="3"/>
  <c r="K238" i="3"/>
  <c r="E238" i="3" s="1"/>
  <c r="H238" i="3"/>
  <c r="K243" i="3"/>
  <c r="E243" i="3" s="1"/>
  <c r="J243" i="3"/>
  <c r="I243" i="3"/>
  <c r="C247" i="3"/>
  <c r="B247" i="3"/>
  <c r="L256" i="3"/>
  <c r="H256" i="3"/>
  <c r="J256" i="3"/>
  <c r="I256" i="3"/>
  <c r="I257" i="3"/>
  <c r="K257" i="3"/>
  <c r="E257" i="3" s="1"/>
  <c r="H257" i="3"/>
  <c r="D260" i="3"/>
  <c r="B260" i="3"/>
  <c r="I261" i="3"/>
  <c r="H261" i="3"/>
  <c r="B266" i="3"/>
  <c r="C266" i="3"/>
  <c r="J270" i="3"/>
  <c r="K270" i="3"/>
  <c r="E270" i="3" s="1"/>
  <c r="H270" i="3"/>
  <c r="K275" i="3"/>
  <c r="E275" i="3" s="1"/>
  <c r="J275" i="3"/>
  <c r="I275" i="3"/>
  <c r="C279" i="3"/>
  <c r="B279" i="3"/>
  <c r="L288" i="3"/>
  <c r="H288" i="3"/>
  <c r="J288" i="3"/>
  <c r="I288" i="3"/>
  <c r="I289" i="3"/>
  <c r="K289" i="3"/>
  <c r="E289" i="3" s="1"/>
  <c r="H289" i="3"/>
  <c r="D292" i="3"/>
  <c r="B292" i="3"/>
  <c r="I293" i="3"/>
  <c r="H293" i="3"/>
  <c r="B298" i="3"/>
  <c r="C298" i="3"/>
  <c r="J302" i="3"/>
  <c r="K302" i="3"/>
  <c r="E302" i="3" s="1"/>
  <c r="H302" i="3"/>
  <c r="K307" i="3"/>
  <c r="E307" i="3" s="1"/>
  <c r="J307" i="3"/>
  <c r="I307" i="3"/>
  <c r="C311" i="3"/>
  <c r="B311" i="3"/>
  <c r="L320" i="3"/>
  <c r="H320" i="3"/>
  <c r="J320" i="3"/>
  <c r="I320" i="3"/>
  <c r="I321" i="3"/>
  <c r="K321" i="3"/>
  <c r="E321" i="3" s="1"/>
  <c r="H321" i="3"/>
  <c r="D324" i="3"/>
  <c r="B324" i="3"/>
  <c r="I325" i="3"/>
  <c r="H325" i="3"/>
  <c r="B330" i="3"/>
  <c r="C330" i="3"/>
  <c r="J334" i="3"/>
  <c r="K334" i="3"/>
  <c r="E334" i="3" s="1"/>
  <c r="H334" i="3"/>
  <c r="K339" i="3"/>
  <c r="E339" i="3" s="1"/>
  <c r="J339" i="3"/>
  <c r="I339" i="3"/>
  <c r="C343" i="3"/>
  <c r="B343" i="3"/>
  <c r="L352" i="3"/>
  <c r="H352" i="3"/>
  <c r="J352" i="3"/>
  <c r="I352" i="3"/>
  <c r="I353" i="3"/>
  <c r="K353" i="3"/>
  <c r="E353" i="3" s="1"/>
  <c r="H353" i="3"/>
  <c r="D356" i="3"/>
  <c r="B356" i="3"/>
  <c r="I357" i="3"/>
  <c r="H357" i="3"/>
  <c r="B362" i="3"/>
  <c r="C362" i="3"/>
  <c r="J366" i="3"/>
  <c r="K366" i="3"/>
  <c r="E366" i="3" s="1"/>
  <c r="H366" i="3"/>
  <c r="K371" i="3"/>
  <c r="E371" i="3" s="1"/>
  <c r="J371" i="3"/>
  <c r="I371" i="3"/>
  <c r="C375" i="3"/>
  <c r="B375" i="3"/>
  <c r="L384" i="3"/>
  <c r="H384" i="3"/>
  <c r="J384" i="3"/>
  <c r="I384" i="3"/>
  <c r="I385" i="3"/>
  <c r="K385" i="3"/>
  <c r="E385" i="3" s="1"/>
  <c r="H385" i="3"/>
  <c r="D388" i="3"/>
  <c r="B388" i="3"/>
  <c r="I389" i="3"/>
  <c r="H389" i="3"/>
  <c r="B394" i="3"/>
  <c r="C394" i="3"/>
  <c r="J398" i="3"/>
  <c r="K398" i="3"/>
  <c r="E398" i="3" s="1"/>
  <c r="H398" i="3"/>
  <c r="K403" i="3"/>
  <c r="E403" i="3" s="1"/>
  <c r="J403" i="3"/>
  <c r="I403" i="3"/>
  <c r="C407" i="3"/>
  <c r="B407" i="3"/>
  <c r="L416" i="3"/>
  <c r="H416" i="3"/>
  <c r="K416" i="3"/>
  <c r="E416" i="3" s="1"/>
  <c r="J416" i="3"/>
  <c r="B418" i="3"/>
  <c r="D418" i="3"/>
  <c r="B417" i="3"/>
  <c r="C418" i="3"/>
  <c r="K419" i="3"/>
  <c r="E419" i="3" s="1"/>
  <c r="L419" i="3"/>
  <c r="J419" i="3"/>
  <c r="C423" i="3"/>
  <c r="D423" i="3"/>
  <c r="B423" i="3"/>
  <c r="L424" i="3"/>
  <c r="H424" i="3"/>
  <c r="K424" i="3"/>
  <c r="E424" i="3" s="1"/>
  <c r="J424" i="3"/>
  <c r="B426" i="3"/>
  <c r="D426" i="3"/>
  <c r="B425" i="3"/>
  <c r="C426" i="3"/>
  <c r="K427" i="3"/>
  <c r="E427" i="3" s="1"/>
  <c r="L427" i="3"/>
  <c r="J427" i="3"/>
  <c r="C431" i="3"/>
  <c r="D431" i="3"/>
  <c r="B431" i="3"/>
  <c r="L432" i="3"/>
  <c r="H432" i="3"/>
  <c r="K432" i="3"/>
  <c r="E432" i="3" s="1"/>
  <c r="J432" i="3"/>
  <c r="I437" i="3"/>
  <c r="K437" i="3"/>
  <c r="E437" i="3" s="1"/>
  <c r="J437" i="3"/>
  <c r="H437" i="3"/>
  <c r="L437" i="3"/>
  <c r="B458" i="3"/>
  <c r="D458" i="3"/>
  <c r="B457" i="3"/>
  <c r="C458" i="3"/>
  <c r="D460" i="3"/>
  <c r="B459" i="3"/>
  <c r="C460" i="3"/>
  <c r="B460" i="3"/>
  <c r="C463" i="3"/>
  <c r="D463" i="3"/>
  <c r="B463" i="3"/>
  <c r="I469" i="3"/>
  <c r="K469" i="3"/>
  <c r="E469" i="3" s="1"/>
  <c r="J469" i="3"/>
  <c r="H469" i="3"/>
  <c r="L469" i="3"/>
  <c r="Q535" i="3"/>
  <c r="M535" i="3"/>
  <c r="S535" i="3"/>
  <c r="O535" i="3"/>
  <c r="R535" i="3"/>
  <c r="P535" i="3"/>
  <c r="N535" i="3"/>
  <c r="G537" i="3"/>
  <c r="F537" i="3"/>
  <c r="I547" i="3"/>
  <c r="K547" i="3"/>
  <c r="E547" i="3" s="1"/>
  <c r="L547" i="3"/>
  <c r="J547" i="3"/>
  <c r="H547" i="3"/>
  <c r="K549" i="3"/>
  <c r="E549" i="3" s="1"/>
  <c r="I549" i="3"/>
  <c r="L549" i="3"/>
  <c r="J549" i="3"/>
  <c r="H549" i="3"/>
  <c r="G557" i="3"/>
  <c r="F557" i="3"/>
  <c r="F572" i="3"/>
  <c r="G572" i="3"/>
  <c r="J16" i="3"/>
  <c r="J24" i="3"/>
  <c r="J32" i="3"/>
  <c r="J44" i="3"/>
  <c r="J64" i="3"/>
  <c r="J68" i="3"/>
  <c r="J72" i="3"/>
  <c r="J76" i="3"/>
  <c r="J80" i="3"/>
  <c r="J88" i="3"/>
  <c r="J96" i="3"/>
  <c r="J100" i="3"/>
  <c r="N121" i="3"/>
  <c r="H123" i="3"/>
  <c r="M129" i="3"/>
  <c r="R134" i="3"/>
  <c r="N134" i="3"/>
  <c r="M134" i="3"/>
  <c r="S134" i="3"/>
  <c r="L136" i="3"/>
  <c r="H136" i="3"/>
  <c r="R142" i="3"/>
  <c r="N142" i="3"/>
  <c r="M142" i="3"/>
  <c r="S142" i="3"/>
  <c r="L144" i="3"/>
  <c r="H144" i="3"/>
  <c r="R150" i="3"/>
  <c r="N150" i="3"/>
  <c r="M150" i="3"/>
  <c r="S150" i="3"/>
  <c r="L152" i="3"/>
  <c r="H152" i="3"/>
  <c r="Q153" i="3"/>
  <c r="M153" i="3"/>
  <c r="S153" i="3"/>
  <c r="R158" i="3"/>
  <c r="N158" i="3"/>
  <c r="M158" i="3"/>
  <c r="S158" i="3"/>
  <c r="L160" i="3"/>
  <c r="H160" i="3"/>
  <c r="R166" i="3"/>
  <c r="N166" i="3"/>
  <c r="M166" i="3"/>
  <c r="S166" i="3"/>
  <c r="L168" i="3"/>
  <c r="H168" i="3"/>
  <c r="R174" i="3"/>
  <c r="L176" i="3"/>
  <c r="H176" i="3"/>
  <c r="R182" i="3"/>
  <c r="N182" i="3"/>
  <c r="M182" i="3"/>
  <c r="S182" i="3"/>
  <c r="L184" i="3"/>
  <c r="H184" i="3"/>
  <c r="D204" i="3"/>
  <c r="B204" i="3"/>
  <c r="I205" i="3"/>
  <c r="H205" i="3"/>
  <c r="L232" i="3"/>
  <c r="H232" i="3"/>
  <c r="J232" i="3"/>
  <c r="I232" i="3"/>
  <c r="I233" i="3"/>
  <c r="K233" i="3"/>
  <c r="E233" i="3" s="1"/>
  <c r="H233" i="3"/>
  <c r="D236" i="3"/>
  <c r="B236" i="3"/>
  <c r="I237" i="3"/>
  <c r="H237" i="3"/>
  <c r="J246" i="3"/>
  <c r="K246" i="3"/>
  <c r="E246" i="3" s="1"/>
  <c r="H246" i="3"/>
  <c r="K251" i="3"/>
  <c r="E251" i="3" s="1"/>
  <c r="J251" i="3"/>
  <c r="I251" i="3"/>
  <c r="L264" i="3"/>
  <c r="H264" i="3"/>
  <c r="J264" i="3"/>
  <c r="I264" i="3"/>
  <c r="I265" i="3"/>
  <c r="K265" i="3"/>
  <c r="E265" i="3" s="1"/>
  <c r="H265" i="3"/>
  <c r="J278" i="3"/>
  <c r="K278" i="3"/>
  <c r="E278" i="3" s="1"/>
  <c r="H278" i="3"/>
  <c r="K283" i="3"/>
  <c r="E283" i="3" s="1"/>
  <c r="J283" i="3"/>
  <c r="I283" i="3"/>
  <c r="L296" i="3"/>
  <c r="H296" i="3"/>
  <c r="J296" i="3"/>
  <c r="I296" i="3"/>
  <c r="I297" i="3"/>
  <c r="K297" i="3"/>
  <c r="E297" i="3" s="1"/>
  <c r="H297" i="3"/>
  <c r="J310" i="3"/>
  <c r="K310" i="3"/>
  <c r="E310" i="3" s="1"/>
  <c r="H310" i="3"/>
  <c r="K315" i="3"/>
  <c r="E315" i="3" s="1"/>
  <c r="J315" i="3"/>
  <c r="I315" i="3"/>
  <c r="L328" i="3"/>
  <c r="H328" i="3"/>
  <c r="J328" i="3"/>
  <c r="I328" i="3"/>
  <c r="I329" i="3"/>
  <c r="K329" i="3"/>
  <c r="E329" i="3" s="1"/>
  <c r="H329" i="3"/>
  <c r="J342" i="3"/>
  <c r="K342" i="3"/>
  <c r="E342" i="3" s="1"/>
  <c r="H342" i="3"/>
  <c r="K347" i="3"/>
  <c r="E347" i="3" s="1"/>
  <c r="J347" i="3"/>
  <c r="I347" i="3"/>
  <c r="L360" i="3"/>
  <c r="H360" i="3"/>
  <c r="J360" i="3"/>
  <c r="I360" i="3"/>
  <c r="I361" i="3"/>
  <c r="K361" i="3"/>
  <c r="E361" i="3" s="1"/>
  <c r="H361" i="3"/>
  <c r="K379" i="3"/>
  <c r="E379" i="3" s="1"/>
  <c r="J379" i="3"/>
  <c r="I379" i="3"/>
  <c r="C383" i="3"/>
  <c r="B383" i="3"/>
  <c r="L392" i="3"/>
  <c r="H392" i="3"/>
  <c r="J392" i="3"/>
  <c r="I392" i="3"/>
  <c r="I393" i="3"/>
  <c r="K393" i="3"/>
  <c r="E393" i="3" s="1"/>
  <c r="H393" i="3"/>
  <c r="D396" i="3"/>
  <c r="B396" i="3"/>
  <c r="I397" i="3"/>
  <c r="H397" i="3"/>
  <c r="B402" i="3"/>
  <c r="C402" i="3"/>
  <c r="J406" i="3"/>
  <c r="K406" i="3"/>
  <c r="E406" i="3" s="1"/>
  <c r="H406" i="3"/>
  <c r="K411" i="3"/>
  <c r="E411" i="3" s="1"/>
  <c r="J411" i="3"/>
  <c r="I411" i="3"/>
  <c r="C415" i="3"/>
  <c r="B415" i="3"/>
  <c r="B450" i="3"/>
  <c r="D450" i="3"/>
  <c r="B449" i="3"/>
  <c r="C450" i="3"/>
  <c r="D452" i="3"/>
  <c r="B451" i="3"/>
  <c r="C452" i="3"/>
  <c r="B452" i="3"/>
  <c r="C455" i="3"/>
  <c r="D455" i="3"/>
  <c r="B455" i="3"/>
  <c r="I461" i="3"/>
  <c r="K461" i="3"/>
  <c r="E461" i="3" s="1"/>
  <c r="J461" i="3"/>
  <c r="H461" i="3"/>
  <c r="L461" i="3"/>
  <c r="G539" i="3"/>
  <c r="F539" i="3"/>
  <c r="K545" i="3"/>
  <c r="E545" i="3" s="1"/>
  <c r="I545" i="3"/>
  <c r="L545" i="3"/>
  <c r="J545" i="3"/>
  <c r="H545" i="3"/>
  <c r="J6" i="3"/>
  <c r="J8" i="3"/>
  <c r="J10" i="3"/>
  <c r="J40" i="3"/>
  <c r="J52" i="3"/>
  <c r="J56" i="3"/>
  <c r="J84" i="3"/>
  <c r="J92" i="3"/>
  <c r="J104" i="3"/>
  <c r="J108" i="3"/>
  <c r="J112" i="3"/>
  <c r="J116" i="3"/>
  <c r="J120" i="3"/>
  <c r="R126" i="3"/>
  <c r="N126" i="3"/>
  <c r="M126" i="3"/>
  <c r="S126" i="3"/>
  <c r="L128" i="3"/>
  <c r="H128" i="3"/>
  <c r="H131" i="3"/>
  <c r="Q137" i="3"/>
  <c r="M137" i="3"/>
  <c r="N137" i="3"/>
  <c r="S137" i="3"/>
  <c r="H139" i="3"/>
  <c r="Q145" i="3"/>
  <c r="M145" i="3"/>
  <c r="N145" i="3"/>
  <c r="S145" i="3"/>
  <c r="H147" i="3"/>
  <c r="N153" i="3"/>
  <c r="H155" i="3"/>
  <c r="S161" i="3"/>
  <c r="H163" i="3"/>
  <c r="Q169" i="3"/>
  <c r="M169" i="3"/>
  <c r="N169" i="3"/>
  <c r="S169" i="3"/>
  <c r="H171" i="3"/>
  <c r="Q177" i="3"/>
  <c r="M177" i="3"/>
  <c r="N177" i="3"/>
  <c r="S177" i="3"/>
  <c r="H179" i="3"/>
  <c r="Q185" i="3"/>
  <c r="M185" i="3"/>
  <c r="N185" i="3"/>
  <c r="S185" i="3"/>
  <c r="H187" i="3"/>
  <c r="C191" i="3"/>
  <c r="B191" i="3"/>
  <c r="L200" i="3"/>
  <c r="H200" i="3"/>
  <c r="J200" i="3"/>
  <c r="I200" i="3"/>
  <c r="I201" i="3"/>
  <c r="K201" i="3"/>
  <c r="E201" i="3" s="1"/>
  <c r="H201" i="3"/>
  <c r="B210" i="3"/>
  <c r="C210" i="3"/>
  <c r="J214" i="3"/>
  <c r="K214" i="3"/>
  <c r="E214" i="3" s="1"/>
  <c r="H214" i="3"/>
  <c r="K219" i="3"/>
  <c r="E219" i="3" s="1"/>
  <c r="J219" i="3"/>
  <c r="I219" i="3"/>
  <c r="C223" i="3"/>
  <c r="B223" i="3"/>
  <c r="B242" i="3"/>
  <c r="C242" i="3"/>
  <c r="C255" i="3"/>
  <c r="B255" i="3"/>
  <c r="D268" i="3"/>
  <c r="B268" i="3"/>
  <c r="I269" i="3"/>
  <c r="H269" i="3"/>
  <c r="B274" i="3"/>
  <c r="C274" i="3"/>
  <c r="C287" i="3"/>
  <c r="B287" i="3"/>
  <c r="D300" i="3"/>
  <c r="B300" i="3"/>
  <c r="I301" i="3"/>
  <c r="H301" i="3"/>
  <c r="B306" i="3"/>
  <c r="C306" i="3"/>
  <c r="C319" i="3"/>
  <c r="B319" i="3"/>
  <c r="D332" i="3"/>
  <c r="B332" i="3"/>
  <c r="I333" i="3"/>
  <c r="H333" i="3"/>
  <c r="B338" i="3"/>
  <c r="C338" i="3"/>
  <c r="C351" i="3"/>
  <c r="B351" i="3"/>
  <c r="D364" i="3"/>
  <c r="B364" i="3"/>
  <c r="I365" i="3"/>
  <c r="H365" i="3"/>
  <c r="B370" i="3"/>
  <c r="C370" i="3"/>
  <c r="J374" i="3"/>
  <c r="K374" i="3"/>
  <c r="E374" i="3" s="1"/>
  <c r="H374" i="3"/>
  <c r="C6" i="3"/>
  <c r="K6" i="3"/>
  <c r="E6" i="3" s="1"/>
  <c r="C7" i="3"/>
  <c r="K7" i="3"/>
  <c r="E7" i="3" s="1"/>
  <c r="C8" i="3"/>
  <c r="K8" i="3"/>
  <c r="E8" i="3" s="1"/>
  <c r="C9" i="3"/>
  <c r="K9" i="3"/>
  <c r="E9" i="3" s="1"/>
  <c r="C10" i="3"/>
  <c r="K10" i="3"/>
  <c r="E10" i="3" s="1"/>
  <c r="C11" i="3"/>
  <c r="K11" i="3"/>
  <c r="E11" i="3" s="1"/>
  <c r="C12" i="3"/>
  <c r="K12" i="3"/>
  <c r="E12" i="3" s="1"/>
  <c r="B19" i="3"/>
  <c r="C20" i="3"/>
  <c r="I20" i="3" s="1"/>
  <c r="H25" i="3"/>
  <c r="L25" i="3"/>
  <c r="H29" i="3"/>
  <c r="L29" i="3"/>
  <c r="B31" i="3"/>
  <c r="C32" i="3"/>
  <c r="K32" i="3"/>
  <c r="E32" i="3" s="1"/>
  <c r="H33" i="3"/>
  <c r="L33" i="3"/>
  <c r="B35" i="3"/>
  <c r="C36" i="3"/>
  <c r="K36" i="3"/>
  <c r="E36" i="3" s="1"/>
  <c r="H37" i="3"/>
  <c r="L37" i="3"/>
  <c r="B39" i="3"/>
  <c r="C40" i="3"/>
  <c r="K40" i="3"/>
  <c r="E40" i="3" s="1"/>
  <c r="H41" i="3"/>
  <c r="L41" i="3"/>
  <c r="B43" i="3"/>
  <c r="C44" i="3"/>
  <c r="K44" i="3"/>
  <c r="E44" i="3" s="1"/>
  <c r="H45" i="3"/>
  <c r="L45" i="3"/>
  <c r="B47" i="3"/>
  <c r="C48" i="3"/>
  <c r="K48" i="3"/>
  <c r="E48" i="3" s="1"/>
  <c r="H49" i="3"/>
  <c r="L49" i="3"/>
  <c r="B51" i="3"/>
  <c r="C52" i="3"/>
  <c r="K52" i="3"/>
  <c r="E52" i="3" s="1"/>
  <c r="H53" i="3"/>
  <c r="L53" i="3"/>
  <c r="B55" i="3"/>
  <c r="C56" i="3"/>
  <c r="K56" i="3"/>
  <c r="E56" i="3" s="1"/>
  <c r="H57" i="3"/>
  <c r="L57" i="3"/>
  <c r="B59" i="3"/>
  <c r="C60" i="3"/>
  <c r="K60" i="3"/>
  <c r="E60" i="3" s="1"/>
  <c r="H61" i="3"/>
  <c r="L61" i="3"/>
  <c r="B63" i="3"/>
  <c r="C64" i="3"/>
  <c r="K64" i="3"/>
  <c r="E64" i="3" s="1"/>
  <c r="H65" i="3"/>
  <c r="L65" i="3"/>
  <c r="B67" i="3"/>
  <c r="C68" i="3"/>
  <c r="K68" i="3"/>
  <c r="E68" i="3" s="1"/>
  <c r="H69" i="3"/>
  <c r="L69" i="3"/>
  <c r="B71" i="3"/>
  <c r="C72" i="3"/>
  <c r="K72" i="3"/>
  <c r="E72" i="3" s="1"/>
  <c r="H73" i="3"/>
  <c r="L73" i="3"/>
  <c r="B75" i="3"/>
  <c r="C76" i="3"/>
  <c r="K76" i="3"/>
  <c r="E76" i="3" s="1"/>
  <c r="H77" i="3"/>
  <c r="L77" i="3"/>
  <c r="B79" i="3"/>
  <c r="C80" i="3"/>
  <c r="K80" i="3"/>
  <c r="E80" i="3" s="1"/>
  <c r="H85" i="3"/>
  <c r="L85" i="3"/>
  <c r="B87" i="3"/>
  <c r="C88" i="3"/>
  <c r="K88" i="3"/>
  <c r="E88" i="3" s="1"/>
  <c r="H93" i="3"/>
  <c r="L93" i="3"/>
  <c r="B95" i="3"/>
  <c r="C96" i="3"/>
  <c r="K96" i="3"/>
  <c r="E96" i="3" s="1"/>
  <c r="H101" i="3"/>
  <c r="L101" i="3"/>
  <c r="B103" i="3"/>
  <c r="C104" i="3"/>
  <c r="K104" i="3"/>
  <c r="E104" i="3" s="1"/>
  <c r="H109" i="3"/>
  <c r="L109" i="3"/>
  <c r="B111" i="3"/>
  <c r="C112" i="3"/>
  <c r="K112" i="3"/>
  <c r="E112" i="3" s="1"/>
  <c r="H117" i="3"/>
  <c r="L117" i="3"/>
  <c r="B119" i="3"/>
  <c r="C120" i="3"/>
  <c r="K120" i="3"/>
  <c r="E120" i="3" s="1"/>
  <c r="B125" i="3"/>
  <c r="D126" i="3"/>
  <c r="I126" i="3"/>
  <c r="O126" i="3"/>
  <c r="J129" i="3"/>
  <c r="B130" i="3"/>
  <c r="D131" i="3"/>
  <c r="I131" i="3"/>
  <c r="C136" i="3"/>
  <c r="I136" i="3"/>
  <c r="J137" i="3"/>
  <c r="O137" i="3"/>
  <c r="B138" i="3"/>
  <c r="D139" i="3"/>
  <c r="I139" i="3"/>
  <c r="B141" i="3"/>
  <c r="D142" i="3"/>
  <c r="I142" i="3"/>
  <c r="O142" i="3"/>
  <c r="C144" i="3"/>
  <c r="I144" i="3"/>
  <c r="J145" i="3"/>
  <c r="O145" i="3"/>
  <c r="B146" i="3"/>
  <c r="D147" i="3"/>
  <c r="I147" i="3"/>
  <c r="B149" i="3"/>
  <c r="D150" i="3"/>
  <c r="I150" i="3"/>
  <c r="O150" i="3"/>
  <c r="C152" i="3"/>
  <c r="I152" i="3"/>
  <c r="J153" i="3"/>
  <c r="O153" i="3"/>
  <c r="B154" i="3"/>
  <c r="D155" i="3"/>
  <c r="I155" i="3"/>
  <c r="B157" i="3"/>
  <c r="D158" i="3"/>
  <c r="I158" i="3"/>
  <c r="O158" i="3"/>
  <c r="C160" i="3"/>
  <c r="I160" i="3"/>
  <c r="J161" i="3"/>
  <c r="B162" i="3"/>
  <c r="D163" i="3"/>
  <c r="I163" i="3"/>
  <c r="B165" i="3"/>
  <c r="D166" i="3"/>
  <c r="I166" i="3"/>
  <c r="O166" i="3"/>
  <c r="C168" i="3"/>
  <c r="I168" i="3"/>
  <c r="J169" i="3"/>
  <c r="O169" i="3"/>
  <c r="B170" i="3"/>
  <c r="D171" i="3"/>
  <c r="I171" i="3"/>
  <c r="B173" i="3"/>
  <c r="D174" i="3"/>
  <c r="I174" i="3"/>
  <c r="C176" i="3"/>
  <c r="I176" i="3"/>
  <c r="J177" i="3"/>
  <c r="O177" i="3"/>
  <c r="B178" i="3"/>
  <c r="D179" i="3"/>
  <c r="I179" i="3"/>
  <c r="B181" i="3"/>
  <c r="D182" i="3"/>
  <c r="I182" i="3"/>
  <c r="O182" i="3"/>
  <c r="C184" i="3"/>
  <c r="I184" i="3"/>
  <c r="J185" i="3"/>
  <c r="O185" i="3"/>
  <c r="B186" i="3"/>
  <c r="D187" i="3"/>
  <c r="I187" i="3"/>
  <c r="B189" i="3"/>
  <c r="D190" i="3"/>
  <c r="D191" i="3"/>
  <c r="L193" i="3"/>
  <c r="B195" i="3"/>
  <c r="K197" i="3"/>
  <c r="E197" i="3" s="1"/>
  <c r="G198" i="3"/>
  <c r="C199" i="3"/>
  <c r="B199" i="3"/>
  <c r="C200" i="3"/>
  <c r="K200" i="3"/>
  <c r="E200" i="3" s="1"/>
  <c r="J201" i="3"/>
  <c r="C204" i="3"/>
  <c r="J205" i="3"/>
  <c r="D206" i="3"/>
  <c r="L206" i="3"/>
  <c r="B208" i="3"/>
  <c r="B209" i="3"/>
  <c r="D210" i="3"/>
  <c r="F211" i="3"/>
  <c r="D212" i="3"/>
  <c r="B212" i="3"/>
  <c r="B213" i="3"/>
  <c r="C214" i="3"/>
  <c r="I214" i="3"/>
  <c r="B218" i="3"/>
  <c r="C218" i="3"/>
  <c r="D219" i="3"/>
  <c r="L219" i="3"/>
  <c r="B222" i="3"/>
  <c r="D223" i="3"/>
  <c r="L225" i="3"/>
  <c r="B227" i="3"/>
  <c r="K229" i="3"/>
  <c r="E229" i="3" s="1"/>
  <c r="C231" i="3"/>
  <c r="B231" i="3"/>
  <c r="C232" i="3"/>
  <c r="K232" i="3"/>
  <c r="E232" i="3" s="1"/>
  <c r="J233" i="3"/>
  <c r="C236" i="3"/>
  <c r="J237" i="3"/>
  <c r="D238" i="3"/>
  <c r="L238" i="3"/>
  <c r="B240" i="3"/>
  <c r="B241" i="3"/>
  <c r="D242" i="3"/>
  <c r="F243" i="3"/>
  <c r="D244" i="3"/>
  <c r="B244" i="3"/>
  <c r="B245" i="3"/>
  <c r="C246" i="3"/>
  <c r="I246" i="3"/>
  <c r="B250" i="3"/>
  <c r="C250" i="3"/>
  <c r="D251" i="3"/>
  <c r="L251" i="3"/>
  <c r="B254" i="3"/>
  <c r="D255" i="3"/>
  <c r="L257" i="3"/>
  <c r="B259" i="3"/>
  <c r="K261" i="3"/>
  <c r="E261" i="3" s="1"/>
  <c r="C263" i="3"/>
  <c r="B263" i="3"/>
  <c r="C264" i="3"/>
  <c r="K264" i="3"/>
  <c r="E264" i="3" s="1"/>
  <c r="J265" i="3"/>
  <c r="C268" i="3"/>
  <c r="J269" i="3"/>
  <c r="D270" i="3"/>
  <c r="L270" i="3"/>
  <c r="B272" i="3"/>
  <c r="B273" i="3"/>
  <c r="D274" i="3"/>
  <c r="F275" i="3"/>
  <c r="D276" i="3"/>
  <c r="B276" i="3"/>
  <c r="B277" i="3"/>
  <c r="C278" i="3"/>
  <c r="I278" i="3"/>
  <c r="B282" i="3"/>
  <c r="C282" i="3"/>
  <c r="D283" i="3"/>
  <c r="L283" i="3"/>
  <c r="B286" i="3"/>
  <c r="D287" i="3"/>
  <c r="L289" i="3"/>
  <c r="B291" i="3"/>
  <c r="K293" i="3"/>
  <c r="E293" i="3" s="1"/>
  <c r="C295" i="3"/>
  <c r="B295" i="3"/>
  <c r="C296" i="3"/>
  <c r="K296" i="3"/>
  <c r="E296" i="3" s="1"/>
  <c r="J297" i="3"/>
  <c r="C300" i="3"/>
  <c r="J301" i="3"/>
  <c r="D302" i="3"/>
  <c r="L302" i="3"/>
  <c r="B304" i="3"/>
  <c r="B305" i="3"/>
  <c r="D306" i="3"/>
  <c r="F307" i="3"/>
  <c r="D308" i="3"/>
  <c r="B308" i="3"/>
  <c r="B309" i="3"/>
  <c r="C310" i="3"/>
  <c r="I310" i="3"/>
  <c r="B314" i="3"/>
  <c r="C314" i="3"/>
  <c r="D315" i="3"/>
  <c r="L315" i="3"/>
  <c r="B318" i="3"/>
  <c r="D319" i="3"/>
  <c r="L321" i="3"/>
  <c r="B323" i="3"/>
  <c r="K325" i="3"/>
  <c r="E325" i="3" s="1"/>
  <c r="C327" i="3"/>
  <c r="B327" i="3"/>
  <c r="C328" i="3"/>
  <c r="K328" i="3"/>
  <c r="E328" i="3" s="1"/>
  <c r="J329" i="3"/>
  <c r="C332" i="3"/>
  <c r="J333" i="3"/>
  <c r="D334" i="3"/>
  <c r="L334" i="3"/>
  <c r="B336" i="3"/>
  <c r="B337" i="3"/>
  <c r="D338" i="3"/>
  <c r="F339" i="3"/>
  <c r="D340" i="3"/>
  <c r="B340" i="3"/>
  <c r="B341" i="3"/>
  <c r="C342" i="3"/>
  <c r="I342" i="3"/>
  <c r="B346" i="3"/>
  <c r="C346" i="3"/>
  <c r="D347" i="3"/>
  <c r="L347" i="3"/>
  <c r="B350" i="3"/>
  <c r="D351" i="3"/>
  <c r="L353" i="3"/>
  <c r="B355" i="3"/>
  <c r="K357" i="3"/>
  <c r="E357" i="3" s="1"/>
  <c r="C359" i="3"/>
  <c r="B359" i="3"/>
  <c r="C360" i="3"/>
  <c r="K360" i="3"/>
  <c r="E360" i="3" s="1"/>
  <c r="J361" i="3"/>
  <c r="C364" i="3"/>
  <c r="J365" i="3"/>
  <c r="D366" i="3"/>
  <c r="L366" i="3"/>
  <c r="B368" i="3"/>
  <c r="B369" i="3"/>
  <c r="D370" i="3"/>
  <c r="F371" i="3"/>
  <c r="D372" i="3"/>
  <c r="B372" i="3"/>
  <c r="B373" i="3"/>
  <c r="C374" i="3"/>
  <c r="I374" i="3"/>
  <c r="B378" i="3"/>
  <c r="C378" i="3"/>
  <c r="D379" i="3"/>
  <c r="L379" i="3"/>
  <c r="B382" i="3"/>
  <c r="D383" i="3"/>
  <c r="L385" i="3"/>
  <c r="B387" i="3"/>
  <c r="K389" i="3"/>
  <c r="E389" i="3" s="1"/>
  <c r="C391" i="3"/>
  <c r="B391" i="3"/>
  <c r="C392" i="3"/>
  <c r="K392" i="3"/>
  <c r="E392" i="3" s="1"/>
  <c r="J393" i="3"/>
  <c r="C396" i="3"/>
  <c r="J397" i="3"/>
  <c r="D398" i="3"/>
  <c r="L398" i="3"/>
  <c r="B400" i="3"/>
  <c r="B401" i="3"/>
  <c r="D402" i="3"/>
  <c r="F403" i="3"/>
  <c r="D404" i="3"/>
  <c r="B404" i="3"/>
  <c r="B405" i="3"/>
  <c r="C406" i="3"/>
  <c r="I406" i="3"/>
  <c r="B410" i="3"/>
  <c r="C410" i="3"/>
  <c r="L411" i="3"/>
  <c r="B414" i="3"/>
  <c r="D415" i="3"/>
  <c r="S419" i="3"/>
  <c r="O419" i="3"/>
  <c r="Q419" i="3"/>
  <c r="P419" i="3"/>
  <c r="R419" i="3"/>
  <c r="F421" i="3"/>
  <c r="H427" i="3"/>
  <c r="F429" i="3"/>
  <c r="B442" i="3"/>
  <c r="D442" i="3"/>
  <c r="B441" i="3"/>
  <c r="C442" i="3"/>
  <c r="D444" i="3"/>
  <c r="B443" i="3"/>
  <c r="C444" i="3"/>
  <c r="B444" i="3"/>
  <c r="C447" i="3"/>
  <c r="D447" i="3"/>
  <c r="B447" i="3"/>
  <c r="I453" i="3"/>
  <c r="K453" i="3"/>
  <c r="E453" i="3" s="1"/>
  <c r="J453" i="3"/>
  <c r="H453" i="3"/>
  <c r="L453" i="3"/>
  <c r="B474" i="3"/>
  <c r="D474" i="3"/>
  <c r="B473" i="3"/>
  <c r="C474" i="3"/>
  <c r="I531" i="3"/>
  <c r="K531" i="3"/>
  <c r="E531" i="3" s="1"/>
  <c r="L531" i="3"/>
  <c r="J531" i="3"/>
  <c r="H531" i="3"/>
  <c r="K533" i="3"/>
  <c r="E533" i="3" s="1"/>
  <c r="I533" i="3"/>
  <c r="L533" i="3"/>
  <c r="J533" i="3"/>
  <c r="H533" i="3"/>
  <c r="G541" i="3"/>
  <c r="F541" i="3"/>
  <c r="Q551" i="3"/>
  <c r="M551" i="3"/>
  <c r="S551" i="3"/>
  <c r="O551" i="3"/>
  <c r="R551" i="3"/>
  <c r="P551" i="3"/>
  <c r="N551" i="3"/>
  <c r="G553" i="3"/>
  <c r="F553" i="3"/>
  <c r="H13" i="3"/>
  <c r="L13" i="3"/>
  <c r="B15" i="3"/>
  <c r="C16" i="3"/>
  <c r="I16" i="3" s="1"/>
  <c r="H21" i="3"/>
  <c r="L21" i="3"/>
  <c r="B23" i="3"/>
  <c r="C24" i="3"/>
  <c r="K24" i="3"/>
  <c r="E24" i="3" s="1"/>
  <c r="B27" i="3"/>
  <c r="C28" i="3"/>
  <c r="K28" i="3"/>
  <c r="E28" i="3" s="1"/>
  <c r="H81" i="3"/>
  <c r="L81" i="3"/>
  <c r="B83" i="3"/>
  <c r="C84" i="3"/>
  <c r="K84" i="3"/>
  <c r="E84" i="3" s="1"/>
  <c r="H89" i="3"/>
  <c r="L89" i="3"/>
  <c r="B91" i="3"/>
  <c r="C92" i="3"/>
  <c r="K92" i="3"/>
  <c r="E92" i="3" s="1"/>
  <c r="H97" i="3"/>
  <c r="L97" i="3"/>
  <c r="B99" i="3"/>
  <c r="C100" i="3"/>
  <c r="K100" i="3"/>
  <c r="E100" i="3" s="1"/>
  <c r="H105" i="3"/>
  <c r="L105" i="3"/>
  <c r="B107" i="3"/>
  <c r="C108" i="3"/>
  <c r="K108" i="3"/>
  <c r="E108" i="3" s="1"/>
  <c r="H113" i="3"/>
  <c r="L113" i="3"/>
  <c r="B115" i="3"/>
  <c r="C116" i="3"/>
  <c r="K116" i="3"/>
  <c r="E116" i="3" s="1"/>
  <c r="J121" i="3"/>
  <c r="B122" i="3"/>
  <c r="D123" i="3"/>
  <c r="I123" i="3"/>
  <c r="C128" i="3"/>
  <c r="I128" i="3"/>
  <c r="B133" i="3"/>
  <c r="D134" i="3"/>
  <c r="I134" i="3"/>
  <c r="O134" i="3"/>
  <c r="H6" i="3"/>
  <c r="H7" i="3"/>
  <c r="H8" i="3"/>
  <c r="H9" i="3"/>
  <c r="H10" i="3"/>
  <c r="H11" i="3"/>
  <c r="H12" i="3"/>
  <c r="H16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K121" i="3"/>
  <c r="E121" i="3" s="1"/>
  <c r="P121" i="3"/>
  <c r="C122" i="3"/>
  <c r="J123" i="3"/>
  <c r="B124" i="3"/>
  <c r="K126" i="3"/>
  <c r="E126" i="3" s="1"/>
  <c r="P126" i="3"/>
  <c r="B127" i="3"/>
  <c r="J128" i="3"/>
  <c r="K129" i="3"/>
  <c r="E129" i="3" s="1"/>
  <c r="C130" i="3"/>
  <c r="J131" i="3"/>
  <c r="B132" i="3"/>
  <c r="K134" i="3"/>
  <c r="E134" i="3" s="1"/>
  <c r="P134" i="3"/>
  <c r="B135" i="3"/>
  <c r="J136" i="3"/>
  <c r="K137" i="3"/>
  <c r="E137" i="3" s="1"/>
  <c r="P137" i="3"/>
  <c r="C138" i="3"/>
  <c r="J139" i="3"/>
  <c r="B140" i="3"/>
  <c r="K142" i="3"/>
  <c r="E142" i="3" s="1"/>
  <c r="P142" i="3"/>
  <c r="B143" i="3"/>
  <c r="J144" i="3"/>
  <c r="K145" i="3"/>
  <c r="E145" i="3" s="1"/>
  <c r="P145" i="3"/>
  <c r="C146" i="3"/>
  <c r="J147" i="3"/>
  <c r="B148" i="3"/>
  <c r="K150" i="3"/>
  <c r="E150" i="3" s="1"/>
  <c r="P150" i="3"/>
  <c r="B151" i="3"/>
  <c r="J152" i="3"/>
  <c r="K153" i="3"/>
  <c r="E153" i="3" s="1"/>
  <c r="P153" i="3"/>
  <c r="C154" i="3"/>
  <c r="J155" i="3"/>
  <c r="B156" i="3"/>
  <c r="K158" i="3"/>
  <c r="E158" i="3" s="1"/>
  <c r="P158" i="3"/>
  <c r="B159" i="3"/>
  <c r="J160" i="3"/>
  <c r="K161" i="3"/>
  <c r="E161" i="3" s="1"/>
  <c r="C162" i="3"/>
  <c r="J163" i="3"/>
  <c r="B164" i="3"/>
  <c r="K166" i="3"/>
  <c r="E166" i="3" s="1"/>
  <c r="P166" i="3"/>
  <c r="B167" i="3"/>
  <c r="J168" i="3"/>
  <c r="K169" i="3"/>
  <c r="E169" i="3" s="1"/>
  <c r="P169" i="3"/>
  <c r="C170" i="3"/>
  <c r="J171" i="3"/>
  <c r="B172" i="3"/>
  <c r="K174" i="3"/>
  <c r="E174" i="3" s="1"/>
  <c r="B175" i="3"/>
  <c r="J176" i="3"/>
  <c r="K177" i="3"/>
  <c r="E177" i="3" s="1"/>
  <c r="P177" i="3"/>
  <c r="C178" i="3"/>
  <c r="J179" i="3"/>
  <c r="L180" i="3"/>
  <c r="H180" i="3"/>
  <c r="K182" i="3"/>
  <c r="E182" i="3" s="1"/>
  <c r="P182" i="3"/>
  <c r="B183" i="3"/>
  <c r="J184" i="3"/>
  <c r="K185" i="3"/>
  <c r="E185" i="3" s="1"/>
  <c r="P185" i="3"/>
  <c r="J187" i="3"/>
  <c r="L188" i="3"/>
  <c r="H188" i="3"/>
  <c r="B194" i="3"/>
  <c r="C194" i="3"/>
  <c r="D195" i="3"/>
  <c r="L197" i="3"/>
  <c r="J198" i="3"/>
  <c r="K198" i="3"/>
  <c r="E198" i="3" s="1"/>
  <c r="H198" i="3"/>
  <c r="L201" i="3"/>
  <c r="B203" i="3"/>
  <c r="K205" i="3"/>
  <c r="E205" i="3" s="1"/>
  <c r="C207" i="3"/>
  <c r="B207" i="3"/>
  <c r="C208" i="3"/>
  <c r="H211" i="3"/>
  <c r="C212" i="3"/>
  <c r="D214" i="3"/>
  <c r="L214" i="3"/>
  <c r="B216" i="3"/>
  <c r="B217" i="3"/>
  <c r="D218" i="3"/>
  <c r="D220" i="3"/>
  <c r="B220" i="3"/>
  <c r="B221" i="3"/>
  <c r="C222" i="3"/>
  <c r="B226" i="3"/>
  <c r="C226" i="3"/>
  <c r="D227" i="3"/>
  <c r="L229" i="3"/>
  <c r="B230" i="3"/>
  <c r="D231" i="3"/>
  <c r="L233" i="3"/>
  <c r="B235" i="3"/>
  <c r="K237" i="3"/>
  <c r="E237" i="3" s="1"/>
  <c r="C239" i="3"/>
  <c r="B239" i="3"/>
  <c r="C240" i="3"/>
  <c r="H243" i="3"/>
  <c r="C244" i="3"/>
  <c r="D246" i="3"/>
  <c r="L246" i="3"/>
  <c r="B248" i="3"/>
  <c r="B249" i="3"/>
  <c r="D250" i="3"/>
  <c r="D252" i="3"/>
  <c r="B252" i="3"/>
  <c r="B253" i="3"/>
  <c r="C254" i="3"/>
  <c r="B258" i="3"/>
  <c r="C258" i="3"/>
  <c r="D259" i="3"/>
  <c r="L261" i="3"/>
  <c r="B262" i="3"/>
  <c r="D263" i="3"/>
  <c r="L265" i="3"/>
  <c r="B267" i="3"/>
  <c r="K269" i="3"/>
  <c r="E269" i="3" s="1"/>
  <c r="C271" i="3"/>
  <c r="B271" i="3"/>
  <c r="C272" i="3"/>
  <c r="H275" i="3"/>
  <c r="C276" i="3"/>
  <c r="D278" i="3"/>
  <c r="L278" i="3"/>
  <c r="B280" i="3"/>
  <c r="B281" i="3"/>
  <c r="D282" i="3"/>
  <c r="D284" i="3"/>
  <c r="B284" i="3"/>
  <c r="B285" i="3"/>
  <c r="C286" i="3"/>
  <c r="B290" i="3"/>
  <c r="C290" i="3"/>
  <c r="D291" i="3"/>
  <c r="L293" i="3"/>
  <c r="B294" i="3"/>
  <c r="D295" i="3"/>
  <c r="L297" i="3"/>
  <c r="B299" i="3"/>
  <c r="K301" i="3"/>
  <c r="E301" i="3" s="1"/>
  <c r="C303" i="3"/>
  <c r="B303" i="3"/>
  <c r="C304" i="3"/>
  <c r="H307" i="3"/>
  <c r="C308" i="3"/>
  <c r="D310" i="3"/>
  <c r="L310" i="3"/>
  <c r="B312" i="3"/>
  <c r="B313" i="3"/>
  <c r="D314" i="3"/>
  <c r="D316" i="3"/>
  <c r="B316" i="3"/>
  <c r="B317" i="3"/>
  <c r="C318" i="3"/>
  <c r="B322" i="3"/>
  <c r="C322" i="3"/>
  <c r="D323" i="3"/>
  <c r="L325" i="3"/>
  <c r="B326" i="3"/>
  <c r="D327" i="3"/>
  <c r="L329" i="3"/>
  <c r="B331" i="3"/>
  <c r="K333" i="3"/>
  <c r="E333" i="3" s="1"/>
  <c r="C335" i="3"/>
  <c r="B335" i="3"/>
  <c r="C336" i="3"/>
  <c r="H339" i="3"/>
  <c r="C340" i="3"/>
  <c r="D342" i="3"/>
  <c r="L342" i="3"/>
  <c r="B344" i="3"/>
  <c r="B345" i="3"/>
  <c r="D346" i="3"/>
  <c r="D348" i="3"/>
  <c r="B348" i="3"/>
  <c r="B349" i="3"/>
  <c r="C350" i="3"/>
  <c r="B354" i="3"/>
  <c r="C354" i="3"/>
  <c r="D355" i="3"/>
  <c r="L357" i="3"/>
  <c r="B358" i="3"/>
  <c r="D359" i="3"/>
  <c r="L361" i="3"/>
  <c r="B363" i="3"/>
  <c r="K365" i="3"/>
  <c r="E365" i="3" s="1"/>
  <c r="C367" i="3"/>
  <c r="B367" i="3"/>
  <c r="C368" i="3"/>
  <c r="H371" i="3"/>
  <c r="C372" i="3"/>
  <c r="D374" i="3"/>
  <c r="L374" i="3"/>
  <c r="B376" i="3"/>
  <c r="B377" i="3"/>
  <c r="D378" i="3"/>
  <c r="D380" i="3"/>
  <c r="B380" i="3"/>
  <c r="B381" i="3"/>
  <c r="C382" i="3"/>
  <c r="B386" i="3"/>
  <c r="C386" i="3"/>
  <c r="D387" i="3"/>
  <c r="L389" i="3"/>
  <c r="B390" i="3"/>
  <c r="D391" i="3"/>
  <c r="L393" i="3"/>
  <c r="B395" i="3"/>
  <c r="K397" i="3"/>
  <c r="E397" i="3" s="1"/>
  <c r="C399" i="3"/>
  <c r="B399" i="3"/>
  <c r="C400" i="3"/>
  <c r="H403" i="3"/>
  <c r="C404" i="3"/>
  <c r="D406" i="3"/>
  <c r="L406" i="3"/>
  <c r="B408" i="3"/>
  <c r="B409" i="3"/>
  <c r="D410" i="3"/>
  <c r="D412" i="3"/>
  <c r="B412" i="3"/>
  <c r="B413" i="3"/>
  <c r="C414" i="3"/>
  <c r="I416" i="3"/>
  <c r="I419" i="3"/>
  <c r="D420" i="3"/>
  <c r="C420" i="3"/>
  <c r="B420" i="3"/>
  <c r="I421" i="3"/>
  <c r="J421" i="3"/>
  <c r="H421" i="3"/>
  <c r="I424" i="3"/>
  <c r="I427" i="3"/>
  <c r="D428" i="3"/>
  <c r="C428" i="3"/>
  <c r="B428" i="3"/>
  <c r="I429" i="3"/>
  <c r="J429" i="3"/>
  <c r="H429" i="3"/>
  <c r="I432" i="3"/>
  <c r="B434" i="3"/>
  <c r="D434" i="3"/>
  <c r="B433" i="3"/>
  <c r="C434" i="3"/>
  <c r="D436" i="3"/>
  <c r="B435" i="3"/>
  <c r="C436" i="3"/>
  <c r="B436" i="3"/>
  <c r="C439" i="3"/>
  <c r="D439" i="3"/>
  <c r="B439" i="3"/>
  <c r="I445" i="3"/>
  <c r="K445" i="3"/>
  <c r="E445" i="3" s="1"/>
  <c r="J445" i="3"/>
  <c r="H445" i="3"/>
  <c r="L445" i="3"/>
  <c r="B466" i="3"/>
  <c r="D466" i="3"/>
  <c r="B465" i="3"/>
  <c r="C466" i="3"/>
  <c r="D468" i="3"/>
  <c r="B467" i="3"/>
  <c r="C468" i="3"/>
  <c r="B468" i="3"/>
  <c r="C471" i="3"/>
  <c r="D471" i="3"/>
  <c r="B471" i="3"/>
  <c r="G555" i="3"/>
  <c r="F555" i="3"/>
  <c r="J440" i="3"/>
  <c r="J448" i="3"/>
  <c r="J456" i="3"/>
  <c r="J464" i="3"/>
  <c r="J472" i="3"/>
  <c r="B476" i="3"/>
  <c r="H477" i="3"/>
  <c r="B479" i="3"/>
  <c r="J480" i="3"/>
  <c r="C482" i="3"/>
  <c r="H482" i="3"/>
  <c r="B484" i="3"/>
  <c r="H485" i="3"/>
  <c r="B487" i="3"/>
  <c r="J488" i="3"/>
  <c r="C490" i="3"/>
  <c r="H490" i="3"/>
  <c r="B492" i="3"/>
  <c r="H493" i="3"/>
  <c r="B495" i="3"/>
  <c r="J496" i="3"/>
  <c r="C498" i="3"/>
  <c r="H498" i="3"/>
  <c r="J499" i="3"/>
  <c r="B500" i="3"/>
  <c r="H501" i="3"/>
  <c r="B503" i="3"/>
  <c r="J504" i="3"/>
  <c r="C506" i="3"/>
  <c r="H506" i="3"/>
  <c r="J507" i="3"/>
  <c r="B508" i="3"/>
  <c r="H509" i="3"/>
  <c r="B511" i="3"/>
  <c r="J512" i="3"/>
  <c r="C514" i="3"/>
  <c r="H514" i="3"/>
  <c r="J515" i="3"/>
  <c r="B516" i="3"/>
  <c r="H517" i="3"/>
  <c r="B519" i="3"/>
  <c r="J520" i="3"/>
  <c r="C522" i="3"/>
  <c r="H522" i="3"/>
  <c r="J523" i="3"/>
  <c r="B524" i="3"/>
  <c r="H525" i="3"/>
  <c r="B527" i="3"/>
  <c r="J528" i="3"/>
  <c r="C530" i="3"/>
  <c r="H530" i="3"/>
  <c r="C534" i="3"/>
  <c r="D538" i="3"/>
  <c r="B538" i="3"/>
  <c r="B540" i="3"/>
  <c r="D540" i="3"/>
  <c r="J541" i="3"/>
  <c r="I543" i="3"/>
  <c r="K543" i="3"/>
  <c r="E543" i="3" s="1"/>
  <c r="J543" i="3"/>
  <c r="C550" i="3"/>
  <c r="D554" i="3"/>
  <c r="B554" i="3"/>
  <c r="B556" i="3"/>
  <c r="D556" i="3"/>
  <c r="J557" i="3"/>
  <c r="I559" i="3"/>
  <c r="L559" i="3"/>
  <c r="H559" i="3"/>
  <c r="K559" i="3"/>
  <c r="E559" i="3" s="1"/>
  <c r="I563" i="3"/>
  <c r="L563" i="3"/>
  <c r="H563" i="3"/>
  <c r="K563" i="3"/>
  <c r="E563" i="3" s="1"/>
  <c r="I567" i="3"/>
  <c r="L567" i="3"/>
  <c r="H567" i="3"/>
  <c r="K567" i="3"/>
  <c r="E567" i="3" s="1"/>
  <c r="I571" i="3"/>
  <c r="L571" i="3"/>
  <c r="H571" i="3"/>
  <c r="K571" i="3"/>
  <c r="E571" i="3" s="1"/>
  <c r="C580" i="3"/>
  <c r="D580" i="3"/>
  <c r="B580" i="3"/>
  <c r="I594" i="3"/>
  <c r="K594" i="3"/>
  <c r="E594" i="3" s="1"/>
  <c r="J594" i="3"/>
  <c r="H594" i="3"/>
  <c r="L594" i="3"/>
  <c r="B607" i="3"/>
  <c r="D607" i="3"/>
  <c r="B606" i="3"/>
  <c r="C607" i="3"/>
  <c r="D609" i="3"/>
  <c r="B608" i="3"/>
  <c r="C609" i="3"/>
  <c r="B609" i="3"/>
  <c r="C612" i="3"/>
  <c r="D612" i="3"/>
  <c r="B612" i="3"/>
  <c r="I618" i="3"/>
  <c r="K618" i="3"/>
  <c r="E618" i="3" s="1"/>
  <c r="J618" i="3"/>
  <c r="H618" i="3"/>
  <c r="L618" i="3"/>
  <c r="B639" i="3"/>
  <c r="D639" i="3"/>
  <c r="B638" i="3"/>
  <c r="C639" i="3"/>
  <c r="D641" i="3"/>
  <c r="B640" i="3"/>
  <c r="C641" i="3"/>
  <c r="B641" i="3"/>
  <c r="C644" i="3"/>
  <c r="D644" i="3"/>
  <c r="B644" i="3"/>
  <c r="I650" i="3"/>
  <c r="K650" i="3"/>
  <c r="E650" i="3" s="1"/>
  <c r="J650" i="3"/>
  <c r="H650" i="3"/>
  <c r="L650" i="3"/>
  <c r="I658" i="3"/>
  <c r="K658" i="3"/>
  <c r="E658" i="3" s="1"/>
  <c r="J658" i="3"/>
  <c r="H658" i="3"/>
  <c r="L658" i="3"/>
  <c r="B663" i="3"/>
  <c r="D663" i="3"/>
  <c r="B662" i="3"/>
  <c r="C663" i="3"/>
  <c r="D669" i="3"/>
  <c r="C669" i="3"/>
  <c r="B669" i="3"/>
  <c r="B671" i="3"/>
  <c r="C671" i="3"/>
  <c r="D671" i="3"/>
  <c r="B670" i="3"/>
  <c r="D701" i="3"/>
  <c r="C701" i="3"/>
  <c r="B701" i="3"/>
  <c r="F846" i="3"/>
  <c r="G846" i="3"/>
  <c r="B851" i="3"/>
  <c r="D851" i="3"/>
  <c r="B850" i="3"/>
  <c r="C851" i="3"/>
  <c r="Q877" i="3"/>
  <c r="M877" i="3"/>
  <c r="P877" i="3"/>
  <c r="N877" i="3"/>
  <c r="S877" i="3"/>
  <c r="R877" i="3"/>
  <c r="O877" i="3"/>
  <c r="D944" i="3"/>
  <c r="C944" i="3"/>
  <c r="B944" i="3"/>
  <c r="B943" i="3"/>
  <c r="B422" i="3"/>
  <c r="B430" i="3"/>
  <c r="B438" i="3"/>
  <c r="B446" i="3"/>
  <c r="B454" i="3"/>
  <c r="B462" i="3"/>
  <c r="B470" i="3"/>
  <c r="C476" i="3"/>
  <c r="J477" i="3"/>
  <c r="B478" i="3"/>
  <c r="D479" i="3"/>
  <c r="B481" i="3"/>
  <c r="D482" i="3"/>
  <c r="I482" i="3"/>
  <c r="C484" i="3"/>
  <c r="J485" i="3"/>
  <c r="B486" i="3"/>
  <c r="D487" i="3"/>
  <c r="B489" i="3"/>
  <c r="D490" i="3"/>
  <c r="I490" i="3"/>
  <c r="C492" i="3"/>
  <c r="J493" i="3"/>
  <c r="B494" i="3"/>
  <c r="D495" i="3"/>
  <c r="B497" i="3"/>
  <c r="D498" i="3"/>
  <c r="I498" i="3"/>
  <c r="L499" i="3"/>
  <c r="C500" i="3"/>
  <c r="J501" i="3"/>
  <c r="B502" i="3"/>
  <c r="D503" i="3"/>
  <c r="B505" i="3"/>
  <c r="D506" i="3"/>
  <c r="I506" i="3"/>
  <c r="L507" i="3"/>
  <c r="C508" i="3"/>
  <c r="J509" i="3"/>
  <c r="B510" i="3"/>
  <c r="D511" i="3"/>
  <c r="B513" i="3"/>
  <c r="D514" i="3"/>
  <c r="I514" i="3"/>
  <c r="L515" i="3"/>
  <c r="C516" i="3"/>
  <c r="J517" i="3"/>
  <c r="B518" i="3"/>
  <c r="D519" i="3"/>
  <c r="B521" i="3"/>
  <c r="D522" i="3"/>
  <c r="I522" i="3"/>
  <c r="L523" i="3"/>
  <c r="C524" i="3"/>
  <c r="J525" i="3"/>
  <c r="B526" i="3"/>
  <c r="D527" i="3"/>
  <c r="B529" i="3"/>
  <c r="D530" i="3"/>
  <c r="I530" i="3"/>
  <c r="C538" i="3"/>
  <c r="C540" i="3"/>
  <c r="D542" i="3"/>
  <c r="B542" i="3"/>
  <c r="L543" i="3"/>
  <c r="B544" i="3"/>
  <c r="D544" i="3"/>
  <c r="C554" i="3"/>
  <c r="C556" i="3"/>
  <c r="D558" i="3"/>
  <c r="B558" i="3"/>
  <c r="B575" i="3"/>
  <c r="D575" i="3"/>
  <c r="B574" i="3"/>
  <c r="C575" i="3"/>
  <c r="D577" i="3"/>
  <c r="C577" i="3"/>
  <c r="B577" i="3"/>
  <c r="C588" i="3"/>
  <c r="D588" i="3"/>
  <c r="B588" i="3"/>
  <c r="B599" i="3"/>
  <c r="D599" i="3"/>
  <c r="B598" i="3"/>
  <c r="C599" i="3"/>
  <c r="D601" i="3"/>
  <c r="B600" i="3"/>
  <c r="C601" i="3"/>
  <c r="B601" i="3"/>
  <c r="C604" i="3"/>
  <c r="D604" i="3"/>
  <c r="B604" i="3"/>
  <c r="I610" i="3"/>
  <c r="K610" i="3"/>
  <c r="E610" i="3" s="1"/>
  <c r="J610" i="3"/>
  <c r="H610" i="3"/>
  <c r="L610" i="3"/>
  <c r="B631" i="3"/>
  <c r="D631" i="3"/>
  <c r="B630" i="3"/>
  <c r="C631" i="3"/>
  <c r="D633" i="3"/>
  <c r="B632" i="3"/>
  <c r="C633" i="3"/>
  <c r="B633" i="3"/>
  <c r="C636" i="3"/>
  <c r="D636" i="3"/>
  <c r="B636" i="3"/>
  <c r="I642" i="3"/>
  <c r="K642" i="3"/>
  <c r="E642" i="3" s="1"/>
  <c r="J642" i="3"/>
  <c r="H642" i="3"/>
  <c r="L642" i="3"/>
  <c r="I706" i="3"/>
  <c r="H706" i="3"/>
  <c r="K706" i="3"/>
  <c r="E706" i="3" s="1"/>
  <c r="L706" i="3"/>
  <c r="B707" i="3"/>
  <c r="C707" i="3"/>
  <c r="D707" i="3"/>
  <c r="F710" i="3"/>
  <c r="G710" i="3"/>
  <c r="D717" i="3"/>
  <c r="B717" i="3"/>
  <c r="C717" i="3"/>
  <c r="I722" i="3"/>
  <c r="H722" i="3"/>
  <c r="K722" i="3"/>
  <c r="E722" i="3" s="1"/>
  <c r="L722" i="3"/>
  <c r="B723" i="3"/>
  <c r="C723" i="3"/>
  <c r="D723" i="3"/>
  <c r="F726" i="3"/>
  <c r="G726" i="3"/>
  <c r="D733" i="3"/>
  <c r="B733" i="3"/>
  <c r="C733" i="3"/>
  <c r="I738" i="3"/>
  <c r="H738" i="3"/>
  <c r="K738" i="3"/>
  <c r="E738" i="3" s="1"/>
  <c r="L738" i="3"/>
  <c r="B739" i="3"/>
  <c r="C739" i="3"/>
  <c r="D739" i="3"/>
  <c r="F742" i="3"/>
  <c r="G742" i="3"/>
  <c r="D749" i="3"/>
  <c r="B749" i="3"/>
  <c r="C749" i="3"/>
  <c r="I754" i="3"/>
  <c r="H754" i="3"/>
  <c r="K754" i="3"/>
  <c r="E754" i="3" s="1"/>
  <c r="L754" i="3"/>
  <c r="B755" i="3"/>
  <c r="C755" i="3"/>
  <c r="D755" i="3"/>
  <c r="F758" i="3"/>
  <c r="G758" i="3"/>
  <c r="D765" i="3"/>
  <c r="B765" i="3"/>
  <c r="C765" i="3"/>
  <c r="I770" i="3"/>
  <c r="H770" i="3"/>
  <c r="K770" i="3"/>
  <c r="E770" i="3" s="1"/>
  <c r="L770" i="3"/>
  <c r="B771" i="3"/>
  <c r="C771" i="3"/>
  <c r="D771" i="3"/>
  <c r="F774" i="3"/>
  <c r="G774" i="3"/>
  <c r="D781" i="3"/>
  <c r="B781" i="3"/>
  <c r="C781" i="3"/>
  <c r="I786" i="3"/>
  <c r="H786" i="3"/>
  <c r="K786" i="3"/>
  <c r="E786" i="3" s="1"/>
  <c r="L786" i="3"/>
  <c r="B787" i="3"/>
  <c r="C787" i="3"/>
  <c r="D787" i="3"/>
  <c r="F790" i="3"/>
  <c r="G790" i="3"/>
  <c r="D797" i="3"/>
  <c r="B797" i="3"/>
  <c r="C797" i="3"/>
  <c r="I802" i="3"/>
  <c r="H802" i="3"/>
  <c r="K802" i="3"/>
  <c r="E802" i="3" s="1"/>
  <c r="L802" i="3"/>
  <c r="B803" i="3"/>
  <c r="C803" i="3"/>
  <c r="D803" i="3"/>
  <c r="F806" i="3"/>
  <c r="G806" i="3"/>
  <c r="D813" i="3"/>
  <c r="B813" i="3"/>
  <c r="C813" i="3"/>
  <c r="I818" i="3"/>
  <c r="H818" i="3"/>
  <c r="K818" i="3"/>
  <c r="E818" i="3" s="1"/>
  <c r="L818" i="3"/>
  <c r="B819" i="3"/>
  <c r="C819" i="3"/>
  <c r="D819" i="3"/>
  <c r="F822" i="3"/>
  <c r="G822" i="3"/>
  <c r="D829" i="3"/>
  <c r="B829" i="3"/>
  <c r="C829" i="3"/>
  <c r="I834" i="3"/>
  <c r="H834" i="3"/>
  <c r="K834" i="3"/>
  <c r="E834" i="3" s="1"/>
  <c r="L834" i="3"/>
  <c r="B835" i="3"/>
  <c r="C835" i="3"/>
  <c r="D835" i="3"/>
  <c r="F838" i="3"/>
  <c r="G838" i="3"/>
  <c r="I846" i="3"/>
  <c r="K846" i="3"/>
  <c r="E846" i="3" s="1"/>
  <c r="J846" i="3"/>
  <c r="H846" i="3"/>
  <c r="D884" i="3"/>
  <c r="C884" i="3"/>
  <c r="B884" i="3"/>
  <c r="B886" i="3"/>
  <c r="C886" i="3"/>
  <c r="D886" i="3"/>
  <c r="B885" i="3"/>
  <c r="B890" i="3"/>
  <c r="D890" i="3"/>
  <c r="C890" i="3"/>
  <c r="B889" i="3"/>
  <c r="G897" i="3"/>
  <c r="F897" i="3"/>
  <c r="C903" i="3"/>
  <c r="D903" i="3"/>
  <c r="B903" i="3"/>
  <c r="C931" i="3"/>
  <c r="B931" i="3"/>
  <c r="D931" i="3"/>
  <c r="D992" i="3"/>
  <c r="C992" i="3"/>
  <c r="B992" i="3"/>
  <c r="B991" i="3"/>
  <c r="L440" i="3"/>
  <c r="H440" i="3"/>
  <c r="L448" i="3"/>
  <c r="H448" i="3"/>
  <c r="L456" i="3"/>
  <c r="H456" i="3"/>
  <c r="L464" i="3"/>
  <c r="H464" i="3"/>
  <c r="L472" i="3"/>
  <c r="H472" i="3"/>
  <c r="B475" i="3"/>
  <c r="K477" i="3"/>
  <c r="E477" i="3" s="1"/>
  <c r="L480" i="3"/>
  <c r="H480" i="3"/>
  <c r="K482" i="3"/>
  <c r="E482" i="3" s="1"/>
  <c r="B483" i="3"/>
  <c r="K485" i="3"/>
  <c r="E485" i="3" s="1"/>
  <c r="L488" i="3"/>
  <c r="H488" i="3"/>
  <c r="K490" i="3"/>
  <c r="E490" i="3" s="1"/>
  <c r="B491" i="3"/>
  <c r="K493" i="3"/>
  <c r="E493" i="3" s="1"/>
  <c r="L496" i="3"/>
  <c r="H496" i="3"/>
  <c r="H499" i="3"/>
  <c r="L504" i="3"/>
  <c r="H504" i="3"/>
  <c r="H507" i="3"/>
  <c r="L512" i="3"/>
  <c r="H512" i="3"/>
  <c r="H515" i="3"/>
  <c r="L520" i="3"/>
  <c r="H520" i="3"/>
  <c r="H523" i="3"/>
  <c r="L528" i="3"/>
  <c r="H528" i="3"/>
  <c r="B532" i="3"/>
  <c r="D532" i="3"/>
  <c r="I535" i="3"/>
  <c r="K535" i="3"/>
  <c r="E535" i="3" s="1"/>
  <c r="J535" i="3"/>
  <c r="K537" i="3"/>
  <c r="E537" i="3" s="1"/>
  <c r="I537" i="3"/>
  <c r="H537" i="3"/>
  <c r="Q539" i="3"/>
  <c r="M539" i="3"/>
  <c r="S539" i="3"/>
  <c r="O539" i="3"/>
  <c r="P539" i="3"/>
  <c r="D546" i="3"/>
  <c r="B546" i="3"/>
  <c r="B548" i="3"/>
  <c r="D548" i="3"/>
  <c r="I551" i="3"/>
  <c r="K551" i="3"/>
  <c r="E551" i="3" s="1"/>
  <c r="J551" i="3"/>
  <c r="K553" i="3"/>
  <c r="E553" i="3" s="1"/>
  <c r="I553" i="3"/>
  <c r="H553" i="3"/>
  <c r="Q555" i="3"/>
  <c r="M555" i="3"/>
  <c r="S555" i="3"/>
  <c r="O555" i="3"/>
  <c r="P555" i="3"/>
  <c r="J560" i="3"/>
  <c r="I560" i="3"/>
  <c r="L560" i="3"/>
  <c r="H560" i="3"/>
  <c r="D562" i="3"/>
  <c r="C562" i="3"/>
  <c r="B561" i="3"/>
  <c r="B562" i="3"/>
  <c r="J564" i="3"/>
  <c r="I564" i="3"/>
  <c r="L564" i="3"/>
  <c r="H564" i="3"/>
  <c r="D566" i="3"/>
  <c r="C566" i="3"/>
  <c r="B565" i="3"/>
  <c r="B566" i="3"/>
  <c r="J568" i="3"/>
  <c r="I568" i="3"/>
  <c r="L568" i="3"/>
  <c r="H568" i="3"/>
  <c r="D570" i="3"/>
  <c r="C570" i="3"/>
  <c r="B569" i="3"/>
  <c r="B570" i="3"/>
  <c r="K572" i="3"/>
  <c r="E572" i="3" s="1"/>
  <c r="J572" i="3"/>
  <c r="I572" i="3"/>
  <c r="H572" i="3"/>
  <c r="I578" i="3"/>
  <c r="K578" i="3"/>
  <c r="E578" i="3" s="1"/>
  <c r="J578" i="3"/>
  <c r="H578" i="3"/>
  <c r="L578" i="3"/>
  <c r="B583" i="3"/>
  <c r="D583" i="3"/>
  <c r="B582" i="3"/>
  <c r="C583" i="3"/>
  <c r="D585" i="3"/>
  <c r="C585" i="3"/>
  <c r="B585" i="3"/>
  <c r="C596" i="3"/>
  <c r="D596" i="3"/>
  <c r="B596" i="3"/>
  <c r="I602" i="3"/>
  <c r="K602" i="3"/>
  <c r="E602" i="3" s="1"/>
  <c r="J602" i="3"/>
  <c r="H602" i="3"/>
  <c r="L602" i="3"/>
  <c r="B623" i="3"/>
  <c r="D623" i="3"/>
  <c r="B622" i="3"/>
  <c r="C623" i="3"/>
  <c r="D625" i="3"/>
  <c r="B624" i="3"/>
  <c r="C625" i="3"/>
  <c r="B625" i="3"/>
  <c r="C628" i="3"/>
  <c r="D628" i="3"/>
  <c r="B628" i="3"/>
  <c r="I634" i="3"/>
  <c r="K634" i="3"/>
  <c r="E634" i="3" s="1"/>
  <c r="J634" i="3"/>
  <c r="H634" i="3"/>
  <c r="L634" i="3"/>
  <c r="C660" i="3"/>
  <c r="D660" i="3"/>
  <c r="B660" i="3"/>
  <c r="C688" i="3"/>
  <c r="D688" i="3"/>
  <c r="B688" i="3"/>
  <c r="L693" i="3"/>
  <c r="H693" i="3"/>
  <c r="J693" i="3"/>
  <c r="K693" i="3"/>
  <c r="E693" i="3" s="1"/>
  <c r="Q694" i="3"/>
  <c r="M694" i="3"/>
  <c r="P694" i="3"/>
  <c r="N694" i="3"/>
  <c r="S694" i="3"/>
  <c r="R694" i="3"/>
  <c r="F863" i="3"/>
  <c r="G863" i="3"/>
  <c r="F893" i="3"/>
  <c r="G893" i="3"/>
  <c r="D976" i="3"/>
  <c r="C976" i="3"/>
  <c r="B976" i="3"/>
  <c r="B975" i="3"/>
  <c r="L477" i="3"/>
  <c r="L482" i="3"/>
  <c r="L485" i="3"/>
  <c r="L490" i="3"/>
  <c r="L493" i="3"/>
  <c r="I496" i="3"/>
  <c r="L498" i="3"/>
  <c r="I499" i="3"/>
  <c r="L501" i="3"/>
  <c r="I504" i="3"/>
  <c r="L506" i="3"/>
  <c r="I507" i="3"/>
  <c r="L509" i="3"/>
  <c r="I512" i="3"/>
  <c r="L514" i="3"/>
  <c r="I515" i="3"/>
  <c r="L517" i="3"/>
  <c r="I520" i="3"/>
  <c r="L522" i="3"/>
  <c r="I523" i="3"/>
  <c r="L525" i="3"/>
  <c r="I528" i="3"/>
  <c r="L530" i="3"/>
  <c r="C532" i="3"/>
  <c r="D534" i="3"/>
  <c r="B534" i="3"/>
  <c r="L535" i="3"/>
  <c r="B536" i="3"/>
  <c r="D536" i="3"/>
  <c r="J537" i="3"/>
  <c r="I539" i="3"/>
  <c r="K539" i="3"/>
  <c r="E539" i="3" s="1"/>
  <c r="J539" i="3"/>
  <c r="R539" i="3"/>
  <c r="K541" i="3"/>
  <c r="E541" i="3" s="1"/>
  <c r="I541" i="3"/>
  <c r="H541" i="3"/>
  <c r="Q543" i="3"/>
  <c r="M543" i="3"/>
  <c r="S543" i="3"/>
  <c r="O543" i="3"/>
  <c r="P543" i="3"/>
  <c r="C546" i="3"/>
  <c r="C548" i="3"/>
  <c r="D550" i="3"/>
  <c r="B550" i="3"/>
  <c r="L551" i="3"/>
  <c r="B552" i="3"/>
  <c r="D552" i="3"/>
  <c r="J553" i="3"/>
  <c r="I555" i="3"/>
  <c r="K555" i="3"/>
  <c r="E555" i="3" s="1"/>
  <c r="J555" i="3"/>
  <c r="R555" i="3"/>
  <c r="K557" i="3"/>
  <c r="E557" i="3" s="1"/>
  <c r="I557" i="3"/>
  <c r="H557" i="3"/>
  <c r="J563" i="3"/>
  <c r="J567" i="3"/>
  <c r="J571" i="3"/>
  <c r="I586" i="3"/>
  <c r="K586" i="3"/>
  <c r="E586" i="3" s="1"/>
  <c r="J586" i="3"/>
  <c r="H586" i="3"/>
  <c r="L586" i="3"/>
  <c r="B591" i="3"/>
  <c r="D591" i="3"/>
  <c r="B590" i="3"/>
  <c r="C591" i="3"/>
  <c r="D593" i="3"/>
  <c r="C593" i="3"/>
  <c r="B593" i="3"/>
  <c r="B615" i="3"/>
  <c r="D615" i="3"/>
  <c r="B614" i="3"/>
  <c r="C615" i="3"/>
  <c r="D617" i="3"/>
  <c r="B616" i="3"/>
  <c r="C617" i="3"/>
  <c r="B617" i="3"/>
  <c r="C620" i="3"/>
  <c r="D620" i="3"/>
  <c r="B620" i="3"/>
  <c r="I626" i="3"/>
  <c r="K626" i="3"/>
  <c r="E626" i="3" s="1"/>
  <c r="J626" i="3"/>
  <c r="H626" i="3"/>
  <c r="L626" i="3"/>
  <c r="B647" i="3"/>
  <c r="D647" i="3"/>
  <c r="B646" i="3"/>
  <c r="C647" i="3"/>
  <c r="D649" i="3"/>
  <c r="B648" i="3"/>
  <c r="C649" i="3"/>
  <c r="B649" i="3"/>
  <c r="C652" i="3"/>
  <c r="D652" i="3"/>
  <c r="B652" i="3"/>
  <c r="B655" i="3"/>
  <c r="D655" i="3"/>
  <c r="B654" i="3"/>
  <c r="C655" i="3"/>
  <c r="D657" i="3"/>
  <c r="C657" i="3"/>
  <c r="B657" i="3"/>
  <c r="D665" i="3"/>
  <c r="B665" i="3"/>
  <c r="C665" i="3"/>
  <c r="I666" i="3"/>
  <c r="H666" i="3"/>
  <c r="L666" i="3"/>
  <c r="K666" i="3"/>
  <c r="E666" i="3" s="1"/>
  <c r="J666" i="3"/>
  <c r="B675" i="3"/>
  <c r="D675" i="3"/>
  <c r="C675" i="3"/>
  <c r="B674" i="3"/>
  <c r="K680" i="3"/>
  <c r="E680" i="3" s="1"/>
  <c r="J680" i="3"/>
  <c r="H680" i="3"/>
  <c r="L680" i="3"/>
  <c r="C684" i="3"/>
  <c r="B684" i="3"/>
  <c r="D684" i="3"/>
  <c r="I694" i="3"/>
  <c r="K694" i="3"/>
  <c r="E694" i="3" s="1"/>
  <c r="L694" i="3"/>
  <c r="J694" i="3"/>
  <c r="O694" i="3"/>
  <c r="D697" i="3"/>
  <c r="B697" i="3"/>
  <c r="C697" i="3"/>
  <c r="I698" i="3"/>
  <c r="H698" i="3"/>
  <c r="L698" i="3"/>
  <c r="K698" i="3"/>
  <c r="E698" i="3" s="1"/>
  <c r="J698" i="3"/>
  <c r="C704" i="3"/>
  <c r="B704" i="3"/>
  <c r="D704" i="3"/>
  <c r="C720" i="3"/>
  <c r="B720" i="3"/>
  <c r="D720" i="3"/>
  <c r="C736" i="3"/>
  <c r="B736" i="3"/>
  <c r="D736" i="3"/>
  <c r="C752" i="3"/>
  <c r="B752" i="3"/>
  <c r="D752" i="3"/>
  <c r="C768" i="3"/>
  <c r="B768" i="3"/>
  <c r="D768" i="3"/>
  <c r="C784" i="3"/>
  <c r="B784" i="3"/>
  <c r="D784" i="3"/>
  <c r="C800" i="3"/>
  <c r="B800" i="3"/>
  <c r="D800" i="3"/>
  <c r="C816" i="3"/>
  <c r="B816" i="3"/>
  <c r="D816" i="3"/>
  <c r="C832" i="3"/>
  <c r="B832" i="3"/>
  <c r="D832" i="3"/>
  <c r="D853" i="3"/>
  <c r="C853" i="3"/>
  <c r="B853" i="3"/>
  <c r="D960" i="3"/>
  <c r="C960" i="3"/>
  <c r="B960" i="3"/>
  <c r="B959" i="3"/>
  <c r="D560" i="3"/>
  <c r="D564" i="3"/>
  <c r="D568" i="3"/>
  <c r="D572" i="3"/>
  <c r="J597" i="3"/>
  <c r="J605" i="3"/>
  <c r="J613" i="3"/>
  <c r="J621" i="3"/>
  <c r="J629" i="3"/>
  <c r="J637" i="3"/>
  <c r="J645" i="3"/>
  <c r="D673" i="3"/>
  <c r="B673" i="3"/>
  <c r="B679" i="3"/>
  <c r="C679" i="3"/>
  <c r="B683" i="3"/>
  <c r="C692" i="3"/>
  <c r="B692" i="3"/>
  <c r="I702" i="3"/>
  <c r="K702" i="3"/>
  <c r="E702" i="3" s="1"/>
  <c r="H702" i="3"/>
  <c r="J702" i="3"/>
  <c r="B703" i="3"/>
  <c r="C703" i="3"/>
  <c r="D713" i="3"/>
  <c r="B713" i="3"/>
  <c r="C716" i="3"/>
  <c r="B716" i="3"/>
  <c r="I718" i="3"/>
  <c r="K718" i="3"/>
  <c r="E718" i="3" s="1"/>
  <c r="H718" i="3"/>
  <c r="J718" i="3"/>
  <c r="B719" i="3"/>
  <c r="C719" i="3"/>
  <c r="D729" i="3"/>
  <c r="B729" i="3"/>
  <c r="C732" i="3"/>
  <c r="B732" i="3"/>
  <c r="I734" i="3"/>
  <c r="K734" i="3"/>
  <c r="E734" i="3" s="1"/>
  <c r="H734" i="3"/>
  <c r="J734" i="3"/>
  <c r="B735" i="3"/>
  <c r="C735" i="3"/>
  <c r="D745" i="3"/>
  <c r="B745" i="3"/>
  <c r="C748" i="3"/>
  <c r="B748" i="3"/>
  <c r="I750" i="3"/>
  <c r="K750" i="3"/>
  <c r="E750" i="3" s="1"/>
  <c r="H750" i="3"/>
  <c r="J750" i="3"/>
  <c r="B751" i="3"/>
  <c r="C751" i="3"/>
  <c r="D761" i="3"/>
  <c r="B761" i="3"/>
  <c r="C764" i="3"/>
  <c r="B764" i="3"/>
  <c r="I766" i="3"/>
  <c r="K766" i="3"/>
  <c r="E766" i="3" s="1"/>
  <c r="H766" i="3"/>
  <c r="J766" i="3"/>
  <c r="B767" i="3"/>
  <c r="C767" i="3"/>
  <c r="D777" i="3"/>
  <c r="B777" i="3"/>
  <c r="C780" i="3"/>
  <c r="B780" i="3"/>
  <c r="I782" i="3"/>
  <c r="K782" i="3"/>
  <c r="E782" i="3" s="1"/>
  <c r="H782" i="3"/>
  <c r="J782" i="3"/>
  <c r="B783" i="3"/>
  <c r="C783" i="3"/>
  <c r="D793" i="3"/>
  <c r="B793" i="3"/>
  <c r="C796" i="3"/>
  <c r="B796" i="3"/>
  <c r="I798" i="3"/>
  <c r="K798" i="3"/>
  <c r="E798" i="3" s="1"/>
  <c r="H798" i="3"/>
  <c r="J798" i="3"/>
  <c r="B799" i="3"/>
  <c r="C799" i="3"/>
  <c r="D809" i="3"/>
  <c r="B809" i="3"/>
  <c r="C812" i="3"/>
  <c r="B812" i="3"/>
  <c r="I814" i="3"/>
  <c r="K814" i="3"/>
  <c r="E814" i="3" s="1"/>
  <c r="H814" i="3"/>
  <c r="J814" i="3"/>
  <c r="B815" i="3"/>
  <c r="C815" i="3"/>
  <c r="D825" i="3"/>
  <c r="B825" i="3"/>
  <c r="C828" i="3"/>
  <c r="B828" i="3"/>
  <c r="I830" i="3"/>
  <c r="K830" i="3"/>
  <c r="E830" i="3" s="1"/>
  <c r="H830" i="3"/>
  <c r="J830" i="3"/>
  <c r="B831" i="3"/>
  <c r="C831" i="3"/>
  <c r="I854" i="3"/>
  <c r="K854" i="3"/>
  <c r="E854" i="3" s="1"/>
  <c r="J854" i="3"/>
  <c r="H854" i="3"/>
  <c r="L854" i="3"/>
  <c r="B859" i="3"/>
  <c r="D859" i="3"/>
  <c r="B858" i="3"/>
  <c r="C859" i="3"/>
  <c r="D861" i="3"/>
  <c r="C861" i="3"/>
  <c r="B861" i="3"/>
  <c r="G865" i="3"/>
  <c r="F865" i="3"/>
  <c r="C871" i="3"/>
  <c r="D871" i="3"/>
  <c r="B871" i="3"/>
  <c r="C899" i="3"/>
  <c r="B899" i="3"/>
  <c r="D899" i="3"/>
  <c r="L908" i="3"/>
  <c r="H908" i="3"/>
  <c r="J908" i="3"/>
  <c r="K908" i="3"/>
  <c r="E908" i="3" s="1"/>
  <c r="Q909" i="3"/>
  <c r="M909" i="3"/>
  <c r="P909" i="3"/>
  <c r="N909" i="3"/>
  <c r="S909" i="3"/>
  <c r="R909" i="3"/>
  <c r="I937" i="3"/>
  <c r="J937" i="3"/>
  <c r="H937" i="3"/>
  <c r="L937" i="3"/>
  <c r="K937" i="3"/>
  <c r="E937" i="3" s="1"/>
  <c r="I953" i="3"/>
  <c r="J953" i="3"/>
  <c r="H953" i="3"/>
  <c r="L953" i="3"/>
  <c r="K953" i="3"/>
  <c r="E953" i="3" s="1"/>
  <c r="I969" i="3"/>
  <c r="J969" i="3"/>
  <c r="H969" i="3"/>
  <c r="L969" i="3"/>
  <c r="K969" i="3"/>
  <c r="E969" i="3" s="1"/>
  <c r="I985" i="3"/>
  <c r="J985" i="3"/>
  <c r="H985" i="3"/>
  <c r="L985" i="3"/>
  <c r="K985" i="3"/>
  <c r="E985" i="3" s="1"/>
  <c r="B579" i="3"/>
  <c r="B587" i="3"/>
  <c r="B595" i="3"/>
  <c r="B603" i="3"/>
  <c r="B611" i="3"/>
  <c r="B619" i="3"/>
  <c r="B627" i="3"/>
  <c r="B635" i="3"/>
  <c r="B643" i="3"/>
  <c r="B651" i="3"/>
  <c r="B659" i="3"/>
  <c r="B664" i="3"/>
  <c r="C668" i="3"/>
  <c r="B668" i="3"/>
  <c r="C673" i="3"/>
  <c r="B677" i="3"/>
  <c r="B678" i="3"/>
  <c r="D679" i="3"/>
  <c r="D681" i="3"/>
  <c r="B681" i="3"/>
  <c r="B682" i="3"/>
  <c r="C683" i="3"/>
  <c r="B687" i="3"/>
  <c r="C687" i="3"/>
  <c r="B691" i="3"/>
  <c r="D692" i="3"/>
  <c r="B696" i="3"/>
  <c r="C700" i="3"/>
  <c r="B700" i="3"/>
  <c r="L702" i="3"/>
  <c r="D703" i="3"/>
  <c r="D709" i="3"/>
  <c r="B709" i="3"/>
  <c r="C712" i="3"/>
  <c r="B712" i="3"/>
  <c r="C713" i="3"/>
  <c r="I714" i="3"/>
  <c r="H714" i="3"/>
  <c r="K714" i="3"/>
  <c r="E714" i="3" s="1"/>
  <c r="J714" i="3"/>
  <c r="B715" i="3"/>
  <c r="C715" i="3"/>
  <c r="D716" i="3"/>
  <c r="L718" i="3"/>
  <c r="D719" i="3"/>
  <c r="D725" i="3"/>
  <c r="B725" i="3"/>
  <c r="C728" i="3"/>
  <c r="B728" i="3"/>
  <c r="C729" i="3"/>
  <c r="I730" i="3"/>
  <c r="H730" i="3"/>
  <c r="K730" i="3"/>
  <c r="E730" i="3" s="1"/>
  <c r="J730" i="3"/>
  <c r="B731" i="3"/>
  <c r="C731" i="3"/>
  <c r="D732" i="3"/>
  <c r="L734" i="3"/>
  <c r="D735" i="3"/>
  <c r="D741" i="3"/>
  <c r="B741" i="3"/>
  <c r="C744" i="3"/>
  <c r="B744" i="3"/>
  <c r="C745" i="3"/>
  <c r="I746" i="3"/>
  <c r="H746" i="3"/>
  <c r="K746" i="3"/>
  <c r="E746" i="3" s="1"/>
  <c r="J746" i="3"/>
  <c r="B747" i="3"/>
  <c r="C747" i="3"/>
  <c r="D748" i="3"/>
  <c r="L750" i="3"/>
  <c r="D751" i="3"/>
  <c r="D757" i="3"/>
  <c r="B757" i="3"/>
  <c r="C760" i="3"/>
  <c r="B760" i="3"/>
  <c r="C761" i="3"/>
  <c r="I762" i="3"/>
  <c r="H762" i="3"/>
  <c r="K762" i="3"/>
  <c r="E762" i="3" s="1"/>
  <c r="J762" i="3"/>
  <c r="B763" i="3"/>
  <c r="C763" i="3"/>
  <c r="D764" i="3"/>
  <c r="L766" i="3"/>
  <c r="D767" i="3"/>
  <c r="D773" i="3"/>
  <c r="B773" i="3"/>
  <c r="C776" i="3"/>
  <c r="B776" i="3"/>
  <c r="C777" i="3"/>
  <c r="I778" i="3"/>
  <c r="H778" i="3"/>
  <c r="K778" i="3"/>
  <c r="E778" i="3" s="1"/>
  <c r="J778" i="3"/>
  <c r="B779" i="3"/>
  <c r="C779" i="3"/>
  <c r="D780" i="3"/>
  <c r="L782" i="3"/>
  <c r="D783" i="3"/>
  <c r="D789" i="3"/>
  <c r="B789" i="3"/>
  <c r="C792" i="3"/>
  <c r="B792" i="3"/>
  <c r="C793" i="3"/>
  <c r="I794" i="3"/>
  <c r="H794" i="3"/>
  <c r="K794" i="3"/>
  <c r="E794" i="3" s="1"/>
  <c r="J794" i="3"/>
  <c r="B795" i="3"/>
  <c r="C795" i="3"/>
  <c r="D796" i="3"/>
  <c r="L798" i="3"/>
  <c r="D799" i="3"/>
  <c r="D805" i="3"/>
  <c r="B805" i="3"/>
  <c r="C808" i="3"/>
  <c r="B808" i="3"/>
  <c r="C809" i="3"/>
  <c r="I810" i="3"/>
  <c r="H810" i="3"/>
  <c r="K810" i="3"/>
  <c r="E810" i="3" s="1"/>
  <c r="J810" i="3"/>
  <c r="B811" i="3"/>
  <c r="C811" i="3"/>
  <c r="D812" i="3"/>
  <c r="L814" i="3"/>
  <c r="D815" i="3"/>
  <c r="D821" i="3"/>
  <c r="B821" i="3"/>
  <c r="C824" i="3"/>
  <c r="B824" i="3"/>
  <c r="C825" i="3"/>
  <c r="I826" i="3"/>
  <c r="H826" i="3"/>
  <c r="K826" i="3"/>
  <c r="E826" i="3" s="1"/>
  <c r="J826" i="3"/>
  <c r="B827" i="3"/>
  <c r="C827" i="3"/>
  <c r="D828" i="3"/>
  <c r="L830" i="3"/>
  <c r="D831" i="3"/>
  <c r="D837" i="3"/>
  <c r="B837" i="3"/>
  <c r="C840" i="3"/>
  <c r="B840" i="3"/>
  <c r="C848" i="3"/>
  <c r="D848" i="3"/>
  <c r="B848" i="3"/>
  <c r="I862" i="3"/>
  <c r="K862" i="3"/>
  <c r="E862" i="3" s="1"/>
  <c r="J862" i="3"/>
  <c r="H862" i="3"/>
  <c r="L862" i="3"/>
  <c r="C867" i="3"/>
  <c r="B867" i="3"/>
  <c r="D867" i="3"/>
  <c r="L876" i="3"/>
  <c r="H876" i="3"/>
  <c r="J876" i="3"/>
  <c r="K876" i="3"/>
  <c r="E876" i="3" s="1"/>
  <c r="F906" i="3"/>
  <c r="G906" i="3"/>
  <c r="I909" i="3"/>
  <c r="K909" i="3"/>
  <c r="E909" i="3" s="1"/>
  <c r="L909" i="3"/>
  <c r="J909" i="3"/>
  <c r="O909" i="3"/>
  <c r="D912" i="3"/>
  <c r="B912" i="3"/>
  <c r="B911" i="3"/>
  <c r="C912" i="3"/>
  <c r="I913" i="3"/>
  <c r="H913" i="3"/>
  <c r="L913" i="3"/>
  <c r="K913" i="3"/>
  <c r="E913" i="3" s="1"/>
  <c r="J913" i="3"/>
  <c r="K927" i="3"/>
  <c r="E927" i="3" s="1"/>
  <c r="J927" i="3"/>
  <c r="H927" i="3"/>
  <c r="L927" i="3"/>
  <c r="D936" i="3"/>
  <c r="C936" i="3"/>
  <c r="B936" i="3"/>
  <c r="B935" i="3"/>
  <c r="D952" i="3"/>
  <c r="C952" i="3"/>
  <c r="B952" i="3"/>
  <c r="B951" i="3"/>
  <c r="D968" i="3"/>
  <c r="C968" i="3"/>
  <c r="B968" i="3"/>
  <c r="B967" i="3"/>
  <c r="D984" i="3"/>
  <c r="C984" i="3"/>
  <c r="B984" i="3"/>
  <c r="B983" i="3"/>
  <c r="B573" i="3"/>
  <c r="B576" i="3"/>
  <c r="C579" i="3"/>
  <c r="B581" i="3"/>
  <c r="B584" i="3"/>
  <c r="C587" i="3"/>
  <c r="B589" i="3"/>
  <c r="B592" i="3"/>
  <c r="C595" i="3"/>
  <c r="L597" i="3"/>
  <c r="H597" i="3"/>
  <c r="L605" i="3"/>
  <c r="H605" i="3"/>
  <c r="L613" i="3"/>
  <c r="H613" i="3"/>
  <c r="L621" i="3"/>
  <c r="H621" i="3"/>
  <c r="L629" i="3"/>
  <c r="H629" i="3"/>
  <c r="L637" i="3"/>
  <c r="H637" i="3"/>
  <c r="L645" i="3"/>
  <c r="H645" i="3"/>
  <c r="L653" i="3"/>
  <c r="H653" i="3"/>
  <c r="B656" i="3"/>
  <c r="C659" i="3"/>
  <c r="B661" i="3"/>
  <c r="D664" i="3"/>
  <c r="B667" i="3"/>
  <c r="D668" i="3"/>
  <c r="B672" i="3"/>
  <c r="C676" i="3"/>
  <c r="B676" i="3"/>
  <c r="C677" i="3"/>
  <c r="C681" i="3"/>
  <c r="D683" i="3"/>
  <c r="B685" i="3"/>
  <c r="B686" i="3"/>
  <c r="D687" i="3"/>
  <c r="D689" i="3"/>
  <c r="B689" i="3"/>
  <c r="B690" i="3"/>
  <c r="C691" i="3"/>
  <c r="B695" i="3"/>
  <c r="C695" i="3"/>
  <c r="D696" i="3"/>
  <c r="B699" i="3"/>
  <c r="D700" i="3"/>
  <c r="D705" i="3"/>
  <c r="B705" i="3"/>
  <c r="C708" i="3"/>
  <c r="B708" i="3"/>
  <c r="C709" i="3"/>
  <c r="I710" i="3"/>
  <c r="K710" i="3"/>
  <c r="E710" i="3" s="1"/>
  <c r="H710" i="3"/>
  <c r="J710" i="3"/>
  <c r="B711" i="3"/>
  <c r="C711" i="3"/>
  <c r="D712" i="3"/>
  <c r="L714" i="3"/>
  <c r="D715" i="3"/>
  <c r="D721" i="3"/>
  <c r="B721" i="3"/>
  <c r="C724" i="3"/>
  <c r="B724" i="3"/>
  <c r="C725" i="3"/>
  <c r="I726" i="3"/>
  <c r="K726" i="3"/>
  <c r="E726" i="3" s="1"/>
  <c r="H726" i="3"/>
  <c r="J726" i="3"/>
  <c r="B727" i="3"/>
  <c r="C727" i="3"/>
  <c r="D728" i="3"/>
  <c r="L730" i="3"/>
  <c r="D731" i="3"/>
  <c r="D737" i="3"/>
  <c r="B737" i="3"/>
  <c r="C740" i="3"/>
  <c r="B740" i="3"/>
  <c r="C741" i="3"/>
  <c r="I742" i="3"/>
  <c r="K742" i="3"/>
  <c r="E742" i="3" s="1"/>
  <c r="H742" i="3"/>
  <c r="J742" i="3"/>
  <c r="B743" i="3"/>
  <c r="C743" i="3"/>
  <c r="D744" i="3"/>
  <c r="L746" i="3"/>
  <c r="D747" i="3"/>
  <c r="D753" i="3"/>
  <c r="B753" i="3"/>
  <c r="C756" i="3"/>
  <c r="B756" i="3"/>
  <c r="C757" i="3"/>
  <c r="I758" i="3"/>
  <c r="K758" i="3"/>
  <c r="E758" i="3" s="1"/>
  <c r="H758" i="3"/>
  <c r="J758" i="3"/>
  <c r="B759" i="3"/>
  <c r="C759" i="3"/>
  <c r="D760" i="3"/>
  <c r="L762" i="3"/>
  <c r="D763" i="3"/>
  <c r="D769" i="3"/>
  <c r="B769" i="3"/>
  <c r="C772" i="3"/>
  <c r="B772" i="3"/>
  <c r="C773" i="3"/>
  <c r="I774" i="3"/>
  <c r="K774" i="3"/>
  <c r="E774" i="3" s="1"/>
  <c r="H774" i="3"/>
  <c r="J774" i="3"/>
  <c r="B775" i="3"/>
  <c r="C775" i="3"/>
  <c r="D776" i="3"/>
  <c r="L778" i="3"/>
  <c r="D779" i="3"/>
  <c r="D785" i="3"/>
  <c r="B785" i="3"/>
  <c r="C788" i="3"/>
  <c r="B788" i="3"/>
  <c r="C789" i="3"/>
  <c r="I790" i="3"/>
  <c r="K790" i="3"/>
  <c r="E790" i="3" s="1"/>
  <c r="H790" i="3"/>
  <c r="J790" i="3"/>
  <c r="B791" i="3"/>
  <c r="C791" i="3"/>
  <c r="D792" i="3"/>
  <c r="L794" i="3"/>
  <c r="D795" i="3"/>
  <c r="D801" i="3"/>
  <c r="B801" i="3"/>
  <c r="C804" i="3"/>
  <c r="B804" i="3"/>
  <c r="C805" i="3"/>
  <c r="I806" i="3"/>
  <c r="K806" i="3"/>
  <c r="E806" i="3" s="1"/>
  <c r="H806" i="3"/>
  <c r="J806" i="3"/>
  <c r="B807" i="3"/>
  <c r="C807" i="3"/>
  <c r="D808" i="3"/>
  <c r="L810" i="3"/>
  <c r="D811" i="3"/>
  <c r="D817" i="3"/>
  <c r="B817" i="3"/>
  <c r="C820" i="3"/>
  <c r="B820" i="3"/>
  <c r="C821" i="3"/>
  <c r="I822" i="3"/>
  <c r="K822" i="3"/>
  <c r="E822" i="3" s="1"/>
  <c r="H822" i="3"/>
  <c r="J822" i="3"/>
  <c r="B823" i="3"/>
  <c r="C823" i="3"/>
  <c r="D824" i="3"/>
  <c r="L826" i="3"/>
  <c r="D827" i="3"/>
  <c r="D833" i="3"/>
  <c r="B833" i="3"/>
  <c r="C836" i="3"/>
  <c r="B836" i="3"/>
  <c r="C837" i="3"/>
  <c r="I838" i="3"/>
  <c r="K838" i="3"/>
  <c r="E838" i="3" s="1"/>
  <c r="H838" i="3"/>
  <c r="J838" i="3"/>
  <c r="B839" i="3"/>
  <c r="C839" i="3"/>
  <c r="D840" i="3"/>
  <c r="B843" i="3"/>
  <c r="D843" i="3"/>
  <c r="B842" i="3"/>
  <c r="C843" i="3"/>
  <c r="D845" i="3"/>
  <c r="C845" i="3"/>
  <c r="B845" i="3"/>
  <c r="C856" i="3"/>
  <c r="D856" i="3"/>
  <c r="B856" i="3"/>
  <c r="F874" i="3"/>
  <c r="G874" i="3"/>
  <c r="I877" i="3"/>
  <c r="K877" i="3"/>
  <c r="E877" i="3" s="1"/>
  <c r="L877" i="3"/>
  <c r="J877" i="3"/>
  <c r="D880" i="3"/>
  <c r="B880" i="3"/>
  <c r="B879" i="3"/>
  <c r="C880" i="3"/>
  <c r="I881" i="3"/>
  <c r="H881" i="3"/>
  <c r="L881" i="3"/>
  <c r="K881" i="3"/>
  <c r="E881" i="3" s="1"/>
  <c r="J881" i="3"/>
  <c r="K895" i="3"/>
  <c r="E895" i="3" s="1"/>
  <c r="J895" i="3"/>
  <c r="H895" i="3"/>
  <c r="L895" i="3"/>
  <c r="I908" i="3"/>
  <c r="D916" i="3"/>
  <c r="C916" i="3"/>
  <c r="B916" i="3"/>
  <c r="B918" i="3"/>
  <c r="C918" i="3"/>
  <c r="D918" i="3"/>
  <c r="B917" i="3"/>
  <c r="B922" i="3"/>
  <c r="D922" i="3"/>
  <c r="C922" i="3"/>
  <c r="B921" i="3"/>
  <c r="F925" i="3"/>
  <c r="G925" i="3"/>
  <c r="G929" i="3"/>
  <c r="F929" i="3"/>
  <c r="I945" i="3"/>
  <c r="J945" i="3"/>
  <c r="H945" i="3"/>
  <c r="L945" i="3"/>
  <c r="K945" i="3"/>
  <c r="E945" i="3" s="1"/>
  <c r="I961" i="3"/>
  <c r="J961" i="3"/>
  <c r="H961" i="3"/>
  <c r="L961" i="3"/>
  <c r="K961" i="3"/>
  <c r="E961" i="3" s="1"/>
  <c r="I977" i="3"/>
  <c r="J977" i="3"/>
  <c r="H977" i="3"/>
  <c r="L977" i="3"/>
  <c r="K977" i="3"/>
  <c r="E977" i="3" s="1"/>
  <c r="B866" i="3"/>
  <c r="C875" i="3"/>
  <c r="B875" i="3"/>
  <c r="D888" i="3"/>
  <c r="B888" i="3"/>
  <c r="B894" i="3"/>
  <c r="C894" i="3"/>
  <c r="B898" i="3"/>
  <c r="C907" i="3"/>
  <c r="B907" i="3"/>
  <c r="D920" i="3"/>
  <c r="B920" i="3"/>
  <c r="B926" i="3"/>
  <c r="C926" i="3"/>
  <c r="B930" i="3"/>
  <c r="C939" i="3"/>
  <c r="D939" i="3"/>
  <c r="B939" i="3"/>
  <c r="L940" i="3"/>
  <c r="H940" i="3"/>
  <c r="K940" i="3"/>
  <c r="E940" i="3" s="1"/>
  <c r="J940" i="3"/>
  <c r="B942" i="3"/>
  <c r="D942" i="3"/>
  <c r="B941" i="3"/>
  <c r="C942" i="3"/>
  <c r="C947" i="3"/>
  <c r="D947" i="3"/>
  <c r="B947" i="3"/>
  <c r="L948" i="3"/>
  <c r="H948" i="3"/>
  <c r="K948" i="3"/>
  <c r="E948" i="3" s="1"/>
  <c r="J948" i="3"/>
  <c r="B950" i="3"/>
  <c r="D950" i="3"/>
  <c r="B949" i="3"/>
  <c r="C950" i="3"/>
  <c r="C955" i="3"/>
  <c r="D955" i="3"/>
  <c r="B955" i="3"/>
  <c r="L956" i="3"/>
  <c r="H956" i="3"/>
  <c r="K956" i="3"/>
  <c r="E956" i="3" s="1"/>
  <c r="J956" i="3"/>
  <c r="B958" i="3"/>
  <c r="D958" i="3"/>
  <c r="B957" i="3"/>
  <c r="C958" i="3"/>
  <c r="C963" i="3"/>
  <c r="D963" i="3"/>
  <c r="B963" i="3"/>
  <c r="L964" i="3"/>
  <c r="H964" i="3"/>
  <c r="K964" i="3"/>
  <c r="E964" i="3" s="1"/>
  <c r="J964" i="3"/>
  <c r="B966" i="3"/>
  <c r="D966" i="3"/>
  <c r="B965" i="3"/>
  <c r="C966" i="3"/>
  <c r="C971" i="3"/>
  <c r="D971" i="3"/>
  <c r="B971" i="3"/>
  <c r="L972" i="3"/>
  <c r="H972" i="3"/>
  <c r="K972" i="3"/>
  <c r="E972" i="3" s="1"/>
  <c r="J972" i="3"/>
  <c r="B974" i="3"/>
  <c r="D974" i="3"/>
  <c r="B973" i="3"/>
  <c r="C974" i="3"/>
  <c r="C979" i="3"/>
  <c r="D979" i="3"/>
  <c r="B979" i="3"/>
  <c r="L980" i="3"/>
  <c r="H980" i="3"/>
  <c r="K980" i="3"/>
  <c r="E980" i="3" s="1"/>
  <c r="J980" i="3"/>
  <c r="B982" i="3"/>
  <c r="D982" i="3"/>
  <c r="B981" i="3"/>
  <c r="C982" i="3"/>
  <c r="C987" i="3"/>
  <c r="D987" i="3"/>
  <c r="B987" i="3"/>
  <c r="L988" i="3"/>
  <c r="H988" i="3"/>
  <c r="K988" i="3"/>
  <c r="E988" i="3" s="1"/>
  <c r="J988" i="3"/>
  <c r="B990" i="3"/>
  <c r="D990" i="3"/>
  <c r="B989" i="3"/>
  <c r="C990" i="3"/>
  <c r="L996" i="3"/>
  <c r="H996" i="3"/>
  <c r="K996" i="3"/>
  <c r="E996" i="3" s="1"/>
  <c r="J996" i="3"/>
  <c r="I996" i="3"/>
  <c r="K999" i="3"/>
  <c r="E999" i="3" s="1"/>
  <c r="L999" i="3"/>
  <c r="J999" i="3"/>
  <c r="I999" i="3"/>
  <c r="B847" i="3"/>
  <c r="B855" i="3"/>
  <c r="K863" i="3"/>
  <c r="E863" i="3" s="1"/>
  <c r="J863" i="3"/>
  <c r="D864" i="3"/>
  <c r="B864" i="3"/>
  <c r="I865" i="3"/>
  <c r="H865" i="3"/>
  <c r="B870" i="3"/>
  <c r="C870" i="3"/>
  <c r="J874" i="3"/>
  <c r="K874" i="3"/>
  <c r="E874" i="3" s="1"/>
  <c r="H874" i="3"/>
  <c r="C883" i="3"/>
  <c r="B883" i="3"/>
  <c r="L892" i="3"/>
  <c r="H892" i="3"/>
  <c r="J892" i="3"/>
  <c r="I892" i="3"/>
  <c r="I893" i="3"/>
  <c r="K893" i="3"/>
  <c r="E893" i="3" s="1"/>
  <c r="H893" i="3"/>
  <c r="D896" i="3"/>
  <c r="B896" i="3"/>
  <c r="I897" i="3"/>
  <c r="H897" i="3"/>
  <c r="B902" i="3"/>
  <c r="C902" i="3"/>
  <c r="J906" i="3"/>
  <c r="K906" i="3"/>
  <c r="E906" i="3" s="1"/>
  <c r="H906" i="3"/>
  <c r="C915" i="3"/>
  <c r="B915" i="3"/>
  <c r="L924" i="3"/>
  <c r="H924" i="3"/>
  <c r="J924" i="3"/>
  <c r="I924" i="3"/>
  <c r="I925" i="3"/>
  <c r="K925" i="3"/>
  <c r="E925" i="3" s="1"/>
  <c r="H925" i="3"/>
  <c r="D928" i="3"/>
  <c r="B928" i="3"/>
  <c r="I929" i="3"/>
  <c r="H929" i="3"/>
  <c r="B934" i="3"/>
  <c r="C934" i="3"/>
  <c r="B841" i="3"/>
  <c r="B844" i="3"/>
  <c r="C847" i="3"/>
  <c r="B849" i="3"/>
  <c r="B852" i="3"/>
  <c r="C855" i="3"/>
  <c r="B857" i="3"/>
  <c r="B860" i="3"/>
  <c r="C863" i="3"/>
  <c r="H863" i="3"/>
  <c r="C864" i="3"/>
  <c r="J865" i="3"/>
  <c r="D866" i="3"/>
  <c r="B868" i="3"/>
  <c r="B869" i="3"/>
  <c r="D870" i="3"/>
  <c r="D872" i="3"/>
  <c r="B872" i="3"/>
  <c r="B873" i="3"/>
  <c r="C874" i="3"/>
  <c r="I874" i="3"/>
  <c r="B878" i="3"/>
  <c r="C878" i="3"/>
  <c r="D879" i="3"/>
  <c r="B882" i="3"/>
  <c r="D883" i="3"/>
  <c r="B887" i="3"/>
  <c r="C891" i="3"/>
  <c r="B891" i="3"/>
  <c r="C892" i="3"/>
  <c r="K892" i="3"/>
  <c r="E892" i="3" s="1"/>
  <c r="J893" i="3"/>
  <c r="C896" i="3"/>
  <c r="J897" i="3"/>
  <c r="D898" i="3"/>
  <c r="B900" i="3"/>
  <c r="B901" i="3"/>
  <c r="D902" i="3"/>
  <c r="D904" i="3"/>
  <c r="B904" i="3"/>
  <c r="B905" i="3"/>
  <c r="C906" i="3"/>
  <c r="I906" i="3"/>
  <c r="B910" i="3"/>
  <c r="C910" i="3"/>
  <c r="D911" i="3"/>
  <c r="B914" i="3"/>
  <c r="D915" i="3"/>
  <c r="B919" i="3"/>
  <c r="C923" i="3"/>
  <c r="B923" i="3"/>
  <c r="C924" i="3"/>
  <c r="K924" i="3"/>
  <c r="E924" i="3" s="1"/>
  <c r="J925" i="3"/>
  <c r="C928" i="3"/>
  <c r="J929" i="3"/>
  <c r="D930" i="3"/>
  <c r="B932" i="3"/>
  <c r="B933" i="3"/>
  <c r="D934" i="3"/>
  <c r="H999" i="3"/>
  <c r="J1004" i="3"/>
  <c r="I1004" i="3"/>
  <c r="L1004" i="3"/>
  <c r="H1004" i="3"/>
  <c r="K1004" i="3"/>
  <c r="E1004" i="3" s="1"/>
  <c r="L993" i="3"/>
  <c r="L998" i="3"/>
  <c r="K1001" i="3"/>
  <c r="E1001" i="3" s="1"/>
  <c r="I1001" i="3"/>
  <c r="L1001" i="3"/>
  <c r="H1001" i="3"/>
  <c r="J1001" i="3"/>
  <c r="H993" i="3"/>
  <c r="B995" i="3"/>
  <c r="C998" i="3"/>
  <c r="H998" i="3"/>
  <c r="B1000" i="3"/>
  <c r="B938" i="3"/>
  <c r="B946" i="3"/>
  <c r="B954" i="3"/>
  <c r="B962" i="3"/>
  <c r="B970" i="3"/>
  <c r="B978" i="3"/>
  <c r="B986" i="3"/>
  <c r="J993" i="3"/>
  <c r="B994" i="3"/>
  <c r="D995" i="3"/>
  <c r="B997" i="3"/>
  <c r="D998" i="3"/>
  <c r="I998" i="3"/>
  <c r="C1000" i="3"/>
  <c r="B1003" i="3"/>
  <c r="C1004" i="3"/>
  <c r="D1005" i="3"/>
  <c r="B1002" i="3"/>
  <c r="D1004" i="3"/>
  <c r="B1005" i="3"/>
  <c r="P174" i="3" l="1"/>
  <c r="O121" i="3"/>
  <c r="O161" i="3"/>
  <c r="O129" i="3"/>
  <c r="N161" i="3"/>
  <c r="J20" i="3"/>
  <c r="S174" i="3"/>
  <c r="Q129" i="3"/>
  <c r="M121" i="3"/>
  <c r="I18" i="3"/>
  <c r="M161" i="3"/>
  <c r="M174" i="3"/>
  <c r="S129" i="3"/>
  <c r="Q121" i="3"/>
  <c r="P161" i="3"/>
  <c r="P129" i="3"/>
  <c r="H20" i="3"/>
  <c r="O174" i="3"/>
  <c r="Q161" i="3"/>
  <c r="N174" i="3"/>
  <c r="N129" i="3"/>
  <c r="S121" i="3"/>
  <c r="L18" i="3"/>
  <c r="K14" i="3"/>
  <c r="L20" i="3"/>
  <c r="H18" i="3"/>
  <c r="H14" i="3"/>
  <c r="L14" i="3"/>
  <c r="K16" i="3"/>
  <c r="I905" i="3"/>
  <c r="H905" i="3"/>
  <c r="L905" i="3"/>
  <c r="K905" i="3"/>
  <c r="E905" i="3" s="1"/>
  <c r="J905" i="3"/>
  <c r="I901" i="3"/>
  <c r="K901" i="3"/>
  <c r="E901" i="3" s="1"/>
  <c r="H901" i="3"/>
  <c r="L901" i="3"/>
  <c r="J901" i="3"/>
  <c r="K987" i="3"/>
  <c r="E987" i="3" s="1"/>
  <c r="I987" i="3"/>
  <c r="H987" i="3"/>
  <c r="L987" i="3"/>
  <c r="J987" i="3"/>
  <c r="I981" i="3"/>
  <c r="L981" i="3"/>
  <c r="K981" i="3"/>
  <c r="E981" i="3" s="1"/>
  <c r="J981" i="3"/>
  <c r="H981" i="3"/>
  <c r="J966" i="3"/>
  <c r="I966" i="3"/>
  <c r="H966" i="3"/>
  <c r="L966" i="3"/>
  <c r="K966" i="3"/>
  <c r="E966" i="3" s="1"/>
  <c r="F964" i="3"/>
  <c r="G964" i="3"/>
  <c r="P940" i="3"/>
  <c r="Q940" i="3"/>
  <c r="O940" i="3"/>
  <c r="R940" i="3"/>
  <c r="N940" i="3"/>
  <c r="M940" i="3"/>
  <c r="S940" i="3"/>
  <c r="Q838" i="3"/>
  <c r="M838" i="3"/>
  <c r="P838" i="3"/>
  <c r="S838" i="3"/>
  <c r="N838" i="3"/>
  <c r="R838" i="3"/>
  <c r="O838" i="3"/>
  <c r="K836" i="3"/>
  <c r="E836" i="3" s="1"/>
  <c r="H836" i="3"/>
  <c r="J836" i="3"/>
  <c r="L836" i="3"/>
  <c r="I836" i="3"/>
  <c r="J791" i="3"/>
  <c r="H791" i="3"/>
  <c r="K791" i="3"/>
  <c r="E791" i="3" s="1"/>
  <c r="L791" i="3"/>
  <c r="I791" i="3"/>
  <c r="L785" i="3"/>
  <c r="H785" i="3"/>
  <c r="J785" i="3"/>
  <c r="K785" i="3"/>
  <c r="E785" i="3" s="1"/>
  <c r="I785" i="3"/>
  <c r="Q742" i="3"/>
  <c r="M742" i="3"/>
  <c r="P742" i="3"/>
  <c r="S742" i="3"/>
  <c r="N742" i="3"/>
  <c r="R742" i="3"/>
  <c r="O742" i="3"/>
  <c r="K740" i="3"/>
  <c r="E740" i="3" s="1"/>
  <c r="H740" i="3"/>
  <c r="J740" i="3"/>
  <c r="L740" i="3"/>
  <c r="I740" i="3"/>
  <c r="J695" i="3"/>
  <c r="H695" i="3"/>
  <c r="I695" i="3"/>
  <c r="L695" i="3"/>
  <c r="K695" i="3"/>
  <c r="E695" i="3" s="1"/>
  <c r="P653" i="3"/>
  <c r="R653" i="3"/>
  <c r="M653" i="3"/>
  <c r="Q653" i="3"/>
  <c r="O653" i="3"/>
  <c r="S653" i="3"/>
  <c r="N653" i="3"/>
  <c r="P637" i="3"/>
  <c r="R637" i="3"/>
  <c r="M637" i="3"/>
  <c r="Q637" i="3"/>
  <c r="O637" i="3"/>
  <c r="S637" i="3"/>
  <c r="N637" i="3"/>
  <c r="P621" i="3"/>
  <c r="R621" i="3"/>
  <c r="M621" i="3"/>
  <c r="Q621" i="3"/>
  <c r="O621" i="3"/>
  <c r="N621" i="3"/>
  <c r="S621" i="3"/>
  <c r="P605" i="3"/>
  <c r="R605" i="3"/>
  <c r="M605" i="3"/>
  <c r="Q605" i="3"/>
  <c r="O605" i="3"/>
  <c r="S605" i="3"/>
  <c r="N605" i="3"/>
  <c r="K584" i="3"/>
  <c r="E584" i="3" s="1"/>
  <c r="H584" i="3"/>
  <c r="L584" i="3"/>
  <c r="J584" i="3"/>
  <c r="I584" i="3"/>
  <c r="L573" i="3"/>
  <c r="H573" i="3"/>
  <c r="K573" i="3"/>
  <c r="E573" i="3" s="1"/>
  <c r="J573" i="3"/>
  <c r="I573" i="3"/>
  <c r="J827" i="3"/>
  <c r="K827" i="3"/>
  <c r="E827" i="3" s="1"/>
  <c r="H827" i="3"/>
  <c r="L827" i="3"/>
  <c r="I827" i="3"/>
  <c r="L821" i="3"/>
  <c r="H821" i="3"/>
  <c r="J821" i="3"/>
  <c r="K821" i="3"/>
  <c r="E821" i="3" s="1"/>
  <c r="I821" i="3"/>
  <c r="J795" i="3"/>
  <c r="K795" i="3"/>
  <c r="E795" i="3" s="1"/>
  <c r="H795" i="3"/>
  <c r="L795" i="3"/>
  <c r="I795" i="3"/>
  <c r="L789" i="3"/>
  <c r="H789" i="3"/>
  <c r="J789" i="3"/>
  <c r="K789" i="3"/>
  <c r="E789" i="3" s="1"/>
  <c r="I789" i="3"/>
  <c r="K776" i="3"/>
  <c r="E776" i="3" s="1"/>
  <c r="J776" i="3"/>
  <c r="H776" i="3"/>
  <c r="L776" i="3"/>
  <c r="I776" i="3"/>
  <c r="K744" i="3"/>
  <c r="E744" i="3" s="1"/>
  <c r="J744" i="3"/>
  <c r="H744" i="3"/>
  <c r="L744" i="3"/>
  <c r="I744" i="3"/>
  <c r="K712" i="3"/>
  <c r="E712" i="3" s="1"/>
  <c r="J712" i="3"/>
  <c r="H712" i="3"/>
  <c r="L712" i="3"/>
  <c r="I712" i="3"/>
  <c r="K696" i="3"/>
  <c r="E696" i="3" s="1"/>
  <c r="J696" i="3"/>
  <c r="L696" i="3"/>
  <c r="I696" i="3"/>
  <c r="H696" i="3"/>
  <c r="F854" i="3"/>
  <c r="G854" i="3"/>
  <c r="Q830" i="3"/>
  <c r="M830" i="3"/>
  <c r="P830" i="3"/>
  <c r="S830" i="3"/>
  <c r="N830" i="3"/>
  <c r="O830" i="3"/>
  <c r="R830" i="3"/>
  <c r="Q766" i="3"/>
  <c r="M766" i="3"/>
  <c r="P766" i="3"/>
  <c r="S766" i="3"/>
  <c r="N766" i="3"/>
  <c r="O766" i="3"/>
  <c r="R766" i="3"/>
  <c r="Q734" i="3"/>
  <c r="M734" i="3"/>
  <c r="P734" i="3"/>
  <c r="S734" i="3"/>
  <c r="N734" i="3"/>
  <c r="O734" i="3"/>
  <c r="R734" i="3"/>
  <c r="Q702" i="3"/>
  <c r="M702" i="3"/>
  <c r="P702" i="3"/>
  <c r="S702" i="3"/>
  <c r="N702" i="3"/>
  <c r="O702" i="3"/>
  <c r="R702" i="3"/>
  <c r="J970" i="3"/>
  <c r="L970" i="3"/>
  <c r="K970" i="3"/>
  <c r="E970" i="3" s="1"/>
  <c r="I970" i="3"/>
  <c r="H970" i="3"/>
  <c r="K995" i="3"/>
  <c r="E995" i="3" s="1"/>
  <c r="I995" i="3"/>
  <c r="H995" i="3"/>
  <c r="L995" i="3"/>
  <c r="J995" i="3"/>
  <c r="G993" i="3"/>
  <c r="F993" i="3"/>
  <c r="K923" i="3"/>
  <c r="E923" i="3" s="1"/>
  <c r="H923" i="3"/>
  <c r="I923" i="3"/>
  <c r="L923" i="3"/>
  <c r="J923" i="3"/>
  <c r="J914" i="3"/>
  <c r="K914" i="3"/>
  <c r="E914" i="3" s="1"/>
  <c r="H914" i="3"/>
  <c r="L914" i="3"/>
  <c r="I914" i="3"/>
  <c r="K887" i="3"/>
  <c r="E887" i="3" s="1"/>
  <c r="J887" i="3"/>
  <c r="I887" i="3"/>
  <c r="H887" i="3"/>
  <c r="L887" i="3"/>
  <c r="L857" i="3"/>
  <c r="H857" i="3"/>
  <c r="K857" i="3"/>
  <c r="E857" i="3" s="1"/>
  <c r="J857" i="3"/>
  <c r="I857" i="3"/>
  <c r="J934" i="3"/>
  <c r="H934" i="3"/>
  <c r="K934" i="3"/>
  <c r="E934" i="3" s="1"/>
  <c r="I934" i="3"/>
  <c r="L934" i="3"/>
  <c r="K915" i="3"/>
  <c r="E915" i="3" s="1"/>
  <c r="H915" i="3"/>
  <c r="J915" i="3"/>
  <c r="I915" i="3"/>
  <c r="L915" i="3"/>
  <c r="J847" i="3"/>
  <c r="H847" i="3"/>
  <c r="L847" i="3"/>
  <c r="K847" i="3"/>
  <c r="E847" i="3" s="1"/>
  <c r="I847" i="3"/>
  <c r="P996" i="3"/>
  <c r="Q996" i="3"/>
  <c r="O996" i="3"/>
  <c r="S996" i="3"/>
  <c r="N996" i="3"/>
  <c r="R996" i="3"/>
  <c r="M996" i="3"/>
  <c r="P988" i="3"/>
  <c r="Q988" i="3"/>
  <c r="O988" i="3"/>
  <c r="R988" i="3"/>
  <c r="N988" i="3"/>
  <c r="M988" i="3"/>
  <c r="S988" i="3"/>
  <c r="J982" i="3"/>
  <c r="I982" i="3"/>
  <c r="H982" i="3"/>
  <c r="L982" i="3"/>
  <c r="K982" i="3"/>
  <c r="E982" i="3" s="1"/>
  <c r="F980" i="3"/>
  <c r="G980" i="3"/>
  <c r="K971" i="3"/>
  <c r="E971" i="3" s="1"/>
  <c r="I971" i="3"/>
  <c r="H971" i="3"/>
  <c r="L971" i="3"/>
  <c r="J971" i="3"/>
  <c r="I965" i="3"/>
  <c r="L965" i="3"/>
  <c r="K965" i="3"/>
  <c r="E965" i="3" s="1"/>
  <c r="J965" i="3"/>
  <c r="H965" i="3"/>
  <c r="K907" i="3"/>
  <c r="E907" i="3" s="1"/>
  <c r="H907" i="3"/>
  <c r="L907" i="3"/>
  <c r="J907" i="3"/>
  <c r="I907" i="3"/>
  <c r="J894" i="3"/>
  <c r="H894" i="3"/>
  <c r="L894" i="3"/>
  <c r="K894" i="3"/>
  <c r="E894" i="3" s="1"/>
  <c r="I894" i="3"/>
  <c r="J922" i="3"/>
  <c r="K922" i="3"/>
  <c r="E922" i="3" s="1"/>
  <c r="L922" i="3"/>
  <c r="I922" i="3"/>
  <c r="H922" i="3"/>
  <c r="Q822" i="3"/>
  <c r="M822" i="3"/>
  <c r="P822" i="3"/>
  <c r="S822" i="3"/>
  <c r="N822" i="3"/>
  <c r="R822" i="3"/>
  <c r="O822" i="3"/>
  <c r="K820" i="3"/>
  <c r="E820" i="3" s="1"/>
  <c r="H820" i="3"/>
  <c r="J820" i="3"/>
  <c r="L820" i="3"/>
  <c r="I820" i="3"/>
  <c r="Q790" i="3"/>
  <c r="M790" i="3"/>
  <c r="P790" i="3"/>
  <c r="S790" i="3"/>
  <c r="N790" i="3"/>
  <c r="R790" i="3"/>
  <c r="O790" i="3"/>
  <c r="K788" i="3"/>
  <c r="E788" i="3" s="1"/>
  <c r="H788" i="3"/>
  <c r="J788" i="3"/>
  <c r="L788" i="3"/>
  <c r="I788" i="3"/>
  <c r="Q758" i="3"/>
  <c r="M758" i="3"/>
  <c r="P758" i="3"/>
  <c r="S758" i="3"/>
  <c r="N758" i="3"/>
  <c r="R758" i="3"/>
  <c r="O758" i="3"/>
  <c r="K756" i="3"/>
  <c r="E756" i="3" s="1"/>
  <c r="H756" i="3"/>
  <c r="J756" i="3"/>
  <c r="L756" i="3"/>
  <c r="I756" i="3"/>
  <c r="K1005" i="3"/>
  <c r="E1005" i="3" s="1"/>
  <c r="J1005" i="3"/>
  <c r="I1005" i="3"/>
  <c r="L1005" i="3"/>
  <c r="H1005" i="3"/>
  <c r="J962" i="3"/>
  <c r="L962" i="3"/>
  <c r="K962" i="3"/>
  <c r="E962" i="3" s="1"/>
  <c r="I962" i="3"/>
  <c r="H962" i="3"/>
  <c r="L1000" i="3"/>
  <c r="H1000" i="3"/>
  <c r="I1000" i="3"/>
  <c r="K1000" i="3"/>
  <c r="E1000" i="3" s="1"/>
  <c r="J1000" i="3"/>
  <c r="Q993" i="3"/>
  <c r="M993" i="3"/>
  <c r="O993" i="3"/>
  <c r="S993" i="3"/>
  <c r="N993" i="3"/>
  <c r="R993" i="3"/>
  <c r="P993" i="3"/>
  <c r="L932" i="3"/>
  <c r="H932" i="3"/>
  <c r="J932" i="3"/>
  <c r="I932" i="3"/>
  <c r="K932" i="3"/>
  <c r="E932" i="3" s="1"/>
  <c r="J878" i="3"/>
  <c r="H878" i="3"/>
  <c r="I878" i="3"/>
  <c r="L878" i="3"/>
  <c r="K878" i="3"/>
  <c r="E878" i="3" s="1"/>
  <c r="L872" i="3"/>
  <c r="H872" i="3"/>
  <c r="I872" i="3"/>
  <c r="K872" i="3"/>
  <c r="E872" i="3" s="1"/>
  <c r="J872" i="3"/>
  <c r="L868" i="3"/>
  <c r="H868" i="3"/>
  <c r="J868" i="3"/>
  <c r="I868" i="3"/>
  <c r="K868" i="3"/>
  <c r="E868" i="3" s="1"/>
  <c r="S863" i="3"/>
  <c r="O863" i="3"/>
  <c r="P863" i="3"/>
  <c r="N863" i="3"/>
  <c r="M863" i="3"/>
  <c r="R863" i="3"/>
  <c r="Q863" i="3"/>
  <c r="K844" i="3"/>
  <c r="E844" i="3" s="1"/>
  <c r="H844" i="3"/>
  <c r="L844" i="3"/>
  <c r="J844" i="3"/>
  <c r="I844" i="3"/>
  <c r="Q929" i="3"/>
  <c r="M929" i="3"/>
  <c r="S929" i="3"/>
  <c r="N929" i="3"/>
  <c r="P929" i="3"/>
  <c r="O929" i="3"/>
  <c r="R929" i="3"/>
  <c r="Q925" i="3"/>
  <c r="M925" i="3"/>
  <c r="P925" i="3"/>
  <c r="R925" i="3"/>
  <c r="O925" i="3"/>
  <c r="N925" i="3"/>
  <c r="S925" i="3"/>
  <c r="L896" i="3"/>
  <c r="H896" i="3"/>
  <c r="J896" i="3"/>
  <c r="I896" i="3"/>
  <c r="K896" i="3"/>
  <c r="E896" i="3" s="1"/>
  <c r="G892" i="3"/>
  <c r="F892" i="3"/>
  <c r="Q865" i="3"/>
  <c r="M865" i="3"/>
  <c r="S865" i="3"/>
  <c r="N865" i="3"/>
  <c r="P865" i="3"/>
  <c r="O865" i="3"/>
  <c r="R865" i="3"/>
  <c r="F996" i="3"/>
  <c r="G996" i="3"/>
  <c r="J990" i="3"/>
  <c r="I990" i="3"/>
  <c r="H990" i="3"/>
  <c r="L990" i="3"/>
  <c r="K990" i="3"/>
  <c r="E990" i="3" s="1"/>
  <c r="F988" i="3"/>
  <c r="G988" i="3"/>
  <c r="K979" i="3"/>
  <c r="E979" i="3" s="1"/>
  <c r="I979" i="3"/>
  <c r="H979" i="3"/>
  <c r="L979" i="3"/>
  <c r="J979" i="3"/>
  <c r="I973" i="3"/>
  <c r="L973" i="3"/>
  <c r="K973" i="3"/>
  <c r="E973" i="3" s="1"/>
  <c r="J973" i="3"/>
  <c r="H973" i="3"/>
  <c r="P964" i="3"/>
  <c r="Q964" i="3"/>
  <c r="O964" i="3"/>
  <c r="R964" i="3"/>
  <c r="N964" i="3"/>
  <c r="M964" i="3"/>
  <c r="S964" i="3"/>
  <c r="J958" i="3"/>
  <c r="I958" i="3"/>
  <c r="H958" i="3"/>
  <c r="L958" i="3"/>
  <c r="K958" i="3"/>
  <c r="E958" i="3" s="1"/>
  <c r="F956" i="3"/>
  <c r="G956" i="3"/>
  <c r="K947" i="3"/>
  <c r="E947" i="3" s="1"/>
  <c r="I947" i="3"/>
  <c r="H947" i="3"/>
  <c r="L947" i="3"/>
  <c r="J947" i="3"/>
  <c r="I941" i="3"/>
  <c r="L941" i="3"/>
  <c r="K941" i="3"/>
  <c r="E941" i="3" s="1"/>
  <c r="J941" i="3"/>
  <c r="H941" i="3"/>
  <c r="J926" i="3"/>
  <c r="H926" i="3"/>
  <c r="L926" i="3"/>
  <c r="K926" i="3"/>
  <c r="E926" i="3" s="1"/>
  <c r="I926" i="3"/>
  <c r="L888" i="3"/>
  <c r="H888" i="3"/>
  <c r="K888" i="3"/>
  <c r="E888" i="3" s="1"/>
  <c r="J888" i="3"/>
  <c r="I888" i="3"/>
  <c r="J866" i="3"/>
  <c r="K866" i="3"/>
  <c r="E866" i="3" s="1"/>
  <c r="L866" i="3"/>
  <c r="I866" i="3"/>
  <c r="H866" i="3"/>
  <c r="Q961" i="3"/>
  <c r="M961" i="3"/>
  <c r="O961" i="3"/>
  <c r="S961" i="3"/>
  <c r="N961" i="3"/>
  <c r="P961" i="3"/>
  <c r="R961" i="3"/>
  <c r="F945" i="3"/>
  <c r="G945" i="3"/>
  <c r="I921" i="3"/>
  <c r="H921" i="3"/>
  <c r="K921" i="3"/>
  <c r="E921" i="3" s="1"/>
  <c r="J921" i="3"/>
  <c r="L921" i="3"/>
  <c r="I917" i="3"/>
  <c r="K917" i="3"/>
  <c r="E917" i="3" s="1"/>
  <c r="L917" i="3"/>
  <c r="J917" i="3"/>
  <c r="H917" i="3"/>
  <c r="L916" i="3"/>
  <c r="H916" i="3"/>
  <c r="J916" i="3"/>
  <c r="K916" i="3"/>
  <c r="E916" i="3" s="1"/>
  <c r="I916" i="3"/>
  <c r="G895" i="3"/>
  <c r="F895" i="3"/>
  <c r="J843" i="3"/>
  <c r="K843" i="3"/>
  <c r="E843" i="3" s="1"/>
  <c r="I843" i="3"/>
  <c r="H843" i="3"/>
  <c r="L843" i="3"/>
  <c r="F810" i="3"/>
  <c r="G810" i="3"/>
  <c r="F778" i="3"/>
  <c r="G778" i="3"/>
  <c r="F746" i="3"/>
  <c r="G746" i="3"/>
  <c r="F714" i="3"/>
  <c r="G714" i="3"/>
  <c r="L689" i="3"/>
  <c r="H689" i="3"/>
  <c r="I689" i="3"/>
  <c r="K689" i="3"/>
  <c r="E689" i="3" s="1"/>
  <c r="J689" i="3"/>
  <c r="L685" i="3"/>
  <c r="H685" i="3"/>
  <c r="J685" i="3"/>
  <c r="I685" i="3"/>
  <c r="K685" i="3"/>
  <c r="E685" i="3" s="1"/>
  <c r="K676" i="3"/>
  <c r="E676" i="3" s="1"/>
  <c r="H676" i="3"/>
  <c r="I676" i="3"/>
  <c r="L676" i="3"/>
  <c r="J676" i="3"/>
  <c r="J667" i="3"/>
  <c r="K667" i="3"/>
  <c r="E667" i="3" s="1"/>
  <c r="H667" i="3"/>
  <c r="L667" i="3"/>
  <c r="I667" i="3"/>
  <c r="K656" i="3"/>
  <c r="E656" i="3" s="1"/>
  <c r="H656" i="3"/>
  <c r="L656" i="3"/>
  <c r="J656" i="3"/>
  <c r="I656" i="3"/>
  <c r="G645" i="3"/>
  <c r="F645" i="3"/>
  <c r="G629" i="3"/>
  <c r="F629" i="3"/>
  <c r="G613" i="3"/>
  <c r="F613" i="3"/>
  <c r="G597" i="3"/>
  <c r="F597" i="3"/>
  <c r="K576" i="3"/>
  <c r="E576" i="3" s="1"/>
  <c r="H576" i="3"/>
  <c r="L576" i="3"/>
  <c r="J576" i="3"/>
  <c r="I576" i="3"/>
  <c r="F913" i="3"/>
  <c r="G913" i="3"/>
  <c r="K911" i="3"/>
  <c r="E911" i="3" s="1"/>
  <c r="J911" i="3"/>
  <c r="L911" i="3"/>
  <c r="I911" i="3"/>
  <c r="H911" i="3"/>
  <c r="P876" i="3"/>
  <c r="O876" i="3"/>
  <c r="N876" i="3"/>
  <c r="S876" i="3"/>
  <c r="M876" i="3"/>
  <c r="R876" i="3"/>
  <c r="Q876" i="3"/>
  <c r="Q826" i="3"/>
  <c r="M826" i="3"/>
  <c r="S826" i="3"/>
  <c r="N826" i="3"/>
  <c r="P826" i="3"/>
  <c r="R826" i="3"/>
  <c r="O826" i="3"/>
  <c r="F814" i="3"/>
  <c r="G814" i="3"/>
  <c r="Q794" i="3"/>
  <c r="M794" i="3"/>
  <c r="S794" i="3"/>
  <c r="N794" i="3"/>
  <c r="P794" i="3"/>
  <c r="R794" i="3"/>
  <c r="O794" i="3"/>
  <c r="F782" i="3"/>
  <c r="G782" i="3"/>
  <c r="Q762" i="3"/>
  <c r="M762" i="3"/>
  <c r="S762" i="3"/>
  <c r="N762" i="3"/>
  <c r="P762" i="3"/>
  <c r="R762" i="3"/>
  <c r="O762" i="3"/>
  <c r="F750" i="3"/>
  <c r="G750" i="3"/>
  <c r="Q730" i="3"/>
  <c r="M730" i="3"/>
  <c r="S730" i="3"/>
  <c r="N730" i="3"/>
  <c r="P730" i="3"/>
  <c r="R730" i="3"/>
  <c r="O730" i="3"/>
  <c r="F718" i="3"/>
  <c r="G718" i="3"/>
  <c r="L681" i="3"/>
  <c r="H681" i="3"/>
  <c r="J681" i="3"/>
  <c r="I681" i="3"/>
  <c r="K681" i="3"/>
  <c r="E681" i="3" s="1"/>
  <c r="L677" i="3"/>
  <c r="H677" i="3"/>
  <c r="J677" i="3"/>
  <c r="K677" i="3"/>
  <c r="E677" i="3" s="1"/>
  <c r="I677" i="3"/>
  <c r="K664" i="3"/>
  <c r="E664" i="3" s="1"/>
  <c r="J664" i="3"/>
  <c r="L664" i="3"/>
  <c r="I664" i="3"/>
  <c r="H664" i="3"/>
  <c r="J635" i="3"/>
  <c r="H635" i="3"/>
  <c r="L635" i="3"/>
  <c r="K635" i="3"/>
  <c r="E635" i="3" s="1"/>
  <c r="I635" i="3"/>
  <c r="J603" i="3"/>
  <c r="H603" i="3"/>
  <c r="L603" i="3"/>
  <c r="K603" i="3"/>
  <c r="E603" i="3" s="1"/>
  <c r="I603" i="3"/>
  <c r="Q953" i="3"/>
  <c r="M953" i="3"/>
  <c r="O953" i="3"/>
  <c r="S953" i="3"/>
  <c r="N953" i="3"/>
  <c r="P953" i="3"/>
  <c r="R953" i="3"/>
  <c r="F937" i="3"/>
  <c r="G937" i="3"/>
  <c r="P908" i="3"/>
  <c r="O908" i="3"/>
  <c r="N908" i="3"/>
  <c r="S908" i="3"/>
  <c r="M908" i="3"/>
  <c r="R908" i="3"/>
  <c r="Q908" i="3"/>
  <c r="J859" i="3"/>
  <c r="K859" i="3"/>
  <c r="E859" i="3" s="1"/>
  <c r="I859" i="3"/>
  <c r="H859" i="3"/>
  <c r="L859" i="3"/>
  <c r="K828" i="3"/>
  <c r="E828" i="3" s="1"/>
  <c r="H828" i="3"/>
  <c r="J828" i="3"/>
  <c r="L828" i="3"/>
  <c r="I828" i="3"/>
  <c r="L809" i="3"/>
  <c r="H809" i="3"/>
  <c r="J809" i="3"/>
  <c r="K809" i="3"/>
  <c r="E809" i="3" s="1"/>
  <c r="I809" i="3"/>
  <c r="K796" i="3"/>
  <c r="E796" i="3" s="1"/>
  <c r="H796" i="3"/>
  <c r="J796" i="3"/>
  <c r="L796" i="3"/>
  <c r="I796" i="3"/>
  <c r="L777" i="3"/>
  <c r="H777" i="3"/>
  <c r="J777" i="3"/>
  <c r="K777" i="3"/>
  <c r="E777" i="3" s="1"/>
  <c r="I777" i="3"/>
  <c r="K764" i="3"/>
  <c r="E764" i="3" s="1"/>
  <c r="H764" i="3"/>
  <c r="J764" i="3"/>
  <c r="L764" i="3"/>
  <c r="I764" i="3"/>
  <c r="L745" i="3"/>
  <c r="H745" i="3"/>
  <c r="J745" i="3"/>
  <c r="K745" i="3"/>
  <c r="E745" i="3" s="1"/>
  <c r="I745" i="3"/>
  <c r="K732" i="3"/>
  <c r="E732" i="3" s="1"/>
  <c r="H732" i="3"/>
  <c r="J732" i="3"/>
  <c r="L732" i="3"/>
  <c r="I732" i="3"/>
  <c r="L713" i="3"/>
  <c r="H713" i="3"/>
  <c r="J713" i="3"/>
  <c r="K713" i="3"/>
  <c r="E713" i="3" s="1"/>
  <c r="I713" i="3"/>
  <c r="K692" i="3"/>
  <c r="E692" i="3" s="1"/>
  <c r="H692" i="3"/>
  <c r="L692" i="3"/>
  <c r="J692" i="3"/>
  <c r="I692" i="3"/>
  <c r="J679" i="3"/>
  <c r="H679" i="3"/>
  <c r="L679" i="3"/>
  <c r="K679" i="3"/>
  <c r="E679" i="3" s="1"/>
  <c r="I679" i="3"/>
  <c r="K800" i="3"/>
  <c r="E800" i="3" s="1"/>
  <c r="J800" i="3"/>
  <c r="H800" i="3"/>
  <c r="I800" i="3"/>
  <c r="L800" i="3"/>
  <c r="K736" i="3"/>
  <c r="E736" i="3" s="1"/>
  <c r="J736" i="3"/>
  <c r="H736" i="3"/>
  <c r="I736" i="3"/>
  <c r="L736" i="3"/>
  <c r="G680" i="3"/>
  <c r="F680" i="3"/>
  <c r="I674" i="3"/>
  <c r="H674" i="3"/>
  <c r="K674" i="3"/>
  <c r="E674" i="3" s="1"/>
  <c r="J674" i="3"/>
  <c r="L674" i="3"/>
  <c r="L657" i="3"/>
  <c r="H657" i="3"/>
  <c r="J657" i="3"/>
  <c r="I657" i="3"/>
  <c r="K657" i="3"/>
  <c r="E657" i="3" s="1"/>
  <c r="I654" i="3"/>
  <c r="H654" i="3"/>
  <c r="L654" i="3"/>
  <c r="K654" i="3"/>
  <c r="E654" i="3" s="1"/>
  <c r="J654" i="3"/>
  <c r="K648" i="3"/>
  <c r="E648" i="3" s="1"/>
  <c r="H648" i="3"/>
  <c r="L648" i="3"/>
  <c r="J648" i="3"/>
  <c r="I648" i="3"/>
  <c r="K616" i="3"/>
  <c r="E616" i="3" s="1"/>
  <c r="H616" i="3"/>
  <c r="L616" i="3"/>
  <c r="J616" i="3"/>
  <c r="I616" i="3"/>
  <c r="J591" i="3"/>
  <c r="K591" i="3"/>
  <c r="E591" i="3" s="1"/>
  <c r="I591" i="3"/>
  <c r="H591" i="3"/>
  <c r="L591" i="3"/>
  <c r="L550" i="3"/>
  <c r="H550" i="3"/>
  <c r="J550" i="3"/>
  <c r="I550" i="3"/>
  <c r="K550" i="3"/>
  <c r="E550" i="3" s="1"/>
  <c r="L534" i="3"/>
  <c r="H534" i="3"/>
  <c r="J534" i="3"/>
  <c r="I534" i="3"/>
  <c r="K534" i="3"/>
  <c r="E534" i="3" s="1"/>
  <c r="F482" i="3"/>
  <c r="G482" i="3"/>
  <c r="K688" i="3"/>
  <c r="E688" i="3" s="1"/>
  <c r="J688" i="3"/>
  <c r="L688" i="3"/>
  <c r="I688" i="3"/>
  <c r="H688" i="3"/>
  <c r="K624" i="3"/>
  <c r="E624" i="3" s="1"/>
  <c r="H624" i="3"/>
  <c r="L624" i="3"/>
  <c r="J624" i="3"/>
  <c r="I624" i="3"/>
  <c r="J583" i="3"/>
  <c r="K583" i="3"/>
  <c r="E583" i="3" s="1"/>
  <c r="I583" i="3"/>
  <c r="H583" i="3"/>
  <c r="L583" i="3"/>
  <c r="S523" i="3"/>
  <c r="O523" i="3"/>
  <c r="N523" i="3"/>
  <c r="R523" i="3"/>
  <c r="M523" i="3"/>
  <c r="Q523" i="3"/>
  <c r="P523" i="3"/>
  <c r="P512" i="3"/>
  <c r="S512" i="3"/>
  <c r="N512" i="3"/>
  <c r="R512" i="3"/>
  <c r="M512" i="3"/>
  <c r="Q512" i="3"/>
  <c r="O512" i="3"/>
  <c r="G504" i="3"/>
  <c r="F504" i="3"/>
  <c r="G488" i="3"/>
  <c r="F488" i="3"/>
  <c r="P480" i="3"/>
  <c r="S480" i="3"/>
  <c r="N480" i="3"/>
  <c r="R480" i="3"/>
  <c r="M480" i="3"/>
  <c r="Q480" i="3"/>
  <c r="O480" i="3"/>
  <c r="P472" i="3"/>
  <c r="R472" i="3"/>
  <c r="M472" i="3"/>
  <c r="Q472" i="3"/>
  <c r="O472" i="3"/>
  <c r="N472" i="3"/>
  <c r="S472" i="3"/>
  <c r="P456" i="3"/>
  <c r="R456" i="3"/>
  <c r="M456" i="3"/>
  <c r="Q456" i="3"/>
  <c r="O456" i="3"/>
  <c r="S456" i="3"/>
  <c r="N456" i="3"/>
  <c r="P440" i="3"/>
  <c r="R440" i="3"/>
  <c r="M440" i="3"/>
  <c r="Q440" i="3"/>
  <c r="O440" i="3"/>
  <c r="N440" i="3"/>
  <c r="S440" i="3"/>
  <c r="Q834" i="3"/>
  <c r="M834" i="3"/>
  <c r="S834" i="3"/>
  <c r="N834" i="3"/>
  <c r="P834" i="3"/>
  <c r="R834" i="3"/>
  <c r="O834" i="3"/>
  <c r="Q818" i="3"/>
  <c r="M818" i="3"/>
  <c r="S818" i="3"/>
  <c r="N818" i="3"/>
  <c r="P818" i="3"/>
  <c r="R818" i="3"/>
  <c r="O818" i="3"/>
  <c r="Q802" i="3"/>
  <c r="M802" i="3"/>
  <c r="S802" i="3"/>
  <c r="N802" i="3"/>
  <c r="P802" i="3"/>
  <c r="R802" i="3"/>
  <c r="O802" i="3"/>
  <c r="Q786" i="3"/>
  <c r="M786" i="3"/>
  <c r="S786" i="3"/>
  <c r="N786" i="3"/>
  <c r="P786" i="3"/>
  <c r="R786" i="3"/>
  <c r="O786" i="3"/>
  <c r="Q770" i="3"/>
  <c r="M770" i="3"/>
  <c r="S770" i="3"/>
  <c r="N770" i="3"/>
  <c r="P770" i="3"/>
  <c r="R770" i="3"/>
  <c r="O770" i="3"/>
  <c r="Q754" i="3"/>
  <c r="M754" i="3"/>
  <c r="S754" i="3"/>
  <c r="N754" i="3"/>
  <c r="P754" i="3"/>
  <c r="R754" i="3"/>
  <c r="O754" i="3"/>
  <c r="Q738" i="3"/>
  <c r="M738" i="3"/>
  <c r="S738" i="3"/>
  <c r="N738" i="3"/>
  <c r="P738" i="3"/>
  <c r="R738" i="3"/>
  <c r="O738" i="3"/>
  <c r="Q722" i="3"/>
  <c r="M722" i="3"/>
  <c r="S722" i="3"/>
  <c r="N722" i="3"/>
  <c r="P722" i="3"/>
  <c r="R722" i="3"/>
  <c r="O722" i="3"/>
  <c r="Q706" i="3"/>
  <c r="M706" i="3"/>
  <c r="S706" i="3"/>
  <c r="N706" i="3"/>
  <c r="P706" i="3"/>
  <c r="R706" i="3"/>
  <c r="O706" i="3"/>
  <c r="K632" i="3"/>
  <c r="E632" i="3" s="1"/>
  <c r="H632" i="3"/>
  <c r="L632" i="3"/>
  <c r="J632" i="3"/>
  <c r="I632" i="3"/>
  <c r="K600" i="3"/>
  <c r="E600" i="3" s="1"/>
  <c r="H600" i="3"/>
  <c r="L600" i="3"/>
  <c r="J600" i="3"/>
  <c r="I600" i="3"/>
  <c r="L558" i="3"/>
  <c r="H558" i="3"/>
  <c r="J558" i="3"/>
  <c r="K558" i="3"/>
  <c r="E558" i="3" s="1"/>
  <c r="I558" i="3"/>
  <c r="I489" i="3"/>
  <c r="J489" i="3"/>
  <c r="H489" i="3"/>
  <c r="L489" i="3"/>
  <c r="K489" i="3"/>
  <c r="E489" i="3" s="1"/>
  <c r="J470" i="3"/>
  <c r="H470" i="3"/>
  <c r="L470" i="3"/>
  <c r="K470" i="3"/>
  <c r="E470" i="3" s="1"/>
  <c r="I470" i="3"/>
  <c r="J438" i="3"/>
  <c r="H438" i="3"/>
  <c r="L438" i="3"/>
  <c r="K438" i="3"/>
  <c r="E438" i="3" s="1"/>
  <c r="I438" i="3"/>
  <c r="L944" i="3"/>
  <c r="H944" i="3"/>
  <c r="I944" i="3"/>
  <c r="J944" i="3"/>
  <c r="K944" i="3"/>
  <c r="E944" i="3" s="1"/>
  <c r="L701" i="3"/>
  <c r="H701" i="3"/>
  <c r="J701" i="3"/>
  <c r="K701" i="3"/>
  <c r="E701" i="3" s="1"/>
  <c r="I701" i="3"/>
  <c r="Q650" i="3"/>
  <c r="M650" i="3"/>
  <c r="P650" i="3"/>
  <c r="O650" i="3"/>
  <c r="S650" i="3"/>
  <c r="N650" i="3"/>
  <c r="R650" i="3"/>
  <c r="K644" i="3"/>
  <c r="E644" i="3" s="1"/>
  <c r="J644" i="3"/>
  <c r="I644" i="3"/>
  <c r="H644" i="3"/>
  <c r="L644" i="3"/>
  <c r="I638" i="3"/>
  <c r="H638" i="3"/>
  <c r="L638" i="3"/>
  <c r="K638" i="3"/>
  <c r="E638" i="3" s="1"/>
  <c r="J638" i="3"/>
  <c r="Q618" i="3"/>
  <c r="M618" i="3"/>
  <c r="P618" i="3"/>
  <c r="O618" i="3"/>
  <c r="S618" i="3"/>
  <c r="N618" i="3"/>
  <c r="R618" i="3"/>
  <c r="K612" i="3"/>
  <c r="E612" i="3" s="1"/>
  <c r="J612" i="3"/>
  <c r="I612" i="3"/>
  <c r="H612" i="3"/>
  <c r="L612" i="3"/>
  <c r="I606" i="3"/>
  <c r="H606" i="3"/>
  <c r="L606" i="3"/>
  <c r="K606" i="3"/>
  <c r="E606" i="3" s="1"/>
  <c r="J606" i="3"/>
  <c r="Q594" i="3"/>
  <c r="M594" i="3"/>
  <c r="P594" i="3"/>
  <c r="O594" i="3"/>
  <c r="S594" i="3"/>
  <c r="N594" i="3"/>
  <c r="R594" i="3"/>
  <c r="K580" i="3"/>
  <c r="E580" i="3" s="1"/>
  <c r="J580" i="3"/>
  <c r="I580" i="3"/>
  <c r="H580" i="3"/>
  <c r="L580" i="3"/>
  <c r="Q571" i="3"/>
  <c r="M571" i="3"/>
  <c r="P571" i="3"/>
  <c r="S571" i="3"/>
  <c r="O571" i="3"/>
  <c r="R571" i="3"/>
  <c r="N571" i="3"/>
  <c r="Q567" i="3"/>
  <c r="M567" i="3"/>
  <c r="P567" i="3"/>
  <c r="S567" i="3"/>
  <c r="O567" i="3"/>
  <c r="R567" i="3"/>
  <c r="N567" i="3"/>
  <c r="Q563" i="3"/>
  <c r="M563" i="3"/>
  <c r="P563" i="3"/>
  <c r="S563" i="3"/>
  <c r="O563" i="3"/>
  <c r="R563" i="3"/>
  <c r="N563" i="3"/>
  <c r="Q559" i="3"/>
  <c r="M559" i="3"/>
  <c r="P559" i="3"/>
  <c r="S559" i="3"/>
  <c r="O559" i="3"/>
  <c r="R559" i="3"/>
  <c r="N559" i="3"/>
  <c r="K519" i="3"/>
  <c r="E519" i="3" s="1"/>
  <c r="L519" i="3"/>
  <c r="J519" i="3"/>
  <c r="I519" i="3"/>
  <c r="H519" i="3"/>
  <c r="R514" i="3"/>
  <c r="N514" i="3"/>
  <c r="Q514" i="3"/>
  <c r="P514" i="3"/>
  <c r="O514" i="3"/>
  <c r="S514" i="3"/>
  <c r="M514" i="3"/>
  <c r="Q509" i="3"/>
  <c r="M509" i="3"/>
  <c r="R509" i="3"/>
  <c r="P509" i="3"/>
  <c r="O509" i="3"/>
  <c r="S509" i="3"/>
  <c r="N509" i="3"/>
  <c r="L500" i="3"/>
  <c r="H500" i="3"/>
  <c r="K500" i="3"/>
  <c r="E500" i="3" s="1"/>
  <c r="J500" i="3"/>
  <c r="I500" i="3"/>
  <c r="R490" i="3"/>
  <c r="N490" i="3"/>
  <c r="Q490" i="3"/>
  <c r="P490" i="3"/>
  <c r="O490" i="3"/>
  <c r="S490" i="3"/>
  <c r="M490" i="3"/>
  <c r="Q485" i="3"/>
  <c r="M485" i="3"/>
  <c r="R485" i="3"/>
  <c r="P485" i="3"/>
  <c r="O485" i="3"/>
  <c r="S485" i="3"/>
  <c r="N485" i="3"/>
  <c r="K467" i="3"/>
  <c r="E467" i="3" s="1"/>
  <c r="H467" i="3"/>
  <c r="L467" i="3"/>
  <c r="J467" i="3"/>
  <c r="I467" i="3"/>
  <c r="K435" i="3"/>
  <c r="E435" i="3" s="1"/>
  <c r="H435" i="3"/>
  <c r="L435" i="3"/>
  <c r="J435" i="3"/>
  <c r="I435" i="3"/>
  <c r="I413" i="3"/>
  <c r="H413" i="3"/>
  <c r="L413" i="3"/>
  <c r="K413" i="3"/>
  <c r="E413" i="3" s="1"/>
  <c r="J413" i="3"/>
  <c r="I409" i="3"/>
  <c r="K409" i="3"/>
  <c r="E409" i="3" s="1"/>
  <c r="H409" i="3"/>
  <c r="L409" i="3"/>
  <c r="J409" i="3"/>
  <c r="L380" i="3"/>
  <c r="H380" i="3"/>
  <c r="I380" i="3"/>
  <c r="K380" i="3"/>
  <c r="E380" i="3" s="1"/>
  <c r="J380" i="3"/>
  <c r="L376" i="3"/>
  <c r="H376" i="3"/>
  <c r="J376" i="3"/>
  <c r="I376" i="3"/>
  <c r="K376" i="3"/>
  <c r="E376" i="3" s="1"/>
  <c r="S371" i="3"/>
  <c r="O371" i="3"/>
  <c r="P371" i="3"/>
  <c r="N371" i="3"/>
  <c r="M371" i="3"/>
  <c r="R371" i="3"/>
  <c r="Q371" i="3"/>
  <c r="J358" i="3"/>
  <c r="K358" i="3"/>
  <c r="E358" i="3" s="1"/>
  <c r="H358" i="3"/>
  <c r="L358" i="3"/>
  <c r="I358" i="3"/>
  <c r="J354" i="3"/>
  <c r="H354" i="3"/>
  <c r="I354" i="3"/>
  <c r="L354" i="3"/>
  <c r="K354" i="3"/>
  <c r="E354" i="3" s="1"/>
  <c r="F342" i="3"/>
  <c r="G342" i="3"/>
  <c r="K331" i="3"/>
  <c r="E331" i="3" s="1"/>
  <c r="J331" i="3"/>
  <c r="I331" i="3"/>
  <c r="H331" i="3"/>
  <c r="L331" i="3"/>
  <c r="F325" i="3"/>
  <c r="G325" i="3"/>
  <c r="K303" i="3"/>
  <c r="E303" i="3" s="1"/>
  <c r="H303" i="3"/>
  <c r="I303" i="3"/>
  <c r="L303" i="3"/>
  <c r="J303" i="3"/>
  <c r="F297" i="3"/>
  <c r="G297" i="3"/>
  <c r="I285" i="3"/>
  <c r="H285" i="3"/>
  <c r="L285" i="3"/>
  <c r="K285" i="3"/>
  <c r="E285" i="3" s="1"/>
  <c r="J285" i="3"/>
  <c r="I281" i="3"/>
  <c r="K281" i="3"/>
  <c r="E281" i="3" s="1"/>
  <c r="H281" i="3"/>
  <c r="L281" i="3"/>
  <c r="J281" i="3"/>
  <c r="L252" i="3"/>
  <c r="H252" i="3"/>
  <c r="I252" i="3"/>
  <c r="K252" i="3"/>
  <c r="E252" i="3" s="1"/>
  <c r="J252" i="3"/>
  <c r="L248" i="3"/>
  <c r="H248" i="3"/>
  <c r="J248" i="3"/>
  <c r="I248" i="3"/>
  <c r="K248" i="3"/>
  <c r="E248" i="3" s="1"/>
  <c r="S243" i="3"/>
  <c r="O243" i="3"/>
  <c r="P243" i="3"/>
  <c r="N243" i="3"/>
  <c r="M243" i="3"/>
  <c r="R243" i="3"/>
  <c r="Q243" i="3"/>
  <c r="J230" i="3"/>
  <c r="K230" i="3"/>
  <c r="E230" i="3" s="1"/>
  <c r="H230" i="3"/>
  <c r="L230" i="3"/>
  <c r="I230" i="3"/>
  <c r="J226" i="3"/>
  <c r="H226" i="3"/>
  <c r="I226" i="3"/>
  <c r="L226" i="3"/>
  <c r="K226" i="3"/>
  <c r="E226" i="3" s="1"/>
  <c r="F214" i="3"/>
  <c r="G214" i="3"/>
  <c r="K203" i="3"/>
  <c r="E203" i="3" s="1"/>
  <c r="J203" i="3"/>
  <c r="I203" i="3"/>
  <c r="H203" i="3"/>
  <c r="L203" i="3"/>
  <c r="J194" i="3"/>
  <c r="H194" i="3"/>
  <c r="I194" i="3"/>
  <c r="L194" i="3"/>
  <c r="K194" i="3"/>
  <c r="E194" i="3" s="1"/>
  <c r="L172" i="3"/>
  <c r="H172" i="3"/>
  <c r="K172" i="3"/>
  <c r="E172" i="3" s="1"/>
  <c r="J172" i="3"/>
  <c r="I172" i="3"/>
  <c r="K151" i="3"/>
  <c r="E151" i="3" s="1"/>
  <c r="H151" i="3"/>
  <c r="L151" i="3"/>
  <c r="J151" i="3"/>
  <c r="I151" i="3"/>
  <c r="L140" i="3"/>
  <c r="H140" i="3"/>
  <c r="K140" i="3"/>
  <c r="E140" i="3" s="1"/>
  <c r="J140" i="3"/>
  <c r="I140" i="3"/>
  <c r="P116" i="3"/>
  <c r="S116" i="3"/>
  <c r="O116" i="3"/>
  <c r="R116" i="3"/>
  <c r="N116" i="3"/>
  <c r="Q116" i="3"/>
  <c r="M116" i="3"/>
  <c r="P100" i="3"/>
  <c r="S100" i="3"/>
  <c r="O100" i="3"/>
  <c r="R100" i="3"/>
  <c r="N100" i="3"/>
  <c r="Q100" i="3"/>
  <c r="M100" i="3"/>
  <c r="P84" i="3"/>
  <c r="S84" i="3"/>
  <c r="O84" i="3"/>
  <c r="R84" i="3"/>
  <c r="N84" i="3"/>
  <c r="Q84" i="3"/>
  <c r="M84" i="3"/>
  <c r="P68" i="3"/>
  <c r="S68" i="3"/>
  <c r="O68" i="3"/>
  <c r="N68" i="3"/>
  <c r="Q68" i="3"/>
  <c r="M68" i="3"/>
  <c r="R68" i="3"/>
  <c r="P52" i="3"/>
  <c r="S52" i="3"/>
  <c r="O52" i="3"/>
  <c r="R52" i="3"/>
  <c r="N52" i="3"/>
  <c r="Q52" i="3"/>
  <c r="M52" i="3"/>
  <c r="P36" i="3"/>
  <c r="S36" i="3"/>
  <c r="O36" i="3"/>
  <c r="Q36" i="3"/>
  <c r="M36" i="3"/>
  <c r="R36" i="3"/>
  <c r="N36" i="3"/>
  <c r="P20" i="3"/>
  <c r="S20" i="3"/>
  <c r="O20" i="3"/>
  <c r="R20" i="3"/>
  <c r="N20" i="3"/>
  <c r="Q20" i="3"/>
  <c r="M20" i="3"/>
  <c r="P10" i="3"/>
  <c r="S10" i="3"/>
  <c r="O10" i="3"/>
  <c r="R10" i="3"/>
  <c r="N10" i="3"/>
  <c r="Q10" i="3"/>
  <c r="M10" i="3"/>
  <c r="P6" i="3"/>
  <c r="S6" i="3"/>
  <c r="O6" i="3"/>
  <c r="R6" i="3"/>
  <c r="N6" i="3"/>
  <c r="Q6" i="3"/>
  <c r="M6" i="3"/>
  <c r="I133" i="3"/>
  <c r="H133" i="3"/>
  <c r="L133" i="3"/>
  <c r="K133" i="3"/>
  <c r="E133" i="3" s="1"/>
  <c r="J133" i="3"/>
  <c r="Q113" i="3"/>
  <c r="M113" i="3"/>
  <c r="P113" i="3"/>
  <c r="S113" i="3"/>
  <c r="O113" i="3"/>
  <c r="R113" i="3"/>
  <c r="N113" i="3"/>
  <c r="G105" i="3"/>
  <c r="F105" i="3"/>
  <c r="K99" i="3"/>
  <c r="E99" i="3" s="1"/>
  <c r="J99" i="3"/>
  <c r="I99" i="3"/>
  <c r="L99" i="3"/>
  <c r="H99" i="3"/>
  <c r="Q81" i="3"/>
  <c r="M81" i="3"/>
  <c r="P81" i="3"/>
  <c r="S81" i="3"/>
  <c r="O81" i="3"/>
  <c r="R81" i="3"/>
  <c r="N81" i="3"/>
  <c r="Q21" i="3"/>
  <c r="M21" i="3"/>
  <c r="P21" i="3"/>
  <c r="S21" i="3"/>
  <c r="O21" i="3"/>
  <c r="R21" i="3"/>
  <c r="N21" i="3"/>
  <c r="F13" i="3"/>
  <c r="G13" i="3"/>
  <c r="G531" i="3"/>
  <c r="F531" i="3"/>
  <c r="I473" i="3"/>
  <c r="H473" i="3"/>
  <c r="L473" i="3"/>
  <c r="K473" i="3"/>
  <c r="E473" i="3" s="1"/>
  <c r="J473" i="3"/>
  <c r="Q453" i="3"/>
  <c r="M453" i="3"/>
  <c r="P453" i="3"/>
  <c r="O453" i="3"/>
  <c r="S453" i="3"/>
  <c r="N453" i="3"/>
  <c r="R453" i="3"/>
  <c r="K447" i="3"/>
  <c r="E447" i="3" s="1"/>
  <c r="J447" i="3"/>
  <c r="I447" i="3"/>
  <c r="H447" i="3"/>
  <c r="L447" i="3"/>
  <c r="I441" i="3"/>
  <c r="H441" i="3"/>
  <c r="L441" i="3"/>
  <c r="K441" i="3"/>
  <c r="E441" i="3" s="1"/>
  <c r="J441" i="3"/>
  <c r="S427" i="3"/>
  <c r="O427" i="3"/>
  <c r="Q427" i="3"/>
  <c r="P427" i="3"/>
  <c r="R427" i="3"/>
  <c r="N427" i="3"/>
  <c r="M427" i="3"/>
  <c r="J414" i="3"/>
  <c r="K414" i="3"/>
  <c r="E414" i="3" s="1"/>
  <c r="I414" i="3"/>
  <c r="H414" i="3"/>
  <c r="L414" i="3"/>
  <c r="L400" i="3"/>
  <c r="H400" i="3"/>
  <c r="J400" i="3"/>
  <c r="K400" i="3"/>
  <c r="E400" i="3" s="1"/>
  <c r="I400" i="3"/>
  <c r="K391" i="3"/>
  <c r="E391" i="3" s="1"/>
  <c r="H391" i="3"/>
  <c r="J391" i="3"/>
  <c r="I391" i="3"/>
  <c r="L391" i="3"/>
  <c r="F385" i="3"/>
  <c r="G385" i="3"/>
  <c r="F366" i="3"/>
  <c r="G366" i="3"/>
  <c r="I341" i="3"/>
  <c r="H341" i="3"/>
  <c r="J341" i="3"/>
  <c r="L341" i="3"/>
  <c r="K341" i="3"/>
  <c r="E341" i="3" s="1"/>
  <c r="J318" i="3"/>
  <c r="K318" i="3"/>
  <c r="E318" i="3" s="1"/>
  <c r="I318" i="3"/>
  <c r="H318" i="3"/>
  <c r="L318" i="3"/>
  <c r="J314" i="3"/>
  <c r="H314" i="3"/>
  <c r="K314" i="3"/>
  <c r="E314" i="3" s="1"/>
  <c r="I314" i="3"/>
  <c r="L314" i="3"/>
  <c r="L308" i="3"/>
  <c r="H308" i="3"/>
  <c r="J308" i="3"/>
  <c r="I308" i="3"/>
  <c r="K308" i="3"/>
  <c r="E308" i="3" s="1"/>
  <c r="I305" i="3"/>
  <c r="K305" i="3"/>
  <c r="E305" i="3" s="1"/>
  <c r="J305" i="3"/>
  <c r="H305" i="3"/>
  <c r="L305" i="3"/>
  <c r="K291" i="3"/>
  <c r="E291" i="3" s="1"/>
  <c r="J291" i="3"/>
  <c r="L291" i="3"/>
  <c r="I291" i="3"/>
  <c r="H291" i="3"/>
  <c r="G283" i="3"/>
  <c r="F283" i="3"/>
  <c r="L272" i="3"/>
  <c r="H272" i="3"/>
  <c r="J272" i="3"/>
  <c r="K272" i="3"/>
  <c r="E272" i="3" s="1"/>
  <c r="I272" i="3"/>
  <c r="K263" i="3"/>
  <c r="E263" i="3" s="1"/>
  <c r="H263" i="3"/>
  <c r="J263" i="3"/>
  <c r="I263" i="3"/>
  <c r="L263" i="3"/>
  <c r="F257" i="3"/>
  <c r="G257" i="3"/>
  <c r="F238" i="3"/>
  <c r="G238" i="3"/>
  <c r="I213" i="3"/>
  <c r="H213" i="3"/>
  <c r="J213" i="3"/>
  <c r="L213" i="3"/>
  <c r="K213" i="3"/>
  <c r="E213" i="3" s="1"/>
  <c r="J178" i="3"/>
  <c r="H178" i="3"/>
  <c r="L178" i="3"/>
  <c r="K178" i="3"/>
  <c r="E178" i="3" s="1"/>
  <c r="I178" i="3"/>
  <c r="I173" i="3"/>
  <c r="H173" i="3"/>
  <c r="L173" i="3"/>
  <c r="K173" i="3"/>
  <c r="E173" i="3" s="1"/>
  <c r="J173" i="3"/>
  <c r="J146" i="3"/>
  <c r="H146" i="3"/>
  <c r="L146" i="3"/>
  <c r="K146" i="3"/>
  <c r="E146" i="3" s="1"/>
  <c r="I146" i="3"/>
  <c r="I141" i="3"/>
  <c r="H141" i="3"/>
  <c r="L141" i="3"/>
  <c r="K141" i="3"/>
  <c r="E141" i="3" s="1"/>
  <c r="J141" i="3"/>
  <c r="I125" i="3"/>
  <c r="H125" i="3"/>
  <c r="L125" i="3"/>
  <c r="K125" i="3"/>
  <c r="E125" i="3" s="1"/>
  <c r="J125" i="3"/>
  <c r="G117" i="3"/>
  <c r="F117" i="3"/>
  <c r="K111" i="3"/>
  <c r="E111" i="3" s="1"/>
  <c r="J111" i="3"/>
  <c r="I111" i="3"/>
  <c r="L111" i="3"/>
  <c r="H111" i="3"/>
  <c r="Q93" i="3"/>
  <c r="M93" i="3"/>
  <c r="P93" i="3"/>
  <c r="S93" i="3"/>
  <c r="O93" i="3"/>
  <c r="R93" i="3"/>
  <c r="N93" i="3"/>
  <c r="G85" i="3"/>
  <c r="F85" i="3"/>
  <c r="K79" i="3"/>
  <c r="E79" i="3" s="1"/>
  <c r="J79" i="3"/>
  <c r="I79" i="3"/>
  <c r="L79" i="3"/>
  <c r="H79" i="3"/>
  <c r="Q69" i="3"/>
  <c r="M69" i="3"/>
  <c r="P69" i="3"/>
  <c r="S69" i="3"/>
  <c r="O69" i="3"/>
  <c r="R69" i="3"/>
  <c r="N69" i="3"/>
  <c r="G65" i="3"/>
  <c r="F65" i="3"/>
  <c r="K63" i="3"/>
  <c r="E63" i="3" s="1"/>
  <c r="J63" i="3"/>
  <c r="I63" i="3"/>
  <c r="L63" i="3"/>
  <c r="H63" i="3"/>
  <c r="Q53" i="3"/>
  <c r="M53" i="3"/>
  <c r="P53" i="3"/>
  <c r="S53" i="3"/>
  <c r="O53" i="3"/>
  <c r="R53" i="3"/>
  <c r="N53" i="3"/>
  <c r="F49" i="3"/>
  <c r="G49" i="3"/>
  <c r="K47" i="3"/>
  <c r="E47" i="3" s="1"/>
  <c r="J47" i="3"/>
  <c r="L47" i="3"/>
  <c r="H47" i="3"/>
  <c r="I47" i="3"/>
  <c r="Q37" i="3"/>
  <c r="M37" i="3"/>
  <c r="P37" i="3"/>
  <c r="S37" i="3"/>
  <c r="O37" i="3"/>
  <c r="R37" i="3"/>
  <c r="N37" i="3"/>
  <c r="G33" i="3"/>
  <c r="F33" i="3"/>
  <c r="K31" i="3"/>
  <c r="E31" i="3" s="1"/>
  <c r="J31" i="3"/>
  <c r="I31" i="3"/>
  <c r="L31" i="3"/>
  <c r="H31" i="3"/>
  <c r="Q25" i="3"/>
  <c r="M25" i="3"/>
  <c r="P25" i="3"/>
  <c r="S25" i="3"/>
  <c r="O25" i="3"/>
  <c r="R25" i="3"/>
  <c r="N25" i="3"/>
  <c r="R214" i="3"/>
  <c r="N214" i="3"/>
  <c r="P214" i="3"/>
  <c r="S214" i="3"/>
  <c r="Q214" i="3"/>
  <c r="O214" i="3"/>
  <c r="M214" i="3"/>
  <c r="J210" i="3"/>
  <c r="H210" i="3"/>
  <c r="L210" i="3"/>
  <c r="K210" i="3"/>
  <c r="E210" i="3" s="1"/>
  <c r="I210" i="3"/>
  <c r="K191" i="3"/>
  <c r="E191" i="3" s="1"/>
  <c r="H191" i="3"/>
  <c r="L191" i="3"/>
  <c r="J191" i="3"/>
  <c r="I191" i="3"/>
  <c r="S171" i="3"/>
  <c r="O171" i="3"/>
  <c r="P171" i="3"/>
  <c r="N171" i="3"/>
  <c r="R171" i="3"/>
  <c r="M171" i="3"/>
  <c r="Q171" i="3"/>
  <c r="S147" i="3"/>
  <c r="O147" i="3"/>
  <c r="P147" i="3"/>
  <c r="N147" i="3"/>
  <c r="R147" i="3"/>
  <c r="M147" i="3"/>
  <c r="Q147" i="3"/>
  <c r="G128" i="3"/>
  <c r="F128" i="3"/>
  <c r="K451" i="3"/>
  <c r="E451" i="3" s="1"/>
  <c r="H451" i="3"/>
  <c r="L451" i="3"/>
  <c r="J451" i="3"/>
  <c r="I451" i="3"/>
  <c r="Q397" i="3"/>
  <c r="M397" i="3"/>
  <c r="S397" i="3"/>
  <c r="N397" i="3"/>
  <c r="R397" i="3"/>
  <c r="P397" i="3"/>
  <c r="O397" i="3"/>
  <c r="Q393" i="3"/>
  <c r="M393" i="3"/>
  <c r="P393" i="3"/>
  <c r="S393" i="3"/>
  <c r="R393" i="3"/>
  <c r="O393" i="3"/>
  <c r="N393" i="3"/>
  <c r="Q361" i="3"/>
  <c r="M361" i="3"/>
  <c r="P361" i="3"/>
  <c r="S361" i="3"/>
  <c r="R361" i="3"/>
  <c r="O361" i="3"/>
  <c r="N361" i="3"/>
  <c r="F296" i="3"/>
  <c r="G296" i="3"/>
  <c r="R278" i="3"/>
  <c r="N278" i="3"/>
  <c r="P278" i="3"/>
  <c r="S278" i="3"/>
  <c r="Q278" i="3"/>
  <c r="O278" i="3"/>
  <c r="M278" i="3"/>
  <c r="P264" i="3"/>
  <c r="O264" i="3"/>
  <c r="S264" i="3"/>
  <c r="M264" i="3"/>
  <c r="R264" i="3"/>
  <c r="Q264" i="3"/>
  <c r="N264" i="3"/>
  <c r="Q237" i="3"/>
  <c r="M237" i="3"/>
  <c r="S237" i="3"/>
  <c r="N237" i="3"/>
  <c r="R237" i="3"/>
  <c r="P237" i="3"/>
  <c r="O237" i="3"/>
  <c r="Q233" i="3"/>
  <c r="M233" i="3"/>
  <c r="P233" i="3"/>
  <c r="S233" i="3"/>
  <c r="R233" i="3"/>
  <c r="O233" i="3"/>
  <c r="N233" i="3"/>
  <c r="G184" i="3"/>
  <c r="F184" i="3"/>
  <c r="G168" i="3"/>
  <c r="F168" i="3"/>
  <c r="P144" i="3"/>
  <c r="O144" i="3"/>
  <c r="S144" i="3"/>
  <c r="N144" i="3"/>
  <c r="R144" i="3"/>
  <c r="M144" i="3"/>
  <c r="Q144" i="3"/>
  <c r="S123" i="3"/>
  <c r="O123" i="3"/>
  <c r="P123" i="3"/>
  <c r="N123" i="3"/>
  <c r="R123" i="3"/>
  <c r="M123" i="3"/>
  <c r="Q123" i="3"/>
  <c r="G547" i="3"/>
  <c r="F547" i="3"/>
  <c r="F469" i="3"/>
  <c r="G469" i="3"/>
  <c r="L460" i="3"/>
  <c r="H460" i="3"/>
  <c r="J460" i="3"/>
  <c r="I460" i="3"/>
  <c r="K460" i="3"/>
  <c r="E460" i="3" s="1"/>
  <c r="F437" i="3"/>
  <c r="G437" i="3"/>
  <c r="F432" i="3"/>
  <c r="G432" i="3"/>
  <c r="I425" i="3"/>
  <c r="L425" i="3"/>
  <c r="K425" i="3"/>
  <c r="E425" i="3" s="1"/>
  <c r="H425" i="3"/>
  <c r="J425" i="3"/>
  <c r="J418" i="3"/>
  <c r="I418" i="3"/>
  <c r="H418" i="3"/>
  <c r="K418" i="3"/>
  <c r="E418" i="3" s="1"/>
  <c r="L418" i="3"/>
  <c r="F416" i="3"/>
  <c r="G416" i="3"/>
  <c r="P384" i="3"/>
  <c r="O384" i="3"/>
  <c r="N384" i="3"/>
  <c r="S384" i="3"/>
  <c r="M384" i="3"/>
  <c r="R384" i="3"/>
  <c r="Q384" i="3"/>
  <c r="Q357" i="3"/>
  <c r="M357" i="3"/>
  <c r="S357" i="3"/>
  <c r="N357" i="3"/>
  <c r="R357" i="3"/>
  <c r="P357" i="3"/>
  <c r="O357" i="3"/>
  <c r="Q353" i="3"/>
  <c r="M353" i="3"/>
  <c r="P353" i="3"/>
  <c r="N353" i="3"/>
  <c r="S353" i="3"/>
  <c r="R353" i="3"/>
  <c r="O353" i="3"/>
  <c r="R334" i="3"/>
  <c r="N334" i="3"/>
  <c r="P334" i="3"/>
  <c r="M334" i="3"/>
  <c r="S334" i="3"/>
  <c r="Q334" i="3"/>
  <c r="O334" i="3"/>
  <c r="J330" i="3"/>
  <c r="H330" i="3"/>
  <c r="L330" i="3"/>
  <c r="K330" i="3"/>
  <c r="E330" i="3" s="1"/>
  <c r="I330" i="3"/>
  <c r="K311" i="3"/>
  <c r="E311" i="3" s="1"/>
  <c r="H311" i="3"/>
  <c r="L311" i="3"/>
  <c r="J311" i="3"/>
  <c r="I311" i="3"/>
  <c r="L292" i="3"/>
  <c r="H292" i="3"/>
  <c r="K292" i="3"/>
  <c r="E292" i="3" s="1"/>
  <c r="J292" i="3"/>
  <c r="I292" i="3"/>
  <c r="G288" i="3"/>
  <c r="F288" i="3"/>
  <c r="P256" i="3"/>
  <c r="O256" i="3"/>
  <c r="N256" i="3"/>
  <c r="S256" i="3"/>
  <c r="M256" i="3"/>
  <c r="R256" i="3"/>
  <c r="Q256" i="3"/>
  <c r="Q229" i="3"/>
  <c r="M229" i="3"/>
  <c r="S229" i="3"/>
  <c r="N229" i="3"/>
  <c r="R229" i="3"/>
  <c r="P229" i="3"/>
  <c r="O229" i="3"/>
  <c r="Q225" i="3"/>
  <c r="M225" i="3"/>
  <c r="P225" i="3"/>
  <c r="N225" i="3"/>
  <c r="S225" i="3"/>
  <c r="R225" i="3"/>
  <c r="O225" i="3"/>
  <c r="R206" i="3"/>
  <c r="N206" i="3"/>
  <c r="P206" i="3"/>
  <c r="M206" i="3"/>
  <c r="S206" i="3"/>
  <c r="Q206" i="3"/>
  <c r="O206" i="3"/>
  <c r="J202" i="3"/>
  <c r="H202" i="3"/>
  <c r="L202" i="3"/>
  <c r="K202" i="3"/>
  <c r="E202" i="3" s="1"/>
  <c r="I202" i="3"/>
  <c r="J190" i="3"/>
  <c r="K190" i="3"/>
  <c r="E190" i="3" s="1"/>
  <c r="I190" i="3"/>
  <c r="H190" i="3"/>
  <c r="L190" i="3"/>
  <c r="G179" i="3"/>
  <c r="F179" i="3"/>
  <c r="F169" i="3"/>
  <c r="G169" i="3"/>
  <c r="F158" i="3"/>
  <c r="G158" i="3"/>
  <c r="G147" i="3"/>
  <c r="F147" i="3"/>
  <c r="F137" i="3"/>
  <c r="G137" i="3"/>
  <c r="F126" i="3"/>
  <c r="G126" i="3"/>
  <c r="I17" i="3"/>
  <c r="L17" i="3"/>
  <c r="H17" i="3"/>
  <c r="K17" i="3"/>
  <c r="J17" i="3"/>
  <c r="R82" i="3"/>
  <c r="N82" i="3"/>
  <c r="Q82" i="3"/>
  <c r="M82" i="3"/>
  <c r="P82" i="3"/>
  <c r="S82" i="3"/>
  <c r="O82" i="3"/>
  <c r="F66" i="3"/>
  <c r="G66" i="3"/>
  <c r="R34" i="3"/>
  <c r="N34" i="3"/>
  <c r="Q34" i="3"/>
  <c r="M34" i="3"/>
  <c r="S34" i="3"/>
  <c r="O34" i="3"/>
  <c r="P34" i="3"/>
  <c r="L16" i="3"/>
  <c r="F86" i="3"/>
  <c r="G86" i="3"/>
  <c r="R70" i="3"/>
  <c r="N70" i="3"/>
  <c r="Q70" i="3"/>
  <c r="M70" i="3"/>
  <c r="P70" i="3"/>
  <c r="S70" i="3"/>
  <c r="O70" i="3"/>
  <c r="F22" i="3"/>
  <c r="G22" i="3"/>
  <c r="R74" i="3"/>
  <c r="N74" i="3"/>
  <c r="Q74" i="3"/>
  <c r="M74" i="3"/>
  <c r="P74" i="3"/>
  <c r="S74" i="3"/>
  <c r="O74" i="3"/>
  <c r="R26" i="3"/>
  <c r="N26" i="3"/>
  <c r="Q26" i="3"/>
  <c r="M26" i="3"/>
  <c r="S26" i="3"/>
  <c r="O26" i="3"/>
  <c r="P26" i="3"/>
  <c r="F78" i="3"/>
  <c r="G78" i="3"/>
  <c r="F62" i="3"/>
  <c r="G62" i="3"/>
  <c r="R30" i="3"/>
  <c r="N30" i="3"/>
  <c r="Q30" i="3"/>
  <c r="M30" i="3"/>
  <c r="P30" i="3"/>
  <c r="S30" i="3"/>
  <c r="O30" i="3"/>
  <c r="R14" i="3"/>
  <c r="N14" i="3"/>
  <c r="Q14" i="3"/>
  <c r="M14" i="3"/>
  <c r="P14" i="3"/>
  <c r="S14" i="3"/>
  <c r="O14" i="3"/>
  <c r="I1003" i="3"/>
  <c r="L1003" i="3"/>
  <c r="H1003" i="3"/>
  <c r="K1003" i="3"/>
  <c r="E1003" i="3" s="1"/>
  <c r="J1003" i="3"/>
  <c r="I997" i="3"/>
  <c r="L997" i="3"/>
  <c r="K997" i="3"/>
  <c r="E997" i="3" s="1"/>
  <c r="J997" i="3"/>
  <c r="H997" i="3"/>
  <c r="J986" i="3"/>
  <c r="L986" i="3"/>
  <c r="K986" i="3"/>
  <c r="E986" i="3" s="1"/>
  <c r="I986" i="3"/>
  <c r="H986" i="3"/>
  <c r="J954" i="3"/>
  <c r="L954" i="3"/>
  <c r="K954" i="3"/>
  <c r="E954" i="3" s="1"/>
  <c r="I954" i="3"/>
  <c r="H954" i="3"/>
  <c r="R998" i="3"/>
  <c r="N998" i="3"/>
  <c r="O998" i="3"/>
  <c r="S998" i="3"/>
  <c r="M998" i="3"/>
  <c r="Q998" i="3"/>
  <c r="P998" i="3"/>
  <c r="R1004" i="3"/>
  <c r="N1004" i="3"/>
  <c r="Q1004" i="3"/>
  <c r="M1004" i="3"/>
  <c r="P1004" i="3"/>
  <c r="S1004" i="3"/>
  <c r="O1004" i="3"/>
  <c r="S999" i="3"/>
  <c r="O999" i="3"/>
  <c r="Q999" i="3"/>
  <c r="P999" i="3"/>
  <c r="N999" i="3"/>
  <c r="R999" i="3"/>
  <c r="M999" i="3"/>
  <c r="K891" i="3"/>
  <c r="E891" i="3" s="1"/>
  <c r="H891" i="3"/>
  <c r="I891" i="3"/>
  <c r="L891" i="3"/>
  <c r="J891" i="3"/>
  <c r="J882" i="3"/>
  <c r="K882" i="3"/>
  <c r="E882" i="3" s="1"/>
  <c r="H882" i="3"/>
  <c r="L882" i="3"/>
  <c r="I882" i="3"/>
  <c r="K852" i="3"/>
  <c r="E852" i="3" s="1"/>
  <c r="H852" i="3"/>
  <c r="L852" i="3"/>
  <c r="J852" i="3"/>
  <c r="I852" i="3"/>
  <c r="L841" i="3"/>
  <c r="H841" i="3"/>
  <c r="K841" i="3"/>
  <c r="E841" i="3" s="1"/>
  <c r="J841" i="3"/>
  <c r="I841" i="3"/>
  <c r="P924" i="3"/>
  <c r="O924" i="3"/>
  <c r="R924" i="3"/>
  <c r="Q924" i="3"/>
  <c r="N924" i="3"/>
  <c r="S924" i="3"/>
  <c r="M924" i="3"/>
  <c r="R906" i="3"/>
  <c r="N906" i="3"/>
  <c r="P906" i="3"/>
  <c r="Q906" i="3"/>
  <c r="O906" i="3"/>
  <c r="M906" i="3"/>
  <c r="S906" i="3"/>
  <c r="J902" i="3"/>
  <c r="H902" i="3"/>
  <c r="K902" i="3"/>
  <c r="E902" i="3" s="1"/>
  <c r="I902" i="3"/>
  <c r="L902" i="3"/>
  <c r="K883" i="3"/>
  <c r="E883" i="3" s="1"/>
  <c r="H883" i="3"/>
  <c r="J883" i="3"/>
  <c r="I883" i="3"/>
  <c r="L883" i="3"/>
  <c r="P972" i="3"/>
  <c r="Q972" i="3"/>
  <c r="O972" i="3"/>
  <c r="R972" i="3"/>
  <c r="N972" i="3"/>
  <c r="M972" i="3"/>
  <c r="S972" i="3"/>
  <c r="Q945" i="3"/>
  <c r="M945" i="3"/>
  <c r="O945" i="3"/>
  <c r="S945" i="3"/>
  <c r="N945" i="3"/>
  <c r="P945" i="3"/>
  <c r="R945" i="3"/>
  <c r="S895" i="3"/>
  <c r="O895" i="3"/>
  <c r="P895" i="3"/>
  <c r="N895" i="3"/>
  <c r="M895" i="3"/>
  <c r="R895" i="3"/>
  <c r="Q895" i="3"/>
  <c r="Q806" i="3"/>
  <c r="M806" i="3"/>
  <c r="P806" i="3"/>
  <c r="S806" i="3"/>
  <c r="N806" i="3"/>
  <c r="R806" i="3"/>
  <c r="O806" i="3"/>
  <c r="K804" i="3"/>
  <c r="E804" i="3" s="1"/>
  <c r="H804" i="3"/>
  <c r="J804" i="3"/>
  <c r="L804" i="3"/>
  <c r="I804" i="3"/>
  <c r="J759" i="3"/>
  <c r="H759" i="3"/>
  <c r="K759" i="3"/>
  <c r="E759" i="3" s="1"/>
  <c r="L759" i="3"/>
  <c r="I759" i="3"/>
  <c r="L753" i="3"/>
  <c r="H753" i="3"/>
  <c r="J753" i="3"/>
  <c r="K753" i="3"/>
  <c r="E753" i="3" s="1"/>
  <c r="I753" i="3"/>
  <c r="Q710" i="3"/>
  <c r="M710" i="3"/>
  <c r="P710" i="3"/>
  <c r="S710" i="3"/>
  <c r="N710" i="3"/>
  <c r="R710" i="3"/>
  <c r="O710" i="3"/>
  <c r="K708" i="3"/>
  <c r="E708" i="3" s="1"/>
  <c r="H708" i="3"/>
  <c r="J708" i="3"/>
  <c r="L708" i="3"/>
  <c r="I708" i="3"/>
  <c r="Q798" i="3"/>
  <c r="M798" i="3"/>
  <c r="P798" i="3"/>
  <c r="S798" i="3"/>
  <c r="N798" i="3"/>
  <c r="O798" i="3"/>
  <c r="R798" i="3"/>
  <c r="Q13" i="3"/>
  <c r="M13" i="3"/>
  <c r="P13" i="3"/>
  <c r="R13" i="3"/>
  <c r="N13" i="3"/>
  <c r="S13" i="3"/>
  <c r="O13" i="3"/>
  <c r="S533" i="3"/>
  <c r="O533" i="3"/>
  <c r="Q533" i="3"/>
  <c r="M533" i="3"/>
  <c r="R533" i="3"/>
  <c r="P533" i="3"/>
  <c r="N533" i="3"/>
  <c r="K443" i="3"/>
  <c r="E443" i="3" s="1"/>
  <c r="H443" i="3"/>
  <c r="L443" i="3"/>
  <c r="J443" i="3"/>
  <c r="I443" i="3"/>
  <c r="G411" i="3"/>
  <c r="F411" i="3"/>
  <c r="F398" i="3"/>
  <c r="G398" i="3"/>
  <c r="I373" i="3"/>
  <c r="H373" i="3"/>
  <c r="J373" i="3"/>
  <c r="L373" i="3"/>
  <c r="K373" i="3"/>
  <c r="E373" i="3" s="1"/>
  <c r="J350" i="3"/>
  <c r="K350" i="3"/>
  <c r="E350" i="3" s="1"/>
  <c r="I350" i="3"/>
  <c r="H350" i="3"/>
  <c r="L350" i="3"/>
  <c r="J346" i="3"/>
  <c r="H346" i="3"/>
  <c r="K346" i="3"/>
  <c r="E346" i="3" s="1"/>
  <c r="I346" i="3"/>
  <c r="L346" i="3"/>
  <c r="L340" i="3"/>
  <c r="H340" i="3"/>
  <c r="J340" i="3"/>
  <c r="I340" i="3"/>
  <c r="K340" i="3"/>
  <c r="E340" i="3" s="1"/>
  <c r="I337" i="3"/>
  <c r="K337" i="3"/>
  <c r="E337" i="3" s="1"/>
  <c r="J337" i="3"/>
  <c r="H337" i="3"/>
  <c r="L337" i="3"/>
  <c r="K323" i="3"/>
  <c r="E323" i="3" s="1"/>
  <c r="J323" i="3"/>
  <c r="L323" i="3"/>
  <c r="I323" i="3"/>
  <c r="H323" i="3"/>
  <c r="G315" i="3"/>
  <c r="F315" i="3"/>
  <c r="L304" i="3"/>
  <c r="H304" i="3"/>
  <c r="J304" i="3"/>
  <c r="K304" i="3"/>
  <c r="E304" i="3" s="1"/>
  <c r="I304" i="3"/>
  <c r="K295" i="3"/>
  <c r="E295" i="3" s="1"/>
  <c r="H295" i="3"/>
  <c r="J295" i="3"/>
  <c r="I295" i="3"/>
  <c r="L295" i="3"/>
  <c r="F289" i="3"/>
  <c r="G289" i="3"/>
  <c r="F270" i="3"/>
  <c r="G270" i="3"/>
  <c r="I245" i="3"/>
  <c r="H245" i="3"/>
  <c r="J245" i="3"/>
  <c r="L245" i="3"/>
  <c r="K245" i="3"/>
  <c r="E245" i="3" s="1"/>
  <c r="J222" i="3"/>
  <c r="K222" i="3"/>
  <c r="E222" i="3" s="1"/>
  <c r="I222" i="3"/>
  <c r="H222" i="3"/>
  <c r="L222" i="3"/>
  <c r="J218" i="3"/>
  <c r="H218" i="3"/>
  <c r="K218" i="3"/>
  <c r="E218" i="3" s="1"/>
  <c r="I218" i="3"/>
  <c r="L218" i="3"/>
  <c r="L212" i="3"/>
  <c r="H212" i="3"/>
  <c r="J212" i="3"/>
  <c r="I212" i="3"/>
  <c r="K212" i="3"/>
  <c r="E212" i="3" s="1"/>
  <c r="I209" i="3"/>
  <c r="K209" i="3"/>
  <c r="E209" i="3" s="1"/>
  <c r="J209" i="3"/>
  <c r="H209" i="3"/>
  <c r="L209" i="3"/>
  <c r="J186" i="3"/>
  <c r="H186" i="3"/>
  <c r="L186" i="3"/>
  <c r="K186" i="3"/>
  <c r="E186" i="3" s="1"/>
  <c r="I186" i="3"/>
  <c r="I181" i="3"/>
  <c r="H181" i="3"/>
  <c r="L181" i="3"/>
  <c r="K181" i="3"/>
  <c r="E181" i="3" s="1"/>
  <c r="J181" i="3"/>
  <c r="J154" i="3"/>
  <c r="H154" i="3"/>
  <c r="L154" i="3"/>
  <c r="K154" i="3"/>
  <c r="E154" i="3" s="1"/>
  <c r="I154" i="3"/>
  <c r="I149" i="3"/>
  <c r="H149" i="3"/>
  <c r="L149" i="3"/>
  <c r="K149" i="3"/>
  <c r="E149" i="3" s="1"/>
  <c r="J149" i="3"/>
  <c r="Q117" i="3"/>
  <c r="M117" i="3"/>
  <c r="P117" i="3"/>
  <c r="S117" i="3"/>
  <c r="O117" i="3"/>
  <c r="R117" i="3"/>
  <c r="N117" i="3"/>
  <c r="G109" i="3"/>
  <c r="F109" i="3"/>
  <c r="K103" i="3"/>
  <c r="E103" i="3" s="1"/>
  <c r="J103" i="3"/>
  <c r="I103" i="3"/>
  <c r="L103" i="3"/>
  <c r="H103" i="3"/>
  <c r="Q85" i="3"/>
  <c r="M85" i="3"/>
  <c r="P85" i="3"/>
  <c r="S85" i="3"/>
  <c r="O85" i="3"/>
  <c r="R85" i="3"/>
  <c r="N85" i="3"/>
  <c r="G77" i="3"/>
  <c r="F77" i="3"/>
  <c r="K75" i="3"/>
  <c r="E75" i="3" s="1"/>
  <c r="J75" i="3"/>
  <c r="I75" i="3"/>
  <c r="L75" i="3"/>
  <c r="H75" i="3"/>
  <c r="Q65" i="3"/>
  <c r="M65" i="3"/>
  <c r="P65" i="3"/>
  <c r="S65" i="3"/>
  <c r="O65" i="3"/>
  <c r="R65" i="3"/>
  <c r="N65" i="3"/>
  <c r="G61" i="3"/>
  <c r="F61" i="3"/>
  <c r="K59" i="3"/>
  <c r="E59" i="3" s="1"/>
  <c r="J59" i="3"/>
  <c r="L59" i="3"/>
  <c r="H59" i="3"/>
  <c r="I59" i="3"/>
  <c r="Q49" i="3"/>
  <c r="M49" i="3"/>
  <c r="P49" i="3"/>
  <c r="S49" i="3"/>
  <c r="O49" i="3"/>
  <c r="R49" i="3"/>
  <c r="N49" i="3"/>
  <c r="G45" i="3"/>
  <c r="F45" i="3"/>
  <c r="K43" i="3"/>
  <c r="E43" i="3" s="1"/>
  <c r="J43" i="3"/>
  <c r="I43" i="3"/>
  <c r="L43" i="3"/>
  <c r="H43" i="3"/>
  <c r="Q33" i="3"/>
  <c r="M33" i="3"/>
  <c r="P33" i="3"/>
  <c r="S33" i="3"/>
  <c r="O33" i="3"/>
  <c r="R33" i="3"/>
  <c r="N33" i="3"/>
  <c r="G29" i="3"/>
  <c r="F29" i="3"/>
  <c r="L364" i="3"/>
  <c r="H364" i="3"/>
  <c r="K364" i="3"/>
  <c r="E364" i="3" s="1"/>
  <c r="J364" i="3"/>
  <c r="I364" i="3"/>
  <c r="L332" i="3"/>
  <c r="H332" i="3"/>
  <c r="K332" i="3"/>
  <c r="E332" i="3" s="1"/>
  <c r="J332" i="3"/>
  <c r="I332" i="3"/>
  <c r="L300" i="3"/>
  <c r="H300" i="3"/>
  <c r="K300" i="3"/>
  <c r="E300" i="3" s="1"/>
  <c r="J300" i="3"/>
  <c r="I300" i="3"/>
  <c r="L268" i="3"/>
  <c r="H268" i="3"/>
  <c r="K268" i="3"/>
  <c r="E268" i="3" s="1"/>
  <c r="J268" i="3"/>
  <c r="I268" i="3"/>
  <c r="Q201" i="3"/>
  <c r="M201" i="3"/>
  <c r="P201" i="3"/>
  <c r="S201" i="3"/>
  <c r="R201" i="3"/>
  <c r="O201" i="3"/>
  <c r="N201" i="3"/>
  <c r="S163" i="3"/>
  <c r="O163" i="3"/>
  <c r="P163" i="3"/>
  <c r="N163" i="3"/>
  <c r="R163" i="3"/>
  <c r="M163" i="3"/>
  <c r="Q163" i="3"/>
  <c r="S139" i="3"/>
  <c r="O139" i="3"/>
  <c r="P139" i="3"/>
  <c r="N139" i="3"/>
  <c r="R139" i="3"/>
  <c r="M139" i="3"/>
  <c r="Q139" i="3"/>
  <c r="G545" i="3"/>
  <c r="F545" i="3"/>
  <c r="J450" i="3"/>
  <c r="K450" i="3"/>
  <c r="E450" i="3" s="1"/>
  <c r="I450" i="3"/>
  <c r="H450" i="3"/>
  <c r="L450" i="3"/>
  <c r="P392" i="3"/>
  <c r="O392" i="3"/>
  <c r="S392" i="3"/>
  <c r="M392" i="3"/>
  <c r="R392" i="3"/>
  <c r="Q392" i="3"/>
  <c r="N392" i="3"/>
  <c r="P360" i="3"/>
  <c r="O360" i="3"/>
  <c r="S360" i="3"/>
  <c r="M360" i="3"/>
  <c r="R360" i="3"/>
  <c r="Q360" i="3"/>
  <c r="N360" i="3"/>
  <c r="Q329" i="3"/>
  <c r="M329" i="3"/>
  <c r="P329" i="3"/>
  <c r="S329" i="3"/>
  <c r="R329" i="3"/>
  <c r="O329" i="3"/>
  <c r="N329" i="3"/>
  <c r="F264" i="3"/>
  <c r="G264" i="3"/>
  <c r="R246" i="3"/>
  <c r="N246" i="3"/>
  <c r="P246" i="3"/>
  <c r="S246" i="3"/>
  <c r="Q246" i="3"/>
  <c r="O246" i="3"/>
  <c r="M246" i="3"/>
  <c r="P232" i="3"/>
  <c r="O232" i="3"/>
  <c r="S232" i="3"/>
  <c r="M232" i="3"/>
  <c r="R232" i="3"/>
  <c r="Q232" i="3"/>
  <c r="N232" i="3"/>
  <c r="L204" i="3"/>
  <c r="H204" i="3"/>
  <c r="K204" i="3"/>
  <c r="E204" i="3" s="1"/>
  <c r="J204" i="3"/>
  <c r="I204" i="3"/>
  <c r="P176" i="3"/>
  <c r="O176" i="3"/>
  <c r="S176" i="3"/>
  <c r="N176" i="3"/>
  <c r="R176" i="3"/>
  <c r="M176" i="3"/>
  <c r="Q176" i="3"/>
  <c r="P160" i="3"/>
  <c r="O160" i="3"/>
  <c r="S160" i="3"/>
  <c r="N160" i="3"/>
  <c r="R160" i="3"/>
  <c r="M160" i="3"/>
  <c r="Q160" i="3"/>
  <c r="G144" i="3"/>
  <c r="F144" i="3"/>
  <c r="S549" i="3"/>
  <c r="O549" i="3"/>
  <c r="Q549" i="3"/>
  <c r="M549" i="3"/>
  <c r="R549" i="3"/>
  <c r="P549" i="3"/>
  <c r="N549" i="3"/>
  <c r="Q469" i="3"/>
  <c r="M469" i="3"/>
  <c r="P469" i="3"/>
  <c r="O469" i="3"/>
  <c r="S469" i="3"/>
  <c r="N469" i="3"/>
  <c r="R469" i="3"/>
  <c r="K463" i="3"/>
  <c r="E463" i="3" s="1"/>
  <c r="J463" i="3"/>
  <c r="I463" i="3"/>
  <c r="H463" i="3"/>
  <c r="L463" i="3"/>
  <c r="I457" i="3"/>
  <c r="H457" i="3"/>
  <c r="L457" i="3"/>
  <c r="K457" i="3"/>
  <c r="E457" i="3" s="1"/>
  <c r="J457" i="3"/>
  <c r="Q437" i="3"/>
  <c r="M437" i="3"/>
  <c r="P437" i="3"/>
  <c r="O437" i="3"/>
  <c r="S437" i="3"/>
  <c r="N437" i="3"/>
  <c r="R437" i="3"/>
  <c r="K431" i="3"/>
  <c r="E431" i="3" s="1"/>
  <c r="I431" i="3"/>
  <c r="H431" i="3"/>
  <c r="J431" i="3"/>
  <c r="L431" i="3"/>
  <c r="G427" i="3"/>
  <c r="F427" i="3"/>
  <c r="P424" i="3"/>
  <c r="Q424" i="3"/>
  <c r="O424" i="3"/>
  <c r="S424" i="3"/>
  <c r="R424" i="3"/>
  <c r="N424" i="3"/>
  <c r="M424" i="3"/>
  <c r="K407" i="3"/>
  <c r="E407" i="3" s="1"/>
  <c r="H407" i="3"/>
  <c r="L407" i="3"/>
  <c r="J407" i="3"/>
  <c r="I407" i="3"/>
  <c r="L388" i="3"/>
  <c r="H388" i="3"/>
  <c r="K388" i="3"/>
  <c r="E388" i="3" s="1"/>
  <c r="J388" i="3"/>
  <c r="I388" i="3"/>
  <c r="G384" i="3"/>
  <c r="F384" i="3"/>
  <c r="P352" i="3"/>
  <c r="O352" i="3"/>
  <c r="N352" i="3"/>
  <c r="S352" i="3"/>
  <c r="M352" i="3"/>
  <c r="R352" i="3"/>
  <c r="Q352" i="3"/>
  <c r="Q325" i="3"/>
  <c r="M325" i="3"/>
  <c r="S325" i="3"/>
  <c r="N325" i="3"/>
  <c r="R325" i="3"/>
  <c r="P325" i="3"/>
  <c r="O325" i="3"/>
  <c r="Q321" i="3"/>
  <c r="M321" i="3"/>
  <c r="P321" i="3"/>
  <c r="N321" i="3"/>
  <c r="S321" i="3"/>
  <c r="R321" i="3"/>
  <c r="O321" i="3"/>
  <c r="R302" i="3"/>
  <c r="N302" i="3"/>
  <c r="P302" i="3"/>
  <c r="M302" i="3"/>
  <c r="S302" i="3"/>
  <c r="Q302" i="3"/>
  <c r="O302" i="3"/>
  <c r="J298" i="3"/>
  <c r="H298" i="3"/>
  <c r="L298" i="3"/>
  <c r="K298" i="3"/>
  <c r="E298" i="3" s="1"/>
  <c r="I298" i="3"/>
  <c r="K279" i="3"/>
  <c r="E279" i="3" s="1"/>
  <c r="H279" i="3"/>
  <c r="L279" i="3"/>
  <c r="J279" i="3"/>
  <c r="I279" i="3"/>
  <c r="L260" i="3"/>
  <c r="H260" i="3"/>
  <c r="K260" i="3"/>
  <c r="E260" i="3" s="1"/>
  <c r="J260" i="3"/>
  <c r="I260" i="3"/>
  <c r="G256" i="3"/>
  <c r="F256" i="3"/>
  <c r="P224" i="3"/>
  <c r="O224" i="3"/>
  <c r="N224" i="3"/>
  <c r="S224" i="3"/>
  <c r="M224" i="3"/>
  <c r="R224" i="3"/>
  <c r="Q224" i="3"/>
  <c r="Q197" i="3"/>
  <c r="M197" i="3"/>
  <c r="S197" i="3"/>
  <c r="N197" i="3"/>
  <c r="R197" i="3"/>
  <c r="P197" i="3"/>
  <c r="O197" i="3"/>
  <c r="Q193" i="3"/>
  <c r="M193" i="3"/>
  <c r="P193" i="3"/>
  <c r="N193" i="3"/>
  <c r="S193" i="3"/>
  <c r="R193" i="3"/>
  <c r="O193" i="3"/>
  <c r="G187" i="3"/>
  <c r="F187" i="3"/>
  <c r="F177" i="3"/>
  <c r="G177" i="3"/>
  <c r="F166" i="3"/>
  <c r="G166" i="3"/>
  <c r="G155" i="3"/>
  <c r="F155" i="3"/>
  <c r="F145" i="3"/>
  <c r="G145" i="3"/>
  <c r="F134" i="3"/>
  <c r="G134" i="3"/>
  <c r="G123" i="3"/>
  <c r="F123" i="3"/>
  <c r="R98" i="3"/>
  <c r="N98" i="3"/>
  <c r="Q98" i="3"/>
  <c r="M98" i="3"/>
  <c r="P98" i="3"/>
  <c r="S98" i="3"/>
  <c r="O98" i="3"/>
  <c r="F82" i="3"/>
  <c r="G82" i="3"/>
  <c r="F34" i="3"/>
  <c r="G34" i="3"/>
  <c r="F102" i="3"/>
  <c r="G102" i="3"/>
  <c r="R86" i="3"/>
  <c r="N86" i="3"/>
  <c r="Q86" i="3"/>
  <c r="M86" i="3"/>
  <c r="P86" i="3"/>
  <c r="S86" i="3"/>
  <c r="O86" i="3"/>
  <c r="R54" i="3"/>
  <c r="N54" i="3"/>
  <c r="Q54" i="3"/>
  <c r="M54" i="3"/>
  <c r="S54" i="3"/>
  <c r="O54" i="3"/>
  <c r="P54" i="3"/>
  <c r="R38" i="3"/>
  <c r="N38" i="3"/>
  <c r="Q38" i="3"/>
  <c r="M38" i="3"/>
  <c r="P38" i="3"/>
  <c r="S38" i="3"/>
  <c r="O38" i="3"/>
  <c r="F90" i="3"/>
  <c r="G90" i="3"/>
  <c r="F74" i="3"/>
  <c r="G74" i="3"/>
  <c r="F26" i="3"/>
  <c r="G26" i="3"/>
  <c r="R94" i="3"/>
  <c r="N94" i="3"/>
  <c r="Q94" i="3"/>
  <c r="M94" i="3"/>
  <c r="P94" i="3"/>
  <c r="S94" i="3"/>
  <c r="O94" i="3"/>
  <c r="R78" i="3"/>
  <c r="N78" i="3"/>
  <c r="Q78" i="3"/>
  <c r="M78" i="3"/>
  <c r="P78" i="3"/>
  <c r="S78" i="3"/>
  <c r="O78" i="3"/>
  <c r="F46" i="3"/>
  <c r="G46" i="3"/>
  <c r="K816" i="3"/>
  <c r="E816" i="3" s="1"/>
  <c r="J816" i="3"/>
  <c r="H816" i="3"/>
  <c r="I816" i="3"/>
  <c r="L816" i="3"/>
  <c r="K752" i="3"/>
  <c r="E752" i="3" s="1"/>
  <c r="J752" i="3"/>
  <c r="H752" i="3"/>
  <c r="I752" i="3"/>
  <c r="L752" i="3"/>
  <c r="S680" i="3"/>
  <c r="O680" i="3"/>
  <c r="P680" i="3"/>
  <c r="N680" i="3"/>
  <c r="M680" i="3"/>
  <c r="R680" i="3"/>
  <c r="Q680" i="3"/>
  <c r="J647" i="3"/>
  <c r="K647" i="3"/>
  <c r="E647" i="3" s="1"/>
  <c r="I647" i="3"/>
  <c r="H647" i="3"/>
  <c r="L647" i="3"/>
  <c r="J615" i="3"/>
  <c r="K615" i="3"/>
  <c r="E615" i="3" s="1"/>
  <c r="I615" i="3"/>
  <c r="H615" i="3"/>
  <c r="L615" i="3"/>
  <c r="F586" i="3"/>
  <c r="G586" i="3"/>
  <c r="S557" i="3"/>
  <c r="O557" i="3"/>
  <c r="Q557" i="3"/>
  <c r="M557" i="3"/>
  <c r="P557" i="3"/>
  <c r="N557" i="3"/>
  <c r="R557" i="3"/>
  <c r="S541" i="3"/>
  <c r="O541" i="3"/>
  <c r="Q541" i="3"/>
  <c r="M541" i="3"/>
  <c r="P541" i="3"/>
  <c r="N541" i="3"/>
  <c r="R541" i="3"/>
  <c r="G525" i="3"/>
  <c r="F525" i="3"/>
  <c r="G517" i="3"/>
  <c r="F517" i="3"/>
  <c r="G509" i="3"/>
  <c r="F509" i="3"/>
  <c r="G501" i="3"/>
  <c r="F501" i="3"/>
  <c r="G493" i="3"/>
  <c r="F493" i="3"/>
  <c r="G477" i="3"/>
  <c r="F477" i="3"/>
  <c r="J623" i="3"/>
  <c r="K623" i="3"/>
  <c r="E623" i="3" s="1"/>
  <c r="I623" i="3"/>
  <c r="H623" i="3"/>
  <c r="L623" i="3"/>
  <c r="F578" i="3"/>
  <c r="G578" i="3"/>
  <c r="J532" i="3"/>
  <c r="L532" i="3"/>
  <c r="H532" i="3"/>
  <c r="K532" i="3"/>
  <c r="E532" i="3" s="1"/>
  <c r="I532" i="3"/>
  <c r="P520" i="3"/>
  <c r="S520" i="3"/>
  <c r="N520" i="3"/>
  <c r="R520" i="3"/>
  <c r="M520" i="3"/>
  <c r="Q520" i="3"/>
  <c r="O520" i="3"/>
  <c r="G512" i="3"/>
  <c r="F512" i="3"/>
  <c r="S499" i="3"/>
  <c r="O499" i="3"/>
  <c r="N499" i="3"/>
  <c r="R499" i="3"/>
  <c r="M499" i="3"/>
  <c r="Q499" i="3"/>
  <c r="P499" i="3"/>
  <c r="K491" i="3"/>
  <c r="E491" i="3" s="1"/>
  <c r="I491" i="3"/>
  <c r="H491" i="3"/>
  <c r="L491" i="3"/>
  <c r="J491" i="3"/>
  <c r="G480" i="3"/>
  <c r="F480" i="3"/>
  <c r="G472" i="3"/>
  <c r="F472" i="3"/>
  <c r="G456" i="3"/>
  <c r="F456" i="3"/>
  <c r="G440" i="3"/>
  <c r="F440" i="3"/>
  <c r="K903" i="3"/>
  <c r="E903" i="3" s="1"/>
  <c r="J903" i="3"/>
  <c r="L903" i="3"/>
  <c r="I903" i="3"/>
  <c r="H903" i="3"/>
  <c r="J890" i="3"/>
  <c r="K890" i="3"/>
  <c r="E890" i="3" s="1"/>
  <c r="L890" i="3"/>
  <c r="I890" i="3"/>
  <c r="H890" i="3"/>
  <c r="J886" i="3"/>
  <c r="H886" i="3"/>
  <c r="L886" i="3"/>
  <c r="K886" i="3"/>
  <c r="E886" i="3" s="1"/>
  <c r="I886" i="3"/>
  <c r="Q846" i="3"/>
  <c r="M846" i="3"/>
  <c r="P846" i="3"/>
  <c r="O846" i="3"/>
  <c r="S846" i="3"/>
  <c r="N846" i="3"/>
  <c r="R846" i="3"/>
  <c r="J835" i="3"/>
  <c r="K835" i="3"/>
  <c r="E835" i="3" s="1"/>
  <c r="H835" i="3"/>
  <c r="I835" i="3"/>
  <c r="L835" i="3"/>
  <c r="J819" i="3"/>
  <c r="K819" i="3"/>
  <c r="E819" i="3" s="1"/>
  <c r="H819" i="3"/>
  <c r="I819" i="3"/>
  <c r="L819" i="3"/>
  <c r="J803" i="3"/>
  <c r="K803" i="3"/>
  <c r="E803" i="3" s="1"/>
  <c r="H803" i="3"/>
  <c r="I803" i="3"/>
  <c r="L803" i="3"/>
  <c r="J787" i="3"/>
  <c r="K787" i="3"/>
  <c r="E787" i="3" s="1"/>
  <c r="H787" i="3"/>
  <c r="I787" i="3"/>
  <c r="L787" i="3"/>
  <c r="J771" i="3"/>
  <c r="K771" i="3"/>
  <c r="E771" i="3" s="1"/>
  <c r="H771" i="3"/>
  <c r="I771" i="3"/>
  <c r="L771" i="3"/>
  <c r="J755" i="3"/>
  <c r="K755" i="3"/>
  <c r="E755" i="3" s="1"/>
  <c r="H755" i="3"/>
  <c r="I755" i="3"/>
  <c r="L755" i="3"/>
  <c r="J739" i="3"/>
  <c r="K739" i="3"/>
  <c r="E739" i="3" s="1"/>
  <c r="H739" i="3"/>
  <c r="I739" i="3"/>
  <c r="L739" i="3"/>
  <c r="J723" i="3"/>
  <c r="K723" i="3"/>
  <c r="E723" i="3" s="1"/>
  <c r="H723" i="3"/>
  <c r="I723" i="3"/>
  <c r="L723" i="3"/>
  <c r="J707" i="3"/>
  <c r="K707" i="3"/>
  <c r="E707" i="3" s="1"/>
  <c r="H707" i="3"/>
  <c r="I707" i="3"/>
  <c r="L707" i="3"/>
  <c r="J631" i="3"/>
  <c r="K631" i="3"/>
  <c r="E631" i="3" s="1"/>
  <c r="I631" i="3"/>
  <c r="H631" i="3"/>
  <c r="L631" i="3"/>
  <c r="J599" i="3"/>
  <c r="K599" i="3"/>
  <c r="E599" i="3" s="1"/>
  <c r="I599" i="3"/>
  <c r="H599" i="3"/>
  <c r="L599" i="3"/>
  <c r="L577" i="3"/>
  <c r="H577" i="3"/>
  <c r="J577" i="3"/>
  <c r="I577" i="3"/>
  <c r="K577" i="3"/>
  <c r="E577" i="3" s="1"/>
  <c r="I574" i="3"/>
  <c r="H574" i="3"/>
  <c r="L574" i="3"/>
  <c r="K574" i="3"/>
  <c r="E574" i="3" s="1"/>
  <c r="J574" i="3"/>
  <c r="J544" i="3"/>
  <c r="L544" i="3"/>
  <c r="H544" i="3"/>
  <c r="K544" i="3"/>
  <c r="E544" i="3" s="1"/>
  <c r="I544" i="3"/>
  <c r="I529" i="3"/>
  <c r="J529" i="3"/>
  <c r="H529" i="3"/>
  <c r="L529" i="3"/>
  <c r="K529" i="3"/>
  <c r="E529" i="3" s="1"/>
  <c r="I521" i="3"/>
  <c r="J521" i="3"/>
  <c r="H521" i="3"/>
  <c r="L521" i="3"/>
  <c r="K521" i="3"/>
  <c r="E521" i="3" s="1"/>
  <c r="I513" i="3"/>
  <c r="J513" i="3"/>
  <c r="H513" i="3"/>
  <c r="L513" i="3"/>
  <c r="K513" i="3"/>
  <c r="E513" i="3" s="1"/>
  <c r="I505" i="3"/>
  <c r="J505" i="3"/>
  <c r="H505" i="3"/>
  <c r="L505" i="3"/>
  <c r="K505" i="3"/>
  <c r="E505" i="3" s="1"/>
  <c r="I497" i="3"/>
  <c r="J497" i="3"/>
  <c r="H497" i="3"/>
  <c r="L497" i="3"/>
  <c r="K497" i="3"/>
  <c r="E497" i="3" s="1"/>
  <c r="J478" i="3"/>
  <c r="I478" i="3"/>
  <c r="H478" i="3"/>
  <c r="L478" i="3"/>
  <c r="K478" i="3"/>
  <c r="E478" i="3" s="1"/>
  <c r="J462" i="3"/>
  <c r="H462" i="3"/>
  <c r="L462" i="3"/>
  <c r="K462" i="3"/>
  <c r="E462" i="3" s="1"/>
  <c r="I462" i="3"/>
  <c r="J430" i="3"/>
  <c r="L430" i="3"/>
  <c r="K430" i="3"/>
  <c r="E430" i="3" s="1"/>
  <c r="H430" i="3"/>
  <c r="I430" i="3"/>
  <c r="J851" i="3"/>
  <c r="K851" i="3"/>
  <c r="E851" i="3" s="1"/>
  <c r="I851" i="3"/>
  <c r="H851" i="3"/>
  <c r="L851" i="3"/>
  <c r="J663" i="3"/>
  <c r="K663" i="3"/>
  <c r="E663" i="3" s="1"/>
  <c r="I663" i="3"/>
  <c r="H663" i="3"/>
  <c r="L663" i="3"/>
  <c r="K640" i="3"/>
  <c r="E640" i="3" s="1"/>
  <c r="H640" i="3"/>
  <c r="L640" i="3"/>
  <c r="J640" i="3"/>
  <c r="I640" i="3"/>
  <c r="K608" i="3"/>
  <c r="E608" i="3" s="1"/>
  <c r="H608" i="3"/>
  <c r="L608" i="3"/>
  <c r="J608" i="3"/>
  <c r="I608" i="3"/>
  <c r="G571" i="3"/>
  <c r="F571" i="3"/>
  <c r="G567" i="3"/>
  <c r="F567" i="3"/>
  <c r="G563" i="3"/>
  <c r="F563" i="3"/>
  <c r="G559" i="3"/>
  <c r="F559" i="3"/>
  <c r="J556" i="3"/>
  <c r="L556" i="3"/>
  <c r="H556" i="3"/>
  <c r="K556" i="3"/>
  <c r="E556" i="3" s="1"/>
  <c r="I556" i="3"/>
  <c r="K527" i="3"/>
  <c r="E527" i="3" s="1"/>
  <c r="L527" i="3"/>
  <c r="J527" i="3"/>
  <c r="I527" i="3"/>
  <c r="H527" i="3"/>
  <c r="R522" i="3"/>
  <c r="N522" i="3"/>
  <c r="Q522" i="3"/>
  <c r="P522" i="3"/>
  <c r="O522" i="3"/>
  <c r="S522" i="3"/>
  <c r="M522" i="3"/>
  <c r="Q517" i="3"/>
  <c r="M517" i="3"/>
  <c r="R517" i="3"/>
  <c r="P517" i="3"/>
  <c r="O517" i="3"/>
  <c r="S517" i="3"/>
  <c r="N517" i="3"/>
  <c r="L508" i="3"/>
  <c r="H508" i="3"/>
  <c r="K508" i="3"/>
  <c r="E508" i="3" s="1"/>
  <c r="J508" i="3"/>
  <c r="I508" i="3"/>
  <c r="K495" i="3"/>
  <c r="E495" i="3" s="1"/>
  <c r="L495" i="3"/>
  <c r="J495" i="3"/>
  <c r="I495" i="3"/>
  <c r="H495" i="3"/>
  <c r="L484" i="3"/>
  <c r="H484" i="3"/>
  <c r="K484" i="3"/>
  <c r="E484" i="3" s="1"/>
  <c r="J484" i="3"/>
  <c r="I484" i="3"/>
  <c r="K479" i="3"/>
  <c r="E479" i="3" s="1"/>
  <c r="L479" i="3"/>
  <c r="J479" i="3"/>
  <c r="I479" i="3"/>
  <c r="H479" i="3"/>
  <c r="J466" i="3"/>
  <c r="K466" i="3"/>
  <c r="E466" i="3" s="1"/>
  <c r="I466" i="3"/>
  <c r="H466" i="3"/>
  <c r="L466" i="3"/>
  <c r="J434" i="3"/>
  <c r="K434" i="3"/>
  <c r="E434" i="3" s="1"/>
  <c r="I434" i="3"/>
  <c r="H434" i="3"/>
  <c r="L434" i="3"/>
  <c r="L412" i="3"/>
  <c r="H412" i="3"/>
  <c r="I412" i="3"/>
  <c r="K412" i="3"/>
  <c r="E412" i="3" s="1"/>
  <c r="J412" i="3"/>
  <c r="L408" i="3"/>
  <c r="H408" i="3"/>
  <c r="J408" i="3"/>
  <c r="I408" i="3"/>
  <c r="K408" i="3"/>
  <c r="E408" i="3" s="1"/>
  <c r="S403" i="3"/>
  <c r="O403" i="3"/>
  <c r="P403" i="3"/>
  <c r="N403" i="3"/>
  <c r="M403" i="3"/>
  <c r="R403" i="3"/>
  <c r="Q403" i="3"/>
  <c r="J390" i="3"/>
  <c r="K390" i="3"/>
  <c r="E390" i="3" s="1"/>
  <c r="H390" i="3"/>
  <c r="L390" i="3"/>
  <c r="I390" i="3"/>
  <c r="J386" i="3"/>
  <c r="H386" i="3"/>
  <c r="I386" i="3"/>
  <c r="L386" i="3"/>
  <c r="K386" i="3"/>
  <c r="E386" i="3" s="1"/>
  <c r="F374" i="3"/>
  <c r="G374" i="3"/>
  <c r="K363" i="3"/>
  <c r="E363" i="3" s="1"/>
  <c r="J363" i="3"/>
  <c r="I363" i="3"/>
  <c r="H363" i="3"/>
  <c r="L363" i="3"/>
  <c r="F357" i="3"/>
  <c r="G357" i="3"/>
  <c r="K335" i="3"/>
  <c r="E335" i="3" s="1"/>
  <c r="H335" i="3"/>
  <c r="I335" i="3"/>
  <c r="L335" i="3"/>
  <c r="J335" i="3"/>
  <c r="F329" i="3"/>
  <c r="G329" i="3"/>
  <c r="I317" i="3"/>
  <c r="H317" i="3"/>
  <c r="L317" i="3"/>
  <c r="K317" i="3"/>
  <c r="E317" i="3" s="1"/>
  <c r="J317" i="3"/>
  <c r="I313" i="3"/>
  <c r="K313" i="3"/>
  <c r="E313" i="3" s="1"/>
  <c r="H313" i="3"/>
  <c r="L313" i="3"/>
  <c r="J313" i="3"/>
  <c r="L284" i="3"/>
  <c r="H284" i="3"/>
  <c r="I284" i="3"/>
  <c r="K284" i="3"/>
  <c r="E284" i="3" s="1"/>
  <c r="J284" i="3"/>
  <c r="L280" i="3"/>
  <c r="H280" i="3"/>
  <c r="J280" i="3"/>
  <c r="I280" i="3"/>
  <c r="K280" i="3"/>
  <c r="E280" i="3" s="1"/>
  <c r="S275" i="3"/>
  <c r="O275" i="3"/>
  <c r="P275" i="3"/>
  <c r="N275" i="3"/>
  <c r="M275" i="3"/>
  <c r="R275" i="3"/>
  <c r="Q275" i="3"/>
  <c r="J262" i="3"/>
  <c r="K262" i="3"/>
  <c r="E262" i="3" s="1"/>
  <c r="H262" i="3"/>
  <c r="L262" i="3"/>
  <c r="I262" i="3"/>
  <c r="J258" i="3"/>
  <c r="H258" i="3"/>
  <c r="I258" i="3"/>
  <c r="L258" i="3"/>
  <c r="K258" i="3"/>
  <c r="E258" i="3" s="1"/>
  <c r="F246" i="3"/>
  <c r="G246" i="3"/>
  <c r="K235" i="3"/>
  <c r="E235" i="3" s="1"/>
  <c r="J235" i="3"/>
  <c r="I235" i="3"/>
  <c r="H235" i="3"/>
  <c r="L235" i="3"/>
  <c r="F229" i="3"/>
  <c r="G229" i="3"/>
  <c r="K207" i="3"/>
  <c r="E207" i="3" s="1"/>
  <c r="H207" i="3"/>
  <c r="I207" i="3"/>
  <c r="L207" i="3"/>
  <c r="J207" i="3"/>
  <c r="F201" i="3"/>
  <c r="G201" i="3"/>
  <c r="F197" i="3"/>
  <c r="G197" i="3"/>
  <c r="P188" i="3"/>
  <c r="R188" i="3"/>
  <c r="M188" i="3"/>
  <c r="Q188" i="3"/>
  <c r="O188" i="3"/>
  <c r="S188" i="3"/>
  <c r="N188" i="3"/>
  <c r="K175" i="3"/>
  <c r="E175" i="3" s="1"/>
  <c r="H175" i="3"/>
  <c r="L175" i="3"/>
  <c r="J175" i="3"/>
  <c r="I175" i="3"/>
  <c r="L164" i="3"/>
  <c r="H164" i="3"/>
  <c r="K164" i="3"/>
  <c r="E164" i="3" s="1"/>
  <c r="J164" i="3"/>
  <c r="I164" i="3"/>
  <c r="K143" i="3"/>
  <c r="E143" i="3" s="1"/>
  <c r="H143" i="3"/>
  <c r="L143" i="3"/>
  <c r="J143" i="3"/>
  <c r="I143" i="3"/>
  <c r="L132" i="3"/>
  <c r="H132" i="3"/>
  <c r="K132" i="3"/>
  <c r="E132" i="3" s="1"/>
  <c r="J132" i="3"/>
  <c r="I132" i="3"/>
  <c r="P112" i="3"/>
  <c r="S112" i="3"/>
  <c r="O112" i="3"/>
  <c r="R112" i="3"/>
  <c r="N112" i="3"/>
  <c r="Q112" i="3"/>
  <c r="M112" i="3"/>
  <c r="P96" i="3"/>
  <c r="S96" i="3"/>
  <c r="O96" i="3"/>
  <c r="N96" i="3"/>
  <c r="R96" i="3"/>
  <c r="Q96" i="3"/>
  <c r="M96" i="3"/>
  <c r="P80" i="3"/>
  <c r="S80" i="3"/>
  <c r="O80" i="3"/>
  <c r="R80" i="3"/>
  <c r="N80" i="3"/>
  <c r="Q80" i="3"/>
  <c r="M80" i="3"/>
  <c r="P64" i="3"/>
  <c r="S64" i="3"/>
  <c r="O64" i="3"/>
  <c r="R64" i="3"/>
  <c r="N64" i="3"/>
  <c r="Q64" i="3"/>
  <c r="M64" i="3"/>
  <c r="P48" i="3"/>
  <c r="S48" i="3"/>
  <c r="O48" i="3"/>
  <c r="Q48" i="3"/>
  <c r="M48" i="3"/>
  <c r="R48" i="3"/>
  <c r="N48" i="3"/>
  <c r="P32" i="3"/>
  <c r="S32" i="3"/>
  <c r="O32" i="3"/>
  <c r="R32" i="3"/>
  <c r="N32" i="3"/>
  <c r="Q32" i="3"/>
  <c r="M32" i="3"/>
  <c r="P16" i="3"/>
  <c r="S16" i="3"/>
  <c r="O16" i="3"/>
  <c r="R16" i="3"/>
  <c r="N16" i="3"/>
  <c r="Q16" i="3"/>
  <c r="M16" i="3"/>
  <c r="P9" i="3"/>
  <c r="S9" i="3"/>
  <c r="O9" i="3"/>
  <c r="Q9" i="3"/>
  <c r="M9" i="3"/>
  <c r="R9" i="3"/>
  <c r="N9" i="3"/>
  <c r="J122" i="3"/>
  <c r="H122" i="3"/>
  <c r="L122" i="3"/>
  <c r="K122" i="3"/>
  <c r="E122" i="3" s="1"/>
  <c r="I122" i="3"/>
  <c r="Q105" i="3"/>
  <c r="M105" i="3"/>
  <c r="P105" i="3"/>
  <c r="S105" i="3"/>
  <c r="O105" i="3"/>
  <c r="R105" i="3"/>
  <c r="N105" i="3"/>
  <c r="G97" i="3"/>
  <c r="F97" i="3"/>
  <c r="K91" i="3"/>
  <c r="E91" i="3" s="1"/>
  <c r="J91" i="3"/>
  <c r="I91" i="3"/>
  <c r="L91" i="3"/>
  <c r="H91" i="3"/>
  <c r="L1002" i="3"/>
  <c r="H1002" i="3"/>
  <c r="J1002" i="3"/>
  <c r="I1002" i="3"/>
  <c r="K1002" i="3"/>
  <c r="E1002" i="3" s="1"/>
  <c r="J978" i="3"/>
  <c r="L978" i="3"/>
  <c r="K978" i="3"/>
  <c r="E978" i="3" s="1"/>
  <c r="I978" i="3"/>
  <c r="H978" i="3"/>
  <c r="J946" i="3"/>
  <c r="L946" i="3"/>
  <c r="K946" i="3"/>
  <c r="E946" i="3" s="1"/>
  <c r="I946" i="3"/>
  <c r="H946" i="3"/>
  <c r="S1001" i="3"/>
  <c r="O1001" i="3"/>
  <c r="Q1001" i="3"/>
  <c r="M1001" i="3"/>
  <c r="P1001" i="3"/>
  <c r="R1001" i="3"/>
  <c r="N1001" i="3"/>
  <c r="F998" i="3"/>
  <c r="G998" i="3"/>
  <c r="F1004" i="3"/>
  <c r="G1004" i="3"/>
  <c r="J910" i="3"/>
  <c r="H910" i="3"/>
  <c r="I910" i="3"/>
  <c r="L910" i="3"/>
  <c r="K910" i="3"/>
  <c r="E910" i="3" s="1"/>
  <c r="L904" i="3"/>
  <c r="H904" i="3"/>
  <c r="I904" i="3"/>
  <c r="K904" i="3"/>
  <c r="E904" i="3" s="1"/>
  <c r="J904" i="3"/>
  <c r="L900" i="3"/>
  <c r="H900" i="3"/>
  <c r="J900" i="3"/>
  <c r="I900" i="3"/>
  <c r="K900" i="3"/>
  <c r="E900" i="3" s="1"/>
  <c r="K860" i="3"/>
  <c r="E860" i="3" s="1"/>
  <c r="H860" i="3"/>
  <c r="L860" i="3"/>
  <c r="J860" i="3"/>
  <c r="I860" i="3"/>
  <c r="L849" i="3"/>
  <c r="H849" i="3"/>
  <c r="K849" i="3"/>
  <c r="E849" i="3" s="1"/>
  <c r="J849" i="3"/>
  <c r="I849" i="3"/>
  <c r="L928" i="3"/>
  <c r="H928" i="3"/>
  <c r="J928" i="3"/>
  <c r="I928" i="3"/>
  <c r="K928" i="3"/>
  <c r="E928" i="3" s="1"/>
  <c r="G924" i="3"/>
  <c r="F924" i="3"/>
  <c r="Q897" i="3"/>
  <c r="M897" i="3"/>
  <c r="S897" i="3"/>
  <c r="N897" i="3"/>
  <c r="P897" i="3"/>
  <c r="O897" i="3"/>
  <c r="R897" i="3"/>
  <c r="Q893" i="3"/>
  <c r="M893" i="3"/>
  <c r="P893" i="3"/>
  <c r="R893" i="3"/>
  <c r="O893" i="3"/>
  <c r="N893" i="3"/>
  <c r="S893" i="3"/>
  <c r="L864" i="3"/>
  <c r="H864" i="3"/>
  <c r="J864" i="3"/>
  <c r="I864" i="3"/>
  <c r="K864" i="3"/>
  <c r="E864" i="3" s="1"/>
  <c r="J855" i="3"/>
  <c r="H855" i="3"/>
  <c r="L855" i="3"/>
  <c r="K855" i="3"/>
  <c r="E855" i="3" s="1"/>
  <c r="I855" i="3"/>
  <c r="G999" i="3"/>
  <c r="F999" i="3"/>
  <c r="I989" i="3"/>
  <c r="L989" i="3"/>
  <c r="K989" i="3"/>
  <c r="E989" i="3" s="1"/>
  <c r="J989" i="3"/>
  <c r="H989" i="3"/>
  <c r="P980" i="3"/>
  <c r="Q980" i="3"/>
  <c r="O980" i="3"/>
  <c r="R980" i="3"/>
  <c r="N980" i="3"/>
  <c r="M980" i="3"/>
  <c r="S980" i="3"/>
  <c r="J974" i="3"/>
  <c r="I974" i="3"/>
  <c r="H974" i="3"/>
  <c r="L974" i="3"/>
  <c r="K974" i="3"/>
  <c r="E974" i="3" s="1"/>
  <c r="F972" i="3"/>
  <c r="G972" i="3"/>
  <c r="K963" i="3"/>
  <c r="E963" i="3" s="1"/>
  <c r="I963" i="3"/>
  <c r="H963" i="3"/>
  <c r="L963" i="3"/>
  <c r="J963" i="3"/>
  <c r="I957" i="3"/>
  <c r="L957" i="3"/>
  <c r="K957" i="3"/>
  <c r="E957" i="3" s="1"/>
  <c r="J957" i="3"/>
  <c r="H957" i="3"/>
  <c r="P948" i="3"/>
  <c r="Q948" i="3"/>
  <c r="O948" i="3"/>
  <c r="R948" i="3"/>
  <c r="N948" i="3"/>
  <c r="M948" i="3"/>
  <c r="S948" i="3"/>
  <c r="J942" i="3"/>
  <c r="I942" i="3"/>
  <c r="H942" i="3"/>
  <c r="L942" i="3"/>
  <c r="K942" i="3"/>
  <c r="E942" i="3" s="1"/>
  <c r="F940" i="3"/>
  <c r="G940" i="3"/>
  <c r="J930" i="3"/>
  <c r="K930" i="3"/>
  <c r="E930" i="3" s="1"/>
  <c r="L930" i="3"/>
  <c r="I930" i="3"/>
  <c r="H930" i="3"/>
  <c r="K875" i="3"/>
  <c r="E875" i="3" s="1"/>
  <c r="H875" i="3"/>
  <c r="L875" i="3"/>
  <c r="J875" i="3"/>
  <c r="I875" i="3"/>
  <c r="F977" i="3"/>
  <c r="G977" i="3"/>
  <c r="F881" i="3"/>
  <c r="G881" i="3"/>
  <c r="K879" i="3"/>
  <c r="E879" i="3" s="1"/>
  <c r="J879" i="3"/>
  <c r="L879" i="3"/>
  <c r="I879" i="3"/>
  <c r="H879" i="3"/>
  <c r="F877" i="3"/>
  <c r="G877" i="3"/>
  <c r="L845" i="3"/>
  <c r="H845" i="3"/>
  <c r="J845" i="3"/>
  <c r="I845" i="3"/>
  <c r="K845" i="3"/>
  <c r="E845" i="3" s="1"/>
  <c r="I842" i="3"/>
  <c r="H842" i="3"/>
  <c r="L842" i="3"/>
  <c r="K842" i="3"/>
  <c r="E842" i="3" s="1"/>
  <c r="J842" i="3"/>
  <c r="F826" i="3"/>
  <c r="G826" i="3"/>
  <c r="F794" i="3"/>
  <c r="G794" i="3"/>
  <c r="F762" i="3"/>
  <c r="G762" i="3"/>
  <c r="F730" i="3"/>
  <c r="G730" i="3"/>
  <c r="J699" i="3"/>
  <c r="K699" i="3"/>
  <c r="E699" i="3" s="1"/>
  <c r="H699" i="3"/>
  <c r="L699" i="3"/>
  <c r="I699" i="3"/>
  <c r="K672" i="3"/>
  <c r="E672" i="3" s="1"/>
  <c r="J672" i="3"/>
  <c r="I672" i="3"/>
  <c r="H672" i="3"/>
  <c r="L672" i="3"/>
  <c r="L661" i="3"/>
  <c r="H661" i="3"/>
  <c r="K661" i="3"/>
  <c r="E661" i="3" s="1"/>
  <c r="J661" i="3"/>
  <c r="I661" i="3"/>
  <c r="G653" i="3"/>
  <c r="F653" i="3"/>
  <c r="G637" i="3"/>
  <c r="F637" i="3"/>
  <c r="G621" i="3"/>
  <c r="F621" i="3"/>
  <c r="G605" i="3"/>
  <c r="F605" i="3"/>
  <c r="K592" i="3"/>
  <c r="E592" i="3" s="1"/>
  <c r="H592" i="3"/>
  <c r="L592" i="3"/>
  <c r="J592" i="3"/>
  <c r="I592" i="3"/>
  <c r="L581" i="3"/>
  <c r="H581" i="3"/>
  <c r="K581" i="3"/>
  <c r="E581" i="3" s="1"/>
  <c r="J581" i="3"/>
  <c r="I581" i="3"/>
  <c r="K983" i="3"/>
  <c r="E983" i="3" s="1"/>
  <c r="L983" i="3"/>
  <c r="J983" i="3"/>
  <c r="H983" i="3"/>
  <c r="I983" i="3"/>
  <c r="K967" i="3"/>
  <c r="E967" i="3" s="1"/>
  <c r="L967" i="3"/>
  <c r="J967" i="3"/>
  <c r="H967" i="3"/>
  <c r="I967" i="3"/>
  <c r="K951" i="3"/>
  <c r="E951" i="3" s="1"/>
  <c r="L951" i="3"/>
  <c r="J951" i="3"/>
  <c r="H951" i="3"/>
  <c r="I951" i="3"/>
  <c r="K935" i="3"/>
  <c r="E935" i="3" s="1"/>
  <c r="L935" i="3"/>
  <c r="J935" i="3"/>
  <c r="H935" i="3"/>
  <c r="I935" i="3"/>
  <c r="G927" i="3"/>
  <c r="F927" i="3"/>
  <c r="Q862" i="3"/>
  <c r="M862" i="3"/>
  <c r="P862" i="3"/>
  <c r="O862" i="3"/>
  <c r="S862" i="3"/>
  <c r="N862" i="3"/>
  <c r="R862" i="3"/>
  <c r="K848" i="3"/>
  <c r="E848" i="3" s="1"/>
  <c r="J848" i="3"/>
  <c r="I848" i="3"/>
  <c r="H848" i="3"/>
  <c r="L848" i="3"/>
  <c r="F830" i="3"/>
  <c r="G830" i="3"/>
  <c r="Q810" i="3"/>
  <c r="M810" i="3"/>
  <c r="S810" i="3"/>
  <c r="N810" i="3"/>
  <c r="P810" i="3"/>
  <c r="R810" i="3"/>
  <c r="O810" i="3"/>
  <c r="F798" i="3"/>
  <c r="G798" i="3"/>
  <c r="Q778" i="3"/>
  <c r="M778" i="3"/>
  <c r="S778" i="3"/>
  <c r="N778" i="3"/>
  <c r="P778" i="3"/>
  <c r="R778" i="3"/>
  <c r="O778" i="3"/>
  <c r="F766" i="3"/>
  <c r="G766" i="3"/>
  <c r="Q746" i="3"/>
  <c r="M746" i="3"/>
  <c r="S746" i="3"/>
  <c r="N746" i="3"/>
  <c r="P746" i="3"/>
  <c r="R746" i="3"/>
  <c r="O746" i="3"/>
  <c r="F734" i="3"/>
  <c r="G734" i="3"/>
  <c r="Q714" i="3"/>
  <c r="M714" i="3"/>
  <c r="S714" i="3"/>
  <c r="N714" i="3"/>
  <c r="P714" i="3"/>
  <c r="R714" i="3"/>
  <c r="O714" i="3"/>
  <c r="F702" i="3"/>
  <c r="G702" i="3"/>
  <c r="K668" i="3"/>
  <c r="E668" i="3" s="1"/>
  <c r="H668" i="3"/>
  <c r="J668" i="3"/>
  <c r="I668" i="3"/>
  <c r="L668" i="3"/>
  <c r="J651" i="3"/>
  <c r="H651" i="3"/>
  <c r="L651" i="3"/>
  <c r="K651" i="3"/>
  <c r="E651" i="3" s="1"/>
  <c r="I651" i="3"/>
  <c r="J619" i="3"/>
  <c r="H619" i="3"/>
  <c r="L619" i="3"/>
  <c r="K619" i="3"/>
  <c r="E619" i="3" s="1"/>
  <c r="I619" i="3"/>
  <c r="J587" i="3"/>
  <c r="H587" i="3"/>
  <c r="L587" i="3"/>
  <c r="K587" i="3"/>
  <c r="E587" i="3" s="1"/>
  <c r="I587" i="3"/>
  <c r="Q985" i="3"/>
  <c r="M985" i="3"/>
  <c r="O985" i="3"/>
  <c r="S985" i="3"/>
  <c r="N985" i="3"/>
  <c r="P985" i="3"/>
  <c r="R985" i="3"/>
  <c r="F969" i="3"/>
  <c r="G969" i="3"/>
  <c r="L861" i="3"/>
  <c r="H861" i="3"/>
  <c r="J861" i="3"/>
  <c r="I861" i="3"/>
  <c r="K861" i="3"/>
  <c r="E861" i="3" s="1"/>
  <c r="I858" i="3"/>
  <c r="H858" i="3"/>
  <c r="L858" i="3"/>
  <c r="K858" i="3"/>
  <c r="E858" i="3" s="1"/>
  <c r="J858" i="3"/>
  <c r="Q854" i="3"/>
  <c r="M854" i="3"/>
  <c r="P854" i="3"/>
  <c r="O854" i="3"/>
  <c r="S854" i="3"/>
  <c r="N854" i="3"/>
  <c r="R854" i="3"/>
  <c r="L825" i="3"/>
  <c r="H825" i="3"/>
  <c r="J825" i="3"/>
  <c r="K825" i="3"/>
  <c r="E825" i="3" s="1"/>
  <c r="I825" i="3"/>
  <c r="K812" i="3"/>
  <c r="E812" i="3" s="1"/>
  <c r="H812" i="3"/>
  <c r="J812" i="3"/>
  <c r="L812" i="3"/>
  <c r="I812" i="3"/>
  <c r="L793" i="3"/>
  <c r="H793" i="3"/>
  <c r="J793" i="3"/>
  <c r="K793" i="3"/>
  <c r="E793" i="3" s="1"/>
  <c r="I793" i="3"/>
  <c r="K780" i="3"/>
  <c r="E780" i="3" s="1"/>
  <c r="H780" i="3"/>
  <c r="J780" i="3"/>
  <c r="L780" i="3"/>
  <c r="I780" i="3"/>
  <c r="L761" i="3"/>
  <c r="H761" i="3"/>
  <c r="J761" i="3"/>
  <c r="K761" i="3"/>
  <c r="E761" i="3" s="1"/>
  <c r="I761" i="3"/>
  <c r="K748" i="3"/>
  <c r="E748" i="3" s="1"/>
  <c r="H748" i="3"/>
  <c r="J748" i="3"/>
  <c r="L748" i="3"/>
  <c r="I748" i="3"/>
  <c r="L729" i="3"/>
  <c r="H729" i="3"/>
  <c r="J729" i="3"/>
  <c r="K729" i="3"/>
  <c r="E729" i="3" s="1"/>
  <c r="I729" i="3"/>
  <c r="K716" i="3"/>
  <c r="E716" i="3" s="1"/>
  <c r="H716" i="3"/>
  <c r="J716" i="3"/>
  <c r="L716" i="3"/>
  <c r="I716" i="3"/>
  <c r="J683" i="3"/>
  <c r="K683" i="3"/>
  <c r="E683" i="3" s="1"/>
  <c r="L683" i="3"/>
  <c r="I683" i="3"/>
  <c r="H683" i="3"/>
  <c r="K959" i="3"/>
  <c r="E959" i="3" s="1"/>
  <c r="L959" i="3"/>
  <c r="J959" i="3"/>
  <c r="H959" i="3"/>
  <c r="I959" i="3"/>
  <c r="L853" i="3"/>
  <c r="H853" i="3"/>
  <c r="J853" i="3"/>
  <c r="I853" i="3"/>
  <c r="K853" i="3"/>
  <c r="E853" i="3" s="1"/>
  <c r="K832" i="3"/>
  <c r="E832" i="3" s="1"/>
  <c r="J832" i="3"/>
  <c r="H832" i="3"/>
  <c r="I832" i="3"/>
  <c r="L832" i="3"/>
  <c r="K768" i="3"/>
  <c r="E768" i="3" s="1"/>
  <c r="J768" i="3"/>
  <c r="H768" i="3"/>
  <c r="I768" i="3"/>
  <c r="L768" i="3"/>
  <c r="K704" i="3"/>
  <c r="E704" i="3" s="1"/>
  <c r="J704" i="3"/>
  <c r="H704" i="3"/>
  <c r="I704" i="3"/>
  <c r="L704" i="3"/>
  <c r="F698" i="3"/>
  <c r="G698" i="3"/>
  <c r="L697" i="3"/>
  <c r="H697" i="3"/>
  <c r="K697" i="3"/>
  <c r="E697" i="3" s="1"/>
  <c r="J697" i="3"/>
  <c r="I697" i="3"/>
  <c r="F694" i="3"/>
  <c r="G694" i="3"/>
  <c r="K684" i="3"/>
  <c r="E684" i="3" s="1"/>
  <c r="H684" i="3"/>
  <c r="L684" i="3"/>
  <c r="J684" i="3"/>
  <c r="I684" i="3"/>
  <c r="F666" i="3"/>
  <c r="G666" i="3"/>
  <c r="L665" i="3"/>
  <c r="H665" i="3"/>
  <c r="K665" i="3"/>
  <c r="E665" i="3" s="1"/>
  <c r="J665" i="3"/>
  <c r="I665" i="3"/>
  <c r="J655" i="3"/>
  <c r="K655" i="3"/>
  <c r="E655" i="3" s="1"/>
  <c r="I655" i="3"/>
  <c r="H655" i="3"/>
  <c r="L655" i="3"/>
  <c r="L649" i="3"/>
  <c r="H649" i="3"/>
  <c r="J649" i="3"/>
  <c r="I649" i="3"/>
  <c r="K649" i="3"/>
  <c r="E649" i="3" s="1"/>
  <c r="F626" i="3"/>
  <c r="G626" i="3"/>
  <c r="L617" i="3"/>
  <c r="H617" i="3"/>
  <c r="J617" i="3"/>
  <c r="I617" i="3"/>
  <c r="K617" i="3"/>
  <c r="E617" i="3" s="1"/>
  <c r="L593" i="3"/>
  <c r="H593" i="3"/>
  <c r="J593" i="3"/>
  <c r="I593" i="3"/>
  <c r="K593" i="3"/>
  <c r="E593" i="3" s="1"/>
  <c r="I590" i="3"/>
  <c r="H590" i="3"/>
  <c r="L590" i="3"/>
  <c r="K590" i="3"/>
  <c r="E590" i="3" s="1"/>
  <c r="J590" i="3"/>
  <c r="Q586" i="3"/>
  <c r="M586" i="3"/>
  <c r="P586" i="3"/>
  <c r="O586" i="3"/>
  <c r="S586" i="3"/>
  <c r="N586" i="3"/>
  <c r="R586" i="3"/>
  <c r="J552" i="3"/>
  <c r="L552" i="3"/>
  <c r="H552" i="3"/>
  <c r="I552" i="3"/>
  <c r="K552" i="3"/>
  <c r="E552" i="3" s="1"/>
  <c r="J536" i="3"/>
  <c r="L536" i="3"/>
  <c r="H536" i="3"/>
  <c r="I536" i="3"/>
  <c r="K536" i="3"/>
  <c r="E536" i="3" s="1"/>
  <c r="F490" i="3"/>
  <c r="G490" i="3"/>
  <c r="K975" i="3"/>
  <c r="E975" i="3" s="1"/>
  <c r="L975" i="3"/>
  <c r="J975" i="3"/>
  <c r="H975" i="3"/>
  <c r="I975" i="3"/>
  <c r="P693" i="3"/>
  <c r="O693" i="3"/>
  <c r="N693" i="3"/>
  <c r="S693" i="3"/>
  <c r="M693" i="3"/>
  <c r="R693" i="3"/>
  <c r="Q693" i="3"/>
  <c r="F634" i="3"/>
  <c r="G634" i="3"/>
  <c r="L625" i="3"/>
  <c r="H625" i="3"/>
  <c r="J625" i="3"/>
  <c r="I625" i="3"/>
  <c r="K625" i="3"/>
  <c r="E625" i="3" s="1"/>
  <c r="F602" i="3"/>
  <c r="G602" i="3"/>
  <c r="L585" i="3"/>
  <c r="H585" i="3"/>
  <c r="J585" i="3"/>
  <c r="I585" i="3"/>
  <c r="K585" i="3"/>
  <c r="E585" i="3" s="1"/>
  <c r="I582" i="3"/>
  <c r="H582" i="3"/>
  <c r="L582" i="3"/>
  <c r="K582" i="3"/>
  <c r="E582" i="3" s="1"/>
  <c r="J582" i="3"/>
  <c r="Q578" i="3"/>
  <c r="M578" i="3"/>
  <c r="P578" i="3"/>
  <c r="O578" i="3"/>
  <c r="S578" i="3"/>
  <c r="N578" i="3"/>
  <c r="R578" i="3"/>
  <c r="S572" i="3"/>
  <c r="O572" i="3"/>
  <c r="P572" i="3"/>
  <c r="N572" i="3"/>
  <c r="R572" i="3"/>
  <c r="M572" i="3"/>
  <c r="Q572" i="3"/>
  <c r="L570" i="3"/>
  <c r="H570" i="3"/>
  <c r="K570" i="3"/>
  <c r="E570" i="3" s="1"/>
  <c r="J570" i="3"/>
  <c r="I570" i="3"/>
  <c r="R568" i="3"/>
  <c r="N568" i="3"/>
  <c r="Q568" i="3"/>
  <c r="M568" i="3"/>
  <c r="P568" i="3"/>
  <c r="S568" i="3"/>
  <c r="O568" i="3"/>
  <c r="L566" i="3"/>
  <c r="H566" i="3"/>
  <c r="K566" i="3"/>
  <c r="E566" i="3" s="1"/>
  <c r="J566" i="3"/>
  <c r="I566" i="3"/>
  <c r="R564" i="3"/>
  <c r="N564" i="3"/>
  <c r="Q564" i="3"/>
  <c r="M564" i="3"/>
  <c r="P564" i="3"/>
  <c r="S564" i="3"/>
  <c r="O564" i="3"/>
  <c r="L562" i="3"/>
  <c r="H562" i="3"/>
  <c r="K562" i="3"/>
  <c r="E562" i="3" s="1"/>
  <c r="J562" i="3"/>
  <c r="I562" i="3"/>
  <c r="R560" i="3"/>
  <c r="N560" i="3"/>
  <c r="Q560" i="3"/>
  <c r="M560" i="3"/>
  <c r="P560" i="3"/>
  <c r="S560" i="3"/>
  <c r="O560" i="3"/>
  <c r="J548" i="3"/>
  <c r="L548" i="3"/>
  <c r="H548" i="3"/>
  <c r="K548" i="3"/>
  <c r="E548" i="3" s="1"/>
  <c r="I548" i="3"/>
  <c r="S537" i="3"/>
  <c r="O537" i="3"/>
  <c r="Q537" i="3"/>
  <c r="M537" i="3"/>
  <c r="R537" i="3"/>
  <c r="P537" i="3"/>
  <c r="N537" i="3"/>
  <c r="P528" i="3"/>
  <c r="S528" i="3"/>
  <c r="N528" i="3"/>
  <c r="R528" i="3"/>
  <c r="M528" i="3"/>
  <c r="Q528" i="3"/>
  <c r="O528" i="3"/>
  <c r="G520" i="3"/>
  <c r="F520" i="3"/>
  <c r="S507" i="3"/>
  <c r="O507" i="3"/>
  <c r="N507" i="3"/>
  <c r="R507" i="3"/>
  <c r="M507" i="3"/>
  <c r="Q507" i="3"/>
  <c r="P507" i="3"/>
  <c r="P496" i="3"/>
  <c r="S496" i="3"/>
  <c r="N496" i="3"/>
  <c r="R496" i="3"/>
  <c r="M496" i="3"/>
  <c r="Q496" i="3"/>
  <c r="O496" i="3"/>
  <c r="K483" i="3"/>
  <c r="E483" i="3" s="1"/>
  <c r="I483" i="3"/>
  <c r="H483" i="3"/>
  <c r="L483" i="3"/>
  <c r="J483" i="3"/>
  <c r="P464" i="3"/>
  <c r="R464" i="3"/>
  <c r="M464" i="3"/>
  <c r="Q464" i="3"/>
  <c r="O464" i="3"/>
  <c r="S464" i="3"/>
  <c r="N464" i="3"/>
  <c r="P448" i="3"/>
  <c r="R448" i="3"/>
  <c r="M448" i="3"/>
  <c r="Q448" i="3"/>
  <c r="O448" i="3"/>
  <c r="S448" i="3"/>
  <c r="N448" i="3"/>
  <c r="K991" i="3"/>
  <c r="E991" i="3" s="1"/>
  <c r="L991" i="3"/>
  <c r="J991" i="3"/>
  <c r="H991" i="3"/>
  <c r="I991" i="3"/>
  <c r="I889" i="3"/>
  <c r="H889" i="3"/>
  <c r="K889" i="3"/>
  <c r="E889" i="3" s="1"/>
  <c r="J889" i="3"/>
  <c r="L889" i="3"/>
  <c r="I885" i="3"/>
  <c r="K885" i="3"/>
  <c r="E885" i="3" s="1"/>
  <c r="L885" i="3"/>
  <c r="J885" i="3"/>
  <c r="H885" i="3"/>
  <c r="L884" i="3"/>
  <c r="H884" i="3"/>
  <c r="J884" i="3"/>
  <c r="K884" i="3"/>
  <c r="E884" i="3" s="1"/>
  <c r="I884" i="3"/>
  <c r="F834" i="3"/>
  <c r="G834" i="3"/>
  <c r="F818" i="3"/>
  <c r="G818" i="3"/>
  <c r="F802" i="3"/>
  <c r="G802" i="3"/>
  <c r="F786" i="3"/>
  <c r="G786" i="3"/>
  <c r="F770" i="3"/>
  <c r="G770" i="3"/>
  <c r="F754" i="3"/>
  <c r="G754" i="3"/>
  <c r="F738" i="3"/>
  <c r="G738" i="3"/>
  <c r="F722" i="3"/>
  <c r="G722" i="3"/>
  <c r="F706" i="3"/>
  <c r="G706" i="3"/>
  <c r="F642" i="3"/>
  <c r="G642" i="3"/>
  <c r="L633" i="3"/>
  <c r="H633" i="3"/>
  <c r="J633" i="3"/>
  <c r="I633" i="3"/>
  <c r="K633" i="3"/>
  <c r="E633" i="3" s="1"/>
  <c r="F610" i="3"/>
  <c r="G610" i="3"/>
  <c r="L601" i="3"/>
  <c r="H601" i="3"/>
  <c r="J601" i="3"/>
  <c r="I601" i="3"/>
  <c r="K601" i="3"/>
  <c r="E601" i="3" s="1"/>
  <c r="K588" i="3"/>
  <c r="E588" i="3" s="1"/>
  <c r="J588" i="3"/>
  <c r="I588" i="3"/>
  <c r="H588" i="3"/>
  <c r="L588" i="3"/>
  <c r="G543" i="3"/>
  <c r="F543" i="3"/>
  <c r="G523" i="3"/>
  <c r="F523" i="3"/>
  <c r="G515" i="3"/>
  <c r="F515" i="3"/>
  <c r="G507" i="3"/>
  <c r="F507" i="3"/>
  <c r="G499" i="3"/>
  <c r="F499" i="3"/>
  <c r="J486" i="3"/>
  <c r="I486" i="3"/>
  <c r="H486" i="3"/>
  <c r="L486" i="3"/>
  <c r="K486" i="3"/>
  <c r="E486" i="3" s="1"/>
  <c r="J454" i="3"/>
  <c r="H454" i="3"/>
  <c r="L454" i="3"/>
  <c r="K454" i="3"/>
  <c r="E454" i="3" s="1"/>
  <c r="I454" i="3"/>
  <c r="J422" i="3"/>
  <c r="L422" i="3"/>
  <c r="K422" i="3"/>
  <c r="E422" i="3" s="1"/>
  <c r="H422" i="3"/>
  <c r="I422" i="3"/>
  <c r="J671" i="3"/>
  <c r="H671" i="3"/>
  <c r="L671" i="3"/>
  <c r="K671" i="3"/>
  <c r="E671" i="3" s="1"/>
  <c r="I671" i="3"/>
  <c r="F658" i="3"/>
  <c r="G658" i="3"/>
  <c r="J639" i="3"/>
  <c r="K639" i="3"/>
  <c r="E639" i="3" s="1"/>
  <c r="I639" i="3"/>
  <c r="H639" i="3"/>
  <c r="L639" i="3"/>
  <c r="J607" i="3"/>
  <c r="K607" i="3"/>
  <c r="E607" i="3" s="1"/>
  <c r="I607" i="3"/>
  <c r="H607" i="3"/>
  <c r="L607" i="3"/>
  <c r="L554" i="3"/>
  <c r="H554" i="3"/>
  <c r="J554" i="3"/>
  <c r="K554" i="3"/>
  <c r="E554" i="3" s="1"/>
  <c r="I554" i="3"/>
  <c r="J540" i="3"/>
  <c r="L540" i="3"/>
  <c r="H540" i="3"/>
  <c r="K540" i="3"/>
  <c r="E540" i="3" s="1"/>
  <c r="I540" i="3"/>
  <c r="P530" i="3"/>
  <c r="R530" i="3"/>
  <c r="N530" i="3"/>
  <c r="S530" i="3"/>
  <c r="Q530" i="3"/>
  <c r="O530" i="3"/>
  <c r="M530" i="3"/>
  <c r="Q525" i="3"/>
  <c r="M525" i="3"/>
  <c r="R525" i="3"/>
  <c r="P525" i="3"/>
  <c r="O525" i="3"/>
  <c r="S525" i="3"/>
  <c r="N525" i="3"/>
  <c r="L516" i="3"/>
  <c r="H516" i="3"/>
  <c r="K516" i="3"/>
  <c r="E516" i="3" s="1"/>
  <c r="J516" i="3"/>
  <c r="I516" i="3"/>
  <c r="K503" i="3"/>
  <c r="E503" i="3" s="1"/>
  <c r="L503" i="3"/>
  <c r="J503" i="3"/>
  <c r="I503" i="3"/>
  <c r="H503" i="3"/>
  <c r="R498" i="3"/>
  <c r="N498" i="3"/>
  <c r="Q498" i="3"/>
  <c r="P498" i="3"/>
  <c r="O498" i="3"/>
  <c r="S498" i="3"/>
  <c r="M498" i="3"/>
  <c r="Q493" i="3"/>
  <c r="M493" i="3"/>
  <c r="R493" i="3"/>
  <c r="P493" i="3"/>
  <c r="O493" i="3"/>
  <c r="S493" i="3"/>
  <c r="N493" i="3"/>
  <c r="R482" i="3"/>
  <c r="N482" i="3"/>
  <c r="Q482" i="3"/>
  <c r="P482" i="3"/>
  <c r="O482" i="3"/>
  <c r="S482" i="3"/>
  <c r="M482" i="3"/>
  <c r="Q477" i="3"/>
  <c r="M477" i="3"/>
  <c r="R477" i="3"/>
  <c r="P477" i="3"/>
  <c r="O477" i="3"/>
  <c r="S477" i="3"/>
  <c r="N477" i="3"/>
  <c r="L468" i="3"/>
  <c r="H468" i="3"/>
  <c r="J468" i="3"/>
  <c r="I468" i="3"/>
  <c r="K468" i="3"/>
  <c r="E468" i="3" s="1"/>
  <c r="F445" i="3"/>
  <c r="G445" i="3"/>
  <c r="L436" i="3"/>
  <c r="H436" i="3"/>
  <c r="J436" i="3"/>
  <c r="I436" i="3"/>
  <c r="K436" i="3"/>
  <c r="E436" i="3" s="1"/>
  <c r="L428" i="3"/>
  <c r="H428" i="3"/>
  <c r="I428" i="3"/>
  <c r="K428" i="3"/>
  <c r="E428" i="3" s="1"/>
  <c r="J428" i="3"/>
  <c r="L420" i="3"/>
  <c r="H420" i="3"/>
  <c r="I420" i="3"/>
  <c r="K420" i="3"/>
  <c r="E420" i="3" s="1"/>
  <c r="J420" i="3"/>
  <c r="F406" i="3"/>
  <c r="G406" i="3"/>
  <c r="K395" i="3"/>
  <c r="E395" i="3" s="1"/>
  <c r="J395" i="3"/>
  <c r="I395" i="3"/>
  <c r="H395" i="3"/>
  <c r="L395" i="3"/>
  <c r="F389" i="3"/>
  <c r="G389" i="3"/>
  <c r="K367" i="3"/>
  <c r="E367" i="3" s="1"/>
  <c r="H367" i="3"/>
  <c r="I367" i="3"/>
  <c r="L367" i="3"/>
  <c r="J367" i="3"/>
  <c r="F361" i="3"/>
  <c r="G361" i="3"/>
  <c r="I349" i="3"/>
  <c r="H349" i="3"/>
  <c r="L349" i="3"/>
  <c r="K349" i="3"/>
  <c r="E349" i="3" s="1"/>
  <c r="J349" i="3"/>
  <c r="I345" i="3"/>
  <c r="K345" i="3"/>
  <c r="E345" i="3" s="1"/>
  <c r="H345" i="3"/>
  <c r="L345" i="3"/>
  <c r="J345" i="3"/>
  <c r="L316" i="3"/>
  <c r="H316" i="3"/>
  <c r="I316" i="3"/>
  <c r="K316" i="3"/>
  <c r="E316" i="3" s="1"/>
  <c r="J316" i="3"/>
  <c r="L312" i="3"/>
  <c r="H312" i="3"/>
  <c r="J312" i="3"/>
  <c r="I312" i="3"/>
  <c r="K312" i="3"/>
  <c r="E312" i="3" s="1"/>
  <c r="S307" i="3"/>
  <c r="O307" i="3"/>
  <c r="P307" i="3"/>
  <c r="N307" i="3"/>
  <c r="M307" i="3"/>
  <c r="R307" i="3"/>
  <c r="Q307" i="3"/>
  <c r="J294" i="3"/>
  <c r="K294" i="3"/>
  <c r="E294" i="3" s="1"/>
  <c r="H294" i="3"/>
  <c r="L294" i="3"/>
  <c r="I294" i="3"/>
  <c r="J290" i="3"/>
  <c r="H290" i="3"/>
  <c r="I290" i="3"/>
  <c r="L290" i="3"/>
  <c r="K290" i="3"/>
  <c r="E290" i="3" s="1"/>
  <c r="F278" i="3"/>
  <c r="G278" i="3"/>
  <c r="K267" i="3"/>
  <c r="E267" i="3" s="1"/>
  <c r="J267" i="3"/>
  <c r="I267" i="3"/>
  <c r="H267" i="3"/>
  <c r="L267" i="3"/>
  <c r="F261" i="3"/>
  <c r="G261" i="3"/>
  <c r="K239" i="3"/>
  <c r="E239" i="3" s="1"/>
  <c r="H239" i="3"/>
  <c r="I239" i="3"/>
  <c r="L239" i="3"/>
  <c r="J239" i="3"/>
  <c r="F233" i="3"/>
  <c r="G233" i="3"/>
  <c r="I221" i="3"/>
  <c r="H221" i="3"/>
  <c r="L221" i="3"/>
  <c r="K221" i="3"/>
  <c r="E221" i="3" s="1"/>
  <c r="J221" i="3"/>
  <c r="I217" i="3"/>
  <c r="K217" i="3"/>
  <c r="E217" i="3" s="1"/>
  <c r="H217" i="3"/>
  <c r="L217" i="3"/>
  <c r="J217" i="3"/>
  <c r="R198" i="3"/>
  <c r="N198" i="3"/>
  <c r="P198" i="3"/>
  <c r="O198" i="3"/>
  <c r="M198" i="3"/>
  <c r="S198" i="3"/>
  <c r="Q198" i="3"/>
  <c r="G188" i="3"/>
  <c r="F188" i="3"/>
  <c r="P180" i="3"/>
  <c r="R180" i="3"/>
  <c r="M180" i="3"/>
  <c r="Q180" i="3"/>
  <c r="O180" i="3"/>
  <c r="S180" i="3"/>
  <c r="N180" i="3"/>
  <c r="K167" i="3"/>
  <c r="E167" i="3" s="1"/>
  <c r="H167" i="3"/>
  <c r="L167" i="3"/>
  <c r="J167" i="3"/>
  <c r="I167" i="3"/>
  <c r="L156" i="3"/>
  <c r="H156" i="3"/>
  <c r="K156" i="3"/>
  <c r="E156" i="3" s="1"/>
  <c r="J156" i="3"/>
  <c r="I156" i="3"/>
  <c r="K135" i="3"/>
  <c r="E135" i="3" s="1"/>
  <c r="H135" i="3"/>
  <c r="L135" i="3"/>
  <c r="J135" i="3"/>
  <c r="I135" i="3"/>
  <c r="L124" i="3"/>
  <c r="H124" i="3"/>
  <c r="K124" i="3"/>
  <c r="E124" i="3" s="1"/>
  <c r="J124" i="3"/>
  <c r="I124" i="3"/>
  <c r="P108" i="3"/>
  <c r="S108" i="3"/>
  <c r="O108" i="3"/>
  <c r="R108" i="3"/>
  <c r="N108" i="3"/>
  <c r="Q108" i="3"/>
  <c r="M108" i="3"/>
  <c r="P92" i="3"/>
  <c r="S92" i="3"/>
  <c r="O92" i="3"/>
  <c r="R92" i="3"/>
  <c r="N92" i="3"/>
  <c r="Q92" i="3"/>
  <c r="M92" i="3"/>
  <c r="P76" i="3"/>
  <c r="S76" i="3"/>
  <c r="O76" i="3"/>
  <c r="R76" i="3"/>
  <c r="N76" i="3"/>
  <c r="Q76" i="3"/>
  <c r="M76" i="3"/>
  <c r="P60" i="3"/>
  <c r="S60" i="3"/>
  <c r="O60" i="3"/>
  <c r="Q60" i="3"/>
  <c r="M60" i="3"/>
  <c r="R60" i="3"/>
  <c r="N60" i="3"/>
  <c r="P44" i="3"/>
  <c r="S44" i="3"/>
  <c r="O44" i="3"/>
  <c r="R44" i="3"/>
  <c r="N44" i="3"/>
  <c r="Q44" i="3"/>
  <c r="M44" i="3"/>
  <c r="P28" i="3"/>
  <c r="S28" i="3"/>
  <c r="O28" i="3"/>
  <c r="Q28" i="3"/>
  <c r="M28" i="3"/>
  <c r="R28" i="3"/>
  <c r="N28" i="3"/>
  <c r="P12" i="3"/>
  <c r="S12" i="3"/>
  <c r="O12" i="3"/>
  <c r="Q12" i="3"/>
  <c r="M12" i="3"/>
  <c r="R12" i="3"/>
  <c r="N12" i="3"/>
  <c r="P8" i="3"/>
  <c r="S8" i="3"/>
  <c r="O8" i="3"/>
  <c r="R8" i="3"/>
  <c r="N8" i="3"/>
  <c r="Q8" i="3"/>
  <c r="M8" i="3"/>
  <c r="K115" i="3"/>
  <c r="E115" i="3" s="1"/>
  <c r="J115" i="3"/>
  <c r="I115" i="3"/>
  <c r="L115" i="3"/>
  <c r="H115" i="3"/>
  <c r="Q97" i="3"/>
  <c r="M97" i="3"/>
  <c r="P97" i="3"/>
  <c r="S97" i="3"/>
  <c r="O97" i="3"/>
  <c r="R97" i="3"/>
  <c r="N97" i="3"/>
  <c r="G89" i="3"/>
  <c r="F89" i="3"/>
  <c r="K83" i="3"/>
  <c r="E83" i="3" s="1"/>
  <c r="J83" i="3"/>
  <c r="I83" i="3"/>
  <c r="L83" i="3"/>
  <c r="H83" i="3"/>
  <c r="K23" i="3"/>
  <c r="E23" i="3" s="1"/>
  <c r="J23" i="3"/>
  <c r="L23" i="3"/>
  <c r="H23" i="3"/>
  <c r="I23" i="3"/>
  <c r="Q531" i="3"/>
  <c r="M531" i="3"/>
  <c r="S531" i="3"/>
  <c r="O531" i="3"/>
  <c r="N531" i="3"/>
  <c r="R531" i="3"/>
  <c r="P531" i="3"/>
  <c r="J474" i="3"/>
  <c r="K474" i="3"/>
  <c r="E474" i="3" s="1"/>
  <c r="I474" i="3"/>
  <c r="H474" i="3"/>
  <c r="L474" i="3"/>
  <c r="J442" i="3"/>
  <c r="K442" i="3"/>
  <c r="E442" i="3" s="1"/>
  <c r="I442" i="3"/>
  <c r="H442" i="3"/>
  <c r="L442" i="3"/>
  <c r="I405" i="3"/>
  <c r="H405" i="3"/>
  <c r="J405" i="3"/>
  <c r="L405" i="3"/>
  <c r="K405" i="3"/>
  <c r="E405" i="3" s="1"/>
  <c r="J382" i="3"/>
  <c r="K382" i="3"/>
  <c r="E382" i="3" s="1"/>
  <c r="I382" i="3"/>
  <c r="H382" i="3"/>
  <c r="L382" i="3"/>
  <c r="J378" i="3"/>
  <c r="H378" i="3"/>
  <c r="K378" i="3"/>
  <c r="E378" i="3" s="1"/>
  <c r="I378" i="3"/>
  <c r="L378" i="3"/>
  <c r="L372" i="3"/>
  <c r="H372" i="3"/>
  <c r="J372" i="3"/>
  <c r="I372" i="3"/>
  <c r="K372" i="3"/>
  <c r="E372" i="3" s="1"/>
  <c r="I369" i="3"/>
  <c r="K369" i="3"/>
  <c r="E369" i="3" s="1"/>
  <c r="J369" i="3"/>
  <c r="H369" i="3"/>
  <c r="L369" i="3"/>
  <c r="K355" i="3"/>
  <c r="E355" i="3" s="1"/>
  <c r="J355" i="3"/>
  <c r="L355" i="3"/>
  <c r="I355" i="3"/>
  <c r="H355" i="3"/>
  <c r="G347" i="3"/>
  <c r="F347" i="3"/>
  <c r="L336" i="3"/>
  <c r="H336" i="3"/>
  <c r="J336" i="3"/>
  <c r="K336" i="3"/>
  <c r="E336" i="3" s="1"/>
  <c r="I336" i="3"/>
  <c r="K327" i="3"/>
  <c r="E327" i="3" s="1"/>
  <c r="H327" i="3"/>
  <c r="J327" i="3"/>
  <c r="I327" i="3"/>
  <c r="L327" i="3"/>
  <c r="F321" i="3"/>
  <c r="G321" i="3"/>
  <c r="F302" i="3"/>
  <c r="G302" i="3"/>
  <c r="I277" i="3"/>
  <c r="H277" i="3"/>
  <c r="J277" i="3"/>
  <c r="L277" i="3"/>
  <c r="K277" i="3"/>
  <c r="E277" i="3" s="1"/>
  <c r="J254" i="3"/>
  <c r="K254" i="3"/>
  <c r="E254" i="3" s="1"/>
  <c r="I254" i="3"/>
  <c r="H254" i="3"/>
  <c r="L254" i="3"/>
  <c r="J250" i="3"/>
  <c r="H250" i="3"/>
  <c r="K250" i="3"/>
  <c r="E250" i="3" s="1"/>
  <c r="I250" i="3"/>
  <c r="L250" i="3"/>
  <c r="L244" i="3"/>
  <c r="H244" i="3"/>
  <c r="J244" i="3"/>
  <c r="I244" i="3"/>
  <c r="K244" i="3"/>
  <c r="E244" i="3" s="1"/>
  <c r="I241" i="3"/>
  <c r="K241" i="3"/>
  <c r="E241" i="3" s="1"/>
  <c r="J241" i="3"/>
  <c r="H241" i="3"/>
  <c r="L241" i="3"/>
  <c r="K227" i="3"/>
  <c r="E227" i="3" s="1"/>
  <c r="J227" i="3"/>
  <c r="L227" i="3"/>
  <c r="I227" i="3"/>
  <c r="H227" i="3"/>
  <c r="G219" i="3"/>
  <c r="F219" i="3"/>
  <c r="L208" i="3"/>
  <c r="H208" i="3"/>
  <c r="J208" i="3"/>
  <c r="K208" i="3"/>
  <c r="E208" i="3" s="1"/>
  <c r="I208" i="3"/>
  <c r="K199" i="3"/>
  <c r="E199" i="3" s="1"/>
  <c r="H199" i="3"/>
  <c r="J199" i="3"/>
  <c r="I199" i="3"/>
  <c r="L199" i="3"/>
  <c r="K195" i="3"/>
  <c r="E195" i="3" s="1"/>
  <c r="J195" i="3"/>
  <c r="L195" i="3"/>
  <c r="I195" i="3"/>
  <c r="H195" i="3"/>
  <c r="I189" i="3"/>
  <c r="H189" i="3"/>
  <c r="L189" i="3"/>
  <c r="K189" i="3"/>
  <c r="E189" i="3" s="1"/>
  <c r="J189" i="3"/>
  <c r="J162" i="3"/>
  <c r="H162" i="3"/>
  <c r="L162" i="3"/>
  <c r="K162" i="3"/>
  <c r="E162" i="3" s="1"/>
  <c r="I162" i="3"/>
  <c r="I157" i="3"/>
  <c r="H157" i="3"/>
  <c r="L157" i="3"/>
  <c r="K157" i="3"/>
  <c r="E157" i="3" s="1"/>
  <c r="J157" i="3"/>
  <c r="J130" i="3"/>
  <c r="H130" i="3"/>
  <c r="L130" i="3"/>
  <c r="K130" i="3"/>
  <c r="E130" i="3" s="1"/>
  <c r="I130" i="3"/>
  <c r="Q109" i="3"/>
  <c r="M109" i="3"/>
  <c r="P109" i="3"/>
  <c r="S109" i="3"/>
  <c r="O109" i="3"/>
  <c r="R109" i="3"/>
  <c r="N109" i="3"/>
  <c r="G101" i="3"/>
  <c r="F101" i="3"/>
  <c r="K95" i="3"/>
  <c r="E95" i="3" s="1"/>
  <c r="J95" i="3"/>
  <c r="I95" i="3"/>
  <c r="L95" i="3"/>
  <c r="H95" i="3"/>
  <c r="Q77" i="3"/>
  <c r="M77" i="3"/>
  <c r="P77" i="3"/>
  <c r="S77" i="3"/>
  <c r="O77" i="3"/>
  <c r="R77" i="3"/>
  <c r="N77" i="3"/>
  <c r="G73" i="3"/>
  <c r="F73" i="3"/>
  <c r="K71" i="3"/>
  <c r="E71" i="3" s="1"/>
  <c r="J71" i="3"/>
  <c r="I71" i="3"/>
  <c r="L71" i="3"/>
  <c r="H71" i="3"/>
  <c r="Q61" i="3"/>
  <c r="M61" i="3"/>
  <c r="P61" i="3"/>
  <c r="O61" i="3"/>
  <c r="R61" i="3"/>
  <c r="N61" i="3"/>
  <c r="S61" i="3"/>
  <c r="G57" i="3"/>
  <c r="F57" i="3"/>
  <c r="K55" i="3"/>
  <c r="E55" i="3" s="1"/>
  <c r="J55" i="3"/>
  <c r="L55" i="3"/>
  <c r="H55" i="3"/>
  <c r="I55" i="3"/>
  <c r="Q45" i="3"/>
  <c r="M45" i="3"/>
  <c r="P45" i="3"/>
  <c r="S45" i="3"/>
  <c r="O45" i="3"/>
  <c r="R45" i="3"/>
  <c r="N45" i="3"/>
  <c r="G41" i="3"/>
  <c r="F41" i="3"/>
  <c r="K39" i="3"/>
  <c r="E39" i="3" s="1"/>
  <c r="J39" i="3"/>
  <c r="I39" i="3"/>
  <c r="L39" i="3"/>
  <c r="H39" i="3"/>
  <c r="Q29" i="3"/>
  <c r="M29" i="3"/>
  <c r="P29" i="3"/>
  <c r="S29" i="3"/>
  <c r="R29" i="3"/>
  <c r="N29" i="3"/>
  <c r="O29" i="3"/>
  <c r="R374" i="3"/>
  <c r="N374" i="3"/>
  <c r="P374" i="3"/>
  <c r="S374" i="3"/>
  <c r="Q374" i="3"/>
  <c r="O374" i="3"/>
  <c r="M374" i="3"/>
  <c r="J370" i="3"/>
  <c r="H370" i="3"/>
  <c r="L370" i="3"/>
  <c r="K370" i="3"/>
  <c r="E370" i="3" s="1"/>
  <c r="I370" i="3"/>
  <c r="J338" i="3"/>
  <c r="H338" i="3"/>
  <c r="L338" i="3"/>
  <c r="K338" i="3"/>
  <c r="E338" i="3" s="1"/>
  <c r="I338" i="3"/>
  <c r="J306" i="3"/>
  <c r="H306" i="3"/>
  <c r="L306" i="3"/>
  <c r="K306" i="3"/>
  <c r="E306" i="3" s="1"/>
  <c r="I306" i="3"/>
  <c r="J274" i="3"/>
  <c r="H274" i="3"/>
  <c r="L274" i="3"/>
  <c r="K274" i="3"/>
  <c r="E274" i="3" s="1"/>
  <c r="I274" i="3"/>
  <c r="J242" i="3"/>
  <c r="H242" i="3"/>
  <c r="L242" i="3"/>
  <c r="K242" i="3"/>
  <c r="E242" i="3" s="1"/>
  <c r="I242" i="3"/>
  <c r="P200" i="3"/>
  <c r="O200" i="3"/>
  <c r="S200" i="3"/>
  <c r="M200" i="3"/>
  <c r="R200" i="3"/>
  <c r="Q200" i="3"/>
  <c r="N200" i="3"/>
  <c r="S187" i="3"/>
  <c r="O187" i="3"/>
  <c r="P187" i="3"/>
  <c r="N187" i="3"/>
  <c r="R187" i="3"/>
  <c r="M187" i="3"/>
  <c r="Q187" i="3"/>
  <c r="S155" i="3"/>
  <c r="O155" i="3"/>
  <c r="P155" i="3"/>
  <c r="N155" i="3"/>
  <c r="R155" i="3"/>
  <c r="M155" i="3"/>
  <c r="Q155" i="3"/>
  <c r="S131" i="3"/>
  <c r="O131" i="3"/>
  <c r="P131" i="3"/>
  <c r="N131" i="3"/>
  <c r="R131" i="3"/>
  <c r="M131" i="3"/>
  <c r="Q131" i="3"/>
  <c r="F461" i="3"/>
  <c r="G461" i="3"/>
  <c r="L452" i="3"/>
  <c r="H452" i="3"/>
  <c r="J452" i="3"/>
  <c r="I452" i="3"/>
  <c r="K452" i="3"/>
  <c r="E452" i="3" s="1"/>
  <c r="K415" i="3"/>
  <c r="E415" i="3" s="1"/>
  <c r="H415" i="3"/>
  <c r="L415" i="3"/>
  <c r="J415" i="3"/>
  <c r="I415" i="3"/>
  <c r="L396" i="3"/>
  <c r="H396" i="3"/>
  <c r="K396" i="3"/>
  <c r="E396" i="3" s="1"/>
  <c r="J396" i="3"/>
  <c r="I396" i="3"/>
  <c r="F392" i="3"/>
  <c r="G392" i="3"/>
  <c r="F360" i="3"/>
  <c r="G360" i="3"/>
  <c r="R342" i="3"/>
  <c r="N342" i="3"/>
  <c r="P342" i="3"/>
  <c r="S342" i="3"/>
  <c r="Q342" i="3"/>
  <c r="O342" i="3"/>
  <c r="M342" i="3"/>
  <c r="P328" i="3"/>
  <c r="O328" i="3"/>
  <c r="S328" i="3"/>
  <c r="M328" i="3"/>
  <c r="R328" i="3"/>
  <c r="Q328" i="3"/>
  <c r="N328" i="3"/>
  <c r="Q297" i="3"/>
  <c r="M297" i="3"/>
  <c r="P297" i="3"/>
  <c r="S297" i="3"/>
  <c r="R297" i="3"/>
  <c r="O297" i="3"/>
  <c r="N297" i="3"/>
  <c r="L236" i="3"/>
  <c r="H236" i="3"/>
  <c r="K236" i="3"/>
  <c r="E236" i="3" s="1"/>
  <c r="J236" i="3"/>
  <c r="I236" i="3"/>
  <c r="F232" i="3"/>
  <c r="G232" i="3"/>
  <c r="G176" i="3"/>
  <c r="F176" i="3"/>
  <c r="G160" i="3"/>
  <c r="F160" i="3"/>
  <c r="P152" i="3"/>
  <c r="O152" i="3"/>
  <c r="S152" i="3"/>
  <c r="N152" i="3"/>
  <c r="R152" i="3"/>
  <c r="M152" i="3"/>
  <c r="Q152" i="3"/>
  <c r="P136" i="3"/>
  <c r="O136" i="3"/>
  <c r="S136" i="3"/>
  <c r="N136" i="3"/>
  <c r="R136" i="3"/>
  <c r="M136" i="3"/>
  <c r="Q136" i="3"/>
  <c r="Q547" i="3"/>
  <c r="M547" i="3"/>
  <c r="S547" i="3"/>
  <c r="O547" i="3"/>
  <c r="N547" i="3"/>
  <c r="R547" i="3"/>
  <c r="P547" i="3"/>
  <c r="K459" i="3"/>
  <c r="E459" i="3" s="1"/>
  <c r="H459" i="3"/>
  <c r="L459" i="3"/>
  <c r="J459" i="3"/>
  <c r="I459" i="3"/>
  <c r="J426" i="3"/>
  <c r="I426" i="3"/>
  <c r="H426" i="3"/>
  <c r="K426" i="3"/>
  <c r="E426" i="3" s="1"/>
  <c r="L426" i="3"/>
  <c r="F424" i="3"/>
  <c r="G424" i="3"/>
  <c r="I417" i="3"/>
  <c r="L417" i="3"/>
  <c r="K417" i="3"/>
  <c r="E417" i="3" s="1"/>
  <c r="H417" i="3"/>
  <c r="J417" i="3"/>
  <c r="R398" i="3"/>
  <c r="N398" i="3"/>
  <c r="P398" i="3"/>
  <c r="M398" i="3"/>
  <c r="S398" i="3"/>
  <c r="Q398" i="3"/>
  <c r="O398" i="3"/>
  <c r="J394" i="3"/>
  <c r="H394" i="3"/>
  <c r="L394" i="3"/>
  <c r="K394" i="3"/>
  <c r="E394" i="3" s="1"/>
  <c r="I394" i="3"/>
  <c r="K375" i="3"/>
  <c r="E375" i="3" s="1"/>
  <c r="H375" i="3"/>
  <c r="L375" i="3"/>
  <c r="J375" i="3"/>
  <c r="I375" i="3"/>
  <c r="L356" i="3"/>
  <c r="H356" i="3"/>
  <c r="K356" i="3"/>
  <c r="E356" i="3" s="1"/>
  <c r="J356" i="3"/>
  <c r="I356" i="3"/>
  <c r="G352" i="3"/>
  <c r="F352" i="3"/>
  <c r="P320" i="3"/>
  <c r="O320" i="3"/>
  <c r="N320" i="3"/>
  <c r="S320" i="3"/>
  <c r="M320" i="3"/>
  <c r="R320" i="3"/>
  <c r="Q320" i="3"/>
  <c r="Q293" i="3"/>
  <c r="M293" i="3"/>
  <c r="S293" i="3"/>
  <c r="N293" i="3"/>
  <c r="R293" i="3"/>
  <c r="P293" i="3"/>
  <c r="O293" i="3"/>
  <c r="Q289" i="3"/>
  <c r="M289" i="3"/>
  <c r="P289" i="3"/>
  <c r="N289" i="3"/>
  <c r="S289" i="3"/>
  <c r="R289" i="3"/>
  <c r="O289" i="3"/>
  <c r="R270" i="3"/>
  <c r="N270" i="3"/>
  <c r="P270" i="3"/>
  <c r="M270" i="3"/>
  <c r="S270" i="3"/>
  <c r="Q270" i="3"/>
  <c r="O270" i="3"/>
  <c r="J266" i="3"/>
  <c r="H266" i="3"/>
  <c r="L266" i="3"/>
  <c r="K266" i="3"/>
  <c r="E266" i="3" s="1"/>
  <c r="I266" i="3"/>
  <c r="K247" i="3"/>
  <c r="E247" i="3" s="1"/>
  <c r="H247" i="3"/>
  <c r="L247" i="3"/>
  <c r="J247" i="3"/>
  <c r="I247" i="3"/>
  <c r="L228" i="3"/>
  <c r="H228" i="3"/>
  <c r="K228" i="3"/>
  <c r="E228" i="3" s="1"/>
  <c r="J228" i="3"/>
  <c r="I228" i="3"/>
  <c r="G224" i="3"/>
  <c r="F224" i="3"/>
  <c r="P192" i="3"/>
  <c r="O192" i="3"/>
  <c r="N192" i="3"/>
  <c r="S192" i="3"/>
  <c r="M192" i="3"/>
  <c r="R192" i="3"/>
  <c r="Q192" i="3"/>
  <c r="F185" i="3"/>
  <c r="G185" i="3"/>
  <c r="F174" i="3"/>
  <c r="G174" i="3"/>
  <c r="G163" i="3"/>
  <c r="F163" i="3"/>
  <c r="F153" i="3"/>
  <c r="G153" i="3"/>
  <c r="F142" i="3"/>
  <c r="G142" i="3"/>
  <c r="G131" i="3"/>
  <c r="F131" i="3"/>
  <c r="F121" i="3"/>
  <c r="G121" i="3"/>
  <c r="R114" i="3"/>
  <c r="N114" i="3"/>
  <c r="Q114" i="3"/>
  <c r="M114" i="3"/>
  <c r="P114" i="3"/>
  <c r="S114" i="3"/>
  <c r="O114" i="3"/>
  <c r="F98" i="3"/>
  <c r="G98" i="3"/>
  <c r="R50" i="3"/>
  <c r="N50" i="3"/>
  <c r="Q50" i="3"/>
  <c r="M50" i="3"/>
  <c r="P50" i="3"/>
  <c r="S50" i="3"/>
  <c r="O50" i="3"/>
  <c r="R118" i="3"/>
  <c r="N118" i="3"/>
  <c r="Q118" i="3"/>
  <c r="M118" i="3"/>
  <c r="P118" i="3"/>
  <c r="S118" i="3"/>
  <c r="O118" i="3"/>
  <c r="R102" i="3"/>
  <c r="N102" i="3"/>
  <c r="Q102" i="3"/>
  <c r="M102" i="3"/>
  <c r="P102" i="3"/>
  <c r="S102" i="3"/>
  <c r="O102" i="3"/>
  <c r="F54" i="3"/>
  <c r="G54" i="3"/>
  <c r="F38" i="3"/>
  <c r="G38" i="3"/>
  <c r="R106" i="3"/>
  <c r="N106" i="3"/>
  <c r="Q106" i="3"/>
  <c r="M106" i="3"/>
  <c r="P106" i="3"/>
  <c r="S106" i="3"/>
  <c r="O106" i="3"/>
  <c r="R90" i="3"/>
  <c r="N90" i="3"/>
  <c r="Q90" i="3"/>
  <c r="M90" i="3"/>
  <c r="P90" i="3"/>
  <c r="S90" i="3"/>
  <c r="O90" i="3"/>
  <c r="R58" i="3"/>
  <c r="N58" i="3"/>
  <c r="Q58" i="3"/>
  <c r="M58" i="3"/>
  <c r="S58" i="3"/>
  <c r="O58" i="3"/>
  <c r="P58" i="3"/>
  <c r="R42" i="3"/>
  <c r="N42" i="3"/>
  <c r="Q42" i="3"/>
  <c r="M42" i="3"/>
  <c r="S42" i="3"/>
  <c r="O42" i="3"/>
  <c r="P42" i="3"/>
  <c r="R110" i="3"/>
  <c r="N110" i="3"/>
  <c r="Q110" i="3"/>
  <c r="M110" i="3"/>
  <c r="P110" i="3"/>
  <c r="S110" i="3"/>
  <c r="O110" i="3"/>
  <c r="F94" i="3"/>
  <c r="G94" i="3"/>
  <c r="F30" i="3"/>
  <c r="G30" i="3"/>
  <c r="K919" i="3"/>
  <c r="E919" i="3" s="1"/>
  <c r="J919" i="3"/>
  <c r="I919" i="3"/>
  <c r="H919" i="3"/>
  <c r="L919" i="3"/>
  <c r="K955" i="3"/>
  <c r="E955" i="3" s="1"/>
  <c r="I955" i="3"/>
  <c r="H955" i="3"/>
  <c r="L955" i="3"/>
  <c r="J955" i="3"/>
  <c r="I949" i="3"/>
  <c r="L949" i="3"/>
  <c r="K949" i="3"/>
  <c r="E949" i="3" s="1"/>
  <c r="J949" i="3"/>
  <c r="H949" i="3"/>
  <c r="L920" i="3"/>
  <c r="H920" i="3"/>
  <c r="K920" i="3"/>
  <c r="E920" i="3" s="1"/>
  <c r="J920" i="3"/>
  <c r="I920" i="3"/>
  <c r="J898" i="3"/>
  <c r="K898" i="3"/>
  <c r="E898" i="3" s="1"/>
  <c r="L898" i="3"/>
  <c r="I898" i="3"/>
  <c r="H898" i="3"/>
  <c r="J823" i="3"/>
  <c r="H823" i="3"/>
  <c r="K823" i="3"/>
  <c r="E823" i="3" s="1"/>
  <c r="L823" i="3"/>
  <c r="I823" i="3"/>
  <c r="L817" i="3"/>
  <c r="H817" i="3"/>
  <c r="J817" i="3"/>
  <c r="K817" i="3"/>
  <c r="E817" i="3" s="1"/>
  <c r="I817" i="3"/>
  <c r="Q774" i="3"/>
  <c r="M774" i="3"/>
  <c r="P774" i="3"/>
  <c r="S774" i="3"/>
  <c r="N774" i="3"/>
  <c r="R774" i="3"/>
  <c r="O774" i="3"/>
  <c r="K772" i="3"/>
  <c r="E772" i="3" s="1"/>
  <c r="H772" i="3"/>
  <c r="J772" i="3"/>
  <c r="L772" i="3"/>
  <c r="I772" i="3"/>
  <c r="J727" i="3"/>
  <c r="H727" i="3"/>
  <c r="K727" i="3"/>
  <c r="E727" i="3" s="1"/>
  <c r="L727" i="3"/>
  <c r="I727" i="3"/>
  <c r="L721" i="3"/>
  <c r="H721" i="3"/>
  <c r="J721" i="3"/>
  <c r="K721" i="3"/>
  <c r="E721" i="3" s="1"/>
  <c r="I721" i="3"/>
  <c r="Q913" i="3"/>
  <c r="M913" i="3"/>
  <c r="S913" i="3"/>
  <c r="N913" i="3"/>
  <c r="R913" i="3"/>
  <c r="P913" i="3"/>
  <c r="O913" i="3"/>
  <c r="L912" i="3"/>
  <c r="H912" i="3"/>
  <c r="K912" i="3"/>
  <c r="E912" i="3" s="1"/>
  <c r="J912" i="3"/>
  <c r="I912" i="3"/>
  <c r="F909" i="3"/>
  <c r="G909" i="3"/>
  <c r="G876" i="3"/>
  <c r="F876" i="3"/>
  <c r="F862" i="3"/>
  <c r="G862" i="3"/>
  <c r="K840" i="3"/>
  <c r="E840" i="3" s="1"/>
  <c r="J840" i="3"/>
  <c r="H840" i="3"/>
  <c r="L840" i="3"/>
  <c r="I840" i="3"/>
  <c r="K808" i="3"/>
  <c r="E808" i="3" s="1"/>
  <c r="J808" i="3"/>
  <c r="H808" i="3"/>
  <c r="L808" i="3"/>
  <c r="I808" i="3"/>
  <c r="J763" i="3"/>
  <c r="K763" i="3"/>
  <c r="E763" i="3" s="1"/>
  <c r="H763" i="3"/>
  <c r="L763" i="3"/>
  <c r="I763" i="3"/>
  <c r="L757" i="3"/>
  <c r="H757" i="3"/>
  <c r="J757" i="3"/>
  <c r="K757" i="3"/>
  <c r="E757" i="3" s="1"/>
  <c r="I757" i="3"/>
  <c r="J731" i="3"/>
  <c r="K731" i="3"/>
  <c r="E731" i="3" s="1"/>
  <c r="H731" i="3"/>
  <c r="L731" i="3"/>
  <c r="I731" i="3"/>
  <c r="L725" i="3"/>
  <c r="H725" i="3"/>
  <c r="J725" i="3"/>
  <c r="K725" i="3"/>
  <c r="E725" i="3" s="1"/>
  <c r="I725" i="3"/>
  <c r="J687" i="3"/>
  <c r="H687" i="3"/>
  <c r="K687" i="3"/>
  <c r="E687" i="3" s="1"/>
  <c r="I687" i="3"/>
  <c r="L687" i="3"/>
  <c r="J659" i="3"/>
  <c r="H659" i="3"/>
  <c r="L659" i="3"/>
  <c r="K659" i="3"/>
  <c r="E659" i="3" s="1"/>
  <c r="I659" i="3"/>
  <c r="J627" i="3"/>
  <c r="H627" i="3"/>
  <c r="L627" i="3"/>
  <c r="K627" i="3"/>
  <c r="E627" i="3" s="1"/>
  <c r="I627" i="3"/>
  <c r="J595" i="3"/>
  <c r="H595" i="3"/>
  <c r="L595" i="3"/>
  <c r="K595" i="3"/>
  <c r="E595" i="3" s="1"/>
  <c r="I595" i="3"/>
  <c r="F985" i="3"/>
  <c r="G985" i="3"/>
  <c r="Q937" i="3"/>
  <c r="M937" i="3"/>
  <c r="O937" i="3"/>
  <c r="S937" i="3"/>
  <c r="N937" i="3"/>
  <c r="P937" i="3"/>
  <c r="R937" i="3"/>
  <c r="G908" i="3"/>
  <c r="F908" i="3"/>
  <c r="K871" i="3"/>
  <c r="E871" i="3" s="1"/>
  <c r="J871" i="3"/>
  <c r="L871" i="3"/>
  <c r="I871" i="3"/>
  <c r="H871" i="3"/>
  <c r="J815" i="3"/>
  <c r="H815" i="3"/>
  <c r="K815" i="3"/>
  <c r="E815" i="3" s="1"/>
  <c r="L815" i="3"/>
  <c r="I815" i="3"/>
  <c r="J783" i="3"/>
  <c r="H783" i="3"/>
  <c r="K783" i="3"/>
  <c r="E783" i="3" s="1"/>
  <c r="L783" i="3"/>
  <c r="I783" i="3"/>
  <c r="J751" i="3"/>
  <c r="H751" i="3"/>
  <c r="K751" i="3"/>
  <c r="E751" i="3" s="1"/>
  <c r="L751" i="3"/>
  <c r="I751" i="3"/>
  <c r="J719" i="3"/>
  <c r="H719" i="3"/>
  <c r="K719" i="3"/>
  <c r="E719" i="3" s="1"/>
  <c r="L719" i="3"/>
  <c r="I719" i="3"/>
  <c r="L673" i="3"/>
  <c r="H673" i="3"/>
  <c r="K673" i="3"/>
  <c r="E673" i="3" s="1"/>
  <c r="J673" i="3"/>
  <c r="I673" i="3"/>
  <c r="J994" i="3"/>
  <c r="L994" i="3"/>
  <c r="K994" i="3"/>
  <c r="E994" i="3" s="1"/>
  <c r="I994" i="3"/>
  <c r="H994" i="3"/>
  <c r="J938" i="3"/>
  <c r="L938" i="3"/>
  <c r="K938" i="3"/>
  <c r="E938" i="3" s="1"/>
  <c r="I938" i="3"/>
  <c r="H938" i="3"/>
  <c r="G1001" i="3"/>
  <c r="F1001" i="3"/>
  <c r="I933" i="3"/>
  <c r="K933" i="3"/>
  <c r="E933" i="3" s="1"/>
  <c r="H933" i="3"/>
  <c r="L933" i="3"/>
  <c r="J933" i="3"/>
  <c r="I873" i="3"/>
  <c r="H873" i="3"/>
  <c r="L873" i="3"/>
  <c r="K873" i="3"/>
  <c r="E873" i="3" s="1"/>
  <c r="J873" i="3"/>
  <c r="I869" i="3"/>
  <c r="K869" i="3"/>
  <c r="E869" i="3" s="1"/>
  <c r="H869" i="3"/>
  <c r="L869" i="3"/>
  <c r="J869" i="3"/>
  <c r="P892" i="3"/>
  <c r="O892" i="3"/>
  <c r="R892" i="3"/>
  <c r="Q892" i="3"/>
  <c r="N892" i="3"/>
  <c r="S892" i="3"/>
  <c r="M892" i="3"/>
  <c r="R874" i="3"/>
  <c r="N874" i="3"/>
  <c r="P874" i="3"/>
  <c r="Q874" i="3"/>
  <c r="O874" i="3"/>
  <c r="M874" i="3"/>
  <c r="S874" i="3"/>
  <c r="J870" i="3"/>
  <c r="H870" i="3"/>
  <c r="K870" i="3"/>
  <c r="E870" i="3" s="1"/>
  <c r="I870" i="3"/>
  <c r="L870" i="3"/>
  <c r="P956" i="3"/>
  <c r="Q956" i="3"/>
  <c r="O956" i="3"/>
  <c r="R956" i="3"/>
  <c r="N956" i="3"/>
  <c r="M956" i="3"/>
  <c r="S956" i="3"/>
  <c r="J950" i="3"/>
  <c r="I950" i="3"/>
  <c r="H950" i="3"/>
  <c r="L950" i="3"/>
  <c r="K950" i="3"/>
  <c r="E950" i="3" s="1"/>
  <c r="F948" i="3"/>
  <c r="G948" i="3"/>
  <c r="K939" i="3"/>
  <c r="E939" i="3" s="1"/>
  <c r="I939" i="3"/>
  <c r="H939" i="3"/>
  <c r="L939" i="3"/>
  <c r="J939" i="3"/>
  <c r="Q977" i="3"/>
  <c r="M977" i="3"/>
  <c r="O977" i="3"/>
  <c r="S977" i="3"/>
  <c r="N977" i="3"/>
  <c r="P977" i="3"/>
  <c r="R977" i="3"/>
  <c r="F961" i="3"/>
  <c r="G961" i="3"/>
  <c r="J918" i="3"/>
  <c r="H918" i="3"/>
  <c r="L918" i="3"/>
  <c r="K918" i="3"/>
  <c r="E918" i="3" s="1"/>
  <c r="I918" i="3"/>
  <c r="Q881" i="3"/>
  <c r="M881" i="3"/>
  <c r="S881" i="3"/>
  <c r="N881" i="3"/>
  <c r="R881" i="3"/>
  <c r="P881" i="3"/>
  <c r="O881" i="3"/>
  <c r="L880" i="3"/>
  <c r="H880" i="3"/>
  <c r="K880" i="3"/>
  <c r="E880" i="3" s="1"/>
  <c r="J880" i="3"/>
  <c r="I880" i="3"/>
  <c r="K856" i="3"/>
  <c r="E856" i="3" s="1"/>
  <c r="J856" i="3"/>
  <c r="I856" i="3"/>
  <c r="H856" i="3"/>
  <c r="L856" i="3"/>
  <c r="J839" i="3"/>
  <c r="H839" i="3"/>
  <c r="K839" i="3"/>
  <c r="E839" i="3" s="1"/>
  <c r="L839" i="3"/>
  <c r="I839" i="3"/>
  <c r="L833" i="3"/>
  <c r="H833" i="3"/>
  <c r="J833" i="3"/>
  <c r="K833" i="3"/>
  <c r="E833" i="3" s="1"/>
  <c r="I833" i="3"/>
  <c r="J807" i="3"/>
  <c r="H807" i="3"/>
  <c r="K807" i="3"/>
  <c r="E807" i="3" s="1"/>
  <c r="L807" i="3"/>
  <c r="I807" i="3"/>
  <c r="L801" i="3"/>
  <c r="H801" i="3"/>
  <c r="J801" i="3"/>
  <c r="K801" i="3"/>
  <c r="E801" i="3" s="1"/>
  <c r="I801" i="3"/>
  <c r="J775" i="3"/>
  <c r="H775" i="3"/>
  <c r="K775" i="3"/>
  <c r="E775" i="3" s="1"/>
  <c r="L775" i="3"/>
  <c r="I775" i="3"/>
  <c r="L769" i="3"/>
  <c r="H769" i="3"/>
  <c r="J769" i="3"/>
  <c r="K769" i="3"/>
  <c r="E769" i="3" s="1"/>
  <c r="I769" i="3"/>
  <c r="J743" i="3"/>
  <c r="H743" i="3"/>
  <c r="K743" i="3"/>
  <c r="E743" i="3" s="1"/>
  <c r="L743" i="3"/>
  <c r="I743" i="3"/>
  <c r="L737" i="3"/>
  <c r="H737" i="3"/>
  <c r="J737" i="3"/>
  <c r="K737" i="3"/>
  <c r="E737" i="3" s="1"/>
  <c r="I737" i="3"/>
  <c r="Q726" i="3"/>
  <c r="M726" i="3"/>
  <c r="P726" i="3"/>
  <c r="S726" i="3"/>
  <c r="N726" i="3"/>
  <c r="R726" i="3"/>
  <c r="O726" i="3"/>
  <c r="K724" i="3"/>
  <c r="E724" i="3" s="1"/>
  <c r="H724" i="3"/>
  <c r="J724" i="3"/>
  <c r="L724" i="3"/>
  <c r="I724" i="3"/>
  <c r="J711" i="3"/>
  <c r="H711" i="3"/>
  <c r="K711" i="3"/>
  <c r="E711" i="3" s="1"/>
  <c r="L711" i="3"/>
  <c r="I711" i="3"/>
  <c r="L705" i="3"/>
  <c r="H705" i="3"/>
  <c r="J705" i="3"/>
  <c r="K705" i="3"/>
  <c r="E705" i="3" s="1"/>
  <c r="I705" i="3"/>
  <c r="I690" i="3"/>
  <c r="H690" i="3"/>
  <c r="L690" i="3"/>
  <c r="K690" i="3"/>
  <c r="E690" i="3" s="1"/>
  <c r="J690" i="3"/>
  <c r="I686" i="3"/>
  <c r="K686" i="3"/>
  <c r="E686" i="3" s="1"/>
  <c r="H686" i="3"/>
  <c r="L686" i="3"/>
  <c r="J686" i="3"/>
  <c r="P645" i="3"/>
  <c r="R645" i="3"/>
  <c r="M645" i="3"/>
  <c r="Q645" i="3"/>
  <c r="O645" i="3"/>
  <c r="S645" i="3"/>
  <c r="N645" i="3"/>
  <c r="P629" i="3"/>
  <c r="R629" i="3"/>
  <c r="M629" i="3"/>
  <c r="Q629" i="3"/>
  <c r="O629" i="3"/>
  <c r="S629" i="3"/>
  <c r="N629" i="3"/>
  <c r="P613" i="3"/>
  <c r="R613" i="3"/>
  <c r="M613" i="3"/>
  <c r="Q613" i="3"/>
  <c r="O613" i="3"/>
  <c r="S613" i="3"/>
  <c r="N613" i="3"/>
  <c r="P597" i="3"/>
  <c r="R597" i="3"/>
  <c r="M597" i="3"/>
  <c r="Q597" i="3"/>
  <c r="O597" i="3"/>
  <c r="S597" i="3"/>
  <c r="N597" i="3"/>
  <c r="L589" i="3"/>
  <c r="H589" i="3"/>
  <c r="K589" i="3"/>
  <c r="E589" i="3" s="1"/>
  <c r="J589" i="3"/>
  <c r="I589" i="3"/>
  <c r="L984" i="3"/>
  <c r="H984" i="3"/>
  <c r="I984" i="3"/>
  <c r="J984" i="3"/>
  <c r="K984" i="3"/>
  <c r="E984" i="3" s="1"/>
  <c r="L968" i="3"/>
  <c r="H968" i="3"/>
  <c r="I968" i="3"/>
  <c r="J968" i="3"/>
  <c r="K968" i="3"/>
  <c r="E968" i="3" s="1"/>
  <c r="L952" i="3"/>
  <c r="H952" i="3"/>
  <c r="I952" i="3"/>
  <c r="J952" i="3"/>
  <c r="K952" i="3"/>
  <c r="E952" i="3" s="1"/>
  <c r="L936" i="3"/>
  <c r="H936" i="3"/>
  <c r="I936" i="3"/>
  <c r="J936" i="3"/>
  <c r="K936" i="3"/>
  <c r="E936" i="3" s="1"/>
  <c r="S927" i="3"/>
  <c r="O927" i="3"/>
  <c r="P927" i="3"/>
  <c r="N927" i="3"/>
  <c r="M927" i="3"/>
  <c r="R927" i="3"/>
  <c r="Q927" i="3"/>
  <c r="K867" i="3"/>
  <c r="E867" i="3" s="1"/>
  <c r="H867" i="3"/>
  <c r="L867" i="3"/>
  <c r="J867" i="3"/>
  <c r="I867" i="3"/>
  <c r="L837" i="3"/>
  <c r="H837" i="3"/>
  <c r="J837" i="3"/>
  <c r="K837" i="3"/>
  <c r="E837" i="3" s="1"/>
  <c r="I837" i="3"/>
  <c r="K824" i="3"/>
  <c r="E824" i="3" s="1"/>
  <c r="J824" i="3"/>
  <c r="H824" i="3"/>
  <c r="L824" i="3"/>
  <c r="I824" i="3"/>
  <c r="J811" i="3"/>
  <c r="K811" i="3"/>
  <c r="E811" i="3" s="1"/>
  <c r="H811" i="3"/>
  <c r="L811" i="3"/>
  <c r="I811" i="3"/>
  <c r="L805" i="3"/>
  <c r="H805" i="3"/>
  <c r="J805" i="3"/>
  <c r="K805" i="3"/>
  <c r="E805" i="3" s="1"/>
  <c r="I805" i="3"/>
  <c r="K792" i="3"/>
  <c r="E792" i="3" s="1"/>
  <c r="J792" i="3"/>
  <c r="H792" i="3"/>
  <c r="L792" i="3"/>
  <c r="I792" i="3"/>
  <c r="J779" i="3"/>
  <c r="K779" i="3"/>
  <c r="E779" i="3" s="1"/>
  <c r="H779" i="3"/>
  <c r="L779" i="3"/>
  <c r="I779" i="3"/>
  <c r="L773" i="3"/>
  <c r="H773" i="3"/>
  <c r="J773" i="3"/>
  <c r="K773" i="3"/>
  <c r="E773" i="3" s="1"/>
  <c r="I773" i="3"/>
  <c r="K760" i="3"/>
  <c r="E760" i="3" s="1"/>
  <c r="J760" i="3"/>
  <c r="H760" i="3"/>
  <c r="L760" i="3"/>
  <c r="I760" i="3"/>
  <c r="J747" i="3"/>
  <c r="K747" i="3"/>
  <c r="E747" i="3" s="1"/>
  <c r="H747" i="3"/>
  <c r="L747" i="3"/>
  <c r="I747" i="3"/>
  <c r="L741" i="3"/>
  <c r="H741" i="3"/>
  <c r="J741" i="3"/>
  <c r="K741" i="3"/>
  <c r="E741" i="3" s="1"/>
  <c r="I741" i="3"/>
  <c r="K728" i="3"/>
  <c r="E728" i="3" s="1"/>
  <c r="J728" i="3"/>
  <c r="H728" i="3"/>
  <c r="L728" i="3"/>
  <c r="I728" i="3"/>
  <c r="J715" i="3"/>
  <c r="K715" i="3"/>
  <c r="E715" i="3" s="1"/>
  <c r="H715" i="3"/>
  <c r="L715" i="3"/>
  <c r="I715" i="3"/>
  <c r="L709" i="3"/>
  <c r="H709" i="3"/>
  <c r="J709" i="3"/>
  <c r="K709" i="3"/>
  <c r="E709" i="3" s="1"/>
  <c r="I709" i="3"/>
  <c r="K700" i="3"/>
  <c r="E700" i="3" s="1"/>
  <c r="H700" i="3"/>
  <c r="J700" i="3"/>
  <c r="I700" i="3"/>
  <c r="L700" i="3"/>
  <c r="J691" i="3"/>
  <c r="K691" i="3"/>
  <c r="E691" i="3" s="1"/>
  <c r="I691" i="3"/>
  <c r="H691" i="3"/>
  <c r="L691" i="3"/>
  <c r="I682" i="3"/>
  <c r="H682" i="3"/>
  <c r="J682" i="3"/>
  <c r="L682" i="3"/>
  <c r="K682" i="3"/>
  <c r="E682" i="3" s="1"/>
  <c r="I678" i="3"/>
  <c r="K678" i="3"/>
  <c r="E678" i="3" s="1"/>
  <c r="J678" i="3"/>
  <c r="H678" i="3"/>
  <c r="L678" i="3"/>
  <c r="J643" i="3"/>
  <c r="H643" i="3"/>
  <c r="L643" i="3"/>
  <c r="K643" i="3"/>
  <c r="E643" i="3" s="1"/>
  <c r="I643" i="3"/>
  <c r="J611" i="3"/>
  <c r="H611" i="3"/>
  <c r="L611" i="3"/>
  <c r="K611" i="3"/>
  <c r="E611" i="3" s="1"/>
  <c r="I611" i="3"/>
  <c r="J579" i="3"/>
  <c r="H579" i="3"/>
  <c r="L579" i="3"/>
  <c r="K579" i="3"/>
  <c r="E579" i="3" s="1"/>
  <c r="I579" i="3"/>
  <c r="Q969" i="3"/>
  <c r="M969" i="3"/>
  <c r="O969" i="3"/>
  <c r="S969" i="3"/>
  <c r="N969" i="3"/>
  <c r="P969" i="3"/>
  <c r="R969" i="3"/>
  <c r="F953" i="3"/>
  <c r="G953" i="3"/>
  <c r="K899" i="3"/>
  <c r="E899" i="3" s="1"/>
  <c r="H899" i="3"/>
  <c r="L899" i="3"/>
  <c r="J899" i="3"/>
  <c r="I899" i="3"/>
  <c r="J831" i="3"/>
  <c r="H831" i="3"/>
  <c r="K831" i="3"/>
  <c r="E831" i="3" s="1"/>
  <c r="L831" i="3"/>
  <c r="I831" i="3"/>
  <c r="Q814" i="3"/>
  <c r="M814" i="3"/>
  <c r="P814" i="3"/>
  <c r="S814" i="3"/>
  <c r="N814" i="3"/>
  <c r="O814" i="3"/>
  <c r="R814" i="3"/>
  <c r="J799" i="3"/>
  <c r="H799" i="3"/>
  <c r="K799" i="3"/>
  <c r="E799" i="3" s="1"/>
  <c r="L799" i="3"/>
  <c r="I799" i="3"/>
  <c r="Q782" i="3"/>
  <c r="M782" i="3"/>
  <c r="P782" i="3"/>
  <c r="S782" i="3"/>
  <c r="N782" i="3"/>
  <c r="O782" i="3"/>
  <c r="R782" i="3"/>
  <c r="J767" i="3"/>
  <c r="H767" i="3"/>
  <c r="K767" i="3"/>
  <c r="E767" i="3" s="1"/>
  <c r="L767" i="3"/>
  <c r="I767" i="3"/>
  <c r="Q750" i="3"/>
  <c r="M750" i="3"/>
  <c r="P750" i="3"/>
  <c r="S750" i="3"/>
  <c r="N750" i="3"/>
  <c r="O750" i="3"/>
  <c r="R750" i="3"/>
  <c r="J735" i="3"/>
  <c r="H735" i="3"/>
  <c r="K735" i="3"/>
  <c r="E735" i="3" s="1"/>
  <c r="L735" i="3"/>
  <c r="I735" i="3"/>
  <c r="Q718" i="3"/>
  <c r="M718" i="3"/>
  <c r="P718" i="3"/>
  <c r="S718" i="3"/>
  <c r="N718" i="3"/>
  <c r="O718" i="3"/>
  <c r="R718" i="3"/>
  <c r="J703" i="3"/>
  <c r="H703" i="3"/>
  <c r="K703" i="3"/>
  <c r="E703" i="3" s="1"/>
  <c r="L703" i="3"/>
  <c r="I703" i="3"/>
  <c r="L960" i="3"/>
  <c r="H960" i="3"/>
  <c r="I960" i="3"/>
  <c r="J960" i="3"/>
  <c r="K960" i="3"/>
  <c r="E960" i="3" s="1"/>
  <c r="K784" i="3"/>
  <c r="E784" i="3" s="1"/>
  <c r="J784" i="3"/>
  <c r="H784" i="3"/>
  <c r="I784" i="3"/>
  <c r="L784" i="3"/>
  <c r="K720" i="3"/>
  <c r="E720" i="3" s="1"/>
  <c r="J720" i="3"/>
  <c r="H720" i="3"/>
  <c r="I720" i="3"/>
  <c r="L720" i="3"/>
  <c r="Q698" i="3"/>
  <c r="M698" i="3"/>
  <c r="S698" i="3"/>
  <c r="N698" i="3"/>
  <c r="R698" i="3"/>
  <c r="P698" i="3"/>
  <c r="O698" i="3"/>
  <c r="J675" i="3"/>
  <c r="K675" i="3"/>
  <c r="E675" i="3" s="1"/>
  <c r="L675" i="3"/>
  <c r="I675" i="3"/>
  <c r="H675" i="3"/>
  <c r="Q666" i="3"/>
  <c r="M666" i="3"/>
  <c r="S666" i="3"/>
  <c r="N666" i="3"/>
  <c r="R666" i="3"/>
  <c r="P666" i="3"/>
  <c r="O666" i="3"/>
  <c r="K652" i="3"/>
  <c r="E652" i="3" s="1"/>
  <c r="J652" i="3"/>
  <c r="I652" i="3"/>
  <c r="H652" i="3"/>
  <c r="L652" i="3"/>
  <c r="I646" i="3"/>
  <c r="H646" i="3"/>
  <c r="L646" i="3"/>
  <c r="K646" i="3"/>
  <c r="E646" i="3" s="1"/>
  <c r="J646" i="3"/>
  <c r="Q626" i="3"/>
  <c r="M626" i="3"/>
  <c r="P626" i="3"/>
  <c r="O626" i="3"/>
  <c r="S626" i="3"/>
  <c r="N626" i="3"/>
  <c r="R626" i="3"/>
  <c r="K620" i="3"/>
  <c r="E620" i="3" s="1"/>
  <c r="J620" i="3"/>
  <c r="I620" i="3"/>
  <c r="H620" i="3"/>
  <c r="L620" i="3"/>
  <c r="I614" i="3"/>
  <c r="H614" i="3"/>
  <c r="L614" i="3"/>
  <c r="K614" i="3"/>
  <c r="E614" i="3" s="1"/>
  <c r="J614" i="3"/>
  <c r="G551" i="3"/>
  <c r="F551" i="3"/>
  <c r="G535" i="3"/>
  <c r="F535" i="3"/>
  <c r="F530" i="3"/>
  <c r="G530" i="3"/>
  <c r="F522" i="3"/>
  <c r="G522" i="3"/>
  <c r="F514" i="3"/>
  <c r="G514" i="3"/>
  <c r="F506" i="3"/>
  <c r="G506" i="3"/>
  <c r="F498" i="3"/>
  <c r="G498" i="3"/>
  <c r="G485" i="3"/>
  <c r="F485" i="3"/>
  <c r="L976" i="3"/>
  <c r="H976" i="3"/>
  <c r="I976" i="3"/>
  <c r="J976" i="3"/>
  <c r="K976" i="3"/>
  <c r="E976" i="3" s="1"/>
  <c r="G693" i="3"/>
  <c r="F693" i="3"/>
  <c r="K660" i="3"/>
  <c r="E660" i="3" s="1"/>
  <c r="J660" i="3"/>
  <c r="I660" i="3"/>
  <c r="H660" i="3"/>
  <c r="L660" i="3"/>
  <c r="Q634" i="3"/>
  <c r="M634" i="3"/>
  <c r="P634" i="3"/>
  <c r="O634" i="3"/>
  <c r="S634" i="3"/>
  <c r="N634" i="3"/>
  <c r="R634" i="3"/>
  <c r="K628" i="3"/>
  <c r="E628" i="3" s="1"/>
  <c r="J628" i="3"/>
  <c r="I628" i="3"/>
  <c r="H628" i="3"/>
  <c r="L628" i="3"/>
  <c r="I622" i="3"/>
  <c r="H622" i="3"/>
  <c r="L622" i="3"/>
  <c r="K622" i="3"/>
  <c r="E622" i="3" s="1"/>
  <c r="J622" i="3"/>
  <c r="Q602" i="3"/>
  <c r="M602" i="3"/>
  <c r="P602" i="3"/>
  <c r="O602" i="3"/>
  <c r="S602" i="3"/>
  <c r="N602" i="3"/>
  <c r="R602" i="3"/>
  <c r="K596" i="3"/>
  <c r="E596" i="3" s="1"/>
  <c r="J596" i="3"/>
  <c r="I596" i="3"/>
  <c r="H596" i="3"/>
  <c r="L596" i="3"/>
  <c r="K569" i="3"/>
  <c r="E569" i="3" s="1"/>
  <c r="J569" i="3"/>
  <c r="I569" i="3"/>
  <c r="H569" i="3"/>
  <c r="L569" i="3"/>
  <c r="F568" i="3"/>
  <c r="G568" i="3"/>
  <c r="K565" i="3"/>
  <c r="E565" i="3" s="1"/>
  <c r="J565" i="3"/>
  <c r="I565" i="3"/>
  <c r="H565" i="3"/>
  <c r="L565" i="3"/>
  <c r="F564" i="3"/>
  <c r="G564" i="3"/>
  <c r="K561" i="3"/>
  <c r="E561" i="3" s="1"/>
  <c r="J561" i="3"/>
  <c r="I561" i="3"/>
  <c r="H561" i="3"/>
  <c r="L561" i="3"/>
  <c r="F560" i="3"/>
  <c r="G560" i="3"/>
  <c r="S553" i="3"/>
  <c r="O553" i="3"/>
  <c r="Q553" i="3"/>
  <c r="M553" i="3"/>
  <c r="R553" i="3"/>
  <c r="P553" i="3"/>
  <c r="N553" i="3"/>
  <c r="L546" i="3"/>
  <c r="H546" i="3"/>
  <c r="J546" i="3"/>
  <c r="K546" i="3"/>
  <c r="E546" i="3" s="1"/>
  <c r="I546" i="3"/>
  <c r="G528" i="3"/>
  <c r="F528" i="3"/>
  <c r="S515" i="3"/>
  <c r="O515" i="3"/>
  <c r="N515" i="3"/>
  <c r="R515" i="3"/>
  <c r="M515" i="3"/>
  <c r="Q515" i="3"/>
  <c r="P515" i="3"/>
  <c r="P504" i="3"/>
  <c r="S504" i="3"/>
  <c r="N504" i="3"/>
  <c r="R504" i="3"/>
  <c r="M504" i="3"/>
  <c r="Q504" i="3"/>
  <c r="O504" i="3"/>
  <c r="G496" i="3"/>
  <c r="F496" i="3"/>
  <c r="P488" i="3"/>
  <c r="S488" i="3"/>
  <c r="N488" i="3"/>
  <c r="R488" i="3"/>
  <c r="M488" i="3"/>
  <c r="Q488" i="3"/>
  <c r="O488" i="3"/>
  <c r="K475" i="3"/>
  <c r="E475" i="3" s="1"/>
  <c r="I475" i="3"/>
  <c r="H475" i="3"/>
  <c r="L475" i="3"/>
  <c r="J475" i="3"/>
  <c r="G464" i="3"/>
  <c r="F464" i="3"/>
  <c r="G448" i="3"/>
  <c r="F448" i="3"/>
  <c r="L992" i="3"/>
  <c r="H992" i="3"/>
  <c r="I992" i="3"/>
  <c r="J992" i="3"/>
  <c r="K992" i="3"/>
  <c r="E992" i="3" s="1"/>
  <c r="K931" i="3"/>
  <c r="E931" i="3" s="1"/>
  <c r="H931" i="3"/>
  <c r="L931" i="3"/>
  <c r="J931" i="3"/>
  <c r="I931" i="3"/>
  <c r="L829" i="3"/>
  <c r="H829" i="3"/>
  <c r="J829" i="3"/>
  <c r="I829" i="3"/>
  <c r="K829" i="3"/>
  <c r="E829" i="3" s="1"/>
  <c r="L813" i="3"/>
  <c r="H813" i="3"/>
  <c r="J813" i="3"/>
  <c r="I813" i="3"/>
  <c r="K813" i="3"/>
  <c r="E813" i="3" s="1"/>
  <c r="L797" i="3"/>
  <c r="H797" i="3"/>
  <c r="J797" i="3"/>
  <c r="I797" i="3"/>
  <c r="K797" i="3"/>
  <c r="E797" i="3" s="1"/>
  <c r="L781" i="3"/>
  <c r="H781" i="3"/>
  <c r="J781" i="3"/>
  <c r="I781" i="3"/>
  <c r="K781" i="3"/>
  <c r="E781" i="3" s="1"/>
  <c r="L765" i="3"/>
  <c r="H765" i="3"/>
  <c r="J765" i="3"/>
  <c r="I765" i="3"/>
  <c r="K765" i="3"/>
  <c r="E765" i="3" s="1"/>
  <c r="L749" i="3"/>
  <c r="H749" i="3"/>
  <c r="J749" i="3"/>
  <c r="I749" i="3"/>
  <c r="K749" i="3"/>
  <c r="E749" i="3" s="1"/>
  <c r="L733" i="3"/>
  <c r="H733" i="3"/>
  <c r="J733" i="3"/>
  <c r="I733" i="3"/>
  <c r="K733" i="3"/>
  <c r="E733" i="3" s="1"/>
  <c r="L717" i="3"/>
  <c r="H717" i="3"/>
  <c r="J717" i="3"/>
  <c r="I717" i="3"/>
  <c r="K717" i="3"/>
  <c r="E717" i="3" s="1"/>
  <c r="Q642" i="3"/>
  <c r="M642" i="3"/>
  <c r="P642" i="3"/>
  <c r="O642" i="3"/>
  <c r="S642" i="3"/>
  <c r="N642" i="3"/>
  <c r="R642" i="3"/>
  <c r="K636" i="3"/>
  <c r="E636" i="3" s="1"/>
  <c r="J636" i="3"/>
  <c r="I636" i="3"/>
  <c r="H636" i="3"/>
  <c r="L636" i="3"/>
  <c r="I630" i="3"/>
  <c r="H630" i="3"/>
  <c r="L630" i="3"/>
  <c r="K630" i="3"/>
  <c r="E630" i="3" s="1"/>
  <c r="J630" i="3"/>
  <c r="Q610" i="3"/>
  <c r="M610" i="3"/>
  <c r="P610" i="3"/>
  <c r="O610" i="3"/>
  <c r="S610" i="3"/>
  <c r="N610" i="3"/>
  <c r="R610" i="3"/>
  <c r="K604" i="3"/>
  <c r="E604" i="3" s="1"/>
  <c r="J604" i="3"/>
  <c r="I604" i="3"/>
  <c r="H604" i="3"/>
  <c r="L604" i="3"/>
  <c r="I598" i="3"/>
  <c r="H598" i="3"/>
  <c r="L598" i="3"/>
  <c r="K598" i="3"/>
  <c r="E598" i="3" s="1"/>
  <c r="J598" i="3"/>
  <c r="J575" i="3"/>
  <c r="K575" i="3"/>
  <c r="E575" i="3" s="1"/>
  <c r="I575" i="3"/>
  <c r="H575" i="3"/>
  <c r="L575" i="3"/>
  <c r="L542" i="3"/>
  <c r="H542" i="3"/>
  <c r="J542" i="3"/>
  <c r="K542" i="3"/>
  <c r="E542" i="3" s="1"/>
  <c r="I542" i="3"/>
  <c r="J526" i="3"/>
  <c r="I526" i="3"/>
  <c r="H526" i="3"/>
  <c r="L526" i="3"/>
  <c r="K526" i="3"/>
  <c r="E526" i="3" s="1"/>
  <c r="J518" i="3"/>
  <c r="I518" i="3"/>
  <c r="H518" i="3"/>
  <c r="L518" i="3"/>
  <c r="K518" i="3"/>
  <c r="E518" i="3" s="1"/>
  <c r="J510" i="3"/>
  <c r="I510" i="3"/>
  <c r="H510" i="3"/>
  <c r="L510" i="3"/>
  <c r="K510" i="3"/>
  <c r="E510" i="3" s="1"/>
  <c r="J502" i="3"/>
  <c r="I502" i="3"/>
  <c r="H502" i="3"/>
  <c r="L502" i="3"/>
  <c r="K502" i="3"/>
  <c r="E502" i="3" s="1"/>
  <c r="J494" i="3"/>
  <c r="I494" i="3"/>
  <c r="H494" i="3"/>
  <c r="L494" i="3"/>
  <c r="K494" i="3"/>
  <c r="E494" i="3" s="1"/>
  <c r="I481" i="3"/>
  <c r="J481" i="3"/>
  <c r="H481" i="3"/>
  <c r="L481" i="3"/>
  <c r="K481" i="3"/>
  <c r="E481" i="3" s="1"/>
  <c r="J446" i="3"/>
  <c r="H446" i="3"/>
  <c r="L446" i="3"/>
  <c r="K446" i="3"/>
  <c r="E446" i="3" s="1"/>
  <c r="I446" i="3"/>
  <c r="K943" i="3"/>
  <c r="E943" i="3" s="1"/>
  <c r="L943" i="3"/>
  <c r="J943" i="3"/>
  <c r="H943" i="3"/>
  <c r="I943" i="3"/>
  <c r="I850" i="3"/>
  <c r="H850" i="3"/>
  <c r="L850" i="3"/>
  <c r="K850" i="3"/>
  <c r="E850" i="3" s="1"/>
  <c r="J850" i="3"/>
  <c r="I670" i="3"/>
  <c r="K670" i="3"/>
  <c r="E670" i="3" s="1"/>
  <c r="L670" i="3"/>
  <c r="J670" i="3"/>
  <c r="H670" i="3"/>
  <c r="L669" i="3"/>
  <c r="H669" i="3"/>
  <c r="J669" i="3"/>
  <c r="K669" i="3"/>
  <c r="E669" i="3" s="1"/>
  <c r="I669" i="3"/>
  <c r="I662" i="3"/>
  <c r="H662" i="3"/>
  <c r="L662" i="3"/>
  <c r="K662" i="3"/>
  <c r="E662" i="3" s="1"/>
  <c r="J662" i="3"/>
  <c r="Q658" i="3"/>
  <c r="M658" i="3"/>
  <c r="P658" i="3"/>
  <c r="O658" i="3"/>
  <c r="S658" i="3"/>
  <c r="N658" i="3"/>
  <c r="R658" i="3"/>
  <c r="F650" i="3"/>
  <c r="G650" i="3"/>
  <c r="L641" i="3"/>
  <c r="H641" i="3"/>
  <c r="J641" i="3"/>
  <c r="I641" i="3"/>
  <c r="K641" i="3"/>
  <c r="E641" i="3" s="1"/>
  <c r="F618" i="3"/>
  <c r="G618" i="3"/>
  <c r="L609" i="3"/>
  <c r="H609" i="3"/>
  <c r="J609" i="3"/>
  <c r="I609" i="3"/>
  <c r="K609" i="3"/>
  <c r="E609" i="3" s="1"/>
  <c r="F594" i="3"/>
  <c r="G594" i="3"/>
  <c r="L538" i="3"/>
  <c r="H538" i="3"/>
  <c r="J538" i="3"/>
  <c r="K538" i="3"/>
  <c r="E538" i="3" s="1"/>
  <c r="I538" i="3"/>
  <c r="L524" i="3"/>
  <c r="H524" i="3"/>
  <c r="K524" i="3"/>
  <c r="E524" i="3" s="1"/>
  <c r="J524" i="3"/>
  <c r="I524" i="3"/>
  <c r="K511" i="3"/>
  <c r="E511" i="3" s="1"/>
  <c r="L511" i="3"/>
  <c r="J511" i="3"/>
  <c r="I511" i="3"/>
  <c r="H511" i="3"/>
  <c r="R506" i="3"/>
  <c r="N506" i="3"/>
  <c r="Q506" i="3"/>
  <c r="P506" i="3"/>
  <c r="O506" i="3"/>
  <c r="S506" i="3"/>
  <c r="M506" i="3"/>
  <c r="Q501" i="3"/>
  <c r="M501" i="3"/>
  <c r="R501" i="3"/>
  <c r="P501" i="3"/>
  <c r="O501" i="3"/>
  <c r="S501" i="3"/>
  <c r="N501" i="3"/>
  <c r="L492" i="3"/>
  <c r="H492" i="3"/>
  <c r="K492" i="3"/>
  <c r="E492" i="3" s="1"/>
  <c r="J492" i="3"/>
  <c r="I492" i="3"/>
  <c r="K487" i="3"/>
  <c r="E487" i="3" s="1"/>
  <c r="L487" i="3"/>
  <c r="J487" i="3"/>
  <c r="I487" i="3"/>
  <c r="H487" i="3"/>
  <c r="L476" i="3"/>
  <c r="H476" i="3"/>
  <c r="K476" i="3"/>
  <c r="E476" i="3" s="1"/>
  <c r="J476" i="3"/>
  <c r="I476" i="3"/>
  <c r="K471" i="3"/>
  <c r="E471" i="3" s="1"/>
  <c r="J471" i="3"/>
  <c r="I471" i="3"/>
  <c r="H471" i="3"/>
  <c r="L471" i="3"/>
  <c r="I465" i="3"/>
  <c r="H465" i="3"/>
  <c r="L465" i="3"/>
  <c r="K465" i="3"/>
  <c r="E465" i="3" s="1"/>
  <c r="J465" i="3"/>
  <c r="Q445" i="3"/>
  <c r="M445" i="3"/>
  <c r="P445" i="3"/>
  <c r="O445" i="3"/>
  <c r="S445" i="3"/>
  <c r="N445" i="3"/>
  <c r="R445" i="3"/>
  <c r="K439" i="3"/>
  <c r="E439" i="3" s="1"/>
  <c r="J439" i="3"/>
  <c r="I439" i="3"/>
  <c r="H439" i="3"/>
  <c r="L439" i="3"/>
  <c r="I433" i="3"/>
  <c r="L433" i="3"/>
  <c r="K433" i="3"/>
  <c r="E433" i="3" s="1"/>
  <c r="H433" i="3"/>
  <c r="J433" i="3"/>
  <c r="Q429" i="3"/>
  <c r="M429" i="3"/>
  <c r="O429" i="3"/>
  <c r="S429" i="3"/>
  <c r="N429" i="3"/>
  <c r="R429" i="3"/>
  <c r="P429" i="3"/>
  <c r="Q421" i="3"/>
  <c r="M421" i="3"/>
  <c r="O421" i="3"/>
  <c r="S421" i="3"/>
  <c r="N421" i="3"/>
  <c r="R421" i="3"/>
  <c r="P421" i="3"/>
  <c r="K399" i="3"/>
  <c r="E399" i="3" s="1"/>
  <c r="H399" i="3"/>
  <c r="I399" i="3"/>
  <c r="L399" i="3"/>
  <c r="J399" i="3"/>
  <c r="F393" i="3"/>
  <c r="G393" i="3"/>
  <c r="I381" i="3"/>
  <c r="H381" i="3"/>
  <c r="L381" i="3"/>
  <c r="K381" i="3"/>
  <c r="E381" i="3" s="1"/>
  <c r="J381" i="3"/>
  <c r="I377" i="3"/>
  <c r="K377" i="3"/>
  <c r="E377" i="3" s="1"/>
  <c r="H377" i="3"/>
  <c r="L377" i="3"/>
  <c r="J377" i="3"/>
  <c r="L348" i="3"/>
  <c r="H348" i="3"/>
  <c r="I348" i="3"/>
  <c r="K348" i="3"/>
  <c r="E348" i="3" s="1"/>
  <c r="J348" i="3"/>
  <c r="L344" i="3"/>
  <c r="H344" i="3"/>
  <c r="J344" i="3"/>
  <c r="I344" i="3"/>
  <c r="K344" i="3"/>
  <c r="E344" i="3" s="1"/>
  <c r="S339" i="3"/>
  <c r="O339" i="3"/>
  <c r="P339" i="3"/>
  <c r="N339" i="3"/>
  <c r="M339" i="3"/>
  <c r="R339" i="3"/>
  <c r="Q339" i="3"/>
  <c r="J326" i="3"/>
  <c r="K326" i="3"/>
  <c r="E326" i="3" s="1"/>
  <c r="H326" i="3"/>
  <c r="L326" i="3"/>
  <c r="I326" i="3"/>
  <c r="J322" i="3"/>
  <c r="H322" i="3"/>
  <c r="I322" i="3"/>
  <c r="L322" i="3"/>
  <c r="K322" i="3"/>
  <c r="E322" i="3" s="1"/>
  <c r="F310" i="3"/>
  <c r="G310" i="3"/>
  <c r="K299" i="3"/>
  <c r="E299" i="3" s="1"/>
  <c r="J299" i="3"/>
  <c r="I299" i="3"/>
  <c r="H299" i="3"/>
  <c r="L299" i="3"/>
  <c r="F293" i="3"/>
  <c r="G293" i="3"/>
  <c r="K271" i="3"/>
  <c r="E271" i="3" s="1"/>
  <c r="H271" i="3"/>
  <c r="I271" i="3"/>
  <c r="L271" i="3"/>
  <c r="J271" i="3"/>
  <c r="F265" i="3"/>
  <c r="G265" i="3"/>
  <c r="I253" i="3"/>
  <c r="H253" i="3"/>
  <c r="L253" i="3"/>
  <c r="K253" i="3"/>
  <c r="E253" i="3" s="1"/>
  <c r="J253" i="3"/>
  <c r="I249" i="3"/>
  <c r="K249" i="3"/>
  <c r="E249" i="3" s="1"/>
  <c r="H249" i="3"/>
  <c r="L249" i="3"/>
  <c r="J249" i="3"/>
  <c r="L220" i="3"/>
  <c r="H220" i="3"/>
  <c r="I220" i="3"/>
  <c r="K220" i="3"/>
  <c r="E220" i="3" s="1"/>
  <c r="J220" i="3"/>
  <c r="L216" i="3"/>
  <c r="H216" i="3"/>
  <c r="J216" i="3"/>
  <c r="I216" i="3"/>
  <c r="K216" i="3"/>
  <c r="E216" i="3" s="1"/>
  <c r="S211" i="3"/>
  <c r="O211" i="3"/>
  <c r="P211" i="3"/>
  <c r="N211" i="3"/>
  <c r="M211" i="3"/>
  <c r="R211" i="3"/>
  <c r="Q211" i="3"/>
  <c r="K183" i="3"/>
  <c r="E183" i="3" s="1"/>
  <c r="H183" i="3"/>
  <c r="L183" i="3"/>
  <c r="J183" i="3"/>
  <c r="I183" i="3"/>
  <c r="G180" i="3"/>
  <c r="F180" i="3"/>
  <c r="K159" i="3"/>
  <c r="E159" i="3" s="1"/>
  <c r="H159" i="3"/>
  <c r="L159" i="3"/>
  <c r="J159" i="3"/>
  <c r="I159" i="3"/>
  <c r="L148" i="3"/>
  <c r="H148" i="3"/>
  <c r="K148" i="3"/>
  <c r="E148" i="3" s="1"/>
  <c r="J148" i="3"/>
  <c r="I148" i="3"/>
  <c r="K127" i="3"/>
  <c r="E127" i="3" s="1"/>
  <c r="H127" i="3"/>
  <c r="L127" i="3"/>
  <c r="J127" i="3"/>
  <c r="I127" i="3"/>
  <c r="P120" i="3"/>
  <c r="S120" i="3"/>
  <c r="O120" i="3"/>
  <c r="R120" i="3"/>
  <c r="N120" i="3"/>
  <c r="Q120" i="3"/>
  <c r="M120" i="3"/>
  <c r="P104" i="3"/>
  <c r="S104" i="3"/>
  <c r="O104" i="3"/>
  <c r="R104" i="3"/>
  <c r="N104" i="3"/>
  <c r="Q104" i="3"/>
  <c r="M104" i="3"/>
  <c r="P88" i="3"/>
  <c r="S88" i="3"/>
  <c r="O88" i="3"/>
  <c r="R88" i="3"/>
  <c r="N88" i="3"/>
  <c r="Q88" i="3"/>
  <c r="M88" i="3"/>
  <c r="P72" i="3"/>
  <c r="S72" i="3"/>
  <c r="O72" i="3"/>
  <c r="R72" i="3"/>
  <c r="N72" i="3"/>
  <c r="Q72" i="3"/>
  <c r="M72" i="3"/>
  <c r="P56" i="3"/>
  <c r="S56" i="3"/>
  <c r="O56" i="3"/>
  <c r="R56" i="3"/>
  <c r="N56" i="3"/>
  <c r="Q56" i="3"/>
  <c r="M56" i="3"/>
  <c r="P40" i="3"/>
  <c r="S40" i="3"/>
  <c r="O40" i="3"/>
  <c r="R40" i="3"/>
  <c r="N40" i="3"/>
  <c r="Q40" i="3"/>
  <c r="M40" i="3"/>
  <c r="P24" i="3"/>
  <c r="S24" i="3"/>
  <c r="O24" i="3"/>
  <c r="R24" i="3"/>
  <c r="N24" i="3"/>
  <c r="Q24" i="3"/>
  <c r="M24" i="3"/>
  <c r="P11" i="3"/>
  <c r="S11" i="3"/>
  <c r="O11" i="3"/>
  <c r="R11" i="3"/>
  <c r="N11" i="3"/>
  <c r="Q11" i="3"/>
  <c r="M11" i="3"/>
  <c r="P7" i="3"/>
  <c r="S7" i="3"/>
  <c r="O7" i="3"/>
  <c r="Q7" i="3"/>
  <c r="M7" i="3"/>
  <c r="R7" i="3"/>
  <c r="N7" i="3"/>
  <c r="G113" i="3"/>
  <c r="F113" i="3"/>
  <c r="K107" i="3"/>
  <c r="E107" i="3" s="1"/>
  <c r="J107" i="3"/>
  <c r="I107" i="3"/>
  <c r="L107" i="3"/>
  <c r="H107" i="3"/>
  <c r="Q89" i="3"/>
  <c r="M89" i="3"/>
  <c r="P89" i="3"/>
  <c r="S89" i="3"/>
  <c r="O89" i="3"/>
  <c r="R89" i="3"/>
  <c r="N89" i="3"/>
  <c r="G81" i="3"/>
  <c r="F81" i="3"/>
  <c r="K27" i="3"/>
  <c r="E27" i="3" s="1"/>
  <c r="J27" i="3"/>
  <c r="L27" i="3"/>
  <c r="H27" i="3"/>
  <c r="I27" i="3"/>
  <c r="K15" i="3"/>
  <c r="E15" i="3" s="1"/>
  <c r="J15" i="3"/>
  <c r="I15" i="3"/>
  <c r="L15" i="3"/>
  <c r="H15" i="3"/>
  <c r="G533" i="3"/>
  <c r="F533" i="3"/>
  <c r="F453" i="3"/>
  <c r="G453" i="3"/>
  <c r="L444" i="3"/>
  <c r="H444" i="3"/>
  <c r="J444" i="3"/>
  <c r="I444" i="3"/>
  <c r="K444" i="3"/>
  <c r="E444" i="3" s="1"/>
  <c r="J410" i="3"/>
  <c r="H410" i="3"/>
  <c r="K410" i="3"/>
  <c r="E410" i="3" s="1"/>
  <c r="I410" i="3"/>
  <c r="L410" i="3"/>
  <c r="L404" i="3"/>
  <c r="H404" i="3"/>
  <c r="J404" i="3"/>
  <c r="I404" i="3"/>
  <c r="K404" i="3"/>
  <c r="E404" i="3" s="1"/>
  <c r="I401" i="3"/>
  <c r="K401" i="3"/>
  <c r="E401" i="3" s="1"/>
  <c r="J401" i="3"/>
  <c r="H401" i="3"/>
  <c r="L401" i="3"/>
  <c r="K387" i="3"/>
  <c r="E387" i="3" s="1"/>
  <c r="J387" i="3"/>
  <c r="L387" i="3"/>
  <c r="I387" i="3"/>
  <c r="H387" i="3"/>
  <c r="G379" i="3"/>
  <c r="F379" i="3"/>
  <c r="L368" i="3"/>
  <c r="H368" i="3"/>
  <c r="J368" i="3"/>
  <c r="K368" i="3"/>
  <c r="E368" i="3" s="1"/>
  <c r="I368" i="3"/>
  <c r="K359" i="3"/>
  <c r="E359" i="3" s="1"/>
  <c r="H359" i="3"/>
  <c r="J359" i="3"/>
  <c r="I359" i="3"/>
  <c r="L359" i="3"/>
  <c r="F353" i="3"/>
  <c r="G353" i="3"/>
  <c r="F334" i="3"/>
  <c r="G334" i="3"/>
  <c r="I309" i="3"/>
  <c r="H309" i="3"/>
  <c r="J309" i="3"/>
  <c r="L309" i="3"/>
  <c r="K309" i="3"/>
  <c r="E309" i="3" s="1"/>
  <c r="J286" i="3"/>
  <c r="K286" i="3"/>
  <c r="E286" i="3" s="1"/>
  <c r="I286" i="3"/>
  <c r="H286" i="3"/>
  <c r="L286" i="3"/>
  <c r="J282" i="3"/>
  <c r="H282" i="3"/>
  <c r="K282" i="3"/>
  <c r="E282" i="3" s="1"/>
  <c r="I282" i="3"/>
  <c r="L282" i="3"/>
  <c r="L276" i="3"/>
  <c r="H276" i="3"/>
  <c r="J276" i="3"/>
  <c r="I276" i="3"/>
  <c r="K276" i="3"/>
  <c r="E276" i="3" s="1"/>
  <c r="I273" i="3"/>
  <c r="K273" i="3"/>
  <c r="E273" i="3" s="1"/>
  <c r="J273" i="3"/>
  <c r="H273" i="3"/>
  <c r="L273" i="3"/>
  <c r="K259" i="3"/>
  <c r="E259" i="3" s="1"/>
  <c r="J259" i="3"/>
  <c r="L259" i="3"/>
  <c r="I259" i="3"/>
  <c r="H259" i="3"/>
  <c r="G251" i="3"/>
  <c r="F251" i="3"/>
  <c r="L240" i="3"/>
  <c r="H240" i="3"/>
  <c r="J240" i="3"/>
  <c r="K240" i="3"/>
  <c r="E240" i="3" s="1"/>
  <c r="I240" i="3"/>
  <c r="K231" i="3"/>
  <c r="E231" i="3" s="1"/>
  <c r="H231" i="3"/>
  <c r="J231" i="3"/>
  <c r="I231" i="3"/>
  <c r="L231" i="3"/>
  <c r="F225" i="3"/>
  <c r="G225" i="3"/>
  <c r="F206" i="3"/>
  <c r="G206" i="3"/>
  <c r="F193" i="3"/>
  <c r="G193" i="3"/>
  <c r="J170" i="3"/>
  <c r="H170" i="3"/>
  <c r="L170" i="3"/>
  <c r="K170" i="3"/>
  <c r="E170" i="3" s="1"/>
  <c r="I170" i="3"/>
  <c r="I165" i="3"/>
  <c r="H165" i="3"/>
  <c r="L165" i="3"/>
  <c r="K165" i="3"/>
  <c r="E165" i="3" s="1"/>
  <c r="J165" i="3"/>
  <c r="J138" i="3"/>
  <c r="H138" i="3"/>
  <c r="L138" i="3"/>
  <c r="K138" i="3"/>
  <c r="E138" i="3" s="1"/>
  <c r="I138" i="3"/>
  <c r="K119" i="3"/>
  <c r="E119" i="3" s="1"/>
  <c r="J119" i="3"/>
  <c r="I119" i="3"/>
  <c r="L119" i="3"/>
  <c r="H119" i="3"/>
  <c r="Q101" i="3"/>
  <c r="M101" i="3"/>
  <c r="P101" i="3"/>
  <c r="S101" i="3"/>
  <c r="O101" i="3"/>
  <c r="R101" i="3"/>
  <c r="N101" i="3"/>
  <c r="G93" i="3"/>
  <c r="F93" i="3"/>
  <c r="K87" i="3"/>
  <c r="E87" i="3" s="1"/>
  <c r="J87" i="3"/>
  <c r="I87" i="3"/>
  <c r="L87" i="3"/>
  <c r="H87" i="3"/>
  <c r="Q73" i="3"/>
  <c r="M73" i="3"/>
  <c r="P73" i="3"/>
  <c r="S73" i="3"/>
  <c r="O73" i="3"/>
  <c r="R73" i="3"/>
  <c r="N73" i="3"/>
  <c r="G69" i="3"/>
  <c r="F69" i="3"/>
  <c r="K67" i="3"/>
  <c r="E67" i="3" s="1"/>
  <c r="J67" i="3"/>
  <c r="L67" i="3"/>
  <c r="H67" i="3"/>
  <c r="I67" i="3"/>
  <c r="Q57" i="3"/>
  <c r="M57" i="3"/>
  <c r="P57" i="3"/>
  <c r="S57" i="3"/>
  <c r="O57" i="3"/>
  <c r="R57" i="3"/>
  <c r="N57" i="3"/>
  <c r="G53" i="3"/>
  <c r="F53" i="3"/>
  <c r="K51" i="3"/>
  <c r="E51" i="3" s="1"/>
  <c r="J51" i="3"/>
  <c r="I51" i="3"/>
  <c r="L51" i="3"/>
  <c r="H51" i="3"/>
  <c r="Q41" i="3"/>
  <c r="M41" i="3"/>
  <c r="P41" i="3"/>
  <c r="S41" i="3"/>
  <c r="O41" i="3"/>
  <c r="R41" i="3"/>
  <c r="N41" i="3"/>
  <c r="G37" i="3"/>
  <c r="F37" i="3"/>
  <c r="K35" i="3"/>
  <c r="E35" i="3" s="1"/>
  <c r="J35" i="3"/>
  <c r="L35" i="3"/>
  <c r="H35" i="3"/>
  <c r="I35" i="3"/>
  <c r="G25" i="3"/>
  <c r="F25" i="3"/>
  <c r="K19" i="3"/>
  <c r="J19" i="3"/>
  <c r="I19" i="3"/>
  <c r="L19" i="3"/>
  <c r="H19" i="3"/>
  <c r="Q365" i="3"/>
  <c r="M365" i="3"/>
  <c r="S365" i="3"/>
  <c r="N365" i="3"/>
  <c r="R365" i="3"/>
  <c r="P365" i="3"/>
  <c r="O365" i="3"/>
  <c r="K351" i="3"/>
  <c r="E351" i="3" s="1"/>
  <c r="H351" i="3"/>
  <c r="L351" i="3"/>
  <c r="J351" i="3"/>
  <c r="I351" i="3"/>
  <c r="Q333" i="3"/>
  <c r="M333" i="3"/>
  <c r="S333" i="3"/>
  <c r="N333" i="3"/>
  <c r="R333" i="3"/>
  <c r="P333" i="3"/>
  <c r="O333" i="3"/>
  <c r="K319" i="3"/>
  <c r="E319" i="3" s="1"/>
  <c r="H319" i="3"/>
  <c r="L319" i="3"/>
  <c r="J319" i="3"/>
  <c r="I319" i="3"/>
  <c r="Q301" i="3"/>
  <c r="M301" i="3"/>
  <c r="S301" i="3"/>
  <c r="N301" i="3"/>
  <c r="R301" i="3"/>
  <c r="P301" i="3"/>
  <c r="O301" i="3"/>
  <c r="K287" i="3"/>
  <c r="E287" i="3" s="1"/>
  <c r="H287" i="3"/>
  <c r="L287" i="3"/>
  <c r="J287" i="3"/>
  <c r="I287" i="3"/>
  <c r="Q269" i="3"/>
  <c r="M269" i="3"/>
  <c r="S269" i="3"/>
  <c r="N269" i="3"/>
  <c r="R269" i="3"/>
  <c r="P269" i="3"/>
  <c r="O269" i="3"/>
  <c r="K255" i="3"/>
  <c r="E255" i="3" s="1"/>
  <c r="H255" i="3"/>
  <c r="L255" i="3"/>
  <c r="J255" i="3"/>
  <c r="I255" i="3"/>
  <c r="K223" i="3"/>
  <c r="E223" i="3" s="1"/>
  <c r="H223" i="3"/>
  <c r="L223" i="3"/>
  <c r="J223" i="3"/>
  <c r="I223" i="3"/>
  <c r="F200" i="3"/>
  <c r="G200" i="3"/>
  <c r="S179" i="3"/>
  <c r="O179" i="3"/>
  <c r="P179" i="3"/>
  <c r="N179" i="3"/>
  <c r="R179" i="3"/>
  <c r="M179" i="3"/>
  <c r="Q179" i="3"/>
  <c r="P128" i="3"/>
  <c r="O128" i="3"/>
  <c r="S128" i="3"/>
  <c r="N128" i="3"/>
  <c r="R128" i="3"/>
  <c r="M128" i="3"/>
  <c r="Q128" i="3"/>
  <c r="S545" i="3"/>
  <c r="O545" i="3"/>
  <c r="Q545" i="3"/>
  <c r="M545" i="3"/>
  <c r="N545" i="3"/>
  <c r="R545" i="3"/>
  <c r="P545" i="3"/>
  <c r="Q461" i="3"/>
  <c r="M461" i="3"/>
  <c r="P461" i="3"/>
  <c r="O461" i="3"/>
  <c r="S461" i="3"/>
  <c r="N461" i="3"/>
  <c r="R461" i="3"/>
  <c r="K455" i="3"/>
  <c r="E455" i="3" s="1"/>
  <c r="J455" i="3"/>
  <c r="I455" i="3"/>
  <c r="H455" i="3"/>
  <c r="L455" i="3"/>
  <c r="I449" i="3"/>
  <c r="H449" i="3"/>
  <c r="L449" i="3"/>
  <c r="K449" i="3"/>
  <c r="E449" i="3" s="1"/>
  <c r="J449" i="3"/>
  <c r="R406" i="3"/>
  <c r="N406" i="3"/>
  <c r="P406" i="3"/>
  <c r="S406" i="3"/>
  <c r="Q406" i="3"/>
  <c r="O406" i="3"/>
  <c r="M406" i="3"/>
  <c r="J402" i="3"/>
  <c r="H402" i="3"/>
  <c r="L402" i="3"/>
  <c r="K402" i="3"/>
  <c r="E402" i="3" s="1"/>
  <c r="I402" i="3"/>
  <c r="K383" i="3"/>
  <c r="E383" i="3" s="1"/>
  <c r="H383" i="3"/>
  <c r="L383" i="3"/>
  <c r="J383" i="3"/>
  <c r="I383" i="3"/>
  <c r="F328" i="3"/>
  <c r="G328" i="3"/>
  <c r="R310" i="3"/>
  <c r="N310" i="3"/>
  <c r="P310" i="3"/>
  <c r="S310" i="3"/>
  <c r="Q310" i="3"/>
  <c r="O310" i="3"/>
  <c r="M310" i="3"/>
  <c r="P296" i="3"/>
  <c r="O296" i="3"/>
  <c r="S296" i="3"/>
  <c r="M296" i="3"/>
  <c r="R296" i="3"/>
  <c r="Q296" i="3"/>
  <c r="N296" i="3"/>
  <c r="Q265" i="3"/>
  <c r="M265" i="3"/>
  <c r="P265" i="3"/>
  <c r="S265" i="3"/>
  <c r="R265" i="3"/>
  <c r="O265" i="3"/>
  <c r="N265" i="3"/>
  <c r="Q205" i="3"/>
  <c r="M205" i="3"/>
  <c r="S205" i="3"/>
  <c r="N205" i="3"/>
  <c r="R205" i="3"/>
  <c r="P205" i="3"/>
  <c r="O205" i="3"/>
  <c r="P184" i="3"/>
  <c r="O184" i="3"/>
  <c r="S184" i="3"/>
  <c r="N184" i="3"/>
  <c r="R184" i="3"/>
  <c r="M184" i="3"/>
  <c r="Q184" i="3"/>
  <c r="P168" i="3"/>
  <c r="O168" i="3"/>
  <c r="S168" i="3"/>
  <c r="N168" i="3"/>
  <c r="R168" i="3"/>
  <c r="M168" i="3"/>
  <c r="Q168" i="3"/>
  <c r="G152" i="3"/>
  <c r="F152" i="3"/>
  <c r="G136" i="3"/>
  <c r="F136" i="3"/>
  <c r="G549" i="3"/>
  <c r="F549" i="3"/>
  <c r="J458" i="3"/>
  <c r="K458" i="3"/>
  <c r="E458" i="3" s="1"/>
  <c r="I458" i="3"/>
  <c r="H458" i="3"/>
  <c r="L458" i="3"/>
  <c r="P432" i="3"/>
  <c r="Q432" i="3"/>
  <c r="O432" i="3"/>
  <c r="S432" i="3"/>
  <c r="R432" i="3"/>
  <c r="N432" i="3"/>
  <c r="M432" i="3"/>
  <c r="K423" i="3"/>
  <c r="E423" i="3" s="1"/>
  <c r="I423" i="3"/>
  <c r="H423" i="3"/>
  <c r="J423" i="3"/>
  <c r="L423" i="3"/>
  <c r="G419" i="3"/>
  <c r="F419" i="3"/>
  <c r="P416" i="3"/>
  <c r="Q416" i="3"/>
  <c r="O416" i="3"/>
  <c r="S416" i="3"/>
  <c r="R416" i="3"/>
  <c r="N416" i="3"/>
  <c r="M416" i="3"/>
  <c r="Q389" i="3"/>
  <c r="M389" i="3"/>
  <c r="S389" i="3"/>
  <c r="N389" i="3"/>
  <c r="R389" i="3"/>
  <c r="P389" i="3"/>
  <c r="O389" i="3"/>
  <c r="Q385" i="3"/>
  <c r="M385" i="3"/>
  <c r="P385" i="3"/>
  <c r="N385" i="3"/>
  <c r="S385" i="3"/>
  <c r="R385" i="3"/>
  <c r="O385" i="3"/>
  <c r="R366" i="3"/>
  <c r="N366" i="3"/>
  <c r="P366" i="3"/>
  <c r="M366" i="3"/>
  <c r="S366" i="3"/>
  <c r="Q366" i="3"/>
  <c r="O366" i="3"/>
  <c r="J362" i="3"/>
  <c r="H362" i="3"/>
  <c r="L362" i="3"/>
  <c r="K362" i="3"/>
  <c r="E362" i="3" s="1"/>
  <c r="I362" i="3"/>
  <c r="K343" i="3"/>
  <c r="E343" i="3" s="1"/>
  <c r="H343" i="3"/>
  <c r="L343" i="3"/>
  <c r="J343" i="3"/>
  <c r="I343" i="3"/>
  <c r="L324" i="3"/>
  <c r="H324" i="3"/>
  <c r="K324" i="3"/>
  <c r="E324" i="3" s="1"/>
  <c r="J324" i="3"/>
  <c r="I324" i="3"/>
  <c r="G320" i="3"/>
  <c r="F320" i="3"/>
  <c r="P288" i="3"/>
  <c r="O288" i="3"/>
  <c r="N288" i="3"/>
  <c r="S288" i="3"/>
  <c r="M288" i="3"/>
  <c r="R288" i="3"/>
  <c r="Q288" i="3"/>
  <c r="Q261" i="3"/>
  <c r="M261" i="3"/>
  <c r="S261" i="3"/>
  <c r="N261" i="3"/>
  <c r="R261" i="3"/>
  <c r="P261" i="3"/>
  <c r="O261" i="3"/>
  <c r="Q257" i="3"/>
  <c r="M257" i="3"/>
  <c r="P257" i="3"/>
  <c r="N257" i="3"/>
  <c r="S257" i="3"/>
  <c r="R257" i="3"/>
  <c r="O257" i="3"/>
  <c r="R238" i="3"/>
  <c r="N238" i="3"/>
  <c r="P238" i="3"/>
  <c r="M238" i="3"/>
  <c r="S238" i="3"/>
  <c r="Q238" i="3"/>
  <c r="O238" i="3"/>
  <c r="J234" i="3"/>
  <c r="H234" i="3"/>
  <c r="L234" i="3"/>
  <c r="K234" i="3"/>
  <c r="E234" i="3" s="1"/>
  <c r="I234" i="3"/>
  <c r="K215" i="3"/>
  <c r="E215" i="3" s="1"/>
  <c r="H215" i="3"/>
  <c r="L215" i="3"/>
  <c r="J215" i="3"/>
  <c r="I215" i="3"/>
  <c r="L196" i="3"/>
  <c r="H196" i="3"/>
  <c r="K196" i="3"/>
  <c r="E196" i="3" s="1"/>
  <c r="J196" i="3"/>
  <c r="I196" i="3"/>
  <c r="G192" i="3"/>
  <c r="F192" i="3"/>
  <c r="F182" i="3"/>
  <c r="G182" i="3"/>
  <c r="G171" i="3"/>
  <c r="F171" i="3"/>
  <c r="F161" i="3"/>
  <c r="G161" i="3"/>
  <c r="F150" i="3"/>
  <c r="G150" i="3"/>
  <c r="G139" i="3"/>
  <c r="F139" i="3"/>
  <c r="F129" i="3"/>
  <c r="G129" i="3"/>
  <c r="F114" i="3"/>
  <c r="G114" i="3"/>
  <c r="R66" i="3"/>
  <c r="N66" i="3"/>
  <c r="Q66" i="3"/>
  <c r="M66" i="3"/>
  <c r="P66" i="3"/>
  <c r="S66" i="3"/>
  <c r="O66" i="3"/>
  <c r="F50" i="3"/>
  <c r="G50" i="3"/>
  <c r="R18" i="3"/>
  <c r="N18" i="3"/>
  <c r="Q18" i="3"/>
  <c r="M18" i="3"/>
  <c r="S18" i="3"/>
  <c r="O18" i="3"/>
  <c r="P18" i="3"/>
  <c r="F118" i="3"/>
  <c r="G118" i="3"/>
  <c r="F70" i="3"/>
  <c r="G70" i="3"/>
  <c r="R22" i="3"/>
  <c r="N22" i="3"/>
  <c r="Q22" i="3"/>
  <c r="M22" i="3"/>
  <c r="S22" i="3"/>
  <c r="O22" i="3"/>
  <c r="P22" i="3"/>
  <c r="F106" i="3"/>
  <c r="G106" i="3"/>
  <c r="F58" i="3"/>
  <c r="G58" i="3"/>
  <c r="F42" i="3"/>
  <c r="G42" i="3"/>
  <c r="F110" i="3"/>
  <c r="G110" i="3"/>
  <c r="R62" i="3"/>
  <c r="N62" i="3"/>
  <c r="Q62" i="3"/>
  <c r="M62" i="3"/>
  <c r="P62" i="3"/>
  <c r="S62" i="3"/>
  <c r="O62" i="3"/>
  <c r="R46" i="3"/>
  <c r="N46" i="3"/>
  <c r="Q46" i="3"/>
  <c r="M46" i="3"/>
  <c r="S46" i="3"/>
  <c r="O46" i="3"/>
  <c r="P46" i="3"/>
  <c r="F21" i="3" l="1"/>
  <c r="G21" i="3"/>
  <c r="E21" i="3"/>
  <c r="G20" i="3"/>
  <c r="F20" i="3"/>
  <c r="E20" i="3"/>
  <c r="E19" i="3"/>
  <c r="E18" i="3"/>
  <c r="F18" i="3"/>
  <c r="G18" i="3"/>
  <c r="P196" i="3"/>
  <c r="R196" i="3"/>
  <c r="M196" i="3"/>
  <c r="N196" i="3"/>
  <c r="S196" i="3"/>
  <c r="Q196" i="3"/>
  <c r="O196" i="3"/>
  <c r="G215" i="3"/>
  <c r="F215" i="3"/>
  <c r="G383" i="3"/>
  <c r="F383" i="3"/>
  <c r="S67" i="3"/>
  <c r="O67" i="3"/>
  <c r="R67" i="3"/>
  <c r="N67" i="3"/>
  <c r="M67" i="3"/>
  <c r="P67" i="3"/>
  <c r="Q67" i="3"/>
  <c r="F170" i="3"/>
  <c r="G170" i="3"/>
  <c r="F401" i="3"/>
  <c r="G401" i="3"/>
  <c r="P344" i="3"/>
  <c r="O344" i="3"/>
  <c r="Q344" i="3"/>
  <c r="N344" i="3"/>
  <c r="S344" i="3"/>
  <c r="M344" i="3"/>
  <c r="R344" i="3"/>
  <c r="F377" i="3"/>
  <c r="G377" i="3"/>
  <c r="G399" i="3"/>
  <c r="F399" i="3"/>
  <c r="F670" i="3"/>
  <c r="G670" i="3"/>
  <c r="R446" i="3"/>
  <c r="N446" i="3"/>
  <c r="S446" i="3"/>
  <c r="M446" i="3"/>
  <c r="Q446" i="3"/>
  <c r="P446" i="3"/>
  <c r="O446" i="3"/>
  <c r="F494" i="3"/>
  <c r="G494" i="3"/>
  <c r="F526" i="3"/>
  <c r="G526" i="3"/>
  <c r="F546" i="3"/>
  <c r="G546" i="3"/>
  <c r="P976" i="3"/>
  <c r="S976" i="3"/>
  <c r="N976" i="3"/>
  <c r="R976" i="3"/>
  <c r="M976" i="3"/>
  <c r="Q976" i="3"/>
  <c r="O976" i="3"/>
  <c r="G614" i="3"/>
  <c r="F614" i="3"/>
  <c r="S620" i="3"/>
  <c r="O620" i="3"/>
  <c r="P620" i="3"/>
  <c r="N620" i="3"/>
  <c r="R620" i="3"/>
  <c r="M620" i="3"/>
  <c r="Q620" i="3"/>
  <c r="F703" i="3"/>
  <c r="G703" i="3"/>
  <c r="F799" i="3"/>
  <c r="G799" i="3"/>
  <c r="G700" i="3"/>
  <c r="F700" i="3"/>
  <c r="F811" i="3"/>
  <c r="G811" i="3"/>
  <c r="P837" i="3"/>
  <c r="O837" i="3"/>
  <c r="R837" i="3"/>
  <c r="M837" i="3"/>
  <c r="N837" i="3"/>
  <c r="S837" i="3"/>
  <c r="Q837" i="3"/>
  <c r="G867" i="3"/>
  <c r="F867" i="3"/>
  <c r="F686" i="3"/>
  <c r="G686" i="3"/>
  <c r="S856" i="3"/>
  <c r="O856" i="3"/>
  <c r="P856" i="3"/>
  <c r="N856" i="3"/>
  <c r="R856" i="3"/>
  <c r="M856" i="3"/>
  <c r="Q856" i="3"/>
  <c r="G880" i="3"/>
  <c r="F880" i="3"/>
  <c r="S939" i="3"/>
  <c r="O939" i="3"/>
  <c r="N939" i="3"/>
  <c r="R939" i="3"/>
  <c r="M939" i="3"/>
  <c r="Q939" i="3"/>
  <c r="P939" i="3"/>
  <c r="R870" i="3"/>
  <c r="N870" i="3"/>
  <c r="S870" i="3"/>
  <c r="M870" i="3"/>
  <c r="Q870" i="3"/>
  <c r="P870" i="3"/>
  <c r="O870" i="3"/>
  <c r="G721" i="3"/>
  <c r="F721" i="3"/>
  <c r="R727" i="3"/>
  <c r="N727" i="3"/>
  <c r="S727" i="3"/>
  <c r="M727" i="3"/>
  <c r="P727" i="3"/>
  <c r="Q727" i="3"/>
  <c r="O727" i="3"/>
  <c r="P228" i="3"/>
  <c r="R228" i="3"/>
  <c r="M228" i="3"/>
  <c r="N228" i="3"/>
  <c r="S228" i="3"/>
  <c r="Q228" i="3"/>
  <c r="O228" i="3"/>
  <c r="G247" i="3"/>
  <c r="F247" i="3"/>
  <c r="F241" i="3"/>
  <c r="G241" i="3"/>
  <c r="S327" i="3"/>
  <c r="O327" i="3"/>
  <c r="R327" i="3"/>
  <c r="M327" i="3"/>
  <c r="Q327" i="3"/>
  <c r="P327" i="3"/>
  <c r="N327" i="3"/>
  <c r="F474" i="3"/>
  <c r="G474" i="3"/>
  <c r="G115" i="3"/>
  <c r="F115" i="3"/>
  <c r="G124" i="3"/>
  <c r="F124" i="3"/>
  <c r="S135" i="3"/>
  <c r="O135" i="3"/>
  <c r="R135" i="3"/>
  <c r="M135" i="3"/>
  <c r="Q135" i="3"/>
  <c r="P135" i="3"/>
  <c r="N135" i="3"/>
  <c r="S267" i="3"/>
  <c r="O267" i="3"/>
  <c r="P267" i="3"/>
  <c r="Q267" i="3"/>
  <c r="N267" i="3"/>
  <c r="M267" i="3"/>
  <c r="R267" i="3"/>
  <c r="F294" i="3"/>
  <c r="G294" i="3"/>
  <c r="G316" i="3"/>
  <c r="F316" i="3"/>
  <c r="G349" i="3"/>
  <c r="F349" i="3"/>
  <c r="G428" i="3"/>
  <c r="F428" i="3"/>
  <c r="P436" i="3"/>
  <c r="O436" i="3"/>
  <c r="S436" i="3"/>
  <c r="N436" i="3"/>
  <c r="R436" i="3"/>
  <c r="M436" i="3"/>
  <c r="Q436" i="3"/>
  <c r="F639" i="3"/>
  <c r="G639" i="3"/>
  <c r="R486" i="3"/>
  <c r="N486" i="3"/>
  <c r="O486" i="3"/>
  <c r="S486" i="3"/>
  <c r="M486" i="3"/>
  <c r="Q486" i="3"/>
  <c r="P486" i="3"/>
  <c r="P633" i="3"/>
  <c r="O633" i="3"/>
  <c r="S633" i="3"/>
  <c r="N633" i="3"/>
  <c r="R633" i="3"/>
  <c r="M633" i="3"/>
  <c r="Q633" i="3"/>
  <c r="G582" i="3"/>
  <c r="F582" i="3"/>
  <c r="P593" i="3"/>
  <c r="O593" i="3"/>
  <c r="S593" i="3"/>
  <c r="N593" i="3"/>
  <c r="R593" i="3"/>
  <c r="M593" i="3"/>
  <c r="Q593" i="3"/>
  <c r="G684" i="3"/>
  <c r="F684" i="3"/>
  <c r="G704" i="3"/>
  <c r="F704" i="3"/>
  <c r="S832" i="3"/>
  <c r="O832" i="3"/>
  <c r="P832" i="3"/>
  <c r="R832" i="3"/>
  <c r="M832" i="3"/>
  <c r="Q832" i="3"/>
  <c r="N832" i="3"/>
  <c r="P761" i="3"/>
  <c r="R761" i="3"/>
  <c r="M761" i="3"/>
  <c r="O761" i="3"/>
  <c r="Q761" i="3"/>
  <c r="N761" i="3"/>
  <c r="S761" i="3"/>
  <c r="Q842" i="3"/>
  <c r="M842" i="3"/>
  <c r="S842" i="3"/>
  <c r="N842" i="3"/>
  <c r="R842" i="3"/>
  <c r="P842" i="3"/>
  <c r="O842" i="3"/>
  <c r="R942" i="3"/>
  <c r="N942" i="3"/>
  <c r="O942" i="3"/>
  <c r="S942" i="3"/>
  <c r="M942" i="3"/>
  <c r="Q942" i="3"/>
  <c r="P942" i="3"/>
  <c r="R974" i="3"/>
  <c r="N974" i="3"/>
  <c r="O974" i="3"/>
  <c r="S974" i="3"/>
  <c r="M974" i="3"/>
  <c r="Q974" i="3"/>
  <c r="P974" i="3"/>
  <c r="G164" i="3"/>
  <c r="F164" i="3"/>
  <c r="S175" i="3"/>
  <c r="O175" i="3"/>
  <c r="R175" i="3"/>
  <c r="M175" i="3"/>
  <c r="Q175" i="3"/>
  <c r="P175" i="3"/>
  <c r="N175" i="3"/>
  <c r="F258" i="3"/>
  <c r="G258" i="3"/>
  <c r="P284" i="3"/>
  <c r="R284" i="3"/>
  <c r="M284" i="3"/>
  <c r="O284" i="3"/>
  <c r="N284" i="3"/>
  <c r="S284" i="3"/>
  <c r="Q284" i="3"/>
  <c r="Q313" i="3"/>
  <c r="M313" i="3"/>
  <c r="P313" i="3"/>
  <c r="O313" i="3"/>
  <c r="N313" i="3"/>
  <c r="S313" i="3"/>
  <c r="R313" i="3"/>
  <c r="R434" i="3"/>
  <c r="N434" i="3"/>
  <c r="P434" i="3"/>
  <c r="O434" i="3"/>
  <c r="S434" i="3"/>
  <c r="M434" i="3"/>
  <c r="Q434" i="3"/>
  <c r="F508" i="3"/>
  <c r="G508" i="3"/>
  <c r="R663" i="3"/>
  <c r="S663" i="3"/>
  <c r="N663" i="3"/>
  <c r="P663" i="3"/>
  <c r="O663" i="3"/>
  <c r="M663" i="3"/>
  <c r="Q663" i="3"/>
  <c r="F462" i="3"/>
  <c r="G462" i="3"/>
  <c r="Q513" i="3"/>
  <c r="M513" i="3"/>
  <c r="O513" i="3"/>
  <c r="S513" i="3"/>
  <c r="N513" i="3"/>
  <c r="R513" i="3"/>
  <c r="P513" i="3"/>
  <c r="F739" i="3"/>
  <c r="G739" i="3"/>
  <c r="R771" i="3"/>
  <c r="N771" i="3"/>
  <c r="P771" i="3"/>
  <c r="S771" i="3"/>
  <c r="M771" i="3"/>
  <c r="Q771" i="3"/>
  <c r="O771" i="3"/>
  <c r="R647" i="3"/>
  <c r="N647" i="3"/>
  <c r="P647" i="3"/>
  <c r="O647" i="3"/>
  <c r="S647" i="3"/>
  <c r="M647" i="3"/>
  <c r="Q647" i="3"/>
  <c r="G75" i="3"/>
  <c r="F75" i="3"/>
  <c r="Q181" i="3"/>
  <c r="M181" i="3"/>
  <c r="S181" i="3"/>
  <c r="N181" i="3"/>
  <c r="R181" i="3"/>
  <c r="P181" i="3"/>
  <c r="O181" i="3"/>
  <c r="Q209" i="3"/>
  <c r="M209" i="3"/>
  <c r="P209" i="3"/>
  <c r="R209" i="3"/>
  <c r="O209" i="3"/>
  <c r="N209" i="3"/>
  <c r="S209" i="3"/>
  <c r="R218" i="3"/>
  <c r="N218" i="3"/>
  <c r="S218" i="3"/>
  <c r="M218" i="3"/>
  <c r="Q218" i="3"/>
  <c r="P218" i="3"/>
  <c r="O218" i="3"/>
  <c r="P304" i="3"/>
  <c r="O304" i="3"/>
  <c r="R304" i="3"/>
  <c r="Q304" i="3"/>
  <c r="N304" i="3"/>
  <c r="S304" i="3"/>
  <c r="M304" i="3"/>
  <c r="S323" i="3"/>
  <c r="O323" i="3"/>
  <c r="P323" i="3"/>
  <c r="R323" i="3"/>
  <c r="Q323" i="3"/>
  <c r="N323" i="3"/>
  <c r="M323" i="3"/>
  <c r="F350" i="3"/>
  <c r="G350" i="3"/>
  <c r="S708" i="3"/>
  <c r="O708" i="3"/>
  <c r="R708" i="3"/>
  <c r="M708" i="3"/>
  <c r="P708" i="3"/>
  <c r="Q708" i="3"/>
  <c r="N708" i="3"/>
  <c r="G883" i="3"/>
  <c r="F883" i="3"/>
  <c r="R902" i="3"/>
  <c r="N902" i="3"/>
  <c r="S902" i="3"/>
  <c r="M902" i="3"/>
  <c r="Q902" i="3"/>
  <c r="P902" i="3"/>
  <c r="O902" i="3"/>
  <c r="G841" i="3"/>
  <c r="F841" i="3"/>
  <c r="E17" i="3"/>
  <c r="G292" i="3"/>
  <c r="F292" i="3"/>
  <c r="G31" i="3"/>
  <c r="F31" i="3"/>
  <c r="G63" i="3"/>
  <c r="F63" i="3"/>
  <c r="Q173" i="3"/>
  <c r="M173" i="3"/>
  <c r="S173" i="3"/>
  <c r="N173" i="3"/>
  <c r="R173" i="3"/>
  <c r="P173" i="3"/>
  <c r="O173" i="3"/>
  <c r="G213" i="3"/>
  <c r="F213" i="3"/>
  <c r="Q341" i="3"/>
  <c r="M341" i="3"/>
  <c r="S341" i="3"/>
  <c r="N341" i="3"/>
  <c r="P341" i="3"/>
  <c r="O341" i="3"/>
  <c r="R341" i="3"/>
  <c r="G616" i="3"/>
  <c r="F616" i="3"/>
  <c r="P657" i="3"/>
  <c r="O657" i="3"/>
  <c r="S657" i="3"/>
  <c r="N657" i="3"/>
  <c r="R657" i="3"/>
  <c r="M657" i="3"/>
  <c r="Q657" i="3"/>
  <c r="P777" i="3"/>
  <c r="R777" i="3"/>
  <c r="M777" i="3"/>
  <c r="O777" i="3"/>
  <c r="Q777" i="3"/>
  <c r="N777" i="3"/>
  <c r="S777" i="3"/>
  <c r="G911" i="3"/>
  <c r="F911" i="3"/>
  <c r="S576" i="3"/>
  <c r="O576" i="3"/>
  <c r="R576" i="3"/>
  <c r="M576" i="3"/>
  <c r="Q576" i="3"/>
  <c r="P576" i="3"/>
  <c r="N576" i="3"/>
  <c r="P685" i="3"/>
  <c r="O685" i="3"/>
  <c r="Q685" i="3"/>
  <c r="N685" i="3"/>
  <c r="S685" i="3"/>
  <c r="M685" i="3"/>
  <c r="R685" i="3"/>
  <c r="R843" i="3"/>
  <c r="N843" i="3"/>
  <c r="P843" i="3"/>
  <c r="O843" i="3"/>
  <c r="S843" i="3"/>
  <c r="M843" i="3"/>
  <c r="Q843" i="3"/>
  <c r="G921" i="3"/>
  <c r="F921" i="3"/>
  <c r="S979" i="3"/>
  <c r="O979" i="3"/>
  <c r="N979" i="3"/>
  <c r="R979" i="3"/>
  <c r="M979" i="3"/>
  <c r="Q979" i="3"/>
  <c r="P979" i="3"/>
  <c r="P896" i="3"/>
  <c r="R896" i="3"/>
  <c r="M896" i="3"/>
  <c r="Q896" i="3"/>
  <c r="O896" i="3"/>
  <c r="N896" i="3"/>
  <c r="S896" i="3"/>
  <c r="G868" i="3"/>
  <c r="F868" i="3"/>
  <c r="P872" i="3"/>
  <c r="R872" i="3"/>
  <c r="M872" i="3"/>
  <c r="O872" i="3"/>
  <c r="N872" i="3"/>
  <c r="S872" i="3"/>
  <c r="Q872" i="3"/>
  <c r="G785" i="3"/>
  <c r="F785" i="3"/>
  <c r="F966" i="3"/>
  <c r="G966" i="3"/>
  <c r="Q981" i="3"/>
  <c r="M981" i="3"/>
  <c r="R981" i="3"/>
  <c r="P981" i="3"/>
  <c r="O981" i="3"/>
  <c r="N981" i="3"/>
  <c r="S981" i="3"/>
  <c r="G196" i="3"/>
  <c r="F196" i="3"/>
  <c r="S215" i="3"/>
  <c r="O215" i="3"/>
  <c r="R215" i="3"/>
  <c r="M215" i="3"/>
  <c r="N215" i="3"/>
  <c r="Q215" i="3"/>
  <c r="P215" i="3"/>
  <c r="F234" i="3"/>
  <c r="G234" i="3"/>
  <c r="P324" i="3"/>
  <c r="R324" i="3"/>
  <c r="M324" i="3"/>
  <c r="N324" i="3"/>
  <c r="S324" i="3"/>
  <c r="Q324" i="3"/>
  <c r="O324" i="3"/>
  <c r="G343" i="3"/>
  <c r="F343" i="3"/>
  <c r="S423" i="3"/>
  <c r="O423" i="3"/>
  <c r="N423" i="3"/>
  <c r="R423" i="3"/>
  <c r="M423" i="3"/>
  <c r="Q423" i="3"/>
  <c r="P423" i="3"/>
  <c r="S383" i="3"/>
  <c r="O383" i="3"/>
  <c r="R383" i="3"/>
  <c r="M383" i="3"/>
  <c r="Q383" i="3"/>
  <c r="P383" i="3"/>
  <c r="N383" i="3"/>
  <c r="F402" i="3"/>
  <c r="G402" i="3"/>
  <c r="G449" i="3"/>
  <c r="F449" i="3"/>
  <c r="S455" i="3"/>
  <c r="O455" i="3"/>
  <c r="P455" i="3"/>
  <c r="N455" i="3"/>
  <c r="R455" i="3"/>
  <c r="M455" i="3"/>
  <c r="Q455" i="3"/>
  <c r="G223" i="3"/>
  <c r="F223" i="3"/>
  <c r="G19" i="3"/>
  <c r="F19" i="3"/>
  <c r="G35" i="3"/>
  <c r="F35" i="3"/>
  <c r="S51" i="3"/>
  <c r="O51" i="3"/>
  <c r="R51" i="3"/>
  <c r="N51" i="3"/>
  <c r="Q51" i="3"/>
  <c r="M51" i="3"/>
  <c r="P51" i="3"/>
  <c r="G67" i="3"/>
  <c r="F67" i="3"/>
  <c r="S87" i="3"/>
  <c r="O87" i="3"/>
  <c r="R87" i="3"/>
  <c r="N87" i="3"/>
  <c r="Q87" i="3"/>
  <c r="M87" i="3"/>
  <c r="P87" i="3"/>
  <c r="R170" i="3"/>
  <c r="N170" i="3"/>
  <c r="S170" i="3"/>
  <c r="M170" i="3"/>
  <c r="Q170" i="3"/>
  <c r="P170" i="3"/>
  <c r="O170" i="3"/>
  <c r="G231" i="3"/>
  <c r="F231" i="3"/>
  <c r="P240" i="3"/>
  <c r="O240" i="3"/>
  <c r="R240" i="3"/>
  <c r="Q240" i="3"/>
  <c r="N240" i="3"/>
  <c r="S240" i="3"/>
  <c r="M240" i="3"/>
  <c r="S259" i="3"/>
  <c r="O259" i="3"/>
  <c r="P259" i="3"/>
  <c r="R259" i="3"/>
  <c r="Q259" i="3"/>
  <c r="N259" i="3"/>
  <c r="M259" i="3"/>
  <c r="F286" i="3"/>
  <c r="G286" i="3"/>
  <c r="Q309" i="3"/>
  <c r="M309" i="3"/>
  <c r="S309" i="3"/>
  <c r="N309" i="3"/>
  <c r="P309" i="3"/>
  <c r="O309" i="3"/>
  <c r="R309" i="3"/>
  <c r="G387" i="3"/>
  <c r="F387" i="3"/>
  <c r="Q401" i="3"/>
  <c r="M401" i="3"/>
  <c r="P401" i="3"/>
  <c r="R401" i="3"/>
  <c r="O401" i="3"/>
  <c r="N401" i="3"/>
  <c r="S401" i="3"/>
  <c r="G404" i="3"/>
  <c r="F404" i="3"/>
  <c r="R410" i="3"/>
  <c r="N410" i="3"/>
  <c r="S410" i="3"/>
  <c r="M410" i="3"/>
  <c r="Q410" i="3"/>
  <c r="P410" i="3"/>
  <c r="O410" i="3"/>
  <c r="G15" i="3"/>
  <c r="F15" i="3"/>
  <c r="G27" i="3"/>
  <c r="F27" i="3"/>
  <c r="S107" i="3"/>
  <c r="O107" i="3"/>
  <c r="R107" i="3"/>
  <c r="N107" i="3"/>
  <c r="Q107" i="3"/>
  <c r="M107" i="3"/>
  <c r="P107" i="3"/>
  <c r="G127" i="3"/>
  <c r="F127" i="3"/>
  <c r="G220" i="3"/>
  <c r="F220" i="3"/>
  <c r="G253" i="3"/>
  <c r="F253" i="3"/>
  <c r="S271" i="3"/>
  <c r="O271" i="3"/>
  <c r="R271" i="3"/>
  <c r="M271" i="3"/>
  <c r="P271" i="3"/>
  <c r="N271" i="3"/>
  <c r="Q271" i="3"/>
  <c r="G299" i="3"/>
  <c r="F299" i="3"/>
  <c r="F322" i="3"/>
  <c r="G322" i="3"/>
  <c r="G344" i="3"/>
  <c r="F344" i="3"/>
  <c r="P348" i="3"/>
  <c r="R348" i="3"/>
  <c r="M348" i="3"/>
  <c r="O348" i="3"/>
  <c r="N348" i="3"/>
  <c r="S348" i="3"/>
  <c r="Q348" i="3"/>
  <c r="Q377" i="3"/>
  <c r="M377" i="3"/>
  <c r="P377" i="3"/>
  <c r="O377" i="3"/>
  <c r="N377" i="3"/>
  <c r="S377" i="3"/>
  <c r="R377" i="3"/>
  <c r="G433" i="3"/>
  <c r="F433" i="3"/>
  <c r="G465" i="3"/>
  <c r="F465" i="3"/>
  <c r="S471" i="3"/>
  <c r="O471" i="3"/>
  <c r="P471" i="3"/>
  <c r="N471" i="3"/>
  <c r="R471" i="3"/>
  <c r="M471" i="3"/>
  <c r="Q471" i="3"/>
  <c r="F476" i="3"/>
  <c r="G476" i="3"/>
  <c r="G487" i="3"/>
  <c r="F487" i="3"/>
  <c r="G511" i="3"/>
  <c r="F511" i="3"/>
  <c r="P641" i="3"/>
  <c r="O641" i="3"/>
  <c r="S641" i="3"/>
  <c r="N641" i="3"/>
  <c r="R641" i="3"/>
  <c r="M641" i="3"/>
  <c r="Q641" i="3"/>
  <c r="F669" i="3"/>
  <c r="G669" i="3"/>
  <c r="G850" i="3"/>
  <c r="F850" i="3"/>
  <c r="S943" i="3"/>
  <c r="O943" i="3"/>
  <c r="Q943" i="3"/>
  <c r="P943" i="3"/>
  <c r="R943" i="3"/>
  <c r="N943" i="3"/>
  <c r="M943" i="3"/>
  <c r="R494" i="3"/>
  <c r="N494" i="3"/>
  <c r="O494" i="3"/>
  <c r="S494" i="3"/>
  <c r="M494" i="3"/>
  <c r="Q494" i="3"/>
  <c r="P494" i="3"/>
  <c r="F502" i="3"/>
  <c r="G502" i="3"/>
  <c r="R526" i="3"/>
  <c r="N526" i="3"/>
  <c r="O526" i="3"/>
  <c r="S526" i="3"/>
  <c r="M526" i="3"/>
  <c r="Q526" i="3"/>
  <c r="P526" i="3"/>
  <c r="F575" i="3"/>
  <c r="G575" i="3"/>
  <c r="Q598" i="3"/>
  <c r="M598" i="3"/>
  <c r="S598" i="3"/>
  <c r="N598" i="3"/>
  <c r="R598" i="3"/>
  <c r="P598" i="3"/>
  <c r="O598" i="3"/>
  <c r="G630" i="3"/>
  <c r="F630" i="3"/>
  <c r="S636" i="3"/>
  <c r="O636" i="3"/>
  <c r="P636" i="3"/>
  <c r="N636" i="3"/>
  <c r="R636" i="3"/>
  <c r="M636" i="3"/>
  <c r="Q636" i="3"/>
  <c r="G733" i="3"/>
  <c r="F733" i="3"/>
  <c r="P749" i="3"/>
  <c r="O749" i="3"/>
  <c r="R749" i="3"/>
  <c r="M749" i="3"/>
  <c r="S749" i="3"/>
  <c r="Q749" i="3"/>
  <c r="N749" i="3"/>
  <c r="G797" i="3"/>
  <c r="F797" i="3"/>
  <c r="P813" i="3"/>
  <c r="O813" i="3"/>
  <c r="R813" i="3"/>
  <c r="M813" i="3"/>
  <c r="S813" i="3"/>
  <c r="Q813" i="3"/>
  <c r="N813" i="3"/>
  <c r="G992" i="3"/>
  <c r="F992" i="3"/>
  <c r="G565" i="3"/>
  <c r="F565" i="3"/>
  <c r="S569" i="3"/>
  <c r="O569" i="3"/>
  <c r="R569" i="3"/>
  <c r="N569" i="3"/>
  <c r="Q569" i="3"/>
  <c r="M569" i="3"/>
  <c r="P569" i="3"/>
  <c r="G596" i="3"/>
  <c r="F596" i="3"/>
  <c r="G976" i="3"/>
  <c r="F976" i="3"/>
  <c r="Q614" i="3"/>
  <c r="M614" i="3"/>
  <c r="S614" i="3"/>
  <c r="N614" i="3"/>
  <c r="R614" i="3"/>
  <c r="P614" i="3"/>
  <c r="O614" i="3"/>
  <c r="G646" i="3"/>
  <c r="F646" i="3"/>
  <c r="S652" i="3"/>
  <c r="O652" i="3"/>
  <c r="P652" i="3"/>
  <c r="N652" i="3"/>
  <c r="R652" i="3"/>
  <c r="M652" i="3"/>
  <c r="Q652" i="3"/>
  <c r="G784" i="3"/>
  <c r="F784" i="3"/>
  <c r="P960" i="3"/>
  <c r="S960" i="3"/>
  <c r="N960" i="3"/>
  <c r="R960" i="3"/>
  <c r="M960" i="3"/>
  <c r="Q960" i="3"/>
  <c r="O960" i="3"/>
  <c r="R579" i="3"/>
  <c r="N579" i="3"/>
  <c r="S579" i="3"/>
  <c r="M579" i="3"/>
  <c r="Q579" i="3"/>
  <c r="P579" i="3"/>
  <c r="O579" i="3"/>
  <c r="F611" i="3"/>
  <c r="G611" i="3"/>
  <c r="F678" i="3"/>
  <c r="G678" i="3"/>
  <c r="Q682" i="3"/>
  <c r="M682" i="3"/>
  <c r="S682" i="3"/>
  <c r="N682" i="3"/>
  <c r="P682" i="3"/>
  <c r="O682" i="3"/>
  <c r="R682" i="3"/>
  <c r="G709" i="3"/>
  <c r="F709" i="3"/>
  <c r="S728" i="3"/>
  <c r="O728" i="3"/>
  <c r="P728" i="3"/>
  <c r="R728" i="3"/>
  <c r="M728" i="3"/>
  <c r="N728" i="3"/>
  <c r="Q728" i="3"/>
  <c r="F779" i="3"/>
  <c r="G779" i="3"/>
  <c r="P805" i="3"/>
  <c r="O805" i="3"/>
  <c r="R805" i="3"/>
  <c r="M805" i="3"/>
  <c r="N805" i="3"/>
  <c r="S805" i="3"/>
  <c r="Q805" i="3"/>
  <c r="R811" i="3"/>
  <c r="N811" i="3"/>
  <c r="P811" i="3"/>
  <c r="S811" i="3"/>
  <c r="M811" i="3"/>
  <c r="O811" i="3"/>
  <c r="Q811" i="3"/>
  <c r="G824" i="3"/>
  <c r="F824" i="3"/>
  <c r="G837" i="3"/>
  <c r="F837" i="3"/>
  <c r="S867" i="3"/>
  <c r="O867" i="3"/>
  <c r="R867" i="3"/>
  <c r="M867" i="3"/>
  <c r="N867" i="3"/>
  <c r="Q867" i="3"/>
  <c r="P867" i="3"/>
  <c r="P936" i="3"/>
  <c r="S936" i="3"/>
  <c r="N936" i="3"/>
  <c r="R936" i="3"/>
  <c r="M936" i="3"/>
  <c r="Q936" i="3"/>
  <c r="O936" i="3"/>
  <c r="G984" i="3"/>
  <c r="F984" i="3"/>
  <c r="P589" i="3"/>
  <c r="R589" i="3"/>
  <c r="M589" i="3"/>
  <c r="Q589" i="3"/>
  <c r="O589" i="3"/>
  <c r="S589" i="3"/>
  <c r="N589" i="3"/>
  <c r="Q686" i="3"/>
  <c r="M686" i="3"/>
  <c r="P686" i="3"/>
  <c r="O686" i="3"/>
  <c r="N686" i="3"/>
  <c r="S686" i="3"/>
  <c r="R686" i="3"/>
  <c r="G705" i="3"/>
  <c r="F705" i="3"/>
  <c r="R711" i="3"/>
  <c r="N711" i="3"/>
  <c r="S711" i="3"/>
  <c r="M711" i="3"/>
  <c r="P711" i="3"/>
  <c r="Q711" i="3"/>
  <c r="O711" i="3"/>
  <c r="F743" i="3"/>
  <c r="G743" i="3"/>
  <c r="G769" i="3"/>
  <c r="F769" i="3"/>
  <c r="R775" i="3"/>
  <c r="N775" i="3"/>
  <c r="S775" i="3"/>
  <c r="M775" i="3"/>
  <c r="P775" i="3"/>
  <c r="Q775" i="3"/>
  <c r="O775" i="3"/>
  <c r="F807" i="3"/>
  <c r="G807" i="3"/>
  <c r="G833" i="3"/>
  <c r="F833" i="3"/>
  <c r="R839" i="3"/>
  <c r="N839" i="3"/>
  <c r="S839" i="3"/>
  <c r="M839" i="3"/>
  <c r="P839" i="3"/>
  <c r="Q839" i="3"/>
  <c r="O839" i="3"/>
  <c r="F870" i="3"/>
  <c r="G870" i="3"/>
  <c r="F869" i="3"/>
  <c r="G869" i="3"/>
  <c r="R938" i="3"/>
  <c r="N938" i="3"/>
  <c r="Q938" i="3"/>
  <c r="P938" i="3"/>
  <c r="O938" i="3"/>
  <c r="M938" i="3"/>
  <c r="S938" i="3"/>
  <c r="F994" i="3"/>
  <c r="G994" i="3"/>
  <c r="F719" i="3"/>
  <c r="G719" i="3"/>
  <c r="R783" i="3"/>
  <c r="N783" i="3"/>
  <c r="S783" i="3"/>
  <c r="M783" i="3"/>
  <c r="P783" i="3"/>
  <c r="Q783" i="3"/>
  <c r="O783" i="3"/>
  <c r="R659" i="3"/>
  <c r="N659" i="3"/>
  <c r="S659" i="3"/>
  <c r="M659" i="3"/>
  <c r="Q659" i="3"/>
  <c r="P659" i="3"/>
  <c r="O659" i="3"/>
  <c r="P757" i="3"/>
  <c r="O757" i="3"/>
  <c r="R757" i="3"/>
  <c r="M757" i="3"/>
  <c r="N757" i="3"/>
  <c r="S757" i="3"/>
  <c r="Q757" i="3"/>
  <c r="R763" i="3"/>
  <c r="N763" i="3"/>
  <c r="P763" i="3"/>
  <c r="S763" i="3"/>
  <c r="M763" i="3"/>
  <c r="O763" i="3"/>
  <c r="Q763" i="3"/>
  <c r="G808" i="3"/>
  <c r="F808" i="3"/>
  <c r="S772" i="3"/>
  <c r="O772" i="3"/>
  <c r="R772" i="3"/>
  <c r="M772" i="3"/>
  <c r="P772" i="3"/>
  <c r="Q772" i="3"/>
  <c r="N772" i="3"/>
  <c r="P817" i="3"/>
  <c r="R817" i="3"/>
  <c r="M817" i="3"/>
  <c r="O817" i="3"/>
  <c r="S817" i="3"/>
  <c r="Q817" i="3"/>
  <c r="N817" i="3"/>
  <c r="G920" i="3"/>
  <c r="F920" i="3"/>
  <c r="G949" i="3"/>
  <c r="F949" i="3"/>
  <c r="S955" i="3"/>
  <c r="O955" i="3"/>
  <c r="N955" i="3"/>
  <c r="R955" i="3"/>
  <c r="M955" i="3"/>
  <c r="Q955" i="3"/>
  <c r="P955" i="3"/>
  <c r="S919" i="3"/>
  <c r="O919" i="3"/>
  <c r="P919" i="3"/>
  <c r="Q919" i="3"/>
  <c r="N919" i="3"/>
  <c r="M919" i="3"/>
  <c r="R919" i="3"/>
  <c r="G228" i="3"/>
  <c r="F228" i="3"/>
  <c r="S247" i="3"/>
  <c r="O247" i="3"/>
  <c r="R247" i="3"/>
  <c r="M247" i="3"/>
  <c r="N247" i="3"/>
  <c r="Q247" i="3"/>
  <c r="P247" i="3"/>
  <c r="F266" i="3"/>
  <c r="G266" i="3"/>
  <c r="P356" i="3"/>
  <c r="R356" i="3"/>
  <c r="M356" i="3"/>
  <c r="N356" i="3"/>
  <c r="S356" i="3"/>
  <c r="Q356" i="3"/>
  <c r="O356" i="3"/>
  <c r="G375" i="3"/>
  <c r="F375" i="3"/>
  <c r="Q417" i="3"/>
  <c r="M417" i="3"/>
  <c r="R417" i="3"/>
  <c r="P417" i="3"/>
  <c r="S417" i="3"/>
  <c r="O417" i="3"/>
  <c r="N417" i="3"/>
  <c r="R426" i="3"/>
  <c r="N426" i="3"/>
  <c r="O426" i="3"/>
  <c r="S426" i="3"/>
  <c r="M426" i="3"/>
  <c r="Q426" i="3"/>
  <c r="P426" i="3"/>
  <c r="P396" i="3"/>
  <c r="R396" i="3"/>
  <c r="M396" i="3"/>
  <c r="S396" i="3"/>
  <c r="Q396" i="3"/>
  <c r="O396" i="3"/>
  <c r="N396" i="3"/>
  <c r="G415" i="3"/>
  <c r="F415" i="3"/>
  <c r="F242" i="3"/>
  <c r="G242" i="3"/>
  <c r="R338" i="3"/>
  <c r="N338" i="3"/>
  <c r="S338" i="3"/>
  <c r="M338" i="3"/>
  <c r="Q338" i="3"/>
  <c r="P338" i="3"/>
  <c r="O338" i="3"/>
  <c r="F370" i="3"/>
  <c r="G370" i="3"/>
  <c r="S55" i="3"/>
  <c r="O55" i="3"/>
  <c r="R55" i="3"/>
  <c r="N55" i="3"/>
  <c r="P55" i="3"/>
  <c r="Q55" i="3"/>
  <c r="M55" i="3"/>
  <c r="G95" i="3"/>
  <c r="F95" i="3"/>
  <c r="R130" i="3"/>
  <c r="N130" i="3"/>
  <c r="S130" i="3"/>
  <c r="M130" i="3"/>
  <c r="Q130" i="3"/>
  <c r="P130" i="3"/>
  <c r="O130" i="3"/>
  <c r="G157" i="3"/>
  <c r="F157" i="3"/>
  <c r="G227" i="3"/>
  <c r="F227" i="3"/>
  <c r="Q241" i="3"/>
  <c r="M241" i="3"/>
  <c r="P241" i="3"/>
  <c r="R241" i="3"/>
  <c r="O241" i="3"/>
  <c r="N241" i="3"/>
  <c r="S241" i="3"/>
  <c r="G244" i="3"/>
  <c r="F244" i="3"/>
  <c r="R250" i="3"/>
  <c r="N250" i="3"/>
  <c r="S250" i="3"/>
  <c r="M250" i="3"/>
  <c r="Q250" i="3"/>
  <c r="P250" i="3"/>
  <c r="O250" i="3"/>
  <c r="G277" i="3"/>
  <c r="F277" i="3"/>
  <c r="G327" i="3"/>
  <c r="F327" i="3"/>
  <c r="P336" i="3"/>
  <c r="O336" i="3"/>
  <c r="R336" i="3"/>
  <c r="Q336" i="3"/>
  <c r="N336" i="3"/>
  <c r="S336" i="3"/>
  <c r="M336" i="3"/>
  <c r="S355" i="3"/>
  <c r="O355" i="3"/>
  <c r="P355" i="3"/>
  <c r="R355" i="3"/>
  <c r="Q355" i="3"/>
  <c r="N355" i="3"/>
  <c r="M355" i="3"/>
  <c r="F382" i="3"/>
  <c r="G382" i="3"/>
  <c r="Q405" i="3"/>
  <c r="M405" i="3"/>
  <c r="S405" i="3"/>
  <c r="N405" i="3"/>
  <c r="P405" i="3"/>
  <c r="O405" i="3"/>
  <c r="R405" i="3"/>
  <c r="R474" i="3"/>
  <c r="N474" i="3"/>
  <c r="P474" i="3"/>
  <c r="O474" i="3"/>
  <c r="S474" i="3"/>
  <c r="M474" i="3"/>
  <c r="Q474" i="3"/>
  <c r="S23" i="3"/>
  <c r="O23" i="3"/>
  <c r="R23" i="3"/>
  <c r="N23" i="3"/>
  <c r="Q23" i="3"/>
  <c r="M23" i="3"/>
  <c r="P23" i="3"/>
  <c r="S83" i="3"/>
  <c r="O83" i="3"/>
  <c r="R83" i="3"/>
  <c r="N83" i="3"/>
  <c r="Q83" i="3"/>
  <c r="M83" i="3"/>
  <c r="P83" i="3"/>
  <c r="P156" i="3"/>
  <c r="R156" i="3"/>
  <c r="M156" i="3"/>
  <c r="Q156" i="3"/>
  <c r="O156" i="3"/>
  <c r="S156" i="3"/>
  <c r="N156" i="3"/>
  <c r="G167" i="3"/>
  <c r="F167" i="3"/>
  <c r="F217" i="3"/>
  <c r="G217" i="3"/>
  <c r="G239" i="3"/>
  <c r="F239" i="3"/>
  <c r="R290" i="3"/>
  <c r="N290" i="3"/>
  <c r="S290" i="3"/>
  <c r="M290" i="3"/>
  <c r="P290" i="3"/>
  <c r="O290" i="3"/>
  <c r="Q290" i="3"/>
  <c r="R294" i="3"/>
  <c r="N294" i="3"/>
  <c r="P294" i="3"/>
  <c r="O294" i="3"/>
  <c r="M294" i="3"/>
  <c r="S294" i="3"/>
  <c r="Q294" i="3"/>
  <c r="Q349" i="3"/>
  <c r="M349" i="3"/>
  <c r="S349" i="3"/>
  <c r="N349" i="3"/>
  <c r="O349" i="3"/>
  <c r="R349" i="3"/>
  <c r="P349" i="3"/>
  <c r="S395" i="3"/>
  <c r="O395" i="3"/>
  <c r="P395" i="3"/>
  <c r="Q395" i="3"/>
  <c r="N395" i="3"/>
  <c r="M395" i="3"/>
  <c r="R395" i="3"/>
  <c r="G436" i="3"/>
  <c r="F436" i="3"/>
  <c r="S503" i="3"/>
  <c r="O503" i="3"/>
  <c r="Q503" i="3"/>
  <c r="P503" i="3"/>
  <c r="N503" i="3"/>
  <c r="R503" i="3"/>
  <c r="M503" i="3"/>
  <c r="P516" i="3"/>
  <c r="Q516" i="3"/>
  <c r="O516" i="3"/>
  <c r="S516" i="3"/>
  <c r="N516" i="3"/>
  <c r="R516" i="3"/>
  <c r="M516" i="3"/>
  <c r="P554" i="3"/>
  <c r="R554" i="3"/>
  <c r="N554" i="3"/>
  <c r="O554" i="3"/>
  <c r="M554" i="3"/>
  <c r="S554" i="3"/>
  <c r="Q554" i="3"/>
  <c r="R639" i="3"/>
  <c r="N639" i="3"/>
  <c r="P639" i="3"/>
  <c r="O639" i="3"/>
  <c r="S639" i="3"/>
  <c r="M639" i="3"/>
  <c r="Q639" i="3"/>
  <c r="F671" i="3"/>
  <c r="G671" i="3"/>
  <c r="R422" i="3"/>
  <c r="N422" i="3"/>
  <c r="Q422" i="3"/>
  <c r="P422" i="3"/>
  <c r="S422" i="3"/>
  <c r="O422" i="3"/>
  <c r="M422" i="3"/>
  <c r="G588" i="3"/>
  <c r="F588" i="3"/>
  <c r="P601" i="3"/>
  <c r="O601" i="3"/>
  <c r="S601" i="3"/>
  <c r="N601" i="3"/>
  <c r="R601" i="3"/>
  <c r="M601" i="3"/>
  <c r="Q601" i="3"/>
  <c r="G633" i="3"/>
  <c r="F633" i="3"/>
  <c r="P884" i="3"/>
  <c r="O884" i="3"/>
  <c r="S884" i="3"/>
  <c r="M884" i="3"/>
  <c r="R884" i="3"/>
  <c r="Q884" i="3"/>
  <c r="N884" i="3"/>
  <c r="F885" i="3"/>
  <c r="G885" i="3"/>
  <c r="G483" i="3"/>
  <c r="F483" i="3"/>
  <c r="R548" i="3"/>
  <c r="N548" i="3"/>
  <c r="P548" i="3"/>
  <c r="S548" i="3"/>
  <c r="Q548" i="3"/>
  <c r="O548" i="3"/>
  <c r="M548" i="3"/>
  <c r="Q582" i="3"/>
  <c r="M582" i="3"/>
  <c r="S582" i="3"/>
  <c r="N582" i="3"/>
  <c r="R582" i="3"/>
  <c r="P582" i="3"/>
  <c r="O582" i="3"/>
  <c r="P625" i="3"/>
  <c r="O625" i="3"/>
  <c r="S625" i="3"/>
  <c r="N625" i="3"/>
  <c r="R625" i="3"/>
  <c r="M625" i="3"/>
  <c r="Q625" i="3"/>
  <c r="S975" i="3"/>
  <c r="O975" i="3"/>
  <c r="Q975" i="3"/>
  <c r="P975" i="3"/>
  <c r="R975" i="3"/>
  <c r="N975" i="3"/>
  <c r="M975" i="3"/>
  <c r="R536" i="3"/>
  <c r="N536" i="3"/>
  <c r="P536" i="3"/>
  <c r="Q536" i="3"/>
  <c r="O536" i="3"/>
  <c r="M536" i="3"/>
  <c r="S536" i="3"/>
  <c r="G593" i="3"/>
  <c r="F593" i="3"/>
  <c r="P617" i="3"/>
  <c r="O617" i="3"/>
  <c r="S617" i="3"/>
  <c r="N617" i="3"/>
  <c r="R617" i="3"/>
  <c r="M617" i="3"/>
  <c r="Q617" i="3"/>
  <c r="G649" i="3"/>
  <c r="F649" i="3"/>
  <c r="S684" i="3"/>
  <c r="O684" i="3"/>
  <c r="R684" i="3"/>
  <c r="M684" i="3"/>
  <c r="N684" i="3"/>
  <c r="Q684" i="3"/>
  <c r="P684" i="3"/>
  <c r="G697" i="3"/>
  <c r="F697" i="3"/>
  <c r="G768" i="3"/>
  <c r="F768" i="3"/>
  <c r="S959" i="3"/>
  <c r="O959" i="3"/>
  <c r="Q959" i="3"/>
  <c r="P959" i="3"/>
  <c r="R959" i="3"/>
  <c r="N959" i="3"/>
  <c r="M959" i="3"/>
  <c r="R683" i="3"/>
  <c r="N683" i="3"/>
  <c r="P683" i="3"/>
  <c r="S683" i="3"/>
  <c r="Q683" i="3"/>
  <c r="O683" i="3"/>
  <c r="M683" i="3"/>
  <c r="S716" i="3"/>
  <c r="O716" i="3"/>
  <c r="R716" i="3"/>
  <c r="M716" i="3"/>
  <c r="P716" i="3"/>
  <c r="Q716" i="3"/>
  <c r="N716" i="3"/>
  <c r="G748" i="3"/>
  <c r="F748" i="3"/>
  <c r="G761" i="3"/>
  <c r="F761" i="3"/>
  <c r="S780" i="3"/>
  <c r="O780" i="3"/>
  <c r="R780" i="3"/>
  <c r="M780" i="3"/>
  <c r="P780" i="3"/>
  <c r="Q780" i="3"/>
  <c r="N780" i="3"/>
  <c r="G812" i="3"/>
  <c r="F812" i="3"/>
  <c r="G825" i="3"/>
  <c r="F825" i="3"/>
  <c r="P861" i="3"/>
  <c r="O861" i="3"/>
  <c r="S861" i="3"/>
  <c r="N861" i="3"/>
  <c r="R861" i="3"/>
  <c r="M861" i="3"/>
  <c r="Q861" i="3"/>
  <c r="R651" i="3"/>
  <c r="N651" i="3"/>
  <c r="S651" i="3"/>
  <c r="M651" i="3"/>
  <c r="Q651" i="3"/>
  <c r="P651" i="3"/>
  <c r="O651" i="3"/>
  <c r="S935" i="3"/>
  <c r="O935" i="3"/>
  <c r="Q935" i="3"/>
  <c r="P935" i="3"/>
  <c r="R935" i="3"/>
  <c r="N935" i="3"/>
  <c r="M935" i="3"/>
  <c r="G967" i="3"/>
  <c r="F967" i="3"/>
  <c r="P661" i="3"/>
  <c r="R661" i="3"/>
  <c r="M661" i="3"/>
  <c r="Q661" i="3"/>
  <c r="O661" i="3"/>
  <c r="S661" i="3"/>
  <c r="N661" i="3"/>
  <c r="F699" i="3"/>
  <c r="G699" i="3"/>
  <c r="P845" i="3"/>
  <c r="O845" i="3"/>
  <c r="S845" i="3"/>
  <c r="N845" i="3"/>
  <c r="R845" i="3"/>
  <c r="M845" i="3"/>
  <c r="Q845" i="3"/>
  <c r="S879" i="3"/>
  <c r="O879" i="3"/>
  <c r="P879" i="3"/>
  <c r="R879" i="3"/>
  <c r="Q879" i="3"/>
  <c r="N879" i="3"/>
  <c r="M879" i="3"/>
  <c r="S875" i="3"/>
  <c r="O875" i="3"/>
  <c r="R875" i="3"/>
  <c r="M875" i="3"/>
  <c r="Q875" i="3"/>
  <c r="P875" i="3"/>
  <c r="N875" i="3"/>
  <c r="F930" i="3"/>
  <c r="G930" i="3"/>
  <c r="G957" i="3"/>
  <c r="F957" i="3"/>
  <c r="S963" i="3"/>
  <c r="O963" i="3"/>
  <c r="N963" i="3"/>
  <c r="R963" i="3"/>
  <c r="M963" i="3"/>
  <c r="Q963" i="3"/>
  <c r="P963" i="3"/>
  <c r="G989" i="3"/>
  <c r="F989" i="3"/>
  <c r="P864" i="3"/>
  <c r="R864" i="3"/>
  <c r="M864" i="3"/>
  <c r="Q864" i="3"/>
  <c r="O864" i="3"/>
  <c r="N864" i="3"/>
  <c r="S864" i="3"/>
  <c r="P900" i="3"/>
  <c r="O900" i="3"/>
  <c r="Q900" i="3"/>
  <c r="N900" i="3"/>
  <c r="S900" i="3"/>
  <c r="M900" i="3"/>
  <c r="R900" i="3"/>
  <c r="F910" i="3"/>
  <c r="G910" i="3"/>
  <c r="R978" i="3"/>
  <c r="N978" i="3"/>
  <c r="Q978" i="3"/>
  <c r="P978" i="3"/>
  <c r="O978" i="3"/>
  <c r="M978" i="3"/>
  <c r="S978" i="3"/>
  <c r="P1002" i="3"/>
  <c r="R1002" i="3"/>
  <c r="N1002" i="3"/>
  <c r="Q1002" i="3"/>
  <c r="M1002" i="3"/>
  <c r="S1002" i="3"/>
  <c r="O1002" i="3"/>
  <c r="P132" i="3"/>
  <c r="R132" i="3"/>
  <c r="M132" i="3"/>
  <c r="Q132" i="3"/>
  <c r="O132" i="3"/>
  <c r="S132" i="3"/>
  <c r="N132" i="3"/>
  <c r="G143" i="3"/>
  <c r="F143" i="3"/>
  <c r="S235" i="3"/>
  <c r="O235" i="3"/>
  <c r="P235" i="3"/>
  <c r="Q235" i="3"/>
  <c r="N235" i="3"/>
  <c r="M235" i="3"/>
  <c r="R235" i="3"/>
  <c r="F262" i="3"/>
  <c r="G262" i="3"/>
  <c r="G284" i="3"/>
  <c r="F284" i="3"/>
  <c r="G317" i="3"/>
  <c r="F317" i="3"/>
  <c r="S335" i="3"/>
  <c r="O335" i="3"/>
  <c r="R335" i="3"/>
  <c r="M335" i="3"/>
  <c r="P335" i="3"/>
  <c r="N335" i="3"/>
  <c r="Q335" i="3"/>
  <c r="G363" i="3"/>
  <c r="F363" i="3"/>
  <c r="F386" i="3"/>
  <c r="G386" i="3"/>
  <c r="G408" i="3"/>
  <c r="F408" i="3"/>
  <c r="P412" i="3"/>
  <c r="R412" i="3"/>
  <c r="M412" i="3"/>
  <c r="O412" i="3"/>
  <c r="N412" i="3"/>
  <c r="S412" i="3"/>
  <c r="Q412" i="3"/>
  <c r="R466" i="3"/>
  <c r="N466" i="3"/>
  <c r="P466" i="3"/>
  <c r="O466" i="3"/>
  <c r="S466" i="3"/>
  <c r="M466" i="3"/>
  <c r="Q466" i="3"/>
  <c r="S479" i="3"/>
  <c r="O479" i="3"/>
  <c r="Q479" i="3"/>
  <c r="P479" i="3"/>
  <c r="N479" i="3"/>
  <c r="R479" i="3"/>
  <c r="M479" i="3"/>
  <c r="P484" i="3"/>
  <c r="Q484" i="3"/>
  <c r="O484" i="3"/>
  <c r="S484" i="3"/>
  <c r="N484" i="3"/>
  <c r="R484" i="3"/>
  <c r="M484" i="3"/>
  <c r="S640" i="3"/>
  <c r="O640" i="3"/>
  <c r="R640" i="3"/>
  <c r="M640" i="3"/>
  <c r="Q640" i="3"/>
  <c r="P640" i="3"/>
  <c r="N640" i="3"/>
  <c r="R851" i="3"/>
  <c r="N851" i="3"/>
  <c r="P851" i="3"/>
  <c r="O851" i="3"/>
  <c r="S851" i="3"/>
  <c r="M851" i="3"/>
  <c r="Q851" i="3"/>
  <c r="R462" i="3"/>
  <c r="N462" i="3"/>
  <c r="S462" i="3"/>
  <c r="M462" i="3"/>
  <c r="Q462" i="3"/>
  <c r="P462" i="3"/>
  <c r="O462" i="3"/>
  <c r="R478" i="3"/>
  <c r="N478" i="3"/>
  <c r="O478" i="3"/>
  <c r="S478" i="3"/>
  <c r="M478" i="3"/>
  <c r="Q478" i="3"/>
  <c r="P478" i="3"/>
  <c r="G497" i="3"/>
  <c r="F497" i="3"/>
  <c r="Q521" i="3"/>
  <c r="M521" i="3"/>
  <c r="O521" i="3"/>
  <c r="S521" i="3"/>
  <c r="N521" i="3"/>
  <c r="R521" i="3"/>
  <c r="P521" i="3"/>
  <c r="G529" i="3"/>
  <c r="F529" i="3"/>
  <c r="Q574" i="3"/>
  <c r="M574" i="3"/>
  <c r="S574" i="3"/>
  <c r="N574" i="3"/>
  <c r="R574" i="3"/>
  <c r="P574" i="3"/>
  <c r="O574" i="3"/>
  <c r="R599" i="3"/>
  <c r="N599" i="3"/>
  <c r="P599" i="3"/>
  <c r="O599" i="3"/>
  <c r="S599" i="3"/>
  <c r="M599" i="3"/>
  <c r="Q599" i="3"/>
  <c r="F631" i="3"/>
  <c r="G631" i="3"/>
  <c r="R723" i="3"/>
  <c r="N723" i="3"/>
  <c r="P723" i="3"/>
  <c r="S723" i="3"/>
  <c r="M723" i="3"/>
  <c r="Q723" i="3"/>
  <c r="O723" i="3"/>
  <c r="F755" i="3"/>
  <c r="G755" i="3"/>
  <c r="R787" i="3"/>
  <c r="N787" i="3"/>
  <c r="P787" i="3"/>
  <c r="S787" i="3"/>
  <c r="M787" i="3"/>
  <c r="Q787" i="3"/>
  <c r="O787" i="3"/>
  <c r="F819" i="3"/>
  <c r="G819" i="3"/>
  <c r="R886" i="3"/>
  <c r="N886" i="3"/>
  <c r="S886" i="3"/>
  <c r="M886" i="3"/>
  <c r="O886" i="3"/>
  <c r="Q886" i="3"/>
  <c r="P886" i="3"/>
  <c r="F890" i="3"/>
  <c r="G890" i="3"/>
  <c r="F532" i="3"/>
  <c r="G532" i="3"/>
  <c r="F623" i="3"/>
  <c r="G623" i="3"/>
  <c r="S752" i="3"/>
  <c r="O752" i="3"/>
  <c r="P752" i="3"/>
  <c r="R752" i="3"/>
  <c r="M752" i="3"/>
  <c r="Q752" i="3"/>
  <c r="N752" i="3"/>
  <c r="G14" i="3"/>
  <c r="R298" i="3"/>
  <c r="N298" i="3"/>
  <c r="S298" i="3"/>
  <c r="M298" i="3"/>
  <c r="O298" i="3"/>
  <c r="Q298" i="3"/>
  <c r="P298" i="3"/>
  <c r="G388" i="3"/>
  <c r="F388" i="3"/>
  <c r="S407" i="3"/>
  <c r="O407" i="3"/>
  <c r="R407" i="3"/>
  <c r="M407" i="3"/>
  <c r="N407" i="3"/>
  <c r="Q407" i="3"/>
  <c r="P407" i="3"/>
  <c r="G463" i="3"/>
  <c r="F463" i="3"/>
  <c r="P268" i="3"/>
  <c r="R268" i="3"/>
  <c r="M268" i="3"/>
  <c r="S268" i="3"/>
  <c r="Q268" i="3"/>
  <c r="O268" i="3"/>
  <c r="N268" i="3"/>
  <c r="G364" i="3"/>
  <c r="F364" i="3"/>
  <c r="S103" i="3"/>
  <c r="O103" i="3"/>
  <c r="R103" i="3"/>
  <c r="N103" i="3"/>
  <c r="Q103" i="3"/>
  <c r="M103" i="3"/>
  <c r="P103" i="3"/>
  <c r="G149" i="3"/>
  <c r="F149" i="3"/>
  <c r="R186" i="3"/>
  <c r="N186" i="3"/>
  <c r="S186" i="3"/>
  <c r="M186" i="3"/>
  <c r="Q186" i="3"/>
  <c r="P186" i="3"/>
  <c r="O186" i="3"/>
  <c r="F218" i="3"/>
  <c r="G218" i="3"/>
  <c r="G304" i="3"/>
  <c r="F304" i="3"/>
  <c r="F337" i="3"/>
  <c r="G337" i="3"/>
  <c r="P340" i="3"/>
  <c r="R340" i="3"/>
  <c r="M340" i="3"/>
  <c r="Q340" i="3"/>
  <c r="O340" i="3"/>
  <c r="N340" i="3"/>
  <c r="S340" i="3"/>
  <c r="R350" i="3"/>
  <c r="N350" i="3"/>
  <c r="P350" i="3"/>
  <c r="Q350" i="3"/>
  <c r="O350" i="3"/>
  <c r="M350" i="3"/>
  <c r="S350" i="3"/>
  <c r="S443" i="3"/>
  <c r="O443" i="3"/>
  <c r="R443" i="3"/>
  <c r="M443" i="3"/>
  <c r="Q443" i="3"/>
  <c r="P443" i="3"/>
  <c r="N443" i="3"/>
  <c r="E16" i="3"/>
  <c r="G753" i="3"/>
  <c r="F753" i="3"/>
  <c r="R759" i="3"/>
  <c r="N759" i="3"/>
  <c r="S759" i="3"/>
  <c r="M759" i="3"/>
  <c r="P759" i="3"/>
  <c r="Q759" i="3"/>
  <c r="O759" i="3"/>
  <c r="F902" i="3"/>
  <c r="G902" i="3"/>
  <c r="R954" i="3"/>
  <c r="N954" i="3"/>
  <c r="Q954" i="3"/>
  <c r="P954" i="3"/>
  <c r="O954" i="3"/>
  <c r="M954" i="3"/>
  <c r="S954" i="3"/>
  <c r="F986" i="3"/>
  <c r="G986" i="3"/>
  <c r="Q17" i="3"/>
  <c r="M17" i="3"/>
  <c r="P17" i="3"/>
  <c r="S17" i="3"/>
  <c r="O17" i="3"/>
  <c r="R17" i="3"/>
  <c r="N17" i="3"/>
  <c r="R190" i="3"/>
  <c r="N190" i="3"/>
  <c r="P190" i="3"/>
  <c r="Q190" i="3"/>
  <c r="O190" i="3"/>
  <c r="M190" i="3"/>
  <c r="S190" i="3"/>
  <c r="R330" i="3"/>
  <c r="N330" i="3"/>
  <c r="S330" i="3"/>
  <c r="M330" i="3"/>
  <c r="O330" i="3"/>
  <c r="Q330" i="3"/>
  <c r="P330" i="3"/>
  <c r="F418" i="3"/>
  <c r="G418" i="3"/>
  <c r="G425" i="3"/>
  <c r="F425" i="3"/>
  <c r="S191" i="3"/>
  <c r="O191" i="3"/>
  <c r="R191" i="3"/>
  <c r="M191" i="3"/>
  <c r="Q191" i="3"/>
  <c r="P191" i="3"/>
  <c r="N191" i="3"/>
  <c r="F210" i="3"/>
  <c r="G210" i="3"/>
  <c r="S79" i="3"/>
  <c r="O79" i="3"/>
  <c r="R79" i="3"/>
  <c r="N79" i="3"/>
  <c r="Q79" i="3"/>
  <c r="M79" i="3"/>
  <c r="P79" i="3"/>
  <c r="Q125" i="3"/>
  <c r="M125" i="3"/>
  <c r="S125" i="3"/>
  <c r="N125" i="3"/>
  <c r="R125" i="3"/>
  <c r="P125" i="3"/>
  <c r="O125" i="3"/>
  <c r="G141" i="3"/>
  <c r="F141" i="3"/>
  <c r="R178" i="3"/>
  <c r="N178" i="3"/>
  <c r="S178" i="3"/>
  <c r="M178" i="3"/>
  <c r="Q178" i="3"/>
  <c r="P178" i="3"/>
  <c r="O178" i="3"/>
  <c r="G272" i="3"/>
  <c r="F272" i="3"/>
  <c r="F305" i="3"/>
  <c r="G305" i="3"/>
  <c r="P308" i="3"/>
  <c r="R308" i="3"/>
  <c r="M308" i="3"/>
  <c r="Q308" i="3"/>
  <c r="O308" i="3"/>
  <c r="N308" i="3"/>
  <c r="S308" i="3"/>
  <c r="R318" i="3"/>
  <c r="N318" i="3"/>
  <c r="P318" i="3"/>
  <c r="Q318" i="3"/>
  <c r="O318" i="3"/>
  <c r="M318" i="3"/>
  <c r="S318" i="3"/>
  <c r="S391" i="3"/>
  <c r="O391" i="3"/>
  <c r="R391" i="3"/>
  <c r="M391" i="3"/>
  <c r="Q391" i="3"/>
  <c r="P391" i="3"/>
  <c r="N391" i="3"/>
  <c r="R414" i="3"/>
  <c r="N414" i="3"/>
  <c r="P414" i="3"/>
  <c r="Q414" i="3"/>
  <c r="O414" i="3"/>
  <c r="M414" i="3"/>
  <c r="S414" i="3"/>
  <c r="G447" i="3"/>
  <c r="F447" i="3"/>
  <c r="G99" i="3"/>
  <c r="F99" i="3"/>
  <c r="Q133" i="3"/>
  <c r="M133" i="3"/>
  <c r="S133" i="3"/>
  <c r="N133" i="3"/>
  <c r="R133" i="3"/>
  <c r="P133" i="3"/>
  <c r="O133" i="3"/>
  <c r="P140" i="3"/>
  <c r="R140" i="3"/>
  <c r="M140" i="3"/>
  <c r="Q140" i="3"/>
  <c r="O140" i="3"/>
  <c r="S140" i="3"/>
  <c r="N140" i="3"/>
  <c r="G151" i="3"/>
  <c r="F151" i="3"/>
  <c r="P248" i="3"/>
  <c r="O248" i="3"/>
  <c r="Q248" i="3"/>
  <c r="N248" i="3"/>
  <c r="S248" i="3"/>
  <c r="M248" i="3"/>
  <c r="R248" i="3"/>
  <c r="F281" i="3"/>
  <c r="G281" i="3"/>
  <c r="G303" i="3"/>
  <c r="F303" i="3"/>
  <c r="R354" i="3"/>
  <c r="N354" i="3"/>
  <c r="S354" i="3"/>
  <c r="M354" i="3"/>
  <c r="P354" i="3"/>
  <c r="O354" i="3"/>
  <c r="Q354" i="3"/>
  <c r="R358" i="3"/>
  <c r="N358" i="3"/>
  <c r="P358" i="3"/>
  <c r="O358" i="3"/>
  <c r="M358" i="3"/>
  <c r="S358" i="3"/>
  <c r="Q358" i="3"/>
  <c r="Q413" i="3"/>
  <c r="M413" i="3"/>
  <c r="S413" i="3"/>
  <c r="N413" i="3"/>
  <c r="O413" i="3"/>
  <c r="R413" i="3"/>
  <c r="P413" i="3"/>
  <c r="G435" i="3"/>
  <c r="F435" i="3"/>
  <c r="G519" i="3"/>
  <c r="F519" i="3"/>
  <c r="G606" i="3"/>
  <c r="F606" i="3"/>
  <c r="S612" i="3"/>
  <c r="O612" i="3"/>
  <c r="P612" i="3"/>
  <c r="N612" i="3"/>
  <c r="R612" i="3"/>
  <c r="M612" i="3"/>
  <c r="Q612" i="3"/>
  <c r="G644" i="3"/>
  <c r="F644" i="3"/>
  <c r="F701" i="3"/>
  <c r="G701" i="3"/>
  <c r="P944" i="3"/>
  <c r="S944" i="3"/>
  <c r="N944" i="3"/>
  <c r="R944" i="3"/>
  <c r="M944" i="3"/>
  <c r="Q944" i="3"/>
  <c r="O944" i="3"/>
  <c r="F438" i="3"/>
  <c r="G438" i="3"/>
  <c r="P558" i="3"/>
  <c r="R558" i="3"/>
  <c r="N558" i="3"/>
  <c r="M558" i="3"/>
  <c r="S558" i="3"/>
  <c r="Q558" i="3"/>
  <c r="O558" i="3"/>
  <c r="G600" i="3"/>
  <c r="F600" i="3"/>
  <c r="G624" i="3"/>
  <c r="F624" i="3"/>
  <c r="F591" i="3"/>
  <c r="G591" i="3"/>
  <c r="S616" i="3"/>
  <c r="O616" i="3"/>
  <c r="R616" i="3"/>
  <c r="M616" i="3"/>
  <c r="Q616" i="3"/>
  <c r="P616" i="3"/>
  <c r="N616" i="3"/>
  <c r="G648" i="3"/>
  <c r="F648" i="3"/>
  <c r="G657" i="3"/>
  <c r="F657" i="3"/>
  <c r="Q674" i="3"/>
  <c r="M674" i="3"/>
  <c r="S674" i="3"/>
  <c r="N674" i="3"/>
  <c r="R674" i="3"/>
  <c r="P674" i="3"/>
  <c r="O674" i="3"/>
  <c r="G736" i="3"/>
  <c r="F736" i="3"/>
  <c r="F679" i="3"/>
  <c r="G679" i="3"/>
  <c r="G713" i="3"/>
  <c r="F713" i="3"/>
  <c r="S732" i="3"/>
  <c r="O732" i="3"/>
  <c r="R732" i="3"/>
  <c r="M732" i="3"/>
  <c r="P732" i="3"/>
  <c r="Q732" i="3"/>
  <c r="N732" i="3"/>
  <c r="G764" i="3"/>
  <c r="F764" i="3"/>
  <c r="G777" i="3"/>
  <c r="F777" i="3"/>
  <c r="S796" i="3"/>
  <c r="O796" i="3"/>
  <c r="R796" i="3"/>
  <c r="M796" i="3"/>
  <c r="P796" i="3"/>
  <c r="Q796" i="3"/>
  <c r="N796" i="3"/>
  <c r="G828" i="3"/>
  <c r="F828" i="3"/>
  <c r="F859" i="3"/>
  <c r="G859" i="3"/>
  <c r="R603" i="3"/>
  <c r="N603" i="3"/>
  <c r="S603" i="3"/>
  <c r="M603" i="3"/>
  <c r="Q603" i="3"/>
  <c r="P603" i="3"/>
  <c r="O603" i="3"/>
  <c r="F635" i="3"/>
  <c r="G635" i="3"/>
  <c r="G677" i="3"/>
  <c r="F677" i="3"/>
  <c r="P681" i="3"/>
  <c r="R681" i="3"/>
  <c r="M681" i="3"/>
  <c r="Q681" i="3"/>
  <c r="O681" i="3"/>
  <c r="N681" i="3"/>
  <c r="S681" i="3"/>
  <c r="S656" i="3"/>
  <c r="O656" i="3"/>
  <c r="R656" i="3"/>
  <c r="M656" i="3"/>
  <c r="Q656" i="3"/>
  <c r="P656" i="3"/>
  <c r="N656" i="3"/>
  <c r="R667" i="3"/>
  <c r="N667" i="3"/>
  <c r="P667" i="3"/>
  <c r="O667" i="3"/>
  <c r="M667" i="3"/>
  <c r="S667" i="3"/>
  <c r="Q667" i="3"/>
  <c r="G676" i="3"/>
  <c r="F676" i="3"/>
  <c r="G685" i="3"/>
  <c r="F685" i="3"/>
  <c r="P689" i="3"/>
  <c r="R689" i="3"/>
  <c r="M689" i="3"/>
  <c r="O689" i="3"/>
  <c r="N689" i="3"/>
  <c r="S689" i="3"/>
  <c r="Q689" i="3"/>
  <c r="P916" i="3"/>
  <c r="O916" i="3"/>
  <c r="S916" i="3"/>
  <c r="M916" i="3"/>
  <c r="R916" i="3"/>
  <c r="Q916" i="3"/>
  <c r="N916" i="3"/>
  <c r="F917" i="3"/>
  <c r="G917" i="3"/>
  <c r="Q941" i="3"/>
  <c r="M941" i="3"/>
  <c r="R941" i="3"/>
  <c r="P941" i="3"/>
  <c r="O941" i="3"/>
  <c r="N941" i="3"/>
  <c r="S941" i="3"/>
  <c r="Q973" i="3"/>
  <c r="M973" i="3"/>
  <c r="R973" i="3"/>
  <c r="P973" i="3"/>
  <c r="O973" i="3"/>
  <c r="N973" i="3"/>
  <c r="S973" i="3"/>
  <c r="G896" i="3"/>
  <c r="F896" i="3"/>
  <c r="G872" i="3"/>
  <c r="F872" i="3"/>
  <c r="R878" i="3"/>
  <c r="N878" i="3"/>
  <c r="S878" i="3"/>
  <c r="M878" i="3"/>
  <c r="P878" i="3"/>
  <c r="O878" i="3"/>
  <c r="Q878" i="3"/>
  <c r="S1005" i="3"/>
  <c r="O1005" i="3"/>
  <c r="R1005" i="3"/>
  <c r="N1005" i="3"/>
  <c r="Q1005" i="3"/>
  <c r="M1005" i="3"/>
  <c r="P1005" i="3"/>
  <c r="S756" i="3"/>
  <c r="O756" i="3"/>
  <c r="R756" i="3"/>
  <c r="M756" i="3"/>
  <c r="P756" i="3"/>
  <c r="Q756" i="3"/>
  <c r="N756" i="3"/>
  <c r="S788" i="3"/>
  <c r="O788" i="3"/>
  <c r="R788" i="3"/>
  <c r="M788" i="3"/>
  <c r="P788" i="3"/>
  <c r="Q788" i="3"/>
  <c r="N788" i="3"/>
  <c r="S820" i="3"/>
  <c r="O820" i="3"/>
  <c r="R820" i="3"/>
  <c r="M820" i="3"/>
  <c r="P820" i="3"/>
  <c r="Q820" i="3"/>
  <c r="N820" i="3"/>
  <c r="F894" i="3"/>
  <c r="G894" i="3"/>
  <c r="Q965" i="3"/>
  <c r="M965" i="3"/>
  <c r="R965" i="3"/>
  <c r="P965" i="3"/>
  <c r="O965" i="3"/>
  <c r="N965" i="3"/>
  <c r="S965" i="3"/>
  <c r="G915" i="3"/>
  <c r="F915" i="3"/>
  <c r="R934" i="3"/>
  <c r="N934" i="3"/>
  <c r="S934" i="3"/>
  <c r="M934" i="3"/>
  <c r="Q934" i="3"/>
  <c r="P934" i="3"/>
  <c r="O934" i="3"/>
  <c r="S887" i="3"/>
  <c r="O887" i="3"/>
  <c r="P887" i="3"/>
  <c r="Q887" i="3"/>
  <c r="N887" i="3"/>
  <c r="M887" i="3"/>
  <c r="R887" i="3"/>
  <c r="S923" i="3"/>
  <c r="O923" i="3"/>
  <c r="R923" i="3"/>
  <c r="M923" i="3"/>
  <c r="P923" i="3"/>
  <c r="N923" i="3"/>
  <c r="Q923" i="3"/>
  <c r="F970" i="3"/>
  <c r="G970" i="3"/>
  <c r="S696" i="3"/>
  <c r="O696" i="3"/>
  <c r="P696" i="3"/>
  <c r="R696" i="3"/>
  <c r="Q696" i="3"/>
  <c r="N696" i="3"/>
  <c r="M696" i="3"/>
  <c r="S744" i="3"/>
  <c r="O744" i="3"/>
  <c r="P744" i="3"/>
  <c r="R744" i="3"/>
  <c r="M744" i="3"/>
  <c r="N744" i="3"/>
  <c r="Q744" i="3"/>
  <c r="G776" i="3"/>
  <c r="F776" i="3"/>
  <c r="G789" i="3"/>
  <c r="F789" i="3"/>
  <c r="F827" i="3"/>
  <c r="G827" i="3"/>
  <c r="G573" i="3"/>
  <c r="F573" i="3"/>
  <c r="S584" i="3"/>
  <c r="O584" i="3"/>
  <c r="R584" i="3"/>
  <c r="M584" i="3"/>
  <c r="Q584" i="3"/>
  <c r="P584" i="3"/>
  <c r="N584" i="3"/>
  <c r="G740" i="3"/>
  <c r="F740" i="3"/>
  <c r="S836" i="3"/>
  <c r="O836" i="3"/>
  <c r="R836" i="3"/>
  <c r="M836" i="3"/>
  <c r="P836" i="3"/>
  <c r="Q836" i="3"/>
  <c r="N836" i="3"/>
  <c r="R966" i="3"/>
  <c r="N966" i="3"/>
  <c r="O966" i="3"/>
  <c r="S966" i="3"/>
  <c r="M966" i="3"/>
  <c r="Q966" i="3"/>
  <c r="P966" i="3"/>
  <c r="G905" i="3"/>
  <c r="F905" i="3"/>
  <c r="G455" i="3"/>
  <c r="F455" i="3"/>
  <c r="S231" i="3"/>
  <c r="O231" i="3"/>
  <c r="R231" i="3"/>
  <c r="M231" i="3"/>
  <c r="Q231" i="3"/>
  <c r="P231" i="3"/>
  <c r="N231" i="3"/>
  <c r="G368" i="3"/>
  <c r="F368" i="3"/>
  <c r="P404" i="3"/>
  <c r="R404" i="3"/>
  <c r="M404" i="3"/>
  <c r="Q404" i="3"/>
  <c r="O404" i="3"/>
  <c r="N404" i="3"/>
  <c r="S404" i="3"/>
  <c r="S15" i="3"/>
  <c r="O15" i="3"/>
  <c r="R15" i="3"/>
  <c r="N15" i="3"/>
  <c r="Q15" i="3"/>
  <c r="M15" i="3"/>
  <c r="P15" i="3"/>
  <c r="G148" i="3"/>
  <c r="F148" i="3"/>
  <c r="P220" i="3"/>
  <c r="R220" i="3"/>
  <c r="M220" i="3"/>
  <c r="O220" i="3"/>
  <c r="N220" i="3"/>
  <c r="S220" i="3"/>
  <c r="Q220" i="3"/>
  <c r="S439" i="3"/>
  <c r="O439" i="3"/>
  <c r="P439" i="3"/>
  <c r="N439" i="3"/>
  <c r="R439" i="3"/>
  <c r="M439" i="3"/>
  <c r="Q439" i="3"/>
  <c r="G471" i="3"/>
  <c r="F471" i="3"/>
  <c r="P476" i="3"/>
  <c r="Q476" i="3"/>
  <c r="O476" i="3"/>
  <c r="S476" i="3"/>
  <c r="N476" i="3"/>
  <c r="R476" i="3"/>
  <c r="M476" i="3"/>
  <c r="G598" i="3"/>
  <c r="F598" i="3"/>
  <c r="S604" i="3"/>
  <c r="O604" i="3"/>
  <c r="P604" i="3"/>
  <c r="N604" i="3"/>
  <c r="R604" i="3"/>
  <c r="M604" i="3"/>
  <c r="Q604" i="3"/>
  <c r="G636" i="3"/>
  <c r="F636" i="3"/>
  <c r="P733" i="3"/>
  <c r="O733" i="3"/>
  <c r="R733" i="3"/>
  <c r="M733" i="3"/>
  <c r="S733" i="3"/>
  <c r="Q733" i="3"/>
  <c r="N733" i="3"/>
  <c r="P797" i="3"/>
  <c r="O797" i="3"/>
  <c r="R797" i="3"/>
  <c r="M797" i="3"/>
  <c r="S797" i="3"/>
  <c r="Q797" i="3"/>
  <c r="N797" i="3"/>
  <c r="P992" i="3"/>
  <c r="S992" i="3"/>
  <c r="N992" i="3"/>
  <c r="R992" i="3"/>
  <c r="M992" i="3"/>
  <c r="Q992" i="3"/>
  <c r="O992" i="3"/>
  <c r="S475" i="3"/>
  <c r="O475" i="3"/>
  <c r="N475" i="3"/>
  <c r="R475" i="3"/>
  <c r="M475" i="3"/>
  <c r="Q475" i="3"/>
  <c r="P475" i="3"/>
  <c r="R675" i="3"/>
  <c r="N675" i="3"/>
  <c r="P675" i="3"/>
  <c r="M675" i="3"/>
  <c r="S675" i="3"/>
  <c r="Q675" i="3"/>
  <c r="O675" i="3"/>
  <c r="G720" i="3"/>
  <c r="F720" i="3"/>
  <c r="F735" i="3"/>
  <c r="G735" i="3"/>
  <c r="F831" i="3"/>
  <c r="G831" i="3"/>
  <c r="R691" i="3"/>
  <c r="N691" i="3"/>
  <c r="P691" i="3"/>
  <c r="Q691" i="3"/>
  <c r="O691" i="3"/>
  <c r="M691" i="3"/>
  <c r="S691" i="3"/>
  <c r="P709" i="3"/>
  <c r="O709" i="3"/>
  <c r="R709" i="3"/>
  <c r="M709" i="3"/>
  <c r="N709" i="3"/>
  <c r="S709" i="3"/>
  <c r="Q709" i="3"/>
  <c r="G728" i="3"/>
  <c r="F728" i="3"/>
  <c r="G741" i="3"/>
  <c r="F741" i="3"/>
  <c r="S760" i="3"/>
  <c r="O760" i="3"/>
  <c r="P760" i="3"/>
  <c r="R760" i="3"/>
  <c r="M760" i="3"/>
  <c r="N760" i="3"/>
  <c r="Q760" i="3"/>
  <c r="Q873" i="3"/>
  <c r="M873" i="3"/>
  <c r="S873" i="3"/>
  <c r="N873" i="3"/>
  <c r="O873" i="3"/>
  <c r="R873" i="3"/>
  <c r="P873" i="3"/>
  <c r="Q933" i="3"/>
  <c r="M933" i="3"/>
  <c r="P933" i="3"/>
  <c r="O933" i="3"/>
  <c r="N933" i="3"/>
  <c r="S933" i="3"/>
  <c r="R933" i="3"/>
  <c r="F938" i="3"/>
  <c r="G938" i="3"/>
  <c r="F815" i="3"/>
  <c r="G815" i="3"/>
  <c r="S871" i="3"/>
  <c r="O871" i="3"/>
  <c r="P871" i="3"/>
  <c r="M871" i="3"/>
  <c r="R871" i="3"/>
  <c r="Q871" i="3"/>
  <c r="N871" i="3"/>
  <c r="F659" i="3"/>
  <c r="G659" i="3"/>
  <c r="G725" i="3"/>
  <c r="F725" i="3"/>
  <c r="F763" i="3"/>
  <c r="G763" i="3"/>
  <c r="G912" i="3"/>
  <c r="F912" i="3"/>
  <c r="R898" i="3"/>
  <c r="N898" i="3"/>
  <c r="P898" i="3"/>
  <c r="S898" i="3"/>
  <c r="Q898" i="3"/>
  <c r="O898" i="3"/>
  <c r="M898" i="3"/>
  <c r="P920" i="3"/>
  <c r="R920" i="3"/>
  <c r="M920" i="3"/>
  <c r="S920" i="3"/>
  <c r="Q920" i="3"/>
  <c r="O920" i="3"/>
  <c r="N920" i="3"/>
  <c r="G955" i="3"/>
  <c r="F955" i="3"/>
  <c r="R306" i="3"/>
  <c r="N306" i="3"/>
  <c r="S306" i="3"/>
  <c r="M306" i="3"/>
  <c r="Q306" i="3"/>
  <c r="P306" i="3"/>
  <c r="O306" i="3"/>
  <c r="S95" i="3"/>
  <c r="O95" i="3"/>
  <c r="R95" i="3"/>
  <c r="N95" i="3"/>
  <c r="Q95" i="3"/>
  <c r="M95" i="3"/>
  <c r="P95" i="3"/>
  <c r="Q189" i="3"/>
  <c r="M189" i="3"/>
  <c r="S189" i="3"/>
  <c r="N189" i="3"/>
  <c r="R189" i="3"/>
  <c r="P189" i="3"/>
  <c r="O189" i="3"/>
  <c r="G208" i="3"/>
  <c r="F208" i="3"/>
  <c r="P244" i="3"/>
  <c r="R244" i="3"/>
  <c r="M244" i="3"/>
  <c r="Q244" i="3"/>
  <c r="O244" i="3"/>
  <c r="N244" i="3"/>
  <c r="S244" i="3"/>
  <c r="R254" i="3"/>
  <c r="N254" i="3"/>
  <c r="P254" i="3"/>
  <c r="Q254" i="3"/>
  <c r="O254" i="3"/>
  <c r="M254" i="3"/>
  <c r="S254" i="3"/>
  <c r="Q221" i="3"/>
  <c r="M221" i="3"/>
  <c r="S221" i="3"/>
  <c r="N221" i="3"/>
  <c r="O221" i="3"/>
  <c r="R221" i="3"/>
  <c r="P221" i="3"/>
  <c r="G468" i="3"/>
  <c r="F468" i="3"/>
  <c r="P649" i="3"/>
  <c r="O649" i="3"/>
  <c r="S649" i="3"/>
  <c r="N649" i="3"/>
  <c r="R649" i="3"/>
  <c r="M649" i="3"/>
  <c r="Q649" i="3"/>
  <c r="F651" i="3"/>
  <c r="G651" i="3"/>
  <c r="G581" i="3"/>
  <c r="F581" i="3"/>
  <c r="R855" i="3"/>
  <c r="N855" i="3"/>
  <c r="S855" i="3"/>
  <c r="M855" i="3"/>
  <c r="Q855" i="3"/>
  <c r="P855" i="3"/>
  <c r="O855" i="3"/>
  <c r="S860" i="3"/>
  <c r="O860" i="3"/>
  <c r="R860" i="3"/>
  <c r="M860" i="3"/>
  <c r="Q860" i="3"/>
  <c r="P860" i="3"/>
  <c r="N860" i="3"/>
  <c r="S207" i="3"/>
  <c r="O207" i="3"/>
  <c r="R207" i="3"/>
  <c r="M207" i="3"/>
  <c r="P207" i="3"/>
  <c r="N207" i="3"/>
  <c r="Q207" i="3"/>
  <c r="G235" i="3"/>
  <c r="F235" i="3"/>
  <c r="G280" i="3"/>
  <c r="F280" i="3"/>
  <c r="P408" i="3"/>
  <c r="O408" i="3"/>
  <c r="Q408" i="3"/>
  <c r="N408" i="3"/>
  <c r="S408" i="3"/>
  <c r="M408" i="3"/>
  <c r="R408" i="3"/>
  <c r="S608" i="3"/>
  <c r="O608" i="3"/>
  <c r="R608" i="3"/>
  <c r="M608" i="3"/>
  <c r="Q608" i="3"/>
  <c r="P608" i="3"/>
  <c r="N608" i="3"/>
  <c r="F851" i="3"/>
  <c r="G851" i="3"/>
  <c r="F430" i="3"/>
  <c r="G430" i="3"/>
  <c r="F478" i="3"/>
  <c r="G478" i="3"/>
  <c r="G574" i="3"/>
  <c r="F574" i="3"/>
  <c r="R707" i="3"/>
  <c r="N707" i="3"/>
  <c r="P707" i="3"/>
  <c r="S707" i="3"/>
  <c r="M707" i="3"/>
  <c r="Q707" i="3"/>
  <c r="O707" i="3"/>
  <c r="F803" i="3"/>
  <c r="G803" i="3"/>
  <c r="R835" i="3"/>
  <c r="N835" i="3"/>
  <c r="P835" i="3"/>
  <c r="S835" i="3"/>
  <c r="M835" i="3"/>
  <c r="Q835" i="3"/>
  <c r="O835" i="3"/>
  <c r="F886" i="3"/>
  <c r="G886" i="3"/>
  <c r="S903" i="3"/>
  <c r="O903" i="3"/>
  <c r="P903" i="3"/>
  <c r="M903" i="3"/>
  <c r="R903" i="3"/>
  <c r="Q903" i="3"/>
  <c r="N903" i="3"/>
  <c r="G816" i="3"/>
  <c r="F816" i="3"/>
  <c r="S279" i="3"/>
  <c r="O279" i="3"/>
  <c r="R279" i="3"/>
  <c r="M279" i="3"/>
  <c r="N279" i="3"/>
  <c r="Q279" i="3"/>
  <c r="P279" i="3"/>
  <c r="G431" i="3"/>
  <c r="F431" i="3"/>
  <c r="G204" i="3"/>
  <c r="F204" i="3"/>
  <c r="G43" i="3"/>
  <c r="F43" i="3"/>
  <c r="F186" i="3"/>
  <c r="G186" i="3"/>
  <c r="G212" i="3"/>
  <c r="F212" i="3"/>
  <c r="G245" i="3"/>
  <c r="F245" i="3"/>
  <c r="G295" i="3"/>
  <c r="F295" i="3"/>
  <c r="Q373" i="3"/>
  <c r="M373" i="3"/>
  <c r="S373" i="3"/>
  <c r="N373" i="3"/>
  <c r="P373" i="3"/>
  <c r="O373" i="3"/>
  <c r="R373" i="3"/>
  <c r="G443" i="3"/>
  <c r="F443" i="3"/>
  <c r="G804" i="3"/>
  <c r="F804" i="3"/>
  <c r="F190" i="3"/>
  <c r="G190" i="3"/>
  <c r="S451" i="3"/>
  <c r="O451" i="3"/>
  <c r="R451" i="3"/>
  <c r="M451" i="3"/>
  <c r="Q451" i="3"/>
  <c r="P451" i="3"/>
  <c r="N451" i="3"/>
  <c r="F178" i="3"/>
  <c r="G178" i="3"/>
  <c r="P272" i="3"/>
  <c r="O272" i="3"/>
  <c r="R272" i="3"/>
  <c r="Q272" i="3"/>
  <c r="N272" i="3"/>
  <c r="S272" i="3"/>
  <c r="M272" i="3"/>
  <c r="S291" i="3"/>
  <c r="O291" i="3"/>
  <c r="P291" i="3"/>
  <c r="R291" i="3"/>
  <c r="Q291" i="3"/>
  <c r="N291" i="3"/>
  <c r="M291" i="3"/>
  <c r="Q473" i="3"/>
  <c r="M473" i="3"/>
  <c r="S473" i="3"/>
  <c r="N473" i="3"/>
  <c r="R473" i="3"/>
  <c r="P473" i="3"/>
  <c r="O473" i="3"/>
  <c r="S99" i="3"/>
  <c r="O99" i="3"/>
  <c r="R99" i="3"/>
  <c r="N99" i="3"/>
  <c r="Q99" i="3"/>
  <c r="M99" i="3"/>
  <c r="P99" i="3"/>
  <c r="G172" i="3"/>
  <c r="F172" i="3"/>
  <c r="R226" i="3"/>
  <c r="N226" i="3"/>
  <c r="S226" i="3"/>
  <c r="M226" i="3"/>
  <c r="P226" i="3"/>
  <c r="O226" i="3"/>
  <c r="Q226" i="3"/>
  <c r="R230" i="3"/>
  <c r="N230" i="3"/>
  <c r="P230" i="3"/>
  <c r="O230" i="3"/>
  <c r="M230" i="3"/>
  <c r="S230" i="3"/>
  <c r="Q230" i="3"/>
  <c r="S331" i="3"/>
  <c r="O331" i="3"/>
  <c r="P331" i="3"/>
  <c r="Q331" i="3"/>
  <c r="N331" i="3"/>
  <c r="M331" i="3"/>
  <c r="R331" i="3"/>
  <c r="F358" i="3"/>
  <c r="G358" i="3"/>
  <c r="F550" i="3"/>
  <c r="G550" i="3"/>
  <c r="S800" i="3"/>
  <c r="O800" i="3"/>
  <c r="P800" i="3"/>
  <c r="R800" i="3"/>
  <c r="M800" i="3"/>
  <c r="Q800" i="3"/>
  <c r="N800" i="3"/>
  <c r="P713" i="3"/>
  <c r="R713" i="3"/>
  <c r="M713" i="3"/>
  <c r="O713" i="3"/>
  <c r="Q713" i="3"/>
  <c r="N713" i="3"/>
  <c r="S713" i="3"/>
  <c r="F603" i="3"/>
  <c r="G603" i="3"/>
  <c r="S664" i="3"/>
  <c r="O664" i="3"/>
  <c r="P664" i="3"/>
  <c r="R664" i="3"/>
  <c r="Q664" i="3"/>
  <c r="N664" i="3"/>
  <c r="M664" i="3"/>
  <c r="F667" i="3"/>
  <c r="G667" i="3"/>
  <c r="F866" i="3"/>
  <c r="G866" i="3"/>
  <c r="G973" i="3"/>
  <c r="F973" i="3"/>
  <c r="R962" i="3"/>
  <c r="N962" i="3"/>
  <c r="Q962" i="3"/>
  <c r="P962" i="3"/>
  <c r="O962" i="3"/>
  <c r="M962" i="3"/>
  <c r="S962" i="3"/>
  <c r="F922" i="3"/>
  <c r="G922" i="3"/>
  <c r="G965" i="3"/>
  <c r="F965" i="3"/>
  <c r="G887" i="3"/>
  <c r="F887" i="3"/>
  <c r="S712" i="3"/>
  <c r="O712" i="3"/>
  <c r="P712" i="3"/>
  <c r="R712" i="3"/>
  <c r="M712" i="3"/>
  <c r="N712" i="3"/>
  <c r="Q712" i="3"/>
  <c r="G744" i="3"/>
  <c r="F744" i="3"/>
  <c r="P573" i="3"/>
  <c r="R573" i="3"/>
  <c r="M573" i="3"/>
  <c r="Q573" i="3"/>
  <c r="O573" i="3"/>
  <c r="S573" i="3"/>
  <c r="N573" i="3"/>
  <c r="Q901" i="3"/>
  <c r="M901" i="3"/>
  <c r="P901" i="3"/>
  <c r="O901" i="3"/>
  <c r="N901" i="3"/>
  <c r="S901" i="3"/>
  <c r="R901" i="3"/>
  <c r="R234" i="3"/>
  <c r="N234" i="3"/>
  <c r="S234" i="3"/>
  <c r="M234" i="3"/>
  <c r="O234" i="3"/>
  <c r="Q234" i="3"/>
  <c r="P234" i="3"/>
  <c r="G324" i="3"/>
  <c r="F324" i="3"/>
  <c r="S343" i="3"/>
  <c r="O343" i="3"/>
  <c r="R343" i="3"/>
  <c r="M343" i="3"/>
  <c r="N343" i="3"/>
  <c r="Q343" i="3"/>
  <c r="P343" i="3"/>
  <c r="F362" i="3"/>
  <c r="G362" i="3"/>
  <c r="R402" i="3"/>
  <c r="N402" i="3"/>
  <c r="S402" i="3"/>
  <c r="M402" i="3"/>
  <c r="Q402" i="3"/>
  <c r="P402" i="3"/>
  <c r="O402" i="3"/>
  <c r="Q449" i="3"/>
  <c r="M449" i="3"/>
  <c r="S449" i="3"/>
  <c r="N449" i="3"/>
  <c r="R449" i="3"/>
  <c r="P449" i="3"/>
  <c r="O449" i="3"/>
  <c r="S223" i="3"/>
  <c r="O223" i="3"/>
  <c r="R223" i="3"/>
  <c r="M223" i="3"/>
  <c r="Q223" i="3"/>
  <c r="P223" i="3"/>
  <c r="N223" i="3"/>
  <c r="G255" i="3"/>
  <c r="F255" i="3"/>
  <c r="G287" i="3"/>
  <c r="F287" i="3"/>
  <c r="G319" i="3"/>
  <c r="F319" i="3"/>
  <c r="G351" i="3"/>
  <c r="F351" i="3"/>
  <c r="G51" i="3"/>
  <c r="F51" i="3"/>
  <c r="G87" i="3"/>
  <c r="F87" i="3"/>
  <c r="F138" i="3"/>
  <c r="G138" i="3"/>
  <c r="G240" i="3"/>
  <c r="F240" i="3"/>
  <c r="F273" i="3"/>
  <c r="G273" i="3"/>
  <c r="P276" i="3"/>
  <c r="R276" i="3"/>
  <c r="M276" i="3"/>
  <c r="Q276" i="3"/>
  <c r="O276" i="3"/>
  <c r="N276" i="3"/>
  <c r="S276" i="3"/>
  <c r="R286" i="3"/>
  <c r="N286" i="3"/>
  <c r="P286" i="3"/>
  <c r="Q286" i="3"/>
  <c r="O286" i="3"/>
  <c r="M286" i="3"/>
  <c r="S286" i="3"/>
  <c r="S359" i="3"/>
  <c r="O359" i="3"/>
  <c r="R359" i="3"/>
  <c r="M359" i="3"/>
  <c r="Q359" i="3"/>
  <c r="P359" i="3"/>
  <c r="N359" i="3"/>
  <c r="F410" i="3"/>
  <c r="G410" i="3"/>
  <c r="P444" i="3"/>
  <c r="O444" i="3"/>
  <c r="S444" i="3"/>
  <c r="N444" i="3"/>
  <c r="R444" i="3"/>
  <c r="M444" i="3"/>
  <c r="Q444" i="3"/>
  <c r="G107" i="3"/>
  <c r="F107" i="3"/>
  <c r="S127" i="3"/>
  <c r="O127" i="3"/>
  <c r="R127" i="3"/>
  <c r="M127" i="3"/>
  <c r="Q127" i="3"/>
  <c r="P127" i="3"/>
  <c r="N127" i="3"/>
  <c r="G183" i="3"/>
  <c r="F183" i="3"/>
  <c r="Q253" i="3"/>
  <c r="M253" i="3"/>
  <c r="S253" i="3"/>
  <c r="N253" i="3"/>
  <c r="O253" i="3"/>
  <c r="R253" i="3"/>
  <c r="P253" i="3"/>
  <c r="S299" i="3"/>
  <c r="O299" i="3"/>
  <c r="P299" i="3"/>
  <c r="Q299" i="3"/>
  <c r="N299" i="3"/>
  <c r="M299" i="3"/>
  <c r="R299" i="3"/>
  <c r="F326" i="3"/>
  <c r="G326" i="3"/>
  <c r="G348" i="3"/>
  <c r="F348" i="3"/>
  <c r="G381" i="3"/>
  <c r="F381" i="3"/>
  <c r="S399" i="3"/>
  <c r="O399" i="3"/>
  <c r="R399" i="3"/>
  <c r="M399" i="3"/>
  <c r="P399" i="3"/>
  <c r="N399" i="3"/>
  <c r="Q399" i="3"/>
  <c r="Q465" i="3"/>
  <c r="M465" i="3"/>
  <c r="S465" i="3"/>
  <c r="N465" i="3"/>
  <c r="R465" i="3"/>
  <c r="P465" i="3"/>
  <c r="O465" i="3"/>
  <c r="S487" i="3"/>
  <c r="O487" i="3"/>
  <c r="Q487" i="3"/>
  <c r="P487" i="3"/>
  <c r="N487" i="3"/>
  <c r="R487" i="3"/>
  <c r="M487" i="3"/>
  <c r="P492" i="3"/>
  <c r="Q492" i="3"/>
  <c r="O492" i="3"/>
  <c r="S492" i="3"/>
  <c r="N492" i="3"/>
  <c r="R492" i="3"/>
  <c r="M492" i="3"/>
  <c r="S511" i="3"/>
  <c r="O511" i="3"/>
  <c r="Q511" i="3"/>
  <c r="P511" i="3"/>
  <c r="N511" i="3"/>
  <c r="R511" i="3"/>
  <c r="M511" i="3"/>
  <c r="P524" i="3"/>
  <c r="Q524" i="3"/>
  <c r="O524" i="3"/>
  <c r="S524" i="3"/>
  <c r="N524" i="3"/>
  <c r="R524" i="3"/>
  <c r="M524" i="3"/>
  <c r="P609" i="3"/>
  <c r="O609" i="3"/>
  <c r="S609" i="3"/>
  <c r="N609" i="3"/>
  <c r="R609" i="3"/>
  <c r="M609" i="3"/>
  <c r="Q609" i="3"/>
  <c r="G641" i="3"/>
  <c r="F641" i="3"/>
  <c r="G662" i="3"/>
  <c r="F662" i="3"/>
  <c r="Q670" i="3"/>
  <c r="M670" i="3"/>
  <c r="P670" i="3"/>
  <c r="S670" i="3"/>
  <c r="R670" i="3"/>
  <c r="O670" i="3"/>
  <c r="N670" i="3"/>
  <c r="Q850" i="3"/>
  <c r="M850" i="3"/>
  <c r="S850" i="3"/>
  <c r="N850" i="3"/>
  <c r="R850" i="3"/>
  <c r="P850" i="3"/>
  <c r="O850" i="3"/>
  <c r="R502" i="3"/>
  <c r="N502" i="3"/>
  <c r="O502" i="3"/>
  <c r="S502" i="3"/>
  <c r="M502" i="3"/>
  <c r="Q502" i="3"/>
  <c r="P502" i="3"/>
  <c r="F510" i="3"/>
  <c r="G510" i="3"/>
  <c r="R575" i="3"/>
  <c r="N575" i="3"/>
  <c r="P575" i="3"/>
  <c r="O575" i="3"/>
  <c r="S575" i="3"/>
  <c r="M575" i="3"/>
  <c r="Q575" i="3"/>
  <c r="Q630" i="3"/>
  <c r="M630" i="3"/>
  <c r="S630" i="3"/>
  <c r="N630" i="3"/>
  <c r="R630" i="3"/>
  <c r="P630" i="3"/>
  <c r="O630" i="3"/>
  <c r="G749" i="3"/>
  <c r="F749" i="3"/>
  <c r="P765" i="3"/>
  <c r="O765" i="3"/>
  <c r="R765" i="3"/>
  <c r="M765" i="3"/>
  <c r="S765" i="3"/>
  <c r="Q765" i="3"/>
  <c r="N765" i="3"/>
  <c r="G813" i="3"/>
  <c r="F813" i="3"/>
  <c r="P829" i="3"/>
  <c r="O829" i="3"/>
  <c r="R829" i="3"/>
  <c r="M829" i="3"/>
  <c r="S829" i="3"/>
  <c r="Q829" i="3"/>
  <c r="N829" i="3"/>
  <c r="G931" i="3"/>
  <c r="F931" i="3"/>
  <c r="G561" i="3"/>
  <c r="F561" i="3"/>
  <c r="S565" i="3"/>
  <c r="O565" i="3"/>
  <c r="R565" i="3"/>
  <c r="N565" i="3"/>
  <c r="Q565" i="3"/>
  <c r="M565" i="3"/>
  <c r="P565" i="3"/>
  <c r="S596" i="3"/>
  <c r="O596" i="3"/>
  <c r="P596" i="3"/>
  <c r="N596" i="3"/>
  <c r="R596" i="3"/>
  <c r="M596" i="3"/>
  <c r="Q596" i="3"/>
  <c r="G628" i="3"/>
  <c r="F628" i="3"/>
  <c r="G660" i="3"/>
  <c r="F660" i="3"/>
  <c r="Q646" i="3"/>
  <c r="M646" i="3"/>
  <c r="S646" i="3"/>
  <c r="N646" i="3"/>
  <c r="R646" i="3"/>
  <c r="P646" i="3"/>
  <c r="O646" i="3"/>
  <c r="F675" i="3"/>
  <c r="G675" i="3"/>
  <c r="S720" i="3"/>
  <c r="O720" i="3"/>
  <c r="P720" i="3"/>
  <c r="R720" i="3"/>
  <c r="M720" i="3"/>
  <c r="Q720" i="3"/>
  <c r="N720" i="3"/>
  <c r="G960" i="3"/>
  <c r="F960" i="3"/>
  <c r="R703" i="3"/>
  <c r="N703" i="3"/>
  <c r="S703" i="3"/>
  <c r="M703" i="3"/>
  <c r="P703" i="3"/>
  <c r="Q703" i="3"/>
  <c r="O703" i="3"/>
  <c r="R735" i="3"/>
  <c r="N735" i="3"/>
  <c r="S735" i="3"/>
  <c r="M735" i="3"/>
  <c r="P735" i="3"/>
  <c r="Q735" i="3"/>
  <c r="O735" i="3"/>
  <c r="R767" i="3"/>
  <c r="N767" i="3"/>
  <c r="S767" i="3"/>
  <c r="M767" i="3"/>
  <c r="P767" i="3"/>
  <c r="Q767" i="3"/>
  <c r="O767" i="3"/>
  <c r="R799" i="3"/>
  <c r="N799" i="3"/>
  <c r="S799" i="3"/>
  <c r="M799" i="3"/>
  <c r="P799" i="3"/>
  <c r="Q799" i="3"/>
  <c r="O799" i="3"/>
  <c r="R831" i="3"/>
  <c r="N831" i="3"/>
  <c r="S831" i="3"/>
  <c r="M831" i="3"/>
  <c r="P831" i="3"/>
  <c r="Q831" i="3"/>
  <c r="O831" i="3"/>
  <c r="G899" i="3"/>
  <c r="F899" i="3"/>
  <c r="R611" i="3"/>
  <c r="N611" i="3"/>
  <c r="S611" i="3"/>
  <c r="M611" i="3"/>
  <c r="Q611" i="3"/>
  <c r="P611" i="3"/>
  <c r="O611" i="3"/>
  <c r="F643" i="3"/>
  <c r="G643" i="3"/>
  <c r="Q678" i="3"/>
  <c r="M678" i="3"/>
  <c r="P678" i="3"/>
  <c r="R678" i="3"/>
  <c r="O678" i="3"/>
  <c r="N678" i="3"/>
  <c r="S678" i="3"/>
  <c r="F747" i="3"/>
  <c r="G747" i="3"/>
  <c r="P773" i="3"/>
  <c r="O773" i="3"/>
  <c r="R773" i="3"/>
  <c r="M773" i="3"/>
  <c r="N773" i="3"/>
  <c r="S773" i="3"/>
  <c r="Q773" i="3"/>
  <c r="R779" i="3"/>
  <c r="N779" i="3"/>
  <c r="P779" i="3"/>
  <c r="S779" i="3"/>
  <c r="M779" i="3"/>
  <c r="O779" i="3"/>
  <c r="Q779" i="3"/>
  <c r="G792" i="3"/>
  <c r="F792" i="3"/>
  <c r="G805" i="3"/>
  <c r="F805" i="3"/>
  <c r="S824" i="3"/>
  <c r="O824" i="3"/>
  <c r="P824" i="3"/>
  <c r="R824" i="3"/>
  <c r="M824" i="3"/>
  <c r="N824" i="3"/>
  <c r="Q824" i="3"/>
  <c r="G936" i="3"/>
  <c r="F936" i="3"/>
  <c r="P952" i="3"/>
  <c r="S952" i="3"/>
  <c r="N952" i="3"/>
  <c r="R952" i="3"/>
  <c r="M952" i="3"/>
  <c r="Q952" i="3"/>
  <c r="O952" i="3"/>
  <c r="G589" i="3"/>
  <c r="F589" i="3"/>
  <c r="G690" i="3"/>
  <c r="F690" i="3"/>
  <c r="S724" i="3"/>
  <c r="O724" i="3"/>
  <c r="R724" i="3"/>
  <c r="M724" i="3"/>
  <c r="P724" i="3"/>
  <c r="Q724" i="3"/>
  <c r="N724" i="3"/>
  <c r="P737" i="3"/>
  <c r="R737" i="3"/>
  <c r="M737" i="3"/>
  <c r="O737" i="3"/>
  <c r="S737" i="3"/>
  <c r="Q737" i="3"/>
  <c r="N737" i="3"/>
  <c r="P801" i="3"/>
  <c r="R801" i="3"/>
  <c r="M801" i="3"/>
  <c r="O801" i="3"/>
  <c r="S801" i="3"/>
  <c r="Q801" i="3"/>
  <c r="N801" i="3"/>
  <c r="F918" i="3"/>
  <c r="G918" i="3"/>
  <c r="F950" i="3"/>
  <c r="G950" i="3"/>
  <c r="Q869" i="3"/>
  <c r="M869" i="3"/>
  <c r="P869" i="3"/>
  <c r="O869" i="3"/>
  <c r="N869" i="3"/>
  <c r="S869" i="3"/>
  <c r="R869" i="3"/>
  <c r="R994" i="3"/>
  <c r="N994" i="3"/>
  <c r="Q994" i="3"/>
  <c r="P994" i="3"/>
  <c r="O994" i="3"/>
  <c r="S994" i="3"/>
  <c r="M994" i="3"/>
  <c r="P673" i="3"/>
  <c r="R673" i="3"/>
  <c r="M673" i="3"/>
  <c r="S673" i="3"/>
  <c r="Q673" i="3"/>
  <c r="O673" i="3"/>
  <c r="N673" i="3"/>
  <c r="F751" i="3"/>
  <c r="G751" i="3"/>
  <c r="R815" i="3"/>
  <c r="N815" i="3"/>
  <c r="S815" i="3"/>
  <c r="M815" i="3"/>
  <c r="P815" i="3"/>
  <c r="Q815" i="3"/>
  <c r="O815" i="3"/>
  <c r="G871" i="3"/>
  <c r="F871" i="3"/>
  <c r="F595" i="3"/>
  <c r="G595" i="3"/>
  <c r="R687" i="3"/>
  <c r="N687" i="3"/>
  <c r="S687" i="3"/>
  <c r="M687" i="3"/>
  <c r="Q687" i="3"/>
  <c r="P687" i="3"/>
  <c r="O687" i="3"/>
  <c r="F731" i="3"/>
  <c r="G731" i="3"/>
  <c r="G757" i="3"/>
  <c r="F757" i="3"/>
  <c r="S808" i="3"/>
  <c r="O808" i="3"/>
  <c r="P808" i="3"/>
  <c r="R808" i="3"/>
  <c r="M808" i="3"/>
  <c r="N808" i="3"/>
  <c r="Q808" i="3"/>
  <c r="G840" i="3"/>
  <c r="F840" i="3"/>
  <c r="F727" i="3"/>
  <c r="G727" i="3"/>
  <c r="G817" i="3"/>
  <c r="F817" i="3"/>
  <c r="R823" i="3"/>
  <c r="N823" i="3"/>
  <c r="S823" i="3"/>
  <c r="M823" i="3"/>
  <c r="P823" i="3"/>
  <c r="Q823" i="3"/>
  <c r="O823" i="3"/>
  <c r="F898" i="3"/>
  <c r="G898" i="3"/>
  <c r="Q949" i="3"/>
  <c r="M949" i="3"/>
  <c r="R949" i="3"/>
  <c r="P949" i="3"/>
  <c r="O949" i="3"/>
  <c r="N949" i="3"/>
  <c r="S949" i="3"/>
  <c r="R266" i="3"/>
  <c r="N266" i="3"/>
  <c r="S266" i="3"/>
  <c r="M266" i="3"/>
  <c r="O266" i="3"/>
  <c r="Q266" i="3"/>
  <c r="P266" i="3"/>
  <c r="G356" i="3"/>
  <c r="F356" i="3"/>
  <c r="S375" i="3"/>
  <c r="O375" i="3"/>
  <c r="R375" i="3"/>
  <c r="M375" i="3"/>
  <c r="N375" i="3"/>
  <c r="Q375" i="3"/>
  <c r="P375" i="3"/>
  <c r="F394" i="3"/>
  <c r="G394" i="3"/>
  <c r="G459" i="3"/>
  <c r="F459" i="3"/>
  <c r="G396" i="3"/>
  <c r="F396" i="3"/>
  <c r="S415" i="3"/>
  <c r="O415" i="3"/>
  <c r="R415" i="3"/>
  <c r="M415" i="3"/>
  <c r="Q415" i="3"/>
  <c r="P415" i="3"/>
  <c r="N415" i="3"/>
  <c r="R242" i="3"/>
  <c r="N242" i="3"/>
  <c r="S242" i="3"/>
  <c r="M242" i="3"/>
  <c r="Q242" i="3"/>
  <c r="P242" i="3"/>
  <c r="O242" i="3"/>
  <c r="F274" i="3"/>
  <c r="G274" i="3"/>
  <c r="R370" i="3"/>
  <c r="N370" i="3"/>
  <c r="S370" i="3"/>
  <c r="M370" i="3"/>
  <c r="Q370" i="3"/>
  <c r="P370" i="3"/>
  <c r="O370" i="3"/>
  <c r="S39" i="3"/>
  <c r="O39" i="3"/>
  <c r="R39" i="3"/>
  <c r="N39" i="3"/>
  <c r="Q39" i="3"/>
  <c r="M39" i="3"/>
  <c r="P39" i="3"/>
  <c r="G55" i="3"/>
  <c r="F55" i="3"/>
  <c r="S71" i="3"/>
  <c r="O71" i="3"/>
  <c r="R71" i="3"/>
  <c r="N71" i="3"/>
  <c r="M71" i="3"/>
  <c r="Q71" i="3"/>
  <c r="P71" i="3"/>
  <c r="Q157" i="3"/>
  <c r="M157" i="3"/>
  <c r="S157" i="3"/>
  <c r="N157" i="3"/>
  <c r="R157" i="3"/>
  <c r="P157" i="3"/>
  <c r="O157" i="3"/>
  <c r="F162" i="3"/>
  <c r="G162" i="3"/>
  <c r="S195" i="3"/>
  <c r="O195" i="3"/>
  <c r="P195" i="3"/>
  <c r="R195" i="3"/>
  <c r="Q195" i="3"/>
  <c r="N195" i="3"/>
  <c r="M195" i="3"/>
  <c r="S199" i="3"/>
  <c r="O199" i="3"/>
  <c r="R199" i="3"/>
  <c r="M199" i="3"/>
  <c r="Q199" i="3"/>
  <c r="P199" i="3"/>
  <c r="N199" i="3"/>
  <c r="F250" i="3"/>
  <c r="G250" i="3"/>
  <c r="G336" i="3"/>
  <c r="F336" i="3"/>
  <c r="F369" i="3"/>
  <c r="G369" i="3"/>
  <c r="P372" i="3"/>
  <c r="R372" i="3"/>
  <c r="M372" i="3"/>
  <c r="Q372" i="3"/>
  <c r="O372" i="3"/>
  <c r="N372" i="3"/>
  <c r="S372" i="3"/>
  <c r="R382" i="3"/>
  <c r="N382" i="3"/>
  <c r="P382" i="3"/>
  <c r="Q382" i="3"/>
  <c r="O382" i="3"/>
  <c r="M382" i="3"/>
  <c r="S382" i="3"/>
  <c r="G23" i="3"/>
  <c r="F23" i="3"/>
  <c r="G83" i="3"/>
  <c r="F83" i="3"/>
  <c r="G156" i="3"/>
  <c r="F156" i="3"/>
  <c r="S167" i="3"/>
  <c r="O167" i="3"/>
  <c r="R167" i="3"/>
  <c r="M167" i="3"/>
  <c r="Q167" i="3"/>
  <c r="P167" i="3"/>
  <c r="N167" i="3"/>
  <c r="Q217" i="3"/>
  <c r="M217" i="3"/>
  <c r="P217" i="3"/>
  <c r="O217" i="3"/>
  <c r="N217" i="3"/>
  <c r="S217" i="3"/>
  <c r="R217" i="3"/>
  <c r="P312" i="3"/>
  <c r="O312" i="3"/>
  <c r="Q312" i="3"/>
  <c r="N312" i="3"/>
  <c r="S312" i="3"/>
  <c r="M312" i="3"/>
  <c r="R312" i="3"/>
  <c r="F345" i="3"/>
  <c r="G345" i="3"/>
  <c r="G367" i="3"/>
  <c r="F367" i="3"/>
  <c r="P420" i="3"/>
  <c r="S420" i="3"/>
  <c r="N420" i="3"/>
  <c r="R420" i="3"/>
  <c r="M420" i="3"/>
  <c r="Q420" i="3"/>
  <c r="O420" i="3"/>
  <c r="F516" i="3"/>
  <c r="G516" i="3"/>
  <c r="F554" i="3"/>
  <c r="G554" i="3"/>
  <c r="R671" i="3"/>
  <c r="N671" i="3"/>
  <c r="S671" i="3"/>
  <c r="M671" i="3"/>
  <c r="O671" i="3"/>
  <c r="Q671" i="3"/>
  <c r="P671" i="3"/>
  <c r="S588" i="3"/>
  <c r="O588" i="3"/>
  <c r="P588" i="3"/>
  <c r="N588" i="3"/>
  <c r="R588" i="3"/>
  <c r="M588" i="3"/>
  <c r="Q588" i="3"/>
  <c r="G601" i="3"/>
  <c r="F601" i="3"/>
  <c r="F884" i="3"/>
  <c r="G884" i="3"/>
  <c r="S991" i="3"/>
  <c r="O991" i="3"/>
  <c r="Q991" i="3"/>
  <c r="P991" i="3"/>
  <c r="R991" i="3"/>
  <c r="N991" i="3"/>
  <c r="M991" i="3"/>
  <c r="S483" i="3"/>
  <c r="O483" i="3"/>
  <c r="N483" i="3"/>
  <c r="R483" i="3"/>
  <c r="M483" i="3"/>
  <c r="Q483" i="3"/>
  <c r="P483" i="3"/>
  <c r="F548" i="3"/>
  <c r="G548" i="3"/>
  <c r="P562" i="3"/>
  <c r="S562" i="3"/>
  <c r="O562" i="3"/>
  <c r="R562" i="3"/>
  <c r="N562" i="3"/>
  <c r="Q562" i="3"/>
  <c r="M562" i="3"/>
  <c r="P566" i="3"/>
  <c r="S566" i="3"/>
  <c r="O566" i="3"/>
  <c r="R566" i="3"/>
  <c r="N566" i="3"/>
  <c r="Q566" i="3"/>
  <c r="M566" i="3"/>
  <c r="P570" i="3"/>
  <c r="S570" i="3"/>
  <c r="O570" i="3"/>
  <c r="R570" i="3"/>
  <c r="N570" i="3"/>
  <c r="Q570" i="3"/>
  <c r="M570" i="3"/>
  <c r="P585" i="3"/>
  <c r="O585" i="3"/>
  <c r="S585" i="3"/>
  <c r="N585" i="3"/>
  <c r="R585" i="3"/>
  <c r="M585" i="3"/>
  <c r="Q585" i="3"/>
  <c r="G625" i="3"/>
  <c r="F625" i="3"/>
  <c r="F536" i="3"/>
  <c r="G536" i="3"/>
  <c r="R552" i="3"/>
  <c r="N552" i="3"/>
  <c r="P552" i="3"/>
  <c r="Q552" i="3"/>
  <c r="O552" i="3"/>
  <c r="M552" i="3"/>
  <c r="S552" i="3"/>
  <c r="G590" i="3"/>
  <c r="F590" i="3"/>
  <c r="G617" i="3"/>
  <c r="F617" i="3"/>
  <c r="F655" i="3"/>
  <c r="G655" i="3"/>
  <c r="P665" i="3"/>
  <c r="R665" i="3"/>
  <c r="M665" i="3"/>
  <c r="N665" i="3"/>
  <c r="S665" i="3"/>
  <c r="Q665" i="3"/>
  <c r="O665" i="3"/>
  <c r="S704" i="3"/>
  <c r="O704" i="3"/>
  <c r="P704" i="3"/>
  <c r="R704" i="3"/>
  <c r="M704" i="3"/>
  <c r="Q704" i="3"/>
  <c r="N704" i="3"/>
  <c r="G832" i="3"/>
  <c r="F832" i="3"/>
  <c r="P853" i="3"/>
  <c r="O853" i="3"/>
  <c r="S853" i="3"/>
  <c r="N853" i="3"/>
  <c r="R853" i="3"/>
  <c r="M853" i="3"/>
  <c r="Q853" i="3"/>
  <c r="P729" i="3"/>
  <c r="R729" i="3"/>
  <c r="M729" i="3"/>
  <c r="O729" i="3"/>
  <c r="Q729" i="3"/>
  <c r="N729" i="3"/>
  <c r="S729" i="3"/>
  <c r="P793" i="3"/>
  <c r="R793" i="3"/>
  <c r="M793" i="3"/>
  <c r="O793" i="3"/>
  <c r="Q793" i="3"/>
  <c r="N793" i="3"/>
  <c r="S793" i="3"/>
  <c r="G861" i="3"/>
  <c r="F861" i="3"/>
  <c r="F587" i="3"/>
  <c r="G587" i="3"/>
  <c r="S668" i="3"/>
  <c r="O668" i="3"/>
  <c r="R668" i="3"/>
  <c r="M668" i="3"/>
  <c r="Q668" i="3"/>
  <c r="P668" i="3"/>
  <c r="N668" i="3"/>
  <c r="G848" i="3"/>
  <c r="F848" i="3"/>
  <c r="S951" i="3"/>
  <c r="O951" i="3"/>
  <c r="Q951" i="3"/>
  <c r="P951" i="3"/>
  <c r="R951" i="3"/>
  <c r="N951" i="3"/>
  <c r="M951" i="3"/>
  <c r="G983" i="3"/>
  <c r="F983" i="3"/>
  <c r="G661" i="3"/>
  <c r="F661" i="3"/>
  <c r="R699" i="3"/>
  <c r="N699" i="3"/>
  <c r="P699" i="3"/>
  <c r="O699" i="3"/>
  <c r="M699" i="3"/>
  <c r="S699" i="3"/>
  <c r="Q699" i="3"/>
  <c r="G845" i="3"/>
  <c r="F845" i="3"/>
  <c r="Q957" i="3"/>
  <c r="M957" i="3"/>
  <c r="R957" i="3"/>
  <c r="P957" i="3"/>
  <c r="O957" i="3"/>
  <c r="N957" i="3"/>
  <c r="S957" i="3"/>
  <c r="Q989" i="3"/>
  <c r="M989" i="3"/>
  <c r="R989" i="3"/>
  <c r="P989" i="3"/>
  <c r="O989" i="3"/>
  <c r="N989" i="3"/>
  <c r="S989" i="3"/>
  <c r="G864" i="3"/>
  <c r="F864" i="3"/>
  <c r="P928" i="3"/>
  <c r="R928" i="3"/>
  <c r="M928" i="3"/>
  <c r="Q928" i="3"/>
  <c r="O928" i="3"/>
  <c r="N928" i="3"/>
  <c r="S928" i="3"/>
  <c r="G900" i="3"/>
  <c r="F900" i="3"/>
  <c r="P904" i="3"/>
  <c r="R904" i="3"/>
  <c r="M904" i="3"/>
  <c r="O904" i="3"/>
  <c r="N904" i="3"/>
  <c r="S904" i="3"/>
  <c r="Q904" i="3"/>
  <c r="F1002" i="3"/>
  <c r="G1002" i="3"/>
  <c r="G132" i="3"/>
  <c r="F132" i="3"/>
  <c r="S143" i="3"/>
  <c r="O143" i="3"/>
  <c r="R143" i="3"/>
  <c r="M143" i="3"/>
  <c r="Q143" i="3"/>
  <c r="P143" i="3"/>
  <c r="N143" i="3"/>
  <c r="G207" i="3"/>
  <c r="F207" i="3"/>
  <c r="R258" i="3"/>
  <c r="N258" i="3"/>
  <c r="S258" i="3"/>
  <c r="M258" i="3"/>
  <c r="P258" i="3"/>
  <c r="O258" i="3"/>
  <c r="Q258" i="3"/>
  <c r="R262" i="3"/>
  <c r="N262" i="3"/>
  <c r="P262" i="3"/>
  <c r="O262" i="3"/>
  <c r="M262" i="3"/>
  <c r="S262" i="3"/>
  <c r="Q262" i="3"/>
  <c r="Q317" i="3"/>
  <c r="M317" i="3"/>
  <c r="S317" i="3"/>
  <c r="N317" i="3"/>
  <c r="O317" i="3"/>
  <c r="R317" i="3"/>
  <c r="P317" i="3"/>
  <c r="S363" i="3"/>
  <c r="O363" i="3"/>
  <c r="P363" i="3"/>
  <c r="Q363" i="3"/>
  <c r="N363" i="3"/>
  <c r="M363" i="3"/>
  <c r="R363" i="3"/>
  <c r="F390" i="3"/>
  <c r="G390" i="3"/>
  <c r="G412" i="3"/>
  <c r="F412" i="3"/>
  <c r="F484" i="3"/>
  <c r="G484" i="3"/>
  <c r="G495" i="3"/>
  <c r="F495" i="3"/>
  <c r="G527" i="3"/>
  <c r="F527" i="3"/>
  <c r="R556" i="3"/>
  <c r="N556" i="3"/>
  <c r="P556" i="3"/>
  <c r="O556" i="3"/>
  <c r="M556" i="3"/>
  <c r="S556" i="3"/>
  <c r="Q556" i="3"/>
  <c r="R430" i="3"/>
  <c r="N430" i="3"/>
  <c r="Q430" i="3"/>
  <c r="P430" i="3"/>
  <c r="S430" i="3"/>
  <c r="O430" i="3"/>
  <c r="M430" i="3"/>
  <c r="Q497" i="3"/>
  <c r="M497" i="3"/>
  <c r="O497" i="3"/>
  <c r="S497" i="3"/>
  <c r="N497" i="3"/>
  <c r="R497" i="3"/>
  <c r="P497" i="3"/>
  <c r="G505" i="3"/>
  <c r="F505" i="3"/>
  <c r="Q529" i="3"/>
  <c r="M529" i="3"/>
  <c r="O529" i="3"/>
  <c r="S529" i="3"/>
  <c r="N529" i="3"/>
  <c r="R529" i="3"/>
  <c r="P529" i="3"/>
  <c r="P577" i="3"/>
  <c r="O577" i="3"/>
  <c r="S577" i="3"/>
  <c r="N577" i="3"/>
  <c r="R577" i="3"/>
  <c r="M577" i="3"/>
  <c r="Q577" i="3"/>
  <c r="R631" i="3"/>
  <c r="N631" i="3"/>
  <c r="P631" i="3"/>
  <c r="O631" i="3"/>
  <c r="S631" i="3"/>
  <c r="M631" i="3"/>
  <c r="Q631" i="3"/>
  <c r="F707" i="3"/>
  <c r="G707" i="3"/>
  <c r="R739" i="3"/>
  <c r="N739" i="3"/>
  <c r="P739" i="3"/>
  <c r="S739" i="3"/>
  <c r="M739" i="3"/>
  <c r="Q739" i="3"/>
  <c r="O739" i="3"/>
  <c r="F771" i="3"/>
  <c r="G771" i="3"/>
  <c r="R803" i="3"/>
  <c r="N803" i="3"/>
  <c r="P803" i="3"/>
  <c r="S803" i="3"/>
  <c r="M803" i="3"/>
  <c r="Q803" i="3"/>
  <c r="O803" i="3"/>
  <c r="F835" i="3"/>
  <c r="G835" i="3"/>
  <c r="G903" i="3"/>
  <c r="F903" i="3"/>
  <c r="G491" i="3"/>
  <c r="F491" i="3"/>
  <c r="R623" i="3"/>
  <c r="N623" i="3"/>
  <c r="P623" i="3"/>
  <c r="O623" i="3"/>
  <c r="S623" i="3"/>
  <c r="M623" i="3"/>
  <c r="Q623" i="3"/>
  <c r="F615" i="3"/>
  <c r="G615" i="3"/>
  <c r="S816" i="3"/>
  <c r="O816" i="3"/>
  <c r="P816" i="3"/>
  <c r="R816" i="3"/>
  <c r="M816" i="3"/>
  <c r="Q816" i="3"/>
  <c r="N816" i="3"/>
  <c r="F14" i="3"/>
  <c r="S431" i="3"/>
  <c r="O431" i="3"/>
  <c r="N431" i="3"/>
  <c r="R431" i="3"/>
  <c r="M431" i="3"/>
  <c r="Q431" i="3"/>
  <c r="P431" i="3"/>
  <c r="G457" i="3"/>
  <c r="F457" i="3"/>
  <c r="S463" i="3"/>
  <c r="O463" i="3"/>
  <c r="P463" i="3"/>
  <c r="N463" i="3"/>
  <c r="R463" i="3"/>
  <c r="M463" i="3"/>
  <c r="Q463" i="3"/>
  <c r="F450" i="3"/>
  <c r="G450" i="3"/>
  <c r="G268" i="3"/>
  <c r="F268" i="3"/>
  <c r="P300" i="3"/>
  <c r="R300" i="3"/>
  <c r="M300" i="3"/>
  <c r="S300" i="3"/>
  <c r="Q300" i="3"/>
  <c r="O300" i="3"/>
  <c r="N300" i="3"/>
  <c r="S59" i="3"/>
  <c r="O59" i="3"/>
  <c r="R59" i="3"/>
  <c r="N59" i="3"/>
  <c r="P59" i="3"/>
  <c r="Q59" i="3"/>
  <c r="M59" i="3"/>
  <c r="G103" i="3"/>
  <c r="F103" i="3"/>
  <c r="Q149" i="3"/>
  <c r="M149" i="3"/>
  <c r="S149" i="3"/>
  <c r="N149" i="3"/>
  <c r="R149" i="3"/>
  <c r="P149" i="3"/>
  <c r="O149" i="3"/>
  <c r="F154" i="3"/>
  <c r="G154" i="3"/>
  <c r="F222" i="3"/>
  <c r="G222" i="3"/>
  <c r="Q245" i="3"/>
  <c r="M245" i="3"/>
  <c r="S245" i="3"/>
  <c r="N245" i="3"/>
  <c r="P245" i="3"/>
  <c r="O245" i="3"/>
  <c r="R245" i="3"/>
  <c r="G323" i="3"/>
  <c r="F323" i="3"/>
  <c r="Q337" i="3"/>
  <c r="M337" i="3"/>
  <c r="P337" i="3"/>
  <c r="R337" i="3"/>
  <c r="O337" i="3"/>
  <c r="N337" i="3"/>
  <c r="S337" i="3"/>
  <c r="G340" i="3"/>
  <c r="F340" i="3"/>
  <c r="R346" i="3"/>
  <c r="N346" i="3"/>
  <c r="S346" i="3"/>
  <c r="M346" i="3"/>
  <c r="Q346" i="3"/>
  <c r="P346" i="3"/>
  <c r="O346" i="3"/>
  <c r="G373" i="3"/>
  <c r="F373" i="3"/>
  <c r="G708" i="3"/>
  <c r="F708" i="3"/>
  <c r="S804" i="3"/>
  <c r="O804" i="3"/>
  <c r="R804" i="3"/>
  <c r="M804" i="3"/>
  <c r="P804" i="3"/>
  <c r="Q804" i="3"/>
  <c r="N804" i="3"/>
  <c r="S891" i="3"/>
  <c r="O891" i="3"/>
  <c r="R891" i="3"/>
  <c r="M891" i="3"/>
  <c r="P891" i="3"/>
  <c r="N891" i="3"/>
  <c r="Q891" i="3"/>
  <c r="R986" i="3"/>
  <c r="N986" i="3"/>
  <c r="Q986" i="3"/>
  <c r="P986" i="3"/>
  <c r="O986" i="3"/>
  <c r="M986" i="3"/>
  <c r="S986" i="3"/>
  <c r="G997" i="3"/>
  <c r="F997" i="3"/>
  <c r="Q1003" i="3"/>
  <c r="M1003" i="3"/>
  <c r="P1003" i="3"/>
  <c r="S1003" i="3"/>
  <c r="O1003" i="3"/>
  <c r="R1003" i="3"/>
  <c r="N1003" i="3"/>
  <c r="G17" i="3"/>
  <c r="F17" i="3"/>
  <c r="P460" i="3"/>
  <c r="O460" i="3"/>
  <c r="S460" i="3"/>
  <c r="N460" i="3"/>
  <c r="R460" i="3"/>
  <c r="M460" i="3"/>
  <c r="Q460" i="3"/>
  <c r="R210" i="3"/>
  <c r="N210" i="3"/>
  <c r="S210" i="3"/>
  <c r="M210" i="3"/>
  <c r="Q210" i="3"/>
  <c r="P210" i="3"/>
  <c r="O210" i="3"/>
  <c r="S47" i="3"/>
  <c r="O47" i="3"/>
  <c r="R47" i="3"/>
  <c r="N47" i="3"/>
  <c r="P47" i="3"/>
  <c r="Q47" i="3"/>
  <c r="M47" i="3"/>
  <c r="G79" i="3"/>
  <c r="F79" i="3"/>
  <c r="Q141" i="3"/>
  <c r="M141" i="3"/>
  <c r="S141" i="3"/>
  <c r="N141" i="3"/>
  <c r="R141" i="3"/>
  <c r="P141" i="3"/>
  <c r="O141" i="3"/>
  <c r="F146" i="3"/>
  <c r="G146" i="3"/>
  <c r="Q213" i="3"/>
  <c r="M213" i="3"/>
  <c r="S213" i="3"/>
  <c r="N213" i="3"/>
  <c r="P213" i="3"/>
  <c r="O213" i="3"/>
  <c r="R213" i="3"/>
  <c r="G291" i="3"/>
  <c r="F291" i="3"/>
  <c r="Q305" i="3"/>
  <c r="M305" i="3"/>
  <c r="P305" i="3"/>
  <c r="R305" i="3"/>
  <c r="O305" i="3"/>
  <c r="N305" i="3"/>
  <c r="S305" i="3"/>
  <c r="G308" i="3"/>
  <c r="F308" i="3"/>
  <c r="R314" i="3"/>
  <c r="N314" i="3"/>
  <c r="S314" i="3"/>
  <c r="M314" i="3"/>
  <c r="Q314" i="3"/>
  <c r="P314" i="3"/>
  <c r="O314" i="3"/>
  <c r="G341" i="3"/>
  <c r="F341" i="3"/>
  <c r="G391" i="3"/>
  <c r="F391" i="3"/>
  <c r="P400" i="3"/>
  <c r="O400" i="3"/>
  <c r="R400" i="3"/>
  <c r="Q400" i="3"/>
  <c r="N400" i="3"/>
  <c r="S400" i="3"/>
  <c r="M400" i="3"/>
  <c r="G441" i="3"/>
  <c r="F441" i="3"/>
  <c r="S447" i="3"/>
  <c r="O447" i="3"/>
  <c r="P447" i="3"/>
  <c r="N447" i="3"/>
  <c r="R447" i="3"/>
  <c r="M447" i="3"/>
  <c r="Q447" i="3"/>
  <c r="G140" i="3"/>
  <c r="F140" i="3"/>
  <c r="S151" i="3"/>
  <c r="O151" i="3"/>
  <c r="R151" i="3"/>
  <c r="M151" i="3"/>
  <c r="Q151" i="3"/>
  <c r="P151" i="3"/>
  <c r="N151" i="3"/>
  <c r="F194" i="3"/>
  <c r="G194" i="3"/>
  <c r="G203" i="3"/>
  <c r="F203" i="3"/>
  <c r="F226" i="3"/>
  <c r="G226" i="3"/>
  <c r="G248" i="3"/>
  <c r="F248" i="3"/>
  <c r="P252" i="3"/>
  <c r="R252" i="3"/>
  <c r="M252" i="3"/>
  <c r="O252" i="3"/>
  <c r="N252" i="3"/>
  <c r="S252" i="3"/>
  <c r="Q252" i="3"/>
  <c r="Q281" i="3"/>
  <c r="M281" i="3"/>
  <c r="P281" i="3"/>
  <c r="O281" i="3"/>
  <c r="N281" i="3"/>
  <c r="S281" i="3"/>
  <c r="R281" i="3"/>
  <c r="P376" i="3"/>
  <c r="O376" i="3"/>
  <c r="Q376" i="3"/>
  <c r="N376" i="3"/>
  <c r="S376" i="3"/>
  <c r="M376" i="3"/>
  <c r="R376" i="3"/>
  <c r="F409" i="3"/>
  <c r="G409" i="3"/>
  <c r="S435" i="3"/>
  <c r="O435" i="3"/>
  <c r="R435" i="3"/>
  <c r="M435" i="3"/>
  <c r="Q435" i="3"/>
  <c r="P435" i="3"/>
  <c r="N435" i="3"/>
  <c r="G467" i="3"/>
  <c r="F467" i="3"/>
  <c r="P500" i="3"/>
  <c r="Q500" i="3"/>
  <c r="O500" i="3"/>
  <c r="S500" i="3"/>
  <c r="N500" i="3"/>
  <c r="R500" i="3"/>
  <c r="M500" i="3"/>
  <c r="S519" i="3"/>
  <c r="O519" i="3"/>
  <c r="Q519" i="3"/>
  <c r="P519" i="3"/>
  <c r="N519" i="3"/>
  <c r="R519" i="3"/>
  <c r="M519" i="3"/>
  <c r="Q606" i="3"/>
  <c r="M606" i="3"/>
  <c r="S606" i="3"/>
  <c r="N606" i="3"/>
  <c r="R606" i="3"/>
  <c r="P606" i="3"/>
  <c r="O606" i="3"/>
  <c r="G638" i="3"/>
  <c r="F638" i="3"/>
  <c r="S644" i="3"/>
  <c r="O644" i="3"/>
  <c r="P644" i="3"/>
  <c r="N644" i="3"/>
  <c r="R644" i="3"/>
  <c r="M644" i="3"/>
  <c r="Q644" i="3"/>
  <c r="G944" i="3"/>
  <c r="F944" i="3"/>
  <c r="R438" i="3"/>
  <c r="N438" i="3"/>
  <c r="S438" i="3"/>
  <c r="M438" i="3"/>
  <c r="Q438" i="3"/>
  <c r="P438" i="3"/>
  <c r="O438" i="3"/>
  <c r="F470" i="3"/>
  <c r="G470" i="3"/>
  <c r="G489" i="3"/>
  <c r="F489" i="3"/>
  <c r="F558" i="3"/>
  <c r="G558" i="3"/>
  <c r="S600" i="3"/>
  <c r="O600" i="3"/>
  <c r="R600" i="3"/>
  <c r="M600" i="3"/>
  <c r="Q600" i="3"/>
  <c r="P600" i="3"/>
  <c r="N600" i="3"/>
  <c r="G632" i="3"/>
  <c r="F632" i="3"/>
  <c r="F583" i="3"/>
  <c r="G583" i="3"/>
  <c r="S624" i="3"/>
  <c r="O624" i="3"/>
  <c r="R624" i="3"/>
  <c r="M624" i="3"/>
  <c r="Q624" i="3"/>
  <c r="P624" i="3"/>
  <c r="N624" i="3"/>
  <c r="G688" i="3"/>
  <c r="F688" i="3"/>
  <c r="P534" i="3"/>
  <c r="R534" i="3"/>
  <c r="N534" i="3"/>
  <c r="Q534" i="3"/>
  <c r="O534" i="3"/>
  <c r="M534" i="3"/>
  <c r="S534" i="3"/>
  <c r="R591" i="3"/>
  <c r="N591" i="3"/>
  <c r="P591" i="3"/>
  <c r="O591" i="3"/>
  <c r="S591" i="3"/>
  <c r="M591" i="3"/>
  <c r="Q591" i="3"/>
  <c r="S648" i="3"/>
  <c r="O648" i="3"/>
  <c r="R648" i="3"/>
  <c r="M648" i="3"/>
  <c r="Q648" i="3"/>
  <c r="P648" i="3"/>
  <c r="N648" i="3"/>
  <c r="G654" i="3"/>
  <c r="F654" i="3"/>
  <c r="G674" i="3"/>
  <c r="F674" i="3"/>
  <c r="G800" i="3"/>
  <c r="F800" i="3"/>
  <c r="R679" i="3"/>
  <c r="N679" i="3"/>
  <c r="S679" i="3"/>
  <c r="M679" i="3"/>
  <c r="Q679" i="3"/>
  <c r="P679" i="3"/>
  <c r="O679" i="3"/>
  <c r="G692" i="3"/>
  <c r="F692" i="3"/>
  <c r="P745" i="3"/>
  <c r="R745" i="3"/>
  <c r="M745" i="3"/>
  <c r="O745" i="3"/>
  <c r="Q745" i="3"/>
  <c r="N745" i="3"/>
  <c r="S745" i="3"/>
  <c r="P809" i="3"/>
  <c r="R809" i="3"/>
  <c r="M809" i="3"/>
  <c r="O809" i="3"/>
  <c r="Q809" i="3"/>
  <c r="N809" i="3"/>
  <c r="S809" i="3"/>
  <c r="R859" i="3"/>
  <c r="N859" i="3"/>
  <c r="P859" i="3"/>
  <c r="O859" i="3"/>
  <c r="S859" i="3"/>
  <c r="M859" i="3"/>
  <c r="Q859" i="3"/>
  <c r="R635" i="3"/>
  <c r="N635" i="3"/>
  <c r="S635" i="3"/>
  <c r="M635" i="3"/>
  <c r="Q635" i="3"/>
  <c r="P635" i="3"/>
  <c r="O635" i="3"/>
  <c r="G664" i="3"/>
  <c r="F664" i="3"/>
  <c r="G681" i="3"/>
  <c r="F681" i="3"/>
  <c r="S911" i="3"/>
  <c r="O911" i="3"/>
  <c r="P911" i="3"/>
  <c r="R911" i="3"/>
  <c r="Q911" i="3"/>
  <c r="N911" i="3"/>
  <c r="M911" i="3"/>
  <c r="G689" i="3"/>
  <c r="F689" i="3"/>
  <c r="F916" i="3"/>
  <c r="G916" i="3"/>
  <c r="R866" i="3"/>
  <c r="N866" i="3"/>
  <c r="P866" i="3"/>
  <c r="S866" i="3"/>
  <c r="Q866" i="3"/>
  <c r="O866" i="3"/>
  <c r="M866" i="3"/>
  <c r="P888" i="3"/>
  <c r="R888" i="3"/>
  <c r="M888" i="3"/>
  <c r="S888" i="3"/>
  <c r="Q888" i="3"/>
  <c r="O888" i="3"/>
  <c r="N888" i="3"/>
  <c r="F926" i="3"/>
  <c r="G926" i="3"/>
  <c r="F958" i="3"/>
  <c r="G958" i="3"/>
  <c r="F990" i="3"/>
  <c r="G990" i="3"/>
  <c r="G844" i="3"/>
  <c r="F844" i="3"/>
  <c r="P932" i="3"/>
  <c r="O932" i="3"/>
  <c r="Q932" i="3"/>
  <c r="N932" i="3"/>
  <c r="S932" i="3"/>
  <c r="M932" i="3"/>
  <c r="R932" i="3"/>
  <c r="P1000" i="3"/>
  <c r="S1000" i="3"/>
  <c r="N1000" i="3"/>
  <c r="R1000" i="3"/>
  <c r="M1000" i="3"/>
  <c r="Q1000" i="3"/>
  <c r="O1000" i="3"/>
  <c r="G1005" i="3"/>
  <c r="F1005" i="3"/>
  <c r="R922" i="3"/>
  <c r="N922" i="3"/>
  <c r="P922" i="3"/>
  <c r="M922" i="3"/>
  <c r="S922" i="3"/>
  <c r="Q922" i="3"/>
  <c r="O922" i="3"/>
  <c r="R894" i="3"/>
  <c r="N894" i="3"/>
  <c r="S894" i="3"/>
  <c r="M894" i="3"/>
  <c r="Q894" i="3"/>
  <c r="P894" i="3"/>
  <c r="O894" i="3"/>
  <c r="G907" i="3"/>
  <c r="F907" i="3"/>
  <c r="F982" i="3"/>
  <c r="G982" i="3"/>
  <c r="F847" i="3"/>
  <c r="G847" i="3"/>
  <c r="F934" i="3"/>
  <c r="G934" i="3"/>
  <c r="P857" i="3"/>
  <c r="R857" i="3"/>
  <c r="M857" i="3"/>
  <c r="Q857" i="3"/>
  <c r="O857" i="3"/>
  <c r="S857" i="3"/>
  <c r="N857" i="3"/>
  <c r="F914" i="3"/>
  <c r="G914" i="3"/>
  <c r="G995" i="3"/>
  <c r="F995" i="3"/>
  <c r="R970" i="3"/>
  <c r="N970" i="3"/>
  <c r="Q970" i="3"/>
  <c r="P970" i="3"/>
  <c r="O970" i="3"/>
  <c r="M970" i="3"/>
  <c r="S970" i="3"/>
  <c r="S776" i="3"/>
  <c r="O776" i="3"/>
  <c r="P776" i="3"/>
  <c r="R776" i="3"/>
  <c r="M776" i="3"/>
  <c r="N776" i="3"/>
  <c r="Q776" i="3"/>
  <c r="P821" i="3"/>
  <c r="O821" i="3"/>
  <c r="R821" i="3"/>
  <c r="M821" i="3"/>
  <c r="N821" i="3"/>
  <c r="S821" i="3"/>
  <c r="Q821" i="3"/>
  <c r="R827" i="3"/>
  <c r="N827" i="3"/>
  <c r="P827" i="3"/>
  <c r="S827" i="3"/>
  <c r="M827" i="3"/>
  <c r="O827" i="3"/>
  <c r="Q827" i="3"/>
  <c r="R695" i="3"/>
  <c r="N695" i="3"/>
  <c r="S695" i="3"/>
  <c r="M695" i="3"/>
  <c r="P695" i="3"/>
  <c r="O695" i="3"/>
  <c r="Q695" i="3"/>
  <c r="F791" i="3"/>
  <c r="G791" i="3"/>
  <c r="G987" i="3"/>
  <c r="F987" i="3"/>
  <c r="Q905" i="3"/>
  <c r="M905" i="3"/>
  <c r="S905" i="3"/>
  <c r="N905" i="3"/>
  <c r="O905" i="3"/>
  <c r="R905" i="3"/>
  <c r="P905" i="3"/>
  <c r="R458" i="3"/>
  <c r="N458" i="3"/>
  <c r="P458" i="3"/>
  <c r="O458" i="3"/>
  <c r="S458" i="3"/>
  <c r="M458" i="3"/>
  <c r="Q458" i="3"/>
  <c r="S19" i="3"/>
  <c r="O19" i="3"/>
  <c r="R19" i="3"/>
  <c r="N19" i="3"/>
  <c r="Q19" i="3"/>
  <c r="M19" i="3"/>
  <c r="P19" i="3"/>
  <c r="S35" i="3"/>
  <c r="O35" i="3"/>
  <c r="R35" i="3"/>
  <c r="N35" i="3"/>
  <c r="P35" i="3"/>
  <c r="Q35" i="3"/>
  <c r="M35" i="3"/>
  <c r="G119" i="3"/>
  <c r="F119" i="3"/>
  <c r="Q165" i="3"/>
  <c r="M165" i="3"/>
  <c r="S165" i="3"/>
  <c r="N165" i="3"/>
  <c r="R165" i="3"/>
  <c r="P165" i="3"/>
  <c r="O165" i="3"/>
  <c r="F282" i="3"/>
  <c r="G282" i="3"/>
  <c r="S27" i="3"/>
  <c r="O27" i="3"/>
  <c r="R27" i="3"/>
  <c r="N27" i="3"/>
  <c r="P27" i="3"/>
  <c r="Q27" i="3"/>
  <c r="M27" i="3"/>
  <c r="S159" i="3"/>
  <c r="O159" i="3"/>
  <c r="R159" i="3"/>
  <c r="M159" i="3"/>
  <c r="Q159" i="3"/>
  <c r="P159" i="3"/>
  <c r="N159" i="3"/>
  <c r="G216" i="3"/>
  <c r="F216" i="3"/>
  <c r="Q249" i="3"/>
  <c r="M249" i="3"/>
  <c r="P249" i="3"/>
  <c r="O249" i="3"/>
  <c r="N249" i="3"/>
  <c r="S249" i="3"/>
  <c r="R249" i="3"/>
  <c r="F538" i="3"/>
  <c r="G538" i="3"/>
  <c r="P669" i="3"/>
  <c r="O669" i="3"/>
  <c r="S669" i="3"/>
  <c r="M669" i="3"/>
  <c r="R669" i="3"/>
  <c r="Q669" i="3"/>
  <c r="N669" i="3"/>
  <c r="Q481" i="3"/>
  <c r="M481" i="3"/>
  <c r="O481" i="3"/>
  <c r="S481" i="3"/>
  <c r="N481" i="3"/>
  <c r="R481" i="3"/>
  <c r="P481" i="3"/>
  <c r="R518" i="3"/>
  <c r="N518" i="3"/>
  <c r="O518" i="3"/>
  <c r="S518" i="3"/>
  <c r="M518" i="3"/>
  <c r="Q518" i="3"/>
  <c r="P518" i="3"/>
  <c r="F542" i="3"/>
  <c r="G542" i="3"/>
  <c r="G717" i="3"/>
  <c r="F717" i="3"/>
  <c r="G781" i="3"/>
  <c r="F781" i="3"/>
  <c r="G569" i="3"/>
  <c r="F569" i="3"/>
  <c r="Q622" i="3"/>
  <c r="M622" i="3"/>
  <c r="S622" i="3"/>
  <c r="N622" i="3"/>
  <c r="R622" i="3"/>
  <c r="P622" i="3"/>
  <c r="O622" i="3"/>
  <c r="G652" i="3"/>
  <c r="F652" i="3"/>
  <c r="F767" i="3"/>
  <c r="G767" i="3"/>
  <c r="F579" i="3"/>
  <c r="G579" i="3"/>
  <c r="R715" i="3"/>
  <c r="N715" i="3"/>
  <c r="P715" i="3"/>
  <c r="S715" i="3"/>
  <c r="M715" i="3"/>
  <c r="O715" i="3"/>
  <c r="Q715" i="3"/>
  <c r="G968" i="3"/>
  <c r="F968" i="3"/>
  <c r="P984" i="3"/>
  <c r="S984" i="3"/>
  <c r="N984" i="3"/>
  <c r="R984" i="3"/>
  <c r="M984" i="3"/>
  <c r="Q984" i="3"/>
  <c r="O984" i="3"/>
  <c r="P705" i="3"/>
  <c r="R705" i="3"/>
  <c r="M705" i="3"/>
  <c r="O705" i="3"/>
  <c r="S705" i="3"/>
  <c r="Q705" i="3"/>
  <c r="N705" i="3"/>
  <c r="G724" i="3"/>
  <c r="F724" i="3"/>
  <c r="P769" i="3"/>
  <c r="R769" i="3"/>
  <c r="M769" i="3"/>
  <c r="O769" i="3"/>
  <c r="S769" i="3"/>
  <c r="Q769" i="3"/>
  <c r="N769" i="3"/>
  <c r="P833" i="3"/>
  <c r="R833" i="3"/>
  <c r="M833" i="3"/>
  <c r="O833" i="3"/>
  <c r="S833" i="3"/>
  <c r="Q833" i="3"/>
  <c r="N833" i="3"/>
  <c r="R751" i="3"/>
  <c r="N751" i="3"/>
  <c r="S751" i="3"/>
  <c r="M751" i="3"/>
  <c r="P751" i="3"/>
  <c r="Q751" i="3"/>
  <c r="O751" i="3"/>
  <c r="R627" i="3"/>
  <c r="N627" i="3"/>
  <c r="S627" i="3"/>
  <c r="M627" i="3"/>
  <c r="Q627" i="3"/>
  <c r="P627" i="3"/>
  <c r="O627" i="3"/>
  <c r="F823" i="3"/>
  <c r="G823" i="3"/>
  <c r="G919" i="3"/>
  <c r="F919" i="3"/>
  <c r="G236" i="3"/>
  <c r="F236" i="3"/>
  <c r="G452" i="3"/>
  <c r="F452" i="3"/>
  <c r="F338" i="3"/>
  <c r="G338" i="3"/>
  <c r="F130" i="3"/>
  <c r="G130" i="3"/>
  <c r="G195" i="3"/>
  <c r="F195" i="3"/>
  <c r="F378" i="3"/>
  <c r="G378" i="3"/>
  <c r="R442" i="3"/>
  <c r="N442" i="3"/>
  <c r="P442" i="3"/>
  <c r="O442" i="3"/>
  <c r="S442" i="3"/>
  <c r="M442" i="3"/>
  <c r="Q442" i="3"/>
  <c r="S367" i="3"/>
  <c r="O367" i="3"/>
  <c r="R367" i="3"/>
  <c r="M367" i="3"/>
  <c r="P367" i="3"/>
  <c r="N367" i="3"/>
  <c r="Q367" i="3"/>
  <c r="G395" i="3"/>
  <c r="F395" i="3"/>
  <c r="G503" i="3"/>
  <c r="F503" i="3"/>
  <c r="F540" i="3"/>
  <c r="G540" i="3"/>
  <c r="R607" i="3"/>
  <c r="N607" i="3"/>
  <c r="P607" i="3"/>
  <c r="O607" i="3"/>
  <c r="S607" i="3"/>
  <c r="M607" i="3"/>
  <c r="Q607" i="3"/>
  <c r="R454" i="3"/>
  <c r="N454" i="3"/>
  <c r="S454" i="3"/>
  <c r="M454" i="3"/>
  <c r="Q454" i="3"/>
  <c r="P454" i="3"/>
  <c r="O454" i="3"/>
  <c r="G889" i="3"/>
  <c r="F889" i="3"/>
  <c r="G991" i="3"/>
  <c r="F991" i="3"/>
  <c r="P697" i="3"/>
  <c r="R697" i="3"/>
  <c r="M697" i="3"/>
  <c r="N697" i="3"/>
  <c r="S697" i="3"/>
  <c r="Q697" i="3"/>
  <c r="O697" i="3"/>
  <c r="P825" i="3"/>
  <c r="R825" i="3"/>
  <c r="M825" i="3"/>
  <c r="O825" i="3"/>
  <c r="Q825" i="3"/>
  <c r="N825" i="3"/>
  <c r="S825" i="3"/>
  <c r="Q858" i="3"/>
  <c r="M858" i="3"/>
  <c r="S858" i="3"/>
  <c r="N858" i="3"/>
  <c r="R858" i="3"/>
  <c r="P858" i="3"/>
  <c r="O858" i="3"/>
  <c r="R619" i="3"/>
  <c r="N619" i="3"/>
  <c r="S619" i="3"/>
  <c r="M619" i="3"/>
  <c r="Q619" i="3"/>
  <c r="P619" i="3"/>
  <c r="O619" i="3"/>
  <c r="G951" i="3"/>
  <c r="F951" i="3"/>
  <c r="S983" i="3"/>
  <c r="O983" i="3"/>
  <c r="Q983" i="3"/>
  <c r="P983" i="3"/>
  <c r="R983" i="3"/>
  <c r="N983" i="3"/>
  <c r="M983" i="3"/>
  <c r="S592" i="3"/>
  <c r="O592" i="3"/>
  <c r="R592" i="3"/>
  <c r="M592" i="3"/>
  <c r="Q592" i="3"/>
  <c r="P592" i="3"/>
  <c r="N592" i="3"/>
  <c r="S672" i="3"/>
  <c r="O672" i="3"/>
  <c r="P672" i="3"/>
  <c r="Q672" i="3"/>
  <c r="N672" i="3"/>
  <c r="M672" i="3"/>
  <c r="R672" i="3"/>
  <c r="G875" i="3"/>
  <c r="F875" i="3"/>
  <c r="G963" i="3"/>
  <c r="F963" i="3"/>
  <c r="G849" i="3"/>
  <c r="F849" i="3"/>
  <c r="R946" i="3"/>
  <c r="N946" i="3"/>
  <c r="Q946" i="3"/>
  <c r="P946" i="3"/>
  <c r="O946" i="3"/>
  <c r="M946" i="3"/>
  <c r="S946" i="3"/>
  <c r="F978" i="3"/>
  <c r="G978" i="3"/>
  <c r="G91" i="3"/>
  <c r="F91" i="3"/>
  <c r="R122" i="3"/>
  <c r="N122" i="3"/>
  <c r="S122" i="3"/>
  <c r="M122" i="3"/>
  <c r="Q122" i="3"/>
  <c r="P122" i="3"/>
  <c r="O122" i="3"/>
  <c r="F466" i="3"/>
  <c r="G466" i="3"/>
  <c r="G479" i="3"/>
  <c r="F479" i="3"/>
  <c r="G640" i="3"/>
  <c r="F640" i="3"/>
  <c r="G521" i="3"/>
  <c r="F521" i="3"/>
  <c r="F544" i="3"/>
  <c r="G544" i="3"/>
  <c r="F599" i="3"/>
  <c r="G599" i="3"/>
  <c r="R532" i="3"/>
  <c r="N532" i="3"/>
  <c r="P532" i="3"/>
  <c r="S532" i="3"/>
  <c r="Q532" i="3"/>
  <c r="O532" i="3"/>
  <c r="M532" i="3"/>
  <c r="G260" i="3"/>
  <c r="F260" i="3"/>
  <c r="F298" i="3"/>
  <c r="G298" i="3"/>
  <c r="P388" i="3"/>
  <c r="R388" i="3"/>
  <c r="M388" i="3"/>
  <c r="N388" i="3"/>
  <c r="S388" i="3"/>
  <c r="Q388" i="3"/>
  <c r="O388" i="3"/>
  <c r="G407" i="3"/>
  <c r="F407" i="3"/>
  <c r="G332" i="3"/>
  <c r="F332" i="3"/>
  <c r="P364" i="3"/>
  <c r="R364" i="3"/>
  <c r="M364" i="3"/>
  <c r="S364" i="3"/>
  <c r="Q364" i="3"/>
  <c r="O364" i="3"/>
  <c r="N364" i="3"/>
  <c r="P753" i="3"/>
  <c r="R753" i="3"/>
  <c r="M753" i="3"/>
  <c r="O753" i="3"/>
  <c r="S753" i="3"/>
  <c r="Q753" i="3"/>
  <c r="N753" i="3"/>
  <c r="S852" i="3"/>
  <c r="O852" i="3"/>
  <c r="R852" i="3"/>
  <c r="M852" i="3"/>
  <c r="Q852" i="3"/>
  <c r="P852" i="3"/>
  <c r="N852" i="3"/>
  <c r="R882" i="3"/>
  <c r="N882" i="3"/>
  <c r="P882" i="3"/>
  <c r="O882" i="3"/>
  <c r="M882" i="3"/>
  <c r="S882" i="3"/>
  <c r="Q882" i="3"/>
  <c r="G891" i="3"/>
  <c r="F891" i="3"/>
  <c r="F954" i="3"/>
  <c r="G954" i="3"/>
  <c r="G16" i="3"/>
  <c r="F16" i="3"/>
  <c r="R202" i="3"/>
  <c r="N202" i="3"/>
  <c r="S202" i="3"/>
  <c r="M202" i="3"/>
  <c r="O202" i="3"/>
  <c r="Q202" i="3"/>
  <c r="P202" i="3"/>
  <c r="S311" i="3"/>
  <c r="O311" i="3"/>
  <c r="R311" i="3"/>
  <c r="M311" i="3"/>
  <c r="N311" i="3"/>
  <c r="Q311" i="3"/>
  <c r="P311" i="3"/>
  <c r="F330" i="3"/>
  <c r="G330" i="3"/>
  <c r="G191" i="3"/>
  <c r="F191" i="3"/>
  <c r="G111" i="3"/>
  <c r="F111" i="3"/>
  <c r="G125" i="3"/>
  <c r="F125" i="3"/>
  <c r="G263" i="3"/>
  <c r="F263" i="3"/>
  <c r="F318" i="3"/>
  <c r="G318" i="3"/>
  <c r="F414" i="3"/>
  <c r="G414" i="3"/>
  <c r="G133" i="3"/>
  <c r="F133" i="3"/>
  <c r="R194" i="3"/>
  <c r="N194" i="3"/>
  <c r="S194" i="3"/>
  <c r="M194" i="3"/>
  <c r="P194" i="3"/>
  <c r="O194" i="3"/>
  <c r="Q194" i="3"/>
  <c r="Q285" i="3"/>
  <c r="M285" i="3"/>
  <c r="S285" i="3"/>
  <c r="N285" i="3"/>
  <c r="O285" i="3"/>
  <c r="R285" i="3"/>
  <c r="P285" i="3"/>
  <c r="G380" i="3"/>
  <c r="F380" i="3"/>
  <c r="G413" i="3"/>
  <c r="F413" i="3"/>
  <c r="S580" i="3"/>
  <c r="O580" i="3"/>
  <c r="P580" i="3"/>
  <c r="N580" i="3"/>
  <c r="R580" i="3"/>
  <c r="M580" i="3"/>
  <c r="Q580" i="3"/>
  <c r="G612" i="3"/>
  <c r="F612" i="3"/>
  <c r="P701" i="3"/>
  <c r="O701" i="3"/>
  <c r="S701" i="3"/>
  <c r="M701" i="3"/>
  <c r="R701" i="3"/>
  <c r="Q701" i="3"/>
  <c r="N701" i="3"/>
  <c r="S688" i="3"/>
  <c r="O688" i="3"/>
  <c r="P688" i="3"/>
  <c r="M688" i="3"/>
  <c r="R688" i="3"/>
  <c r="Q688" i="3"/>
  <c r="N688" i="3"/>
  <c r="P677" i="3"/>
  <c r="O677" i="3"/>
  <c r="R677" i="3"/>
  <c r="Q677" i="3"/>
  <c r="N677" i="3"/>
  <c r="S677" i="3"/>
  <c r="M677" i="3"/>
  <c r="G656" i="3"/>
  <c r="F656" i="3"/>
  <c r="G941" i="3"/>
  <c r="F941" i="3"/>
  <c r="S947" i="3"/>
  <c r="O947" i="3"/>
  <c r="N947" i="3"/>
  <c r="R947" i="3"/>
  <c r="M947" i="3"/>
  <c r="Q947" i="3"/>
  <c r="P947" i="3"/>
  <c r="S971" i="3"/>
  <c r="O971" i="3"/>
  <c r="N971" i="3"/>
  <c r="R971" i="3"/>
  <c r="M971" i="3"/>
  <c r="Q971" i="3"/>
  <c r="P971" i="3"/>
  <c r="S915" i="3"/>
  <c r="O915" i="3"/>
  <c r="R915" i="3"/>
  <c r="M915" i="3"/>
  <c r="Q915" i="3"/>
  <c r="P915" i="3"/>
  <c r="N915" i="3"/>
  <c r="P789" i="3"/>
  <c r="O789" i="3"/>
  <c r="R789" i="3"/>
  <c r="M789" i="3"/>
  <c r="N789" i="3"/>
  <c r="S789" i="3"/>
  <c r="Q789" i="3"/>
  <c r="R795" i="3"/>
  <c r="N795" i="3"/>
  <c r="P795" i="3"/>
  <c r="S795" i="3"/>
  <c r="M795" i="3"/>
  <c r="O795" i="3"/>
  <c r="Q795" i="3"/>
  <c r="G584" i="3"/>
  <c r="F584" i="3"/>
  <c r="F695" i="3"/>
  <c r="G695" i="3"/>
  <c r="R791" i="3"/>
  <c r="N791" i="3"/>
  <c r="S791" i="3"/>
  <c r="M791" i="3"/>
  <c r="P791" i="3"/>
  <c r="Q791" i="3"/>
  <c r="O791" i="3"/>
  <c r="E14" i="3"/>
  <c r="R362" i="3"/>
  <c r="N362" i="3"/>
  <c r="S362" i="3"/>
  <c r="M362" i="3"/>
  <c r="O362" i="3"/>
  <c r="Q362" i="3"/>
  <c r="P362" i="3"/>
  <c r="G423" i="3"/>
  <c r="F423" i="3"/>
  <c r="F458" i="3"/>
  <c r="G458" i="3"/>
  <c r="S255" i="3"/>
  <c r="O255" i="3"/>
  <c r="R255" i="3"/>
  <c r="M255" i="3"/>
  <c r="Q255" i="3"/>
  <c r="P255" i="3"/>
  <c r="N255" i="3"/>
  <c r="S287" i="3"/>
  <c r="O287" i="3"/>
  <c r="R287" i="3"/>
  <c r="M287" i="3"/>
  <c r="Q287" i="3"/>
  <c r="P287" i="3"/>
  <c r="N287" i="3"/>
  <c r="S319" i="3"/>
  <c r="O319" i="3"/>
  <c r="R319" i="3"/>
  <c r="M319" i="3"/>
  <c r="Q319" i="3"/>
  <c r="P319" i="3"/>
  <c r="N319" i="3"/>
  <c r="S351" i="3"/>
  <c r="O351" i="3"/>
  <c r="R351" i="3"/>
  <c r="M351" i="3"/>
  <c r="Q351" i="3"/>
  <c r="P351" i="3"/>
  <c r="N351" i="3"/>
  <c r="S119" i="3"/>
  <c r="O119" i="3"/>
  <c r="R119" i="3"/>
  <c r="N119" i="3"/>
  <c r="Q119" i="3"/>
  <c r="M119" i="3"/>
  <c r="P119" i="3"/>
  <c r="R138" i="3"/>
  <c r="N138" i="3"/>
  <c r="S138" i="3"/>
  <c r="M138" i="3"/>
  <c r="Q138" i="3"/>
  <c r="P138" i="3"/>
  <c r="O138" i="3"/>
  <c r="G165" i="3"/>
  <c r="F165" i="3"/>
  <c r="G259" i="3"/>
  <c r="F259" i="3"/>
  <c r="Q273" i="3"/>
  <c r="M273" i="3"/>
  <c r="P273" i="3"/>
  <c r="R273" i="3"/>
  <c r="O273" i="3"/>
  <c r="N273" i="3"/>
  <c r="S273" i="3"/>
  <c r="G276" i="3"/>
  <c r="F276" i="3"/>
  <c r="R282" i="3"/>
  <c r="N282" i="3"/>
  <c r="S282" i="3"/>
  <c r="M282" i="3"/>
  <c r="Q282" i="3"/>
  <c r="P282" i="3"/>
  <c r="O282" i="3"/>
  <c r="G309" i="3"/>
  <c r="F309" i="3"/>
  <c r="G359" i="3"/>
  <c r="F359" i="3"/>
  <c r="P368" i="3"/>
  <c r="O368" i="3"/>
  <c r="R368" i="3"/>
  <c r="Q368" i="3"/>
  <c r="N368" i="3"/>
  <c r="S368" i="3"/>
  <c r="M368" i="3"/>
  <c r="S387" i="3"/>
  <c r="O387" i="3"/>
  <c r="P387" i="3"/>
  <c r="R387" i="3"/>
  <c r="Q387" i="3"/>
  <c r="N387" i="3"/>
  <c r="M387" i="3"/>
  <c r="G444" i="3"/>
  <c r="F444" i="3"/>
  <c r="P148" i="3"/>
  <c r="R148" i="3"/>
  <c r="M148" i="3"/>
  <c r="Q148" i="3"/>
  <c r="O148" i="3"/>
  <c r="S148" i="3"/>
  <c r="N148" i="3"/>
  <c r="G159" i="3"/>
  <c r="F159" i="3"/>
  <c r="S183" i="3"/>
  <c r="O183" i="3"/>
  <c r="R183" i="3"/>
  <c r="M183" i="3"/>
  <c r="Q183" i="3"/>
  <c r="P183" i="3"/>
  <c r="N183" i="3"/>
  <c r="P216" i="3"/>
  <c r="O216" i="3"/>
  <c r="Q216" i="3"/>
  <c r="N216" i="3"/>
  <c r="S216" i="3"/>
  <c r="M216" i="3"/>
  <c r="R216" i="3"/>
  <c r="F249" i="3"/>
  <c r="G249" i="3"/>
  <c r="G271" i="3"/>
  <c r="F271" i="3"/>
  <c r="R322" i="3"/>
  <c r="N322" i="3"/>
  <c r="S322" i="3"/>
  <c r="M322" i="3"/>
  <c r="P322" i="3"/>
  <c r="O322" i="3"/>
  <c r="Q322" i="3"/>
  <c r="R326" i="3"/>
  <c r="N326" i="3"/>
  <c r="P326" i="3"/>
  <c r="O326" i="3"/>
  <c r="M326" i="3"/>
  <c r="S326" i="3"/>
  <c r="Q326" i="3"/>
  <c r="Q381" i="3"/>
  <c r="M381" i="3"/>
  <c r="S381" i="3"/>
  <c r="N381" i="3"/>
  <c r="O381" i="3"/>
  <c r="R381" i="3"/>
  <c r="P381" i="3"/>
  <c r="Q433" i="3"/>
  <c r="M433" i="3"/>
  <c r="S433" i="3"/>
  <c r="R433" i="3"/>
  <c r="P433" i="3"/>
  <c r="O433" i="3"/>
  <c r="N433" i="3"/>
  <c r="G439" i="3"/>
  <c r="F439" i="3"/>
  <c r="F492" i="3"/>
  <c r="G492" i="3"/>
  <c r="F524" i="3"/>
  <c r="G524" i="3"/>
  <c r="P538" i="3"/>
  <c r="R538" i="3"/>
  <c r="N538" i="3"/>
  <c r="O538" i="3"/>
  <c r="M538" i="3"/>
  <c r="S538" i="3"/>
  <c r="Q538" i="3"/>
  <c r="G609" i="3"/>
  <c r="F609" i="3"/>
  <c r="Q662" i="3"/>
  <c r="M662" i="3"/>
  <c r="S662" i="3"/>
  <c r="N662" i="3"/>
  <c r="R662" i="3"/>
  <c r="P662" i="3"/>
  <c r="O662" i="3"/>
  <c r="G943" i="3"/>
  <c r="F943" i="3"/>
  <c r="F446" i="3"/>
  <c r="G446" i="3"/>
  <c r="G481" i="3"/>
  <c r="F481" i="3"/>
  <c r="R510" i="3"/>
  <c r="N510" i="3"/>
  <c r="O510" i="3"/>
  <c r="S510" i="3"/>
  <c r="M510" i="3"/>
  <c r="Q510" i="3"/>
  <c r="P510" i="3"/>
  <c r="F518" i="3"/>
  <c r="G518" i="3"/>
  <c r="P542" i="3"/>
  <c r="R542" i="3"/>
  <c r="N542" i="3"/>
  <c r="M542" i="3"/>
  <c r="S542" i="3"/>
  <c r="Q542" i="3"/>
  <c r="O542" i="3"/>
  <c r="G604" i="3"/>
  <c r="F604" i="3"/>
  <c r="P717" i="3"/>
  <c r="O717" i="3"/>
  <c r="R717" i="3"/>
  <c r="M717" i="3"/>
  <c r="S717" i="3"/>
  <c r="Q717" i="3"/>
  <c r="N717" i="3"/>
  <c r="G765" i="3"/>
  <c r="F765" i="3"/>
  <c r="P781" i="3"/>
  <c r="O781" i="3"/>
  <c r="R781" i="3"/>
  <c r="M781" i="3"/>
  <c r="S781" i="3"/>
  <c r="Q781" i="3"/>
  <c r="N781" i="3"/>
  <c r="G829" i="3"/>
  <c r="F829" i="3"/>
  <c r="S931" i="3"/>
  <c r="O931" i="3"/>
  <c r="R931" i="3"/>
  <c r="M931" i="3"/>
  <c r="N931" i="3"/>
  <c r="Q931" i="3"/>
  <c r="P931" i="3"/>
  <c r="G475" i="3"/>
  <c r="F475" i="3"/>
  <c r="P546" i="3"/>
  <c r="R546" i="3"/>
  <c r="N546" i="3"/>
  <c r="S546" i="3"/>
  <c r="Q546" i="3"/>
  <c r="O546" i="3"/>
  <c r="M546" i="3"/>
  <c r="S561" i="3"/>
  <c r="O561" i="3"/>
  <c r="R561" i="3"/>
  <c r="N561" i="3"/>
  <c r="Q561" i="3"/>
  <c r="M561" i="3"/>
  <c r="P561" i="3"/>
  <c r="G622" i="3"/>
  <c r="F622" i="3"/>
  <c r="S628" i="3"/>
  <c r="O628" i="3"/>
  <c r="P628" i="3"/>
  <c r="N628" i="3"/>
  <c r="R628" i="3"/>
  <c r="M628" i="3"/>
  <c r="Q628" i="3"/>
  <c r="S660" i="3"/>
  <c r="O660" i="3"/>
  <c r="P660" i="3"/>
  <c r="N660" i="3"/>
  <c r="R660" i="3"/>
  <c r="M660" i="3"/>
  <c r="Q660" i="3"/>
  <c r="G620" i="3"/>
  <c r="F620" i="3"/>
  <c r="S784" i="3"/>
  <c r="O784" i="3"/>
  <c r="P784" i="3"/>
  <c r="R784" i="3"/>
  <c r="M784" i="3"/>
  <c r="Q784" i="3"/>
  <c r="N784" i="3"/>
  <c r="S899" i="3"/>
  <c r="O899" i="3"/>
  <c r="R899" i="3"/>
  <c r="M899" i="3"/>
  <c r="N899" i="3"/>
  <c r="Q899" i="3"/>
  <c r="P899" i="3"/>
  <c r="R643" i="3"/>
  <c r="N643" i="3"/>
  <c r="S643" i="3"/>
  <c r="M643" i="3"/>
  <c r="Q643" i="3"/>
  <c r="P643" i="3"/>
  <c r="O643" i="3"/>
  <c r="G682" i="3"/>
  <c r="F682" i="3"/>
  <c r="F691" i="3"/>
  <c r="G691" i="3"/>
  <c r="S700" i="3"/>
  <c r="O700" i="3"/>
  <c r="R700" i="3"/>
  <c r="M700" i="3"/>
  <c r="Q700" i="3"/>
  <c r="P700" i="3"/>
  <c r="N700" i="3"/>
  <c r="F715" i="3"/>
  <c r="G715" i="3"/>
  <c r="P741" i="3"/>
  <c r="O741" i="3"/>
  <c r="R741" i="3"/>
  <c r="M741" i="3"/>
  <c r="N741" i="3"/>
  <c r="S741" i="3"/>
  <c r="Q741" i="3"/>
  <c r="R747" i="3"/>
  <c r="N747" i="3"/>
  <c r="P747" i="3"/>
  <c r="S747" i="3"/>
  <c r="M747" i="3"/>
  <c r="O747" i="3"/>
  <c r="Q747" i="3"/>
  <c r="G760" i="3"/>
  <c r="F760" i="3"/>
  <c r="G773" i="3"/>
  <c r="F773" i="3"/>
  <c r="S792" i="3"/>
  <c r="O792" i="3"/>
  <c r="P792" i="3"/>
  <c r="R792" i="3"/>
  <c r="M792" i="3"/>
  <c r="N792" i="3"/>
  <c r="Q792" i="3"/>
  <c r="G952" i="3"/>
  <c r="F952" i="3"/>
  <c r="P968" i="3"/>
  <c r="S968" i="3"/>
  <c r="N968" i="3"/>
  <c r="R968" i="3"/>
  <c r="M968" i="3"/>
  <c r="Q968" i="3"/>
  <c r="O968" i="3"/>
  <c r="Q690" i="3"/>
  <c r="M690" i="3"/>
  <c r="S690" i="3"/>
  <c r="N690" i="3"/>
  <c r="O690" i="3"/>
  <c r="R690" i="3"/>
  <c r="P690" i="3"/>
  <c r="F711" i="3"/>
  <c r="G711" i="3"/>
  <c r="G737" i="3"/>
  <c r="F737" i="3"/>
  <c r="R743" i="3"/>
  <c r="N743" i="3"/>
  <c r="S743" i="3"/>
  <c r="M743" i="3"/>
  <c r="P743" i="3"/>
  <c r="Q743" i="3"/>
  <c r="O743" i="3"/>
  <c r="F775" i="3"/>
  <c r="G775" i="3"/>
  <c r="G801" i="3"/>
  <c r="F801" i="3"/>
  <c r="R807" i="3"/>
  <c r="N807" i="3"/>
  <c r="S807" i="3"/>
  <c r="M807" i="3"/>
  <c r="P807" i="3"/>
  <c r="Q807" i="3"/>
  <c r="O807" i="3"/>
  <c r="F839" i="3"/>
  <c r="G839" i="3"/>
  <c r="G856" i="3"/>
  <c r="F856" i="3"/>
  <c r="P880" i="3"/>
  <c r="R880" i="3"/>
  <c r="M880" i="3"/>
  <c r="N880" i="3"/>
  <c r="S880" i="3"/>
  <c r="Q880" i="3"/>
  <c r="O880" i="3"/>
  <c r="R918" i="3"/>
  <c r="N918" i="3"/>
  <c r="S918" i="3"/>
  <c r="M918" i="3"/>
  <c r="O918" i="3"/>
  <c r="Q918" i="3"/>
  <c r="P918" i="3"/>
  <c r="G939" i="3"/>
  <c r="F939" i="3"/>
  <c r="R950" i="3"/>
  <c r="N950" i="3"/>
  <c r="O950" i="3"/>
  <c r="S950" i="3"/>
  <c r="M950" i="3"/>
  <c r="Q950" i="3"/>
  <c r="P950" i="3"/>
  <c r="G873" i="3"/>
  <c r="F873" i="3"/>
  <c r="F933" i="3"/>
  <c r="G933" i="3"/>
  <c r="G673" i="3"/>
  <c r="F673" i="3"/>
  <c r="R719" i="3"/>
  <c r="N719" i="3"/>
  <c r="S719" i="3"/>
  <c r="M719" i="3"/>
  <c r="P719" i="3"/>
  <c r="Q719" i="3"/>
  <c r="O719" i="3"/>
  <c r="F783" i="3"/>
  <c r="G783" i="3"/>
  <c r="R595" i="3"/>
  <c r="N595" i="3"/>
  <c r="S595" i="3"/>
  <c r="M595" i="3"/>
  <c r="Q595" i="3"/>
  <c r="P595" i="3"/>
  <c r="O595" i="3"/>
  <c r="F627" i="3"/>
  <c r="G627" i="3"/>
  <c r="F687" i="3"/>
  <c r="G687" i="3"/>
  <c r="P725" i="3"/>
  <c r="O725" i="3"/>
  <c r="R725" i="3"/>
  <c r="M725" i="3"/>
  <c r="N725" i="3"/>
  <c r="S725" i="3"/>
  <c r="Q725" i="3"/>
  <c r="R731" i="3"/>
  <c r="N731" i="3"/>
  <c r="P731" i="3"/>
  <c r="S731" i="3"/>
  <c r="M731" i="3"/>
  <c r="O731" i="3"/>
  <c r="Q731" i="3"/>
  <c r="S840" i="3"/>
  <c r="O840" i="3"/>
  <c r="P840" i="3"/>
  <c r="R840" i="3"/>
  <c r="M840" i="3"/>
  <c r="N840" i="3"/>
  <c r="Q840" i="3"/>
  <c r="P912" i="3"/>
  <c r="R912" i="3"/>
  <c r="M912" i="3"/>
  <c r="N912" i="3"/>
  <c r="S912" i="3"/>
  <c r="Q912" i="3"/>
  <c r="O912" i="3"/>
  <c r="P721" i="3"/>
  <c r="R721" i="3"/>
  <c r="M721" i="3"/>
  <c r="O721" i="3"/>
  <c r="S721" i="3"/>
  <c r="Q721" i="3"/>
  <c r="N721" i="3"/>
  <c r="G772" i="3"/>
  <c r="F772" i="3"/>
  <c r="R394" i="3"/>
  <c r="N394" i="3"/>
  <c r="S394" i="3"/>
  <c r="M394" i="3"/>
  <c r="O394" i="3"/>
  <c r="Q394" i="3"/>
  <c r="P394" i="3"/>
  <c r="G417" i="3"/>
  <c r="F417" i="3"/>
  <c r="F426" i="3"/>
  <c r="G426" i="3"/>
  <c r="S459" i="3"/>
  <c r="O459" i="3"/>
  <c r="R459" i="3"/>
  <c r="M459" i="3"/>
  <c r="Q459" i="3"/>
  <c r="P459" i="3"/>
  <c r="N459" i="3"/>
  <c r="P236" i="3"/>
  <c r="R236" i="3"/>
  <c r="M236" i="3"/>
  <c r="S236" i="3"/>
  <c r="Q236" i="3"/>
  <c r="O236" i="3"/>
  <c r="N236" i="3"/>
  <c r="P452" i="3"/>
  <c r="O452" i="3"/>
  <c r="S452" i="3"/>
  <c r="N452" i="3"/>
  <c r="R452" i="3"/>
  <c r="M452" i="3"/>
  <c r="Q452" i="3"/>
  <c r="R274" i="3"/>
  <c r="N274" i="3"/>
  <c r="S274" i="3"/>
  <c r="M274" i="3"/>
  <c r="Q274" i="3"/>
  <c r="P274" i="3"/>
  <c r="O274" i="3"/>
  <c r="F306" i="3"/>
  <c r="G306" i="3"/>
  <c r="G39" i="3"/>
  <c r="F39" i="3"/>
  <c r="G71" i="3"/>
  <c r="F71" i="3"/>
  <c r="R162" i="3"/>
  <c r="N162" i="3"/>
  <c r="S162" i="3"/>
  <c r="M162" i="3"/>
  <c r="Q162" i="3"/>
  <c r="P162" i="3"/>
  <c r="O162" i="3"/>
  <c r="G189" i="3"/>
  <c r="F189" i="3"/>
  <c r="G199" i="3"/>
  <c r="F199" i="3"/>
  <c r="P208" i="3"/>
  <c r="O208" i="3"/>
  <c r="R208" i="3"/>
  <c r="Q208" i="3"/>
  <c r="N208" i="3"/>
  <c r="S208" i="3"/>
  <c r="M208" i="3"/>
  <c r="S227" i="3"/>
  <c r="O227" i="3"/>
  <c r="P227" i="3"/>
  <c r="R227" i="3"/>
  <c r="Q227" i="3"/>
  <c r="N227" i="3"/>
  <c r="M227" i="3"/>
  <c r="F254" i="3"/>
  <c r="G254" i="3"/>
  <c r="Q277" i="3"/>
  <c r="M277" i="3"/>
  <c r="S277" i="3"/>
  <c r="N277" i="3"/>
  <c r="P277" i="3"/>
  <c r="O277" i="3"/>
  <c r="R277" i="3"/>
  <c r="G355" i="3"/>
  <c r="F355" i="3"/>
  <c r="Q369" i="3"/>
  <c r="M369" i="3"/>
  <c r="P369" i="3"/>
  <c r="R369" i="3"/>
  <c r="O369" i="3"/>
  <c r="N369" i="3"/>
  <c r="S369" i="3"/>
  <c r="G372" i="3"/>
  <c r="F372" i="3"/>
  <c r="R378" i="3"/>
  <c r="N378" i="3"/>
  <c r="S378" i="3"/>
  <c r="M378" i="3"/>
  <c r="Q378" i="3"/>
  <c r="P378" i="3"/>
  <c r="O378" i="3"/>
  <c r="G405" i="3"/>
  <c r="F405" i="3"/>
  <c r="F442" i="3"/>
  <c r="G442" i="3"/>
  <c r="S115" i="3"/>
  <c r="O115" i="3"/>
  <c r="R115" i="3"/>
  <c r="N115" i="3"/>
  <c r="Q115" i="3"/>
  <c r="M115" i="3"/>
  <c r="P115" i="3"/>
  <c r="P124" i="3"/>
  <c r="R124" i="3"/>
  <c r="M124" i="3"/>
  <c r="Q124" i="3"/>
  <c r="O124" i="3"/>
  <c r="S124" i="3"/>
  <c r="N124" i="3"/>
  <c r="G135" i="3"/>
  <c r="F135" i="3"/>
  <c r="G221" i="3"/>
  <c r="F221" i="3"/>
  <c r="S239" i="3"/>
  <c r="O239" i="3"/>
  <c r="R239" i="3"/>
  <c r="M239" i="3"/>
  <c r="P239" i="3"/>
  <c r="N239" i="3"/>
  <c r="Q239" i="3"/>
  <c r="G267" i="3"/>
  <c r="F267" i="3"/>
  <c r="F290" i="3"/>
  <c r="G290" i="3"/>
  <c r="G312" i="3"/>
  <c r="F312" i="3"/>
  <c r="P316" i="3"/>
  <c r="R316" i="3"/>
  <c r="M316" i="3"/>
  <c r="O316" i="3"/>
  <c r="N316" i="3"/>
  <c r="S316" i="3"/>
  <c r="Q316" i="3"/>
  <c r="Q345" i="3"/>
  <c r="M345" i="3"/>
  <c r="P345" i="3"/>
  <c r="O345" i="3"/>
  <c r="N345" i="3"/>
  <c r="S345" i="3"/>
  <c r="R345" i="3"/>
  <c r="G420" i="3"/>
  <c r="F420" i="3"/>
  <c r="P428" i="3"/>
  <c r="S428" i="3"/>
  <c r="N428" i="3"/>
  <c r="R428" i="3"/>
  <c r="M428" i="3"/>
  <c r="Q428" i="3"/>
  <c r="O428" i="3"/>
  <c r="P468" i="3"/>
  <c r="O468" i="3"/>
  <c r="S468" i="3"/>
  <c r="N468" i="3"/>
  <c r="R468" i="3"/>
  <c r="M468" i="3"/>
  <c r="Q468" i="3"/>
  <c r="R540" i="3"/>
  <c r="N540" i="3"/>
  <c r="P540" i="3"/>
  <c r="O540" i="3"/>
  <c r="M540" i="3"/>
  <c r="S540" i="3"/>
  <c r="Q540" i="3"/>
  <c r="F607" i="3"/>
  <c r="G607" i="3"/>
  <c r="F422" i="3"/>
  <c r="G422" i="3"/>
  <c r="F454" i="3"/>
  <c r="G454" i="3"/>
  <c r="F486" i="3"/>
  <c r="G486" i="3"/>
  <c r="Q885" i="3"/>
  <c r="M885" i="3"/>
  <c r="P885" i="3"/>
  <c r="S885" i="3"/>
  <c r="R885" i="3"/>
  <c r="O885" i="3"/>
  <c r="N885" i="3"/>
  <c r="Q889" i="3"/>
  <c r="M889" i="3"/>
  <c r="S889" i="3"/>
  <c r="N889" i="3"/>
  <c r="R889" i="3"/>
  <c r="P889" i="3"/>
  <c r="O889" i="3"/>
  <c r="G562" i="3"/>
  <c r="F562" i="3"/>
  <c r="G566" i="3"/>
  <c r="F566" i="3"/>
  <c r="G570" i="3"/>
  <c r="F570" i="3"/>
  <c r="G585" i="3"/>
  <c r="F585" i="3"/>
  <c r="G975" i="3"/>
  <c r="F975" i="3"/>
  <c r="F552" i="3"/>
  <c r="G552" i="3"/>
  <c r="Q590" i="3"/>
  <c r="M590" i="3"/>
  <c r="S590" i="3"/>
  <c r="N590" i="3"/>
  <c r="R590" i="3"/>
  <c r="P590" i="3"/>
  <c r="O590" i="3"/>
  <c r="R655" i="3"/>
  <c r="N655" i="3"/>
  <c r="P655" i="3"/>
  <c r="O655" i="3"/>
  <c r="S655" i="3"/>
  <c r="M655" i="3"/>
  <c r="Q655" i="3"/>
  <c r="G665" i="3"/>
  <c r="F665" i="3"/>
  <c r="S768" i="3"/>
  <c r="O768" i="3"/>
  <c r="P768" i="3"/>
  <c r="R768" i="3"/>
  <c r="M768" i="3"/>
  <c r="Q768" i="3"/>
  <c r="N768" i="3"/>
  <c r="G853" i="3"/>
  <c r="F853" i="3"/>
  <c r="G959" i="3"/>
  <c r="F959" i="3"/>
  <c r="F683" i="3"/>
  <c r="G683" i="3"/>
  <c r="G716" i="3"/>
  <c r="F716" i="3"/>
  <c r="G729" i="3"/>
  <c r="F729" i="3"/>
  <c r="S748" i="3"/>
  <c r="O748" i="3"/>
  <c r="R748" i="3"/>
  <c r="M748" i="3"/>
  <c r="P748" i="3"/>
  <c r="Q748" i="3"/>
  <c r="N748" i="3"/>
  <c r="G780" i="3"/>
  <c r="F780" i="3"/>
  <c r="G793" i="3"/>
  <c r="F793" i="3"/>
  <c r="S812" i="3"/>
  <c r="O812" i="3"/>
  <c r="R812" i="3"/>
  <c r="M812" i="3"/>
  <c r="P812" i="3"/>
  <c r="Q812" i="3"/>
  <c r="N812" i="3"/>
  <c r="G858" i="3"/>
  <c r="F858" i="3"/>
  <c r="R587" i="3"/>
  <c r="N587" i="3"/>
  <c r="S587" i="3"/>
  <c r="M587" i="3"/>
  <c r="Q587" i="3"/>
  <c r="P587" i="3"/>
  <c r="O587" i="3"/>
  <c r="F619" i="3"/>
  <c r="G619" i="3"/>
  <c r="G668" i="3"/>
  <c r="F668" i="3"/>
  <c r="S848" i="3"/>
  <c r="O848" i="3"/>
  <c r="P848" i="3"/>
  <c r="N848" i="3"/>
  <c r="R848" i="3"/>
  <c r="M848" i="3"/>
  <c r="Q848" i="3"/>
  <c r="G935" i="3"/>
  <c r="F935" i="3"/>
  <c r="S967" i="3"/>
  <c r="O967" i="3"/>
  <c r="Q967" i="3"/>
  <c r="P967" i="3"/>
  <c r="R967" i="3"/>
  <c r="N967" i="3"/>
  <c r="M967" i="3"/>
  <c r="P581" i="3"/>
  <c r="R581" i="3"/>
  <c r="M581" i="3"/>
  <c r="Q581" i="3"/>
  <c r="O581" i="3"/>
  <c r="N581" i="3"/>
  <c r="S581" i="3"/>
  <c r="G592" i="3"/>
  <c r="F592" i="3"/>
  <c r="G672" i="3"/>
  <c r="F672" i="3"/>
  <c r="G842" i="3"/>
  <c r="F842" i="3"/>
  <c r="G879" i="3"/>
  <c r="F879" i="3"/>
  <c r="R930" i="3"/>
  <c r="N930" i="3"/>
  <c r="P930" i="3"/>
  <c r="S930" i="3"/>
  <c r="Q930" i="3"/>
  <c r="O930" i="3"/>
  <c r="M930" i="3"/>
  <c r="F942" i="3"/>
  <c r="G942" i="3"/>
  <c r="F974" i="3"/>
  <c r="G974" i="3"/>
  <c r="F855" i="3"/>
  <c r="G855" i="3"/>
  <c r="G928" i="3"/>
  <c r="F928" i="3"/>
  <c r="P849" i="3"/>
  <c r="R849" i="3"/>
  <c r="M849" i="3"/>
  <c r="Q849" i="3"/>
  <c r="O849" i="3"/>
  <c r="S849" i="3"/>
  <c r="N849" i="3"/>
  <c r="G860" i="3"/>
  <c r="F860" i="3"/>
  <c r="G904" i="3"/>
  <c r="F904" i="3"/>
  <c r="R910" i="3"/>
  <c r="N910" i="3"/>
  <c r="S910" i="3"/>
  <c r="M910" i="3"/>
  <c r="P910" i="3"/>
  <c r="O910" i="3"/>
  <c r="Q910" i="3"/>
  <c r="F946" i="3"/>
  <c r="G946" i="3"/>
  <c r="S91" i="3"/>
  <c r="O91" i="3"/>
  <c r="R91" i="3"/>
  <c r="N91" i="3"/>
  <c r="Q91" i="3"/>
  <c r="M91" i="3"/>
  <c r="P91" i="3"/>
  <c r="F122" i="3"/>
  <c r="G122" i="3"/>
  <c r="P164" i="3"/>
  <c r="R164" i="3"/>
  <c r="M164" i="3"/>
  <c r="Q164" i="3"/>
  <c r="O164" i="3"/>
  <c r="S164" i="3"/>
  <c r="N164" i="3"/>
  <c r="G175" i="3"/>
  <c r="F175" i="3"/>
  <c r="P280" i="3"/>
  <c r="O280" i="3"/>
  <c r="Q280" i="3"/>
  <c r="N280" i="3"/>
  <c r="S280" i="3"/>
  <c r="M280" i="3"/>
  <c r="R280" i="3"/>
  <c r="F313" i="3"/>
  <c r="G313" i="3"/>
  <c r="G335" i="3"/>
  <c r="F335" i="3"/>
  <c r="R386" i="3"/>
  <c r="N386" i="3"/>
  <c r="S386" i="3"/>
  <c r="M386" i="3"/>
  <c r="P386" i="3"/>
  <c r="O386" i="3"/>
  <c r="Q386" i="3"/>
  <c r="R390" i="3"/>
  <c r="N390" i="3"/>
  <c r="P390" i="3"/>
  <c r="O390" i="3"/>
  <c r="M390" i="3"/>
  <c r="S390" i="3"/>
  <c r="Q390" i="3"/>
  <c r="F434" i="3"/>
  <c r="G434" i="3"/>
  <c r="S495" i="3"/>
  <c r="O495" i="3"/>
  <c r="Q495" i="3"/>
  <c r="P495" i="3"/>
  <c r="N495" i="3"/>
  <c r="R495" i="3"/>
  <c r="M495" i="3"/>
  <c r="P508" i="3"/>
  <c r="Q508" i="3"/>
  <c r="O508" i="3"/>
  <c r="S508" i="3"/>
  <c r="N508" i="3"/>
  <c r="R508" i="3"/>
  <c r="M508" i="3"/>
  <c r="S527" i="3"/>
  <c r="O527" i="3"/>
  <c r="Q527" i="3"/>
  <c r="P527" i="3"/>
  <c r="N527" i="3"/>
  <c r="R527" i="3"/>
  <c r="M527" i="3"/>
  <c r="F556" i="3"/>
  <c r="G556" i="3"/>
  <c r="G608" i="3"/>
  <c r="F608" i="3"/>
  <c r="F663" i="3"/>
  <c r="G663" i="3"/>
  <c r="Q505" i="3"/>
  <c r="M505" i="3"/>
  <c r="O505" i="3"/>
  <c r="S505" i="3"/>
  <c r="N505" i="3"/>
  <c r="R505" i="3"/>
  <c r="P505" i="3"/>
  <c r="G513" i="3"/>
  <c r="F513" i="3"/>
  <c r="R544" i="3"/>
  <c r="N544" i="3"/>
  <c r="P544" i="3"/>
  <c r="M544" i="3"/>
  <c r="S544" i="3"/>
  <c r="Q544" i="3"/>
  <c r="O544" i="3"/>
  <c r="G577" i="3"/>
  <c r="F577" i="3"/>
  <c r="F723" i="3"/>
  <c r="G723" i="3"/>
  <c r="R755" i="3"/>
  <c r="N755" i="3"/>
  <c r="P755" i="3"/>
  <c r="S755" i="3"/>
  <c r="M755" i="3"/>
  <c r="Q755" i="3"/>
  <c r="O755" i="3"/>
  <c r="F787" i="3"/>
  <c r="G787" i="3"/>
  <c r="R819" i="3"/>
  <c r="N819" i="3"/>
  <c r="P819" i="3"/>
  <c r="S819" i="3"/>
  <c r="M819" i="3"/>
  <c r="Q819" i="3"/>
  <c r="O819" i="3"/>
  <c r="R890" i="3"/>
  <c r="N890" i="3"/>
  <c r="P890" i="3"/>
  <c r="M890" i="3"/>
  <c r="S890" i="3"/>
  <c r="Q890" i="3"/>
  <c r="O890" i="3"/>
  <c r="S491" i="3"/>
  <c r="O491" i="3"/>
  <c r="N491" i="3"/>
  <c r="R491" i="3"/>
  <c r="M491" i="3"/>
  <c r="Q491" i="3"/>
  <c r="P491" i="3"/>
  <c r="R615" i="3"/>
  <c r="N615" i="3"/>
  <c r="P615" i="3"/>
  <c r="O615" i="3"/>
  <c r="S615" i="3"/>
  <c r="M615" i="3"/>
  <c r="Q615" i="3"/>
  <c r="F647" i="3"/>
  <c r="G647" i="3"/>
  <c r="G752" i="3"/>
  <c r="F752" i="3"/>
  <c r="P260" i="3"/>
  <c r="R260" i="3"/>
  <c r="M260" i="3"/>
  <c r="N260" i="3"/>
  <c r="S260" i="3"/>
  <c r="Q260" i="3"/>
  <c r="O260" i="3"/>
  <c r="G279" i="3"/>
  <c r="F279" i="3"/>
  <c r="Q457" i="3"/>
  <c r="M457" i="3"/>
  <c r="S457" i="3"/>
  <c r="N457" i="3"/>
  <c r="R457" i="3"/>
  <c r="P457" i="3"/>
  <c r="O457" i="3"/>
  <c r="P204" i="3"/>
  <c r="R204" i="3"/>
  <c r="M204" i="3"/>
  <c r="S204" i="3"/>
  <c r="Q204" i="3"/>
  <c r="O204" i="3"/>
  <c r="N204" i="3"/>
  <c r="R450" i="3"/>
  <c r="N450" i="3"/>
  <c r="P450" i="3"/>
  <c r="O450" i="3"/>
  <c r="S450" i="3"/>
  <c r="M450" i="3"/>
  <c r="Q450" i="3"/>
  <c r="G300" i="3"/>
  <c r="F300" i="3"/>
  <c r="P332" i="3"/>
  <c r="R332" i="3"/>
  <c r="M332" i="3"/>
  <c r="S332" i="3"/>
  <c r="Q332" i="3"/>
  <c r="O332" i="3"/>
  <c r="N332" i="3"/>
  <c r="S43" i="3"/>
  <c r="O43" i="3"/>
  <c r="R43" i="3"/>
  <c r="N43" i="3"/>
  <c r="Q43" i="3"/>
  <c r="M43" i="3"/>
  <c r="P43" i="3"/>
  <c r="G59" i="3"/>
  <c r="F59" i="3"/>
  <c r="S75" i="3"/>
  <c r="O75" i="3"/>
  <c r="R75" i="3"/>
  <c r="N75" i="3"/>
  <c r="Q75" i="3"/>
  <c r="M75" i="3"/>
  <c r="P75" i="3"/>
  <c r="R154" i="3"/>
  <c r="N154" i="3"/>
  <c r="S154" i="3"/>
  <c r="M154" i="3"/>
  <c r="Q154" i="3"/>
  <c r="P154" i="3"/>
  <c r="O154" i="3"/>
  <c r="G181" i="3"/>
  <c r="F181" i="3"/>
  <c r="F209" i="3"/>
  <c r="G209" i="3"/>
  <c r="P212" i="3"/>
  <c r="R212" i="3"/>
  <c r="M212" i="3"/>
  <c r="Q212" i="3"/>
  <c r="O212" i="3"/>
  <c r="N212" i="3"/>
  <c r="S212" i="3"/>
  <c r="R222" i="3"/>
  <c r="N222" i="3"/>
  <c r="P222" i="3"/>
  <c r="Q222" i="3"/>
  <c r="O222" i="3"/>
  <c r="M222" i="3"/>
  <c r="S222" i="3"/>
  <c r="S295" i="3"/>
  <c r="O295" i="3"/>
  <c r="R295" i="3"/>
  <c r="M295" i="3"/>
  <c r="Q295" i="3"/>
  <c r="P295" i="3"/>
  <c r="N295" i="3"/>
  <c r="F346" i="3"/>
  <c r="G346" i="3"/>
  <c r="F759" i="3"/>
  <c r="G759" i="3"/>
  <c r="S883" i="3"/>
  <c r="O883" i="3"/>
  <c r="R883" i="3"/>
  <c r="M883" i="3"/>
  <c r="Q883" i="3"/>
  <c r="P883" i="3"/>
  <c r="N883" i="3"/>
  <c r="P841" i="3"/>
  <c r="R841" i="3"/>
  <c r="M841" i="3"/>
  <c r="Q841" i="3"/>
  <c r="O841" i="3"/>
  <c r="S841" i="3"/>
  <c r="N841" i="3"/>
  <c r="G852" i="3"/>
  <c r="F852" i="3"/>
  <c r="F882" i="3"/>
  <c r="G882" i="3"/>
  <c r="Q997" i="3"/>
  <c r="M997" i="3"/>
  <c r="R997" i="3"/>
  <c r="P997" i="3"/>
  <c r="O997" i="3"/>
  <c r="S997" i="3"/>
  <c r="N997" i="3"/>
  <c r="G1003" i="3"/>
  <c r="F1003" i="3"/>
  <c r="F202" i="3"/>
  <c r="G202" i="3"/>
  <c r="P292" i="3"/>
  <c r="R292" i="3"/>
  <c r="M292" i="3"/>
  <c r="N292" i="3"/>
  <c r="S292" i="3"/>
  <c r="Q292" i="3"/>
  <c r="O292" i="3"/>
  <c r="G311" i="3"/>
  <c r="F311" i="3"/>
  <c r="R418" i="3"/>
  <c r="N418" i="3"/>
  <c r="O418" i="3"/>
  <c r="S418" i="3"/>
  <c r="M418" i="3"/>
  <c r="Q418" i="3"/>
  <c r="P418" i="3"/>
  <c r="Q425" i="3"/>
  <c r="M425" i="3"/>
  <c r="R425" i="3"/>
  <c r="P425" i="3"/>
  <c r="S425" i="3"/>
  <c r="O425" i="3"/>
  <c r="N425" i="3"/>
  <c r="G460" i="3"/>
  <c r="F460" i="3"/>
  <c r="G451" i="3"/>
  <c r="F451" i="3"/>
  <c r="S31" i="3"/>
  <c r="O31" i="3"/>
  <c r="R31" i="3"/>
  <c r="N31" i="3"/>
  <c r="Q31" i="3"/>
  <c r="P31" i="3"/>
  <c r="M31" i="3"/>
  <c r="G47" i="3"/>
  <c r="F47" i="3"/>
  <c r="S63" i="3"/>
  <c r="O63" i="3"/>
  <c r="R63" i="3"/>
  <c r="N63" i="3"/>
  <c r="Q63" i="3"/>
  <c r="M63" i="3"/>
  <c r="P63" i="3"/>
  <c r="S111" i="3"/>
  <c r="O111" i="3"/>
  <c r="R111" i="3"/>
  <c r="N111" i="3"/>
  <c r="Q111" i="3"/>
  <c r="M111" i="3"/>
  <c r="P111" i="3"/>
  <c r="R146" i="3"/>
  <c r="N146" i="3"/>
  <c r="S146" i="3"/>
  <c r="M146" i="3"/>
  <c r="Q146" i="3"/>
  <c r="P146" i="3"/>
  <c r="O146" i="3"/>
  <c r="G173" i="3"/>
  <c r="F173" i="3"/>
  <c r="S263" i="3"/>
  <c r="O263" i="3"/>
  <c r="R263" i="3"/>
  <c r="M263" i="3"/>
  <c r="Q263" i="3"/>
  <c r="P263" i="3"/>
  <c r="N263" i="3"/>
  <c r="F314" i="3"/>
  <c r="G314" i="3"/>
  <c r="G400" i="3"/>
  <c r="F400" i="3"/>
  <c r="Q441" i="3"/>
  <c r="M441" i="3"/>
  <c r="S441" i="3"/>
  <c r="N441" i="3"/>
  <c r="R441" i="3"/>
  <c r="P441" i="3"/>
  <c r="O441" i="3"/>
  <c r="G473" i="3"/>
  <c r="F473" i="3"/>
  <c r="P172" i="3"/>
  <c r="R172" i="3"/>
  <c r="M172" i="3"/>
  <c r="Q172" i="3"/>
  <c r="O172" i="3"/>
  <c r="S172" i="3"/>
  <c r="N172" i="3"/>
  <c r="S203" i="3"/>
  <c r="O203" i="3"/>
  <c r="P203" i="3"/>
  <c r="Q203" i="3"/>
  <c r="N203" i="3"/>
  <c r="M203" i="3"/>
  <c r="R203" i="3"/>
  <c r="F230" i="3"/>
  <c r="G230" i="3"/>
  <c r="G252" i="3"/>
  <c r="F252" i="3"/>
  <c r="G285" i="3"/>
  <c r="F285" i="3"/>
  <c r="S303" i="3"/>
  <c r="O303" i="3"/>
  <c r="R303" i="3"/>
  <c r="M303" i="3"/>
  <c r="P303" i="3"/>
  <c r="N303" i="3"/>
  <c r="Q303" i="3"/>
  <c r="G331" i="3"/>
  <c r="F331" i="3"/>
  <c r="F354" i="3"/>
  <c r="G354" i="3"/>
  <c r="G376" i="3"/>
  <c r="F376" i="3"/>
  <c r="P380" i="3"/>
  <c r="R380" i="3"/>
  <c r="M380" i="3"/>
  <c r="O380" i="3"/>
  <c r="N380" i="3"/>
  <c r="S380" i="3"/>
  <c r="Q380" i="3"/>
  <c r="Q409" i="3"/>
  <c r="M409" i="3"/>
  <c r="P409" i="3"/>
  <c r="O409" i="3"/>
  <c r="N409" i="3"/>
  <c r="S409" i="3"/>
  <c r="R409" i="3"/>
  <c r="S467" i="3"/>
  <c r="O467" i="3"/>
  <c r="R467" i="3"/>
  <c r="M467" i="3"/>
  <c r="Q467" i="3"/>
  <c r="P467" i="3"/>
  <c r="N467" i="3"/>
  <c r="F500" i="3"/>
  <c r="G500" i="3"/>
  <c r="G580" i="3"/>
  <c r="F580" i="3"/>
  <c r="Q638" i="3"/>
  <c r="M638" i="3"/>
  <c r="S638" i="3"/>
  <c r="N638" i="3"/>
  <c r="R638" i="3"/>
  <c r="P638" i="3"/>
  <c r="O638" i="3"/>
  <c r="R470" i="3"/>
  <c r="N470" i="3"/>
  <c r="S470" i="3"/>
  <c r="M470" i="3"/>
  <c r="Q470" i="3"/>
  <c r="P470" i="3"/>
  <c r="O470" i="3"/>
  <c r="Q489" i="3"/>
  <c r="M489" i="3"/>
  <c r="O489" i="3"/>
  <c r="S489" i="3"/>
  <c r="N489" i="3"/>
  <c r="R489" i="3"/>
  <c r="P489" i="3"/>
  <c r="S632" i="3"/>
  <c r="O632" i="3"/>
  <c r="R632" i="3"/>
  <c r="M632" i="3"/>
  <c r="Q632" i="3"/>
  <c r="P632" i="3"/>
  <c r="N632" i="3"/>
  <c r="R583" i="3"/>
  <c r="N583" i="3"/>
  <c r="P583" i="3"/>
  <c r="O583" i="3"/>
  <c r="S583" i="3"/>
  <c r="M583" i="3"/>
  <c r="Q583" i="3"/>
  <c r="F534" i="3"/>
  <c r="G534" i="3"/>
  <c r="P550" i="3"/>
  <c r="R550" i="3"/>
  <c r="N550" i="3"/>
  <c r="Q550" i="3"/>
  <c r="O550" i="3"/>
  <c r="M550" i="3"/>
  <c r="S550" i="3"/>
  <c r="Q654" i="3"/>
  <c r="M654" i="3"/>
  <c r="S654" i="3"/>
  <c r="N654" i="3"/>
  <c r="R654" i="3"/>
  <c r="P654" i="3"/>
  <c r="O654" i="3"/>
  <c r="S736" i="3"/>
  <c r="O736" i="3"/>
  <c r="P736" i="3"/>
  <c r="R736" i="3"/>
  <c r="M736" i="3"/>
  <c r="Q736" i="3"/>
  <c r="N736" i="3"/>
  <c r="S692" i="3"/>
  <c r="O692" i="3"/>
  <c r="R692" i="3"/>
  <c r="M692" i="3"/>
  <c r="Q692" i="3"/>
  <c r="P692" i="3"/>
  <c r="N692" i="3"/>
  <c r="G732" i="3"/>
  <c r="F732" i="3"/>
  <c r="G745" i="3"/>
  <c r="F745" i="3"/>
  <c r="S764" i="3"/>
  <c r="O764" i="3"/>
  <c r="R764" i="3"/>
  <c r="M764" i="3"/>
  <c r="P764" i="3"/>
  <c r="Q764" i="3"/>
  <c r="N764" i="3"/>
  <c r="G796" i="3"/>
  <c r="F796" i="3"/>
  <c r="G809" i="3"/>
  <c r="F809" i="3"/>
  <c r="S828" i="3"/>
  <c r="O828" i="3"/>
  <c r="R828" i="3"/>
  <c r="M828" i="3"/>
  <c r="P828" i="3"/>
  <c r="Q828" i="3"/>
  <c r="N828" i="3"/>
  <c r="G576" i="3"/>
  <c r="F576" i="3"/>
  <c r="S676" i="3"/>
  <c r="O676" i="3"/>
  <c r="R676" i="3"/>
  <c r="M676" i="3"/>
  <c r="P676" i="3"/>
  <c r="N676" i="3"/>
  <c r="Q676" i="3"/>
  <c r="F843" i="3"/>
  <c r="G843" i="3"/>
  <c r="Q917" i="3"/>
  <c r="M917" i="3"/>
  <c r="P917" i="3"/>
  <c r="S917" i="3"/>
  <c r="R917" i="3"/>
  <c r="O917" i="3"/>
  <c r="N917" i="3"/>
  <c r="Q921" i="3"/>
  <c r="M921" i="3"/>
  <c r="S921" i="3"/>
  <c r="N921" i="3"/>
  <c r="R921" i="3"/>
  <c r="P921" i="3"/>
  <c r="O921" i="3"/>
  <c r="G888" i="3"/>
  <c r="F888" i="3"/>
  <c r="R926" i="3"/>
  <c r="N926" i="3"/>
  <c r="S926" i="3"/>
  <c r="M926" i="3"/>
  <c r="Q926" i="3"/>
  <c r="P926" i="3"/>
  <c r="O926" i="3"/>
  <c r="G947" i="3"/>
  <c r="F947" i="3"/>
  <c r="R958" i="3"/>
  <c r="N958" i="3"/>
  <c r="O958" i="3"/>
  <c r="S958" i="3"/>
  <c r="M958" i="3"/>
  <c r="Q958" i="3"/>
  <c r="P958" i="3"/>
  <c r="G979" i="3"/>
  <c r="F979" i="3"/>
  <c r="R990" i="3"/>
  <c r="N990" i="3"/>
  <c r="O990" i="3"/>
  <c r="S990" i="3"/>
  <c r="M990" i="3"/>
  <c r="Q990" i="3"/>
  <c r="P990" i="3"/>
  <c r="S844" i="3"/>
  <c r="O844" i="3"/>
  <c r="R844" i="3"/>
  <c r="M844" i="3"/>
  <c r="Q844" i="3"/>
  <c r="P844" i="3"/>
  <c r="N844" i="3"/>
  <c r="P868" i="3"/>
  <c r="O868" i="3"/>
  <c r="Q868" i="3"/>
  <c r="N868" i="3"/>
  <c r="S868" i="3"/>
  <c r="M868" i="3"/>
  <c r="R868" i="3"/>
  <c r="F878" i="3"/>
  <c r="G878" i="3"/>
  <c r="G932" i="3"/>
  <c r="F932" i="3"/>
  <c r="G1000" i="3"/>
  <c r="F1000" i="3"/>
  <c r="F962" i="3"/>
  <c r="G962" i="3"/>
  <c r="G756" i="3"/>
  <c r="F756" i="3"/>
  <c r="G788" i="3"/>
  <c r="F788" i="3"/>
  <c r="G820" i="3"/>
  <c r="F820" i="3"/>
  <c r="S907" i="3"/>
  <c r="O907" i="3"/>
  <c r="R907" i="3"/>
  <c r="M907" i="3"/>
  <c r="Q907" i="3"/>
  <c r="P907" i="3"/>
  <c r="N907" i="3"/>
  <c r="G971" i="3"/>
  <c r="F971" i="3"/>
  <c r="R982" i="3"/>
  <c r="N982" i="3"/>
  <c r="O982" i="3"/>
  <c r="S982" i="3"/>
  <c r="M982" i="3"/>
  <c r="Q982" i="3"/>
  <c r="P982" i="3"/>
  <c r="R847" i="3"/>
  <c r="N847" i="3"/>
  <c r="S847" i="3"/>
  <c r="M847" i="3"/>
  <c r="Q847" i="3"/>
  <c r="P847" i="3"/>
  <c r="O847" i="3"/>
  <c r="G857" i="3"/>
  <c r="F857" i="3"/>
  <c r="R914" i="3"/>
  <c r="N914" i="3"/>
  <c r="P914" i="3"/>
  <c r="O914" i="3"/>
  <c r="M914" i="3"/>
  <c r="S914" i="3"/>
  <c r="Q914" i="3"/>
  <c r="G923" i="3"/>
  <c r="F923" i="3"/>
  <c r="S995" i="3"/>
  <c r="O995" i="3"/>
  <c r="N995" i="3"/>
  <c r="R995" i="3"/>
  <c r="M995" i="3"/>
  <c r="Q995" i="3"/>
  <c r="P995" i="3"/>
  <c r="G696" i="3"/>
  <c r="F696" i="3"/>
  <c r="G712" i="3"/>
  <c r="F712" i="3"/>
  <c r="F795" i="3"/>
  <c r="G795" i="3"/>
  <c r="G821" i="3"/>
  <c r="F821" i="3"/>
  <c r="S740" i="3"/>
  <c r="O740" i="3"/>
  <c r="R740" i="3"/>
  <c r="M740" i="3"/>
  <c r="P740" i="3"/>
  <c r="Q740" i="3"/>
  <c r="N740" i="3"/>
  <c r="P785" i="3"/>
  <c r="R785" i="3"/>
  <c r="M785" i="3"/>
  <c r="O785" i="3"/>
  <c r="S785" i="3"/>
  <c r="Q785" i="3"/>
  <c r="N785" i="3"/>
  <c r="G836" i="3"/>
  <c r="F836" i="3"/>
  <c r="G981" i="3"/>
  <c r="F981" i="3"/>
  <c r="S987" i="3"/>
  <c r="O987" i="3"/>
  <c r="N987" i="3"/>
  <c r="R987" i="3"/>
  <c r="M987" i="3"/>
  <c r="Q987" i="3"/>
  <c r="P987" i="3"/>
  <c r="F901" i="3"/>
  <c r="G901" i="3"/>
  <c r="V6" i="3" l="1"/>
  <c r="V8" i="3"/>
  <c r="S1" i="3"/>
  <c r="V9" i="3"/>
  <c r="O1" i="3"/>
  <c r="V10" i="3"/>
  <c r="V7" i="3"/>
  <c r="V11" i="3"/>
  <c r="P1" i="3"/>
  <c r="H4" i="3"/>
  <c r="R1" i="3"/>
  <c r="Q1" i="3"/>
  <c r="M1" i="3"/>
  <c r="N1" i="3"/>
  <c r="N2" i="3" l="1"/>
  <c r="O2" i="3"/>
  <c r="A1001" i="4"/>
  <c r="A999" i="4"/>
  <c r="A997" i="4"/>
  <c r="A995" i="4"/>
  <c r="A993" i="4"/>
  <c r="A991" i="4"/>
  <c r="A989" i="4"/>
  <c r="A987" i="4"/>
  <c r="A985" i="4"/>
  <c r="A996" i="4"/>
  <c r="A988" i="4"/>
  <c r="A983" i="4"/>
  <c r="A981" i="4"/>
  <c r="A979" i="4"/>
  <c r="A1000" i="4"/>
  <c r="A990" i="4"/>
  <c r="A980" i="4"/>
  <c r="A998" i="4"/>
  <c r="A986" i="4"/>
  <c r="A984" i="4"/>
  <c r="A977" i="4"/>
  <c r="A975" i="4"/>
  <c r="A973" i="4"/>
  <c r="A971" i="4"/>
  <c r="A969" i="4"/>
  <c r="A967" i="4"/>
  <c r="A965" i="4"/>
  <c r="A994" i="4"/>
  <c r="A992" i="4"/>
  <c r="A974" i="4"/>
  <c r="A966" i="4"/>
  <c r="A964" i="4"/>
  <c r="A960" i="4"/>
  <c r="A956" i="4"/>
  <c r="A952" i="4"/>
  <c r="A968" i="4"/>
  <c r="A958" i="4"/>
  <c r="A957" i="4"/>
  <c r="A948" i="4"/>
  <c r="A944" i="4"/>
  <c r="A940" i="4"/>
  <c r="A938" i="4"/>
  <c r="A936" i="4"/>
  <c r="A934" i="4"/>
  <c r="A932" i="4"/>
  <c r="A930" i="4"/>
  <c r="A1002" i="4"/>
  <c r="A976" i="4"/>
  <c r="A972" i="4"/>
  <c r="A970" i="4"/>
  <c r="A963" i="4"/>
  <c r="A955" i="4"/>
  <c r="A949" i="4"/>
  <c r="A945" i="4"/>
  <c r="A941" i="4"/>
  <c r="A978" i="4"/>
  <c r="A962" i="4"/>
  <c r="A961" i="4"/>
  <c r="A939" i="4"/>
  <c r="A931" i="4"/>
  <c r="A928" i="4"/>
  <c r="A924" i="4"/>
  <c r="A920" i="4"/>
  <c r="A916" i="4"/>
  <c r="A912" i="4"/>
  <c r="A911" i="4"/>
  <c r="A909" i="4"/>
  <c r="A907" i="4"/>
  <c r="A905" i="4"/>
  <c r="A903" i="4"/>
  <c r="A901" i="4"/>
  <c r="A899" i="4"/>
  <c r="A897" i="4"/>
  <c r="A895" i="4"/>
  <c r="A893" i="4"/>
  <c r="A891" i="4"/>
  <c r="A889" i="4"/>
  <c r="A887" i="4"/>
  <c r="A885" i="4"/>
  <c r="A883" i="4"/>
  <c r="A881" i="4"/>
  <c r="A879" i="4"/>
  <c r="A877" i="4"/>
  <c r="A875" i="4"/>
  <c r="A873" i="4"/>
  <c r="A871" i="4"/>
  <c r="A869" i="4"/>
  <c r="A867" i="4"/>
  <c r="A865" i="4"/>
  <c r="A863" i="4"/>
  <c r="A861" i="4"/>
  <c r="A859" i="4"/>
  <c r="A857" i="4"/>
  <c r="A855" i="4"/>
  <c r="A853" i="4"/>
  <c r="A851" i="4"/>
  <c r="A849" i="4"/>
  <c r="A847" i="4"/>
  <c r="A845" i="4"/>
  <c r="A843" i="4"/>
  <c r="A841" i="4"/>
  <c r="A839" i="4"/>
  <c r="A837" i="4"/>
  <c r="A835" i="4"/>
  <c r="A833" i="4"/>
  <c r="A831" i="4"/>
  <c r="A829" i="4"/>
  <c r="A827" i="4"/>
  <c r="A825" i="4"/>
  <c r="A823" i="4"/>
  <c r="A821" i="4"/>
  <c r="A819" i="4"/>
  <c r="A817" i="4"/>
  <c r="A815" i="4"/>
  <c r="A813" i="4"/>
  <c r="A811" i="4"/>
  <c r="A809" i="4"/>
  <c r="A807" i="4"/>
  <c r="A805" i="4"/>
  <c r="A803" i="4"/>
  <c r="A801" i="4"/>
  <c r="A799" i="4"/>
  <c r="A797" i="4"/>
  <c r="A795" i="4"/>
  <c r="A793" i="4"/>
  <c r="A791" i="4"/>
  <c r="A789" i="4"/>
  <c r="A787" i="4"/>
  <c r="A785" i="4"/>
  <c r="A783" i="4"/>
  <c r="A781" i="4"/>
  <c r="A779" i="4"/>
  <c r="A777" i="4"/>
  <c r="A953" i="4"/>
  <c r="A950" i="4"/>
  <c r="A933" i="4"/>
  <c r="A923" i="4"/>
  <c r="A915" i="4"/>
  <c r="A904" i="4"/>
  <c r="A896" i="4"/>
  <c r="A888" i="4"/>
  <c r="A874" i="4"/>
  <c r="A866" i="4"/>
  <c r="A858" i="4"/>
  <c r="A850" i="4"/>
  <c r="A842" i="4"/>
  <c r="A834" i="4"/>
  <c r="A826" i="4"/>
  <c r="A818" i="4"/>
  <c r="A810" i="4"/>
  <c r="A802" i="4"/>
  <c r="A982" i="4"/>
  <c r="A959" i="4"/>
  <c r="A954" i="4"/>
  <c r="A943" i="4"/>
  <c r="A937" i="4"/>
  <c r="A935" i="4"/>
  <c r="A929" i="4"/>
  <c r="A922" i="4"/>
  <c r="A921" i="4"/>
  <c r="A914" i="4"/>
  <c r="A913" i="4"/>
  <c r="A910" i="4"/>
  <c r="A902" i="4"/>
  <c r="A894" i="4"/>
  <c r="A886" i="4"/>
  <c r="A876" i="4"/>
  <c r="A868" i="4"/>
  <c r="A860" i="4"/>
  <c r="A852" i="4"/>
  <c r="A844" i="4"/>
  <c r="A836" i="4"/>
  <c r="A828" i="4"/>
  <c r="A947" i="4"/>
  <c r="A942" i="4"/>
  <c r="A927" i="4"/>
  <c r="A919" i="4"/>
  <c r="A925" i="4"/>
  <c r="A917" i="4"/>
  <c r="A880" i="4"/>
  <c r="A864" i="4"/>
  <c r="A848" i="4"/>
  <c r="A832" i="4"/>
  <c r="A812" i="4"/>
  <c r="A800" i="4"/>
  <c r="A792" i="4"/>
  <c r="A784" i="4"/>
  <c r="A776" i="4"/>
  <c r="A946" i="4"/>
  <c r="A926" i="4"/>
  <c r="A918" i="4"/>
  <c r="A908" i="4"/>
  <c r="A906" i="4"/>
  <c r="A892" i="4"/>
  <c r="A890" i="4"/>
  <c r="A870" i="4"/>
  <c r="A872" i="4"/>
  <c r="A951" i="4"/>
  <c r="A900" i="4"/>
  <c r="A882" i="4"/>
  <c r="A846" i="4"/>
  <c r="A822" i="4"/>
  <c r="A820" i="4"/>
  <c r="A808" i="4"/>
  <c r="A796" i="4"/>
  <c r="A786" i="4"/>
  <c r="A898" i="4"/>
  <c r="A862" i="4"/>
  <c r="A838" i="4"/>
  <c r="A824" i="4"/>
  <c r="A816" i="4"/>
  <c r="A814" i="4"/>
  <c r="A806" i="4"/>
  <c r="A804" i="4"/>
  <c r="A798" i="4"/>
  <c r="A794" i="4"/>
  <c r="A782" i="4"/>
  <c r="A774" i="4"/>
  <c r="A772" i="4"/>
  <c r="A770" i="4"/>
  <c r="A768" i="4"/>
  <c r="A766" i="4"/>
  <c r="A764" i="4"/>
  <c r="A762" i="4"/>
  <c r="A760" i="4"/>
  <c r="A758" i="4"/>
  <c r="A756" i="4"/>
  <c r="A754" i="4"/>
  <c r="A752" i="4"/>
  <c r="A750" i="4"/>
  <c r="A748" i="4"/>
  <c r="A746" i="4"/>
  <c r="A744" i="4"/>
  <c r="A742" i="4"/>
  <c r="A740" i="4"/>
  <c r="A738" i="4"/>
  <c r="A736" i="4"/>
  <c r="A734" i="4"/>
  <c r="A732" i="4"/>
  <c r="A730" i="4"/>
  <c r="A728" i="4"/>
  <c r="A726" i="4"/>
  <c r="A724" i="4"/>
  <c r="A722" i="4"/>
  <c r="A720" i="4"/>
  <c r="A718" i="4"/>
  <c r="A716" i="4"/>
  <c r="A714" i="4"/>
  <c r="A712" i="4"/>
  <c r="A710" i="4"/>
  <c r="A708" i="4"/>
  <c r="A706" i="4"/>
  <c r="A704" i="4"/>
  <c r="A702" i="4"/>
  <c r="A700" i="4"/>
  <c r="A698" i="4"/>
  <c r="A696" i="4"/>
  <c r="A694" i="4"/>
  <c r="A692" i="4"/>
  <c r="A690" i="4"/>
  <c r="A688" i="4"/>
  <c r="A686" i="4"/>
  <c r="A684" i="4"/>
  <c r="A682" i="4"/>
  <c r="A680" i="4"/>
  <c r="A678" i="4"/>
  <c r="A676" i="4"/>
  <c r="A674" i="4"/>
  <c r="A672" i="4"/>
  <c r="A670" i="4"/>
  <c r="A668" i="4"/>
  <c r="A666" i="4"/>
  <c r="A664" i="4"/>
  <c r="A662" i="4"/>
  <c r="A660" i="4"/>
  <c r="A658" i="4"/>
  <c r="A656" i="4"/>
  <c r="A654" i="4"/>
  <c r="A652" i="4"/>
  <c r="A650" i="4"/>
  <c r="A648" i="4"/>
  <c r="A646" i="4"/>
  <c r="A644" i="4"/>
  <c r="A642" i="4"/>
  <c r="A640" i="4"/>
  <c r="A638" i="4"/>
  <c r="A636" i="4"/>
  <c r="A854" i="4"/>
  <c r="A840" i="4"/>
  <c r="A878" i="4"/>
  <c r="A856" i="4"/>
  <c r="A775" i="4"/>
  <c r="A767" i="4"/>
  <c r="A759" i="4"/>
  <c r="A751" i="4"/>
  <c r="A743" i="4"/>
  <c r="A735" i="4"/>
  <c r="A727" i="4"/>
  <c r="A719" i="4"/>
  <c r="A711" i="4"/>
  <c r="A790" i="4"/>
  <c r="A788" i="4"/>
  <c r="A769" i="4"/>
  <c r="A761" i="4"/>
  <c r="A753" i="4"/>
  <c r="A745" i="4"/>
  <c r="A737" i="4"/>
  <c r="A729" i="4"/>
  <c r="A721" i="4"/>
  <c r="A713" i="4"/>
  <c r="A780" i="4"/>
  <c r="A778" i="4"/>
  <c r="A771" i="4"/>
  <c r="A763" i="4"/>
  <c r="A755" i="4"/>
  <c r="A747" i="4"/>
  <c r="A739" i="4"/>
  <c r="A731" i="4"/>
  <c r="A723" i="4"/>
  <c r="A715" i="4"/>
  <c r="A757" i="4"/>
  <c r="A725" i="4"/>
  <c r="A705" i="4"/>
  <c r="A697" i="4"/>
  <c r="A689" i="4"/>
  <c r="A681" i="4"/>
  <c r="A673" i="4"/>
  <c r="A665" i="4"/>
  <c r="A657" i="4"/>
  <c r="A649" i="4"/>
  <c r="A641" i="4"/>
  <c r="A634" i="4"/>
  <c r="A632" i="4"/>
  <c r="A630" i="4"/>
  <c r="A884" i="4"/>
  <c r="A749" i="4"/>
  <c r="A717" i="4"/>
  <c r="A707" i="4"/>
  <c r="A699" i="4"/>
  <c r="A691" i="4"/>
  <c r="A683" i="4"/>
  <c r="A675" i="4"/>
  <c r="A667" i="4"/>
  <c r="A659" i="4"/>
  <c r="A651" i="4"/>
  <c r="A773" i="4"/>
  <c r="A741" i="4"/>
  <c r="A709" i="4"/>
  <c r="A701" i="4"/>
  <c r="A693" i="4"/>
  <c r="A685" i="4"/>
  <c r="A677" i="4"/>
  <c r="A669" i="4"/>
  <c r="A661" i="4"/>
  <c r="A653" i="4"/>
  <c r="A645" i="4"/>
  <c r="A637" i="4"/>
  <c r="A635" i="4"/>
  <c r="A633" i="4"/>
  <c r="A631" i="4"/>
  <c r="A830" i="4"/>
  <c r="A765" i="4"/>
  <c r="A733" i="4"/>
  <c r="A703" i="4"/>
  <c r="A695" i="4"/>
  <c r="A687" i="4"/>
  <c r="A679" i="4"/>
  <c r="A671" i="4"/>
  <c r="A663" i="4"/>
  <c r="A655" i="4"/>
  <c r="A643" i="4"/>
  <c r="A628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639" i="4"/>
  <c r="A629" i="4"/>
  <c r="A626" i="4"/>
  <c r="A624" i="4"/>
  <c r="A622" i="4"/>
  <c r="A620" i="4"/>
  <c r="A618" i="4"/>
  <c r="A616" i="4"/>
  <c r="A614" i="4"/>
  <c r="A612" i="4"/>
  <c r="A610" i="4"/>
  <c r="A608" i="4"/>
  <c r="A606" i="4"/>
  <c r="A604" i="4"/>
  <c r="A602" i="4"/>
  <c r="A600" i="4"/>
  <c r="A598" i="4"/>
  <c r="A596" i="4"/>
  <c r="A594" i="4"/>
  <c r="A592" i="4"/>
  <c r="A590" i="4"/>
  <c r="A588" i="4"/>
  <c r="A586" i="4"/>
  <c r="A584" i="4"/>
  <c r="A582" i="4"/>
  <c r="A580" i="4"/>
  <c r="A578" i="4"/>
  <c r="A576" i="4"/>
  <c r="A574" i="4"/>
  <c r="A572" i="4"/>
  <c r="A570" i="4"/>
  <c r="A568" i="4"/>
  <c r="A566" i="4"/>
  <c r="A564" i="4"/>
  <c r="A562" i="4"/>
  <c r="A560" i="4"/>
  <c r="A558" i="4"/>
  <c r="A647" i="4"/>
  <c r="A554" i="4"/>
  <c r="A550" i="4"/>
  <c r="A548" i="4"/>
  <c r="A546" i="4"/>
  <c r="A544" i="4"/>
  <c r="A542" i="4"/>
  <c r="A540" i="4"/>
  <c r="A538" i="4"/>
  <c r="A536" i="4"/>
  <c r="A534" i="4"/>
  <c r="A532" i="4"/>
  <c r="A530" i="4"/>
  <c r="A528" i="4"/>
  <c r="A526" i="4"/>
  <c r="A524" i="4"/>
  <c r="A522" i="4"/>
  <c r="A520" i="4"/>
  <c r="A518" i="4"/>
  <c r="A516" i="4"/>
  <c r="A514" i="4"/>
  <c r="A512" i="4"/>
  <c r="A510" i="4"/>
  <c r="A508" i="4"/>
  <c r="A506" i="4"/>
  <c r="A504" i="4"/>
  <c r="A502" i="4"/>
  <c r="A500" i="4"/>
  <c r="A498" i="4"/>
  <c r="A496" i="4"/>
  <c r="A494" i="4"/>
  <c r="A492" i="4"/>
  <c r="A490" i="4"/>
  <c r="A488" i="4"/>
  <c r="A486" i="4"/>
  <c r="A484" i="4"/>
  <c r="A482" i="4"/>
  <c r="A480" i="4"/>
  <c r="A478" i="4"/>
  <c r="A476" i="4"/>
  <c r="A474" i="4"/>
  <c r="A472" i="4"/>
  <c r="A470" i="4"/>
  <c r="A556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552" i="4"/>
  <c r="A464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91" i="4"/>
  <c r="A389" i="4"/>
  <c r="A387" i="4"/>
  <c r="A385" i="4"/>
  <c r="A38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466" i="4"/>
  <c r="A462" i="4"/>
  <c r="A454" i="4"/>
  <c r="A446" i="4"/>
  <c r="A438" i="4"/>
  <c r="A430" i="4"/>
  <c r="A422" i="4"/>
  <c r="A414" i="4"/>
  <c r="A406" i="4"/>
  <c r="A398" i="4"/>
  <c r="A390" i="4"/>
  <c r="A382" i="4"/>
  <c r="A374" i="4"/>
  <c r="A366" i="4"/>
  <c r="A358" i="4"/>
  <c r="A350" i="4"/>
  <c r="A342" i="4"/>
  <c r="A330" i="4"/>
  <c r="A468" i="4"/>
  <c r="A456" i="4"/>
  <c r="A448" i="4"/>
  <c r="A440" i="4"/>
  <c r="A432" i="4"/>
  <c r="A424" i="4"/>
  <c r="A416" i="4"/>
  <c r="A408" i="4"/>
  <c r="A400" i="4"/>
  <c r="A392" i="4"/>
  <c r="A384" i="4"/>
  <c r="A376" i="4"/>
  <c r="A368" i="4"/>
  <c r="A360" i="4"/>
  <c r="A352" i="4"/>
  <c r="A344" i="4"/>
  <c r="A332" i="4"/>
  <c r="A325" i="4"/>
  <c r="A323" i="4"/>
  <c r="A321" i="4"/>
  <c r="A319" i="4"/>
  <c r="A317" i="4"/>
  <c r="A315" i="4"/>
  <c r="A313" i="4"/>
  <c r="A311" i="4"/>
  <c r="A309" i="4"/>
  <c r="A307" i="4"/>
  <c r="A305" i="4"/>
  <c r="A303" i="4"/>
  <c r="A301" i="4"/>
  <c r="A299" i="4"/>
  <c r="A297" i="4"/>
  <c r="A295" i="4"/>
  <c r="A293" i="4"/>
  <c r="A291" i="4"/>
  <c r="A289" i="4"/>
  <c r="A287" i="4"/>
  <c r="A285" i="4"/>
  <c r="A283" i="4"/>
  <c r="A281" i="4"/>
  <c r="A279" i="4"/>
  <c r="A277" i="4"/>
  <c r="A275" i="4"/>
  <c r="A273" i="4"/>
  <c r="A271" i="4"/>
  <c r="A269" i="4"/>
  <c r="A267" i="4"/>
  <c r="A265" i="4"/>
  <c r="A263" i="4"/>
  <c r="A261" i="4"/>
  <c r="A259" i="4"/>
  <c r="A257" i="4"/>
  <c r="A255" i="4"/>
  <c r="A253" i="4"/>
  <c r="A251" i="4"/>
  <c r="A249" i="4"/>
  <c r="A247" i="4"/>
  <c r="A245" i="4"/>
  <c r="A243" i="4"/>
  <c r="A241" i="4"/>
  <c r="A239" i="4"/>
  <c r="A237" i="4"/>
  <c r="A235" i="4"/>
  <c r="A233" i="4"/>
  <c r="A231" i="4"/>
  <c r="A229" i="4"/>
  <c r="A227" i="4"/>
  <c r="A225" i="4"/>
  <c r="A223" i="4"/>
  <c r="A221" i="4"/>
  <c r="A219" i="4"/>
  <c r="A217" i="4"/>
  <c r="A215" i="4"/>
  <c r="A213" i="4"/>
  <c r="A211" i="4"/>
  <c r="A209" i="4"/>
  <c r="A207" i="4"/>
  <c r="A205" i="4"/>
  <c r="A203" i="4"/>
  <c r="A201" i="4"/>
  <c r="A199" i="4"/>
  <c r="A197" i="4"/>
  <c r="A195" i="4"/>
  <c r="A193" i="4"/>
  <c r="A191" i="4"/>
  <c r="A189" i="4"/>
  <c r="A187" i="4"/>
  <c r="A185" i="4"/>
  <c r="A183" i="4"/>
  <c r="A181" i="4"/>
  <c r="A179" i="4"/>
  <c r="A177" i="4"/>
  <c r="A175" i="4"/>
  <c r="A173" i="4"/>
  <c r="A171" i="4"/>
  <c r="A169" i="4"/>
  <c r="A167" i="4"/>
  <c r="A165" i="4"/>
  <c r="A163" i="4"/>
  <c r="A161" i="4"/>
  <c r="A159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458" i="4"/>
  <c r="A450" i="4"/>
  <c r="A442" i="4"/>
  <c r="A434" i="4"/>
  <c r="A426" i="4"/>
  <c r="A418" i="4"/>
  <c r="A410" i="4"/>
  <c r="A402" i="4"/>
  <c r="A394" i="4"/>
  <c r="A386" i="4"/>
  <c r="A378" i="4"/>
  <c r="A370" i="4"/>
  <c r="A362" i="4"/>
  <c r="A354" i="4"/>
  <c r="A346" i="4"/>
  <c r="A338" i="4"/>
  <c r="A334" i="4"/>
  <c r="A326" i="4"/>
  <c r="A460" i="4"/>
  <c r="A452" i="4"/>
  <c r="A444" i="4"/>
  <c r="A436" i="4"/>
  <c r="A428" i="4"/>
  <c r="A420" i="4"/>
  <c r="A412" i="4"/>
  <c r="A404" i="4"/>
  <c r="A396" i="4"/>
  <c r="A388" i="4"/>
  <c r="A380" i="4"/>
  <c r="A372" i="4"/>
  <c r="A364" i="4"/>
  <c r="A356" i="4"/>
  <c r="A348" i="4"/>
  <c r="A340" i="4"/>
  <c r="A336" i="4"/>
  <c r="A328" i="4"/>
  <c r="A324" i="4"/>
  <c r="A322" i="4"/>
  <c r="A320" i="4"/>
  <c r="A318" i="4"/>
  <c r="A316" i="4"/>
  <c r="A314" i="4"/>
  <c r="A312" i="4"/>
  <c r="A310" i="4"/>
  <c r="A308" i="4"/>
  <c r="A306" i="4"/>
  <c r="A304" i="4"/>
  <c r="A302" i="4"/>
  <c r="A300" i="4"/>
  <c r="A298" i="4"/>
  <c r="A296" i="4"/>
  <c r="A294" i="4"/>
  <c r="A292" i="4"/>
  <c r="A290" i="4"/>
  <c r="A288" i="4"/>
  <c r="A286" i="4"/>
  <c r="A284" i="4"/>
  <c r="A282" i="4"/>
  <c r="A280" i="4"/>
  <c r="A278" i="4"/>
  <c r="A276" i="4"/>
  <c r="A274" i="4"/>
  <c r="A272" i="4"/>
  <c r="A270" i="4"/>
  <c r="A268" i="4"/>
  <c r="A266" i="4"/>
  <c r="A264" i="4"/>
  <c r="A262" i="4"/>
  <c r="A260" i="4"/>
  <c r="A258" i="4"/>
  <c r="A256" i="4"/>
  <c r="A254" i="4"/>
  <c r="A252" i="4"/>
  <c r="A250" i="4"/>
  <c r="A242" i="4"/>
  <c r="A234" i="4"/>
  <c r="A226" i="4"/>
  <c r="A216" i="4"/>
  <c r="A208" i="4"/>
  <c r="A200" i="4"/>
  <c r="A192" i="4"/>
  <c r="A184" i="4"/>
  <c r="A176" i="4"/>
  <c r="A168" i="4"/>
  <c r="A160" i="4"/>
  <c r="A152" i="4"/>
  <c r="A144" i="4"/>
  <c r="A136" i="4"/>
  <c r="A128" i="4"/>
  <c r="A120" i="4"/>
  <c r="A112" i="4"/>
  <c r="A110" i="4"/>
  <c r="A102" i="4"/>
  <c r="A97" i="4"/>
  <c r="A95" i="4"/>
  <c r="A93" i="4"/>
  <c r="A91" i="4"/>
  <c r="A89" i="4"/>
  <c r="A87" i="4"/>
  <c r="A85" i="4"/>
  <c r="A83" i="4"/>
  <c r="A81" i="4"/>
  <c r="A79" i="4"/>
  <c r="A77" i="4"/>
  <c r="A75" i="4"/>
  <c r="A73" i="4"/>
  <c r="A71" i="4"/>
  <c r="A69" i="4"/>
  <c r="A67" i="4"/>
  <c r="A65" i="4"/>
  <c r="A63" i="4"/>
  <c r="A61" i="4"/>
  <c r="A59" i="4"/>
  <c r="A57" i="4"/>
  <c r="A55" i="4"/>
  <c r="A53" i="4"/>
  <c r="A51" i="4"/>
  <c r="A49" i="4"/>
  <c r="A47" i="4"/>
  <c r="A45" i="4"/>
  <c r="A43" i="4"/>
  <c r="A41" i="4"/>
  <c r="A39" i="4"/>
  <c r="A37" i="4"/>
  <c r="A35" i="4"/>
  <c r="A33" i="4"/>
  <c r="A30" i="4"/>
  <c r="A26" i="4"/>
  <c r="A22" i="4"/>
  <c r="A18" i="4"/>
  <c r="A14" i="4"/>
  <c r="A10" i="4"/>
  <c r="A244" i="4"/>
  <c r="A236" i="4"/>
  <c r="A228" i="4"/>
  <c r="A218" i="4"/>
  <c r="A210" i="4"/>
  <c r="A202" i="4"/>
  <c r="A194" i="4"/>
  <c r="A186" i="4"/>
  <c r="A178" i="4"/>
  <c r="A170" i="4"/>
  <c r="A162" i="4"/>
  <c r="A154" i="4"/>
  <c r="A146" i="4"/>
  <c r="A138" i="4"/>
  <c r="A130" i="4"/>
  <c r="A122" i="4"/>
  <c r="A114" i="4"/>
  <c r="A104" i="4"/>
  <c r="A29" i="4"/>
  <c r="A25" i="4"/>
  <c r="A21" i="4"/>
  <c r="A17" i="4"/>
  <c r="A13" i="4"/>
  <c r="A9" i="4"/>
  <c r="A7" i="4"/>
  <c r="A5" i="4"/>
  <c r="A3" i="4"/>
  <c r="A246" i="4"/>
  <c r="A238" i="4"/>
  <c r="A230" i="4"/>
  <c r="A222" i="4"/>
  <c r="A220" i="4"/>
  <c r="A212" i="4"/>
  <c r="A204" i="4"/>
  <c r="A196" i="4"/>
  <c r="A188" i="4"/>
  <c r="A180" i="4"/>
  <c r="A172" i="4"/>
  <c r="A164" i="4"/>
  <c r="A156" i="4"/>
  <c r="A148" i="4"/>
  <c r="A140" i="4"/>
  <c r="A132" i="4"/>
  <c r="A124" i="4"/>
  <c r="A116" i="4"/>
  <c r="A106" i="4"/>
  <c r="A98" i="4"/>
  <c r="A96" i="4"/>
  <c r="A94" i="4"/>
  <c r="A92" i="4"/>
  <c r="A90" i="4"/>
  <c r="A88" i="4"/>
  <c r="A86" i="4"/>
  <c r="A84" i="4"/>
  <c r="A82" i="4"/>
  <c r="A80" i="4"/>
  <c r="A78" i="4"/>
  <c r="A76" i="4"/>
  <c r="A74" i="4"/>
  <c r="A72" i="4"/>
  <c r="A70" i="4"/>
  <c r="A68" i="4"/>
  <c r="A66" i="4"/>
  <c r="A64" i="4"/>
  <c r="A62" i="4"/>
  <c r="A60" i="4"/>
  <c r="A58" i="4"/>
  <c r="A56" i="4"/>
  <c r="A54" i="4"/>
  <c r="A52" i="4"/>
  <c r="A50" i="4"/>
  <c r="A48" i="4"/>
  <c r="A46" i="4"/>
  <c r="A44" i="4"/>
  <c r="A42" i="4"/>
  <c r="A40" i="4"/>
  <c r="A38" i="4"/>
  <c r="A36" i="4"/>
  <c r="A34" i="4"/>
  <c r="A32" i="4"/>
  <c r="A28" i="4"/>
  <c r="A24" i="4"/>
  <c r="A20" i="4"/>
  <c r="A16" i="4"/>
  <c r="A12" i="4"/>
  <c r="A248" i="4"/>
  <c r="A240" i="4"/>
  <c r="A232" i="4"/>
  <c r="A224" i="4"/>
  <c r="A214" i="4"/>
  <c r="A206" i="4"/>
  <c r="A198" i="4"/>
  <c r="A190" i="4"/>
  <c r="A182" i="4"/>
  <c r="A174" i="4"/>
  <c r="A166" i="4"/>
  <c r="A158" i="4"/>
  <c r="A150" i="4"/>
  <c r="A142" i="4"/>
  <c r="A134" i="4"/>
  <c r="A126" i="4"/>
  <c r="A118" i="4"/>
  <c r="A108" i="4"/>
  <c r="A100" i="4"/>
  <c r="A31" i="4"/>
  <c r="A27" i="4"/>
  <c r="A23" i="4"/>
  <c r="A19" i="4"/>
  <c r="A15" i="4"/>
  <c r="A11" i="4"/>
  <c r="A8" i="4"/>
  <c r="A6" i="4"/>
  <c r="A4" i="4"/>
  <c r="S2" i="3"/>
  <c r="Q2" i="3"/>
  <c r="M2" i="3"/>
  <c r="R2" i="3"/>
  <c r="P2" i="3"/>
  <c r="I11" i="4" l="1"/>
  <c r="D11" i="4"/>
  <c r="H11" i="4"/>
  <c r="C11" i="4"/>
  <c r="E11" i="4" s="1"/>
  <c r="L11" i="4"/>
  <c r="G11" i="4"/>
  <c r="B11" i="4"/>
  <c r="J11" i="4"/>
  <c r="I118" i="4"/>
  <c r="D118" i="4"/>
  <c r="H118" i="4"/>
  <c r="C118" i="4"/>
  <c r="E118" i="4" s="1"/>
  <c r="G118" i="4"/>
  <c r="L118" i="4"/>
  <c r="B118" i="4"/>
  <c r="J118" i="4"/>
  <c r="I182" i="4"/>
  <c r="D182" i="4"/>
  <c r="H182" i="4"/>
  <c r="C182" i="4"/>
  <c r="E182" i="4" s="1"/>
  <c r="G182" i="4"/>
  <c r="L182" i="4"/>
  <c r="B182" i="4"/>
  <c r="J182" i="4"/>
  <c r="I248" i="4"/>
  <c r="D248" i="4"/>
  <c r="H248" i="4"/>
  <c r="C248" i="4"/>
  <c r="E248" i="4" s="1"/>
  <c r="L248" i="4"/>
  <c r="G248" i="4"/>
  <c r="B248" i="4"/>
  <c r="J248" i="4"/>
  <c r="H24" i="4"/>
  <c r="C24" i="4"/>
  <c r="E24" i="4" s="1"/>
  <c r="L24" i="4"/>
  <c r="G24" i="4"/>
  <c r="B24" i="4"/>
  <c r="J24" i="4"/>
  <c r="I24" i="4"/>
  <c r="D24" i="4"/>
  <c r="H36" i="4"/>
  <c r="C36" i="4"/>
  <c r="E36" i="4" s="1"/>
  <c r="L36" i="4"/>
  <c r="G36" i="4"/>
  <c r="B36" i="4"/>
  <c r="J36" i="4"/>
  <c r="I36" i="4"/>
  <c r="D36" i="4"/>
  <c r="H44" i="4"/>
  <c r="C44" i="4"/>
  <c r="E44" i="4" s="1"/>
  <c r="L44" i="4"/>
  <c r="G44" i="4"/>
  <c r="B44" i="4"/>
  <c r="J44" i="4"/>
  <c r="I44" i="4"/>
  <c r="D44" i="4"/>
  <c r="H52" i="4"/>
  <c r="C52" i="4"/>
  <c r="E52" i="4" s="1"/>
  <c r="L52" i="4"/>
  <c r="G52" i="4"/>
  <c r="B52" i="4"/>
  <c r="J52" i="4"/>
  <c r="I52" i="4"/>
  <c r="D52" i="4"/>
  <c r="H60" i="4"/>
  <c r="C60" i="4"/>
  <c r="E60" i="4" s="1"/>
  <c r="L60" i="4"/>
  <c r="G60" i="4"/>
  <c r="B60" i="4"/>
  <c r="J60" i="4"/>
  <c r="I60" i="4"/>
  <c r="D60" i="4"/>
  <c r="H68" i="4"/>
  <c r="C68" i="4"/>
  <c r="E68" i="4" s="1"/>
  <c r="L68" i="4"/>
  <c r="G68" i="4"/>
  <c r="B68" i="4"/>
  <c r="J68" i="4"/>
  <c r="I68" i="4"/>
  <c r="D68" i="4"/>
  <c r="H76" i="4"/>
  <c r="C76" i="4"/>
  <c r="E76" i="4" s="1"/>
  <c r="L76" i="4"/>
  <c r="G76" i="4"/>
  <c r="B76" i="4"/>
  <c r="J76" i="4"/>
  <c r="I76" i="4"/>
  <c r="D76" i="4"/>
  <c r="H84" i="4"/>
  <c r="C84" i="4"/>
  <c r="E84" i="4" s="1"/>
  <c r="L84" i="4"/>
  <c r="G84" i="4"/>
  <c r="B84" i="4"/>
  <c r="J84" i="4"/>
  <c r="I84" i="4"/>
  <c r="D84" i="4"/>
  <c r="H92" i="4"/>
  <c r="C92" i="4"/>
  <c r="E92" i="4" s="1"/>
  <c r="L92" i="4"/>
  <c r="G92" i="4"/>
  <c r="B92" i="4"/>
  <c r="J92" i="4"/>
  <c r="I92" i="4"/>
  <c r="D92" i="4"/>
  <c r="H106" i="4"/>
  <c r="C106" i="4"/>
  <c r="E106" i="4" s="1"/>
  <c r="J106" i="4"/>
  <c r="D106" i="4"/>
  <c r="I106" i="4"/>
  <c r="B106" i="4"/>
  <c r="G106" i="4"/>
  <c r="L106" i="4"/>
  <c r="I140" i="4"/>
  <c r="D140" i="4"/>
  <c r="H140" i="4"/>
  <c r="C140" i="4"/>
  <c r="E140" i="4" s="1"/>
  <c r="L140" i="4"/>
  <c r="B140" i="4"/>
  <c r="J140" i="4"/>
  <c r="G140" i="4"/>
  <c r="I172" i="4"/>
  <c r="D172" i="4"/>
  <c r="H172" i="4"/>
  <c r="C172" i="4"/>
  <c r="E172" i="4" s="1"/>
  <c r="L172" i="4"/>
  <c r="B172" i="4"/>
  <c r="J172" i="4"/>
  <c r="G172" i="4"/>
  <c r="I204" i="4"/>
  <c r="D204" i="4"/>
  <c r="H204" i="4"/>
  <c r="C204" i="4"/>
  <c r="E204" i="4" s="1"/>
  <c r="L204" i="4"/>
  <c r="B204" i="4"/>
  <c r="J204" i="4"/>
  <c r="G204" i="4"/>
  <c r="I230" i="4"/>
  <c r="D230" i="4"/>
  <c r="H230" i="4"/>
  <c r="C230" i="4"/>
  <c r="E230" i="4" s="1"/>
  <c r="L230" i="4"/>
  <c r="G230" i="4"/>
  <c r="B230" i="4"/>
  <c r="J230" i="4"/>
  <c r="L5" i="4"/>
  <c r="G5" i="4"/>
  <c r="B5" i="4"/>
  <c r="I5" i="4"/>
  <c r="D5" i="4"/>
  <c r="H5" i="4"/>
  <c r="C5" i="4"/>
  <c r="I4" i="4"/>
  <c r="D4" i="4"/>
  <c r="H4" i="4"/>
  <c r="C4" i="4"/>
  <c r="E4" i="4" s="1"/>
  <c r="L4" i="4"/>
  <c r="G4" i="4"/>
  <c r="B4" i="4"/>
  <c r="I15" i="4"/>
  <c r="D15" i="4"/>
  <c r="H15" i="4"/>
  <c r="C15" i="4"/>
  <c r="E15" i="4" s="1"/>
  <c r="L15" i="4"/>
  <c r="G15" i="4"/>
  <c r="B15" i="4"/>
  <c r="J15" i="4"/>
  <c r="I31" i="4"/>
  <c r="D31" i="4"/>
  <c r="H31" i="4"/>
  <c r="C31" i="4"/>
  <c r="E31" i="4" s="1"/>
  <c r="L31" i="4"/>
  <c r="G31" i="4"/>
  <c r="B31" i="4"/>
  <c r="J31" i="4"/>
  <c r="I126" i="4"/>
  <c r="D126" i="4"/>
  <c r="H126" i="4"/>
  <c r="C126" i="4"/>
  <c r="E126" i="4" s="1"/>
  <c r="G126" i="4"/>
  <c r="L126" i="4"/>
  <c r="B126" i="4"/>
  <c r="J126" i="4"/>
  <c r="I158" i="4"/>
  <c r="D158" i="4"/>
  <c r="H158" i="4"/>
  <c r="C158" i="4"/>
  <c r="E158" i="4" s="1"/>
  <c r="G158" i="4"/>
  <c r="L158" i="4"/>
  <c r="B158" i="4"/>
  <c r="J158" i="4"/>
  <c r="I190" i="4"/>
  <c r="D190" i="4"/>
  <c r="H190" i="4"/>
  <c r="C190" i="4"/>
  <c r="E190" i="4" s="1"/>
  <c r="G190" i="4"/>
  <c r="L190" i="4"/>
  <c r="B190" i="4"/>
  <c r="J190" i="4"/>
  <c r="I224" i="4"/>
  <c r="D224" i="4"/>
  <c r="H224" i="4"/>
  <c r="C224" i="4"/>
  <c r="E224" i="4" s="1"/>
  <c r="L224" i="4"/>
  <c r="G224" i="4"/>
  <c r="B224" i="4"/>
  <c r="J224" i="4"/>
  <c r="H12" i="4"/>
  <c r="C12" i="4"/>
  <c r="E12" i="4" s="1"/>
  <c r="L12" i="4"/>
  <c r="G12" i="4"/>
  <c r="B12" i="4"/>
  <c r="J12" i="4"/>
  <c r="I12" i="4"/>
  <c r="D12" i="4"/>
  <c r="H28" i="4"/>
  <c r="C28" i="4"/>
  <c r="E28" i="4" s="1"/>
  <c r="L28" i="4"/>
  <c r="G28" i="4"/>
  <c r="B28" i="4"/>
  <c r="J28" i="4"/>
  <c r="I28" i="4"/>
  <c r="D28" i="4"/>
  <c r="H38" i="4"/>
  <c r="C38" i="4"/>
  <c r="E38" i="4" s="1"/>
  <c r="L38" i="4"/>
  <c r="G38" i="4"/>
  <c r="B38" i="4"/>
  <c r="J38" i="4"/>
  <c r="I38" i="4"/>
  <c r="D38" i="4"/>
  <c r="H46" i="4"/>
  <c r="C46" i="4"/>
  <c r="E46" i="4" s="1"/>
  <c r="L46" i="4"/>
  <c r="G46" i="4"/>
  <c r="B46" i="4"/>
  <c r="J46" i="4"/>
  <c r="I46" i="4"/>
  <c r="D46" i="4"/>
  <c r="H54" i="4"/>
  <c r="C54" i="4"/>
  <c r="E54" i="4" s="1"/>
  <c r="L54" i="4"/>
  <c r="G54" i="4"/>
  <c r="B54" i="4"/>
  <c r="J54" i="4"/>
  <c r="I54" i="4"/>
  <c r="D54" i="4"/>
  <c r="H62" i="4"/>
  <c r="C62" i="4"/>
  <c r="E62" i="4" s="1"/>
  <c r="L62" i="4"/>
  <c r="G62" i="4"/>
  <c r="B62" i="4"/>
  <c r="J62" i="4"/>
  <c r="I62" i="4"/>
  <c r="D62" i="4"/>
  <c r="H70" i="4"/>
  <c r="C70" i="4"/>
  <c r="E70" i="4" s="1"/>
  <c r="L70" i="4"/>
  <c r="G70" i="4"/>
  <c r="B70" i="4"/>
  <c r="J70" i="4"/>
  <c r="I70" i="4"/>
  <c r="D70" i="4"/>
  <c r="H78" i="4"/>
  <c r="C78" i="4"/>
  <c r="E78" i="4" s="1"/>
  <c r="L78" i="4"/>
  <c r="G78" i="4"/>
  <c r="B78" i="4"/>
  <c r="J78" i="4"/>
  <c r="I78" i="4"/>
  <c r="D78" i="4"/>
  <c r="H86" i="4"/>
  <c r="C86" i="4"/>
  <c r="E86" i="4" s="1"/>
  <c r="L86" i="4"/>
  <c r="G86" i="4"/>
  <c r="B86" i="4"/>
  <c r="J86" i="4"/>
  <c r="I86" i="4"/>
  <c r="D86" i="4"/>
  <c r="H94" i="4"/>
  <c r="C94" i="4"/>
  <c r="E94" i="4" s="1"/>
  <c r="L94" i="4"/>
  <c r="G94" i="4"/>
  <c r="B94" i="4"/>
  <c r="J94" i="4"/>
  <c r="I94" i="4"/>
  <c r="D94" i="4"/>
  <c r="I116" i="4"/>
  <c r="D116" i="4"/>
  <c r="H116" i="4"/>
  <c r="C116" i="4"/>
  <c r="E116" i="4" s="1"/>
  <c r="L116" i="4"/>
  <c r="B116" i="4"/>
  <c r="J116" i="4"/>
  <c r="G116" i="4"/>
  <c r="I148" i="4"/>
  <c r="D148" i="4"/>
  <c r="H148" i="4"/>
  <c r="C148" i="4"/>
  <c r="E148" i="4" s="1"/>
  <c r="L148" i="4"/>
  <c r="B148" i="4"/>
  <c r="J148" i="4"/>
  <c r="G148" i="4"/>
  <c r="I180" i="4"/>
  <c r="D180" i="4"/>
  <c r="H180" i="4"/>
  <c r="C180" i="4"/>
  <c r="E180" i="4" s="1"/>
  <c r="L180" i="4"/>
  <c r="B180" i="4"/>
  <c r="J180" i="4"/>
  <c r="G180" i="4"/>
  <c r="I212" i="4"/>
  <c r="D212" i="4"/>
  <c r="H212" i="4"/>
  <c r="C212" i="4"/>
  <c r="E212" i="4" s="1"/>
  <c r="L212" i="4"/>
  <c r="B212" i="4"/>
  <c r="J212" i="4"/>
  <c r="G212" i="4"/>
  <c r="I238" i="4"/>
  <c r="D238" i="4"/>
  <c r="H238" i="4"/>
  <c r="C238" i="4"/>
  <c r="E238" i="4" s="1"/>
  <c r="L238" i="4"/>
  <c r="G238" i="4"/>
  <c r="B238" i="4"/>
  <c r="J238" i="4"/>
  <c r="L7" i="4"/>
  <c r="G7" i="4"/>
  <c r="B7" i="4"/>
  <c r="I7" i="4"/>
  <c r="D7" i="4"/>
  <c r="H7" i="4"/>
  <c r="C7" i="4"/>
  <c r="L21" i="4"/>
  <c r="G21" i="4"/>
  <c r="B21" i="4"/>
  <c r="J21" i="4"/>
  <c r="I21" i="4"/>
  <c r="D21" i="4"/>
  <c r="H21" i="4"/>
  <c r="C21" i="4"/>
  <c r="E21" i="4" s="1"/>
  <c r="I114" i="4"/>
  <c r="D114" i="4"/>
  <c r="H114" i="4"/>
  <c r="C114" i="4"/>
  <c r="E114" i="4" s="1"/>
  <c r="L114" i="4"/>
  <c r="B114" i="4"/>
  <c r="J114" i="4"/>
  <c r="G114" i="4"/>
  <c r="I146" i="4"/>
  <c r="D146" i="4"/>
  <c r="H146" i="4"/>
  <c r="C146" i="4"/>
  <c r="E146" i="4" s="1"/>
  <c r="L146" i="4"/>
  <c r="B146" i="4"/>
  <c r="J146" i="4"/>
  <c r="G146" i="4"/>
  <c r="I178" i="4"/>
  <c r="D178" i="4"/>
  <c r="H178" i="4"/>
  <c r="C178" i="4"/>
  <c r="E178" i="4" s="1"/>
  <c r="L178" i="4"/>
  <c r="B178" i="4"/>
  <c r="J178" i="4"/>
  <c r="G178" i="4"/>
  <c r="I210" i="4"/>
  <c r="D210" i="4"/>
  <c r="H210" i="4"/>
  <c r="C210" i="4"/>
  <c r="E210" i="4" s="1"/>
  <c r="L210" i="4"/>
  <c r="B210" i="4"/>
  <c r="J210" i="4"/>
  <c r="G210" i="4"/>
  <c r="I244" i="4"/>
  <c r="D244" i="4"/>
  <c r="H244" i="4"/>
  <c r="C244" i="4"/>
  <c r="E244" i="4" s="1"/>
  <c r="L244" i="4"/>
  <c r="G244" i="4"/>
  <c r="B244" i="4"/>
  <c r="J244" i="4"/>
  <c r="J22" i="4"/>
  <c r="I22" i="4"/>
  <c r="D22" i="4"/>
  <c r="H22" i="4"/>
  <c r="C22" i="4"/>
  <c r="E22" i="4" s="1"/>
  <c r="L22" i="4"/>
  <c r="G22" i="4"/>
  <c r="B22" i="4"/>
  <c r="J35" i="4"/>
  <c r="I35" i="4"/>
  <c r="D35" i="4"/>
  <c r="H35" i="4"/>
  <c r="C35" i="4"/>
  <c r="E35" i="4" s="1"/>
  <c r="L35" i="4"/>
  <c r="G35" i="4"/>
  <c r="B35" i="4"/>
  <c r="J43" i="4"/>
  <c r="I43" i="4"/>
  <c r="D43" i="4"/>
  <c r="H43" i="4"/>
  <c r="C43" i="4"/>
  <c r="E43" i="4" s="1"/>
  <c r="L43" i="4"/>
  <c r="G43" i="4"/>
  <c r="B43" i="4"/>
  <c r="J51" i="4"/>
  <c r="I51" i="4"/>
  <c r="D51" i="4"/>
  <c r="H51" i="4"/>
  <c r="C51" i="4"/>
  <c r="E51" i="4" s="1"/>
  <c r="L51" i="4"/>
  <c r="G51" i="4"/>
  <c r="B51" i="4"/>
  <c r="J59" i="4"/>
  <c r="I59" i="4"/>
  <c r="D59" i="4"/>
  <c r="H59" i="4"/>
  <c r="C59" i="4"/>
  <c r="E59" i="4" s="1"/>
  <c r="L59" i="4"/>
  <c r="G59" i="4"/>
  <c r="B59" i="4"/>
  <c r="J67" i="4"/>
  <c r="I67" i="4"/>
  <c r="D67" i="4"/>
  <c r="H67" i="4"/>
  <c r="C67" i="4"/>
  <c r="E67" i="4" s="1"/>
  <c r="L67" i="4"/>
  <c r="G67" i="4"/>
  <c r="B67" i="4"/>
  <c r="J75" i="4"/>
  <c r="I75" i="4"/>
  <c r="D75" i="4"/>
  <c r="H75" i="4"/>
  <c r="C75" i="4"/>
  <c r="E75" i="4" s="1"/>
  <c r="L75" i="4"/>
  <c r="G75" i="4"/>
  <c r="B75" i="4"/>
  <c r="J83" i="4"/>
  <c r="I83" i="4"/>
  <c r="D83" i="4"/>
  <c r="H83" i="4"/>
  <c r="C83" i="4"/>
  <c r="E83" i="4" s="1"/>
  <c r="L83" i="4"/>
  <c r="G83" i="4"/>
  <c r="B83" i="4"/>
  <c r="J91" i="4"/>
  <c r="I91" i="4"/>
  <c r="D91" i="4"/>
  <c r="H91" i="4"/>
  <c r="C91" i="4"/>
  <c r="E91" i="4" s="1"/>
  <c r="L91" i="4"/>
  <c r="G91" i="4"/>
  <c r="B91" i="4"/>
  <c r="H102" i="4"/>
  <c r="C102" i="4"/>
  <c r="E102" i="4" s="1"/>
  <c r="G102" i="4"/>
  <c r="L102" i="4"/>
  <c r="J102" i="4"/>
  <c r="D102" i="4"/>
  <c r="I102" i="4"/>
  <c r="B102" i="4"/>
  <c r="I128" i="4"/>
  <c r="D128" i="4"/>
  <c r="H128" i="4"/>
  <c r="C128" i="4"/>
  <c r="E128" i="4" s="1"/>
  <c r="J128" i="4"/>
  <c r="G128" i="4"/>
  <c r="L128" i="4"/>
  <c r="B128" i="4"/>
  <c r="I160" i="4"/>
  <c r="D160" i="4"/>
  <c r="H160" i="4"/>
  <c r="C160" i="4"/>
  <c r="E160" i="4" s="1"/>
  <c r="J160" i="4"/>
  <c r="G160" i="4"/>
  <c r="L160" i="4"/>
  <c r="B160" i="4"/>
  <c r="I192" i="4"/>
  <c r="D192" i="4"/>
  <c r="H192" i="4"/>
  <c r="C192" i="4"/>
  <c r="E192" i="4" s="1"/>
  <c r="J192" i="4"/>
  <c r="G192" i="4"/>
  <c r="L192" i="4"/>
  <c r="B192" i="4"/>
  <c r="I226" i="4"/>
  <c r="D226" i="4"/>
  <c r="H226" i="4"/>
  <c r="C226" i="4"/>
  <c r="E226" i="4" s="1"/>
  <c r="L226" i="4"/>
  <c r="G226" i="4"/>
  <c r="B226" i="4"/>
  <c r="J226" i="4"/>
  <c r="I252" i="4"/>
  <c r="D252" i="4"/>
  <c r="H252" i="4"/>
  <c r="C252" i="4"/>
  <c r="E252" i="4" s="1"/>
  <c r="L252" i="4"/>
  <c r="G252" i="4"/>
  <c r="B252" i="4"/>
  <c r="J252" i="4"/>
  <c r="I260" i="4"/>
  <c r="D260" i="4"/>
  <c r="H260" i="4"/>
  <c r="C260" i="4"/>
  <c r="E260" i="4" s="1"/>
  <c r="L260" i="4"/>
  <c r="G260" i="4"/>
  <c r="B260" i="4"/>
  <c r="J260" i="4"/>
  <c r="I268" i="4"/>
  <c r="D268" i="4"/>
  <c r="H268" i="4"/>
  <c r="C268" i="4"/>
  <c r="E268" i="4" s="1"/>
  <c r="L268" i="4"/>
  <c r="G268" i="4"/>
  <c r="B268" i="4"/>
  <c r="J268" i="4"/>
  <c r="I276" i="4"/>
  <c r="D276" i="4"/>
  <c r="H276" i="4"/>
  <c r="C276" i="4"/>
  <c r="E276" i="4" s="1"/>
  <c r="L276" i="4"/>
  <c r="G276" i="4"/>
  <c r="B276" i="4"/>
  <c r="J276" i="4"/>
  <c r="I284" i="4"/>
  <c r="D284" i="4"/>
  <c r="H284" i="4"/>
  <c r="C284" i="4"/>
  <c r="E284" i="4" s="1"/>
  <c r="L284" i="4"/>
  <c r="G284" i="4"/>
  <c r="B284" i="4"/>
  <c r="J284" i="4"/>
  <c r="I292" i="4"/>
  <c r="D292" i="4"/>
  <c r="H292" i="4"/>
  <c r="C292" i="4"/>
  <c r="E292" i="4" s="1"/>
  <c r="L292" i="4"/>
  <c r="G292" i="4"/>
  <c r="B292" i="4"/>
  <c r="J292" i="4"/>
  <c r="I300" i="4"/>
  <c r="D300" i="4"/>
  <c r="H300" i="4"/>
  <c r="C300" i="4"/>
  <c r="E300" i="4" s="1"/>
  <c r="L300" i="4"/>
  <c r="G300" i="4"/>
  <c r="B300" i="4"/>
  <c r="J300" i="4"/>
  <c r="I308" i="4"/>
  <c r="D308" i="4"/>
  <c r="H308" i="4"/>
  <c r="C308" i="4"/>
  <c r="E308" i="4" s="1"/>
  <c r="L308" i="4"/>
  <c r="G308" i="4"/>
  <c r="B308" i="4"/>
  <c r="J308" i="4"/>
  <c r="I316" i="4"/>
  <c r="D316" i="4"/>
  <c r="H316" i="4"/>
  <c r="C316" i="4"/>
  <c r="E316" i="4" s="1"/>
  <c r="L316" i="4"/>
  <c r="G316" i="4"/>
  <c r="B316" i="4"/>
  <c r="J316" i="4"/>
  <c r="I324" i="4"/>
  <c r="D324" i="4"/>
  <c r="H324" i="4"/>
  <c r="C324" i="4"/>
  <c r="E324" i="4" s="1"/>
  <c r="L324" i="4"/>
  <c r="G324" i="4"/>
  <c r="B324" i="4"/>
  <c r="J324" i="4"/>
  <c r="I348" i="4"/>
  <c r="D348" i="4"/>
  <c r="H348" i="4"/>
  <c r="C348" i="4"/>
  <c r="E348" i="4" s="1"/>
  <c r="G348" i="4"/>
  <c r="L348" i="4"/>
  <c r="B348" i="4"/>
  <c r="J348" i="4"/>
  <c r="I380" i="4"/>
  <c r="D380" i="4"/>
  <c r="H380" i="4"/>
  <c r="C380" i="4"/>
  <c r="E380" i="4" s="1"/>
  <c r="G380" i="4"/>
  <c r="L380" i="4"/>
  <c r="B380" i="4"/>
  <c r="J380" i="4"/>
  <c r="I412" i="4"/>
  <c r="D412" i="4"/>
  <c r="H412" i="4"/>
  <c r="C412" i="4"/>
  <c r="E412" i="4" s="1"/>
  <c r="G412" i="4"/>
  <c r="L412" i="4"/>
  <c r="B412" i="4"/>
  <c r="J412" i="4"/>
  <c r="I444" i="4"/>
  <c r="D444" i="4"/>
  <c r="H444" i="4"/>
  <c r="C444" i="4"/>
  <c r="E444" i="4" s="1"/>
  <c r="G444" i="4"/>
  <c r="L444" i="4"/>
  <c r="B444" i="4"/>
  <c r="J444" i="4"/>
  <c r="H334" i="4"/>
  <c r="C334" i="4"/>
  <c r="E334" i="4" s="1"/>
  <c r="J334" i="4"/>
  <c r="D334" i="4"/>
  <c r="I334" i="4"/>
  <c r="B334" i="4"/>
  <c r="G334" i="4"/>
  <c r="L334" i="4"/>
  <c r="I362" i="4"/>
  <c r="D362" i="4"/>
  <c r="H362" i="4"/>
  <c r="C362" i="4"/>
  <c r="E362" i="4" s="1"/>
  <c r="L362" i="4"/>
  <c r="B362" i="4"/>
  <c r="J362" i="4"/>
  <c r="G362" i="4"/>
  <c r="I394" i="4"/>
  <c r="D394" i="4"/>
  <c r="H394" i="4"/>
  <c r="C394" i="4"/>
  <c r="E394" i="4" s="1"/>
  <c r="L394" i="4"/>
  <c r="B394" i="4"/>
  <c r="J394" i="4"/>
  <c r="G394" i="4"/>
  <c r="I426" i="4"/>
  <c r="D426" i="4"/>
  <c r="H426" i="4"/>
  <c r="C426" i="4"/>
  <c r="E426" i="4" s="1"/>
  <c r="L426" i="4"/>
  <c r="B426" i="4"/>
  <c r="J426" i="4"/>
  <c r="G426" i="4"/>
  <c r="I458" i="4"/>
  <c r="D458" i="4"/>
  <c r="H458" i="4"/>
  <c r="C458" i="4"/>
  <c r="E458" i="4" s="1"/>
  <c r="L458" i="4"/>
  <c r="B458" i="4"/>
  <c r="J458" i="4"/>
  <c r="G458" i="4"/>
  <c r="J105" i="4"/>
  <c r="G105" i="4"/>
  <c r="L105" i="4"/>
  <c r="D105" i="4"/>
  <c r="I105" i="4"/>
  <c r="C105" i="4"/>
  <c r="E105" i="4" s="1"/>
  <c r="H105" i="4"/>
  <c r="B105" i="4"/>
  <c r="L113" i="4"/>
  <c r="G113" i="4"/>
  <c r="B113" i="4"/>
  <c r="J113" i="4"/>
  <c r="H113" i="4"/>
  <c r="D113" i="4"/>
  <c r="C113" i="4"/>
  <c r="E113" i="4" s="1"/>
  <c r="I113" i="4"/>
  <c r="L121" i="4"/>
  <c r="G121" i="4"/>
  <c r="B121" i="4"/>
  <c r="J121" i="4"/>
  <c r="H121" i="4"/>
  <c r="D121" i="4"/>
  <c r="C121" i="4"/>
  <c r="E121" i="4" s="1"/>
  <c r="I121" i="4"/>
  <c r="L129" i="4"/>
  <c r="G129" i="4"/>
  <c r="B129" i="4"/>
  <c r="J129" i="4"/>
  <c r="H129" i="4"/>
  <c r="D129" i="4"/>
  <c r="C129" i="4"/>
  <c r="E129" i="4" s="1"/>
  <c r="I129" i="4"/>
  <c r="L137" i="4"/>
  <c r="G137" i="4"/>
  <c r="B137" i="4"/>
  <c r="J137" i="4"/>
  <c r="H137" i="4"/>
  <c r="D137" i="4"/>
  <c r="C137" i="4"/>
  <c r="E137" i="4" s="1"/>
  <c r="I137" i="4"/>
  <c r="L145" i="4"/>
  <c r="G145" i="4"/>
  <c r="B145" i="4"/>
  <c r="J145" i="4"/>
  <c r="H145" i="4"/>
  <c r="D145" i="4"/>
  <c r="C145" i="4"/>
  <c r="E145" i="4" s="1"/>
  <c r="I145" i="4"/>
  <c r="L153" i="4"/>
  <c r="G153" i="4"/>
  <c r="B153" i="4"/>
  <c r="J153" i="4"/>
  <c r="H153" i="4"/>
  <c r="D153" i="4"/>
  <c r="C153" i="4"/>
  <c r="E153" i="4" s="1"/>
  <c r="I153" i="4"/>
  <c r="L161" i="4"/>
  <c r="G161" i="4"/>
  <c r="B161" i="4"/>
  <c r="J161" i="4"/>
  <c r="H161" i="4"/>
  <c r="D161" i="4"/>
  <c r="C161" i="4"/>
  <c r="E161" i="4" s="1"/>
  <c r="I161" i="4"/>
  <c r="L169" i="4"/>
  <c r="G169" i="4"/>
  <c r="B169" i="4"/>
  <c r="J169" i="4"/>
  <c r="H169" i="4"/>
  <c r="D169" i="4"/>
  <c r="C169" i="4"/>
  <c r="E169" i="4" s="1"/>
  <c r="I169" i="4"/>
  <c r="L177" i="4"/>
  <c r="G177" i="4"/>
  <c r="B177" i="4"/>
  <c r="J177" i="4"/>
  <c r="H177" i="4"/>
  <c r="D177" i="4"/>
  <c r="C177" i="4"/>
  <c r="E177" i="4" s="1"/>
  <c r="I177" i="4"/>
  <c r="L185" i="4"/>
  <c r="G185" i="4"/>
  <c r="B185" i="4"/>
  <c r="J185" i="4"/>
  <c r="H185" i="4"/>
  <c r="D185" i="4"/>
  <c r="C185" i="4"/>
  <c r="E185" i="4" s="1"/>
  <c r="I185" i="4"/>
  <c r="L193" i="4"/>
  <c r="G193" i="4"/>
  <c r="B193" i="4"/>
  <c r="J193" i="4"/>
  <c r="H193" i="4"/>
  <c r="D193" i="4"/>
  <c r="C193" i="4"/>
  <c r="E193" i="4" s="1"/>
  <c r="I193" i="4"/>
  <c r="L201" i="4"/>
  <c r="G201" i="4"/>
  <c r="B201" i="4"/>
  <c r="J201" i="4"/>
  <c r="H201" i="4"/>
  <c r="D201" i="4"/>
  <c r="C201" i="4"/>
  <c r="E201" i="4" s="1"/>
  <c r="I201" i="4"/>
  <c r="L209" i="4"/>
  <c r="G209" i="4"/>
  <c r="B209" i="4"/>
  <c r="J209" i="4"/>
  <c r="H209" i="4"/>
  <c r="D209" i="4"/>
  <c r="C209" i="4"/>
  <c r="E209" i="4" s="1"/>
  <c r="I209" i="4"/>
  <c r="L217" i="4"/>
  <c r="G217" i="4"/>
  <c r="B217" i="4"/>
  <c r="J217" i="4"/>
  <c r="H217" i="4"/>
  <c r="D217" i="4"/>
  <c r="C217" i="4"/>
  <c r="E217" i="4" s="1"/>
  <c r="I217" i="4"/>
  <c r="L225" i="4"/>
  <c r="G225" i="4"/>
  <c r="B225" i="4"/>
  <c r="J225" i="4"/>
  <c r="I225" i="4"/>
  <c r="D225" i="4"/>
  <c r="H225" i="4"/>
  <c r="C225" i="4"/>
  <c r="E225" i="4" s="1"/>
  <c r="L233" i="4"/>
  <c r="G233" i="4"/>
  <c r="B233" i="4"/>
  <c r="J233" i="4"/>
  <c r="I233" i="4"/>
  <c r="D233" i="4"/>
  <c r="H233" i="4"/>
  <c r="C233" i="4"/>
  <c r="E233" i="4" s="1"/>
  <c r="L241" i="4"/>
  <c r="G241" i="4"/>
  <c r="B241" i="4"/>
  <c r="J241" i="4"/>
  <c r="I241" i="4"/>
  <c r="D241" i="4"/>
  <c r="H241" i="4"/>
  <c r="C241" i="4"/>
  <c r="E241" i="4" s="1"/>
  <c r="L249" i="4"/>
  <c r="G249" i="4"/>
  <c r="B249" i="4"/>
  <c r="J249" i="4"/>
  <c r="I249" i="4"/>
  <c r="D249" i="4"/>
  <c r="H249" i="4"/>
  <c r="C249" i="4"/>
  <c r="E249" i="4" s="1"/>
  <c r="L257" i="4"/>
  <c r="G257" i="4"/>
  <c r="B257" i="4"/>
  <c r="J257" i="4"/>
  <c r="I257" i="4"/>
  <c r="D257" i="4"/>
  <c r="H257" i="4"/>
  <c r="C257" i="4"/>
  <c r="E257" i="4" s="1"/>
  <c r="L265" i="4"/>
  <c r="G265" i="4"/>
  <c r="B265" i="4"/>
  <c r="J265" i="4"/>
  <c r="I265" i="4"/>
  <c r="D265" i="4"/>
  <c r="H265" i="4"/>
  <c r="C265" i="4"/>
  <c r="E265" i="4" s="1"/>
  <c r="L273" i="4"/>
  <c r="G273" i="4"/>
  <c r="B273" i="4"/>
  <c r="J273" i="4"/>
  <c r="I273" i="4"/>
  <c r="D273" i="4"/>
  <c r="H273" i="4"/>
  <c r="C273" i="4"/>
  <c r="E273" i="4" s="1"/>
  <c r="L281" i="4"/>
  <c r="G281" i="4"/>
  <c r="B281" i="4"/>
  <c r="J281" i="4"/>
  <c r="I281" i="4"/>
  <c r="D281" i="4"/>
  <c r="H281" i="4"/>
  <c r="C281" i="4"/>
  <c r="E281" i="4" s="1"/>
  <c r="L289" i="4"/>
  <c r="G289" i="4"/>
  <c r="B289" i="4"/>
  <c r="J289" i="4"/>
  <c r="I289" i="4"/>
  <c r="D289" i="4"/>
  <c r="H289" i="4"/>
  <c r="C289" i="4"/>
  <c r="E289" i="4" s="1"/>
  <c r="L297" i="4"/>
  <c r="G297" i="4"/>
  <c r="B297" i="4"/>
  <c r="J297" i="4"/>
  <c r="I297" i="4"/>
  <c r="D297" i="4"/>
  <c r="H297" i="4"/>
  <c r="C297" i="4"/>
  <c r="E297" i="4" s="1"/>
  <c r="L305" i="4"/>
  <c r="G305" i="4"/>
  <c r="B305" i="4"/>
  <c r="J305" i="4"/>
  <c r="I305" i="4"/>
  <c r="D305" i="4"/>
  <c r="H305" i="4"/>
  <c r="C305" i="4"/>
  <c r="E305" i="4" s="1"/>
  <c r="L313" i="4"/>
  <c r="G313" i="4"/>
  <c r="B313" i="4"/>
  <c r="J313" i="4"/>
  <c r="I313" i="4"/>
  <c r="D313" i="4"/>
  <c r="H313" i="4"/>
  <c r="C313" i="4"/>
  <c r="E313" i="4" s="1"/>
  <c r="L321" i="4"/>
  <c r="G321" i="4"/>
  <c r="B321" i="4"/>
  <c r="J321" i="4"/>
  <c r="I321" i="4"/>
  <c r="D321" i="4"/>
  <c r="H321" i="4"/>
  <c r="C321" i="4"/>
  <c r="E321" i="4" s="1"/>
  <c r="I344" i="4"/>
  <c r="D344" i="4"/>
  <c r="H344" i="4"/>
  <c r="C344" i="4"/>
  <c r="E344" i="4" s="1"/>
  <c r="L344" i="4"/>
  <c r="B344" i="4"/>
  <c r="J344" i="4"/>
  <c r="G344" i="4"/>
  <c r="I376" i="4"/>
  <c r="D376" i="4"/>
  <c r="H376" i="4"/>
  <c r="C376" i="4"/>
  <c r="E376" i="4" s="1"/>
  <c r="L376" i="4"/>
  <c r="B376" i="4"/>
  <c r="J376" i="4"/>
  <c r="G376" i="4"/>
  <c r="I408" i="4"/>
  <c r="D408" i="4"/>
  <c r="H408" i="4"/>
  <c r="C408" i="4"/>
  <c r="E408" i="4" s="1"/>
  <c r="L408" i="4"/>
  <c r="B408" i="4"/>
  <c r="J408" i="4"/>
  <c r="G408" i="4"/>
  <c r="I440" i="4"/>
  <c r="D440" i="4"/>
  <c r="H440" i="4"/>
  <c r="C440" i="4"/>
  <c r="E440" i="4" s="1"/>
  <c r="L440" i="4"/>
  <c r="B440" i="4"/>
  <c r="J440" i="4"/>
  <c r="G440" i="4"/>
  <c r="H330" i="4"/>
  <c r="C330" i="4"/>
  <c r="E330" i="4" s="1"/>
  <c r="G330" i="4"/>
  <c r="L330" i="4"/>
  <c r="J330" i="4"/>
  <c r="D330" i="4"/>
  <c r="I330" i="4"/>
  <c r="B330" i="4"/>
  <c r="I366" i="4"/>
  <c r="D366" i="4"/>
  <c r="H366" i="4"/>
  <c r="C366" i="4"/>
  <c r="E366" i="4" s="1"/>
  <c r="J366" i="4"/>
  <c r="G366" i="4"/>
  <c r="L366" i="4"/>
  <c r="B366" i="4"/>
  <c r="I398" i="4"/>
  <c r="D398" i="4"/>
  <c r="H398" i="4"/>
  <c r="C398" i="4"/>
  <c r="E398" i="4" s="1"/>
  <c r="J398" i="4"/>
  <c r="G398" i="4"/>
  <c r="L398" i="4"/>
  <c r="B398" i="4"/>
  <c r="I430" i="4"/>
  <c r="D430" i="4"/>
  <c r="H430" i="4"/>
  <c r="C430" i="4"/>
  <c r="E430" i="4" s="1"/>
  <c r="J430" i="4"/>
  <c r="G430" i="4"/>
  <c r="L430" i="4"/>
  <c r="B430" i="4"/>
  <c r="I462" i="4"/>
  <c r="D462" i="4"/>
  <c r="H462" i="4"/>
  <c r="C462" i="4"/>
  <c r="E462" i="4" s="1"/>
  <c r="J462" i="4"/>
  <c r="G462" i="4"/>
  <c r="L462" i="4"/>
  <c r="B462" i="4"/>
  <c r="J331" i="4"/>
  <c r="L331" i="4"/>
  <c r="D331" i="4"/>
  <c r="I331" i="4"/>
  <c r="C331" i="4"/>
  <c r="E331" i="4" s="1"/>
  <c r="H331" i="4"/>
  <c r="B331" i="4"/>
  <c r="G331" i="4"/>
  <c r="L339" i="4"/>
  <c r="G339" i="4"/>
  <c r="B339" i="4"/>
  <c r="J339" i="4"/>
  <c r="C339" i="4"/>
  <c r="E339" i="4" s="1"/>
  <c r="I339" i="4"/>
  <c r="H339" i="4"/>
  <c r="D339" i="4"/>
  <c r="L347" i="4"/>
  <c r="G347" i="4"/>
  <c r="B347" i="4"/>
  <c r="J347" i="4"/>
  <c r="C347" i="4"/>
  <c r="E347" i="4" s="1"/>
  <c r="I347" i="4"/>
  <c r="H347" i="4"/>
  <c r="D347" i="4"/>
  <c r="L355" i="4"/>
  <c r="G355" i="4"/>
  <c r="B355" i="4"/>
  <c r="J355" i="4"/>
  <c r="C355" i="4"/>
  <c r="E355" i="4" s="1"/>
  <c r="I355" i="4"/>
  <c r="H355" i="4"/>
  <c r="D355" i="4"/>
  <c r="L363" i="4"/>
  <c r="G363" i="4"/>
  <c r="B363" i="4"/>
  <c r="J363" i="4"/>
  <c r="C363" i="4"/>
  <c r="E363" i="4" s="1"/>
  <c r="I363" i="4"/>
  <c r="H363" i="4"/>
  <c r="D363" i="4"/>
  <c r="L371" i="4"/>
  <c r="G371" i="4"/>
  <c r="B371" i="4"/>
  <c r="J371" i="4"/>
  <c r="C371" i="4"/>
  <c r="E371" i="4" s="1"/>
  <c r="I371" i="4"/>
  <c r="H371" i="4"/>
  <c r="D371" i="4"/>
  <c r="L379" i="4"/>
  <c r="G379" i="4"/>
  <c r="B379" i="4"/>
  <c r="J379" i="4"/>
  <c r="C379" i="4"/>
  <c r="E379" i="4" s="1"/>
  <c r="I379" i="4"/>
  <c r="H379" i="4"/>
  <c r="D379" i="4"/>
  <c r="L387" i="4"/>
  <c r="G387" i="4"/>
  <c r="B387" i="4"/>
  <c r="J387" i="4"/>
  <c r="C387" i="4"/>
  <c r="E387" i="4" s="1"/>
  <c r="I387" i="4"/>
  <c r="H387" i="4"/>
  <c r="D387" i="4"/>
  <c r="L395" i="4"/>
  <c r="G395" i="4"/>
  <c r="B395" i="4"/>
  <c r="J395" i="4"/>
  <c r="C395" i="4"/>
  <c r="E395" i="4" s="1"/>
  <c r="I395" i="4"/>
  <c r="H395" i="4"/>
  <c r="D395" i="4"/>
  <c r="L403" i="4"/>
  <c r="G403" i="4"/>
  <c r="B403" i="4"/>
  <c r="J403" i="4"/>
  <c r="C403" i="4"/>
  <c r="E403" i="4" s="1"/>
  <c r="I403" i="4"/>
  <c r="H403" i="4"/>
  <c r="D403" i="4"/>
  <c r="L411" i="4"/>
  <c r="G411" i="4"/>
  <c r="B411" i="4"/>
  <c r="J411" i="4"/>
  <c r="C411" i="4"/>
  <c r="E411" i="4" s="1"/>
  <c r="I411" i="4"/>
  <c r="H411" i="4"/>
  <c r="D411" i="4"/>
  <c r="L419" i="4"/>
  <c r="G419" i="4"/>
  <c r="B419" i="4"/>
  <c r="J419" i="4"/>
  <c r="C419" i="4"/>
  <c r="E419" i="4" s="1"/>
  <c r="I419" i="4"/>
  <c r="H419" i="4"/>
  <c r="D419" i="4"/>
  <c r="L427" i="4"/>
  <c r="G427" i="4"/>
  <c r="B427" i="4"/>
  <c r="J427" i="4"/>
  <c r="C427" i="4"/>
  <c r="E427" i="4" s="1"/>
  <c r="I427" i="4"/>
  <c r="H427" i="4"/>
  <c r="D427" i="4"/>
  <c r="L435" i="4"/>
  <c r="G435" i="4"/>
  <c r="B435" i="4"/>
  <c r="J435" i="4"/>
  <c r="C435" i="4"/>
  <c r="E435" i="4" s="1"/>
  <c r="I435" i="4"/>
  <c r="H435" i="4"/>
  <c r="D435" i="4"/>
  <c r="L443" i="4"/>
  <c r="G443" i="4"/>
  <c r="B443" i="4"/>
  <c r="J443" i="4"/>
  <c r="C443" i="4"/>
  <c r="E443" i="4" s="1"/>
  <c r="I443" i="4"/>
  <c r="H443" i="4"/>
  <c r="D443" i="4"/>
  <c r="L451" i="4"/>
  <c r="G451" i="4"/>
  <c r="B451" i="4"/>
  <c r="J451" i="4"/>
  <c r="C451" i="4"/>
  <c r="E451" i="4" s="1"/>
  <c r="I451" i="4"/>
  <c r="H451" i="4"/>
  <c r="D451" i="4"/>
  <c r="L459" i="4"/>
  <c r="G459" i="4"/>
  <c r="B459" i="4"/>
  <c r="J459" i="4"/>
  <c r="C459" i="4"/>
  <c r="E459" i="4" s="1"/>
  <c r="I459" i="4"/>
  <c r="H459" i="4"/>
  <c r="D459" i="4"/>
  <c r="H552" i="4"/>
  <c r="C552" i="4"/>
  <c r="E552" i="4" s="1"/>
  <c r="L552" i="4"/>
  <c r="J552" i="4"/>
  <c r="D552" i="4"/>
  <c r="I552" i="4"/>
  <c r="B552" i="4"/>
  <c r="G552" i="4"/>
  <c r="H471" i="4"/>
  <c r="C471" i="4"/>
  <c r="E471" i="4" s="1"/>
  <c r="J471" i="4"/>
  <c r="L471" i="4"/>
  <c r="B471" i="4"/>
  <c r="I471" i="4"/>
  <c r="G471" i="4"/>
  <c r="D471" i="4"/>
  <c r="H479" i="4"/>
  <c r="C479" i="4"/>
  <c r="E479" i="4" s="1"/>
  <c r="J479" i="4"/>
  <c r="L479" i="4"/>
  <c r="B479" i="4"/>
  <c r="I479" i="4"/>
  <c r="G479" i="4"/>
  <c r="D479" i="4"/>
  <c r="H487" i="4"/>
  <c r="C487" i="4"/>
  <c r="E487" i="4" s="1"/>
  <c r="J487" i="4"/>
  <c r="L487" i="4"/>
  <c r="B487" i="4"/>
  <c r="I487" i="4"/>
  <c r="G487" i="4"/>
  <c r="D487" i="4"/>
  <c r="H495" i="4"/>
  <c r="C495" i="4"/>
  <c r="E495" i="4" s="1"/>
  <c r="L495" i="4"/>
  <c r="G495" i="4"/>
  <c r="B495" i="4"/>
  <c r="J495" i="4"/>
  <c r="I495" i="4"/>
  <c r="D495" i="4"/>
  <c r="H503" i="4"/>
  <c r="C503" i="4"/>
  <c r="E503" i="4" s="1"/>
  <c r="L503" i="4"/>
  <c r="G503" i="4"/>
  <c r="B503" i="4"/>
  <c r="J503" i="4"/>
  <c r="I503" i="4"/>
  <c r="D503" i="4"/>
  <c r="H511" i="4"/>
  <c r="C511" i="4"/>
  <c r="E511" i="4" s="1"/>
  <c r="L511" i="4"/>
  <c r="G511" i="4"/>
  <c r="B511" i="4"/>
  <c r="J511" i="4"/>
  <c r="I511" i="4"/>
  <c r="D511" i="4"/>
  <c r="H519" i="4"/>
  <c r="C519" i="4"/>
  <c r="E519" i="4" s="1"/>
  <c r="L519" i="4"/>
  <c r="G519" i="4"/>
  <c r="B519" i="4"/>
  <c r="J519" i="4"/>
  <c r="I519" i="4"/>
  <c r="D519" i="4"/>
  <c r="H527" i="4"/>
  <c r="C527" i="4"/>
  <c r="E527" i="4" s="1"/>
  <c r="L527" i="4"/>
  <c r="G527" i="4"/>
  <c r="B527" i="4"/>
  <c r="J527" i="4"/>
  <c r="I527" i="4"/>
  <c r="D527" i="4"/>
  <c r="H535" i="4"/>
  <c r="C535" i="4"/>
  <c r="E535" i="4" s="1"/>
  <c r="L535" i="4"/>
  <c r="G535" i="4"/>
  <c r="B535" i="4"/>
  <c r="J535" i="4"/>
  <c r="I535" i="4"/>
  <c r="D535" i="4"/>
  <c r="H543" i="4"/>
  <c r="C543" i="4"/>
  <c r="E543" i="4" s="1"/>
  <c r="L543" i="4"/>
  <c r="G543" i="4"/>
  <c r="B543" i="4"/>
  <c r="J543" i="4"/>
  <c r="I543" i="4"/>
  <c r="D543" i="4"/>
  <c r="J551" i="4"/>
  <c r="H551" i="4"/>
  <c r="C551" i="4"/>
  <c r="E551" i="4" s="1"/>
  <c r="G551" i="4"/>
  <c r="B551" i="4"/>
  <c r="L551" i="4"/>
  <c r="I551" i="4"/>
  <c r="D551" i="4"/>
  <c r="J474" i="4"/>
  <c r="H474" i="4"/>
  <c r="C474" i="4"/>
  <c r="E474" i="4" s="1"/>
  <c r="D474" i="4"/>
  <c r="L474" i="4"/>
  <c r="B474" i="4"/>
  <c r="I474" i="4"/>
  <c r="G474" i="4"/>
  <c r="J482" i="4"/>
  <c r="H482" i="4"/>
  <c r="C482" i="4"/>
  <c r="E482" i="4" s="1"/>
  <c r="D482" i="4"/>
  <c r="L482" i="4"/>
  <c r="B482" i="4"/>
  <c r="I482" i="4"/>
  <c r="G482" i="4"/>
  <c r="J490" i="4"/>
  <c r="I490" i="4"/>
  <c r="D490" i="4"/>
  <c r="H490" i="4"/>
  <c r="C490" i="4"/>
  <c r="E490" i="4" s="1"/>
  <c r="L490" i="4"/>
  <c r="G490" i="4"/>
  <c r="B490" i="4"/>
  <c r="J498" i="4"/>
  <c r="I498" i="4"/>
  <c r="D498" i="4"/>
  <c r="H498" i="4"/>
  <c r="C498" i="4"/>
  <c r="E498" i="4" s="1"/>
  <c r="L498" i="4"/>
  <c r="G498" i="4"/>
  <c r="B498" i="4"/>
  <c r="J506" i="4"/>
  <c r="I506" i="4"/>
  <c r="D506" i="4"/>
  <c r="H506" i="4"/>
  <c r="C506" i="4"/>
  <c r="E506" i="4" s="1"/>
  <c r="L506" i="4"/>
  <c r="G506" i="4"/>
  <c r="B506" i="4"/>
  <c r="J514" i="4"/>
  <c r="I514" i="4"/>
  <c r="D514" i="4"/>
  <c r="H514" i="4"/>
  <c r="C514" i="4"/>
  <c r="E514" i="4" s="1"/>
  <c r="L514" i="4"/>
  <c r="G514" i="4"/>
  <c r="B514" i="4"/>
  <c r="J522" i="4"/>
  <c r="I522" i="4"/>
  <c r="D522" i="4"/>
  <c r="H522" i="4"/>
  <c r="C522" i="4"/>
  <c r="E522" i="4" s="1"/>
  <c r="L522" i="4"/>
  <c r="G522" i="4"/>
  <c r="B522" i="4"/>
  <c r="J530" i="4"/>
  <c r="I530" i="4"/>
  <c r="D530" i="4"/>
  <c r="H530" i="4"/>
  <c r="C530" i="4"/>
  <c r="E530" i="4" s="1"/>
  <c r="L530" i="4"/>
  <c r="G530" i="4"/>
  <c r="B530" i="4"/>
  <c r="J538" i="4"/>
  <c r="I538" i="4"/>
  <c r="D538" i="4"/>
  <c r="H538" i="4"/>
  <c r="C538" i="4"/>
  <c r="E538" i="4" s="1"/>
  <c r="L538" i="4"/>
  <c r="G538" i="4"/>
  <c r="B538" i="4"/>
  <c r="J546" i="4"/>
  <c r="I546" i="4"/>
  <c r="D546" i="4"/>
  <c r="H546" i="4"/>
  <c r="C546" i="4"/>
  <c r="E546" i="4" s="1"/>
  <c r="L546" i="4"/>
  <c r="G546" i="4"/>
  <c r="B546" i="4"/>
  <c r="I647" i="4"/>
  <c r="D647" i="4"/>
  <c r="H647" i="4"/>
  <c r="C647" i="4"/>
  <c r="E647" i="4" s="1"/>
  <c r="G647" i="4"/>
  <c r="L647" i="4"/>
  <c r="B647" i="4"/>
  <c r="J647" i="4"/>
  <c r="H564" i="4"/>
  <c r="C564" i="4"/>
  <c r="E564" i="4" s="1"/>
  <c r="L564" i="4"/>
  <c r="G564" i="4"/>
  <c r="B564" i="4"/>
  <c r="J564" i="4"/>
  <c r="I564" i="4"/>
  <c r="D564" i="4"/>
  <c r="H572" i="4"/>
  <c r="C572" i="4"/>
  <c r="E572" i="4" s="1"/>
  <c r="L572" i="4"/>
  <c r="G572" i="4"/>
  <c r="B572" i="4"/>
  <c r="J572" i="4"/>
  <c r="I572" i="4"/>
  <c r="D572" i="4"/>
  <c r="H580" i="4"/>
  <c r="C580" i="4"/>
  <c r="E580" i="4" s="1"/>
  <c r="L580" i="4"/>
  <c r="G580" i="4"/>
  <c r="B580" i="4"/>
  <c r="J580" i="4"/>
  <c r="I580" i="4"/>
  <c r="D580" i="4"/>
  <c r="H588" i="4"/>
  <c r="C588" i="4"/>
  <c r="E588" i="4" s="1"/>
  <c r="L588" i="4"/>
  <c r="G588" i="4"/>
  <c r="B588" i="4"/>
  <c r="J588" i="4"/>
  <c r="I588" i="4"/>
  <c r="D588" i="4"/>
  <c r="H596" i="4"/>
  <c r="C596" i="4"/>
  <c r="E596" i="4" s="1"/>
  <c r="L596" i="4"/>
  <c r="G596" i="4"/>
  <c r="B596" i="4"/>
  <c r="J596" i="4"/>
  <c r="I596" i="4"/>
  <c r="D596" i="4"/>
  <c r="H604" i="4"/>
  <c r="C604" i="4"/>
  <c r="E604" i="4" s="1"/>
  <c r="L604" i="4"/>
  <c r="G604" i="4"/>
  <c r="B604" i="4"/>
  <c r="J604" i="4"/>
  <c r="I604" i="4"/>
  <c r="D604" i="4"/>
  <c r="H612" i="4"/>
  <c r="C612" i="4"/>
  <c r="E612" i="4" s="1"/>
  <c r="L612" i="4"/>
  <c r="G612" i="4"/>
  <c r="B612" i="4"/>
  <c r="J612" i="4"/>
  <c r="I612" i="4"/>
  <c r="D612" i="4"/>
  <c r="H620" i="4"/>
  <c r="C620" i="4"/>
  <c r="E620" i="4" s="1"/>
  <c r="L620" i="4"/>
  <c r="G620" i="4"/>
  <c r="B620" i="4"/>
  <c r="J620" i="4"/>
  <c r="I620" i="4"/>
  <c r="D620" i="4"/>
  <c r="L629" i="4"/>
  <c r="G629" i="4"/>
  <c r="B629" i="4"/>
  <c r="I629" i="4"/>
  <c r="D629" i="4"/>
  <c r="C629" i="4"/>
  <c r="E629" i="4" s="1"/>
  <c r="J629" i="4"/>
  <c r="H629" i="4"/>
  <c r="J557" i="4"/>
  <c r="G557" i="4"/>
  <c r="L557" i="4"/>
  <c r="D557" i="4"/>
  <c r="I557" i="4"/>
  <c r="C557" i="4"/>
  <c r="E557" i="4" s="1"/>
  <c r="H557" i="4"/>
  <c r="B557" i="4"/>
  <c r="J565" i="4"/>
  <c r="I565" i="4"/>
  <c r="D565" i="4"/>
  <c r="H565" i="4"/>
  <c r="C565" i="4"/>
  <c r="E565" i="4" s="1"/>
  <c r="B565" i="4"/>
  <c r="L565" i="4"/>
  <c r="G565" i="4"/>
  <c r="J573" i="4"/>
  <c r="I573" i="4"/>
  <c r="D573" i="4"/>
  <c r="H573" i="4"/>
  <c r="C573" i="4"/>
  <c r="E573" i="4" s="1"/>
  <c r="B573" i="4"/>
  <c r="L573" i="4"/>
  <c r="G573" i="4"/>
  <c r="J581" i="4"/>
  <c r="I581" i="4"/>
  <c r="D581" i="4"/>
  <c r="H581" i="4"/>
  <c r="C581" i="4"/>
  <c r="E581" i="4" s="1"/>
  <c r="B581" i="4"/>
  <c r="L581" i="4"/>
  <c r="G581" i="4"/>
  <c r="J589" i="4"/>
  <c r="I589" i="4"/>
  <c r="D589" i="4"/>
  <c r="H589" i="4"/>
  <c r="C589" i="4"/>
  <c r="E589" i="4" s="1"/>
  <c r="B589" i="4"/>
  <c r="L589" i="4"/>
  <c r="G589" i="4"/>
  <c r="J597" i="4"/>
  <c r="I597" i="4"/>
  <c r="D597" i="4"/>
  <c r="H597" i="4"/>
  <c r="C597" i="4"/>
  <c r="E597" i="4" s="1"/>
  <c r="B597" i="4"/>
  <c r="L597" i="4"/>
  <c r="G597" i="4"/>
  <c r="J605" i="4"/>
  <c r="I605" i="4"/>
  <c r="D605" i="4"/>
  <c r="H605" i="4"/>
  <c r="C605" i="4"/>
  <c r="E605" i="4" s="1"/>
  <c r="B605" i="4"/>
  <c r="L605" i="4"/>
  <c r="G605" i="4"/>
  <c r="J613" i="4"/>
  <c r="I613" i="4"/>
  <c r="D613" i="4"/>
  <c r="H613" i="4"/>
  <c r="C613" i="4"/>
  <c r="E613" i="4" s="1"/>
  <c r="B613" i="4"/>
  <c r="L613" i="4"/>
  <c r="G613" i="4"/>
  <c r="J621" i="4"/>
  <c r="I621" i="4"/>
  <c r="D621" i="4"/>
  <c r="H621" i="4"/>
  <c r="C621" i="4"/>
  <c r="E621" i="4" s="1"/>
  <c r="B621" i="4"/>
  <c r="L621" i="4"/>
  <c r="G621" i="4"/>
  <c r="I628" i="4"/>
  <c r="D628" i="4"/>
  <c r="L628" i="4"/>
  <c r="G628" i="4"/>
  <c r="B628" i="4"/>
  <c r="J628" i="4"/>
  <c r="H628" i="4"/>
  <c r="C628" i="4"/>
  <c r="E628" i="4" s="1"/>
  <c r="I671" i="4"/>
  <c r="D671" i="4"/>
  <c r="L671" i="4"/>
  <c r="J671" i="4"/>
  <c r="C671" i="4"/>
  <c r="E671" i="4" s="1"/>
  <c r="H671" i="4"/>
  <c r="G671" i="4"/>
  <c r="B671" i="4"/>
  <c r="I703" i="4"/>
  <c r="D703" i="4"/>
  <c r="L703" i="4"/>
  <c r="J703" i="4"/>
  <c r="C703" i="4"/>
  <c r="E703" i="4" s="1"/>
  <c r="H703" i="4"/>
  <c r="G703" i="4"/>
  <c r="B703" i="4"/>
  <c r="I631" i="4"/>
  <c r="D631" i="4"/>
  <c r="J631" i="4"/>
  <c r="C631" i="4"/>
  <c r="E631" i="4" s="1"/>
  <c r="G631" i="4"/>
  <c r="H631" i="4"/>
  <c r="B631" i="4"/>
  <c r="L631" i="4"/>
  <c r="I645" i="4"/>
  <c r="D645" i="4"/>
  <c r="H645" i="4"/>
  <c r="C645" i="4"/>
  <c r="E645" i="4" s="1"/>
  <c r="J645" i="4"/>
  <c r="G645" i="4"/>
  <c r="B645" i="4"/>
  <c r="L645" i="4"/>
  <c r="I677" i="4"/>
  <c r="D677" i="4"/>
  <c r="L677" i="4"/>
  <c r="J677" i="4"/>
  <c r="C677" i="4"/>
  <c r="E677" i="4" s="1"/>
  <c r="G677" i="4"/>
  <c r="B677" i="4"/>
  <c r="H677" i="4"/>
  <c r="I709" i="4"/>
  <c r="D709" i="4"/>
  <c r="L709" i="4"/>
  <c r="J709" i="4"/>
  <c r="C709" i="4"/>
  <c r="E709" i="4" s="1"/>
  <c r="G709" i="4"/>
  <c r="B709" i="4"/>
  <c r="H709" i="4"/>
  <c r="I659" i="4"/>
  <c r="D659" i="4"/>
  <c r="H659" i="4"/>
  <c r="C659" i="4"/>
  <c r="E659" i="4" s="1"/>
  <c r="L659" i="4"/>
  <c r="B659" i="4"/>
  <c r="J659" i="4"/>
  <c r="G659" i="4"/>
  <c r="I691" i="4"/>
  <c r="D691" i="4"/>
  <c r="L691" i="4"/>
  <c r="J691" i="4"/>
  <c r="C691" i="4"/>
  <c r="E691" i="4" s="1"/>
  <c r="B691" i="4"/>
  <c r="H691" i="4"/>
  <c r="G691" i="4"/>
  <c r="I749" i="4"/>
  <c r="D749" i="4"/>
  <c r="L749" i="4"/>
  <c r="J749" i="4"/>
  <c r="C749" i="4"/>
  <c r="E749" i="4" s="1"/>
  <c r="H749" i="4"/>
  <c r="G749" i="4"/>
  <c r="B749" i="4"/>
  <c r="L634" i="4"/>
  <c r="G634" i="4"/>
  <c r="B634" i="4"/>
  <c r="H634" i="4"/>
  <c r="J634" i="4"/>
  <c r="D634" i="4"/>
  <c r="C634" i="4"/>
  <c r="E634" i="4" s="1"/>
  <c r="I634" i="4"/>
  <c r="I665" i="4"/>
  <c r="D665" i="4"/>
  <c r="H665" i="4"/>
  <c r="C665" i="4"/>
  <c r="E665" i="4" s="1"/>
  <c r="J665" i="4"/>
  <c r="G665" i="4"/>
  <c r="L665" i="4"/>
  <c r="B665" i="4"/>
  <c r="I697" i="4"/>
  <c r="D697" i="4"/>
  <c r="L697" i="4"/>
  <c r="J697" i="4"/>
  <c r="C697" i="4"/>
  <c r="E697" i="4" s="1"/>
  <c r="H697" i="4"/>
  <c r="G697" i="4"/>
  <c r="B697" i="4"/>
  <c r="I715" i="4"/>
  <c r="D715" i="4"/>
  <c r="L715" i="4"/>
  <c r="J715" i="4"/>
  <c r="C715" i="4"/>
  <c r="E715" i="4" s="1"/>
  <c r="G715" i="4"/>
  <c r="B715" i="4"/>
  <c r="H715" i="4"/>
  <c r="I747" i="4"/>
  <c r="D747" i="4"/>
  <c r="L747" i="4"/>
  <c r="J747" i="4"/>
  <c r="C747" i="4"/>
  <c r="E747" i="4" s="1"/>
  <c r="G747" i="4"/>
  <c r="B747" i="4"/>
  <c r="H747" i="4"/>
  <c r="H778" i="4"/>
  <c r="C778" i="4"/>
  <c r="E778" i="4" s="1"/>
  <c r="I778" i="4"/>
  <c r="B778" i="4"/>
  <c r="G778" i="4"/>
  <c r="J778" i="4"/>
  <c r="D778" i="4"/>
  <c r="L778" i="4"/>
  <c r="I729" i="4"/>
  <c r="D729" i="4"/>
  <c r="L729" i="4"/>
  <c r="J729" i="4"/>
  <c r="C729" i="4"/>
  <c r="E729" i="4" s="1"/>
  <c r="B729" i="4"/>
  <c r="H729" i="4"/>
  <c r="G729" i="4"/>
  <c r="I761" i="4"/>
  <c r="D761" i="4"/>
  <c r="L761" i="4"/>
  <c r="J761" i="4"/>
  <c r="C761" i="4"/>
  <c r="E761" i="4" s="1"/>
  <c r="B761" i="4"/>
  <c r="H761" i="4"/>
  <c r="G761" i="4"/>
  <c r="I711" i="4"/>
  <c r="D711" i="4"/>
  <c r="L711" i="4"/>
  <c r="J711" i="4"/>
  <c r="C711" i="4"/>
  <c r="E711" i="4" s="1"/>
  <c r="H711" i="4"/>
  <c r="G711" i="4"/>
  <c r="B711" i="4"/>
  <c r="I743" i="4"/>
  <c r="D743" i="4"/>
  <c r="L743" i="4"/>
  <c r="J743" i="4"/>
  <c r="C743" i="4"/>
  <c r="E743" i="4" s="1"/>
  <c r="H743" i="4"/>
  <c r="G743" i="4"/>
  <c r="B743" i="4"/>
  <c r="J775" i="4"/>
  <c r="I775" i="4"/>
  <c r="D775" i="4"/>
  <c r="L775" i="4"/>
  <c r="C775" i="4"/>
  <c r="E775" i="4" s="1"/>
  <c r="H775" i="4"/>
  <c r="G775" i="4"/>
  <c r="B775" i="4"/>
  <c r="H854" i="4"/>
  <c r="C854" i="4"/>
  <c r="E854" i="4" s="1"/>
  <c r="J854" i="4"/>
  <c r="D854" i="4"/>
  <c r="I854" i="4"/>
  <c r="B854" i="4"/>
  <c r="L854" i="4"/>
  <c r="G854" i="4"/>
  <c r="L642" i="4"/>
  <c r="G642" i="4"/>
  <c r="B642" i="4"/>
  <c r="J642" i="4"/>
  <c r="H642" i="4"/>
  <c r="C642" i="4"/>
  <c r="E642" i="4" s="1"/>
  <c r="I642" i="4"/>
  <c r="D642" i="4"/>
  <c r="L650" i="4"/>
  <c r="G650" i="4"/>
  <c r="B650" i="4"/>
  <c r="J650" i="4"/>
  <c r="H650" i="4"/>
  <c r="D650" i="4"/>
  <c r="C650" i="4"/>
  <c r="E650" i="4" s="1"/>
  <c r="I650" i="4"/>
  <c r="L658" i="4"/>
  <c r="G658" i="4"/>
  <c r="B658" i="4"/>
  <c r="J658" i="4"/>
  <c r="H658" i="4"/>
  <c r="D658" i="4"/>
  <c r="C658" i="4"/>
  <c r="E658" i="4" s="1"/>
  <c r="I658" i="4"/>
  <c r="L666" i="4"/>
  <c r="G666" i="4"/>
  <c r="B666" i="4"/>
  <c r="J666" i="4"/>
  <c r="H666" i="4"/>
  <c r="D666" i="4"/>
  <c r="C666" i="4"/>
  <c r="E666" i="4" s="1"/>
  <c r="I666" i="4"/>
  <c r="L674" i="4"/>
  <c r="G674" i="4"/>
  <c r="B674" i="4"/>
  <c r="I674" i="4"/>
  <c r="C674" i="4"/>
  <c r="E674" i="4" s="1"/>
  <c r="H674" i="4"/>
  <c r="D674" i="4"/>
  <c r="J674" i="4"/>
  <c r="L682" i="4"/>
  <c r="G682" i="4"/>
  <c r="B682" i="4"/>
  <c r="I682" i="4"/>
  <c r="C682" i="4"/>
  <c r="E682" i="4" s="1"/>
  <c r="H682" i="4"/>
  <c r="D682" i="4"/>
  <c r="J682" i="4"/>
  <c r="L690" i="4"/>
  <c r="G690" i="4"/>
  <c r="B690" i="4"/>
  <c r="I690" i="4"/>
  <c r="C690" i="4"/>
  <c r="E690" i="4" s="1"/>
  <c r="H690" i="4"/>
  <c r="D690" i="4"/>
  <c r="J690" i="4"/>
  <c r="L698" i="4"/>
  <c r="G698" i="4"/>
  <c r="B698" i="4"/>
  <c r="I698" i="4"/>
  <c r="C698" i="4"/>
  <c r="E698" i="4" s="1"/>
  <c r="H698" i="4"/>
  <c r="D698" i="4"/>
  <c r="J698" i="4"/>
  <c r="L706" i="4"/>
  <c r="G706" i="4"/>
  <c r="B706" i="4"/>
  <c r="I706" i="4"/>
  <c r="C706" i="4"/>
  <c r="E706" i="4" s="1"/>
  <c r="H706" i="4"/>
  <c r="D706" i="4"/>
  <c r="J706" i="4"/>
  <c r="L714" i="4"/>
  <c r="G714" i="4"/>
  <c r="B714" i="4"/>
  <c r="I714" i="4"/>
  <c r="C714" i="4"/>
  <c r="E714" i="4" s="1"/>
  <c r="H714" i="4"/>
  <c r="D714" i="4"/>
  <c r="J714" i="4"/>
  <c r="L722" i="4"/>
  <c r="G722" i="4"/>
  <c r="B722" i="4"/>
  <c r="I722" i="4"/>
  <c r="C722" i="4"/>
  <c r="E722" i="4" s="1"/>
  <c r="H722" i="4"/>
  <c r="D722" i="4"/>
  <c r="J722" i="4"/>
  <c r="L730" i="4"/>
  <c r="G730" i="4"/>
  <c r="B730" i="4"/>
  <c r="I730" i="4"/>
  <c r="C730" i="4"/>
  <c r="E730" i="4" s="1"/>
  <c r="H730" i="4"/>
  <c r="D730" i="4"/>
  <c r="J730" i="4"/>
  <c r="L738" i="4"/>
  <c r="G738" i="4"/>
  <c r="B738" i="4"/>
  <c r="I738" i="4"/>
  <c r="C738" i="4"/>
  <c r="E738" i="4" s="1"/>
  <c r="H738" i="4"/>
  <c r="D738" i="4"/>
  <c r="J738" i="4"/>
  <c r="L746" i="4"/>
  <c r="G746" i="4"/>
  <c r="B746" i="4"/>
  <c r="I746" i="4"/>
  <c r="C746" i="4"/>
  <c r="E746" i="4" s="1"/>
  <c r="H746" i="4"/>
  <c r="D746" i="4"/>
  <c r="J746" i="4"/>
  <c r="L754" i="4"/>
  <c r="G754" i="4"/>
  <c r="B754" i="4"/>
  <c r="I754" i="4"/>
  <c r="C754" i="4"/>
  <c r="E754" i="4" s="1"/>
  <c r="H754" i="4"/>
  <c r="D754" i="4"/>
  <c r="J754" i="4"/>
  <c r="L762" i="4"/>
  <c r="G762" i="4"/>
  <c r="B762" i="4"/>
  <c r="I762" i="4"/>
  <c r="C762" i="4"/>
  <c r="E762" i="4" s="1"/>
  <c r="H762" i="4"/>
  <c r="D762" i="4"/>
  <c r="J762" i="4"/>
  <c r="L770" i="4"/>
  <c r="G770" i="4"/>
  <c r="B770" i="4"/>
  <c r="I770" i="4"/>
  <c r="C770" i="4"/>
  <c r="E770" i="4" s="1"/>
  <c r="H770" i="4"/>
  <c r="D770" i="4"/>
  <c r="J770" i="4"/>
  <c r="H794" i="4"/>
  <c r="C794" i="4"/>
  <c r="E794" i="4" s="1"/>
  <c r="I794" i="4"/>
  <c r="B794" i="4"/>
  <c r="L794" i="4"/>
  <c r="D794" i="4"/>
  <c r="J794" i="4"/>
  <c r="G794" i="4"/>
  <c r="H814" i="4"/>
  <c r="C814" i="4"/>
  <c r="E814" i="4" s="1"/>
  <c r="J814" i="4"/>
  <c r="D814" i="4"/>
  <c r="G814" i="4"/>
  <c r="B814" i="4"/>
  <c r="L814" i="4"/>
  <c r="I814" i="4"/>
  <c r="H862" i="4"/>
  <c r="C862" i="4"/>
  <c r="E862" i="4" s="1"/>
  <c r="J862" i="4"/>
  <c r="D862" i="4"/>
  <c r="I862" i="4"/>
  <c r="B862" i="4"/>
  <c r="L862" i="4"/>
  <c r="G862" i="4"/>
  <c r="H808" i="4"/>
  <c r="C808" i="4"/>
  <c r="E808" i="4" s="1"/>
  <c r="L808" i="4"/>
  <c r="J808" i="4"/>
  <c r="B808" i="4"/>
  <c r="I808" i="4"/>
  <c r="G808" i="4"/>
  <c r="D808" i="4"/>
  <c r="L882" i="4"/>
  <c r="G882" i="4"/>
  <c r="B882" i="4"/>
  <c r="J882" i="4"/>
  <c r="D882" i="4"/>
  <c r="H882" i="4"/>
  <c r="I882" i="4"/>
  <c r="C882" i="4"/>
  <c r="E882" i="4" s="1"/>
  <c r="H870" i="4"/>
  <c r="C870" i="4"/>
  <c r="E870" i="4" s="1"/>
  <c r="J870" i="4"/>
  <c r="D870" i="4"/>
  <c r="I870" i="4"/>
  <c r="B870" i="4"/>
  <c r="L870" i="4"/>
  <c r="G870" i="4"/>
  <c r="L908" i="4"/>
  <c r="G908" i="4"/>
  <c r="B908" i="4"/>
  <c r="J908" i="4"/>
  <c r="D908" i="4"/>
  <c r="C908" i="4"/>
  <c r="E908" i="4" s="1"/>
  <c r="H908" i="4"/>
  <c r="I908" i="4"/>
  <c r="H776" i="4"/>
  <c r="C776" i="4"/>
  <c r="E776" i="4" s="1"/>
  <c r="G776" i="4"/>
  <c r="I776" i="4"/>
  <c r="D776" i="4"/>
  <c r="B776" i="4"/>
  <c r="L776" i="4"/>
  <c r="J776" i="4"/>
  <c r="H812" i="4"/>
  <c r="C812" i="4"/>
  <c r="E812" i="4" s="1"/>
  <c r="I812" i="4"/>
  <c r="B812" i="4"/>
  <c r="J812" i="4"/>
  <c r="D812" i="4"/>
  <c r="G812" i="4"/>
  <c r="L812" i="4"/>
  <c r="H880" i="4"/>
  <c r="C880" i="4"/>
  <c r="E880" i="4" s="1"/>
  <c r="L880" i="4"/>
  <c r="J880" i="4"/>
  <c r="D880" i="4"/>
  <c r="I880" i="4"/>
  <c r="G880" i="4"/>
  <c r="B880" i="4"/>
  <c r="I927" i="4"/>
  <c r="D927" i="4"/>
  <c r="H927" i="4"/>
  <c r="B927" i="4"/>
  <c r="G927" i="4"/>
  <c r="C927" i="4"/>
  <c r="E927" i="4" s="1"/>
  <c r="L927" i="4"/>
  <c r="J927" i="4"/>
  <c r="H836" i="4"/>
  <c r="C836" i="4"/>
  <c r="E836" i="4" s="1"/>
  <c r="I836" i="4"/>
  <c r="B836" i="4"/>
  <c r="G836" i="4"/>
  <c r="L836" i="4"/>
  <c r="D836" i="4"/>
  <c r="J836" i="4"/>
  <c r="H868" i="4"/>
  <c r="C868" i="4"/>
  <c r="E868" i="4" s="1"/>
  <c r="I868" i="4"/>
  <c r="B868" i="4"/>
  <c r="G868" i="4"/>
  <c r="L868" i="4"/>
  <c r="J868" i="4"/>
  <c r="D868" i="4"/>
  <c r="L902" i="4"/>
  <c r="G902" i="4"/>
  <c r="B902" i="4"/>
  <c r="J902" i="4"/>
  <c r="D902" i="4"/>
  <c r="C902" i="4"/>
  <c r="E902" i="4" s="1"/>
  <c r="I902" i="4"/>
  <c r="H902" i="4"/>
  <c r="I921" i="4"/>
  <c r="D921" i="4"/>
  <c r="H921" i="4"/>
  <c r="B921" i="4"/>
  <c r="L921" i="4"/>
  <c r="C921" i="4"/>
  <c r="E921" i="4" s="1"/>
  <c r="J921" i="4"/>
  <c r="G921" i="4"/>
  <c r="I937" i="4"/>
  <c r="D937" i="4"/>
  <c r="J937" i="4"/>
  <c r="C937" i="4"/>
  <c r="E937" i="4" s="1"/>
  <c r="H937" i="4"/>
  <c r="B937" i="4"/>
  <c r="L937" i="4"/>
  <c r="G937" i="4"/>
  <c r="H982" i="4"/>
  <c r="C982" i="4"/>
  <c r="E982" i="4" s="1"/>
  <c r="I982" i="4"/>
  <c r="B982" i="4"/>
  <c r="L982" i="4"/>
  <c r="D982" i="4"/>
  <c r="J982" i="4"/>
  <c r="G982" i="4"/>
  <c r="H826" i="4"/>
  <c r="C826" i="4"/>
  <c r="E826" i="4" s="1"/>
  <c r="G826" i="4"/>
  <c r="L826" i="4"/>
  <c r="J826" i="4"/>
  <c r="D826" i="4"/>
  <c r="B826" i="4"/>
  <c r="I826" i="4"/>
  <c r="H858" i="4"/>
  <c r="C858" i="4"/>
  <c r="E858" i="4" s="1"/>
  <c r="G858" i="4"/>
  <c r="L858" i="4"/>
  <c r="J858" i="4"/>
  <c r="I858" i="4"/>
  <c r="D858" i="4"/>
  <c r="B858" i="4"/>
  <c r="L896" i="4"/>
  <c r="G896" i="4"/>
  <c r="B896" i="4"/>
  <c r="J896" i="4"/>
  <c r="D896" i="4"/>
  <c r="I896" i="4"/>
  <c r="H896" i="4"/>
  <c r="C896" i="4"/>
  <c r="E896" i="4" s="1"/>
  <c r="I933" i="4"/>
  <c r="D933" i="4"/>
  <c r="J933" i="4"/>
  <c r="C933" i="4"/>
  <c r="E933" i="4" s="1"/>
  <c r="H933" i="4"/>
  <c r="B933" i="4"/>
  <c r="L933" i="4"/>
  <c r="G933" i="4"/>
  <c r="J779" i="4"/>
  <c r="G779" i="4"/>
  <c r="I779" i="4"/>
  <c r="B779" i="4"/>
  <c r="H779" i="4"/>
  <c r="L779" i="4"/>
  <c r="D779" i="4"/>
  <c r="C779" i="4"/>
  <c r="E779" i="4" s="1"/>
  <c r="J787" i="4"/>
  <c r="G787" i="4"/>
  <c r="L787" i="4"/>
  <c r="C787" i="4"/>
  <c r="E787" i="4" s="1"/>
  <c r="I787" i="4"/>
  <c r="B787" i="4"/>
  <c r="H787" i="4"/>
  <c r="D787" i="4"/>
  <c r="J795" i="4"/>
  <c r="G795" i="4"/>
  <c r="D795" i="4"/>
  <c r="L795" i="4"/>
  <c r="C795" i="4"/>
  <c r="E795" i="4" s="1"/>
  <c r="H795" i="4"/>
  <c r="B795" i="4"/>
  <c r="I795" i="4"/>
  <c r="J803" i="4"/>
  <c r="L803" i="4"/>
  <c r="D803" i="4"/>
  <c r="C803" i="4"/>
  <c r="E803" i="4" s="1"/>
  <c r="G803" i="4"/>
  <c r="B803" i="4"/>
  <c r="I803" i="4"/>
  <c r="H803" i="4"/>
  <c r="J811" i="4"/>
  <c r="L811" i="4"/>
  <c r="D811" i="4"/>
  <c r="G811" i="4"/>
  <c r="C811" i="4"/>
  <c r="E811" i="4" s="1"/>
  <c r="B811" i="4"/>
  <c r="H811" i="4"/>
  <c r="I811" i="4"/>
  <c r="J819" i="4"/>
  <c r="L819" i="4"/>
  <c r="D819" i="4"/>
  <c r="H819" i="4"/>
  <c r="B819" i="4"/>
  <c r="I819" i="4"/>
  <c r="C819" i="4"/>
  <c r="E819" i="4" s="1"/>
  <c r="G819" i="4"/>
  <c r="J827" i="4"/>
  <c r="L827" i="4"/>
  <c r="D827" i="4"/>
  <c r="I827" i="4"/>
  <c r="C827" i="4"/>
  <c r="E827" i="4" s="1"/>
  <c r="B827" i="4"/>
  <c r="G827" i="4"/>
  <c r="H827" i="4"/>
  <c r="J835" i="4"/>
  <c r="L835" i="4"/>
  <c r="D835" i="4"/>
  <c r="I835" i="4"/>
  <c r="C835" i="4"/>
  <c r="E835" i="4" s="1"/>
  <c r="H835" i="4"/>
  <c r="G835" i="4"/>
  <c r="B835" i="4"/>
  <c r="J843" i="4"/>
  <c r="L843" i="4"/>
  <c r="D843" i="4"/>
  <c r="I843" i="4"/>
  <c r="C843" i="4"/>
  <c r="E843" i="4" s="1"/>
  <c r="B843" i="4"/>
  <c r="G843" i="4"/>
  <c r="H843" i="4"/>
  <c r="J851" i="4"/>
  <c r="L851" i="4"/>
  <c r="D851" i="4"/>
  <c r="I851" i="4"/>
  <c r="C851" i="4"/>
  <c r="E851" i="4" s="1"/>
  <c r="H851" i="4"/>
  <c r="G851" i="4"/>
  <c r="B851" i="4"/>
  <c r="J859" i="4"/>
  <c r="L859" i="4"/>
  <c r="D859" i="4"/>
  <c r="I859" i="4"/>
  <c r="C859" i="4"/>
  <c r="E859" i="4" s="1"/>
  <c r="B859" i="4"/>
  <c r="H859" i="4"/>
  <c r="G859" i="4"/>
  <c r="J867" i="4"/>
  <c r="L867" i="4"/>
  <c r="D867" i="4"/>
  <c r="I867" i="4"/>
  <c r="C867" i="4"/>
  <c r="E867" i="4" s="1"/>
  <c r="H867" i="4"/>
  <c r="B867" i="4"/>
  <c r="G867" i="4"/>
  <c r="J875" i="4"/>
  <c r="L875" i="4"/>
  <c r="D875" i="4"/>
  <c r="I875" i="4"/>
  <c r="C875" i="4"/>
  <c r="E875" i="4" s="1"/>
  <c r="B875" i="4"/>
  <c r="H875" i="4"/>
  <c r="G875" i="4"/>
  <c r="I883" i="4"/>
  <c r="D883" i="4"/>
  <c r="G883" i="4"/>
  <c r="J883" i="4"/>
  <c r="B883" i="4"/>
  <c r="H883" i="4"/>
  <c r="C883" i="4"/>
  <c r="E883" i="4" s="1"/>
  <c r="L883" i="4"/>
  <c r="I891" i="4"/>
  <c r="D891" i="4"/>
  <c r="G891" i="4"/>
  <c r="J891" i="4"/>
  <c r="B891" i="4"/>
  <c r="H891" i="4"/>
  <c r="L891" i="4"/>
  <c r="C891" i="4"/>
  <c r="E891" i="4" s="1"/>
  <c r="I899" i="4"/>
  <c r="D899" i="4"/>
  <c r="G899" i="4"/>
  <c r="J899" i="4"/>
  <c r="B899" i="4"/>
  <c r="H899" i="4"/>
  <c r="C899" i="4"/>
  <c r="E899" i="4" s="1"/>
  <c r="L899" i="4"/>
  <c r="I907" i="4"/>
  <c r="D907" i="4"/>
  <c r="G907" i="4"/>
  <c r="J907" i="4"/>
  <c r="B907" i="4"/>
  <c r="H907" i="4"/>
  <c r="L907" i="4"/>
  <c r="C907" i="4"/>
  <c r="E907" i="4" s="1"/>
  <c r="L916" i="4"/>
  <c r="G916" i="4"/>
  <c r="B916" i="4"/>
  <c r="I916" i="4"/>
  <c r="J916" i="4"/>
  <c r="H916" i="4"/>
  <c r="D916" i="4"/>
  <c r="C916" i="4"/>
  <c r="E916" i="4" s="1"/>
  <c r="I931" i="4"/>
  <c r="D931" i="4"/>
  <c r="J931" i="4"/>
  <c r="C931" i="4"/>
  <c r="E931" i="4" s="1"/>
  <c r="H931" i="4"/>
  <c r="B931" i="4"/>
  <c r="L931" i="4"/>
  <c r="G931" i="4"/>
  <c r="H978" i="4"/>
  <c r="C978" i="4"/>
  <c r="E978" i="4" s="1"/>
  <c r="L978" i="4"/>
  <c r="G978" i="4"/>
  <c r="D978" i="4"/>
  <c r="I978" i="4"/>
  <c r="J978" i="4"/>
  <c r="B978" i="4"/>
  <c r="L955" i="4"/>
  <c r="G955" i="4"/>
  <c r="B955" i="4"/>
  <c r="I955" i="4"/>
  <c r="C955" i="4"/>
  <c r="E955" i="4" s="1"/>
  <c r="H955" i="4"/>
  <c r="D955" i="4"/>
  <c r="J955" i="4"/>
  <c r="I976" i="4"/>
  <c r="D976" i="4"/>
  <c r="L976" i="4"/>
  <c r="J976" i="4"/>
  <c r="C976" i="4"/>
  <c r="E976" i="4" s="1"/>
  <c r="B976" i="4"/>
  <c r="G976" i="4"/>
  <c r="H976" i="4"/>
  <c r="L934" i="4"/>
  <c r="G934" i="4"/>
  <c r="B934" i="4"/>
  <c r="H934" i="4"/>
  <c r="D934" i="4"/>
  <c r="J934" i="4"/>
  <c r="I934" i="4"/>
  <c r="C934" i="4"/>
  <c r="E934" i="4" s="1"/>
  <c r="I944" i="4"/>
  <c r="D944" i="4"/>
  <c r="H944" i="4"/>
  <c r="B944" i="4"/>
  <c r="J944" i="4"/>
  <c r="G944" i="4"/>
  <c r="C944" i="4"/>
  <c r="E944" i="4" s="1"/>
  <c r="L944" i="4"/>
  <c r="I968" i="4"/>
  <c r="D968" i="4"/>
  <c r="L968" i="4"/>
  <c r="J968" i="4"/>
  <c r="C968" i="4"/>
  <c r="E968" i="4" s="1"/>
  <c r="B968" i="4"/>
  <c r="G968" i="4"/>
  <c r="H968" i="4"/>
  <c r="I964" i="4"/>
  <c r="D964" i="4"/>
  <c r="L964" i="4"/>
  <c r="J964" i="4"/>
  <c r="H964" i="4"/>
  <c r="B964" i="4"/>
  <c r="G964" i="4"/>
  <c r="C964" i="4"/>
  <c r="E964" i="4" s="1"/>
  <c r="H994" i="4"/>
  <c r="C994" i="4"/>
  <c r="E994" i="4" s="1"/>
  <c r="L994" i="4"/>
  <c r="D994" i="4"/>
  <c r="J994" i="4"/>
  <c r="B994" i="4"/>
  <c r="I994" i="4"/>
  <c r="G994" i="4"/>
  <c r="L971" i="4"/>
  <c r="G971" i="4"/>
  <c r="B971" i="4"/>
  <c r="I971" i="4"/>
  <c r="C971" i="4"/>
  <c r="E971" i="4" s="1"/>
  <c r="H971" i="4"/>
  <c r="J971" i="4"/>
  <c r="D971" i="4"/>
  <c r="H984" i="4"/>
  <c r="C984" i="4"/>
  <c r="E984" i="4" s="1"/>
  <c r="J984" i="4"/>
  <c r="D984" i="4"/>
  <c r="B984" i="4"/>
  <c r="L984" i="4"/>
  <c r="I984" i="4"/>
  <c r="G984" i="4"/>
  <c r="H990" i="4"/>
  <c r="C990" i="4"/>
  <c r="E990" i="4" s="1"/>
  <c r="I990" i="4"/>
  <c r="B990" i="4"/>
  <c r="J990" i="4"/>
  <c r="G990" i="4"/>
  <c r="D990" i="4"/>
  <c r="L990" i="4"/>
  <c r="J983" i="4"/>
  <c r="G983" i="4"/>
  <c r="H983" i="4"/>
  <c r="D983" i="4"/>
  <c r="C983" i="4"/>
  <c r="E983" i="4" s="1"/>
  <c r="L983" i="4"/>
  <c r="I983" i="4"/>
  <c r="B983" i="4"/>
  <c r="J987" i="4"/>
  <c r="I987" i="4"/>
  <c r="C987" i="4"/>
  <c r="E987" i="4" s="1"/>
  <c r="G987" i="4"/>
  <c r="B987" i="4"/>
  <c r="L987" i="4"/>
  <c r="D987" i="4"/>
  <c r="H987" i="4"/>
  <c r="J995" i="4"/>
  <c r="I995" i="4"/>
  <c r="C995" i="4"/>
  <c r="E995" i="4" s="1"/>
  <c r="H995" i="4"/>
  <c r="G995" i="4"/>
  <c r="B995" i="4"/>
  <c r="L995" i="4"/>
  <c r="D995" i="4"/>
  <c r="J10" i="4"/>
  <c r="I10" i="4"/>
  <c r="D10" i="4"/>
  <c r="H10" i="4"/>
  <c r="C10" i="4"/>
  <c r="E10" i="4" s="1"/>
  <c r="L10" i="4"/>
  <c r="G10" i="4"/>
  <c r="B10" i="4"/>
  <c r="J26" i="4"/>
  <c r="I26" i="4"/>
  <c r="D26" i="4"/>
  <c r="H26" i="4"/>
  <c r="C26" i="4"/>
  <c r="E26" i="4" s="1"/>
  <c r="L26" i="4"/>
  <c r="G26" i="4"/>
  <c r="B26" i="4"/>
  <c r="J37" i="4"/>
  <c r="I37" i="4"/>
  <c r="D37" i="4"/>
  <c r="H37" i="4"/>
  <c r="C37" i="4"/>
  <c r="E37" i="4" s="1"/>
  <c r="L37" i="4"/>
  <c r="G37" i="4"/>
  <c r="B37" i="4"/>
  <c r="J45" i="4"/>
  <c r="I45" i="4"/>
  <c r="D45" i="4"/>
  <c r="H45" i="4"/>
  <c r="C45" i="4"/>
  <c r="E45" i="4" s="1"/>
  <c r="L45" i="4"/>
  <c r="G45" i="4"/>
  <c r="B45" i="4"/>
  <c r="J53" i="4"/>
  <c r="I53" i="4"/>
  <c r="D53" i="4"/>
  <c r="H53" i="4"/>
  <c r="C53" i="4"/>
  <c r="E53" i="4" s="1"/>
  <c r="L53" i="4"/>
  <c r="G53" i="4"/>
  <c r="B53" i="4"/>
  <c r="J61" i="4"/>
  <c r="I61" i="4"/>
  <c r="D61" i="4"/>
  <c r="H61" i="4"/>
  <c r="C61" i="4"/>
  <c r="E61" i="4" s="1"/>
  <c r="L61" i="4"/>
  <c r="G61" i="4"/>
  <c r="B61" i="4"/>
  <c r="J69" i="4"/>
  <c r="I69" i="4"/>
  <c r="D69" i="4"/>
  <c r="H69" i="4"/>
  <c r="C69" i="4"/>
  <c r="E69" i="4" s="1"/>
  <c r="L69" i="4"/>
  <c r="G69" i="4"/>
  <c r="B69" i="4"/>
  <c r="J77" i="4"/>
  <c r="I77" i="4"/>
  <c r="D77" i="4"/>
  <c r="H77" i="4"/>
  <c r="C77" i="4"/>
  <c r="E77" i="4" s="1"/>
  <c r="L77" i="4"/>
  <c r="G77" i="4"/>
  <c r="B77" i="4"/>
  <c r="J85" i="4"/>
  <c r="I85" i="4"/>
  <c r="D85" i="4"/>
  <c r="H85" i="4"/>
  <c r="C85" i="4"/>
  <c r="E85" i="4" s="1"/>
  <c r="L85" i="4"/>
  <c r="G85" i="4"/>
  <c r="B85" i="4"/>
  <c r="J93" i="4"/>
  <c r="I93" i="4"/>
  <c r="D93" i="4"/>
  <c r="H93" i="4"/>
  <c r="C93" i="4"/>
  <c r="E93" i="4" s="1"/>
  <c r="L93" i="4"/>
  <c r="G93" i="4"/>
  <c r="B93" i="4"/>
  <c r="I110" i="4"/>
  <c r="H110" i="4"/>
  <c r="C110" i="4"/>
  <c r="E110" i="4" s="1"/>
  <c r="G110" i="4"/>
  <c r="L110" i="4"/>
  <c r="D110" i="4"/>
  <c r="J110" i="4"/>
  <c r="B110" i="4"/>
  <c r="I136" i="4"/>
  <c r="D136" i="4"/>
  <c r="H136" i="4"/>
  <c r="C136" i="4"/>
  <c r="E136" i="4" s="1"/>
  <c r="J136" i="4"/>
  <c r="G136" i="4"/>
  <c r="L136" i="4"/>
  <c r="B136" i="4"/>
  <c r="I168" i="4"/>
  <c r="D168" i="4"/>
  <c r="H168" i="4"/>
  <c r="C168" i="4"/>
  <c r="E168" i="4" s="1"/>
  <c r="J168" i="4"/>
  <c r="G168" i="4"/>
  <c r="L168" i="4"/>
  <c r="B168" i="4"/>
  <c r="I200" i="4"/>
  <c r="D200" i="4"/>
  <c r="H200" i="4"/>
  <c r="C200" i="4"/>
  <c r="E200" i="4" s="1"/>
  <c r="J200" i="4"/>
  <c r="G200" i="4"/>
  <c r="L200" i="4"/>
  <c r="B200" i="4"/>
  <c r="I234" i="4"/>
  <c r="D234" i="4"/>
  <c r="H234" i="4"/>
  <c r="C234" i="4"/>
  <c r="E234" i="4" s="1"/>
  <c r="L234" i="4"/>
  <c r="G234" i="4"/>
  <c r="B234" i="4"/>
  <c r="J234" i="4"/>
  <c r="I254" i="4"/>
  <c r="D254" i="4"/>
  <c r="H254" i="4"/>
  <c r="C254" i="4"/>
  <c r="E254" i="4" s="1"/>
  <c r="L254" i="4"/>
  <c r="G254" i="4"/>
  <c r="B254" i="4"/>
  <c r="J254" i="4"/>
  <c r="I262" i="4"/>
  <c r="D262" i="4"/>
  <c r="H262" i="4"/>
  <c r="C262" i="4"/>
  <c r="E262" i="4" s="1"/>
  <c r="L262" i="4"/>
  <c r="G262" i="4"/>
  <c r="B262" i="4"/>
  <c r="J262" i="4"/>
  <c r="I270" i="4"/>
  <c r="D270" i="4"/>
  <c r="H270" i="4"/>
  <c r="C270" i="4"/>
  <c r="E270" i="4" s="1"/>
  <c r="L270" i="4"/>
  <c r="G270" i="4"/>
  <c r="B270" i="4"/>
  <c r="J270" i="4"/>
  <c r="I278" i="4"/>
  <c r="D278" i="4"/>
  <c r="H278" i="4"/>
  <c r="C278" i="4"/>
  <c r="E278" i="4" s="1"/>
  <c r="L278" i="4"/>
  <c r="G278" i="4"/>
  <c r="B278" i="4"/>
  <c r="J278" i="4"/>
  <c r="I286" i="4"/>
  <c r="D286" i="4"/>
  <c r="H286" i="4"/>
  <c r="C286" i="4"/>
  <c r="E286" i="4" s="1"/>
  <c r="L286" i="4"/>
  <c r="G286" i="4"/>
  <c r="B286" i="4"/>
  <c r="J286" i="4"/>
  <c r="I294" i="4"/>
  <c r="D294" i="4"/>
  <c r="H294" i="4"/>
  <c r="C294" i="4"/>
  <c r="E294" i="4" s="1"/>
  <c r="L294" i="4"/>
  <c r="G294" i="4"/>
  <c r="B294" i="4"/>
  <c r="J294" i="4"/>
  <c r="I302" i="4"/>
  <c r="D302" i="4"/>
  <c r="H302" i="4"/>
  <c r="C302" i="4"/>
  <c r="E302" i="4" s="1"/>
  <c r="L302" i="4"/>
  <c r="G302" i="4"/>
  <c r="B302" i="4"/>
  <c r="J302" i="4"/>
  <c r="I310" i="4"/>
  <c r="D310" i="4"/>
  <c r="H310" i="4"/>
  <c r="C310" i="4"/>
  <c r="E310" i="4" s="1"/>
  <c r="L310" i="4"/>
  <c r="G310" i="4"/>
  <c r="B310" i="4"/>
  <c r="J310" i="4"/>
  <c r="I318" i="4"/>
  <c r="D318" i="4"/>
  <c r="H318" i="4"/>
  <c r="C318" i="4"/>
  <c r="E318" i="4" s="1"/>
  <c r="L318" i="4"/>
  <c r="G318" i="4"/>
  <c r="B318" i="4"/>
  <c r="J318" i="4"/>
  <c r="H328" i="4"/>
  <c r="C328" i="4"/>
  <c r="E328" i="4" s="1"/>
  <c r="L328" i="4"/>
  <c r="J328" i="4"/>
  <c r="D328" i="4"/>
  <c r="I328" i="4"/>
  <c r="B328" i="4"/>
  <c r="G328" i="4"/>
  <c r="I356" i="4"/>
  <c r="D356" i="4"/>
  <c r="H356" i="4"/>
  <c r="C356" i="4"/>
  <c r="E356" i="4" s="1"/>
  <c r="G356" i="4"/>
  <c r="L356" i="4"/>
  <c r="B356" i="4"/>
  <c r="J356" i="4"/>
  <c r="I388" i="4"/>
  <c r="D388" i="4"/>
  <c r="H388" i="4"/>
  <c r="C388" i="4"/>
  <c r="E388" i="4" s="1"/>
  <c r="G388" i="4"/>
  <c r="L388" i="4"/>
  <c r="B388" i="4"/>
  <c r="J388" i="4"/>
  <c r="I420" i="4"/>
  <c r="D420" i="4"/>
  <c r="H420" i="4"/>
  <c r="C420" i="4"/>
  <c r="E420" i="4" s="1"/>
  <c r="G420" i="4"/>
  <c r="L420" i="4"/>
  <c r="B420" i="4"/>
  <c r="J420" i="4"/>
  <c r="I452" i="4"/>
  <c r="D452" i="4"/>
  <c r="H452" i="4"/>
  <c r="C452" i="4"/>
  <c r="E452" i="4" s="1"/>
  <c r="G452" i="4"/>
  <c r="L452" i="4"/>
  <c r="B452" i="4"/>
  <c r="J452" i="4"/>
  <c r="I338" i="4"/>
  <c r="D338" i="4"/>
  <c r="H338" i="4"/>
  <c r="C338" i="4"/>
  <c r="E338" i="4" s="1"/>
  <c r="L338" i="4"/>
  <c r="B338" i="4"/>
  <c r="J338" i="4"/>
  <c r="G338" i="4"/>
  <c r="I370" i="4"/>
  <c r="D370" i="4"/>
  <c r="H370" i="4"/>
  <c r="C370" i="4"/>
  <c r="E370" i="4" s="1"/>
  <c r="L370" i="4"/>
  <c r="B370" i="4"/>
  <c r="J370" i="4"/>
  <c r="G370" i="4"/>
  <c r="I402" i="4"/>
  <c r="D402" i="4"/>
  <c r="H402" i="4"/>
  <c r="C402" i="4"/>
  <c r="E402" i="4" s="1"/>
  <c r="L402" i="4"/>
  <c r="B402" i="4"/>
  <c r="J402" i="4"/>
  <c r="G402" i="4"/>
  <c r="I434" i="4"/>
  <c r="D434" i="4"/>
  <c r="H434" i="4"/>
  <c r="C434" i="4"/>
  <c r="E434" i="4" s="1"/>
  <c r="L434" i="4"/>
  <c r="B434" i="4"/>
  <c r="J434" i="4"/>
  <c r="G434" i="4"/>
  <c r="J99" i="4"/>
  <c r="H99" i="4"/>
  <c r="B99" i="4"/>
  <c r="G99" i="4"/>
  <c r="L99" i="4"/>
  <c r="D99" i="4"/>
  <c r="I99" i="4"/>
  <c r="C99" i="4"/>
  <c r="E99" i="4" s="1"/>
  <c r="J107" i="4"/>
  <c r="H107" i="4"/>
  <c r="B107" i="4"/>
  <c r="G107" i="4"/>
  <c r="L107" i="4"/>
  <c r="D107" i="4"/>
  <c r="I107" i="4"/>
  <c r="C107" i="4"/>
  <c r="E107" i="4" s="1"/>
  <c r="L115" i="4"/>
  <c r="G115" i="4"/>
  <c r="B115" i="4"/>
  <c r="J115" i="4"/>
  <c r="I115" i="4"/>
  <c r="H115" i="4"/>
  <c r="D115" i="4"/>
  <c r="C115" i="4"/>
  <c r="E115" i="4" s="1"/>
  <c r="L123" i="4"/>
  <c r="G123" i="4"/>
  <c r="B123" i="4"/>
  <c r="J123" i="4"/>
  <c r="I123" i="4"/>
  <c r="H123" i="4"/>
  <c r="D123" i="4"/>
  <c r="C123" i="4"/>
  <c r="E123" i="4" s="1"/>
  <c r="L131" i="4"/>
  <c r="G131" i="4"/>
  <c r="B131" i="4"/>
  <c r="J131" i="4"/>
  <c r="I131" i="4"/>
  <c r="H131" i="4"/>
  <c r="D131" i="4"/>
  <c r="C131" i="4"/>
  <c r="E131" i="4" s="1"/>
  <c r="L139" i="4"/>
  <c r="G139" i="4"/>
  <c r="B139" i="4"/>
  <c r="J139" i="4"/>
  <c r="I139" i="4"/>
  <c r="H139" i="4"/>
  <c r="D139" i="4"/>
  <c r="C139" i="4"/>
  <c r="E139" i="4" s="1"/>
  <c r="L147" i="4"/>
  <c r="G147" i="4"/>
  <c r="B147" i="4"/>
  <c r="J147" i="4"/>
  <c r="I147" i="4"/>
  <c r="H147" i="4"/>
  <c r="D147" i="4"/>
  <c r="C147" i="4"/>
  <c r="E147" i="4" s="1"/>
  <c r="L155" i="4"/>
  <c r="G155" i="4"/>
  <c r="B155" i="4"/>
  <c r="J155" i="4"/>
  <c r="I155" i="4"/>
  <c r="H155" i="4"/>
  <c r="D155" i="4"/>
  <c r="C155" i="4"/>
  <c r="E155" i="4" s="1"/>
  <c r="L163" i="4"/>
  <c r="G163" i="4"/>
  <c r="B163" i="4"/>
  <c r="J163" i="4"/>
  <c r="I163" i="4"/>
  <c r="H163" i="4"/>
  <c r="D163" i="4"/>
  <c r="C163" i="4"/>
  <c r="E163" i="4" s="1"/>
  <c r="L171" i="4"/>
  <c r="G171" i="4"/>
  <c r="B171" i="4"/>
  <c r="J171" i="4"/>
  <c r="I171" i="4"/>
  <c r="H171" i="4"/>
  <c r="D171" i="4"/>
  <c r="C171" i="4"/>
  <c r="E171" i="4" s="1"/>
  <c r="L179" i="4"/>
  <c r="G179" i="4"/>
  <c r="B179" i="4"/>
  <c r="J179" i="4"/>
  <c r="I179" i="4"/>
  <c r="H179" i="4"/>
  <c r="D179" i="4"/>
  <c r="C179" i="4"/>
  <c r="E179" i="4" s="1"/>
  <c r="L187" i="4"/>
  <c r="G187" i="4"/>
  <c r="B187" i="4"/>
  <c r="J187" i="4"/>
  <c r="I187" i="4"/>
  <c r="H187" i="4"/>
  <c r="D187" i="4"/>
  <c r="C187" i="4"/>
  <c r="E187" i="4" s="1"/>
  <c r="L195" i="4"/>
  <c r="G195" i="4"/>
  <c r="B195" i="4"/>
  <c r="J195" i="4"/>
  <c r="I195" i="4"/>
  <c r="H195" i="4"/>
  <c r="D195" i="4"/>
  <c r="C195" i="4"/>
  <c r="E195" i="4" s="1"/>
  <c r="L203" i="4"/>
  <c r="G203" i="4"/>
  <c r="B203" i="4"/>
  <c r="J203" i="4"/>
  <c r="I203" i="4"/>
  <c r="H203" i="4"/>
  <c r="D203" i="4"/>
  <c r="C203" i="4"/>
  <c r="E203" i="4" s="1"/>
  <c r="L211" i="4"/>
  <c r="G211" i="4"/>
  <c r="B211" i="4"/>
  <c r="J211" i="4"/>
  <c r="I211" i="4"/>
  <c r="H211" i="4"/>
  <c r="D211" i="4"/>
  <c r="C211" i="4"/>
  <c r="E211" i="4" s="1"/>
  <c r="L219" i="4"/>
  <c r="G219" i="4"/>
  <c r="B219" i="4"/>
  <c r="J219" i="4"/>
  <c r="I219" i="4"/>
  <c r="H219" i="4"/>
  <c r="D219" i="4"/>
  <c r="C219" i="4"/>
  <c r="E219" i="4" s="1"/>
  <c r="L227" i="4"/>
  <c r="G227" i="4"/>
  <c r="B227" i="4"/>
  <c r="J227" i="4"/>
  <c r="I227" i="4"/>
  <c r="D227" i="4"/>
  <c r="H227" i="4"/>
  <c r="C227" i="4"/>
  <c r="E227" i="4" s="1"/>
  <c r="L235" i="4"/>
  <c r="G235" i="4"/>
  <c r="B235" i="4"/>
  <c r="J235" i="4"/>
  <c r="I235" i="4"/>
  <c r="D235" i="4"/>
  <c r="H235" i="4"/>
  <c r="C235" i="4"/>
  <c r="E235" i="4" s="1"/>
  <c r="L243" i="4"/>
  <c r="G243" i="4"/>
  <c r="B243" i="4"/>
  <c r="J243" i="4"/>
  <c r="I243" i="4"/>
  <c r="D243" i="4"/>
  <c r="H243" i="4"/>
  <c r="C243" i="4"/>
  <c r="E243" i="4" s="1"/>
  <c r="L251" i="4"/>
  <c r="G251" i="4"/>
  <c r="B251" i="4"/>
  <c r="J251" i="4"/>
  <c r="I251" i="4"/>
  <c r="D251" i="4"/>
  <c r="H251" i="4"/>
  <c r="C251" i="4"/>
  <c r="E251" i="4" s="1"/>
  <c r="L259" i="4"/>
  <c r="G259" i="4"/>
  <c r="B259" i="4"/>
  <c r="J259" i="4"/>
  <c r="I259" i="4"/>
  <c r="D259" i="4"/>
  <c r="H259" i="4"/>
  <c r="C259" i="4"/>
  <c r="E259" i="4" s="1"/>
  <c r="L267" i="4"/>
  <c r="G267" i="4"/>
  <c r="B267" i="4"/>
  <c r="J267" i="4"/>
  <c r="I267" i="4"/>
  <c r="D267" i="4"/>
  <c r="H267" i="4"/>
  <c r="C267" i="4"/>
  <c r="E267" i="4" s="1"/>
  <c r="L275" i="4"/>
  <c r="G275" i="4"/>
  <c r="B275" i="4"/>
  <c r="J275" i="4"/>
  <c r="I275" i="4"/>
  <c r="D275" i="4"/>
  <c r="H275" i="4"/>
  <c r="C275" i="4"/>
  <c r="E275" i="4" s="1"/>
  <c r="L283" i="4"/>
  <c r="G283" i="4"/>
  <c r="B283" i="4"/>
  <c r="J283" i="4"/>
  <c r="I283" i="4"/>
  <c r="D283" i="4"/>
  <c r="H283" i="4"/>
  <c r="C283" i="4"/>
  <c r="E283" i="4" s="1"/>
  <c r="L291" i="4"/>
  <c r="G291" i="4"/>
  <c r="B291" i="4"/>
  <c r="J291" i="4"/>
  <c r="I291" i="4"/>
  <c r="D291" i="4"/>
  <c r="H291" i="4"/>
  <c r="C291" i="4"/>
  <c r="E291" i="4" s="1"/>
  <c r="L299" i="4"/>
  <c r="G299" i="4"/>
  <c r="B299" i="4"/>
  <c r="J299" i="4"/>
  <c r="I299" i="4"/>
  <c r="D299" i="4"/>
  <c r="H299" i="4"/>
  <c r="C299" i="4"/>
  <c r="E299" i="4" s="1"/>
  <c r="L307" i="4"/>
  <c r="G307" i="4"/>
  <c r="B307" i="4"/>
  <c r="J307" i="4"/>
  <c r="I307" i="4"/>
  <c r="D307" i="4"/>
  <c r="H307" i="4"/>
  <c r="C307" i="4"/>
  <c r="E307" i="4" s="1"/>
  <c r="L315" i="4"/>
  <c r="G315" i="4"/>
  <c r="B315" i="4"/>
  <c r="J315" i="4"/>
  <c r="I315" i="4"/>
  <c r="D315" i="4"/>
  <c r="H315" i="4"/>
  <c r="C315" i="4"/>
  <c r="E315" i="4" s="1"/>
  <c r="L323" i="4"/>
  <c r="G323" i="4"/>
  <c r="B323" i="4"/>
  <c r="J323" i="4"/>
  <c r="I323" i="4"/>
  <c r="D323" i="4"/>
  <c r="H323" i="4"/>
  <c r="C323" i="4"/>
  <c r="E323" i="4" s="1"/>
  <c r="I352" i="4"/>
  <c r="D352" i="4"/>
  <c r="H352" i="4"/>
  <c r="C352" i="4"/>
  <c r="E352" i="4" s="1"/>
  <c r="L352" i="4"/>
  <c r="B352" i="4"/>
  <c r="J352" i="4"/>
  <c r="G352" i="4"/>
  <c r="I384" i="4"/>
  <c r="D384" i="4"/>
  <c r="H384" i="4"/>
  <c r="C384" i="4"/>
  <c r="E384" i="4" s="1"/>
  <c r="L384" i="4"/>
  <c r="B384" i="4"/>
  <c r="J384" i="4"/>
  <c r="G384" i="4"/>
  <c r="I416" i="4"/>
  <c r="D416" i="4"/>
  <c r="H416" i="4"/>
  <c r="C416" i="4"/>
  <c r="E416" i="4" s="1"/>
  <c r="L416" i="4"/>
  <c r="B416" i="4"/>
  <c r="J416" i="4"/>
  <c r="G416" i="4"/>
  <c r="I448" i="4"/>
  <c r="D448" i="4"/>
  <c r="H448" i="4"/>
  <c r="C448" i="4"/>
  <c r="E448" i="4" s="1"/>
  <c r="L448" i="4"/>
  <c r="B448" i="4"/>
  <c r="J448" i="4"/>
  <c r="G448" i="4"/>
  <c r="I342" i="4"/>
  <c r="D342" i="4"/>
  <c r="H342" i="4"/>
  <c r="C342" i="4"/>
  <c r="E342" i="4" s="1"/>
  <c r="J342" i="4"/>
  <c r="G342" i="4"/>
  <c r="L342" i="4"/>
  <c r="B342" i="4"/>
  <c r="I374" i="4"/>
  <c r="D374" i="4"/>
  <c r="H374" i="4"/>
  <c r="C374" i="4"/>
  <c r="E374" i="4" s="1"/>
  <c r="J374" i="4"/>
  <c r="G374" i="4"/>
  <c r="L374" i="4"/>
  <c r="B374" i="4"/>
  <c r="I406" i="4"/>
  <c r="D406" i="4"/>
  <c r="H406" i="4"/>
  <c r="C406" i="4"/>
  <c r="E406" i="4" s="1"/>
  <c r="J406" i="4"/>
  <c r="G406" i="4"/>
  <c r="L406" i="4"/>
  <c r="B406" i="4"/>
  <c r="I438" i="4"/>
  <c r="D438" i="4"/>
  <c r="H438" i="4"/>
  <c r="C438" i="4"/>
  <c r="E438" i="4" s="1"/>
  <c r="J438" i="4"/>
  <c r="G438" i="4"/>
  <c r="L438" i="4"/>
  <c r="B438" i="4"/>
  <c r="H466" i="4"/>
  <c r="C466" i="4"/>
  <c r="E466" i="4" s="1"/>
  <c r="J466" i="4"/>
  <c r="D466" i="4"/>
  <c r="I466" i="4"/>
  <c r="B466" i="4"/>
  <c r="L466" i="4"/>
  <c r="G466" i="4"/>
  <c r="J333" i="4"/>
  <c r="G333" i="4"/>
  <c r="L333" i="4"/>
  <c r="D333" i="4"/>
  <c r="I333" i="4"/>
  <c r="C333" i="4"/>
  <c r="E333" i="4" s="1"/>
  <c r="H333" i="4"/>
  <c r="B333" i="4"/>
  <c r="L341" i="4"/>
  <c r="G341" i="4"/>
  <c r="B341" i="4"/>
  <c r="J341" i="4"/>
  <c r="D341" i="4"/>
  <c r="C341" i="4"/>
  <c r="E341" i="4" s="1"/>
  <c r="I341" i="4"/>
  <c r="H341" i="4"/>
  <c r="L349" i="4"/>
  <c r="G349" i="4"/>
  <c r="B349" i="4"/>
  <c r="J349" i="4"/>
  <c r="D349" i="4"/>
  <c r="C349" i="4"/>
  <c r="E349" i="4" s="1"/>
  <c r="I349" i="4"/>
  <c r="H349" i="4"/>
  <c r="L357" i="4"/>
  <c r="G357" i="4"/>
  <c r="B357" i="4"/>
  <c r="J357" i="4"/>
  <c r="D357" i="4"/>
  <c r="C357" i="4"/>
  <c r="E357" i="4" s="1"/>
  <c r="I357" i="4"/>
  <c r="H357" i="4"/>
  <c r="L365" i="4"/>
  <c r="G365" i="4"/>
  <c r="B365" i="4"/>
  <c r="J365" i="4"/>
  <c r="D365" i="4"/>
  <c r="C365" i="4"/>
  <c r="E365" i="4" s="1"/>
  <c r="I365" i="4"/>
  <c r="H365" i="4"/>
  <c r="L373" i="4"/>
  <c r="G373" i="4"/>
  <c r="B373" i="4"/>
  <c r="J373" i="4"/>
  <c r="D373" i="4"/>
  <c r="C373" i="4"/>
  <c r="E373" i="4" s="1"/>
  <c r="I373" i="4"/>
  <c r="H373" i="4"/>
  <c r="L381" i="4"/>
  <c r="G381" i="4"/>
  <c r="B381" i="4"/>
  <c r="J381" i="4"/>
  <c r="D381" i="4"/>
  <c r="C381" i="4"/>
  <c r="E381" i="4" s="1"/>
  <c r="I381" i="4"/>
  <c r="H381" i="4"/>
  <c r="L389" i="4"/>
  <c r="G389" i="4"/>
  <c r="B389" i="4"/>
  <c r="J389" i="4"/>
  <c r="D389" i="4"/>
  <c r="C389" i="4"/>
  <c r="E389" i="4" s="1"/>
  <c r="I389" i="4"/>
  <c r="H389" i="4"/>
  <c r="L397" i="4"/>
  <c r="G397" i="4"/>
  <c r="B397" i="4"/>
  <c r="J397" i="4"/>
  <c r="D397" i="4"/>
  <c r="C397" i="4"/>
  <c r="E397" i="4" s="1"/>
  <c r="I397" i="4"/>
  <c r="H397" i="4"/>
  <c r="L405" i="4"/>
  <c r="G405" i="4"/>
  <c r="B405" i="4"/>
  <c r="J405" i="4"/>
  <c r="D405" i="4"/>
  <c r="C405" i="4"/>
  <c r="E405" i="4" s="1"/>
  <c r="I405" i="4"/>
  <c r="H405" i="4"/>
  <c r="L413" i="4"/>
  <c r="G413" i="4"/>
  <c r="B413" i="4"/>
  <c r="J413" i="4"/>
  <c r="D413" i="4"/>
  <c r="C413" i="4"/>
  <c r="E413" i="4" s="1"/>
  <c r="I413" i="4"/>
  <c r="H413" i="4"/>
  <c r="L421" i="4"/>
  <c r="G421" i="4"/>
  <c r="B421" i="4"/>
  <c r="J421" i="4"/>
  <c r="D421" i="4"/>
  <c r="C421" i="4"/>
  <c r="E421" i="4" s="1"/>
  <c r="I421" i="4"/>
  <c r="H421" i="4"/>
  <c r="L429" i="4"/>
  <c r="G429" i="4"/>
  <c r="B429" i="4"/>
  <c r="J429" i="4"/>
  <c r="D429" i="4"/>
  <c r="C429" i="4"/>
  <c r="E429" i="4" s="1"/>
  <c r="I429" i="4"/>
  <c r="H429" i="4"/>
  <c r="L437" i="4"/>
  <c r="G437" i="4"/>
  <c r="B437" i="4"/>
  <c r="J437" i="4"/>
  <c r="D437" i="4"/>
  <c r="C437" i="4"/>
  <c r="E437" i="4" s="1"/>
  <c r="I437" i="4"/>
  <c r="H437" i="4"/>
  <c r="L445" i="4"/>
  <c r="G445" i="4"/>
  <c r="B445" i="4"/>
  <c r="J445" i="4"/>
  <c r="D445" i="4"/>
  <c r="C445" i="4"/>
  <c r="E445" i="4" s="1"/>
  <c r="I445" i="4"/>
  <c r="H445" i="4"/>
  <c r="L453" i="4"/>
  <c r="G453" i="4"/>
  <c r="B453" i="4"/>
  <c r="J453" i="4"/>
  <c r="D453" i="4"/>
  <c r="C453" i="4"/>
  <c r="E453" i="4" s="1"/>
  <c r="I453" i="4"/>
  <c r="H453" i="4"/>
  <c r="L461" i="4"/>
  <c r="G461" i="4"/>
  <c r="B461" i="4"/>
  <c r="J461" i="4"/>
  <c r="D461" i="4"/>
  <c r="C461" i="4"/>
  <c r="E461" i="4" s="1"/>
  <c r="I461" i="4"/>
  <c r="H461" i="4"/>
  <c r="J465" i="4"/>
  <c r="G465" i="4"/>
  <c r="L465" i="4"/>
  <c r="D465" i="4"/>
  <c r="I465" i="4"/>
  <c r="H465" i="4"/>
  <c r="C465" i="4"/>
  <c r="E465" i="4" s="1"/>
  <c r="B465" i="4"/>
  <c r="H473" i="4"/>
  <c r="C473" i="4"/>
  <c r="E473" i="4" s="1"/>
  <c r="J473" i="4"/>
  <c r="G473" i="4"/>
  <c r="D473" i="4"/>
  <c r="B473" i="4"/>
  <c r="L473" i="4"/>
  <c r="I473" i="4"/>
  <c r="H481" i="4"/>
  <c r="C481" i="4"/>
  <c r="E481" i="4" s="1"/>
  <c r="J481" i="4"/>
  <c r="G481" i="4"/>
  <c r="D481" i="4"/>
  <c r="B481" i="4"/>
  <c r="L481" i="4"/>
  <c r="I481" i="4"/>
  <c r="H489" i="4"/>
  <c r="C489" i="4"/>
  <c r="E489" i="4" s="1"/>
  <c r="J489" i="4"/>
  <c r="G489" i="4"/>
  <c r="D489" i="4"/>
  <c r="B489" i="4"/>
  <c r="L489" i="4"/>
  <c r="I489" i="4"/>
  <c r="H497" i="4"/>
  <c r="C497" i="4"/>
  <c r="E497" i="4" s="1"/>
  <c r="L497" i="4"/>
  <c r="G497" i="4"/>
  <c r="B497" i="4"/>
  <c r="J497" i="4"/>
  <c r="I497" i="4"/>
  <c r="D497" i="4"/>
  <c r="H505" i="4"/>
  <c r="C505" i="4"/>
  <c r="E505" i="4" s="1"/>
  <c r="L505" i="4"/>
  <c r="G505" i="4"/>
  <c r="B505" i="4"/>
  <c r="J505" i="4"/>
  <c r="I505" i="4"/>
  <c r="D505" i="4"/>
  <c r="H513" i="4"/>
  <c r="C513" i="4"/>
  <c r="E513" i="4" s="1"/>
  <c r="L513" i="4"/>
  <c r="G513" i="4"/>
  <c r="B513" i="4"/>
  <c r="J513" i="4"/>
  <c r="I513" i="4"/>
  <c r="D513" i="4"/>
  <c r="H521" i="4"/>
  <c r="C521" i="4"/>
  <c r="E521" i="4" s="1"/>
  <c r="L521" i="4"/>
  <c r="G521" i="4"/>
  <c r="B521" i="4"/>
  <c r="J521" i="4"/>
  <c r="I521" i="4"/>
  <c r="D521" i="4"/>
  <c r="H529" i="4"/>
  <c r="C529" i="4"/>
  <c r="E529" i="4" s="1"/>
  <c r="L529" i="4"/>
  <c r="G529" i="4"/>
  <c r="B529" i="4"/>
  <c r="J529" i="4"/>
  <c r="I529" i="4"/>
  <c r="D529" i="4"/>
  <c r="H537" i="4"/>
  <c r="C537" i="4"/>
  <c r="E537" i="4" s="1"/>
  <c r="L537" i="4"/>
  <c r="G537" i="4"/>
  <c r="B537" i="4"/>
  <c r="J537" i="4"/>
  <c r="I537" i="4"/>
  <c r="D537" i="4"/>
  <c r="H545" i="4"/>
  <c r="C545" i="4"/>
  <c r="E545" i="4" s="1"/>
  <c r="L545" i="4"/>
  <c r="G545" i="4"/>
  <c r="B545" i="4"/>
  <c r="J545" i="4"/>
  <c r="I545" i="4"/>
  <c r="D545" i="4"/>
  <c r="H556" i="4"/>
  <c r="C556" i="4"/>
  <c r="E556" i="4" s="1"/>
  <c r="I556" i="4"/>
  <c r="B556" i="4"/>
  <c r="G556" i="4"/>
  <c r="L556" i="4"/>
  <c r="J556" i="4"/>
  <c r="D556" i="4"/>
  <c r="J476" i="4"/>
  <c r="H476" i="4"/>
  <c r="C476" i="4"/>
  <c r="E476" i="4" s="1"/>
  <c r="I476" i="4"/>
  <c r="G476" i="4"/>
  <c r="D476" i="4"/>
  <c r="B476" i="4"/>
  <c r="L476" i="4"/>
  <c r="J484" i="4"/>
  <c r="H484" i="4"/>
  <c r="C484" i="4"/>
  <c r="E484" i="4" s="1"/>
  <c r="I484" i="4"/>
  <c r="G484" i="4"/>
  <c r="D484" i="4"/>
  <c r="B484" i="4"/>
  <c r="L484" i="4"/>
  <c r="J492" i="4"/>
  <c r="I492" i="4"/>
  <c r="D492" i="4"/>
  <c r="H492" i="4"/>
  <c r="C492" i="4"/>
  <c r="E492" i="4" s="1"/>
  <c r="L492" i="4"/>
  <c r="G492" i="4"/>
  <c r="B492" i="4"/>
  <c r="J500" i="4"/>
  <c r="I500" i="4"/>
  <c r="D500" i="4"/>
  <c r="H500" i="4"/>
  <c r="C500" i="4"/>
  <c r="E500" i="4" s="1"/>
  <c r="L500" i="4"/>
  <c r="G500" i="4"/>
  <c r="B500" i="4"/>
  <c r="J508" i="4"/>
  <c r="I508" i="4"/>
  <c r="D508" i="4"/>
  <c r="H508" i="4"/>
  <c r="C508" i="4"/>
  <c r="E508" i="4" s="1"/>
  <c r="L508" i="4"/>
  <c r="G508" i="4"/>
  <c r="B508" i="4"/>
  <c r="J516" i="4"/>
  <c r="I516" i="4"/>
  <c r="D516" i="4"/>
  <c r="H516" i="4"/>
  <c r="C516" i="4"/>
  <c r="E516" i="4" s="1"/>
  <c r="L516" i="4"/>
  <c r="G516" i="4"/>
  <c r="B516" i="4"/>
  <c r="J524" i="4"/>
  <c r="I524" i="4"/>
  <c r="D524" i="4"/>
  <c r="H524" i="4"/>
  <c r="C524" i="4"/>
  <c r="E524" i="4" s="1"/>
  <c r="L524" i="4"/>
  <c r="G524" i="4"/>
  <c r="B524" i="4"/>
  <c r="J532" i="4"/>
  <c r="I532" i="4"/>
  <c r="D532" i="4"/>
  <c r="H532" i="4"/>
  <c r="C532" i="4"/>
  <c r="E532" i="4" s="1"/>
  <c r="L532" i="4"/>
  <c r="G532" i="4"/>
  <c r="B532" i="4"/>
  <c r="J540" i="4"/>
  <c r="I540" i="4"/>
  <c r="D540" i="4"/>
  <c r="H540" i="4"/>
  <c r="C540" i="4"/>
  <c r="E540" i="4" s="1"/>
  <c r="L540" i="4"/>
  <c r="G540" i="4"/>
  <c r="B540" i="4"/>
  <c r="J548" i="4"/>
  <c r="I548" i="4"/>
  <c r="D548" i="4"/>
  <c r="H548" i="4"/>
  <c r="C548" i="4"/>
  <c r="E548" i="4" s="1"/>
  <c r="L548" i="4"/>
  <c r="G548" i="4"/>
  <c r="B548" i="4"/>
  <c r="H558" i="4"/>
  <c r="C558" i="4"/>
  <c r="E558" i="4" s="1"/>
  <c r="J558" i="4"/>
  <c r="L558" i="4"/>
  <c r="B558" i="4"/>
  <c r="I558" i="4"/>
  <c r="G558" i="4"/>
  <c r="D558" i="4"/>
  <c r="H566" i="4"/>
  <c r="C566" i="4"/>
  <c r="E566" i="4" s="1"/>
  <c r="L566" i="4"/>
  <c r="G566" i="4"/>
  <c r="B566" i="4"/>
  <c r="J566" i="4"/>
  <c r="I566" i="4"/>
  <c r="D566" i="4"/>
  <c r="H574" i="4"/>
  <c r="C574" i="4"/>
  <c r="E574" i="4" s="1"/>
  <c r="L574" i="4"/>
  <c r="G574" i="4"/>
  <c r="B574" i="4"/>
  <c r="J574" i="4"/>
  <c r="I574" i="4"/>
  <c r="D574" i="4"/>
  <c r="H582" i="4"/>
  <c r="C582" i="4"/>
  <c r="E582" i="4" s="1"/>
  <c r="L582" i="4"/>
  <c r="G582" i="4"/>
  <c r="B582" i="4"/>
  <c r="J582" i="4"/>
  <c r="I582" i="4"/>
  <c r="D582" i="4"/>
  <c r="H590" i="4"/>
  <c r="C590" i="4"/>
  <c r="E590" i="4" s="1"/>
  <c r="L590" i="4"/>
  <c r="G590" i="4"/>
  <c r="B590" i="4"/>
  <c r="J590" i="4"/>
  <c r="I590" i="4"/>
  <c r="D590" i="4"/>
  <c r="H598" i="4"/>
  <c r="C598" i="4"/>
  <c r="E598" i="4" s="1"/>
  <c r="L598" i="4"/>
  <c r="G598" i="4"/>
  <c r="B598" i="4"/>
  <c r="J598" i="4"/>
  <c r="I598" i="4"/>
  <c r="D598" i="4"/>
  <c r="H606" i="4"/>
  <c r="C606" i="4"/>
  <c r="E606" i="4" s="1"/>
  <c r="L606" i="4"/>
  <c r="G606" i="4"/>
  <c r="B606" i="4"/>
  <c r="J606" i="4"/>
  <c r="I606" i="4"/>
  <c r="D606" i="4"/>
  <c r="H614" i="4"/>
  <c r="C614" i="4"/>
  <c r="E614" i="4" s="1"/>
  <c r="L614" i="4"/>
  <c r="G614" i="4"/>
  <c r="B614" i="4"/>
  <c r="J614" i="4"/>
  <c r="I614" i="4"/>
  <c r="D614" i="4"/>
  <c r="H622" i="4"/>
  <c r="C622" i="4"/>
  <c r="E622" i="4" s="1"/>
  <c r="L622" i="4"/>
  <c r="G622" i="4"/>
  <c r="B622" i="4"/>
  <c r="J622" i="4"/>
  <c r="I622" i="4"/>
  <c r="D622" i="4"/>
  <c r="I639" i="4"/>
  <c r="D639" i="4"/>
  <c r="H639" i="4"/>
  <c r="C639" i="4"/>
  <c r="E639" i="4" s="1"/>
  <c r="G639" i="4"/>
  <c r="L639" i="4"/>
  <c r="B639" i="4"/>
  <c r="J639" i="4"/>
  <c r="J559" i="4"/>
  <c r="H559" i="4"/>
  <c r="C559" i="4"/>
  <c r="E559" i="4" s="1"/>
  <c r="I559" i="4"/>
  <c r="G559" i="4"/>
  <c r="D559" i="4"/>
  <c r="L559" i="4"/>
  <c r="B559" i="4"/>
  <c r="J567" i="4"/>
  <c r="I567" i="4"/>
  <c r="D567" i="4"/>
  <c r="H567" i="4"/>
  <c r="C567" i="4"/>
  <c r="E567" i="4" s="1"/>
  <c r="L567" i="4"/>
  <c r="G567" i="4"/>
  <c r="B567" i="4"/>
  <c r="J575" i="4"/>
  <c r="I575" i="4"/>
  <c r="D575" i="4"/>
  <c r="H575" i="4"/>
  <c r="C575" i="4"/>
  <c r="E575" i="4" s="1"/>
  <c r="L575" i="4"/>
  <c r="G575" i="4"/>
  <c r="B575" i="4"/>
  <c r="J583" i="4"/>
  <c r="I583" i="4"/>
  <c r="D583" i="4"/>
  <c r="H583" i="4"/>
  <c r="C583" i="4"/>
  <c r="E583" i="4" s="1"/>
  <c r="L583" i="4"/>
  <c r="G583" i="4"/>
  <c r="B583" i="4"/>
  <c r="J591" i="4"/>
  <c r="I591" i="4"/>
  <c r="D591" i="4"/>
  <c r="H591" i="4"/>
  <c r="C591" i="4"/>
  <c r="E591" i="4" s="1"/>
  <c r="L591" i="4"/>
  <c r="G591" i="4"/>
  <c r="B591" i="4"/>
  <c r="J599" i="4"/>
  <c r="I599" i="4"/>
  <c r="D599" i="4"/>
  <c r="H599" i="4"/>
  <c r="C599" i="4"/>
  <c r="E599" i="4" s="1"/>
  <c r="L599" i="4"/>
  <c r="G599" i="4"/>
  <c r="B599" i="4"/>
  <c r="J607" i="4"/>
  <c r="I607" i="4"/>
  <c r="D607" i="4"/>
  <c r="H607" i="4"/>
  <c r="C607" i="4"/>
  <c r="E607" i="4" s="1"/>
  <c r="L607" i="4"/>
  <c r="G607" i="4"/>
  <c r="B607" i="4"/>
  <c r="J615" i="4"/>
  <c r="I615" i="4"/>
  <c r="D615" i="4"/>
  <c r="H615" i="4"/>
  <c r="C615" i="4"/>
  <c r="E615" i="4" s="1"/>
  <c r="L615" i="4"/>
  <c r="G615" i="4"/>
  <c r="B615" i="4"/>
  <c r="J623" i="4"/>
  <c r="I623" i="4"/>
  <c r="D623" i="4"/>
  <c r="H623" i="4"/>
  <c r="C623" i="4"/>
  <c r="E623" i="4" s="1"/>
  <c r="L623" i="4"/>
  <c r="G623" i="4"/>
  <c r="B623" i="4"/>
  <c r="I643" i="4"/>
  <c r="D643" i="4"/>
  <c r="H643" i="4"/>
  <c r="C643" i="4"/>
  <c r="E643" i="4" s="1"/>
  <c r="L643" i="4"/>
  <c r="B643" i="4"/>
  <c r="G643" i="4"/>
  <c r="J643" i="4"/>
  <c r="I679" i="4"/>
  <c r="D679" i="4"/>
  <c r="L679" i="4"/>
  <c r="J679" i="4"/>
  <c r="C679" i="4"/>
  <c r="E679" i="4" s="1"/>
  <c r="H679" i="4"/>
  <c r="G679" i="4"/>
  <c r="B679" i="4"/>
  <c r="I733" i="4"/>
  <c r="D733" i="4"/>
  <c r="L733" i="4"/>
  <c r="J733" i="4"/>
  <c r="C733" i="4"/>
  <c r="E733" i="4" s="1"/>
  <c r="H733" i="4"/>
  <c r="G733" i="4"/>
  <c r="B733" i="4"/>
  <c r="I633" i="4"/>
  <c r="D633" i="4"/>
  <c r="J633" i="4"/>
  <c r="C633" i="4"/>
  <c r="E633" i="4" s="1"/>
  <c r="G633" i="4"/>
  <c r="B633" i="4"/>
  <c r="L633" i="4"/>
  <c r="H633" i="4"/>
  <c r="I653" i="4"/>
  <c r="D653" i="4"/>
  <c r="H653" i="4"/>
  <c r="C653" i="4"/>
  <c r="E653" i="4" s="1"/>
  <c r="L653" i="4"/>
  <c r="B653" i="4"/>
  <c r="J653" i="4"/>
  <c r="G653" i="4"/>
  <c r="I685" i="4"/>
  <c r="D685" i="4"/>
  <c r="L685" i="4"/>
  <c r="J685" i="4"/>
  <c r="C685" i="4"/>
  <c r="E685" i="4" s="1"/>
  <c r="G685" i="4"/>
  <c r="B685" i="4"/>
  <c r="H685" i="4"/>
  <c r="I741" i="4"/>
  <c r="D741" i="4"/>
  <c r="L741" i="4"/>
  <c r="J741" i="4"/>
  <c r="C741" i="4"/>
  <c r="E741" i="4" s="1"/>
  <c r="H741" i="4"/>
  <c r="G741" i="4"/>
  <c r="B741" i="4"/>
  <c r="I667" i="4"/>
  <c r="D667" i="4"/>
  <c r="H667" i="4"/>
  <c r="C667" i="4"/>
  <c r="E667" i="4" s="1"/>
  <c r="L667" i="4"/>
  <c r="B667" i="4"/>
  <c r="J667" i="4"/>
  <c r="G667" i="4"/>
  <c r="I699" i="4"/>
  <c r="D699" i="4"/>
  <c r="L699" i="4"/>
  <c r="J699" i="4"/>
  <c r="C699" i="4"/>
  <c r="E699" i="4" s="1"/>
  <c r="B699" i="4"/>
  <c r="H699" i="4"/>
  <c r="G699" i="4"/>
  <c r="L884" i="4"/>
  <c r="G884" i="4"/>
  <c r="B884" i="4"/>
  <c r="J884" i="4"/>
  <c r="D884" i="4"/>
  <c r="C884" i="4"/>
  <c r="E884" i="4" s="1"/>
  <c r="I884" i="4"/>
  <c r="H884" i="4"/>
  <c r="I641" i="4"/>
  <c r="D641" i="4"/>
  <c r="H641" i="4"/>
  <c r="C641" i="4"/>
  <c r="E641" i="4" s="1"/>
  <c r="J641" i="4"/>
  <c r="L641" i="4"/>
  <c r="G641" i="4"/>
  <c r="B641" i="4"/>
  <c r="I673" i="4"/>
  <c r="D673" i="4"/>
  <c r="L673" i="4"/>
  <c r="J673" i="4"/>
  <c r="C673" i="4"/>
  <c r="E673" i="4" s="1"/>
  <c r="H673" i="4"/>
  <c r="G673" i="4"/>
  <c r="B673" i="4"/>
  <c r="I705" i="4"/>
  <c r="D705" i="4"/>
  <c r="L705" i="4"/>
  <c r="J705" i="4"/>
  <c r="C705" i="4"/>
  <c r="E705" i="4" s="1"/>
  <c r="H705" i="4"/>
  <c r="G705" i="4"/>
  <c r="B705" i="4"/>
  <c r="I723" i="4"/>
  <c r="D723" i="4"/>
  <c r="L723" i="4"/>
  <c r="J723" i="4"/>
  <c r="C723" i="4"/>
  <c r="E723" i="4" s="1"/>
  <c r="G723" i="4"/>
  <c r="B723" i="4"/>
  <c r="H723" i="4"/>
  <c r="I755" i="4"/>
  <c r="D755" i="4"/>
  <c r="L755" i="4"/>
  <c r="J755" i="4"/>
  <c r="C755" i="4"/>
  <c r="E755" i="4" s="1"/>
  <c r="G755" i="4"/>
  <c r="B755" i="4"/>
  <c r="H755" i="4"/>
  <c r="H780" i="4"/>
  <c r="C780" i="4"/>
  <c r="E780" i="4" s="1"/>
  <c r="J780" i="4"/>
  <c r="D780" i="4"/>
  <c r="L780" i="4"/>
  <c r="B780" i="4"/>
  <c r="I780" i="4"/>
  <c r="G780" i="4"/>
  <c r="I737" i="4"/>
  <c r="D737" i="4"/>
  <c r="L737" i="4"/>
  <c r="J737" i="4"/>
  <c r="C737" i="4"/>
  <c r="E737" i="4" s="1"/>
  <c r="B737" i="4"/>
  <c r="H737" i="4"/>
  <c r="G737" i="4"/>
  <c r="I769" i="4"/>
  <c r="D769" i="4"/>
  <c r="L769" i="4"/>
  <c r="J769" i="4"/>
  <c r="C769" i="4"/>
  <c r="E769" i="4" s="1"/>
  <c r="B769" i="4"/>
  <c r="H769" i="4"/>
  <c r="G769" i="4"/>
  <c r="I719" i="4"/>
  <c r="D719" i="4"/>
  <c r="L719" i="4"/>
  <c r="J719" i="4"/>
  <c r="C719" i="4"/>
  <c r="E719" i="4" s="1"/>
  <c r="H719" i="4"/>
  <c r="G719" i="4"/>
  <c r="B719" i="4"/>
  <c r="I751" i="4"/>
  <c r="D751" i="4"/>
  <c r="L751" i="4"/>
  <c r="J751" i="4"/>
  <c r="C751" i="4"/>
  <c r="E751" i="4" s="1"/>
  <c r="H751" i="4"/>
  <c r="G751" i="4"/>
  <c r="B751" i="4"/>
  <c r="H856" i="4"/>
  <c r="C856" i="4"/>
  <c r="E856" i="4" s="1"/>
  <c r="L856" i="4"/>
  <c r="J856" i="4"/>
  <c r="D856" i="4"/>
  <c r="G856" i="4"/>
  <c r="I856" i="4"/>
  <c r="B856" i="4"/>
  <c r="L636" i="4"/>
  <c r="G636" i="4"/>
  <c r="B636" i="4"/>
  <c r="J636" i="4"/>
  <c r="I636" i="4"/>
  <c r="D636" i="4"/>
  <c r="C636" i="4"/>
  <c r="E636" i="4" s="1"/>
  <c r="H636" i="4"/>
  <c r="L644" i="4"/>
  <c r="G644" i="4"/>
  <c r="B644" i="4"/>
  <c r="J644" i="4"/>
  <c r="I644" i="4"/>
  <c r="D644" i="4"/>
  <c r="H644" i="4"/>
  <c r="C644" i="4"/>
  <c r="E644" i="4" s="1"/>
  <c r="L652" i="4"/>
  <c r="G652" i="4"/>
  <c r="B652" i="4"/>
  <c r="J652" i="4"/>
  <c r="I652" i="4"/>
  <c r="H652" i="4"/>
  <c r="D652" i="4"/>
  <c r="C652" i="4"/>
  <c r="E652" i="4" s="1"/>
  <c r="L660" i="4"/>
  <c r="G660" i="4"/>
  <c r="B660" i="4"/>
  <c r="J660" i="4"/>
  <c r="I660" i="4"/>
  <c r="H660" i="4"/>
  <c r="D660" i="4"/>
  <c r="C660" i="4"/>
  <c r="E660" i="4" s="1"/>
  <c r="L668" i="4"/>
  <c r="G668" i="4"/>
  <c r="B668" i="4"/>
  <c r="J668" i="4"/>
  <c r="I668" i="4"/>
  <c r="H668" i="4"/>
  <c r="D668" i="4"/>
  <c r="C668" i="4"/>
  <c r="E668" i="4" s="1"/>
  <c r="L676" i="4"/>
  <c r="G676" i="4"/>
  <c r="B676" i="4"/>
  <c r="I676" i="4"/>
  <c r="C676" i="4"/>
  <c r="E676" i="4" s="1"/>
  <c r="H676" i="4"/>
  <c r="D676" i="4"/>
  <c r="J676" i="4"/>
  <c r="L684" i="4"/>
  <c r="G684" i="4"/>
  <c r="B684" i="4"/>
  <c r="I684" i="4"/>
  <c r="C684" i="4"/>
  <c r="E684" i="4" s="1"/>
  <c r="H684" i="4"/>
  <c r="D684" i="4"/>
  <c r="J684" i="4"/>
  <c r="L692" i="4"/>
  <c r="G692" i="4"/>
  <c r="B692" i="4"/>
  <c r="I692" i="4"/>
  <c r="C692" i="4"/>
  <c r="E692" i="4" s="1"/>
  <c r="H692" i="4"/>
  <c r="D692" i="4"/>
  <c r="J692" i="4"/>
  <c r="L700" i="4"/>
  <c r="G700" i="4"/>
  <c r="B700" i="4"/>
  <c r="I700" i="4"/>
  <c r="C700" i="4"/>
  <c r="E700" i="4" s="1"/>
  <c r="H700" i="4"/>
  <c r="D700" i="4"/>
  <c r="J700" i="4"/>
  <c r="L708" i="4"/>
  <c r="G708" i="4"/>
  <c r="B708" i="4"/>
  <c r="I708" i="4"/>
  <c r="C708" i="4"/>
  <c r="E708" i="4" s="1"/>
  <c r="H708" i="4"/>
  <c r="D708" i="4"/>
  <c r="J708" i="4"/>
  <c r="L716" i="4"/>
  <c r="G716" i="4"/>
  <c r="B716" i="4"/>
  <c r="I716" i="4"/>
  <c r="C716" i="4"/>
  <c r="E716" i="4" s="1"/>
  <c r="H716" i="4"/>
  <c r="J716" i="4"/>
  <c r="D716" i="4"/>
  <c r="L724" i="4"/>
  <c r="G724" i="4"/>
  <c r="B724" i="4"/>
  <c r="I724" i="4"/>
  <c r="C724" i="4"/>
  <c r="E724" i="4" s="1"/>
  <c r="H724" i="4"/>
  <c r="J724" i="4"/>
  <c r="D724" i="4"/>
  <c r="L732" i="4"/>
  <c r="G732" i="4"/>
  <c r="B732" i="4"/>
  <c r="I732" i="4"/>
  <c r="C732" i="4"/>
  <c r="E732" i="4" s="1"/>
  <c r="H732" i="4"/>
  <c r="J732" i="4"/>
  <c r="D732" i="4"/>
  <c r="L740" i="4"/>
  <c r="G740" i="4"/>
  <c r="B740" i="4"/>
  <c r="I740" i="4"/>
  <c r="C740" i="4"/>
  <c r="E740" i="4" s="1"/>
  <c r="H740" i="4"/>
  <c r="J740" i="4"/>
  <c r="D740" i="4"/>
  <c r="L748" i="4"/>
  <c r="G748" i="4"/>
  <c r="B748" i="4"/>
  <c r="I748" i="4"/>
  <c r="C748" i="4"/>
  <c r="E748" i="4" s="1"/>
  <c r="H748" i="4"/>
  <c r="J748" i="4"/>
  <c r="D748" i="4"/>
  <c r="L756" i="4"/>
  <c r="G756" i="4"/>
  <c r="B756" i="4"/>
  <c r="I756" i="4"/>
  <c r="C756" i="4"/>
  <c r="E756" i="4" s="1"/>
  <c r="H756" i="4"/>
  <c r="J756" i="4"/>
  <c r="D756" i="4"/>
  <c r="L764" i="4"/>
  <c r="G764" i="4"/>
  <c r="B764" i="4"/>
  <c r="I764" i="4"/>
  <c r="C764" i="4"/>
  <c r="E764" i="4" s="1"/>
  <c r="H764" i="4"/>
  <c r="J764" i="4"/>
  <c r="D764" i="4"/>
  <c r="L772" i="4"/>
  <c r="G772" i="4"/>
  <c r="B772" i="4"/>
  <c r="I772" i="4"/>
  <c r="C772" i="4"/>
  <c r="E772" i="4" s="1"/>
  <c r="H772" i="4"/>
  <c r="J772" i="4"/>
  <c r="D772" i="4"/>
  <c r="H798" i="4"/>
  <c r="C798" i="4"/>
  <c r="E798" i="4" s="1"/>
  <c r="J798" i="4"/>
  <c r="D798" i="4"/>
  <c r="L798" i="4"/>
  <c r="B798" i="4"/>
  <c r="I798" i="4"/>
  <c r="G798" i="4"/>
  <c r="H816" i="4"/>
  <c r="C816" i="4"/>
  <c r="E816" i="4" s="1"/>
  <c r="L816" i="4"/>
  <c r="D816" i="4"/>
  <c r="B816" i="4"/>
  <c r="J816" i="4"/>
  <c r="I816" i="4"/>
  <c r="G816" i="4"/>
  <c r="L898" i="4"/>
  <c r="G898" i="4"/>
  <c r="B898" i="4"/>
  <c r="J898" i="4"/>
  <c r="D898" i="4"/>
  <c r="H898" i="4"/>
  <c r="I898" i="4"/>
  <c r="C898" i="4"/>
  <c r="E898" i="4" s="1"/>
  <c r="H820" i="4"/>
  <c r="C820" i="4"/>
  <c r="E820" i="4" s="1"/>
  <c r="I820" i="4"/>
  <c r="B820" i="4"/>
  <c r="L820" i="4"/>
  <c r="D820" i="4"/>
  <c r="J820" i="4"/>
  <c r="G820" i="4"/>
  <c r="L900" i="4"/>
  <c r="G900" i="4"/>
  <c r="B900" i="4"/>
  <c r="J900" i="4"/>
  <c r="D900" i="4"/>
  <c r="C900" i="4"/>
  <c r="E900" i="4" s="1"/>
  <c r="I900" i="4"/>
  <c r="H900" i="4"/>
  <c r="L890" i="4"/>
  <c r="G890" i="4"/>
  <c r="B890" i="4"/>
  <c r="J890" i="4"/>
  <c r="D890" i="4"/>
  <c r="H890" i="4"/>
  <c r="C890" i="4"/>
  <c r="E890" i="4" s="1"/>
  <c r="I890" i="4"/>
  <c r="L918" i="4"/>
  <c r="G918" i="4"/>
  <c r="B918" i="4"/>
  <c r="D918" i="4"/>
  <c r="I918" i="4"/>
  <c r="H918" i="4"/>
  <c r="C918" i="4"/>
  <c r="E918" i="4" s="1"/>
  <c r="J918" i="4"/>
  <c r="H784" i="4"/>
  <c r="C784" i="4"/>
  <c r="E784" i="4" s="1"/>
  <c r="G784" i="4"/>
  <c r="J784" i="4"/>
  <c r="B784" i="4"/>
  <c r="I784" i="4"/>
  <c r="L784" i="4"/>
  <c r="D784" i="4"/>
  <c r="H832" i="4"/>
  <c r="C832" i="4"/>
  <c r="E832" i="4" s="1"/>
  <c r="L832" i="4"/>
  <c r="J832" i="4"/>
  <c r="D832" i="4"/>
  <c r="I832" i="4"/>
  <c r="G832" i="4"/>
  <c r="B832" i="4"/>
  <c r="I917" i="4"/>
  <c r="D917" i="4"/>
  <c r="H917" i="4"/>
  <c r="B917" i="4"/>
  <c r="L917" i="4"/>
  <c r="C917" i="4"/>
  <c r="E917" i="4" s="1"/>
  <c r="J917" i="4"/>
  <c r="G917" i="4"/>
  <c r="I942" i="4"/>
  <c r="D942" i="4"/>
  <c r="H942" i="4"/>
  <c r="B942" i="4"/>
  <c r="L942" i="4"/>
  <c r="C942" i="4"/>
  <c r="E942" i="4" s="1"/>
  <c r="G942" i="4"/>
  <c r="J942" i="4"/>
  <c r="H844" i="4"/>
  <c r="C844" i="4"/>
  <c r="E844" i="4" s="1"/>
  <c r="I844" i="4"/>
  <c r="B844" i="4"/>
  <c r="G844" i="4"/>
  <c r="L844" i="4"/>
  <c r="J844" i="4"/>
  <c r="D844" i="4"/>
  <c r="H876" i="4"/>
  <c r="C876" i="4"/>
  <c r="E876" i="4" s="1"/>
  <c r="I876" i="4"/>
  <c r="B876" i="4"/>
  <c r="G876" i="4"/>
  <c r="D876" i="4"/>
  <c r="L876" i="4"/>
  <c r="J876" i="4"/>
  <c r="L910" i="4"/>
  <c r="G910" i="4"/>
  <c r="B910" i="4"/>
  <c r="J910" i="4"/>
  <c r="D910" i="4"/>
  <c r="C910" i="4"/>
  <c r="E910" i="4" s="1"/>
  <c r="I910" i="4"/>
  <c r="H910" i="4"/>
  <c r="L922" i="4"/>
  <c r="G922" i="4"/>
  <c r="B922" i="4"/>
  <c r="D922" i="4"/>
  <c r="C922" i="4"/>
  <c r="E922" i="4" s="1"/>
  <c r="J922" i="4"/>
  <c r="I922" i="4"/>
  <c r="H922" i="4"/>
  <c r="L943" i="4"/>
  <c r="G943" i="4"/>
  <c r="B943" i="4"/>
  <c r="H943" i="4"/>
  <c r="D943" i="4"/>
  <c r="J943" i="4"/>
  <c r="C943" i="4"/>
  <c r="E943" i="4" s="1"/>
  <c r="I943" i="4"/>
  <c r="H802" i="4"/>
  <c r="C802" i="4"/>
  <c r="E802" i="4" s="1"/>
  <c r="G802" i="4"/>
  <c r="I802" i="4"/>
  <c r="D802" i="4"/>
  <c r="L802" i="4"/>
  <c r="B802" i="4"/>
  <c r="J802" i="4"/>
  <c r="H834" i="4"/>
  <c r="C834" i="4"/>
  <c r="E834" i="4" s="1"/>
  <c r="G834" i="4"/>
  <c r="L834" i="4"/>
  <c r="D834" i="4"/>
  <c r="J834" i="4"/>
  <c r="B834" i="4"/>
  <c r="I834" i="4"/>
  <c r="H866" i="4"/>
  <c r="C866" i="4"/>
  <c r="E866" i="4" s="1"/>
  <c r="G866" i="4"/>
  <c r="L866" i="4"/>
  <c r="D866" i="4"/>
  <c r="J866" i="4"/>
  <c r="B866" i="4"/>
  <c r="I866" i="4"/>
  <c r="L904" i="4"/>
  <c r="G904" i="4"/>
  <c r="B904" i="4"/>
  <c r="J904" i="4"/>
  <c r="D904" i="4"/>
  <c r="I904" i="4"/>
  <c r="H904" i="4"/>
  <c r="C904" i="4"/>
  <c r="E904" i="4" s="1"/>
  <c r="I950" i="4"/>
  <c r="D950" i="4"/>
  <c r="H950" i="4"/>
  <c r="B950" i="4"/>
  <c r="L950" i="4"/>
  <c r="C950" i="4"/>
  <c r="E950" i="4" s="1"/>
  <c r="G950" i="4"/>
  <c r="J950" i="4"/>
  <c r="J781" i="4"/>
  <c r="H781" i="4"/>
  <c r="B781" i="4"/>
  <c r="I781" i="4"/>
  <c r="G781" i="4"/>
  <c r="C781" i="4"/>
  <c r="E781" i="4" s="1"/>
  <c r="L781" i="4"/>
  <c r="D781" i="4"/>
  <c r="J789" i="4"/>
  <c r="H789" i="4"/>
  <c r="B789" i="4"/>
  <c r="L789" i="4"/>
  <c r="C789" i="4"/>
  <c r="E789" i="4" s="1"/>
  <c r="I789" i="4"/>
  <c r="G789" i="4"/>
  <c r="D789" i="4"/>
  <c r="J797" i="4"/>
  <c r="H797" i="4"/>
  <c r="B797" i="4"/>
  <c r="D797" i="4"/>
  <c r="L797" i="4"/>
  <c r="C797" i="4"/>
  <c r="E797" i="4" s="1"/>
  <c r="I797" i="4"/>
  <c r="G797" i="4"/>
  <c r="J805" i="4"/>
  <c r="G805" i="4"/>
  <c r="I805" i="4"/>
  <c r="B805" i="4"/>
  <c r="C805" i="4"/>
  <c r="E805" i="4" s="1"/>
  <c r="L805" i="4"/>
  <c r="D805" i="4"/>
  <c r="H805" i="4"/>
  <c r="J813" i="4"/>
  <c r="G813" i="4"/>
  <c r="L813" i="4"/>
  <c r="C813" i="4"/>
  <c r="E813" i="4" s="1"/>
  <c r="D813" i="4"/>
  <c r="B813" i="4"/>
  <c r="H813" i="4"/>
  <c r="I813" i="4"/>
  <c r="J821" i="4"/>
  <c r="G821" i="4"/>
  <c r="L821" i="4"/>
  <c r="D821" i="4"/>
  <c r="B821" i="4"/>
  <c r="H821" i="4"/>
  <c r="C821" i="4"/>
  <c r="E821" i="4" s="1"/>
  <c r="I821" i="4"/>
  <c r="J829" i="4"/>
  <c r="G829" i="4"/>
  <c r="L829" i="4"/>
  <c r="D829" i="4"/>
  <c r="H829" i="4"/>
  <c r="C829" i="4"/>
  <c r="E829" i="4" s="1"/>
  <c r="B829" i="4"/>
  <c r="I829" i="4"/>
  <c r="J837" i="4"/>
  <c r="G837" i="4"/>
  <c r="L837" i="4"/>
  <c r="D837" i="4"/>
  <c r="B837" i="4"/>
  <c r="I837" i="4"/>
  <c r="H837" i="4"/>
  <c r="C837" i="4"/>
  <c r="E837" i="4" s="1"/>
  <c r="J845" i="4"/>
  <c r="G845" i="4"/>
  <c r="L845" i="4"/>
  <c r="D845" i="4"/>
  <c r="H845" i="4"/>
  <c r="I845" i="4"/>
  <c r="C845" i="4"/>
  <c r="E845" i="4" s="1"/>
  <c r="B845" i="4"/>
  <c r="J853" i="4"/>
  <c r="G853" i="4"/>
  <c r="L853" i="4"/>
  <c r="D853" i="4"/>
  <c r="B853" i="4"/>
  <c r="I853" i="4"/>
  <c r="H853" i="4"/>
  <c r="C853" i="4"/>
  <c r="E853" i="4" s="1"/>
  <c r="J861" i="4"/>
  <c r="G861" i="4"/>
  <c r="L861" i="4"/>
  <c r="D861" i="4"/>
  <c r="H861" i="4"/>
  <c r="B861" i="4"/>
  <c r="I861" i="4"/>
  <c r="C861" i="4"/>
  <c r="E861" i="4" s="1"/>
  <c r="J869" i="4"/>
  <c r="G869" i="4"/>
  <c r="L869" i="4"/>
  <c r="D869" i="4"/>
  <c r="B869" i="4"/>
  <c r="I869" i="4"/>
  <c r="H869" i="4"/>
  <c r="C869" i="4"/>
  <c r="E869" i="4" s="1"/>
  <c r="J877" i="4"/>
  <c r="G877" i="4"/>
  <c r="L877" i="4"/>
  <c r="D877" i="4"/>
  <c r="H877" i="4"/>
  <c r="C877" i="4"/>
  <c r="E877" i="4" s="1"/>
  <c r="B877" i="4"/>
  <c r="I877" i="4"/>
  <c r="I885" i="4"/>
  <c r="D885" i="4"/>
  <c r="G885" i="4"/>
  <c r="H885" i="4"/>
  <c r="C885" i="4"/>
  <c r="E885" i="4" s="1"/>
  <c r="B885" i="4"/>
  <c r="L885" i="4"/>
  <c r="J885" i="4"/>
  <c r="I893" i="4"/>
  <c r="D893" i="4"/>
  <c r="G893" i="4"/>
  <c r="H893" i="4"/>
  <c r="L893" i="4"/>
  <c r="J893" i="4"/>
  <c r="C893" i="4"/>
  <c r="E893" i="4" s="1"/>
  <c r="B893" i="4"/>
  <c r="I901" i="4"/>
  <c r="D901" i="4"/>
  <c r="G901" i="4"/>
  <c r="H901" i="4"/>
  <c r="C901" i="4"/>
  <c r="E901" i="4" s="1"/>
  <c r="B901" i="4"/>
  <c r="L901" i="4"/>
  <c r="J901" i="4"/>
  <c r="I909" i="4"/>
  <c r="D909" i="4"/>
  <c r="G909" i="4"/>
  <c r="H909" i="4"/>
  <c r="L909" i="4"/>
  <c r="J909" i="4"/>
  <c r="C909" i="4"/>
  <c r="E909" i="4" s="1"/>
  <c r="B909" i="4"/>
  <c r="L920" i="4"/>
  <c r="G920" i="4"/>
  <c r="B920" i="4"/>
  <c r="I920" i="4"/>
  <c r="D920" i="4"/>
  <c r="C920" i="4"/>
  <c r="E920" i="4" s="1"/>
  <c r="J920" i="4"/>
  <c r="H920" i="4"/>
  <c r="I939" i="4"/>
  <c r="D939" i="4"/>
  <c r="J939" i="4"/>
  <c r="C939" i="4"/>
  <c r="E939" i="4" s="1"/>
  <c r="H939" i="4"/>
  <c r="B939" i="4"/>
  <c r="L939" i="4"/>
  <c r="G939" i="4"/>
  <c r="L941" i="4"/>
  <c r="G941" i="4"/>
  <c r="B941" i="4"/>
  <c r="J941" i="4"/>
  <c r="C941" i="4"/>
  <c r="E941" i="4" s="1"/>
  <c r="I941" i="4"/>
  <c r="H941" i="4"/>
  <c r="D941" i="4"/>
  <c r="L963" i="4"/>
  <c r="G963" i="4"/>
  <c r="B963" i="4"/>
  <c r="I963" i="4"/>
  <c r="C963" i="4"/>
  <c r="E963" i="4" s="1"/>
  <c r="H963" i="4"/>
  <c r="D963" i="4"/>
  <c r="J963" i="4"/>
  <c r="H1002" i="4"/>
  <c r="C1002" i="4"/>
  <c r="E1002" i="4" s="1"/>
  <c r="L1002" i="4"/>
  <c r="J1002" i="4"/>
  <c r="D1002" i="4"/>
  <c r="G1002" i="4"/>
  <c r="B1002" i="4"/>
  <c r="I1002" i="4"/>
  <c r="L936" i="4"/>
  <c r="G936" i="4"/>
  <c r="B936" i="4"/>
  <c r="H936" i="4"/>
  <c r="I936" i="4"/>
  <c r="J936" i="4"/>
  <c r="D936" i="4"/>
  <c r="C936" i="4"/>
  <c r="E936" i="4" s="1"/>
  <c r="I948" i="4"/>
  <c r="D948" i="4"/>
  <c r="H948" i="4"/>
  <c r="B948" i="4"/>
  <c r="J948" i="4"/>
  <c r="G948" i="4"/>
  <c r="C948" i="4"/>
  <c r="E948" i="4" s="1"/>
  <c r="L948" i="4"/>
  <c r="I952" i="4"/>
  <c r="D952" i="4"/>
  <c r="L952" i="4"/>
  <c r="H952" i="4"/>
  <c r="G952" i="4"/>
  <c r="C952" i="4"/>
  <c r="E952" i="4" s="1"/>
  <c r="J952" i="4"/>
  <c r="B952" i="4"/>
  <c r="I966" i="4"/>
  <c r="D966" i="4"/>
  <c r="L966" i="4"/>
  <c r="J966" i="4"/>
  <c r="C966" i="4"/>
  <c r="E966" i="4" s="1"/>
  <c r="H966" i="4"/>
  <c r="G966" i="4"/>
  <c r="B966" i="4"/>
  <c r="L965" i="4"/>
  <c r="G965" i="4"/>
  <c r="B965" i="4"/>
  <c r="I965" i="4"/>
  <c r="C965" i="4"/>
  <c r="E965" i="4" s="1"/>
  <c r="H965" i="4"/>
  <c r="D965" i="4"/>
  <c r="J965" i="4"/>
  <c r="L973" i="4"/>
  <c r="G973" i="4"/>
  <c r="B973" i="4"/>
  <c r="I973" i="4"/>
  <c r="C973" i="4"/>
  <c r="E973" i="4" s="1"/>
  <c r="H973" i="4"/>
  <c r="J973" i="4"/>
  <c r="D973" i="4"/>
  <c r="H986" i="4"/>
  <c r="C986" i="4"/>
  <c r="E986" i="4" s="1"/>
  <c r="L986" i="4"/>
  <c r="J986" i="4"/>
  <c r="B986" i="4"/>
  <c r="I986" i="4"/>
  <c r="G986" i="4"/>
  <c r="D986" i="4"/>
  <c r="H1000" i="4"/>
  <c r="C1000" i="4"/>
  <c r="E1000" i="4" s="1"/>
  <c r="J1000" i="4"/>
  <c r="D1000" i="4"/>
  <c r="I1000" i="4"/>
  <c r="G1000" i="4"/>
  <c r="B1000" i="4"/>
  <c r="L1000" i="4"/>
  <c r="H988" i="4"/>
  <c r="C988" i="4"/>
  <c r="E988" i="4" s="1"/>
  <c r="G988" i="4"/>
  <c r="J988" i="4"/>
  <c r="B988" i="4"/>
  <c r="D988" i="4"/>
  <c r="L988" i="4"/>
  <c r="I988" i="4"/>
  <c r="J989" i="4"/>
  <c r="L989" i="4"/>
  <c r="D989" i="4"/>
  <c r="G989" i="4"/>
  <c r="C989" i="4"/>
  <c r="E989" i="4" s="1"/>
  <c r="B989" i="4"/>
  <c r="I989" i="4"/>
  <c r="H989" i="4"/>
  <c r="J997" i="4"/>
  <c r="L997" i="4"/>
  <c r="D997" i="4"/>
  <c r="H997" i="4"/>
  <c r="G997" i="4"/>
  <c r="C997" i="4"/>
  <c r="E997" i="4" s="1"/>
  <c r="B997" i="4"/>
  <c r="I997" i="4"/>
  <c r="I27" i="4"/>
  <c r="D27" i="4"/>
  <c r="H27" i="4"/>
  <c r="C27" i="4"/>
  <c r="E27" i="4" s="1"/>
  <c r="L27" i="4"/>
  <c r="G27" i="4"/>
  <c r="B27" i="4"/>
  <c r="J27" i="4"/>
  <c r="I150" i="4"/>
  <c r="D150" i="4"/>
  <c r="H150" i="4"/>
  <c r="C150" i="4"/>
  <c r="E150" i="4" s="1"/>
  <c r="G150" i="4"/>
  <c r="L150" i="4"/>
  <c r="B150" i="4"/>
  <c r="J150" i="4"/>
  <c r="I214" i="4"/>
  <c r="D214" i="4"/>
  <c r="H214" i="4"/>
  <c r="C214" i="4"/>
  <c r="E214" i="4" s="1"/>
  <c r="G214" i="4"/>
  <c r="L214" i="4"/>
  <c r="B214" i="4"/>
  <c r="J214" i="4"/>
  <c r="P2" i="4"/>
  <c r="T7" i="4"/>
  <c r="U7" i="4" s="1"/>
  <c r="T5" i="4"/>
  <c r="U5" i="4" s="1"/>
  <c r="T3" i="4"/>
  <c r="U3" i="4" s="1"/>
  <c r="O2" i="4"/>
  <c r="R2" i="4"/>
  <c r="N2" i="4"/>
  <c r="T8" i="4"/>
  <c r="U8" i="4" s="1"/>
  <c r="T6" i="4"/>
  <c r="U6" i="4" s="1"/>
  <c r="T4" i="4"/>
  <c r="U4" i="4" s="1"/>
  <c r="Q2" i="4"/>
  <c r="M2" i="4"/>
  <c r="I6" i="4"/>
  <c r="D6" i="4"/>
  <c r="H6" i="4"/>
  <c r="C6" i="4"/>
  <c r="L6" i="4"/>
  <c r="G6" i="4"/>
  <c r="B6" i="4"/>
  <c r="I19" i="4"/>
  <c r="D19" i="4"/>
  <c r="H19" i="4"/>
  <c r="C19" i="4"/>
  <c r="E19" i="4" s="1"/>
  <c r="L19" i="4"/>
  <c r="G19" i="4"/>
  <c r="B19" i="4"/>
  <c r="J19" i="4"/>
  <c r="H100" i="4"/>
  <c r="C100" i="4"/>
  <c r="E100" i="4" s="1"/>
  <c r="L100" i="4"/>
  <c r="J100" i="4"/>
  <c r="D100" i="4"/>
  <c r="I100" i="4"/>
  <c r="B100" i="4"/>
  <c r="G100" i="4"/>
  <c r="I134" i="4"/>
  <c r="D134" i="4"/>
  <c r="H134" i="4"/>
  <c r="C134" i="4"/>
  <c r="E134" i="4" s="1"/>
  <c r="G134" i="4"/>
  <c r="L134" i="4"/>
  <c r="B134" i="4"/>
  <c r="J134" i="4"/>
  <c r="I166" i="4"/>
  <c r="D166" i="4"/>
  <c r="H166" i="4"/>
  <c r="C166" i="4"/>
  <c r="E166" i="4" s="1"/>
  <c r="G166" i="4"/>
  <c r="L166" i="4"/>
  <c r="B166" i="4"/>
  <c r="J166" i="4"/>
  <c r="I198" i="4"/>
  <c r="D198" i="4"/>
  <c r="H198" i="4"/>
  <c r="C198" i="4"/>
  <c r="E198" i="4" s="1"/>
  <c r="G198" i="4"/>
  <c r="L198" i="4"/>
  <c r="B198" i="4"/>
  <c r="J198" i="4"/>
  <c r="I232" i="4"/>
  <c r="D232" i="4"/>
  <c r="H232" i="4"/>
  <c r="C232" i="4"/>
  <c r="E232" i="4" s="1"/>
  <c r="L232" i="4"/>
  <c r="G232" i="4"/>
  <c r="B232" i="4"/>
  <c r="J232" i="4"/>
  <c r="H16" i="4"/>
  <c r="C16" i="4"/>
  <c r="E16" i="4" s="1"/>
  <c r="L16" i="4"/>
  <c r="G16" i="4"/>
  <c r="B16" i="4"/>
  <c r="J16" i="4"/>
  <c r="I16" i="4"/>
  <c r="D16" i="4"/>
  <c r="H32" i="4"/>
  <c r="C32" i="4"/>
  <c r="E32" i="4" s="1"/>
  <c r="L32" i="4"/>
  <c r="G32" i="4"/>
  <c r="B32" i="4"/>
  <c r="J32" i="4"/>
  <c r="I32" i="4"/>
  <c r="D32" i="4"/>
  <c r="H40" i="4"/>
  <c r="C40" i="4"/>
  <c r="E40" i="4" s="1"/>
  <c r="L40" i="4"/>
  <c r="G40" i="4"/>
  <c r="B40" i="4"/>
  <c r="J40" i="4"/>
  <c r="I40" i="4"/>
  <c r="D40" i="4"/>
  <c r="H48" i="4"/>
  <c r="C48" i="4"/>
  <c r="E48" i="4" s="1"/>
  <c r="L48" i="4"/>
  <c r="G48" i="4"/>
  <c r="B48" i="4"/>
  <c r="J48" i="4"/>
  <c r="I48" i="4"/>
  <c r="D48" i="4"/>
  <c r="H56" i="4"/>
  <c r="C56" i="4"/>
  <c r="E56" i="4" s="1"/>
  <c r="L56" i="4"/>
  <c r="G56" i="4"/>
  <c r="B56" i="4"/>
  <c r="J56" i="4"/>
  <c r="I56" i="4"/>
  <c r="D56" i="4"/>
  <c r="H64" i="4"/>
  <c r="C64" i="4"/>
  <c r="E64" i="4" s="1"/>
  <c r="L64" i="4"/>
  <c r="G64" i="4"/>
  <c r="B64" i="4"/>
  <c r="J64" i="4"/>
  <c r="I64" i="4"/>
  <c r="D64" i="4"/>
  <c r="H72" i="4"/>
  <c r="C72" i="4"/>
  <c r="E72" i="4" s="1"/>
  <c r="L72" i="4"/>
  <c r="G72" i="4"/>
  <c r="B72" i="4"/>
  <c r="J72" i="4"/>
  <c r="I72" i="4"/>
  <c r="D72" i="4"/>
  <c r="H80" i="4"/>
  <c r="C80" i="4"/>
  <c r="E80" i="4" s="1"/>
  <c r="L80" i="4"/>
  <c r="G80" i="4"/>
  <c r="B80" i="4"/>
  <c r="J80" i="4"/>
  <c r="I80" i="4"/>
  <c r="D80" i="4"/>
  <c r="H88" i="4"/>
  <c r="C88" i="4"/>
  <c r="E88" i="4" s="1"/>
  <c r="L88" i="4"/>
  <c r="G88" i="4"/>
  <c r="B88" i="4"/>
  <c r="J88" i="4"/>
  <c r="I88" i="4"/>
  <c r="D88" i="4"/>
  <c r="H96" i="4"/>
  <c r="C96" i="4"/>
  <c r="E96" i="4" s="1"/>
  <c r="L96" i="4"/>
  <c r="G96" i="4"/>
  <c r="B96" i="4"/>
  <c r="J96" i="4"/>
  <c r="I96" i="4"/>
  <c r="D96" i="4"/>
  <c r="I124" i="4"/>
  <c r="D124" i="4"/>
  <c r="H124" i="4"/>
  <c r="C124" i="4"/>
  <c r="E124" i="4" s="1"/>
  <c r="L124" i="4"/>
  <c r="B124" i="4"/>
  <c r="J124" i="4"/>
  <c r="G124" i="4"/>
  <c r="I156" i="4"/>
  <c r="D156" i="4"/>
  <c r="H156" i="4"/>
  <c r="C156" i="4"/>
  <c r="E156" i="4" s="1"/>
  <c r="L156" i="4"/>
  <c r="B156" i="4"/>
  <c r="J156" i="4"/>
  <c r="G156" i="4"/>
  <c r="I188" i="4"/>
  <c r="D188" i="4"/>
  <c r="H188" i="4"/>
  <c r="C188" i="4"/>
  <c r="E188" i="4" s="1"/>
  <c r="L188" i="4"/>
  <c r="B188" i="4"/>
  <c r="J188" i="4"/>
  <c r="G188" i="4"/>
  <c r="I220" i="4"/>
  <c r="D220" i="4"/>
  <c r="H220" i="4"/>
  <c r="C220" i="4"/>
  <c r="E220" i="4" s="1"/>
  <c r="L220" i="4"/>
  <c r="B220" i="4"/>
  <c r="J220" i="4"/>
  <c r="G220" i="4"/>
  <c r="I246" i="4"/>
  <c r="D246" i="4"/>
  <c r="H246" i="4"/>
  <c r="C246" i="4"/>
  <c r="E246" i="4" s="1"/>
  <c r="L246" i="4"/>
  <c r="G246" i="4"/>
  <c r="B246" i="4"/>
  <c r="J246" i="4"/>
  <c r="L9" i="4"/>
  <c r="G9" i="4"/>
  <c r="B9" i="4"/>
  <c r="J9" i="4"/>
  <c r="I9" i="4"/>
  <c r="D9" i="4"/>
  <c r="H9" i="4"/>
  <c r="C9" i="4"/>
  <c r="E9" i="4" s="1"/>
  <c r="L25" i="4"/>
  <c r="G25" i="4"/>
  <c r="B25" i="4"/>
  <c r="J25" i="4"/>
  <c r="I25" i="4"/>
  <c r="D25" i="4"/>
  <c r="H25" i="4"/>
  <c r="C25" i="4"/>
  <c r="E25" i="4" s="1"/>
  <c r="I122" i="4"/>
  <c r="D122" i="4"/>
  <c r="H122" i="4"/>
  <c r="C122" i="4"/>
  <c r="E122" i="4" s="1"/>
  <c r="L122" i="4"/>
  <c r="B122" i="4"/>
  <c r="J122" i="4"/>
  <c r="G122" i="4"/>
  <c r="I154" i="4"/>
  <c r="D154" i="4"/>
  <c r="H154" i="4"/>
  <c r="C154" i="4"/>
  <c r="E154" i="4" s="1"/>
  <c r="L154" i="4"/>
  <c r="B154" i="4"/>
  <c r="J154" i="4"/>
  <c r="G154" i="4"/>
  <c r="I186" i="4"/>
  <c r="D186" i="4"/>
  <c r="H186" i="4"/>
  <c r="C186" i="4"/>
  <c r="E186" i="4" s="1"/>
  <c r="L186" i="4"/>
  <c r="B186" i="4"/>
  <c r="J186" i="4"/>
  <c r="G186" i="4"/>
  <c r="I218" i="4"/>
  <c r="D218" i="4"/>
  <c r="H218" i="4"/>
  <c r="C218" i="4"/>
  <c r="E218" i="4" s="1"/>
  <c r="L218" i="4"/>
  <c r="B218" i="4"/>
  <c r="J218" i="4"/>
  <c r="G218" i="4"/>
  <c r="I8" i="4"/>
  <c r="D8" i="4"/>
  <c r="H8" i="4"/>
  <c r="C8" i="4"/>
  <c r="E8" i="4" s="1"/>
  <c r="L8" i="4"/>
  <c r="G8" i="4"/>
  <c r="B8" i="4"/>
  <c r="J8" i="4"/>
  <c r="I23" i="4"/>
  <c r="D23" i="4"/>
  <c r="H23" i="4"/>
  <c r="C23" i="4"/>
  <c r="E23" i="4" s="1"/>
  <c r="L23" i="4"/>
  <c r="G23" i="4"/>
  <c r="B23" i="4"/>
  <c r="J23" i="4"/>
  <c r="H108" i="4"/>
  <c r="C108" i="4"/>
  <c r="E108" i="4" s="1"/>
  <c r="L108" i="4"/>
  <c r="J108" i="4"/>
  <c r="D108" i="4"/>
  <c r="I108" i="4"/>
  <c r="B108" i="4"/>
  <c r="G108" i="4"/>
  <c r="I142" i="4"/>
  <c r="D142" i="4"/>
  <c r="H142" i="4"/>
  <c r="C142" i="4"/>
  <c r="E142" i="4" s="1"/>
  <c r="G142" i="4"/>
  <c r="L142" i="4"/>
  <c r="B142" i="4"/>
  <c r="J142" i="4"/>
  <c r="I174" i="4"/>
  <c r="D174" i="4"/>
  <c r="H174" i="4"/>
  <c r="C174" i="4"/>
  <c r="E174" i="4" s="1"/>
  <c r="G174" i="4"/>
  <c r="L174" i="4"/>
  <c r="B174" i="4"/>
  <c r="J174" i="4"/>
  <c r="I206" i="4"/>
  <c r="D206" i="4"/>
  <c r="H206" i="4"/>
  <c r="C206" i="4"/>
  <c r="E206" i="4" s="1"/>
  <c r="G206" i="4"/>
  <c r="L206" i="4"/>
  <c r="B206" i="4"/>
  <c r="J206" i="4"/>
  <c r="I240" i="4"/>
  <c r="D240" i="4"/>
  <c r="H240" i="4"/>
  <c r="C240" i="4"/>
  <c r="E240" i="4" s="1"/>
  <c r="L240" i="4"/>
  <c r="G240" i="4"/>
  <c r="B240" i="4"/>
  <c r="J240" i="4"/>
  <c r="H20" i="4"/>
  <c r="C20" i="4"/>
  <c r="E20" i="4" s="1"/>
  <c r="L20" i="4"/>
  <c r="G20" i="4"/>
  <c r="B20" i="4"/>
  <c r="J20" i="4"/>
  <c r="I20" i="4"/>
  <c r="D20" i="4"/>
  <c r="H34" i="4"/>
  <c r="C34" i="4"/>
  <c r="E34" i="4" s="1"/>
  <c r="L34" i="4"/>
  <c r="G34" i="4"/>
  <c r="B34" i="4"/>
  <c r="J34" i="4"/>
  <c r="I34" i="4"/>
  <c r="D34" i="4"/>
  <c r="H42" i="4"/>
  <c r="C42" i="4"/>
  <c r="E42" i="4" s="1"/>
  <c r="L42" i="4"/>
  <c r="G42" i="4"/>
  <c r="B42" i="4"/>
  <c r="J42" i="4"/>
  <c r="I42" i="4"/>
  <c r="D42" i="4"/>
  <c r="H50" i="4"/>
  <c r="C50" i="4"/>
  <c r="E50" i="4" s="1"/>
  <c r="L50" i="4"/>
  <c r="G50" i="4"/>
  <c r="B50" i="4"/>
  <c r="J50" i="4"/>
  <c r="I50" i="4"/>
  <c r="D50" i="4"/>
  <c r="H58" i="4"/>
  <c r="C58" i="4"/>
  <c r="E58" i="4" s="1"/>
  <c r="L58" i="4"/>
  <c r="G58" i="4"/>
  <c r="B58" i="4"/>
  <c r="J58" i="4"/>
  <c r="I58" i="4"/>
  <c r="D58" i="4"/>
  <c r="H66" i="4"/>
  <c r="C66" i="4"/>
  <c r="E66" i="4" s="1"/>
  <c r="L66" i="4"/>
  <c r="G66" i="4"/>
  <c r="B66" i="4"/>
  <c r="J66" i="4"/>
  <c r="I66" i="4"/>
  <c r="D66" i="4"/>
  <c r="H74" i="4"/>
  <c r="C74" i="4"/>
  <c r="E74" i="4" s="1"/>
  <c r="L74" i="4"/>
  <c r="G74" i="4"/>
  <c r="B74" i="4"/>
  <c r="J74" i="4"/>
  <c r="I74" i="4"/>
  <c r="D74" i="4"/>
  <c r="H82" i="4"/>
  <c r="C82" i="4"/>
  <c r="E82" i="4" s="1"/>
  <c r="L82" i="4"/>
  <c r="G82" i="4"/>
  <c r="B82" i="4"/>
  <c r="J82" i="4"/>
  <c r="I82" i="4"/>
  <c r="D82" i="4"/>
  <c r="H90" i="4"/>
  <c r="C90" i="4"/>
  <c r="E90" i="4" s="1"/>
  <c r="L90" i="4"/>
  <c r="G90" i="4"/>
  <c r="B90" i="4"/>
  <c r="J90" i="4"/>
  <c r="I90" i="4"/>
  <c r="D90" i="4"/>
  <c r="H98" i="4"/>
  <c r="C98" i="4"/>
  <c r="E98" i="4" s="1"/>
  <c r="L98" i="4"/>
  <c r="G98" i="4"/>
  <c r="B98" i="4"/>
  <c r="J98" i="4"/>
  <c r="I98" i="4"/>
  <c r="D98" i="4"/>
  <c r="I132" i="4"/>
  <c r="D132" i="4"/>
  <c r="H132" i="4"/>
  <c r="C132" i="4"/>
  <c r="E132" i="4" s="1"/>
  <c r="L132" i="4"/>
  <c r="B132" i="4"/>
  <c r="J132" i="4"/>
  <c r="G132" i="4"/>
  <c r="I164" i="4"/>
  <c r="D164" i="4"/>
  <c r="H164" i="4"/>
  <c r="C164" i="4"/>
  <c r="E164" i="4" s="1"/>
  <c r="L164" i="4"/>
  <c r="B164" i="4"/>
  <c r="J164" i="4"/>
  <c r="G164" i="4"/>
  <c r="I196" i="4"/>
  <c r="D196" i="4"/>
  <c r="H196" i="4"/>
  <c r="C196" i="4"/>
  <c r="E196" i="4" s="1"/>
  <c r="L196" i="4"/>
  <c r="B196" i="4"/>
  <c r="J196" i="4"/>
  <c r="G196" i="4"/>
  <c r="I222" i="4"/>
  <c r="D222" i="4"/>
  <c r="H222" i="4"/>
  <c r="C222" i="4"/>
  <c r="E222" i="4" s="1"/>
  <c r="L222" i="4"/>
  <c r="G222" i="4"/>
  <c r="B222" i="4"/>
  <c r="J222" i="4"/>
  <c r="L3" i="4"/>
  <c r="G3" i="4"/>
  <c r="B3" i="4"/>
  <c r="I3" i="4"/>
  <c r="D3" i="4"/>
  <c r="H3" i="4"/>
  <c r="C3" i="4"/>
  <c r="E3" i="4" s="1"/>
  <c r="L13" i="4"/>
  <c r="G13" i="4"/>
  <c r="B13" i="4"/>
  <c r="J13" i="4"/>
  <c r="I13" i="4"/>
  <c r="D13" i="4"/>
  <c r="H13" i="4"/>
  <c r="C13" i="4"/>
  <c r="E13" i="4" s="1"/>
  <c r="L29" i="4"/>
  <c r="G29" i="4"/>
  <c r="B29" i="4"/>
  <c r="J29" i="4"/>
  <c r="I29" i="4"/>
  <c r="D29" i="4"/>
  <c r="H29" i="4"/>
  <c r="C29" i="4"/>
  <c r="E29" i="4" s="1"/>
  <c r="I130" i="4"/>
  <c r="D130" i="4"/>
  <c r="H130" i="4"/>
  <c r="C130" i="4"/>
  <c r="E130" i="4" s="1"/>
  <c r="L130" i="4"/>
  <c r="B130" i="4"/>
  <c r="J130" i="4"/>
  <c r="G130" i="4"/>
  <c r="I162" i="4"/>
  <c r="D162" i="4"/>
  <c r="H162" i="4"/>
  <c r="C162" i="4"/>
  <c r="E162" i="4" s="1"/>
  <c r="L162" i="4"/>
  <c r="B162" i="4"/>
  <c r="J162" i="4"/>
  <c r="G162" i="4"/>
  <c r="I194" i="4"/>
  <c r="D194" i="4"/>
  <c r="H194" i="4"/>
  <c r="C194" i="4"/>
  <c r="E194" i="4" s="1"/>
  <c r="L194" i="4"/>
  <c r="B194" i="4"/>
  <c r="J194" i="4"/>
  <c r="G194" i="4"/>
  <c r="I228" i="4"/>
  <c r="D228" i="4"/>
  <c r="H228" i="4"/>
  <c r="C228" i="4"/>
  <c r="E228" i="4" s="1"/>
  <c r="L228" i="4"/>
  <c r="G228" i="4"/>
  <c r="B228" i="4"/>
  <c r="J228" i="4"/>
  <c r="J14" i="4"/>
  <c r="I14" i="4"/>
  <c r="D14" i="4"/>
  <c r="H14" i="4"/>
  <c r="C14" i="4"/>
  <c r="E14" i="4" s="1"/>
  <c r="L14" i="4"/>
  <c r="G14" i="4"/>
  <c r="B14" i="4"/>
  <c r="J30" i="4"/>
  <c r="I30" i="4"/>
  <c r="D30" i="4"/>
  <c r="H30" i="4"/>
  <c r="C30" i="4"/>
  <c r="E30" i="4" s="1"/>
  <c r="L30" i="4"/>
  <c r="G30" i="4"/>
  <c r="B30" i="4"/>
  <c r="J39" i="4"/>
  <c r="I39" i="4"/>
  <c r="D39" i="4"/>
  <c r="H39" i="4"/>
  <c r="C39" i="4"/>
  <c r="E39" i="4" s="1"/>
  <c r="L39" i="4"/>
  <c r="G39" i="4"/>
  <c r="B39" i="4"/>
  <c r="J47" i="4"/>
  <c r="I47" i="4"/>
  <c r="D47" i="4"/>
  <c r="H47" i="4"/>
  <c r="C47" i="4"/>
  <c r="E47" i="4" s="1"/>
  <c r="L47" i="4"/>
  <c r="G47" i="4"/>
  <c r="B47" i="4"/>
  <c r="J55" i="4"/>
  <c r="I55" i="4"/>
  <c r="D55" i="4"/>
  <c r="H55" i="4"/>
  <c r="C55" i="4"/>
  <c r="E55" i="4" s="1"/>
  <c r="L55" i="4"/>
  <c r="G55" i="4"/>
  <c r="B55" i="4"/>
  <c r="J63" i="4"/>
  <c r="I63" i="4"/>
  <c r="D63" i="4"/>
  <c r="H63" i="4"/>
  <c r="C63" i="4"/>
  <c r="E63" i="4" s="1"/>
  <c r="L63" i="4"/>
  <c r="G63" i="4"/>
  <c r="B63" i="4"/>
  <c r="J71" i="4"/>
  <c r="I71" i="4"/>
  <c r="D71" i="4"/>
  <c r="H71" i="4"/>
  <c r="C71" i="4"/>
  <c r="E71" i="4" s="1"/>
  <c r="L71" i="4"/>
  <c r="G71" i="4"/>
  <c r="B71" i="4"/>
  <c r="J79" i="4"/>
  <c r="I79" i="4"/>
  <c r="D79" i="4"/>
  <c r="H79" i="4"/>
  <c r="C79" i="4"/>
  <c r="E79" i="4" s="1"/>
  <c r="L79" i="4"/>
  <c r="G79" i="4"/>
  <c r="B79" i="4"/>
  <c r="J87" i="4"/>
  <c r="I87" i="4"/>
  <c r="D87" i="4"/>
  <c r="H87" i="4"/>
  <c r="C87" i="4"/>
  <c r="E87" i="4" s="1"/>
  <c r="L87" i="4"/>
  <c r="G87" i="4"/>
  <c r="B87" i="4"/>
  <c r="J95" i="4"/>
  <c r="I95" i="4"/>
  <c r="D95" i="4"/>
  <c r="H95" i="4"/>
  <c r="C95" i="4"/>
  <c r="E95" i="4" s="1"/>
  <c r="L95" i="4"/>
  <c r="G95" i="4"/>
  <c r="B95" i="4"/>
  <c r="I112" i="4"/>
  <c r="D112" i="4"/>
  <c r="H112" i="4"/>
  <c r="C112" i="4"/>
  <c r="E112" i="4" s="1"/>
  <c r="J112" i="4"/>
  <c r="G112" i="4"/>
  <c r="L112" i="4"/>
  <c r="B112" i="4"/>
  <c r="I144" i="4"/>
  <c r="D144" i="4"/>
  <c r="H144" i="4"/>
  <c r="C144" i="4"/>
  <c r="E144" i="4" s="1"/>
  <c r="J144" i="4"/>
  <c r="G144" i="4"/>
  <c r="L144" i="4"/>
  <c r="B144" i="4"/>
  <c r="I176" i="4"/>
  <c r="D176" i="4"/>
  <c r="H176" i="4"/>
  <c r="C176" i="4"/>
  <c r="E176" i="4" s="1"/>
  <c r="J176" i="4"/>
  <c r="G176" i="4"/>
  <c r="L176" i="4"/>
  <c r="B176" i="4"/>
  <c r="I208" i="4"/>
  <c r="D208" i="4"/>
  <c r="H208" i="4"/>
  <c r="C208" i="4"/>
  <c r="E208" i="4" s="1"/>
  <c r="J208" i="4"/>
  <c r="G208" i="4"/>
  <c r="L208" i="4"/>
  <c r="B208" i="4"/>
  <c r="I242" i="4"/>
  <c r="D242" i="4"/>
  <c r="H242" i="4"/>
  <c r="C242" i="4"/>
  <c r="E242" i="4" s="1"/>
  <c r="L242" i="4"/>
  <c r="G242" i="4"/>
  <c r="B242" i="4"/>
  <c r="J242" i="4"/>
  <c r="I256" i="4"/>
  <c r="D256" i="4"/>
  <c r="H256" i="4"/>
  <c r="C256" i="4"/>
  <c r="E256" i="4" s="1"/>
  <c r="L256" i="4"/>
  <c r="G256" i="4"/>
  <c r="B256" i="4"/>
  <c r="J256" i="4"/>
  <c r="I264" i="4"/>
  <c r="D264" i="4"/>
  <c r="H264" i="4"/>
  <c r="C264" i="4"/>
  <c r="E264" i="4" s="1"/>
  <c r="L264" i="4"/>
  <c r="G264" i="4"/>
  <c r="B264" i="4"/>
  <c r="J264" i="4"/>
  <c r="I272" i="4"/>
  <c r="D272" i="4"/>
  <c r="H272" i="4"/>
  <c r="C272" i="4"/>
  <c r="E272" i="4" s="1"/>
  <c r="L272" i="4"/>
  <c r="G272" i="4"/>
  <c r="B272" i="4"/>
  <c r="J272" i="4"/>
  <c r="I280" i="4"/>
  <c r="D280" i="4"/>
  <c r="H280" i="4"/>
  <c r="C280" i="4"/>
  <c r="E280" i="4" s="1"/>
  <c r="L280" i="4"/>
  <c r="G280" i="4"/>
  <c r="B280" i="4"/>
  <c r="J280" i="4"/>
  <c r="I288" i="4"/>
  <c r="D288" i="4"/>
  <c r="H288" i="4"/>
  <c r="C288" i="4"/>
  <c r="E288" i="4" s="1"/>
  <c r="L288" i="4"/>
  <c r="G288" i="4"/>
  <c r="B288" i="4"/>
  <c r="J288" i="4"/>
  <c r="I296" i="4"/>
  <c r="D296" i="4"/>
  <c r="H296" i="4"/>
  <c r="C296" i="4"/>
  <c r="E296" i="4" s="1"/>
  <c r="L296" i="4"/>
  <c r="G296" i="4"/>
  <c r="B296" i="4"/>
  <c r="J296" i="4"/>
  <c r="I304" i="4"/>
  <c r="D304" i="4"/>
  <c r="H304" i="4"/>
  <c r="C304" i="4"/>
  <c r="E304" i="4" s="1"/>
  <c r="L304" i="4"/>
  <c r="G304" i="4"/>
  <c r="B304" i="4"/>
  <c r="J304" i="4"/>
  <c r="I312" i="4"/>
  <c r="D312" i="4"/>
  <c r="H312" i="4"/>
  <c r="C312" i="4"/>
  <c r="E312" i="4" s="1"/>
  <c r="L312" i="4"/>
  <c r="G312" i="4"/>
  <c r="B312" i="4"/>
  <c r="J312" i="4"/>
  <c r="I320" i="4"/>
  <c r="D320" i="4"/>
  <c r="H320" i="4"/>
  <c r="C320" i="4"/>
  <c r="E320" i="4" s="1"/>
  <c r="L320" i="4"/>
  <c r="G320" i="4"/>
  <c r="B320" i="4"/>
  <c r="J320" i="4"/>
  <c r="H336" i="4"/>
  <c r="C336" i="4"/>
  <c r="E336" i="4" s="1"/>
  <c r="L336" i="4"/>
  <c r="J336" i="4"/>
  <c r="D336" i="4"/>
  <c r="I336" i="4"/>
  <c r="B336" i="4"/>
  <c r="G336" i="4"/>
  <c r="I364" i="4"/>
  <c r="D364" i="4"/>
  <c r="H364" i="4"/>
  <c r="C364" i="4"/>
  <c r="E364" i="4" s="1"/>
  <c r="G364" i="4"/>
  <c r="L364" i="4"/>
  <c r="B364" i="4"/>
  <c r="J364" i="4"/>
  <c r="I396" i="4"/>
  <c r="D396" i="4"/>
  <c r="H396" i="4"/>
  <c r="C396" i="4"/>
  <c r="E396" i="4" s="1"/>
  <c r="G396" i="4"/>
  <c r="L396" i="4"/>
  <c r="B396" i="4"/>
  <c r="J396" i="4"/>
  <c r="I428" i="4"/>
  <c r="D428" i="4"/>
  <c r="H428" i="4"/>
  <c r="C428" i="4"/>
  <c r="E428" i="4" s="1"/>
  <c r="G428" i="4"/>
  <c r="L428" i="4"/>
  <c r="B428" i="4"/>
  <c r="J428" i="4"/>
  <c r="I460" i="4"/>
  <c r="D460" i="4"/>
  <c r="H460" i="4"/>
  <c r="C460" i="4"/>
  <c r="E460" i="4" s="1"/>
  <c r="G460" i="4"/>
  <c r="L460" i="4"/>
  <c r="B460" i="4"/>
  <c r="J460" i="4"/>
  <c r="I346" i="4"/>
  <c r="D346" i="4"/>
  <c r="H346" i="4"/>
  <c r="C346" i="4"/>
  <c r="E346" i="4" s="1"/>
  <c r="L346" i="4"/>
  <c r="B346" i="4"/>
  <c r="J346" i="4"/>
  <c r="G346" i="4"/>
  <c r="I378" i="4"/>
  <c r="D378" i="4"/>
  <c r="H378" i="4"/>
  <c r="C378" i="4"/>
  <c r="E378" i="4" s="1"/>
  <c r="L378" i="4"/>
  <c r="B378" i="4"/>
  <c r="J378" i="4"/>
  <c r="G378" i="4"/>
  <c r="I410" i="4"/>
  <c r="D410" i="4"/>
  <c r="H410" i="4"/>
  <c r="C410" i="4"/>
  <c r="E410" i="4" s="1"/>
  <c r="L410" i="4"/>
  <c r="B410" i="4"/>
  <c r="J410" i="4"/>
  <c r="G410" i="4"/>
  <c r="I442" i="4"/>
  <c r="D442" i="4"/>
  <c r="H442" i="4"/>
  <c r="C442" i="4"/>
  <c r="E442" i="4" s="1"/>
  <c r="L442" i="4"/>
  <c r="B442" i="4"/>
  <c r="J442" i="4"/>
  <c r="G442" i="4"/>
  <c r="J101" i="4"/>
  <c r="I101" i="4"/>
  <c r="C101" i="4"/>
  <c r="E101" i="4" s="1"/>
  <c r="H101" i="4"/>
  <c r="B101" i="4"/>
  <c r="G101" i="4"/>
  <c r="L101" i="4"/>
  <c r="D101" i="4"/>
  <c r="J109" i="4"/>
  <c r="I109" i="4"/>
  <c r="C109" i="4"/>
  <c r="E109" i="4" s="1"/>
  <c r="H109" i="4"/>
  <c r="B109" i="4"/>
  <c r="G109" i="4"/>
  <c r="L109" i="4"/>
  <c r="D109" i="4"/>
  <c r="L117" i="4"/>
  <c r="G117" i="4"/>
  <c r="B117" i="4"/>
  <c r="J117" i="4"/>
  <c r="C117" i="4"/>
  <c r="E117" i="4" s="1"/>
  <c r="I117" i="4"/>
  <c r="H117" i="4"/>
  <c r="D117" i="4"/>
  <c r="L125" i="4"/>
  <c r="G125" i="4"/>
  <c r="B125" i="4"/>
  <c r="J125" i="4"/>
  <c r="C125" i="4"/>
  <c r="E125" i="4" s="1"/>
  <c r="I125" i="4"/>
  <c r="H125" i="4"/>
  <c r="D125" i="4"/>
  <c r="L133" i="4"/>
  <c r="G133" i="4"/>
  <c r="B133" i="4"/>
  <c r="J133" i="4"/>
  <c r="C133" i="4"/>
  <c r="E133" i="4" s="1"/>
  <c r="I133" i="4"/>
  <c r="H133" i="4"/>
  <c r="D133" i="4"/>
  <c r="L141" i="4"/>
  <c r="G141" i="4"/>
  <c r="B141" i="4"/>
  <c r="J141" i="4"/>
  <c r="C141" i="4"/>
  <c r="E141" i="4" s="1"/>
  <c r="I141" i="4"/>
  <c r="H141" i="4"/>
  <c r="D141" i="4"/>
  <c r="L149" i="4"/>
  <c r="G149" i="4"/>
  <c r="B149" i="4"/>
  <c r="J149" i="4"/>
  <c r="C149" i="4"/>
  <c r="E149" i="4" s="1"/>
  <c r="I149" i="4"/>
  <c r="H149" i="4"/>
  <c r="D149" i="4"/>
  <c r="L157" i="4"/>
  <c r="G157" i="4"/>
  <c r="B157" i="4"/>
  <c r="J157" i="4"/>
  <c r="C157" i="4"/>
  <c r="E157" i="4" s="1"/>
  <c r="I157" i="4"/>
  <c r="H157" i="4"/>
  <c r="D157" i="4"/>
  <c r="L165" i="4"/>
  <c r="G165" i="4"/>
  <c r="B165" i="4"/>
  <c r="J165" i="4"/>
  <c r="C165" i="4"/>
  <c r="E165" i="4" s="1"/>
  <c r="I165" i="4"/>
  <c r="H165" i="4"/>
  <c r="D165" i="4"/>
  <c r="L173" i="4"/>
  <c r="G173" i="4"/>
  <c r="B173" i="4"/>
  <c r="J173" i="4"/>
  <c r="C173" i="4"/>
  <c r="E173" i="4" s="1"/>
  <c r="I173" i="4"/>
  <c r="H173" i="4"/>
  <c r="D173" i="4"/>
  <c r="L181" i="4"/>
  <c r="G181" i="4"/>
  <c r="B181" i="4"/>
  <c r="J181" i="4"/>
  <c r="C181" i="4"/>
  <c r="E181" i="4" s="1"/>
  <c r="I181" i="4"/>
  <c r="H181" i="4"/>
  <c r="D181" i="4"/>
  <c r="L189" i="4"/>
  <c r="G189" i="4"/>
  <c r="B189" i="4"/>
  <c r="J189" i="4"/>
  <c r="C189" i="4"/>
  <c r="E189" i="4" s="1"/>
  <c r="I189" i="4"/>
  <c r="H189" i="4"/>
  <c r="D189" i="4"/>
  <c r="L197" i="4"/>
  <c r="G197" i="4"/>
  <c r="B197" i="4"/>
  <c r="J197" i="4"/>
  <c r="C197" i="4"/>
  <c r="E197" i="4" s="1"/>
  <c r="I197" i="4"/>
  <c r="H197" i="4"/>
  <c r="D197" i="4"/>
  <c r="L205" i="4"/>
  <c r="G205" i="4"/>
  <c r="B205" i="4"/>
  <c r="J205" i="4"/>
  <c r="C205" i="4"/>
  <c r="E205" i="4" s="1"/>
  <c r="I205" i="4"/>
  <c r="H205" i="4"/>
  <c r="D205" i="4"/>
  <c r="L213" i="4"/>
  <c r="G213" i="4"/>
  <c r="B213" i="4"/>
  <c r="J213" i="4"/>
  <c r="C213" i="4"/>
  <c r="E213" i="4" s="1"/>
  <c r="I213" i="4"/>
  <c r="H213" i="4"/>
  <c r="D213" i="4"/>
  <c r="L221" i="4"/>
  <c r="G221" i="4"/>
  <c r="B221" i="4"/>
  <c r="J221" i="4"/>
  <c r="I221" i="4"/>
  <c r="C221" i="4"/>
  <c r="E221" i="4" s="1"/>
  <c r="H221" i="4"/>
  <c r="D221" i="4"/>
  <c r="L229" i="4"/>
  <c r="G229" i="4"/>
  <c r="B229" i="4"/>
  <c r="J229" i="4"/>
  <c r="I229" i="4"/>
  <c r="D229" i="4"/>
  <c r="H229" i="4"/>
  <c r="C229" i="4"/>
  <c r="E229" i="4" s="1"/>
  <c r="L237" i="4"/>
  <c r="G237" i="4"/>
  <c r="B237" i="4"/>
  <c r="J237" i="4"/>
  <c r="I237" i="4"/>
  <c r="D237" i="4"/>
  <c r="H237" i="4"/>
  <c r="C237" i="4"/>
  <c r="E237" i="4" s="1"/>
  <c r="L245" i="4"/>
  <c r="G245" i="4"/>
  <c r="B245" i="4"/>
  <c r="J245" i="4"/>
  <c r="I245" i="4"/>
  <c r="D245" i="4"/>
  <c r="H245" i="4"/>
  <c r="C245" i="4"/>
  <c r="E245" i="4" s="1"/>
  <c r="L253" i="4"/>
  <c r="G253" i="4"/>
  <c r="B253" i="4"/>
  <c r="J253" i="4"/>
  <c r="I253" i="4"/>
  <c r="D253" i="4"/>
  <c r="H253" i="4"/>
  <c r="C253" i="4"/>
  <c r="E253" i="4" s="1"/>
  <c r="L261" i="4"/>
  <c r="G261" i="4"/>
  <c r="B261" i="4"/>
  <c r="J261" i="4"/>
  <c r="I261" i="4"/>
  <c r="D261" i="4"/>
  <c r="H261" i="4"/>
  <c r="C261" i="4"/>
  <c r="E261" i="4" s="1"/>
  <c r="L269" i="4"/>
  <c r="G269" i="4"/>
  <c r="B269" i="4"/>
  <c r="J269" i="4"/>
  <c r="I269" i="4"/>
  <c r="D269" i="4"/>
  <c r="H269" i="4"/>
  <c r="C269" i="4"/>
  <c r="E269" i="4" s="1"/>
  <c r="L277" i="4"/>
  <c r="G277" i="4"/>
  <c r="B277" i="4"/>
  <c r="J277" i="4"/>
  <c r="I277" i="4"/>
  <c r="D277" i="4"/>
  <c r="H277" i="4"/>
  <c r="C277" i="4"/>
  <c r="E277" i="4" s="1"/>
  <c r="L285" i="4"/>
  <c r="G285" i="4"/>
  <c r="B285" i="4"/>
  <c r="J285" i="4"/>
  <c r="I285" i="4"/>
  <c r="D285" i="4"/>
  <c r="H285" i="4"/>
  <c r="C285" i="4"/>
  <c r="E285" i="4" s="1"/>
  <c r="L293" i="4"/>
  <c r="G293" i="4"/>
  <c r="B293" i="4"/>
  <c r="J293" i="4"/>
  <c r="I293" i="4"/>
  <c r="D293" i="4"/>
  <c r="H293" i="4"/>
  <c r="C293" i="4"/>
  <c r="E293" i="4" s="1"/>
  <c r="L301" i="4"/>
  <c r="G301" i="4"/>
  <c r="B301" i="4"/>
  <c r="J301" i="4"/>
  <c r="I301" i="4"/>
  <c r="D301" i="4"/>
  <c r="H301" i="4"/>
  <c r="C301" i="4"/>
  <c r="E301" i="4" s="1"/>
  <c r="L309" i="4"/>
  <c r="G309" i="4"/>
  <c r="B309" i="4"/>
  <c r="J309" i="4"/>
  <c r="I309" i="4"/>
  <c r="D309" i="4"/>
  <c r="H309" i="4"/>
  <c r="C309" i="4"/>
  <c r="E309" i="4" s="1"/>
  <c r="L317" i="4"/>
  <c r="G317" i="4"/>
  <c r="B317" i="4"/>
  <c r="J317" i="4"/>
  <c r="I317" i="4"/>
  <c r="D317" i="4"/>
  <c r="H317" i="4"/>
  <c r="C317" i="4"/>
  <c r="E317" i="4" s="1"/>
  <c r="J325" i="4"/>
  <c r="G325" i="4"/>
  <c r="B325" i="4"/>
  <c r="L325" i="4"/>
  <c r="I325" i="4"/>
  <c r="D325" i="4"/>
  <c r="H325" i="4"/>
  <c r="C325" i="4"/>
  <c r="E325" i="4" s="1"/>
  <c r="I360" i="4"/>
  <c r="D360" i="4"/>
  <c r="H360" i="4"/>
  <c r="C360" i="4"/>
  <c r="E360" i="4" s="1"/>
  <c r="L360" i="4"/>
  <c r="B360" i="4"/>
  <c r="J360" i="4"/>
  <c r="G360" i="4"/>
  <c r="I392" i="4"/>
  <c r="D392" i="4"/>
  <c r="H392" i="4"/>
  <c r="C392" i="4"/>
  <c r="E392" i="4" s="1"/>
  <c r="L392" i="4"/>
  <c r="B392" i="4"/>
  <c r="J392" i="4"/>
  <c r="G392" i="4"/>
  <c r="I424" i="4"/>
  <c r="D424" i="4"/>
  <c r="H424" i="4"/>
  <c r="C424" i="4"/>
  <c r="E424" i="4" s="1"/>
  <c r="L424" i="4"/>
  <c r="B424" i="4"/>
  <c r="J424" i="4"/>
  <c r="G424" i="4"/>
  <c r="I456" i="4"/>
  <c r="D456" i="4"/>
  <c r="H456" i="4"/>
  <c r="C456" i="4"/>
  <c r="E456" i="4" s="1"/>
  <c r="L456" i="4"/>
  <c r="B456" i="4"/>
  <c r="J456" i="4"/>
  <c r="G456" i="4"/>
  <c r="I350" i="4"/>
  <c r="D350" i="4"/>
  <c r="H350" i="4"/>
  <c r="C350" i="4"/>
  <c r="E350" i="4" s="1"/>
  <c r="J350" i="4"/>
  <c r="G350" i="4"/>
  <c r="L350" i="4"/>
  <c r="B350" i="4"/>
  <c r="I382" i="4"/>
  <c r="D382" i="4"/>
  <c r="H382" i="4"/>
  <c r="C382" i="4"/>
  <c r="E382" i="4" s="1"/>
  <c r="J382" i="4"/>
  <c r="G382" i="4"/>
  <c r="L382" i="4"/>
  <c r="B382" i="4"/>
  <c r="I414" i="4"/>
  <c r="D414" i="4"/>
  <c r="H414" i="4"/>
  <c r="C414" i="4"/>
  <c r="E414" i="4" s="1"/>
  <c r="J414" i="4"/>
  <c r="G414" i="4"/>
  <c r="L414" i="4"/>
  <c r="B414" i="4"/>
  <c r="I446" i="4"/>
  <c r="D446" i="4"/>
  <c r="H446" i="4"/>
  <c r="C446" i="4"/>
  <c r="E446" i="4" s="1"/>
  <c r="J446" i="4"/>
  <c r="G446" i="4"/>
  <c r="L446" i="4"/>
  <c r="B446" i="4"/>
  <c r="J327" i="4"/>
  <c r="H327" i="4"/>
  <c r="B327" i="4"/>
  <c r="G327" i="4"/>
  <c r="L327" i="4"/>
  <c r="D327" i="4"/>
  <c r="I327" i="4"/>
  <c r="C327" i="4"/>
  <c r="E327" i="4" s="1"/>
  <c r="J335" i="4"/>
  <c r="H335" i="4"/>
  <c r="B335" i="4"/>
  <c r="G335" i="4"/>
  <c r="L335" i="4"/>
  <c r="D335" i="4"/>
  <c r="I335" i="4"/>
  <c r="C335" i="4"/>
  <c r="E335" i="4" s="1"/>
  <c r="L343" i="4"/>
  <c r="G343" i="4"/>
  <c r="B343" i="4"/>
  <c r="J343" i="4"/>
  <c r="H343" i="4"/>
  <c r="D343" i="4"/>
  <c r="C343" i="4"/>
  <c r="E343" i="4" s="1"/>
  <c r="I343" i="4"/>
  <c r="L351" i="4"/>
  <c r="G351" i="4"/>
  <c r="B351" i="4"/>
  <c r="J351" i="4"/>
  <c r="H351" i="4"/>
  <c r="D351" i="4"/>
  <c r="C351" i="4"/>
  <c r="E351" i="4" s="1"/>
  <c r="I351" i="4"/>
  <c r="L359" i="4"/>
  <c r="G359" i="4"/>
  <c r="B359" i="4"/>
  <c r="J359" i="4"/>
  <c r="H359" i="4"/>
  <c r="D359" i="4"/>
  <c r="C359" i="4"/>
  <c r="E359" i="4" s="1"/>
  <c r="I359" i="4"/>
  <c r="L367" i="4"/>
  <c r="G367" i="4"/>
  <c r="B367" i="4"/>
  <c r="J367" i="4"/>
  <c r="H367" i="4"/>
  <c r="D367" i="4"/>
  <c r="C367" i="4"/>
  <c r="E367" i="4" s="1"/>
  <c r="I367" i="4"/>
  <c r="L375" i="4"/>
  <c r="G375" i="4"/>
  <c r="B375" i="4"/>
  <c r="J375" i="4"/>
  <c r="H375" i="4"/>
  <c r="D375" i="4"/>
  <c r="C375" i="4"/>
  <c r="E375" i="4" s="1"/>
  <c r="I375" i="4"/>
  <c r="L383" i="4"/>
  <c r="G383" i="4"/>
  <c r="B383" i="4"/>
  <c r="J383" i="4"/>
  <c r="H383" i="4"/>
  <c r="D383" i="4"/>
  <c r="C383" i="4"/>
  <c r="E383" i="4" s="1"/>
  <c r="I383" i="4"/>
  <c r="L391" i="4"/>
  <c r="G391" i="4"/>
  <c r="B391" i="4"/>
  <c r="J391" i="4"/>
  <c r="H391" i="4"/>
  <c r="D391" i="4"/>
  <c r="C391" i="4"/>
  <c r="E391" i="4" s="1"/>
  <c r="I391" i="4"/>
  <c r="L399" i="4"/>
  <c r="G399" i="4"/>
  <c r="B399" i="4"/>
  <c r="J399" i="4"/>
  <c r="H399" i="4"/>
  <c r="D399" i="4"/>
  <c r="C399" i="4"/>
  <c r="E399" i="4" s="1"/>
  <c r="I399" i="4"/>
  <c r="L407" i="4"/>
  <c r="G407" i="4"/>
  <c r="B407" i="4"/>
  <c r="J407" i="4"/>
  <c r="H407" i="4"/>
  <c r="D407" i="4"/>
  <c r="C407" i="4"/>
  <c r="E407" i="4" s="1"/>
  <c r="I407" i="4"/>
  <c r="L415" i="4"/>
  <c r="G415" i="4"/>
  <c r="B415" i="4"/>
  <c r="J415" i="4"/>
  <c r="H415" i="4"/>
  <c r="D415" i="4"/>
  <c r="C415" i="4"/>
  <c r="E415" i="4" s="1"/>
  <c r="I415" i="4"/>
  <c r="L423" i="4"/>
  <c r="G423" i="4"/>
  <c r="B423" i="4"/>
  <c r="J423" i="4"/>
  <c r="H423" i="4"/>
  <c r="D423" i="4"/>
  <c r="C423" i="4"/>
  <c r="E423" i="4" s="1"/>
  <c r="I423" i="4"/>
  <c r="L431" i="4"/>
  <c r="G431" i="4"/>
  <c r="B431" i="4"/>
  <c r="J431" i="4"/>
  <c r="H431" i="4"/>
  <c r="D431" i="4"/>
  <c r="C431" i="4"/>
  <c r="E431" i="4" s="1"/>
  <c r="I431" i="4"/>
  <c r="L439" i="4"/>
  <c r="G439" i="4"/>
  <c r="B439" i="4"/>
  <c r="J439" i="4"/>
  <c r="H439" i="4"/>
  <c r="D439" i="4"/>
  <c r="C439" i="4"/>
  <c r="E439" i="4" s="1"/>
  <c r="I439" i="4"/>
  <c r="L447" i="4"/>
  <c r="G447" i="4"/>
  <c r="B447" i="4"/>
  <c r="J447" i="4"/>
  <c r="H447" i="4"/>
  <c r="D447" i="4"/>
  <c r="C447" i="4"/>
  <c r="E447" i="4" s="1"/>
  <c r="I447" i="4"/>
  <c r="L455" i="4"/>
  <c r="G455" i="4"/>
  <c r="B455" i="4"/>
  <c r="J455" i="4"/>
  <c r="H455" i="4"/>
  <c r="D455" i="4"/>
  <c r="C455" i="4"/>
  <c r="E455" i="4" s="1"/>
  <c r="I455" i="4"/>
  <c r="L463" i="4"/>
  <c r="G463" i="4"/>
  <c r="B463" i="4"/>
  <c r="J463" i="4"/>
  <c r="H463" i="4"/>
  <c r="D463" i="4"/>
  <c r="C463" i="4"/>
  <c r="E463" i="4" s="1"/>
  <c r="I463" i="4"/>
  <c r="J467" i="4"/>
  <c r="H467" i="4"/>
  <c r="B467" i="4"/>
  <c r="G467" i="4"/>
  <c r="C467" i="4"/>
  <c r="E467" i="4" s="1"/>
  <c r="L467" i="4"/>
  <c r="I467" i="4"/>
  <c r="D467" i="4"/>
  <c r="H475" i="4"/>
  <c r="C475" i="4"/>
  <c r="E475" i="4" s="1"/>
  <c r="J475" i="4"/>
  <c r="L475" i="4"/>
  <c r="B475" i="4"/>
  <c r="I475" i="4"/>
  <c r="G475" i="4"/>
  <c r="D475" i="4"/>
  <c r="H483" i="4"/>
  <c r="C483" i="4"/>
  <c r="E483" i="4" s="1"/>
  <c r="J483" i="4"/>
  <c r="L483" i="4"/>
  <c r="B483" i="4"/>
  <c r="I483" i="4"/>
  <c r="G483" i="4"/>
  <c r="D483" i="4"/>
  <c r="H491" i="4"/>
  <c r="C491" i="4"/>
  <c r="E491" i="4" s="1"/>
  <c r="L491" i="4"/>
  <c r="G491" i="4"/>
  <c r="B491" i="4"/>
  <c r="J491" i="4"/>
  <c r="I491" i="4"/>
  <c r="D491" i="4"/>
  <c r="H499" i="4"/>
  <c r="C499" i="4"/>
  <c r="E499" i="4" s="1"/>
  <c r="L499" i="4"/>
  <c r="G499" i="4"/>
  <c r="B499" i="4"/>
  <c r="J499" i="4"/>
  <c r="I499" i="4"/>
  <c r="D499" i="4"/>
  <c r="H507" i="4"/>
  <c r="C507" i="4"/>
  <c r="E507" i="4" s="1"/>
  <c r="L507" i="4"/>
  <c r="G507" i="4"/>
  <c r="B507" i="4"/>
  <c r="J507" i="4"/>
  <c r="I507" i="4"/>
  <c r="D507" i="4"/>
  <c r="H515" i="4"/>
  <c r="C515" i="4"/>
  <c r="E515" i="4" s="1"/>
  <c r="L515" i="4"/>
  <c r="G515" i="4"/>
  <c r="B515" i="4"/>
  <c r="J515" i="4"/>
  <c r="I515" i="4"/>
  <c r="D515" i="4"/>
  <c r="H523" i="4"/>
  <c r="C523" i="4"/>
  <c r="E523" i="4" s="1"/>
  <c r="L523" i="4"/>
  <c r="G523" i="4"/>
  <c r="B523" i="4"/>
  <c r="J523" i="4"/>
  <c r="I523" i="4"/>
  <c r="D523" i="4"/>
  <c r="H531" i="4"/>
  <c r="C531" i="4"/>
  <c r="E531" i="4" s="1"/>
  <c r="L531" i="4"/>
  <c r="G531" i="4"/>
  <c r="B531" i="4"/>
  <c r="J531" i="4"/>
  <c r="I531" i="4"/>
  <c r="D531" i="4"/>
  <c r="H539" i="4"/>
  <c r="C539" i="4"/>
  <c r="E539" i="4" s="1"/>
  <c r="L539" i="4"/>
  <c r="G539" i="4"/>
  <c r="B539" i="4"/>
  <c r="J539" i="4"/>
  <c r="I539" i="4"/>
  <c r="D539" i="4"/>
  <c r="H547" i="4"/>
  <c r="C547" i="4"/>
  <c r="E547" i="4" s="1"/>
  <c r="L547" i="4"/>
  <c r="G547" i="4"/>
  <c r="B547" i="4"/>
  <c r="J547" i="4"/>
  <c r="I547" i="4"/>
  <c r="D547" i="4"/>
  <c r="J470" i="4"/>
  <c r="H470" i="4"/>
  <c r="C470" i="4"/>
  <c r="E470" i="4" s="1"/>
  <c r="D470" i="4"/>
  <c r="L470" i="4"/>
  <c r="B470" i="4"/>
  <c r="I470" i="4"/>
  <c r="G470" i="4"/>
  <c r="J478" i="4"/>
  <c r="H478" i="4"/>
  <c r="C478" i="4"/>
  <c r="E478" i="4" s="1"/>
  <c r="D478" i="4"/>
  <c r="L478" i="4"/>
  <c r="B478" i="4"/>
  <c r="I478" i="4"/>
  <c r="G478" i="4"/>
  <c r="J486" i="4"/>
  <c r="H486" i="4"/>
  <c r="C486" i="4"/>
  <c r="E486" i="4" s="1"/>
  <c r="D486" i="4"/>
  <c r="L486" i="4"/>
  <c r="B486" i="4"/>
  <c r="I486" i="4"/>
  <c r="G486" i="4"/>
  <c r="J494" i="4"/>
  <c r="I494" i="4"/>
  <c r="D494" i="4"/>
  <c r="H494" i="4"/>
  <c r="C494" i="4"/>
  <c r="E494" i="4" s="1"/>
  <c r="L494" i="4"/>
  <c r="G494" i="4"/>
  <c r="B494" i="4"/>
  <c r="J502" i="4"/>
  <c r="I502" i="4"/>
  <c r="D502" i="4"/>
  <c r="H502" i="4"/>
  <c r="C502" i="4"/>
  <c r="E502" i="4" s="1"/>
  <c r="L502" i="4"/>
  <c r="G502" i="4"/>
  <c r="B502" i="4"/>
  <c r="J510" i="4"/>
  <c r="I510" i="4"/>
  <c r="D510" i="4"/>
  <c r="H510" i="4"/>
  <c r="C510" i="4"/>
  <c r="E510" i="4" s="1"/>
  <c r="L510" i="4"/>
  <c r="G510" i="4"/>
  <c r="B510" i="4"/>
  <c r="J518" i="4"/>
  <c r="I518" i="4"/>
  <c r="D518" i="4"/>
  <c r="H518" i="4"/>
  <c r="C518" i="4"/>
  <c r="E518" i="4" s="1"/>
  <c r="L518" i="4"/>
  <c r="G518" i="4"/>
  <c r="B518" i="4"/>
  <c r="J526" i="4"/>
  <c r="I526" i="4"/>
  <c r="D526" i="4"/>
  <c r="H526" i="4"/>
  <c r="C526" i="4"/>
  <c r="E526" i="4" s="1"/>
  <c r="L526" i="4"/>
  <c r="G526" i="4"/>
  <c r="B526" i="4"/>
  <c r="J534" i="4"/>
  <c r="I534" i="4"/>
  <c r="D534" i="4"/>
  <c r="H534" i="4"/>
  <c r="C534" i="4"/>
  <c r="E534" i="4" s="1"/>
  <c r="L534" i="4"/>
  <c r="G534" i="4"/>
  <c r="B534" i="4"/>
  <c r="J542" i="4"/>
  <c r="I542" i="4"/>
  <c r="D542" i="4"/>
  <c r="H542" i="4"/>
  <c r="C542" i="4"/>
  <c r="E542" i="4" s="1"/>
  <c r="L542" i="4"/>
  <c r="G542" i="4"/>
  <c r="B542" i="4"/>
  <c r="J550" i="4"/>
  <c r="I550" i="4"/>
  <c r="D550" i="4"/>
  <c r="H550" i="4"/>
  <c r="C550" i="4"/>
  <c r="E550" i="4" s="1"/>
  <c r="L550" i="4"/>
  <c r="G550" i="4"/>
  <c r="B550" i="4"/>
  <c r="H560" i="4"/>
  <c r="C560" i="4"/>
  <c r="E560" i="4" s="1"/>
  <c r="L560" i="4"/>
  <c r="G560" i="4"/>
  <c r="J560" i="4"/>
  <c r="I560" i="4"/>
  <c r="D560" i="4"/>
  <c r="B560" i="4"/>
  <c r="H568" i="4"/>
  <c r="C568" i="4"/>
  <c r="E568" i="4" s="1"/>
  <c r="L568" i="4"/>
  <c r="G568" i="4"/>
  <c r="B568" i="4"/>
  <c r="J568" i="4"/>
  <c r="I568" i="4"/>
  <c r="D568" i="4"/>
  <c r="H576" i="4"/>
  <c r="C576" i="4"/>
  <c r="E576" i="4" s="1"/>
  <c r="L576" i="4"/>
  <c r="G576" i="4"/>
  <c r="B576" i="4"/>
  <c r="J576" i="4"/>
  <c r="I576" i="4"/>
  <c r="D576" i="4"/>
  <c r="H584" i="4"/>
  <c r="C584" i="4"/>
  <c r="E584" i="4" s="1"/>
  <c r="L584" i="4"/>
  <c r="G584" i="4"/>
  <c r="B584" i="4"/>
  <c r="J584" i="4"/>
  <c r="I584" i="4"/>
  <c r="D584" i="4"/>
  <c r="H592" i="4"/>
  <c r="C592" i="4"/>
  <c r="E592" i="4" s="1"/>
  <c r="L592" i="4"/>
  <c r="G592" i="4"/>
  <c r="B592" i="4"/>
  <c r="J592" i="4"/>
  <c r="I592" i="4"/>
  <c r="D592" i="4"/>
  <c r="H600" i="4"/>
  <c r="C600" i="4"/>
  <c r="E600" i="4" s="1"/>
  <c r="L600" i="4"/>
  <c r="G600" i="4"/>
  <c r="B600" i="4"/>
  <c r="J600" i="4"/>
  <c r="I600" i="4"/>
  <c r="D600" i="4"/>
  <c r="H608" i="4"/>
  <c r="C608" i="4"/>
  <c r="E608" i="4" s="1"/>
  <c r="L608" i="4"/>
  <c r="G608" i="4"/>
  <c r="B608" i="4"/>
  <c r="J608" i="4"/>
  <c r="I608" i="4"/>
  <c r="D608" i="4"/>
  <c r="H616" i="4"/>
  <c r="C616" i="4"/>
  <c r="E616" i="4" s="1"/>
  <c r="L616" i="4"/>
  <c r="G616" i="4"/>
  <c r="B616" i="4"/>
  <c r="J616" i="4"/>
  <c r="I616" i="4"/>
  <c r="D616" i="4"/>
  <c r="H624" i="4"/>
  <c r="C624" i="4"/>
  <c r="E624" i="4" s="1"/>
  <c r="L624" i="4"/>
  <c r="G624" i="4"/>
  <c r="B624" i="4"/>
  <c r="J624" i="4"/>
  <c r="I624" i="4"/>
  <c r="D624" i="4"/>
  <c r="J553" i="4"/>
  <c r="I553" i="4"/>
  <c r="C553" i="4"/>
  <c r="E553" i="4" s="1"/>
  <c r="H553" i="4"/>
  <c r="B553" i="4"/>
  <c r="G553" i="4"/>
  <c r="L553" i="4"/>
  <c r="D553" i="4"/>
  <c r="J561" i="4"/>
  <c r="I561" i="4"/>
  <c r="D561" i="4"/>
  <c r="H561" i="4"/>
  <c r="C561" i="4"/>
  <c r="E561" i="4" s="1"/>
  <c r="B561" i="4"/>
  <c r="L561" i="4"/>
  <c r="G561" i="4"/>
  <c r="J569" i="4"/>
  <c r="I569" i="4"/>
  <c r="D569" i="4"/>
  <c r="H569" i="4"/>
  <c r="C569" i="4"/>
  <c r="E569" i="4" s="1"/>
  <c r="B569" i="4"/>
  <c r="L569" i="4"/>
  <c r="G569" i="4"/>
  <c r="J577" i="4"/>
  <c r="I577" i="4"/>
  <c r="D577" i="4"/>
  <c r="H577" i="4"/>
  <c r="C577" i="4"/>
  <c r="E577" i="4" s="1"/>
  <c r="B577" i="4"/>
  <c r="L577" i="4"/>
  <c r="G577" i="4"/>
  <c r="J585" i="4"/>
  <c r="I585" i="4"/>
  <c r="D585" i="4"/>
  <c r="H585" i="4"/>
  <c r="C585" i="4"/>
  <c r="E585" i="4" s="1"/>
  <c r="B585" i="4"/>
  <c r="L585" i="4"/>
  <c r="G585" i="4"/>
  <c r="J593" i="4"/>
  <c r="I593" i="4"/>
  <c r="D593" i="4"/>
  <c r="H593" i="4"/>
  <c r="C593" i="4"/>
  <c r="E593" i="4" s="1"/>
  <c r="B593" i="4"/>
  <c r="L593" i="4"/>
  <c r="G593" i="4"/>
  <c r="J601" i="4"/>
  <c r="I601" i="4"/>
  <c r="D601" i="4"/>
  <c r="H601" i="4"/>
  <c r="C601" i="4"/>
  <c r="E601" i="4" s="1"/>
  <c r="B601" i="4"/>
  <c r="L601" i="4"/>
  <c r="G601" i="4"/>
  <c r="J609" i="4"/>
  <c r="I609" i="4"/>
  <c r="D609" i="4"/>
  <c r="H609" i="4"/>
  <c r="C609" i="4"/>
  <c r="E609" i="4" s="1"/>
  <c r="B609" i="4"/>
  <c r="L609" i="4"/>
  <c r="G609" i="4"/>
  <c r="J617" i="4"/>
  <c r="I617" i="4"/>
  <c r="D617" i="4"/>
  <c r="H617" i="4"/>
  <c r="C617" i="4"/>
  <c r="E617" i="4" s="1"/>
  <c r="B617" i="4"/>
  <c r="L617" i="4"/>
  <c r="G617" i="4"/>
  <c r="J625" i="4"/>
  <c r="I625" i="4"/>
  <c r="D625" i="4"/>
  <c r="H625" i="4"/>
  <c r="C625" i="4"/>
  <c r="E625" i="4" s="1"/>
  <c r="B625" i="4"/>
  <c r="L625" i="4"/>
  <c r="G625" i="4"/>
  <c r="I655" i="4"/>
  <c r="D655" i="4"/>
  <c r="H655" i="4"/>
  <c r="C655" i="4"/>
  <c r="E655" i="4" s="1"/>
  <c r="G655" i="4"/>
  <c r="L655" i="4"/>
  <c r="B655" i="4"/>
  <c r="J655" i="4"/>
  <c r="I687" i="4"/>
  <c r="D687" i="4"/>
  <c r="L687" i="4"/>
  <c r="J687" i="4"/>
  <c r="C687" i="4"/>
  <c r="E687" i="4" s="1"/>
  <c r="H687" i="4"/>
  <c r="G687" i="4"/>
  <c r="B687" i="4"/>
  <c r="I765" i="4"/>
  <c r="D765" i="4"/>
  <c r="L765" i="4"/>
  <c r="J765" i="4"/>
  <c r="C765" i="4"/>
  <c r="E765" i="4" s="1"/>
  <c r="H765" i="4"/>
  <c r="G765" i="4"/>
  <c r="B765" i="4"/>
  <c r="I635" i="4"/>
  <c r="D635" i="4"/>
  <c r="H635" i="4"/>
  <c r="L635" i="4"/>
  <c r="C635" i="4"/>
  <c r="E635" i="4" s="1"/>
  <c r="G635" i="4"/>
  <c r="J635" i="4"/>
  <c r="B635" i="4"/>
  <c r="I661" i="4"/>
  <c r="D661" i="4"/>
  <c r="H661" i="4"/>
  <c r="C661" i="4"/>
  <c r="E661" i="4" s="1"/>
  <c r="L661" i="4"/>
  <c r="B661" i="4"/>
  <c r="J661" i="4"/>
  <c r="G661" i="4"/>
  <c r="I693" i="4"/>
  <c r="D693" i="4"/>
  <c r="L693" i="4"/>
  <c r="J693" i="4"/>
  <c r="C693" i="4"/>
  <c r="E693" i="4" s="1"/>
  <c r="G693" i="4"/>
  <c r="B693" i="4"/>
  <c r="H693" i="4"/>
  <c r="I773" i="4"/>
  <c r="D773" i="4"/>
  <c r="L773" i="4"/>
  <c r="J773" i="4"/>
  <c r="C773" i="4"/>
  <c r="E773" i="4" s="1"/>
  <c r="H773" i="4"/>
  <c r="G773" i="4"/>
  <c r="B773" i="4"/>
  <c r="I675" i="4"/>
  <c r="D675" i="4"/>
  <c r="L675" i="4"/>
  <c r="J675" i="4"/>
  <c r="C675" i="4"/>
  <c r="E675" i="4" s="1"/>
  <c r="B675" i="4"/>
  <c r="H675" i="4"/>
  <c r="G675" i="4"/>
  <c r="I707" i="4"/>
  <c r="D707" i="4"/>
  <c r="L707" i="4"/>
  <c r="J707" i="4"/>
  <c r="C707" i="4"/>
  <c r="E707" i="4" s="1"/>
  <c r="B707" i="4"/>
  <c r="H707" i="4"/>
  <c r="G707" i="4"/>
  <c r="L630" i="4"/>
  <c r="G630" i="4"/>
  <c r="B630" i="4"/>
  <c r="H630" i="4"/>
  <c r="J630" i="4"/>
  <c r="D630" i="4"/>
  <c r="C630" i="4"/>
  <c r="E630" i="4" s="1"/>
  <c r="I630" i="4"/>
  <c r="I649" i="4"/>
  <c r="D649" i="4"/>
  <c r="H649" i="4"/>
  <c r="C649" i="4"/>
  <c r="E649" i="4" s="1"/>
  <c r="J649" i="4"/>
  <c r="G649" i="4"/>
  <c r="L649" i="4"/>
  <c r="B649" i="4"/>
  <c r="I681" i="4"/>
  <c r="D681" i="4"/>
  <c r="L681" i="4"/>
  <c r="J681" i="4"/>
  <c r="C681" i="4"/>
  <c r="E681" i="4" s="1"/>
  <c r="H681" i="4"/>
  <c r="G681" i="4"/>
  <c r="B681" i="4"/>
  <c r="I725" i="4"/>
  <c r="D725" i="4"/>
  <c r="L725" i="4"/>
  <c r="J725" i="4"/>
  <c r="C725" i="4"/>
  <c r="E725" i="4" s="1"/>
  <c r="H725" i="4"/>
  <c r="G725" i="4"/>
  <c r="B725" i="4"/>
  <c r="I731" i="4"/>
  <c r="D731" i="4"/>
  <c r="L731" i="4"/>
  <c r="J731" i="4"/>
  <c r="C731" i="4"/>
  <c r="E731" i="4" s="1"/>
  <c r="G731" i="4"/>
  <c r="B731" i="4"/>
  <c r="H731" i="4"/>
  <c r="I763" i="4"/>
  <c r="D763" i="4"/>
  <c r="L763" i="4"/>
  <c r="J763" i="4"/>
  <c r="C763" i="4"/>
  <c r="E763" i="4" s="1"/>
  <c r="G763" i="4"/>
  <c r="B763" i="4"/>
  <c r="H763" i="4"/>
  <c r="I713" i="4"/>
  <c r="D713" i="4"/>
  <c r="L713" i="4"/>
  <c r="J713" i="4"/>
  <c r="C713" i="4"/>
  <c r="E713" i="4" s="1"/>
  <c r="B713" i="4"/>
  <c r="H713" i="4"/>
  <c r="G713" i="4"/>
  <c r="I745" i="4"/>
  <c r="D745" i="4"/>
  <c r="L745" i="4"/>
  <c r="J745" i="4"/>
  <c r="C745" i="4"/>
  <c r="E745" i="4" s="1"/>
  <c r="B745" i="4"/>
  <c r="H745" i="4"/>
  <c r="G745" i="4"/>
  <c r="H788" i="4"/>
  <c r="C788" i="4"/>
  <c r="E788" i="4" s="1"/>
  <c r="J788" i="4"/>
  <c r="D788" i="4"/>
  <c r="G788" i="4"/>
  <c r="B788" i="4"/>
  <c r="L788" i="4"/>
  <c r="I788" i="4"/>
  <c r="I727" i="4"/>
  <c r="D727" i="4"/>
  <c r="L727" i="4"/>
  <c r="J727" i="4"/>
  <c r="C727" i="4"/>
  <c r="E727" i="4" s="1"/>
  <c r="H727" i="4"/>
  <c r="G727" i="4"/>
  <c r="B727" i="4"/>
  <c r="I759" i="4"/>
  <c r="D759" i="4"/>
  <c r="L759" i="4"/>
  <c r="J759" i="4"/>
  <c r="C759" i="4"/>
  <c r="E759" i="4" s="1"/>
  <c r="H759" i="4"/>
  <c r="G759" i="4"/>
  <c r="B759" i="4"/>
  <c r="H878" i="4"/>
  <c r="C878" i="4"/>
  <c r="E878" i="4" s="1"/>
  <c r="J878" i="4"/>
  <c r="D878" i="4"/>
  <c r="I878" i="4"/>
  <c r="B878" i="4"/>
  <c r="L878" i="4"/>
  <c r="G878" i="4"/>
  <c r="L638" i="4"/>
  <c r="G638" i="4"/>
  <c r="B638" i="4"/>
  <c r="J638" i="4"/>
  <c r="C638" i="4"/>
  <c r="E638" i="4" s="1"/>
  <c r="H638" i="4"/>
  <c r="I638" i="4"/>
  <c r="D638" i="4"/>
  <c r="L646" i="4"/>
  <c r="G646" i="4"/>
  <c r="B646" i="4"/>
  <c r="J646" i="4"/>
  <c r="C646" i="4"/>
  <c r="E646" i="4" s="1"/>
  <c r="H646" i="4"/>
  <c r="D646" i="4"/>
  <c r="I646" i="4"/>
  <c r="L654" i="4"/>
  <c r="G654" i="4"/>
  <c r="B654" i="4"/>
  <c r="J654" i="4"/>
  <c r="C654" i="4"/>
  <c r="E654" i="4" s="1"/>
  <c r="I654" i="4"/>
  <c r="H654" i="4"/>
  <c r="D654" i="4"/>
  <c r="L662" i="4"/>
  <c r="G662" i="4"/>
  <c r="B662" i="4"/>
  <c r="J662" i="4"/>
  <c r="C662" i="4"/>
  <c r="E662" i="4" s="1"/>
  <c r="I662" i="4"/>
  <c r="H662" i="4"/>
  <c r="D662" i="4"/>
  <c r="L670" i="4"/>
  <c r="G670" i="4"/>
  <c r="B670" i="4"/>
  <c r="I670" i="4"/>
  <c r="C670" i="4"/>
  <c r="E670" i="4" s="1"/>
  <c r="H670" i="4"/>
  <c r="J670" i="4"/>
  <c r="D670" i="4"/>
  <c r="L678" i="4"/>
  <c r="G678" i="4"/>
  <c r="B678" i="4"/>
  <c r="I678" i="4"/>
  <c r="C678" i="4"/>
  <c r="E678" i="4" s="1"/>
  <c r="H678" i="4"/>
  <c r="J678" i="4"/>
  <c r="D678" i="4"/>
  <c r="L686" i="4"/>
  <c r="G686" i="4"/>
  <c r="B686" i="4"/>
  <c r="I686" i="4"/>
  <c r="C686" i="4"/>
  <c r="E686" i="4" s="1"/>
  <c r="H686" i="4"/>
  <c r="J686" i="4"/>
  <c r="D686" i="4"/>
  <c r="L694" i="4"/>
  <c r="G694" i="4"/>
  <c r="B694" i="4"/>
  <c r="I694" i="4"/>
  <c r="C694" i="4"/>
  <c r="E694" i="4" s="1"/>
  <c r="H694" i="4"/>
  <c r="J694" i="4"/>
  <c r="D694" i="4"/>
  <c r="L702" i="4"/>
  <c r="G702" i="4"/>
  <c r="B702" i="4"/>
  <c r="I702" i="4"/>
  <c r="C702" i="4"/>
  <c r="E702" i="4" s="1"/>
  <c r="H702" i="4"/>
  <c r="J702" i="4"/>
  <c r="D702" i="4"/>
  <c r="L710" i="4"/>
  <c r="G710" i="4"/>
  <c r="B710" i="4"/>
  <c r="I710" i="4"/>
  <c r="C710" i="4"/>
  <c r="E710" i="4" s="1"/>
  <c r="H710" i="4"/>
  <c r="J710" i="4"/>
  <c r="D710" i="4"/>
  <c r="L718" i="4"/>
  <c r="G718" i="4"/>
  <c r="B718" i="4"/>
  <c r="I718" i="4"/>
  <c r="C718" i="4"/>
  <c r="E718" i="4" s="1"/>
  <c r="H718" i="4"/>
  <c r="J718" i="4"/>
  <c r="D718" i="4"/>
  <c r="L726" i="4"/>
  <c r="G726" i="4"/>
  <c r="B726" i="4"/>
  <c r="I726" i="4"/>
  <c r="C726" i="4"/>
  <c r="E726" i="4" s="1"/>
  <c r="H726" i="4"/>
  <c r="J726" i="4"/>
  <c r="D726" i="4"/>
  <c r="L734" i="4"/>
  <c r="G734" i="4"/>
  <c r="B734" i="4"/>
  <c r="I734" i="4"/>
  <c r="C734" i="4"/>
  <c r="E734" i="4" s="1"/>
  <c r="H734" i="4"/>
  <c r="J734" i="4"/>
  <c r="D734" i="4"/>
  <c r="L742" i="4"/>
  <c r="G742" i="4"/>
  <c r="B742" i="4"/>
  <c r="I742" i="4"/>
  <c r="C742" i="4"/>
  <c r="E742" i="4" s="1"/>
  <c r="H742" i="4"/>
  <c r="J742" i="4"/>
  <c r="D742" i="4"/>
  <c r="L750" i="4"/>
  <c r="G750" i="4"/>
  <c r="B750" i="4"/>
  <c r="I750" i="4"/>
  <c r="C750" i="4"/>
  <c r="E750" i="4" s="1"/>
  <c r="H750" i="4"/>
  <c r="J750" i="4"/>
  <c r="D750" i="4"/>
  <c r="L758" i="4"/>
  <c r="G758" i="4"/>
  <c r="B758" i="4"/>
  <c r="I758" i="4"/>
  <c r="C758" i="4"/>
  <c r="E758" i="4" s="1"/>
  <c r="H758" i="4"/>
  <c r="J758" i="4"/>
  <c r="D758" i="4"/>
  <c r="L766" i="4"/>
  <c r="G766" i="4"/>
  <c r="B766" i="4"/>
  <c r="I766" i="4"/>
  <c r="C766" i="4"/>
  <c r="E766" i="4" s="1"/>
  <c r="H766" i="4"/>
  <c r="J766" i="4"/>
  <c r="D766" i="4"/>
  <c r="L774" i="4"/>
  <c r="G774" i="4"/>
  <c r="B774" i="4"/>
  <c r="I774" i="4"/>
  <c r="C774" i="4"/>
  <c r="E774" i="4" s="1"/>
  <c r="H774" i="4"/>
  <c r="J774" i="4"/>
  <c r="D774" i="4"/>
  <c r="H804" i="4"/>
  <c r="C804" i="4"/>
  <c r="E804" i="4" s="1"/>
  <c r="I804" i="4"/>
  <c r="B804" i="4"/>
  <c r="G804" i="4"/>
  <c r="D804" i="4"/>
  <c r="L804" i="4"/>
  <c r="J804" i="4"/>
  <c r="H824" i="4"/>
  <c r="C824" i="4"/>
  <c r="E824" i="4" s="1"/>
  <c r="L824" i="4"/>
  <c r="J824" i="4"/>
  <c r="D824" i="4"/>
  <c r="G824" i="4"/>
  <c r="B824" i="4"/>
  <c r="I824" i="4"/>
  <c r="H786" i="4"/>
  <c r="C786" i="4"/>
  <c r="E786" i="4" s="1"/>
  <c r="I786" i="4"/>
  <c r="B786" i="4"/>
  <c r="J786" i="4"/>
  <c r="G786" i="4"/>
  <c r="D786" i="4"/>
  <c r="L786" i="4"/>
  <c r="H822" i="4"/>
  <c r="C822" i="4"/>
  <c r="E822" i="4" s="1"/>
  <c r="J822" i="4"/>
  <c r="D822" i="4"/>
  <c r="I822" i="4"/>
  <c r="B822" i="4"/>
  <c r="G822" i="4"/>
  <c r="L822" i="4"/>
  <c r="L951" i="4"/>
  <c r="G951" i="4"/>
  <c r="B951" i="4"/>
  <c r="I951" i="4"/>
  <c r="C951" i="4"/>
  <c r="E951" i="4" s="1"/>
  <c r="H951" i="4"/>
  <c r="J951" i="4"/>
  <c r="D951" i="4"/>
  <c r="L892" i="4"/>
  <c r="G892" i="4"/>
  <c r="B892" i="4"/>
  <c r="J892" i="4"/>
  <c r="D892" i="4"/>
  <c r="C892" i="4"/>
  <c r="E892" i="4" s="1"/>
  <c r="H892" i="4"/>
  <c r="I892" i="4"/>
  <c r="L926" i="4"/>
  <c r="G926" i="4"/>
  <c r="B926" i="4"/>
  <c r="D926" i="4"/>
  <c r="I926" i="4"/>
  <c r="H926" i="4"/>
  <c r="C926" i="4"/>
  <c r="E926" i="4" s="1"/>
  <c r="J926" i="4"/>
  <c r="H792" i="4"/>
  <c r="C792" i="4"/>
  <c r="E792" i="4" s="1"/>
  <c r="G792" i="4"/>
  <c r="L792" i="4"/>
  <c r="D792" i="4"/>
  <c r="J792" i="4"/>
  <c r="B792" i="4"/>
  <c r="I792" i="4"/>
  <c r="H848" i="4"/>
  <c r="C848" i="4"/>
  <c r="E848" i="4" s="1"/>
  <c r="L848" i="4"/>
  <c r="J848" i="4"/>
  <c r="D848" i="4"/>
  <c r="I848" i="4"/>
  <c r="G848" i="4"/>
  <c r="B848" i="4"/>
  <c r="I925" i="4"/>
  <c r="D925" i="4"/>
  <c r="H925" i="4"/>
  <c r="B925" i="4"/>
  <c r="L925" i="4"/>
  <c r="C925" i="4"/>
  <c r="E925" i="4" s="1"/>
  <c r="J925" i="4"/>
  <c r="G925" i="4"/>
  <c r="L947" i="4"/>
  <c r="G947" i="4"/>
  <c r="B947" i="4"/>
  <c r="H947" i="4"/>
  <c r="D947" i="4"/>
  <c r="J947" i="4"/>
  <c r="I947" i="4"/>
  <c r="C947" i="4"/>
  <c r="E947" i="4" s="1"/>
  <c r="H852" i="4"/>
  <c r="C852" i="4"/>
  <c r="E852" i="4" s="1"/>
  <c r="I852" i="4"/>
  <c r="B852" i="4"/>
  <c r="G852" i="4"/>
  <c r="L852" i="4"/>
  <c r="D852" i="4"/>
  <c r="J852" i="4"/>
  <c r="L886" i="4"/>
  <c r="G886" i="4"/>
  <c r="B886" i="4"/>
  <c r="J886" i="4"/>
  <c r="D886" i="4"/>
  <c r="C886" i="4"/>
  <c r="E886" i="4" s="1"/>
  <c r="I886" i="4"/>
  <c r="H886" i="4"/>
  <c r="I913" i="4"/>
  <c r="D913" i="4"/>
  <c r="H913" i="4"/>
  <c r="B913" i="4"/>
  <c r="L913" i="4"/>
  <c r="C913" i="4"/>
  <c r="E913" i="4" s="1"/>
  <c r="J913" i="4"/>
  <c r="G913" i="4"/>
  <c r="I929" i="4"/>
  <c r="D929" i="4"/>
  <c r="H929" i="4"/>
  <c r="B929" i="4"/>
  <c r="L929" i="4"/>
  <c r="C929" i="4"/>
  <c r="E929" i="4" s="1"/>
  <c r="J929" i="4"/>
  <c r="G929" i="4"/>
  <c r="I954" i="4"/>
  <c r="D954" i="4"/>
  <c r="L954" i="4"/>
  <c r="C954" i="4"/>
  <c r="E954" i="4" s="1"/>
  <c r="G954" i="4"/>
  <c r="B954" i="4"/>
  <c r="J954" i="4"/>
  <c r="H954" i="4"/>
  <c r="H810" i="4"/>
  <c r="C810" i="4"/>
  <c r="E810" i="4" s="1"/>
  <c r="G810" i="4"/>
  <c r="J810" i="4"/>
  <c r="B810" i="4"/>
  <c r="D810" i="4"/>
  <c r="L810" i="4"/>
  <c r="I810" i="4"/>
  <c r="H842" i="4"/>
  <c r="C842" i="4"/>
  <c r="E842" i="4" s="1"/>
  <c r="G842" i="4"/>
  <c r="L842" i="4"/>
  <c r="J842" i="4"/>
  <c r="I842" i="4"/>
  <c r="D842" i="4"/>
  <c r="B842" i="4"/>
  <c r="H874" i="4"/>
  <c r="C874" i="4"/>
  <c r="E874" i="4" s="1"/>
  <c r="G874" i="4"/>
  <c r="L874" i="4"/>
  <c r="J874" i="4"/>
  <c r="I874" i="4"/>
  <c r="D874" i="4"/>
  <c r="B874" i="4"/>
  <c r="I915" i="4"/>
  <c r="D915" i="4"/>
  <c r="H915" i="4"/>
  <c r="B915" i="4"/>
  <c r="G915" i="4"/>
  <c r="L915" i="4"/>
  <c r="J915" i="4"/>
  <c r="C915" i="4"/>
  <c r="E915" i="4" s="1"/>
  <c r="L953" i="4"/>
  <c r="G953" i="4"/>
  <c r="B953" i="4"/>
  <c r="I953" i="4"/>
  <c r="C953" i="4"/>
  <c r="E953" i="4" s="1"/>
  <c r="D953" i="4"/>
  <c r="H953" i="4"/>
  <c r="J953" i="4"/>
  <c r="J783" i="4"/>
  <c r="I783" i="4"/>
  <c r="C783" i="4"/>
  <c r="E783" i="4" s="1"/>
  <c r="G783" i="4"/>
  <c r="D783" i="4"/>
  <c r="H783" i="4"/>
  <c r="B783" i="4"/>
  <c r="L783" i="4"/>
  <c r="J791" i="4"/>
  <c r="I791" i="4"/>
  <c r="C791" i="4"/>
  <c r="E791" i="4" s="1"/>
  <c r="H791" i="4"/>
  <c r="G791" i="4"/>
  <c r="L791" i="4"/>
  <c r="D791" i="4"/>
  <c r="B791" i="4"/>
  <c r="J799" i="4"/>
  <c r="H799" i="4"/>
  <c r="B799" i="4"/>
  <c r="G799" i="4"/>
  <c r="D799" i="4"/>
  <c r="C799" i="4"/>
  <c r="E799" i="4" s="1"/>
  <c r="L799" i="4"/>
  <c r="I799" i="4"/>
  <c r="J807" i="4"/>
  <c r="H807" i="4"/>
  <c r="B807" i="4"/>
  <c r="I807" i="4"/>
  <c r="C807" i="4"/>
  <c r="E807" i="4" s="1"/>
  <c r="L807" i="4"/>
  <c r="G807" i="4"/>
  <c r="D807" i="4"/>
  <c r="J815" i="4"/>
  <c r="H815" i="4"/>
  <c r="B815" i="4"/>
  <c r="L815" i="4"/>
  <c r="C815" i="4"/>
  <c r="E815" i="4" s="1"/>
  <c r="D815" i="4"/>
  <c r="I815" i="4"/>
  <c r="G815" i="4"/>
  <c r="J823" i="4"/>
  <c r="H823" i="4"/>
  <c r="B823" i="4"/>
  <c r="G823" i="4"/>
  <c r="D823" i="4"/>
  <c r="L823" i="4"/>
  <c r="I823" i="4"/>
  <c r="C823" i="4"/>
  <c r="E823" i="4" s="1"/>
  <c r="J831" i="4"/>
  <c r="H831" i="4"/>
  <c r="B831" i="4"/>
  <c r="G831" i="4"/>
  <c r="L831" i="4"/>
  <c r="C831" i="4"/>
  <c r="E831" i="4" s="1"/>
  <c r="I831" i="4"/>
  <c r="D831" i="4"/>
  <c r="J839" i="4"/>
  <c r="H839" i="4"/>
  <c r="B839" i="4"/>
  <c r="G839" i="4"/>
  <c r="D839" i="4"/>
  <c r="L839" i="4"/>
  <c r="I839" i="4"/>
  <c r="C839" i="4"/>
  <c r="E839" i="4" s="1"/>
  <c r="J847" i="4"/>
  <c r="H847" i="4"/>
  <c r="B847" i="4"/>
  <c r="G847" i="4"/>
  <c r="L847" i="4"/>
  <c r="D847" i="4"/>
  <c r="C847" i="4"/>
  <c r="E847" i="4" s="1"/>
  <c r="I847" i="4"/>
  <c r="J855" i="4"/>
  <c r="H855" i="4"/>
  <c r="B855" i="4"/>
  <c r="G855" i="4"/>
  <c r="D855" i="4"/>
  <c r="C855" i="4"/>
  <c r="E855" i="4" s="1"/>
  <c r="L855" i="4"/>
  <c r="I855" i="4"/>
  <c r="J863" i="4"/>
  <c r="H863" i="4"/>
  <c r="B863" i="4"/>
  <c r="G863" i="4"/>
  <c r="L863" i="4"/>
  <c r="D863" i="4"/>
  <c r="C863" i="4"/>
  <c r="E863" i="4" s="1"/>
  <c r="I863" i="4"/>
  <c r="J871" i="4"/>
  <c r="H871" i="4"/>
  <c r="B871" i="4"/>
  <c r="G871" i="4"/>
  <c r="D871" i="4"/>
  <c r="C871" i="4"/>
  <c r="E871" i="4" s="1"/>
  <c r="L871" i="4"/>
  <c r="I871" i="4"/>
  <c r="J879" i="4"/>
  <c r="H879" i="4"/>
  <c r="B879" i="4"/>
  <c r="G879" i="4"/>
  <c r="L879" i="4"/>
  <c r="I879" i="4"/>
  <c r="D879" i="4"/>
  <c r="C879" i="4"/>
  <c r="E879" i="4" s="1"/>
  <c r="I887" i="4"/>
  <c r="D887" i="4"/>
  <c r="G887" i="4"/>
  <c r="L887" i="4"/>
  <c r="C887" i="4"/>
  <c r="E887" i="4" s="1"/>
  <c r="J887" i="4"/>
  <c r="H887" i="4"/>
  <c r="B887" i="4"/>
  <c r="I895" i="4"/>
  <c r="D895" i="4"/>
  <c r="G895" i="4"/>
  <c r="L895" i="4"/>
  <c r="C895" i="4"/>
  <c r="E895" i="4" s="1"/>
  <c r="B895" i="4"/>
  <c r="J895" i="4"/>
  <c r="H895" i="4"/>
  <c r="I903" i="4"/>
  <c r="D903" i="4"/>
  <c r="G903" i="4"/>
  <c r="L903" i="4"/>
  <c r="C903" i="4"/>
  <c r="E903" i="4" s="1"/>
  <c r="J903" i="4"/>
  <c r="H903" i="4"/>
  <c r="B903" i="4"/>
  <c r="I911" i="4"/>
  <c r="D911" i="4"/>
  <c r="H911" i="4"/>
  <c r="G911" i="4"/>
  <c r="C911" i="4"/>
  <c r="E911" i="4" s="1"/>
  <c r="L911" i="4"/>
  <c r="B911" i="4"/>
  <c r="J911" i="4"/>
  <c r="L924" i="4"/>
  <c r="G924" i="4"/>
  <c r="B924" i="4"/>
  <c r="I924" i="4"/>
  <c r="J924" i="4"/>
  <c r="H924" i="4"/>
  <c r="D924" i="4"/>
  <c r="C924" i="4"/>
  <c r="E924" i="4" s="1"/>
  <c r="L961" i="4"/>
  <c r="G961" i="4"/>
  <c r="B961" i="4"/>
  <c r="I961" i="4"/>
  <c r="C961" i="4"/>
  <c r="E961" i="4" s="1"/>
  <c r="D961" i="4"/>
  <c r="H961" i="4"/>
  <c r="J961" i="4"/>
  <c r="L945" i="4"/>
  <c r="G945" i="4"/>
  <c r="B945" i="4"/>
  <c r="J945" i="4"/>
  <c r="C945" i="4"/>
  <c r="E945" i="4" s="1"/>
  <c r="I945" i="4"/>
  <c r="H945" i="4"/>
  <c r="D945" i="4"/>
  <c r="I970" i="4"/>
  <c r="D970" i="4"/>
  <c r="L970" i="4"/>
  <c r="J970" i="4"/>
  <c r="C970" i="4"/>
  <c r="E970" i="4" s="1"/>
  <c r="G970" i="4"/>
  <c r="B970" i="4"/>
  <c r="H970" i="4"/>
  <c r="L930" i="4"/>
  <c r="G930" i="4"/>
  <c r="B930" i="4"/>
  <c r="H930" i="4"/>
  <c r="J930" i="4"/>
  <c r="D930" i="4"/>
  <c r="C930" i="4"/>
  <c r="E930" i="4" s="1"/>
  <c r="I930" i="4"/>
  <c r="L938" i="4"/>
  <c r="G938" i="4"/>
  <c r="B938" i="4"/>
  <c r="H938" i="4"/>
  <c r="J938" i="4"/>
  <c r="I938" i="4"/>
  <c r="D938" i="4"/>
  <c r="C938" i="4"/>
  <c r="E938" i="4" s="1"/>
  <c r="L957" i="4"/>
  <c r="G957" i="4"/>
  <c r="B957" i="4"/>
  <c r="I957" i="4"/>
  <c r="C957" i="4"/>
  <c r="E957" i="4" s="1"/>
  <c r="D957" i="4"/>
  <c r="J957" i="4"/>
  <c r="H957" i="4"/>
  <c r="I956" i="4"/>
  <c r="D956" i="4"/>
  <c r="L956" i="4"/>
  <c r="H956" i="4"/>
  <c r="B956" i="4"/>
  <c r="J956" i="4"/>
  <c r="C956" i="4"/>
  <c r="E956" i="4" s="1"/>
  <c r="G956" i="4"/>
  <c r="I974" i="4"/>
  <c r="D974" i="4"/>
  <c r="L974" i="4"/>
  <c r="J974" i="4"/>
  <c r="C974" i="4"/>
  <c r="E974" i="4" s="1"/>
  <c r="B974" i="4"/>
  <c r="G974" i="4"/>
  <c r="H974" i="4"/>
  <c r="L967" i="4"/>
  <c r="G967" i="4"/>
  <c r="B967" i="4"/>
  <c r="I967" i="4"/>
  <c r="C967" i="4"/>
  <c r="E967" i="4" s="1"/>
  <c r="H967" i="4"/>
  <c r="D967" i="4"/>
  <c r="J967" i="4"/>
  <c r="L975" i="4"/>
  <c r="G975" i="4"/>
  <c r="B975" i="4"/>
  <c r="I975" i="4"/>
  <c r="C975" i="4"/>
  <c r="E975" i="4" s="1"/>
  <c r="H975" i="4"/>
  <c r="D975" i="4"/>
  <c r="J975" i="4"/>
  <c r="H998" i="4"/>
  <c r="C998" i="4"/>
  <c r="E998" i="4" s="1"/>
  <c r="I998" i="4"/>
  <c r="B998" i="4"/>
  <c r="L998" i="4"/>
  <c r="D998" i="4"/>
  <c r="J998" i="4"/>
  <c r="G998" i="4"/>
  <c r="J979" i="4"/>
  <c r="I979" i="4"/>
  <c r="C979" i="4"/>
  <c r="E979" i="4" s="1"/>
  <c r="L979" i="4"/>
  <c r="B979" i="4"/>
  <c r="H979" i="4"/>
  <c r="D979" i="4"/>
  <c r="G979" i="4"/>
  <c r="H996" i="4"/>
  <c r="C996" i="4"/>
  <c r="E996" i="4" s="1"/>
  <c r="G996" i="4"/>
  <c r="L996" i="4"/>
  <c r="D996" i="4"/>
  <c r="J996" i="4"/>
  <c r="B996" i="4"/>
  <c r="I996" i="4"/>
  <c r="J991" i="4"/>
  <c r="G991" i="4"/>
  <c r="L991" i="4"/>
  <c r="C991" i="4"/>
  <c r="E991" i="4" s="1"/>
  <c r="I991" i="4"/>
  <c r="B991" i="4"/>
  <c r="H991" i="4"/>
  <c r="D991" i="4"/>
  <c r="J999" i="4"/>
  <c r="G999" i="4"/>
  <c r="D999" i="4"/>
  <c r="L999" i="4"/>
  <c r="C999" i="4"/>
  <c r="E999" i="4" s="1"/>
  <c r="I999" i="4"/>
  <c r="H999" i="4"/>
  <c r="B999" i="4"/>
  <c r="L17" i="4"/>
  <c r="G17" i="4"/>
  <c r="B17" i="4"/>
  <c r="J17" i="4"/>
  <c r="I17" i="4"/>
  <c r="D17" i="4"/>
  <c r="H17" i="4"/>
  <c r="C17" i="4"/>
  <c r="E17" i="4" s="1"/>
  <c r="H104" i="4"/>
  <c r="C104" i="4"/>
  <c r="E104" i="4" s="1"/>
  <c r="I104" i="4"/>
  <c r="B104" i="4"/>
  <c r="G104" i="4"/>
  <c r="L104" i="4"/>
  <c r="J104" i="4"/>
  <c r="D104" i="4"/>
  <c r="I138" i="4"/>
  <c r="D138" i="4"/>
  <c r="H138" i="4"/>
  <c r="C138" i="4"/>
  <c r="E138" i="4" s="1"/>
  <c r="L138" i="4"/>
  <c r="B138" i="4"/>
  <c r="J138" i="4"/>
  <c r="G138" i="4"/>
  <c r="I170" i="4"/>
  <c r="D170" i="4"/>
  <c r="H170" i="4"/>
  <c r="C170" i="4"/>
  <c r="E170" i="4" s="1"/>
  <c r="L170" i="4"/>
  <c r="B170" i="4"/>
  <c r="J170" i="4"/>
  <c r="G170" i="4"/>
  <c r="I202" i="4"/>
  <c r="D202" i="4"/>
  <c r="H202" i="4"/>
  <c r="C202" i="4"/>
  <c r="E202" i="4" s="1"/>
  <c r="L202" i="4"/>
  <c r="B202" i="4"/>
  <c r="J202" i="4"/>
  <c r="G202" i="4"/>
  <c r="I236" i="4"/>
  <c r="D236" i="4"/>
  <c r="H236" i="4"/>
  <c r="C236" i="4"/>
  <c r="E236" i="4" s="1"/>
  <c r="L236" i="4"/>
  <c r="G236" i="4"/>
  <c r="B236" i="4"/>
  <c r="J236" i="4"/>
  <c r="J18" i="4"/>
  <c r="I18" i="4"/>
  <c r="D18" i="4"/>
  <c r="H18" i="4"/>
  <c r="C18" i="4"/>
  <c r="E18" i="4" s="1"/>
  <c r="L18" i="4"/>
  <c r="G18" i="4"/>
  <c r="B18" i="4"/>
  <c r="J33" i="4"/>
  <c r="I33" i="4"/>
  <c r="D33" i="4"/>
  <c r="H33" i="4"/>
  <c r="C33" i="4"/>
  <c r="E33" i="4" s="1"/>
  <c r="L33" i="4"/>
  <c r="G33" i="4"/>
  <c r="B33" i="4"/>
  <c r="J41" i="4"/>
  <c r="I41" i="4"/>
  <c r="D41" i="4"/>
  <c r="H41" i="4"/>
  <c r="C41" i="4"/>
  <c r="E41" i="4" s="1"/>
  <c r="L41" i="4"/>
  <c r="G41" i="4"/>
  <c r="B41" i="4"/>
  <c r="J49" i="4"/>
  <c r="I49" i="4"/>
  <c r="D49" i="4"/>
  <c r="H49" i="4"/>
  <c r="C49" i="4"/>
  <c r="E49" i="4" s="1"/>
  <c r="L49" i="4"/>
  <c r="G49" i="4"/>
  <c r="B49" i="4"/>
  <c r="J57" i="4"/>
  <c r="I57" i="4"/>
  <c r="D57" i="4"/>
  <c r="H57" i="4"/>
  <c r="C57" i="4"/>
  <c r="E57" i="4" s="1"/>
  <c r="L57" i="4"/>
  <c r="G57" i="4"/>
  <c r="B57" i="4"/>
  <c r="J65" i="4"/>
  <c r="I65" i="4"/>
  <c r="D65" i="4"/>
  <c r="H65" i="4"/>
  <c r="C65" i="4"/>
  <c r="E65" i="4" s="1"/>
  <c r="L65" i="4"/>
  <c r="G65" i="4"/>
  <c r="B65" i="4"/>
  <c r="J73" i="4"/>
  <c r="I73" i="4"/>
  <c r="D73" i="4"/>
  <c r="H73" i="4"/>
  <c r="C73" i="4"/>
  <c r="E73" i="4" s="1"/>
  <c r="L73" i="4"/>
  <c r="G73" i="4"/>
  <c r="B73" i="4"/>
  <c r="J81" i="4"/>
  <c r="I81" i="4"/>
  <c r="D81" i="4"/>
  <c r="H81" i="4"/>
  <c r="C81" i="4"/>
  <c r="E81" i="4" s="1"/>
  <c r="L81" i="4"/>
  <c r="G81" i="4"/>
  <c r="B81" i="4"/>
  <c r="J89" i="4"/>
  <c r="I89" i="4"/>
  <c r="D89" i="4"/>
  <c r="H89" i="4"/>
  <c r="C89" i="4"/>
  <c r="E89" i="4" s="1"/>
  <c r="L89" i="4"/>
  <c r="G89" i="4"/>
  <c r="B89" i="4"/>
  <c r="J97" i="4"/>
  <c r="I97" i="4"/>
  <c r="D97" i="4"/>
  <c r="H97" i="4"/>
  <c r="C97" i="4"/>
  <c r="E97" i="4" s="1"/>
  <c r="L97" i="4"/>
  <c r="G97" i="4"/>
  <c r="B97" i="4"/>
  <c r="I120" i="4"/>
  <c r="D120" i="4"/>
  <c r="H120" i="4"/>
  <c r="C120" i="4"/>
  <c r="E120" i="4" s="1"/>
  <c r="J120" i="4"/>
  <c r="G120" i="4"/>
  <c r="L120" i="4"/>
  <c r="B120" i="4"/>
  <c r="I152" i="4"/>
  <c r="D152" i="4"/>
  <c r="H152" i="4"/>
  <c r="C152" i="4"/>
  <c r="E152" i="4" s="1"/>
  <c r="J152" i="4"/>
  <c r="G152" i="4"/>
  <c r="L152" i="4"/>
  <c r="B152" i="4"/>
  <c r="I184" i="4"/>
  <c r="D184" i="4"/>
  <c r="H184" i="4"/>
  <c r="C184" i="4"/>
  <c r="E184" i="4" s="1"/>
  <c r="J184" i="4"/>
  <c r="G184" i="4"/>
  <c r="L184" i="4"/>
  <c r="B184" i="4"/>
  <c r="I216" i="4"/>
  <c r="D216" i="4"/>
  <c r="H216" i="4"/>
  <c r="C216" i="4"/>
  <c r="E216" i="4" s="1"/>
  <c r="J216" i="4"/>
  <c r="G216" i="4"/>
  <c r="L216" i="4"/>
  <c r="B216" i="4"/>
  <c r="I250" i="4"/>
  <c r="D250" i="4"/>
  <c r="H250" i="4"/>
  <c r="C250" i="4"/>
  <c r="E250" i="4" s="1"/>
  <c r="L250" i="4"/>
  <c r="G250" i="4"/>
  <c r="B250" i="4"/>
  <c r="J250" i="4"/>
  <c r="I258" i="4"/>
  <c r="D258" i="4"/>
  <c r="H258" i="4"/>
  <c r="C258" i="4"/>
  <c r="E258" i="4" s="1"/>
  <c r="L258" i="4"/>
  <c r="G258" i="4"/>
  <c r="B258" i="4"/>
  <c r="J258" i="4"/>
  <c r="I266" i="4"/>
  <c r="D266" i="4"/>
  <c r="H266" i="4"/>
  <c r="C266" i="4"/>
  <c r="E266" i="4" s="1"/>
  <c r="L266" i="4"/>
  <c r="G266" i="4"/>
  <c r="B266" i="4"/>
  <c r="J266" i="4"/>
  <c r="I274" i="4"/>
  <c r="D274" i="4"/>
  <c r="H274" i="4"/>
  <c r="C274" i="4"/>
  <c r="E274" i="4" s="1"/>
  <c r="L274" i="4"/>
  <c r="G274" i="4"/>
  <c r="B274" i="4"/>
  <c r="J274" i="4"/>
  <c r="I282" i="4"/>
  <c r="D282" i="4"/>
  <c r="H282" i="4"/>
  <c r="C282" i="4"/>
  <c r="E282" i="4" s="1"/>
  <c r="L282" i="4"/>
  <c r="G282" i="4"/>
  <c r="B282" i="4"/>
  <c r="J282" i="4"/>
  <c r="I290" i="4"/>
  <c r="D290" i="4"/>
  <c r="H290" i="4"/>
  <c r="C290" i="4"/>
  <c r="E290" i="4" s="1"/>
  <c r="L290" i="4"/>
  <c r="G290" i="4"/>
  <c r="B290" i="4"/>
  <c r="J290" i="4"/>
  <c r="I298" i="4"/>
  <c r="D298" i="4"/>
  <c r="H298" i="4"/>
  <c r="C298" i="4"/>
  <c r="E298" i="4" s="1"/>
  <c r="L298" i="4"/>
  <c r="G298" i="4"/>
  <c r="B298" i="4"/>
  <c r="J298" i="4"/>
  <c r="I306" i="4"/>
  <c r="D306" i="4"/>
  <c r="H306" i="4"/>
  <c r="C306" i="4"/>
  <c r="E306" i="4" s="1"/>
  <c r="L306" i="4"/>
  <c r="G306" i="4"/>
  <c r="B306" i="4"/>
  <c r="J306" i="4"/>
  <c r="I314" i="4"/>
  <c r="D314" i="4"/>
  <c r="H314" i="4"/>
  <c r="C314" i="4"/>
  <c r="E314" i="4" s="1"/>
  <c r="L314" i="4"/>
  <c r="G314" i="4"/>
  <c r="B314" i="4"/>
  <c r="J314" i="4"/>
  <c r="I322" i="4"/>
  <c r="D322" i="4"/>
  <c r="H322" i="4"/>
  <c r="C322" i="4"/>
  <c r="E322" i="4" s="1"/>
  <c r="L322" i="4"/>
  <c r="G322" i="4"/>
  <c r="B322" i="4"/>
  <c r="J322" i="4"/>
  <c r="I340" i="4"/>
  <c r="D340" i="4"/>
  <c r="H340" i="4"/>
  <c r="C340" i="4"/>
  <c r="E340" i="4" s="1"/>
  <c r="G340" i="4"/>
  <c r="L340" i="4"/>
  <c r="B340" i="4"/>
  <c r="J340" i="4"/>
  <c r="I372" i="4"/>
  <c r="D372" i="4"/>
  <c r="H372" i="4"/>
  <c r="C372" i="4"/>
  <c r="E372" i="4" s="1"/>
  <c r="G372" i="4"/>
  <c r="L372" i="4"/>
  <c r="B372" i="4"/>
  <c r="J372" i="4"/>
  <c r="I404" i="4"/>
  <c r="D404" i="4"/>
  <c r="H404" i="4"/>
  <c r="C404" i="4"/>
  <c r="E404" i="4" s="1"/>
  <c r="G404" i="4"/>
  <c r="L404" i="4"/>
  <c r="B404" i="4"/>
  <c r="J404" i="4"/>
  <c r="I436" i="4"/>
  <c r="D436" i="4"/>
  <c r="H436" i="4"/>
  <c r="C436" i="4"/>
  <c r="E436" i="4" s="1"/>
  <c r="G436" i="4"/>
  <c r="L436" i="4"/>
  <c r="B436" i="4"/>
  <c r="J436" i="4"/>
  <c r="H326" i="4"/>
  <c r="C326" i="4"/>
  <c r="E326" i="4" s="1"/>
  <c r="J326" i="4"/>
  <c r="D326" i="4"/>
  <c r="I326" i="4"/>
  <c r="B326" i="4"/>
  <c r="G326" i="4"/>
  <c r="L326" i="4"/>
  <c r="I354" i="4"/>
  <c r="D354" i="4"/>
  <c r="H354" i="4"/>
  <c r="C354" i="4"/>
  <c r="E354" i="4" s="1"/>
  <c r="L354" i="4"/>
  <c r="B354" i="4"/>
  <c r="J354" i="4"/>
  <c r="G354" i="4"/>
  <c r="I386" i="4"/>
  <c r="D386" i="4"/>
  <c r="H386" i="4"/>
  <c r="C386" i="4"/>
  <c r="E386" i="4" s="1"/>
  <c r="L386" i="4"/>
  <c r="B386" i="4"/>
  <c r="J386" i="4"/>
  <c r="G386" i="4"/>
  <c r="I418" i="4"/>
  <c r="D418" i="4"/>
  <c r="H418" i="4"/>
  <c r="C418" i="4"/>
  <c r="E418" i="4" s="1"/>
  <c r="L418" i="4"/>
  <c r="B418" i="4"/>
  <c r="J418" i="4"/>
  <c r="G418" i="4"/>
  <c r="I450" i="4"/>
  <c r="D450" i="4"/>
  <c r="H450" i="4"/>
  <c r="C450" i="4"/>
  <c r="E450" i="4" s="1"/>
  <c r="L450" i="4"/>
  <c r="B450" i="4"/>
  <c r="J450" i="4"/>
  <c r="G450" i="4"/>
  <c r="J103" i="4"/>
  <c r="L103" i="4"/>
  <c r="D103" i="4"/>
  <c r="I103" i="4"/>
  <c r="C103" i="4"/>
  <c r="E103" i="4" s="1"/>
  <c r="H103" i="4"/>
  <c r="B103" i="4"/>
  <c r="G103" i="4"/>
  <c r="L111" i="4"/>
  <c r="G111" i="4"/>
  <c r="B111" i="4"/>
  <c r="J111" i="4"/>
  <c r="D111" i="4"/>
  <c r="C111" i="4"/>
  <c r="E111" i="4" s="1"/>
  <c r="I111" i="4"/>
  <c r="H111" i="4"/>
  <c r="L119" i="4"/>
  <c r="G119" i="4"/>
  <c r="B119" i="4"/>
  <c r="J119" i="4"/>
  <c r="D119" i="4"/>
  <c r="C119" i="4"/>
  <c r="E119" i="4" s="1"/>
  <c r="I119" i="4"/>
  <c r="H119" i="4"/>
  <c r="L127" i="4"/>
  <c r="G127" i="4"/>
  <c r="B127" i="4"/>
  <c r="J127" i="4"/>
  <c r="D127" i="4"/>
  <c r="C127" i="4"/>
  <c r="E127" i="4" s="1"/>
  <c r="I127" i="4"/>
  <c r="H127" i="4"/>
  <c r="L135" i="4"/>
  <c r="G135" i="4"/>
  <c r="B135" i="4"/>
  <c r="J135" i="4"/>
  <c r="D135" i="4"/>
  <c r="C135" i="4"/>
  <c r="E135" i="4" s="1"/>
  <c r="I135" i="4"/>
  <c r="H135" i="4"/>
  <c r="L143" i="4"/>
  <c r="G143" i="4"/>
  <c r="B143" i="4"/>
  <c r="J143" i="4"/>
  <c r="D143" i="4"/>
  <c r="C143" i="4"/>
  <c r="E143" i="4" s="1"/>
  <c r="I143" i="4"/>
  <c r="H143" i="4"/>
  <c r="L151" i="4"/>
  <c r="G151" i="4"/>
  <c r="B151" i="4"/>
  <c r="J151" i="4"/>
  <c r="D151" i="4"/>
  <c r="C151" i="4"/>
  <c r="E151" i="4" s="1"/>
  <c r="I151" i="4"/>
  <c r="H151" i="4"/>
  <c r="L159" i="4"/>
  <c r="G159" i="4"/>
  <c r="B159" i="4"/>
  <c r="J159" i="4"/>
  <c r="D159" i="4"/>
  <c r="C159" i="4"/>
  <c r="E159" i="4" s="1"/>
  <c r="I159" i="4"/>
  <c r="H159" i="4"/>
  <c r="L167" i="4"/>
  <c r="G167" i="4"/>
  <c r="B167" i="4"/>
  <c r="J167" i="4"/>
  <c r="D167" i="4"/>
  <c r="C167" i="4"/>
  <c r="E167" i="4" s="1"/>
  <c r="I167" i="4"/>
  <c r="H167" i="4"/>
  <c r="L175" i="4"/>
  <c r="G175" i="4"/>
  <c r="B175" i="4"/>
  <c r="J175" i="4"/>
  <c r="D175" i="4"/>
  <c r="C175" i="4"/>
  <c r="E175" i="4" s="1"/>
  <c r="I175" i="4"/>
  <c r="H175" i="4"/>
  <c r="L183" i="4"/>
  <c r="G183" i="4"/>
  <c r="B183" i="4"/>
  <c r="J183" i="4"/>
  <c r="D183" i="4"/>
  <c r="C183" i="4"/>
  <c r="E183" i="4" s="1"/>
  <c r="I183" i="4"/>
  <c r="H183" i="4"/>
  <c r="L191" i="4"/>
  <c r="G191" i="4"/>
  <c r="B191" i="4"/>
  <c r="J191" i="4"/>
  <c r="D191" i="4"/>
  <c r="C191" i="4"/>
  <c r="E191" i="4" s="1"/>
  <c r="I191" i="4"/>
  <c r="H191" i="4"/>
  <c r="L199" i="4"/>
  <c r="G199" i="4"/>
  <c r="B199" i="4"/>
  <c r="J199" i="4"/>
  <c r="D199" i="4"/>
  <c r="C199" i="4"/>
  <c r="E199" i="4" s="1"/>
  <c r="I199" i="4"/>
  <c r="H199" i="4"/>
  <c r="L207" i="4"/>
  <c r="G207" i="4"/>
  <c r="B207" i="4"/>
  <c r="J207" i="4"/>
  <c r="D207" i="4"/>
  <c r="C207" i="4"/>
  <c r="E207" i="4" s="1"/>
  <c r="I207" i="4"/>
  <c r="H207" i="4"/>
  <c r="L215" i="4"/>
  <c r="G215" i="4"/>
  <c r="B215" i="4"/>
  <c r="J215" i="4"/>
  <c r="D215" i="4"/>
  <c r="C215" i="4"/>
  <c r="E215" i="4" s="1"/>
  <c r="I215" i="4"/>
  <c r="H215" i="4"/>
  <c r="L223" i="4"/>
  <c r="G223" i="4"/>
  <c r="B223" i="4"/>
  <c r="J223" i="4"/>
  <c r="I223" i="4"/>
  <c r="D223" i="4"/>
  <c r="C223" i="4"/>
  <c r="E223" i="4" s="1"/>
  <c r="H223" i="4"/>
  <c r="L231" i="4"/>
  <c r="G231" i="4"/>
  <c r="B231" i="4"/>
  <c r="J231" i="4"/>
  <c r="I231" i="4"/>
  <c r="D231" i="4"/>
  <c r="C231" i="4"/>
  <c r="E231" i="4" s="1"/>
  <c r="H231" i="4"/>
  <c r="L239" i="4"/>
  <c r="G239" i="4"/>
  <c r="B239" i="4"/>
  <c r="J239" i="4"/>
  <c r="I239" i="4"/>
  <c r="D239" i="4"/>
  <c r="C239" i="4"/>
  <c r="E239" i="4" s="1"/>
  <c r="H239" i="4"/>
  <c r="L247" i="4"/>
  <c r="G247" i="4"/>
  <c r="B247" i="4"/>
  <c r="J247" i="4"/>
  <c r="I247" i="4"/>
  <c r="D247" i="4"/>
  <c r="C247" i="4"/>
  <c r="E247" i="4" s="1"/>
  <c r="H247" i="4"/>
  <c r="L255" i="4"/>
  <c r="G255" i="4"/>
  <c r="B255" i="4"/>
  <c r="J255" i="4"/>
  <c r="I255" i="4"/>
  <c r="D255" i="4"/>
  <c r="H255" i="4"/>
  <c r="C255" i="4"/>
  <c r="E255" i="4" s="1"/>
  <c r="L263" i="4"/>
  <c r="G263" i="4"/>
  <c r="B263" i="4"/>
  <c r="J263" i="4"/>
  <c r="I263" i="4"/>
  <c r="D263" i="4"/>
  <c r="H263" i="4"/>
  <c r="C263" i="4"/>
  <c r="E263" i="4" s="1"/>
  <c r="L271" i="4"/>
  <c r="G271" i="4"/>
  <c r="B271" i="4"/>
  <c r="J271" i="4"/>
  <c r="I271" i="4"/>
  <c r="D271" i="4"/>
  <c r="H271" i="4"/>
  <c r="C271" i="4"/>
  <c r="E271" i="4" s="1"/>
  <c r="L279" i="4"/>
  <c r="G279" i="4"/>
  <c r="B279" i="4"/>
  <c r="J279" i="4"/>
  <c r="I279" i="4"/>
  <c r="D279" i="4"/>
  <c r="H279" i="4"/>
  <c r="C279" i="4"/>
  <c r="E279" i="4" s="1"/>
  <c r="L287" i="4"/>
  <c r="G287" i="4"/>
  <c r="B287" i="4"/>
  <c r="J287" i="4"/>
  <c r="I287" i="4"/>
  <c r="D287" i="4"/>
  <c r="H287" i="4"/>
  <c r="C287" i="4"/>
  <c r="E287" i="4" s="1"/>
  <c r="L295" i="4"/>
  <c r="G295" i="4"/>
  <c r="B295" i="4"/>
  <c r="J295" i="4"/>
  <c r="I295" i="4"/>
  <c r="D295" i="4"/>
  <c r="H295" i="4"/>
  <c r="C295" i="4"/>
  <c r="E295" i="4" s="1"/>
  <c r="L303" i="4"/>
  <c r="G303" i="4"/>
  <c r="B303" i="4"/>
  <c r="J303" i="4"/>
  <c r="I303" i="4"/>
  <c r="D303" i="4"/>
  <c r="H303" i="4"/>
  <c r="C303" i="4"/>
  <c r="E303" i="4" s="1"/>
  <c r="L311" i="4"/>
  <c r="G311" i="4"/>
  <c r="B311" i="4"/>
  <c r="J311" i="4"/>
  <c r="I311" i="4"/>
  <c r="D311" i="4"/>
  <c r="H311" i="4"/>
  <c r="C311" i="4"/>
  <c r="E311" i="4" s="1"/>
  <c r="L319" i="4"/>
  <c r="G319" i="4"/>
  <c r="B319" i="4"/>
  <c r="J319" i="4"/>
  <c r="I319" i="4"/>
  <c r="D319" i="4"/>
  <c r="H319" i="4"/>
  <c r="C319" i="4"/>
  <c r="E319" i="4" s="1"/>
  <c r="H332" i="4"/>
  <c r="C332" i="4"/>
  <c r="E332" i="4" s="1"/>
  <c r="I332" i="4"/>
  <c r="B332" i="4"/>
  <c r="G332" i="4"/>
  <c r="L332" i="4"/>
  <c r="J332" i="4"/>
  <c r="D332" i="4"/>
  <c r="I368" i="4"/>
  <c r="D368" i="4"/>
  <c r="H368" i="4"/>
  <c r="C368" i="4"/>
  <c r="E368" i="4" s="1"/>
  <c r="L368" i="4"/>
  <c r="B368" i="4"/>
  <c r="J368" i="4"/>
  <c r="G368" i="4"/>
  <c r="I400" i="4"/>
  <c r="D400" i="4"/>
  <c r="H400" i="4"/>
  <c r="C400" i="4"/>
  <c r="E400" i="4" s="1"/>
  <c r="L400" i="4"/>
  <c r="B400" i="4"/>
  <c r="J400" i="4"/>
  <c r="G400" i="4"/>
  <c r="I432" i="4"/>
  <c r="D432" i="4"/>
  <c r="H432" i="4"/>
  <c r="C432" i="4"/>
  <c r="E432" i="4" s="1"/>
  <c r="L432" i="4"/>
  <c r="B432" i="4"/>
  <c r="J432" i="4"/>
  <c r="G432" i="4"/>
  <c r="H468" i="4"/>
  <c r="C468" i="4"/>
  <c r="E468" i="4" s="1"/>
  <c r="L468" i="4"/>
  <c r="J468" i="4"/>
  <c r="D468" i="4"/>
  <c r="B468" i="4"/>
  <c r="I468" i="4"/>
  <c r="G468" i="4"/>
  <c r="I358" i="4"/>
  <c r="D358" i="4"/>
  <c r="H358" i="4"/>
  <c r="C358" i="4"/>
  <c r="E358" i="4" s="1"/>
  <c r="J358" i="4"/>
  <c r="G358" i="4"/>
  <c r="L358" i="4"/>
  <c r="B358" i="4"/>
  <c r="I390" i="4"/>
  <c r="D390" i="4"/>
  <c r="H390" i="4"/>
  <c r="C390" i="4"/>
  <c r="E390" i="4" s="1"/>
  <c r="J390" i="4"/>
  <c r="G390" i="4"/>
  <c r="L390" i="4"/>
  <c r="B390" i="4"/>
  <c r="I422" i="4"/>
  <c r="D422" i="4"/>
  <c r="H422" i="4"/>
  <c r="C422" i="4"/>
  <c r="E422" i="4" s="1"/>
  <c r="J422" i="4"/>
  <c r="G422" i="4"/>
  <c r="L422" i="4"/>
  <c r="B422" i="4"/>
  <c r="I454" i="4"/>
  <c r="D454" i="4"/>
  <c r="H454" i="4"/>
  <c r="C454" i="4"/>
  <c r="E454" i="4" s="1"/>
  <c r="J454" i="4"/>
  <c r="G454" i="4"/>
  <c r="L454" i="4"/>
  <c r="B454" i="4"/>
  <c r="J329" i="4"/>
  <c r="I329" i="4"/>
  <c r="C329" i="4"/>
  <c r="E329" i="4" s="1"/>
  <c r="H329" i="4"/>
  <c r="B329" i="4"/>
  <c r="G329" i="4"/>
  <c r="L329" i="4"/>
  <c r="D329" i="4"/>
  <c r="L337" i="4"/>
  <c r="G337" i="4"/>
  <c r="B337" i="4"/>
  <c r="J337" i="4"/>
  <c r="I337" i="4"/>
  <c r="H337" i="4"/>
  <c r="D337" i="4"/>
  <c r="C337" i="4"/>
  <c r="E337" i="4" s="1"/>
  <c r="L345" i="4"/>
  <c r="G345" i="4"/>
  <c r="B345" i="4"/>
  <c r="J345" i="4"/>
  <c r="I345" i="4"/>
  <c r="H345" i="4"/>
  <c r="D345" i="4"/>
  <c r="C345" i="4"/>
  <c r="E345" i="4" s="1"/>
  <c r="L353" i="4"/>
  <c r="G353" i="4"/>
  <c r="B353" i="4"/>
  <c r="J353" i="4"/>
  <c r="I353" i="4"/>
  <c r="H353" i="4"/>
  <c r="D353" i="4"/>
  <c r="C353" i="4"/>
  <c r="E353" i="4" s="1"/>
  <c r="L361" i="4"/>
  <c r="G361" i="4"/>
  <c r="B361" i="4"/>
  <c r="J361" i="4"/>
  <c r="I361" i="4"/>
  <c r="H361" i="4"/>
  <c r="D361" i="4"/>
  <c r="C361" i="4"/>
  <c r="E361" i="4" s="1"/>
  <c r="L369" i="4"/>
  <c r="G369" i="4"/>
  <c r="B369" i="4"/>
  <c r="J369" i="4"/>
  <c r="I369" i="4"/>
  <c r="H369" i="4"/>
  <c r="D369" i="4"/>
  <c r="C369" i="4"/>
  <c r="E369" i="4" s="1"/>
  <c r="L377" i="4"/>
  <c r="G377" i="4"/>
  <c r="B377" i="4"/>
  <c r="J377" i="4"/>
  <c r="I377" i="4"/>
  <c r="H377" i="4"/>
  <c r="D377" i="4"/>
  <c r="C377" i="4"/>
  <c r="E377" i="4" s="1"/>
  <c r="L385" i="4"/>
  <c r="G385" i="4"/>
  <c r="B385" i="4"/>
  <c r="J385" i="4"/>
  <c r="I385" i="4"/>
  <c r="H385" i="4"/>
  <c r="D385" i="4"/>
  <c r="C385" i="4"/>
  <c r="E385" i="4" s="1"/>
  <c r="L393" i="4"/>
  <c r="G393" i="4"/>
  <c r="B393" i="4"/>
  <c r="J393" i="4"/>
  <c r="I393" i="4"/>
  <c r="H393" i="4"/>
  <c r="D393" i="4"/>
  <c r="C393" i="4"/>
  <c r="E393" i="4" s="1"/>
  <c r="L401" i="4"/>
  <c r="G401" i="4"/>
  <c r="B401" i="4"/>
  <c r="J401" i="4"/>
  <c r="I401" i="4"/>
  <c r="H401" i="4"/>
  <c r="D401" i="4"/>
  <c r="C401" i="4"/>
  <c r="E401" i="4" s="1"/>
  <c r="L409" i="4"/>
  <c r="G409" i="4"/>
  <c r="B409" i="4"/>
  <c r="J409" i="4"/>
  <c r="I409" i="4"/>
  <c r="H409" i="4"/>
  <c r="D409" i="4"/>
  <c r="C409" i="4"/>
  <c r="E409" i="4" s="1"/>
  <c r="L417" i="4"/>
  <c r="G417" i="4"/>
  <c r="B417" i="4"/>
  <c r="J417" i="4"/>
  <c r="I417" i="4"/>
  <c r="H417" i="4"/>
  <c r="D417" i="4"/>
  <c r="C417" i="4"/>
  <c r="E417" i="4" s="1"/>
  <c r="L425" i="4"/>
  <c r="G425" i="4"/>
  <c r="B425" i="4"/>
  <c r="J425" i="4"/>
  <c r="I425" i="4"/>
  <c r="H425" i="4"/>
  <c r="D425" i="4"/>
  <c r="C425" i="4"/>
  <c r="E425" i="4" s="1"/>
  <c r="L433" i="4"/>
  <c r="G433" i="4"/>
  <c r="B433" i="4"/>
  <c r="J433" i="4"/>
  <c r="I433" i="4"/>
  <c r="H433" i="4"/>
  <c r="D433" i="4"/>
  <c r="C433" i="4"/>
  <c r="E433" i="4" s="1"/>
  <c r="L441" i="4"/>
  <c r="G441" i="4"/>
  <c r="B441" i="4"/>
  <c r="J441" i="4"/>
  <c r="I441" i="4"/>
  <c r="H441" i="4"/>
  <c r="D441" i="4"/>
  <c r="C441" i="4"/>
  <c r="E441" i="4" s="1"/>
  <c r="L449" i="4"/>
  <c r="G449" i="4"/>
  <c r="B449" i="4"/>
  <c r="J449" i="4"/>
  <c r="I449" i="4"/>
  <c r="H449" i="4"/>
  <c r="D449" i="4"/>
  <c r="C449" i="4"/>
  <c r="E449" i="4" s="1"/>
  <c r="L457" i="4"/>
  <c r="G457" i="4"/>
  <c r="B457" i="4"/>
  <c r="J457" i="4"/>
  <c r="I457" i="4"/>
  <c r="H457" i="4"/>
  <c r="D457" i="4"/>
  <c r="C457" i="4"/>
  <c r="E457" i="4" s="1"/>
  <c r="H464" i="4"/>
  <c r="C464" i="4"/>
  <c r="E464" i="4" s="1"/>
  <c r="I464" i="4"/>
  <c r="B464" i="4"/>
  <c r="G464" i="4"/>
  <c r="J464" i="4"/>
  <c r="D464" i="4"/>
  <c r="L464" i="4"/>
  <c r="J469" i="4"/>
  <c r="I469" i="4"/>
  <c r="C469" i="4"/>
  <c r="E469" i="4" s="1"/>
  <c r="H469" i="4"/>
  <c r="B469" i="4"/>
  <c r="G469" i="4"/>
  <c r="D469" i="4"/>
  <c r="L469" i="4"/>
  <c r="H477" i="4"/>
  <c r="C477" i="4"/>
  <c r="E477" i="4" s="1"/>
  <c r="J477" i="4"/>
  <c r="G477" i="4"/>
  <c r="D477" i="4"/>
  <c r="B477" i="4"/>
  <c r="L477" i="4"/>
  <c r="I477" i="4"/>
  <c r="H485" i="4"/>
  <c r="C485" i="4"/>
  <c r="E485" i="4" s="1"/>
  <c r="J485" i="4"/>
  <c r="G485" i="4"/>
  <c r="D485" i="4"/>
  <c r="B485" i="4"/>
  <c r="L485" i="4"/>
  <c r="I485" i="4"/>
  <c r="H493" i="4"/>
  <c r="C493" i="4"/>
  <c r="E493" i="4" s="1"/>
  <c r="L493" i="4"/>
  <c r="G493" i="4"/>
  <c r="B493" i="4"/>
  <c r="J493" i="4"/>
  <c r="I493" i="4"/>
  <c r="D493" i="4"/>
  <c r="H501" i="4"/>
  <c r="C501" i="4"/>
  <c r="E501" i="4" s="1"/>
  <c r="L501" i="4"/>
  <c r="G501" i="4"/>
  <c r="B501" i="4"/>
  <c r="J501" i="4"/>
  <c r="I501" i="4"/>
  <c r="D501" i="4"/>
  <c r="H509" i="4"/>
  <c r="C509" i="4"/>
  <c r="E509" i="4" s="1"/>
  <c r="L509" i="4"/>
  <c r="G509" i="4"/>
  <c r="B509" i="4"/>
  <c r="J509" i="4"/>
  <c r="I509" i="4"/>
  <c r="D509" i="4"/>
  <c r="H517" i="4"/>
  <c r="C517" i="4"/>
  <c r="E517" i="4" s="1"/>
  <c r="L517" i="4"/>
  <c r="G517" i="4"/>
  <c r="B517" i="4"/>
  <c r="J517" i="4"/>
  <c r="I517" i="4"/>
  <c r="D517" i="4"/>
  <c r="H525" i="4"/>
  <c r="C525" i="4"/>
  <c r="E525" i="4" s="1"/>
  <c r="L525" i="4"/>
  <c r="G525" i="4"/>
  <c r="B525" i="4"/>
  <c r="J525" i="4"/>
  <c r="I525" i="4"/>
  <c r="D525" i="4"/>
  <c r="H533" i="4"/>
  <c r="C533" i="4"/>
  <c r="E533" i="4" s="1"/>
  <c r="L533" i="4"/>
  <c r="G533" i="4"/>
  <c r="B533" i="4"/>
  <c r="J533" i="4"/>
  <c r="I533" i="4"/>
  <c r="D533" i="4"/>
  <c r="H541" i="4"/>
  <c r="C541" i="4"/>
  <c r="E541" i="4" s="1"/>
  <c r="L541" i="4"/>
  <c r="G541" i="4"/>
  <c r="B541" i="4"/>
  <c r="J541" i="4"/>
  <c r="I541" i="4"/>
  <c r="D541" i="4"/>
  <c r="H549" i="4"/>
  <c r="C549" i="4"/>
  <c r="E549" i="4" s="1"/>
  <c r="L549" i="4"/>
  <c r="G549" i="4"/>
  <c r="B549" i="4"/>
  <c r="J549" i="4"/>
  <c r="I549" i="4"/>
  <c r="D549" i="4"/>
  <c r="J472" i="4"/>
  <c r="H472" i="4"/>
  <c r="C472" i="4"/>
  <c r="E472" i="4" s="1"/>
  <c r="I472" i="4"/>
  <c r="G472" i="4"/>
  <c r="D472" i="4"/>
  <c r="B472" i="4"/>
  <c r="L472" i="4"/>
  <c r="J480" i="4"/>
  <c r="H480" i="4"/>
  <c r="C480" i="4"/>
  <c r="E480" i="4" s="1"/>
  <c r="I480" i="4"/>
  <c r="G480" i="4"/>
  <c r="D480" i="4"/>
  <c r="B480" i="4"/>
  <c r="L480" i="4"/>
  <c r="J488" i="4"/>
  <c r="H488" i="4"/>
  <c r="C488" i="4"/>
  <c r="E488" i="4" s="1"/>
  <c r="I488" i="4"/>
  <c r="G488" i="4"/>
  <c r="D488" i="4"/>
  <c r="B488" i="4"/>
  <c r="L488" i="4"/>
  <c r="J496" i="4"/>
  <c r="I496" i="4"/>
  <c r="D496" i="4"/>
  <c r="H496" i="4"/>
  <c r="C496" i="4"/>
  <c r="E496" i="4" s="1"/>
  <c r="L496" i="4"/>
  <c r="G496" i="4"/>
  <c r="B496" i="4"/>
  <c r="J504" i="4"/>
  <c r="I504" i="4"/>
  <c r="D504" i="4"/>
  <c r="H504" i="4"/>
  <c r="C504" i="4"/>
  <c r="E504" i="4" s="1"/>
  <c r="L504" i="4"/>
  <c r="G504" i="4"/>
  <c r="B504" i="4"/>
  <c r="J512" i="4"/>
  <c r="I512" i="4"/>
  <c r="D512" i="4"/>
  <c r="H512" i="4"/>
  <c r="C512" i="4"/>
  <c r="E512" i="4" s="1"/>
  <c r="L512" i="4"/>
  <c r="G512" i="4"/>
  <c r="B512" i="4"/>
  <c r="J520" i="4"/>
  <c r="I520" i="4"/>
  <c r="D520" i="4"/>
  <c r="H520" i="4"/>
  <c r="C520" i="4"/>
  <c r="E520" i="4" s="1"/>
  <c r="L520" i="4"/>
  <c r="G520" i="4"/>
  <c r="B520" i="4"/>
  <c r="J528" i="4"/>
  <c r="I528" i="4"/>
  <c r="D528" i="4"/>
  <c r="H528" i="4"/>
  <c r="C528" i="4"/>
  <c r="E528" i="4" s="1"/>
  <c r="L528" i="4"/>
  <c r="G528" i="4"/>
  <c r="B528" i="4"/>
  <c r="J536" i="4"/>
  <c r="I536" i="4"/>
  <c r="D536" i="4"/>
  <c r="H536" i="4"/>
  <c r="C536" i="4"/>
  <c r="E536" i="4" s="1"/>
  <c r="L536" i="4"/>
  <c r="G536" i="4"/>
  <c r="B536" i="4"/>
  <c r="J544" i="4"/>
  <c r="I544" i="4"/>
  <c r="D544" i="4"/>
  <c r="H544" i="4"/>
  <c r="C544" i="4"/>
  <c r="E544" i="4" s="1"/>
  <c r="L544" i="4"/>
  <c r="G544" i="4"/>
  <c r="B544" i="4"/>
  <c r="H554" i="4"/>
  <c r="C554" i="4"/>
  <c r="E554" i="4" s="1"/>
  <c r="G554" i="4"/>
  <c r="L554" i="4"/>
  <c r="J554" i="4"/>
  <c r="D554" i="4"/>
  <c r="I554" i="4"/>
  <c r="B554" i="4"/>
  <c r="H562" i="4"/>
  <c r="C562" i="4"/>
  <c r="E562" i="4" s="1"/>
  <c r="L562" i="4"/>
  <c r="G562" i="4"/>
  <c r="B562" i="4"/>
  <c r="J562" i="4"/>
  <c r="I562" i="4"/>
  <c r="D562" i="4"/>
  <c r="H570" i="4"/>
  <c r="C570" i="4"/>
  <c r="E570" i="4" s="1"/>
  <c r="L570" i="4"/>
  <c r="G570" i="4"/>
  <c r="B570" i="4"/>
  <c r="J570" i="4"/>
  <c r="I570" i="4"/>
  <c r="D570" i="4"/>
  <c r="H578" i="4"/>
  <c r="C578" i="4"/>
  <c r="E578" i="4" s="1"/>
  <c r="L578" i="4"/>
  <c r="G578" i="4"/>
  <c r="B578" i="4"/>
  <c r="J578" i="4"/>
  <c r="I578" i="4"/>
  <c r="D578" i="4"/>
  <c r="H586" i="4"/>
  <c r="C586" i="4"/>
  <c r="E586" i="4" s="1"/>
  <c r="L586" i="4"/>
  <c r="G586" i="4"/>
  <c r="B586" i="4"/>
  <c r="J586" i="4"/>
  <c r="I586" i="4"/>
  <c r="D586" i="4"/>
  <c r="H594" i="4"/>
  <c r="C594" i="4"/>
  <c r="E594" i="4" s="1"/>
  <c r="L594" i="4"/>
  <c r="G594" i="4"/>
  <c r="B594" i="4"/>
  <c r="J594" i="4"/>
  <c r="I594" i="4"/>
  <c r="D594" i="4"/>
  <c r="H602" i="4"/>
  <c r="C602" i="4"/>
  <c r="E602" i="4" s="1"/>
  <c r="L602" i="4"/>
  <c r="G602" i="4"/>
  <c r="B602" i="4"/>
  <c r="J602" i="4"/>
  <c r="I602" i="4"/>
  <c r="D602" i="4"/>
  <c r="H610" i="4"/>
  <c r="C610" i="4"/>
  <c r="E610" i="4" s="1"/>
  <c r="L610" i="4"/>
  <c r="G610" i="4"/>
  <c r="B610" i="4"/>
  <c r="J610" i="4"/>
  <c r="I610" i="4"/>
  <c r="D610" i="4"/>
  <c r="H618" i="4"/>
  <c r="C618" i="4"/>
  <c r="E618" i="4" s="1"/>
  <c r="L618" i="4"/>
  <c r="G618" i="4"/>
  <c r="B618" i="4"/>
  <c r="J618" i="4"/>
  <c r="I618" i="4"/>
  <c r="D618" i="4"/>
  <c r="H626" i="4"/>
  <c r="C626" i="4"/>
  <c r="E626" i="4" s="1"/>
  <c r="L626" i="4"/>
  <c r="G626" i="4"/>
  <c r="B626" i="4"/>
  <c r="J626" i="4"/>
  <c r="I626" i="4"/>
  <c r="D626" i="4"/>
  <c r="J555" i="4"/>
  <c r="L555" i="4"/>
  <c r="D555" i="4"/>
  <c r="I555" i="4"/>
  <c r="C555" i="4"/>
  <c r="E555" i="4" s="1"/>
  <c r="H555" i="4"/>
  <c r="B555" i="4"/>
  <c r="G555" i="4"/>
  <c r="J563" i="4"/>
  <c r="I563" i="4"/>
  <c r="D563" i="4"/>
  <c r="H563" i="4"/>
  <c r="C563" i="4"/>
  <c r="E563" i="4" s="1"/>
  <c r="L563" i="4"/>
  <c r="G563" i="4"/>
  <c r="B563" i="4"/>
  <c r="J571" i="4"/>
  <c r="I571" i="4"/>
  <c r="D571" i="4"/>
  <c r="H571" i="4"/>
  <c r="C571" i="4"/>
  <c r="E571" i="4" s="1"/>
  <c r="L571" i="4"/>
  <c r="G571" i="4"/>
  <c r="B571" i="4"/>
  <c r="J579" i="4"/>
  <c r="I579" i="4"/>
  <c r="D579" i="4"/>
  <c r="H579" i="4"/>
  <c r="C579" i="4"/>
  <c r="E579" i="4" s="1"/>
  <c r="L579" i="4"/>
  <c r="G579" i="4"/>
  <c r="B579" i="4"/>
  <c r="J587" i="4"/>
  <c r="I587" i="4"/>
  <c r="D587" i="4"/>
  <c r="H587" i="4"/>
  <c r="C587" i="4"/>
  <c r="E587" i="4" s="1"/>
  <c r="L587" i="4"/>
  <c r="G587" i="4"/>
  <c r="B587" i="4"/>
  <c r="J595" i="4"/>
  <c r="I595" i="4"/>
  <c r="D595" i="4"/>
  <c r="H595" i="4"/>
  <c r="C595" i="4"/>
  <c r="E595" i="4" s="1"/>
  <c r="L595" i="4"/>
  <c r="G595" i="4"/>
  <c r="B595" i="4"/>
  <c r="J603" i="4"/>
  <c r="I603" i="4"/>
  <c r="D603" i="4"/>
  <c r="H603" i="4"/>
  <c r="C603" i="4"/>
  <c r="E603" i="4" s="1"/>
  <c r="L603" i="4"/>
  <c r="G603" i="4"/>
  <c r="B603" i="4"/>
  <c r="J611" i="4"/>
  <c r="I611" i="4"/>
  <c r="D611" i="4"/>
  <c r="H611" i="4"/>
  <c r="C611" i="4"/>
  <c r="E611" i="4" s="1"/>
  <c r="L611" i="4"/>
  <c r="G611" i="4"/>
  <c r="B611" i="4"/>
  <c r="J619" i="4"/>
  <c r="I619" i="4"/>
  <c r="D619" i="4"/>
  <c r="H619" i="4"/>
  <c r="C619" i="4"/>
  <c r="E619" i="4" s="1"/>
  <c r="L619" i="4"/>
  <c r="G619" i="4"/>
  <c r="B619" i="4"/>
  <c r="L627" i="4"/>
  <c r="I627" i="4"/>
  <c r="D627" i="4"/>
  <c r="G627" i="4"/>
  <c r="J627" i="4"/>
  <c r="C627" i="4"/>
  <c r="E627" i="4" s="1"/>
  <c r="H627" i="4"/>
  <c r="B627" i="4"/>
  <c r="I663" i="4"/>
  <c r="D663" i="4"/>
  <c r="H663" i="4"/>
  <c r="C663" i="4"/>
  <c r="E663" i="4" s="1"/>
  <c r="G663" i="4"/>
  <c r="L663" i="4"/>
  <c r="B663" i="4"/>
  <c r="J663" i="4"/>
  <c r="I695" i="4"/>
  <c r="D695" i="4"/>
  <c r="L695" i="4"/>
  <c r="J695" i="4"/>
  <c r="C695" i="4"/>
  <c r="E695" i="4" s="1"/>
  <c r="H695" i="4"/>
  <c r="G695" i="4"/>
  <c r="B695" i="4"/>
  <c r="H830" i="4"/>
  <c r="C830" i="4"/>
  <c r="E830" i="4" s="1"/>
  <c r="J830" i="4"/>
  <c r="D830" i="4"/>
  <c r="I830" i="4"/>
  <c r="B830" i="4"/>
  <c r="L830" i="4"/>
  <c r="G830" i="4"/>
  <c r="I637" i="4"/>
  <c r="D637" i="4"/>
  <c r="H637" i="4"/>
  <c r="C637" i="4"/>
  <c r="E637" i="4" s="1"/>
  <c r="J637" i="4"/>
  <c r="L637" i="4"/>
  <c r="G637" i="4"/>
  <c r="B637" i="4"/>
  <c r="I669" i="4"/>
  <c r="D669" i="4"/>
  <c r="L669" i="4"/>
  <c r="J669" i="4"/>
  <c r="C669" i="4"/>
  <c r="E669" i="4" s="1"/>
  <c r="G669" i="4"/>
  <c r="B669" i="4"/>
  <c r="H669" i="4"/>
  <c r="I701" i="4"/>
  <c r="D701" i="4"/>
  <c r="L701" i="4"/>
  <c r="J701" i="4"/>
  <c r="C701" i="4"/>
  <c r="E701" i="4" s="1"/>
  <c r="G701" i="4"/>
  <c r="B701" i="4"/>
  <c r="H701" i="4"/>
  <c r="I651" i="4"/>
  <c r="D651" i="4"/>
  <c r="H651" i="4"/>
  <c r="C651" i="4"/>
  <c r="E651" i="4" s="1"/>
  <c r="L651" i="4"/>
  <c r="B651" i="4"/>
  <c r="J651" i="4"/>
  <c r="G651" i="4"/>
  <c r="I683" i="4"/>
  <c r="D683" i="4"/>
  <c r="L683" i="4"/>
  <c r="J683" i="4"/>
  <c r="C683" i="4"/>
  <c r="E683" i="4" s="1"/>
  <c r="B683" i="4"/>
  <c r="H683" i="4"/>
  <c r="G683" i="4"/>
  <c r="I717" i="4"/>
  <c r="D717" i="4"/>
  <c r="L717" i="4"/>
  <c r="J717" i="4"/>
  <c r="C717" i="4"/>
  <c r="E717" i="4" s="1"/>
  <c r="H717" i="4"/>
  <c r="G717" i="4"/>
  <c r="B717" i="4"/>
  <c r="L632" i="4"/>
  <c r="G632" i="4"/>
  <c r="B632" i="4"/>
  <c r="H632" i="4"/>
  <c r="J632" i="4"/>
  <c r="D632" i="4"/>
  <c r="I632" i="4"/>
  <c r="C632" i="4"/>
  <c r="E632" i="4" s="1"/>
  <c r="I657" i="4"/>
  <c r="D657" i="4"/>
  <c r="H657" i="4"/>
  <c r="C657" i="4"/>
  <c r="E657" i="4" s="1"/>
  <c r="J657" i="4"/>
  <c r="G657" i="4"/>
  <c r="L657" i="4"/>
  <c r="B657" i="4"/>
  <c r="I689" i="4"/>
  <c r="D689" i="4"/>
  <c r="L689" i="4"/>
  <c r="J689" i="4"/>
  <c r="C689" i="4"/>
  <c r="E689" i="4" s="1"/>
  <c r="H689" i="4"/>
  <c r="G689" i="4"/>
  <c r="B689" i="4"/>
  <c r="I757" i="4"/>
  <c r="D757" i="4"/>
  <c r="L757" i="4"/>
  <c r="J757" i="4"/>
  <c r="C757" i="4"/>
  <c r="E757" i="4" s="1"/>
  <c r="H757" i="4"/>
  <c r="G757" i="4"/>
  <c r="B757" i="4"/>
  <c r="I739" i="4"/>
  <c r="D739" i="4"/>
  <c r="L739" i="4"/>
  <c r="J739" i="4"/>
  <c r="C739" i="4"/>
  <c r="E739" i="4" s="1"/>
  <c r="G739" i="4"/>
  <c r="B739" i="4"/>
  <c r="H739" i="4"/>
  <c r="I771" i="4"/>
  <c r="D771" i="4"/>
  <c r="L771" i="4"/>
  <c r="J771" i="4"/>
  <c r="C771" i="4"/>
  <c r="E771" i="4" s="1"/>
  <c r="G771" i="4"/>
  <c r="B771" i="4"/>
  <c r="H771" i="4"/>
  <c r="I721" i="4"/>
  <c r="D721" i="4"/>
  <c r="L721" i="4"/>
  <c r="J721" i="4"/>
  <c r="C721" i="4"/>
  <c r="E721" i="4" s="1"/>
  <c r="B721" i="4"/>
  <c r="H721" i="4"/>
  <c r="G721" i="4"/>
  <c r="I753" i="4"/>
  <c r="D753" i="4"/>
  <c r="L753" i="4"/>
  <c r="J753" i="4"/>
  <c r="C753" i="4"/>
  <c r="E753" i="4" s="1"/>
  <c r="B753" i="4"/>
  <c r="H753" i="4"/>
  <c r="G753" i="4"/>
  <c r="H790" i="4"/>
  <c r="C790" i="4"/>
  <c r="E790" i="4" s="1"/>
  <c r="L790" i="4"/>
  <c r="D790" i="4"/>
  <c r="J790" i="4"/>
  <c r="B790" i="4"/>
  <c r="G790" i="4"/>
  <c r="I790" i="4"/>
  <c r="I735" i="4"/>
  <c r="D735" i="4"/>
  <c r="L735" i="4"/>
  <c r="J735" i="4"/>
  <c r="C735" i="4"/>
  <c r="E735" i="4" s="1"/>
  <c r="H735" i="4"/>
  <c r="G735" i="4"/>
  <c r="B735" i="4"/>
  <c r="I767" i="4"/>
  <c r="D767" i="4"/>
  <c r="L767" i="4"/>
  <c r="J767" i="4"/>
  <c r="C767" i="4"/>
  <c r="E767" i="4" s="1"/>
  <c r="H767" i="4"/>
  <c r="G767" i="4"/>
  <c r="B767" i="4"/>
  <c r="H840" i="4"/>
  <c r="C840" i="4"/>
  <c r="E840" i="4" s="1"/>
  <c r="L840" i="4"/>
  <c r="J840" i="4"/>
  <c r="D840" i="4"/>
  <c r="G840" i="4"/>
  <c r="I840" i="4"/>
  <c r="B840" i="4"/>
  <c r="L640" i="4"/>
  <c r="G640" i="4"/>
  <c r="B640" i="4"/>
  <c r="J640" i="4"/>
  <c r="D640" i="4"/>
  <c r="I640" i="4"/>
  <c r="H640" i="4"/>
  <c r="C640" i="4"/>
  <c r="E640" i="4" s="1"/>
  <c r="L648" i="4"/>
  <c r="G648" i="4"/>
  <c r="B648" i="4"/>
  <c r="J648" i="4"/>
  <c r="D648" i="4"/>
  <c r="C648" i="4"/>
  <c r="E648" i="4" s="1"/>
  <c r="I648" i="4"/>
  <c r="H648" i="4"/>
  <c r="L656" i="4"/>
  <c r="G656" i="4"/>
  <c r="B656" i="4"/>
  <c r="J656" i="4"/>
  <c r="D656" i="4"/>
  <c r="C656" i="4"/>
  <c r="E656" i="4" s="1"/>
  <c r="I656" i="4"/>
  <c r="H656" i="4"/>
  <c r="L664" i="4"/>
  <c r="G664" i="4"/>
  <c r="B664" i="4"/>
  <c r="J664" i="4"/>
  <c r="D664" i="4"/>
  <c r="C664" i="4"/>
  <c r="E664" i="4" s="1"/>
  <c r="I664" i="4"/>
  <c r="H664" i="4"/>
  <c r="L672" i="4"/>
  <c r="G672" i="4"/>
  <c r="B672" i="4"/>
  <c r="I672" i="4"/>
  <c r="C672" i="4"/>
  <c r="E672" i="4" s="1"/>
  <c r="H672" i="4"/>
  <c r="J672" i="4"/>
  <c r="D672" i="4"/>
  <c r="L680" i="4"/>
  <c r="G680" i="4"/>
  <c r="B680" i="4"/>
  <c r="I680" i="4"/>
  <c r="C680" i="4"/>
  <c r="E680" i="4" s="1"/>
  <c r="H680" i="4"/>
  <c r="J680" i="4"/>
  <c r="D680" i="4"/>
  <c r="L688" i="4"/>
  <c r="G688" i="4"/>
  <c r="B688" i="4"/>
  <c r="I688" i="4"/>
  <c r="C688" i="4"/>
  <c r="E688" i="4" s="1"/>
  <c r="H688" i="4"/>
  <c r="J688" i="4"/>
  <c r="D688" i="4"/>
  <c r="L696" i="4"/>
  <c r="G696" i="4"/>
  <c r="B696" i="4"/>
  <c r="I696" i="4"/>
  <c r="C696" i="4"/>
  <c r="E696" i="4" s="1"/>
  <c r="H696" i="4"/>
  <c r="J696" i="4"/>
  <c r="D696" i="4"/>
  <c r="L704" i="4"/>
  <c r="G704" i="4"/>
  <c r="B704" i="4"/>
  <c r="I704" i="4"/>
  <c r="C704" i="4"/>
  <c r="E704" i="4" s="1"/>
  <c r="H704" i="4"/>
  <c r="J704" i="4"/>
  <c r="D704" i="4"/>
  <c r="L712" i="4"/>
  <c r="G712" i="4"/>
  <c r="B712" i="4"/>
  <c r="I712" i="4"/>
  <c r="C712" i="4"/>
  <c r="E712" i="4" s="1"/>
  <c r="H712" i="4"/>
  <c r="D712" i="4"/>
  <c r="J712" i="4"/>
  <c r="L720" i="4"/>
  <c r="G720" i="4"/>
  <c r="B720" i="4"/>
  <c r="I720" i="4"/>
  <c r="C720" i="4"/>
  <c r="E720" i="4" s="1"/>
  <c r="H720" i="4"/>
  <c r="D720" i="4"/>
  <c r="J720" i="4"/>
  <c r="L728" i="4"/>
  <c r="G728" i="4"/>
  <c r="B728" i="4"/>
  <c r="I728" i="4"/>
  <c r="C728" i="4"/>
  <c r="E728" i="4" s="1"/>
  <c r="H728" i="4"/>
  <c r="D728" i="4"/>
  <c r="J728" i="4"/>
  <c r="L736" i="4"/>
  <c r="G736" i="4"/>
  <c r="B736" i="4"/>
  <c r="I736" i="4"/>
  <c r="C736" i="4"/>
  <c r="E736" i="4" s="1"/>
  <c r="H736" i="4"/>
  <c r="D736" i="4"/>
  <c r="J736" i="4"/>
  <c r="L744" i="4"/>
  <c r="G744" i="4"/>
  <c r="B744" i="4"/>
  <c r="I744" i="4"/>
  <c r="C744" i="4"/>
  <c r="E744" i="4" s="1"/>
  <c r="H744" i="4"/>
  <c r="D744" i="4"/>
  <c r="J744" i="4"/>
  <c r="L752" i="4"/>
  <c r="G752" i="4"/>
  <c r="B752" i="4"/>
  <c r="I752" i="4"/>
  <c r="C752" i="4"/>
  <c r="E752" i="4" s="1"/>
  <c r="H752" i="4"/>
  <c r="D752" i="4"/>
  <c r="J752" i="4"/>
  <c r="L760" i="4"/>
  <c r="G760" i="4"/>
  <c r="B760" i="4"/>
  <c r="I760" i="4"/>
  <c r="C760" i="4"/>
  <c r="E760" i="4" s="1"/>
  <c r="H760" i="4"/>
  <c r="D760" i="4"/>
  <c r="J760" i="4"/>
  <c r="L768" i="4"/>
  <c r="G768" i="4"/>
  <c r="B768" i="4"/>
  <c r="I768" i="4"/>
  <c r="C768" i="4"/>
  <c r="E768" i="4" s="1"/>
  <c r="H768" i="4"/>
  <c r="D768" i="4"/>
  <c r="J768" i="4"/>
  <c r="H782" i="4"/>
  <c r="C782" i="4"/>
  <c r="E782" i="4" s="1"/>
  <c r="L782" i="4"/>
  <c r="J782" i="4"/>
  <c r="B782" i="4"/>
  <c r="I782" i="4"/>
  <c r="G782" i="4"/>
  <c r="D782" i="4"/>
  <c r="H806" i="4"/>
  <c r="C806" i="4"/>
  <c r="E806" i="4" s="1"/>
  <c r="J806" i="4"/>
  <c r="D806" i="4"/>
  <c r="B806" i="4"/>
  <c r="L806" i="4"/>
  <c r="G806" i="4"/>
  <c r="I806" i="4"/>
  <c r="H838" i="4"/>
  <c r="C838" i="4"/>
  <c r="E838" i="4" s="1"/>
  <c r="J838" i="4"/>
  <c r="D838" i="4"/>
  <c r="I838" i="4"/>
  <c r="B838" i="4"/>
  <c r="G838" i="4"/>
  <c r="L838" i="4"/>
  <c r="H796" i="4"/>
  <c r="C796" i="4"/>
  <c r="E796" i="4" s="1"/>
  <c r="J796" i="4"/>
  <c r="D796" i="4"/>
  <c r="I796" i="4"/>
  <c r="G796" i="4"/>
  <c r="L796" i="4"/>
  <c r="B796" i="4"/>
  <c r="H846" i="4"/>
  <c r="C846" i="4"/>
  <c r="E846" i="4" s="1"/>
  <c r="J846" i="4"/>
  <c r="D846" i="4"/>
  <c r="I846" i="4"/>
  <c r="B846" i="4"/>
  <c r="L846" i="4"/>
  <c r="G846" i="4"/>
  <c r="H872" i="4"/>
  <c r="C872" i="4"/>
  <c r="E872" i="4" s="1"/>
  <c r="L872" i="4"/>
  <c r="J872" i="4"/>
  <c r="D872" i="4"/>
  <c r="G872" i="4"/>
  <c r="B872" i="4"/>
  <c r="I872" i="4"/>
  <c r="L906" i="4"/>
  <c r="G906" i="4"/>
  <c r="B906" i="4"/>
  <c r="J906" i="4"/>
  <c r="D906" i="4"/>
  <c r="H906" i="4"/>
  <c r="C906" i="4"/>
  <c r="E906" i="4" s="1"/>
  <c r="I906" i="4"/>
  <c r="I946" i="4"/>
  <c r="D946" i="4"/>
  <c r="H946" i="4"/>
  <c r="B946" i="4"/>
  <c r="L946" i="4"/>
  <c r="C946" i="4"/>
  <c r="E946" i="4" s="1"/>
  <c r="G946" i="4"/>
  <c r="J946" i="4"/>
  <c r="H800" i="4"/>
  <c r="C800" i="4"/>
  <c r="E800" i="4" s="1"/>
  <c r="L800" i="4"/>
  <c r="I800" i="4"/>
  <c r="D800" i="4"/>
  <c r="B800" i="4"/>
  <c r="J800" i="4"/>
  <c r="G800" i="4"/>
  <c r="H864" i="4"/>
  <c r="C864" i="4"/>
  <c r="E864" i="4" s="1"/>
  <c r="L864" i="4"/>
  <c r="J864" i="4"/>
  <c r="D864" i="4"/>
  <c r="G864" i="4"/>
  <c r="B864" i="4"/>
  <c r="I864" i="4"/>
  <c r="I919" i="4"/>
  <c r="D919" i="4"/>
  <c r="H919" i="4"/>
  <c r="B919" i="4"/>
  <c r="G919" i="4"/>
  <c r="C919" i="4"/>
  <c r="E919" i="4" s="1"/>
  <c r="L919" i="4"/>
  <c r="J919" i="4"/>
  <c r="H828" i="4"/>
  <c r="C828" i="4"/>
  <c r="E828" i="4" s="1"/>
  <c r="I828" i="4"/>
  <c r="B828" i="4"/>
  <c r="G828" i="4"/>
  <c r="L828" i="4"/>
  <c r="J828" i="4"/>
  <c r="D828" i="4"/>
  <c r="H860" i="4"/>
  <c r="C860" i="4"/>
  <c r="E860" i="4" s="1"/>
  <c r="I860" i="4"/>
  <c r="B860" i="4"/>
  <c r="G860" i="4"/>
  <c r="L860" i="4"/>
  <c r="J860" i="4"/>
  <c r="D860" i="4"/>
  <c r="L894" i="4"/>
  <c r="G894" i="4"/>
  <c r="B894" i="4"/>
  <c r="J894" i="4"/>
  <c r="D894" i="4"/>
  <c r="C894" i="4"/>
  <c r="E894" i="4" s="1"/>
  <c r="I894" i="4"/>
  <c r="H894" i="4"/>
  <c r="L914" i="4"/>
  <c r="G914" i="4"/>
  <c r="B914" i="4"/>
  <c r="D914" i="4"/>
  <c r="C914" i="4"/>
  <c r="E914" i="4" s="1"/>
  <c r="J914" i="4"/>
  <c r="I914" i="4"/>
  <c r="H914" i="4"/>
  <c r="I935" i="4"/>
  <c r="D935" i="4"/>
  <c r="J935" i="4"/>
  <c r="C935" i="4"/>
  <c r="E935" i="4" s="1"/>
  <c r="H935" i="4"/>
  <c r="B935" i="4"/>
  <c r="G935" i="4"/>
  <c r="L935" i="4"/>
  <c r="L959" i="4"/>
  <c r="G959" i="4"/>
  <c r="B959" i="4"/>
  <c r="I959" i="4"/>
  <c r="C959" i="4"/>
  <c r="E959" i="4" s="1"/>
  <c r="H959" i="4"/>
  <c r="J959" i="4"/>
  <c r="D959" i="4"/>
  <c r="H818" i="4"/>
  <c r="C818" i="4"/>
  <c r="E818" i="4" s="1"/>
  <c r="G818" i="4"/>
  <c r="L818" i="4"/>
  <c r="D818" i="4"/>
  <c r="B818" i="4"/>
  <c r="J818" i="4"/>
  <c r="I818" i="4"/>
  <c r="H850" i="4"/>
  <c r="C850" i="4"/>
  <c r="E850" i="4" s="1"/>
  <c r="G850" i="4"/>
  <c r="L850" i="4"/>
  <c r="D850" i="4"/>
  <c r="B850" i="4"/>
  <c r="J850" i="4"/>
  <c r="I850" i="4"/>
  <c r="L888" i="4"/>
  <c r="G888" i="4"/>
  <c r="B888" i="4"/>
  <c r="J888" i="4"/>
  <c r="D888" i="4"/>
  <c r="I888" i="4"/>
  <c r="H888" i="4"/>
  <c r="C888" i="4"/>
  <c r="E888" i="4" s="1"/>
  <c r="I923" i="4"/>
  <c r="D923" i="4"/>
  <c r="H923" i="4"/>
  <c r="B923" i="4"/>
  <c r="G923" i="4"/>
  <c r="L923" i="4"/>
  <c r="J923" i="4"/>
  <c r="C923" i="4"/>
  <c r="E923" i="4" s="1"/>
  <c r="J777" i="4"/>
  <c r="L777" i="4"/>
  <c r="D777" i="4"/>
  <c r="C777" i="4"/>
  <c r="E777" i="4" s="1"/>
  <c r="I777" i="4"/>
  <c r="B777" i="4"/>
  <c r="H777" i="4"/>
  <c r="G777" i="4"/>
  <c r="J785" i="4"/>
  <c r="L785" i="4"/>
  <c r="D785" i="4"/>
  <c r="G785" i="4"/>
  <c r="C785" i="4"/>
  <c r="E785" i="4" s="1"/>
  <c r="I785" i="4"/>
  <c r="H785" i="4"/>
  <c r="B785" i="4"/>
  <c r="J793" i="4"/>
  <c r="L793" i="4"/>
  <c r="D793" i="4"/>
  <c r="H793" i="4"/>
  <c r="G793" i="4"/>
  <c r="B793" i="4"/>
  <c r="I793" i="4"/>
  <c r="C793" i="4"/>
  <c r="E793" i="4" s="1"/>
  <c r="J801" i="4"/>
  <c r="I801" i="4"/>
  <c r="C801" i="4"/>
  <c r="E801" i="4" s="1"/>
  <c r="D801" i="4"/>
  <c r="G801" i="4"/>
  <c r="B801" i="4"/>
  <c r="L801" i="4"/>
  <c r="H801" i="4"/>
  <c r="J809" i="4"/>
  <c r="I809" i="4"/>
  <c r="C809" i="4"/>
  <c r="E809" i="4" s="1"/>
  <c r="G809" i="4"/>
  <c r="B809" i="4"/>
  <c r="L809" i="4"/>
  <c r="H809" i="4"/>
  <c r="D809" i="4"/>
  <c r="J817" i="4"/>
  <c r="I817" i="4"/>
  <c r="C817" i="4"/>
  <c r="E817" i="4" s="1"/>
  <c r="H817" i="4"/>
  <c r="B817" i="4"/>
  <c r="L817" i="4"/>
  <c r="G817" i="4"/>
  <c r="D817" i="4"/>
  <c r="J825" i="4"/>
  <c r="I825" i="4"/>
  <c r="C825" i="4"/>
  <c r="E825" i="4" s="1"/>
  <c r="H825" i="4"/>
  <c r="B825" i="4"/>
  <c r="L825" i="4"/>
  <c r="G825" i="4"/>
  <c r="D825" i="4"/>
  <c r="J833" i="4"/>
  <c r="I833" i="4"/>
  <c r="C833" i="4"/>
  <c r="E833" i="4" s="1"/>
  <c r="H833" i="4"/>
  <c r="B833" i="4"/>
  <c r="D833" i="4"/>
  <c r="G833" i="4"/>
  <c r="L833" i="4"/>
  <c r="J841" i="4"/>
  <c r="I841" i="4"/>
  <c r="C841" i="4"/>
  <c r="E841" i="4" s="1"/>
  <c r="H841" i="4"/>
  <c r="B841" i="4"/>
  <c r="L841" i="4"/>
  <c r="D841" i="4"/>
  <c r="G841" i="4"/>
  <c r="J849" i="4"/>
  <c r="I849" i="4"/>
  <c r="C849" i="4"/>
  <c r="E849" i="4" s="1"/>
  <c r="H849" i="4"/>
  <c r="B849" i="4"/>
  <c r="D849" i="4"/>
  <c r="L849" i="4"/>
  <c r="G849" i="4"/>
  <c r="J857" i="4"/>
  <c r="I857" i="4"/>
  <c r="C857" i="4"/>
  <c r="E857" i="4" s="1"/>
  <c r="H857" i="4"/>
  <c r="B857" i="4"/>
  <c r="L857" i="4"/>
  <c r="G857" i="4"/>
  <c r="D857" i="4"/>
  <c r="J865" i="4"/>
  <c r="I865" i="4"/>
  <c r="C865" i="4"/>
  <c r="E865" i="4" s="1"/>
  <c r="H865" i="4"/>
  <c r="B865" i="4"/>
  <c r="D865" i="4"/>
  <c r="L865" i="4"/>
  <c r="G865" i="4"/>
  <c r="J873" i="4"/>
  <c r="I873" i="4"/>
  <c r="C873" i="4"/>
  <c r="E873" i="4" s="1"/>
  <c r="H873" i="4"/>
  <c r="B873" i="4"/>
  <c r="L873" i="4"/>
  <c r="G873" i="4"/>
  <c r="D873" i="4"/>
  <c r="I881" i="4"/>
  <c r="D881" i="4"/>
  <c r="G881" i="4"/>
  <c r="L881" i="4"/>
  <c r="C881" i="4"/>
  <c r="E881" i="4" s="1"/>
  <c r="J881" i="4"/>
  <c r="B881" i="4"/>
  <c r="H881" i="4"/>
  <c r="I889" i="4"/>
  <c r="D889" i="4"/>
  <c r="G889" i="4"/>
  <c r="L889" i="4"/>
  <c r="C889" i="4"/>
  <c r="E889" i="4" s="1"/>
  <c r="J889" i="4"/>
  <c r="B889" i="4"/>
  <c r="H889" i="4"/>
  <c r="I897" i="4"/>
  <c r="D897" i="4"/>
  <c r="G897" i="4"/>
  <c r="L897" i="4"/>
  <c r="C897" i="4"/>
  <c r="E897" i="4" s="1"/>
  <c r="J897" i="4"/>
  <c r="B897" i="4"/>
  <c r="H897" i="4"/>
  <c r="I905" i="4"/>
  <c r="D905" i="4"/>
  <c r="G905" i="4"/>
  <c r="L905" i="4"/>
  <c r="C905" i="4"/>
  <c r="E905" i="4" s="1"/>
  <c r="J905" i="4"/>
  <c r="B905" i="4"/>
  <c r="H905" i="4"/>
  <c r="L912" i="4"/>
  <c r="G912" i="4"/>
  <c r="B912" i="4"/>
  <c r="I912" i="4"/>
  <c r="D912" i="4"/>
  <c r="C912" i="4"/>
  <c r="E912" i="4" s="1"/>
  <c r="J912" i="4"/>
  <c r="H912" i="4"/>
  <c r="L928" i="4"/>
  <c r="G928" i="4"/>
  <c r="B928" i="4"/>
  <c r="I928" i="4"/>
  <c r="D928" i="4"/>
  <c r="C928" i="4"/>
  <c r="E928" i="4" s="1"/>
  <c r="J928" i="4"/>
  <c r="H928" i="4"/>
  <c r="I962" i="4"/>
  <c r="D962" i="4"/>
  <c r="L962" i="4"/>
  <c r="C962" i="4"/>
  <c r="E962" i="4" s="1"/>
  <c r="G962" i="4"/>
  <c r="B962" i="4"/>
  <c r="J962" i="4"/>
  <c r="H962" i="4"/>
  <c r="L949" i="4"/>
  <c r="G949" i="4"/>
  <c r="B949" i="4"/>
  <c r="J949" i="4"/>
  <c r="C949" i="4"/>
  <c r="E949" i="4" s="1"/>
  <c r="I949" i="4"/>
  <c r="D949" i="4"/>
  <c r="H949" i="4"/>
  <c r="I972" i="4"/>
  <c r="D972" i="4"/>
  <c r="L972" i="4"/>
  <c r="J972" i="4"/>
  <c r="C972" i="4"/>
  <c r="E972" i="4" s="1"/>
  <c r="H972" i="4"/>
  <c r="B972" i="4"/>
  <c r="G972" i="4"/>
  <c r="L932" i="4"/>
  <c r="G932" i="4"/>
  <c r="B932" i="4"/>
  <c r="H932" i="4"/>
  <c r="C932" i="4"/>
  <c r="E932" i="4" s="1"/>
  <c r="I932" i="4"/>
  <c r="D932" i="4"/>
  <c r="J932" i="4"/>
  <c r="I940" i="4"/>
  <c r="D940" i="4"/>
  <c r="H940" i="4"/>
  <c r="B940" i="4"/>
  <c r="J940" i="4"/>
  <c r="G940" i="4"/>
  <c r="C940" i="4"/>
  <c r="E940" i="4" s="1"/>
  <c r="L940" i="4"/>
  <c r="I958" i="4"/>
  <c r="D958" i="4"/>
  <c r="L958" i="4"/>
  <c r="C958" i="4"/>
  <c r="E958" i="4" s="1"/>
  <c r="J958" i="4"/>
  <c r="H958" i="4"/>
  <c r="G958" i="4"/>
  <c r="B958" i="4"/>
  <c r="I960" i="4"/>
  <c r="D960" i="4"/>
  <c r="L960" i="4"/>
  <c r="H960" i="4"/>
  <c r="G960" i="4"/>
  <c r="C960" i="4"/>
  <c r="E960" i="4" s="1"/>
  <c r="B960" i="4"/>
  <c r="J960" i="4"/>
  <c r="H992" i="4"/>
  <c r="C992" i="4"/>
  <c r="E992" i="4" s="1"/>
  <c r="J992" i="4"/>
  <c r="D992" i="4"/>
  <c r="G992" i="4"/>
  <c r="I992" i="4"/>
  <c r="B992" i="4"/>
  <c r="L992" i="4"/>
  <c r="L969" i="4"/>
  <c r="G969" i="4"/>
  <c r="B969" i="4"/>
  <c r="I969" i="4"/>
  <c r="C969" i="4"/>
  <c r="E969" i="4" s="1"/>
  <c r="H969" i="4"/>
  <c r="J969" i="4"/>
  <c r="D969" i="4"/>
  <c r="L977" i="4"/>
  <c r="G977" i="4"/>
  <c r="B977" i="4"/>
  <c r="I977" i="4"/>
  <c r="C977" i="4"/>
  <c r="E977" i="4" s="1"/>
  <c r="H977" i="4"/>
  <c r="J977" i="4"/>
  <c r="D977" i="4"/>
  <c r="H980" i="4"/>
  <c r="C980" i="4"/>
  <c r="E980" i="4" s="1"/>
  <c r="G980" i="4"/>
  <c r="L980" i="4"/>
  <c r="D980" i="4"/>
  <c r="J980" i="4"/>
  <c r="B980" i="4"/>
  <c r="I980" i="4"/>
  <c r="J981" i="4"/>
  <c r="L981" i="4"/>
  <c r="D981" i="4"/>
  <c r="I981" i="4"/>
  <c r="B981" i="4"/>
  <c r="H981" i="4"/>
  <c r="C981" i="4"/>
  <c r="E981" i="4" s="1"/>
  <c r="G981" i="4"/>
  <c r="J985" i="4"/>
  <c r="H985" i="4"/>
  <c r="B985" i="4"/>
  <c r="I985" i="4"/>
  <c r="C985" i="4"/>
  <c r="E985" i="4" s="1"/>
  <c r="L985" i="4"/>
  <c r="G985" i="4"/>
  <c r="D985" i="4"/>
  <c r="J993" i="4"/>
  <c r="H993" i="4"/>
  <c r="B993" i="4"/>
  <c r="L993" i="4"/>
  <c r="C993" i="4"/>
  <c r="E993" i="4" s="1"/>
  <c r="I993" i="4"/>
  <c r="G993" i="4"/>
  <c r="D993" i="4"/>
  <c r="J1001" i="4"/>
  <c r="H1001" i="4"/>
  <c r="B1001" i="4"/>
  <c r="G1001" i="4"/>
  <c r="D1001" i="4"/>
  <c r="C1001" i="4"/>
  <c r="E1001" i="4" s="1"/>
  <c r="L1001" i="4"/>
  <c r="I1001" i="4"/>
  <c r="J4" i="4" l="1"/>
  <c r="E7" i="4"/>
  <c r="J5" i="4"/>
  <c r="E5" i="4"/>
  <c r="E6" i="4"/>
  <c r="J3" i="4"/>
  <c r="J6" i="4"/>
  <c r="J7" i="4"/>
  <c r="Q992" i="4"/>
  <c r="M992" i="4"/>
  <c r="P992" i="4"/>
  <c r="O992" i="4"/>
  <c r="N992" i="4"/>
  <c r="S992" i="4"/>
  <c r="R992" i="4"/>
  <c r="R940" i="4"/>
  <c r="N940" i="4"/>
  <c r="O940" i="4"/>
  <c r="Q940" i="4"/>
  <c r="P940" i="4"/>
  <c r="S940" i="4"/>
  <c r="M940" i="4"/>
  <c r="R897" i="4"/>
  <c r="N897" i="4"/>
  <c r="S897" i="4"/>
  <c r="M897" i="4"/>
  <c r="Q897" i="4"/>
  <c r="P897" i="4"/>
  <c r="O897" i="4"/>
  <c r="S833" i="4"/>
  <c r="O833" i="4"/>
  <c r="P833" i="4"/>
  <c r="N833" i="4"/>
  <c r="Q833" i="4"/>
  <c r="R833" i="4"/>
  <c r="M833" i="4"/>
  <c r="Q818" i="4"/>
  <c r="M818" i="4"/>
  <c r="S818" i="4"/>
  <c r="N818" i="4"/>
  <c r="O818" i="4"/>
  <c r="R818" i="4"/>
  <c r="P818" i="4"/>
  <c r="S480" i="4"/>
  <c r="O480" i="4"/>
  <c r="Q480" i="4"/>
  <c r="M480" i="4"/>
  <c r="R480" i="4"/>
  <c r="P480" i="4"/>
  <c r="N480" i="4"/>
  <c r="S472" i="4"/>
  <c r="O472" i="4"/>
  <c r="Q472" i="4"/>
  <c r="M472" i="4"/>
  <c r="R472" i="4"/>
  <c r="P472" i="4"/>
  <c r="N472" i="4"/>
  <c r="Q469" i="4"/>
  <c r="S469" i="4"/>
  <c r="O469" i="4"/>
  <c r="P469" i="4"/>
  <c r="N469" i="4"/>
  <c r="R469" i="4"/>
  <c r="M469" i="4"/>
  <c r="S999" i="4"/>
  <c r="O999" i="4"/>
  <c r="R999" i="4"/>
  <c r="M999" i="4"/>
  <c r="N999" i="4"/>
  <c r="Q999" i="4"/>
  <c r="P999" i="4"/>
  <c r="S979" i="4"/>
  <c r="O979" i="4"/>
  <c r="P979" i="4"/>
  <c r="R979" i="4"/>
  <c r="Q979" i="4"/>
  <c r="N979" i="4"/>
  <c r="M979" i="4"/>
  <c r="R895" i="4"/>
  <c r="N895" i="4"/>
  <c r="S895" i="4"/>
  <c r="M895" i="4"/>
  <c r="O895" i="4"/>
  <c r="Q895" i="4"/>
  <c r="P895" i="4"/>
  <c r="S783" i="4"/>
  <c r="O783" i="4"/>
  <c r="P783" i="4"/>
  <c r="N783" i="4"/>
  <c r="M783" i="4"/>
  <c r="R783" i="4"/>
  <c r="Q783" i="4"/>
  <c r="Q874" i="4"/>
  <c r="M874" i="4"/>
  <c r="S874" i="4"/>
  <c r="N874" i="4"/>
  <c r="R874" i="4"/>
  <c r="P874" i="4"/>
  <c r="O874" i="4"/>
  <c r="Q792" i="4"/>
  <c r="M792" i="4"/>
  <c r="S792" i="4"/>
  <c r="N792" i="4"/>
  <c r="R792" i="4"/>
  <c r="P792" i="4"/>
  <c r="O792" i="4"/>
  <c r="Q834" i="4"/>
  <c r="M834" i="4"/>
  <c r="S834" i="4"/>
  <c r="N834" i="4"/>
  <c r="R834" i="4"/>
  <c r="P834" i="4"/>
  <c r="O834" i="4"/>
  <c r="S484" i="4"/>
  <c r="O484" i="4"/>
  <c r="Q484" i="4"/>
  <c r="M484" i="4"/>
  <c r="R484" i="4"/>
  <c r="P484" i="4"/>
  <c r="N484" i="4"/>
  <c r="R899" i="4"/>
  <c r="N899" i="4"/>
  <c r="S899" i="4"/>
  <c r="M899" i="4"/>
  <c r="Q899" i="4"/>
  <c r="P899" i="4"/>
  <c r="O899" i="4"/>
  <c r="R883" i="4"/>
  <c r="N883" i="4"/>
  <c r="S883" i="4"/>
  <c r="M883" i="4"/>
  <c r="Q883" i="4"/>
  <c r="P883" i="4"/>
  <c r="O883" i="4"/>
  <c r="S775" i="4"/>
  <c r="O775" i="4"/>
  <c r="P775" i="4"/>
  <c r="M775" i="4"/>
  <c r="R775" i="4"/>
  <c r="N775" i="4"/>
  <c r="Q775" i="4"/>
  <c r="Q778" i="4"/>
  <c r="M778" i="4"/>
  <c r="O778" i="4"/>
  <c r="P778" i="4"/>
  <c r="N778" i="4"/>
  <c r="S778" i="4"/>
  <c r="R778" i="4"/>
  <c r="R645" i="4"/>
  <c r="N645" i="4"/>
  <c r="Q645" i="4"/>
  <c r="M645" i="4"/>
  <c r="O645" i="4"/>
  <c r="S645" i="4"/>
  <c r="P645" i="4"/>
  <c r="Q330" i="4"/>
  <c r="M330" i="4"/>
  <c r="S330" i="4"/>
  <c r="N330" i="4"/>
  <c r="R330" i="4"/>
  <c r="P330" i="4"/>
  <c r="O330" i="4"/>
  <c r="Q334" i="4"/>
  <c r="M334" i="4"/>
  <c r="P334" i="4"/>
  <c r="O334" i="4"/>
  <c r="S334" i="4"/>
  <c r="N334" i="4"/>
  <c r="R334" i="4"/>
  <c r="Q106" i="4"/>
  <c r="M106" i="4"/>
  <c r="P106" i="4"/>
  <c r="O106" i="4"/>
  <c r="S106" i="4"/>
  <c r="N106" i="4"/>
  <c r="R106" i="4"/>
  <c r="R960" i="4"/>
  <c r="N960" i="4"/>
  <c r="Q960" i="4"/>
  <c r="P960" i="4"/>
  <c r="S960" i="4"/>
  <c r="O960" i="4"/>
  <c r="M960" i="4"/>
  <c r="R972" i="4"/>
  <c r="N972" i="4"/>
  <c r="Q972" i="4"/>
  <c r="P972" i="4"/>
  <c r="S972" i="4"/>
  <c r="O972" i="4"/>
  <c r="M972" i="4"/>
  <c r="S865" i="4"/>
  <c r="O865" i="4"/>
  <c r="P865" i="4"/>
  <c r="N865" i="4"/>
  <c r="Q865" i="4"/>
  <c r="R865" i="4"/>
  <c r="M865" i="4"/>
  <c r="R919" i="4"/>
  <c r="N919" i="4"/>
  <c r="O919" i="4"/>
  <c r="P919" i="4"/>
  <c r="Q919" i="4"/>
  <c r="M919" i="4"/>
  <c r="S919" i="4"/>
  <c r="Q864" i="4"/>
  <c r="M864" i="4"/>
  <c r="R864" i="4"/>
  <c r="P864" i="4"/>
  <c r="N864" i="4"/>
  <c r="S864" i="4"/>
  <c r="O864" i="4"/>
  <c r="Q800" i="4"/>
  <c r="M800" i="4"/>
  <c r="R800" i="4"/>
  <c r="P800" i="4"/>
  <c r="O800" i="4"/>
  <c r="N800" i="4"/>
  <c r="S800" i="4"/>
  <c r="Q846" i="4"/>
  <c r="M846" i="4"/>
  <c r="P846" i="4"/>
  <c r="O846" i="4"/>
  <c r="R846" i="4"/>
  <c r="N846" i="4"/>
  <c r="S846" i="4"/>
  <c r="Q782" i="4"/>
  <c r="M782" i="4"/>
  <c r="R782" i="4"/>
  <c r="S782" i="4"/>
  <c r="P782" i="4"/>
  <c r="N782" i="4"/>
  <c r="O782" i="4"/>
  <c r="Q840" i="4"/>
  <c r="M840" i="4"/>
  <c r="R840" i="4"/>
  <c r="P840" i="4"/>
  <c r="S840" i="4"/>
  <c r="O840" i="4"/>
  <c r="N840" i="4"/>
  <c r="R767" i="4"/>
  <c r="N767" i="4"/>
  <c r="Q767" i="4"/>
  <c r="P767" i="4"/>
  <c r="M767" i="4"/>
  <c r="S767" i="4"/>
  <c r="O767" i="4"/>
  <c r="R771" i="4"/>
  <c r="N771" i="4"/>
  <c r="Q771" i="4"/>
  <c r="P771" i="4"/>
  <c r="S771" i="4"/>
  <c r="O771" i="4"/>
  <c r="M771" i="4"/>
  <c r="R739" i="4"/>
  <c r="N739" i="4"/>
  <c r="Q739" i="4"/>
  <c r="P739" i="4"/>
  <c r="S739" i="4"/>
  <c r="O739" i="4"/>
  <c r="M739" i="4"/>
  <c r="R757" i="4"/>
  <c r="N757" i="4"/>
  <c r="Q757" i="4"/>
  <c r="P757" i="4"/>
  <c r="S757" i="4"/>
  <c r="O757" i="4"/>
  <c r="M757" i="4"/>
  <c r="R657" i="4"/>
  <c r="N657" i="4"/>
  <c r="Q657" i="4"/>
  <c r="M657" i="4"/>
  <c r="S657" i="4"/>
  <c r="P657" i="4"/>
  <c r="O657" i="4"/>
  <c r="R701" i="4"/>
  <c r="N701" i="4"/>
  <c r="Q701" i="4"/>
  <c r="P701" i="4"/>
  <c r="S701" i="4"/>
  <c r="O701" i="4"/>
  <c r="M701" i="4"/>
  <c r="R669" i="4"/>
  <c r="N669" i="4"/>
  <c r="Q669" i="4"/>
  <c r="P669" i="4"/>
  <c r="S669" i="4"/>
  <c r="O669" i="4"/>
  <c r="M669" i="4"/>
  <c r="Q610" i="4"/>
  <c r="M610" i="4"/>
  <c r="P610" i="4"/>
  <c r="S610" i="4"/>
  <c r="O610" i="4"/>
  <c r="R610" i="4"/>
  <c r="N610" i="4"/>
  <c r="Q602" i="4"/>
  <c r="M602" i="4"/>
  <c r="P602" i="4"/>
  <c r="S602" i="4"/>
  <c r="O602" i="4"/>
  <c r="R602" i="4"/>
  <c r="N602" i="4"/>
  <c r="Q594" i="4"/>
  <c r="M594" i="4"/>
  <c r="P594" i="4"/>
  <c r="S594" i="4"/>
  <c r="O594" i="4"/>
  <c r="R594" i="4"/>
  <c r="N594" i="4"/>
  <c r="Q549" i="4"/>
  <c r="M549" i="4"/>
  <c r="P549" i="4"/>
  <c r="S549" i="4"/>
  <c r="O549" i="4"/>
  <c r="R549" i="4"/>
  <c r="N549" i="4"/>
  <c r="Q493" i="4"/>
  <c r="M493" i="4"/>
  <c r="P493" i="4"/>
  <c r="S493" i="4"/>
  <c r="O493" i="4"/>
  <c r="R493" i="4"/>
  <c r="N493" i="4"/>
  <c r="Q477" i="4"/>
  <c r="M477" i="4"/>
  <c r="S477" i="4"/>
  <c r="O477" i="4"/>
  <c r="P477" i="4"/>
  <c r="N477" i="4"/>
  <c r="R477" i="4"/>
  <c r="R422" i="4"/>
  <c r="N422" i="4"/>
  <c r="Q422" i="4"/>
  <c r="M422" i="4"/>
  <c r="S422" i="4"/>
  <c r="P422" i="4"/>
  <c r="O422" i="4"/>
  <c r="R390" i="4"/>
  <c r="N390" i="4"/>
  <c r="Q390" i="4"/>
  <c r="M390" i="4"/>
  <c r="S390" i="4"/>
  <c r="P390" i="4"/>
  <c r="O390" i="4"/>
  <c r="Q468" i="4"/>
  <c r="M468" i="4"/>
  <c r="R468" i="4"/>
  <c r="P468" i="4"/>
  <c r="O468" i="4"/>
  <c r="N468" i="4"/>
  <c r="S468" i="4"/>
  <c r="R216" i="4"/>
  <c r="N216" i="4"/>
  <c r="Q216" i="4"/>
  <c r="M216" i="4"/>
  <c r="S216" i="4"/>
  <c r="P216" i="4"/>
  <c r="O216" i="4"/>
  <c r="R184" i="4"/>
  <c r="N184" i="4"/>
  <c r="Q184" i="4"/>
  <c r="M184" i="4"/>
  <c r="S184" i="4"/>
  <c r="P184" i="4"/>
  <c r="O184" i="4"/>
  <c r="R152" i="4"/>
  <c r="N152" i="4"/>
  <c r="Q152" i="4"/>
  <c r="M152" i="4"/>
  <c r="S152" i="4"/>
  <c r="P152" i="4"/>
  <c r="O152" i="4"/>
  <c r="R120" i="4"/>
  <c r="N120" i="4"/>
  <c r="Q120" i="4"/>
  <c r="M120" i="4"/>
  <c r="S120" i="4"/>
  <c r="P120" i="4"/>
  <c r="O120" i="4"/>
  <c r="S991" i="4"/>
  <c r="O991" i="4"/>
  <c r="R991" i="4"/>
  <c r="M991" i="4"/>
  <c r="Q991" i="4"/>
  <c r="P991" i="4"/>
  <c r="N991" i="4"/>
  <c r="R974" i="4"/>
  <c r="N974" i="4"/>
  <c r="Q974" i="4"/>
  <c r="P974" i="4"/>
  <c r="M974" i="4"/>
  <c r="S974" i="4"/>
  <c r="O974" i="4"/>
  <c r="R956" i="4"/>
  <c r="N956" i="4"/>
  <c r="Q956" i="4"/>
  <c r="P956" i="4"/>
  <c r="M956" i="4"/>
  <c r="O956" i="4"/>
  <c r="S956" i="4"/>
  <c r="R970" i="4"/>
  <c r="N970" i="4"/>
  <c r="Q970" i="4"/>
  <c r="P970" i="4"/>
  <c r="S970" i="4"/>
  <c r="O970" i="4"/>
  <c r="M970" i="4"/>
  <c r="S871" i="4"/>
  <c r="O871" i="4"/>
  <c r="N871" i="4"/>
  <c r="R871" i="4"/>
  <c r="M871" i="4"/>
  <c r="Q871" i="4"/>
  <c r="P871" i="4"/>
  <c r="S855" i="4"/>
  <c r="O855" i="4"/>
  <c r="N855" i="4"/>
  <c r="R855" i="4"/>
  <c r="M855" i="4"/>
  <c r="Q855" i="4"/>
  <c r="P855" i="4"/>
  <c r="S799" i="4"/>
  <c r="O799" i="4"/>
  <c r="N799" i="4"/>
  <c r="P799" i="4"/>
  <c r="Q799" i="4"/>
  <c r="M799" i="4"/>
  <c r="R799" i="4"/>
  <c r="Q810" i="4"/>
  <c r="M810" i="4"/>
  <c r="S810" i="4"/>
  <c r="N810" i="4"/>
  <c r="R810" i="4"/>
  <c r="O810" i="4"/>
  <c r="P810" i="4"/>
  <c r="R954" i="4"/>
  <c r="N954" i="4"/>
  <c r="Q954" i="4"/>
  <c r="M954" i="4"/>
  <c r="P954" i="4"/>
  <c r="O954" i="4"/>
  <c r="S954" i="4"/>
  <c r="Q848" i="4"/>
  <c r="M848" i="4"/>
  <c r="R848" i="4"/>
  <c r="P848" i="4"/>
  <c r="N848" i="4"/>
  <c r="O848" i="4"/>
  <c r="S848" i="4"/>
  <c r="Q824" i="4"/>
  <c r="M824" i="4"/>
  <c r="R824" i="4"/>
  <c r="P824" i="4"/>
  <c r="S824" i="4"/>
  <c r="O824" i="4"/>
  <c r="N824" i="4"/>
  <c r="Q804" i="4"/>
  <c r="M804" i="4"/>
  <c r="O804" i="4"/>
  <c r="P804" i="4"/>
  <c r="N804" i="4"/>
  <c r="S804" i="4"/>
  <c r="R804" i="4"/>
  <c r="Q878" i="4"/>
  <c r="M878" i="4"/>
  <c r="P878" i="4"/>
  <c r="O878" i="4"/>
  <c r="S878" i="4"/>
  <c r="R878" i="4"/>
  <c r="N878" i="4"/>
  <c r="R759" i="4"/>
  <c r="N759" i="4"/>
  <c r="Q759" i="4"/>
  <c r="P759" i="4"/>
  <c r="M759" i="4"/>
  <c r="S759" i="4"/>
  <c r="O759" i="4"/>
  <c r="R727" i="4"/>
  <c r="N727" i="4"/>
  <c r="Q727" i="4"/>
  <c r="P727" i="4"/>
  <c r="M727" i="4"/>
  <c r="S727" i="4"/>
  <c r="O727" i="4"/>
  <c r="Q788" i="4"/>
  <c r="M788" i="4"/>
  <c r="P788" i="4"/>
  <c r="O788" i="4"/>
  <c r="N788" i="4"/>
  <c r="S788" i="4"/>
  <c r="R788" i="4"/>
  <c r="R745" i="4"/>
  <c r="N745" i="4"/>
  <c r="Q745" i="4"/>
  <c r="P745" i="4"/>
  <c r="O745" i="4"/>
  <c r="M745" i="4"/>
  <c r="S745" i="4"/>
  <c r="R713" i="4"/>
  <c r="N713" i="4"/>
  <c r="Q713" i="4"/>
  <c r="P713" i="4"/>
  <c r="O713" i="4"/>
  <c r="M713" i="4"/>
  <c r="S713" i="4"/>
  <c r="R763" i="4"/>
  <c r="N763" i="4"/>
  <c r="Q763" i="4"/>
  <c r="P763" i="4"/>
  <c r="S763" i="4"/>
  <c r="O763" i="4"/>
  <c r="M763" i="4"/>
  <c r="R731" i="4"/>
  <c r="N731" i="4"/>
  <c r="Q731" i="4"/>
  <c r="P731" i="4"/>
  <c r="S731" i="4"/>
  <c r="O731" i="4"/>
  <c r="M731" i="4"/>
  <c r="R725" i="4"/>
  <c r="N725" i="4"/>
  <c r="Q725" i="4"/>
  <c r="P725" i="4"/>
  <c r="S725" i="4"/>
  <c r="O725" i="4"/>
  <c r="M725" i="4"/>
  <c r="R681" i="4"/>
  <c r="N681" i="4"/>
  <c r="Q681" i="4"/>
  <c r="P681" i="4"/>
  <c r="M681" i="4"/>
  <c r="S681" i="4"/>
  <c r="O681" i="4"/>
  <c r="R649" i="4"/>
  <c r="N649" i="4"/>
  <c r="Q649" i="4"/>
  <c r="M649" i="4"/>
  <c r="S649" i="4"/>
  <c r="P649" i="4"/>
  <c r="O649" i="4"/>
  <c r="R707" i="4"/>
  <c r="N707" i="4"/>
  <c r="Q707" i="4"/>
  <c r="P707" i="4"/>
  <c r="O707" i="4"/>
  <c r="M707" i="4"/>
  <c r="S707" i="4"/>
  <c r="R675" i="4"/>
  <c r="N675" i="4"/>
  <c r="Q675" i="4"/>
  <c r="P675" i="4"/>
  <c r="O675" i="4"/>
  <c r="M675" i="4"/>
  <c r="S675" i="4"/>
  <c r="R773" i="4"/>
  <c r="N773" i="4"/>
  <c r="Q773" i="4"/>
  <c r="P773" i="4"/>
  <c r="S773" i="4"/>
  <c r="O773" i="4"/>
  <c r="M773" i="4"/>
  <c r="R693" i="4"/>
  <c r="N693" i="4"/>
  <c r="Q693" i="4"/>
  <c r="P693" i="4"/>
  <c r="S693" i="4"/>
  <c r="O693" i="4"/>
  <c r="M693" i="4"/>
  <c r="R765" i="4"/>
  <c r="N765" i="4"/>
  <c r="Q765" i="4"/>
  <c r="P765" i="4"/>
  <c r="S765" i="4"/>
  <c r="O765" i="4"/>
  <c r="M765" i="4"/>
  <c r="R687" i="4"/>
  <c r="N687" i="4"/>
  <c r="Q687" i="4"/>
  <c r="P687" i="4"/>
  <c r="S687" i="4"/>
  <c r="O687" i="4"/>
  <c r="M687" i="4"/>
  <c r="S625" i="4"/>
  <c r="O625" i="4"/>
  <c r="R625" i="4"/>
  <c r="N625" i="4"/>
  <c r="Q625" i="4"/>
  <c r="M625" i="4"/>
  <c r="P625" i="4"/>
  <c r="S617" i="4"/>
  <c r="O617" i="4"/>
  <c r="R617" i="4"/>
  <c r="N617" i="4"/>
  <c r="Q617" i="4"/>
  <c r="M617" i="4"/>
  <c r="P617" i="4"/>
  <c r="S609" i="4"/>
  <c r="O609" i="4"/>
  <c r="R609" i="4"/>
  <c r="N609" i="4"/>
  <c r="Q609" i="4"/>
  <c r="M609" i="4"/>
  <c r="P609" i="4"/>
  <c r="S601" i="4"/>
  <c r="O601" i="4"/>
  <c r="R601" i="4"/>
  <c r="N601" i="4"/>
  <c r="Q601" i="4"/>
  <c r="M601" i="4"/>
  <c r="P601" i="4"/>
  <c r="S593" i="4"/>
  <c r="O593" i="4"/>
  <c r="R593" i="4"/>
  <c r="N593" i="4"/>
  <c r="Q593" i="4"/>
  <c r="M593" i="4"/>
  <c r="P593" i="4"/>
  <c r="S585" i="4"/>
  <c r="O585" i="4"/>
  <c r="R585" i="4"/>
  <c r="N585" i="4"/>
  <c r="Q585" i="4"/>
  <c r="M585" i="4"/>
  <c r="P585" i="4"/>
  <c r="S577" i="4"/>
  <c r="O577" i="4"/>
  <c r="R577" i="4"/>
  <c r="N577" i="4"/>
  <c r="Q577" i="4"/>
  <c r="M577" i="4"/>
  <c r="P577" i="4"/>
  <c r="S569" i="4"/>
  <c r="O569" i="4"/>
  <c r="R569" i="4"/>
  <c r="N569" i="4"/>
  <c r="Q569" i="4"/>
  <c r="M569" i="4"/>
  <c r="P569" i="4"/>
  <c r="S561" i="4"/>
  <c r="O561" i="4"/>
  <c r="R561" i="4"/>
  <c r="N561" i="4"/>
  <c r="Q561" i="4"/>
  <c r="M561" i="4"/>
  <c r="P561" i="4"/>
  <c r="S553" i="4"/>
  <c r="O553" i="4"/>
  <c r="P553" i="4"/>
  <c r="N553" i="4"/>
  <c r="R553" i="4"/>
  <c r="M553" i="4"/>
  <c r="Q553" i="4"/>
  <c r="Q624" i="4"/>
  <c r="M624" i="4"/>
  <c r="P624" i="4"/>
  <c r="S624" i="4"/>
  <c r="O624" i="4"/>
  <c r="R624" i="4"/>
  <c r="N624" i="4"/>
  <c r="Q616" i="4"/>
  <c r="M616" i="4"/>
  <c r="P616" i="4"/>
  <c r="S616" i="4"/>
  <c r="O616" i="4"/>
  <c r="R616" i="4"/>
  <c r="N616" i="4"/>
  <c r="Q608" i="4"/>
  <c r="M608" i="4"/>
  <c r="P608" i="4"/>
  <c r="S608" i="4"/>
  <c r="O608" i="4"/>
  <c r="R608" i="4"/>
  <c r="N608" i="4"/>
  <c r="Q600" i="4"/>
  <c r="M600" i="4"/>
  <c r="P600" i="4"/>
  <c r="S600" i="4"/>
  <c r="O600" i="4"/>
  <c r="R600" i="4"/>
  <c r="N600" i="4"/>
  <c r="Q592" i="4"/>
  <c r="M592" i="4"/>
  <c r="P592" i="4"/>
  <c r="S592" i="4"/>
  <c r="O592" i="4"/>
  <c r="R592" i="4"/>
  <c r="N592" i="4"/>
  <c r="Q584" i="4"/>
  <c r="M584" i="4"/>
  <c r="P584" i="4"/>
  <c r="S584" i="4"/>
  <c r="O584" i="4"/>
  <c r="R584" i="4"/>
  <c r="N584" i="4"/>
  <c r="Q576" i="4"/>
  <c r="M576" i="4"/>
  <c r="P576" i="4"/>
  <c r="S576" i="4"/>
  <c r="O576" i="4"/>
  <c r="R576" i="4"/>
  <c r="N576" i="4"/>
  <c r="Q568" i="4"/>
  <c r="M568" i="4"/>
  <c r="P568" i="4"/>
  <c r="S568" i="4"/>
  <c r="O568" i="4"/>
  <c r="R568" i="4"/>
  <c r="N568" i="4"/>
  <c r="Q560" i="4"/>
  <c r="M560" i="4"/>
  <c r="P560" i="4"/>
  <c r="S560" i="4"/>
  <c r="O560" i="4"/>
  <c r="R560" i="4"/>
  <c r="N560" i="4"/>
  <c r="Q547" i="4"/>
  <c r="M547" i="4"/>
  <c r="P547" i="4"/>
  <c r="S547" i="4"/>
  <c r="O547" i="4"/>
  <c r="R547" i="4"/>
  <c r="N547" i="4"/>
  <c r="Q539" i="4"/>
  <c r="M539" i="4"/>
  <c r="P539" i="4"/>
  <c r="S539" i="4"/>
  <c r="O539" i="4"/>
  <c r="R539" i="4"/>
  <c r="N539" i="4"/>
  <c r="Q531" i="4"/>
  <c r="M531" i="4"/>
  <c r="P531" i="4"/>
  <c r="S531" i="4"/>
  <c r="O531" i="4"/>
  <c r="R531" i="4"/>
  <c r="N531" i="4"/>
  <c r="Q523" i="4"/>
  <c r="M523" i="4"/>
  <c r="P523" i="4"/>
  <c r="S523" i="4"/>
  <c r="O523" i="4"/>
  <c r="R523" i="4"/>
  <c r="N523" i="4"/>
  <c r="Q515" i="4"/>
  <c r="M515" i="4"/>
  <c r="P515" i="4"/>
  <c r="S515" i="4"/>
  <c r="O515" i="4"/>
  <c r="R515" i="4"/>
  <c r="N515" i="4"/>
  <c r="Q507" i="4"/>
  <c r="M507" i="4"/>
  <c r="P507" i="4"/>
  <c r="S507" i="4"/>
  <c r="O507" i="4"/>
  <c r="R507" i="4"/>
  <c r="N507" i="4"/>
  <c r="Q499" i="4"/>
  <c r="M499" i="4"/>
  <c r="P499" i="4"/>
  <c r="S499" i="4"/>
  <c r="O499" i="4"/>
  <c r="R499" i="4"/>
  <c r="N499" i="4"/>
  <c r="Q491" i="4"/>
  <c r="M491" i="4"/>
  <c r="P491" i="4"/>
  <c r="S491" i="4"/>
  <c r="O491" i="4"/>
  <c r="R491" i="4"/>
  <c r="N491" i="4"/>
  <c r="R446" i="4"/>
  <c r="N446" i="4"/>
  <c r="Q446" i="4"/>
  <c r="M446" i="4"/>
  <c r="S446" i="4"/>
  <c r="P446" i="4"/>
  <c r="O446" i="4"/>
  <c r="R414" i="4"/>
  <c r="N414" i="4"/>
  <c r="Q414" i="4"/>
  <c r="M414" i="4"/>
  <c r="S414" i="4"/>
  <c r="P414" i="4"/>
  <c r="O414" i="4"/>
  <c r="R382" i="4"/>
  <c r="N382" i="4"/>
  <c r="Q382" i="4"/>
  <c r="M382" i="4"/>
  <c r="S382" i="4"/>
  <c r="P382" i="4"/>
  <c r="O382" i="4"/>
  <c r="R350" i="4"/>
  <c r="N350" i="4"/>
  <c r="Q350" i="4"/>
  <c r="M350" i="4"/>
  <c r="S350" i="4"/>
  <c r="P350" i="4"/>
  <c r="O350" i="4"/>
  <c r="S109" i="4"/>
  <c r="O109" i="4"/>
  <c r="P109" i="4"/>
  <c r="N109" i="4"/>
  <c r="R109" i="4"/>
  <c r="M109" i="4"/>
  <c r="Q109" i="4"/>
  <c r="S101" i="4"/>
  <c r="O101" i="4"/>
  <c r="P101" i="4"/>
  <c r="N101" i="4"/>
  <c r="R101" i="4"/>
  <c r="M101" i="4"/>
  <c r="Q101" i="4"/>
  <c r="R336" i="4"/>
  <c r="N336" i="4"/>
  <c r="Q336" i="4"/>
  <c r="M336" i="4"/>
  <c r="S336" i="4"/>
  <c r="P336" i="4"/>
  <c r="O336" i="4"/>
  <c r="R208" i="4"/>
  <c r="N208" i="4"/>
  <c r="Q208" i="4"/>
  <c r="M208" i="4"/>
  <c r="S208" i="4"/>
  <c r="P208" i="4"/>
  <c r="O208" i="4"/>
  <c r="R176" i="4"/>
  <c r="N176" i="4"/>
  <c r="Q176" i="4"/>
  <c r="M176" i="4"/>
  <c r="S176" i="4"/>
  <c r="P176" i="4"/>
  <c r="O176" i="4"/>
  <c r="R144" i="4"/>
  <c r="N144" i="4"/>
  <c r="Q144" i="4"/>
  <c r="M144" i="4"/>
  <c r="S144" i="4"/>
  <c r="P144" i="4"/>
  <c r="O144" i="4"/>
  <c r="R112" i="4"/>
  <c r="N112" i="4"/>
  <c r="Q112" i="4"/>
  <c r="M112" i="4"/>
  <c r="S112" i="4"/>
  <c r="P112" i="4"/>
  <c r="O112" i="4"/>
  <c r="Q98" i="4"/>
  <c r="M98" i="4"/>
  <c r="P98" i="4"/>
  <c r="S98" i="4"/>
  <c r="O98" i="4"/>
  <c r="R98" i="4"/>
  <c r="N98" i="4"/>
  <c r="Q90" i="4"/>
  <c r="M90" i="4"/>
  <c r="P90" i="4"/>
  <c r="S90" i="4"/>
  <c r="O90" i="4"/>
  <c r="R90" i="4"/>
  <c r="N90" i="4"/>
  <c r="Q82" i="4"/>
  <c r="M82" i="4"/>
  <c r="P82" i="4"/>
  <c r="S82" i="4"/>
  <c r="O82" i="4"/>
  <c r="R82" i="4"/>
  <c r="N82" i="4"/>
  <c r="Q74" i="4"/>
  <c r="M74" i="4"/>
  <c r="P74" i="4"/>
  <c r="S74" i="4"/>
  <c r="O74" i="4"/>
  <c r="R74" i="4"/>
  <c r="N74" i="4"/>
  <c r="Q66" i="4"/>
  <c r="M66" i="4"/>
  <c r="P66" i="4"/>
  <c r="S66" i="4"/>
  <c r="O66" i="4"/>
  <c r="R66" i="4"/>
  <c r="N66" i="4"/>
  <c r="Q58" i="4"/>
  <c r="M58" i="4"/>
  <c r="P58" i="4"/>
  <c r="S58" i="4"/>
  <c r="O58" i="4"/>
  <c r="R58" i="4"/>
  <c r="N58" i="4"/>
  <c r="Q50" i="4"/>
  <c r="M50" i="4"/>
  <c r="P50" i="4"/>
  <c r="S50" i="4"/>
  <c r="O50" i="4"/>
  <c r="R50" i="4"/>
  <c r="N50" i="4"/>
  <c r="Q42" i="4"/>
  <c r="M42" i="4"/>
  <c r="P42" i="4"/>
  <c r="S42" i="4"/>
  <c r="O42" i="4"/>
  <c r="R42" i="4"/>
  <c r="N42" i="4"/>
  <c r="Q34" i="4"/>
  <c r="M34" i="4"/>
  <c r="P34" i="4"/>
  <c r="S34" i="4"/>
  <c r="O34" i="4"/>
  <c r="R34" i="4"/>
  <c r="N34" i="4"/>
  <c r="Q20" i="4"/>
  <c r="M20" i="4"/>
  <c r="P20" i="4"/>
  <c r="O20" i="4"/>
  <c r="R20" i="4"/>
  <c r="N20" i="4"/>
  <c r="Q108" i="4"/>
  <c r="M108" i="4"/>
  <c r="R108" i="4"/>
  <c r="P108" i="4"/>
  <c r="O108" i="4"/>
  <c r="S108" i="4"/>
  <c r="N108" i="4"/>
  <c r="Q96" i="4"/>
  <c r="M96" i="4"/>
  <c r="P96" i="4"/>
  <c r="S96" i="4"/>
  <c r="O96" i="4"/>
  <c r="R96" i="4"/>
  <c r="N96" i="4"/>
  <c r="Q88" i="4"/>
  <c r="M88" i="4"/>
  <c r="P88" i="4"/>
  <c r="S88" i="4"/>
  <c r="O88" i="4"/>
  <c r="R88" i="4"/>
  <c r="N88" i="4"/>
  <c r="Q80" i="4"/>
  <c r="M80" i="4"/>
  <c r="P80" i="4"/>
  <c r="S80" i="4"/>
  <c r="O80" i="4"/>
  <c r="R80" i="4"/>
  <c r="N80" i="4"/>
  <c r="Q72" i="4"/>
  <c r="M72" i="4"/>
  <c r="P72" i="4"/>
  <c r="S72" i="4"/>
  <c r="O72" i="4"/>
  <c r="R72" i="4"/>
  <c r="N72" i="4"/>
  <c r="Q64" i="4"/>
  <c r="M64" i="4"/>
  <c r="P64" i="4"/>
  <c r="S64" i="4"/>
  <c r="O64" i="4"/>
  <c r="R64" i="4"/>
  <c r="N64" i="4"/>
  <c r="Q56" i="4"/>
  <c r="M56" i="4"/>
  <c r="P56" i="4"/>
  <c r="S56" i="4"/>
  <c r="O56" i="4"/>
  <c r="R56" i="4"/>
  <c r="N56" i="4"/>
  <c r="Q48" i="4"/>
  <c r="M48" i="4"/>
  <c r="P48" i="4"/>
  <c r="S48" i="4"/>
  <c r="O48" i="4"/>
  <c r="R48" i="4"/>
  <c r="N48" i="4"/>
  <c r="Q40" i="4"/>
  <c r="M40" i="4"/>
  <c r="P40" i="4"/>
  <c r="S40" i="4"/>
  <c r="O40" i="4"/>
  <c r="R40" i="4"/>
  <c r="N40" i="4"/>
  <c r="Q32" i="4"/>
  <c r="M32" i="4"/>
  <c r="P32" i="4"/>
  <c r="S32" i="4"/>
  <c r="O32" i="4"/>
  <c r="R32" i="4"/>
  <c r="N32" i="4"/>
  <c r="Q16" i="4"/>
  <c r="M16" i="4"/>
  <c r="P16" i="4"/>
  <c r="O16" i="4"/>
  <c r="R16" i="4"/>
  <c r="N16" i="4"/>
  <c r="Q100" i="4"/>
  <c r="M100" i="4"/>
  <c r="R100" i="4"/>
  <c r="P100" i="4"/>
  <c r="O100" i="4"/>
  <c r="S100" i="4"/>
  <c r="N100" i="4"/>
  <c r="Q988" i="4"/>
  <c r="M988" i="4"/>
  <c r="S988" i="4"/>
  <c r="N988" i="4"/>
  <c r="R988" i="4"/>
  <c r="O988" i="4"/>
  <c r="P988" i="4"/>
  <c r="Q986" i="4"/>
  <c r="M986" i="4"/>
  <c r="R986" i="4"/>
  <c r="S986" i="4"/>
  <c r="N986" i="4"/>
  <c r="O986" i="4"/>
  <c r="P986" i="4"/>
  <c r="R966" i="4"/>
  <c r="N966" i="4"/>
  <c r="Q966" i="4"/>
  <c r="P966" i="4"/>
  <c r="M966" i="4"/>
  <c r="O966" i="4"/>
  <c r="S966" i="4"/>
  <c r="R952" i="4"/>
  <c r="N952" i="4"/>
  <c r="Q952" i="4"/>
  <c r="P952" i="4"/>
  <c r="S952" i="4"/>
  <c r="O952" i="4"/>
  <c r="M952" i="4"/>
  <c r="S1002" i="4"/>
  <c r="R1002" i="4"/>
  <c r="Q1002" i="4"/>
  <c r="M1002" i="4"/>
  <c r="P1002" i="4"/>
  <c r="O1002" i="4"/>
  <c r="N1002" i="4"/>
  <c r="R939" i="4"/>
  <c r="N939" i="4"/>
  <c r="P939" i="4"/>
  <c r="O939" i="4"/>
  <c r="M939" i="4"/>
  <c r="S939" i="4"/>
  <c r="Q939" i="4"/>
  <c r="R901" i="4"/>
  <c r="N901" i="4"/>
  <c r="S901" i="4"/>
  <c r="M901" i="4"/>
  <c r="P901" i="4"/>
  <c r="O901" i="4"/>
  <c r="Q901" i="4"/>
  <c r="R885" i="4"/>
  <c r="N885" i="4"/>
  <c r="S885" i="4"/>
  <c r="M885" i="4"/>
  <c r="P885" i="4"/>
  <c r="O885" i="4"/>
  <c r="Q885" i="4"/>
  <c r="S877" i="4"/>
  <c r="O877" i="4"/>
  <c r="R877" i="4"/>
  <c r="M877" i="4"/>
  <c r="Q877" i="4"/>
  <c r="P877" i="4"/>
  <c r="N877" i="4"/>
  <c r="S869" i="4"/>
  <c r="O869" i="4"/>
  <c r="R869" i="4"/>
  <c r="M869" i="4"/>
  <c r="Q869" i="4"/>
  <c r="N869" i="4"/>
  <c r="P869" i="4"/>
  <c r="S861" i="4"/>
  <c r="O861" i="4"/>
  <c r="R861" i="4"/>
  <c r="M861" i="4"/>
  <c r="Q861" i="4"/>
  <c r="N861" i="4"/>
  <c r="P861" i="4"/>
  <c r="S853" i="4"/>
  <c r="O853" i="4"/>
  <c r="R853" i="4"/>
  <c r="M853" i="4"/>
  <c r="Q853" i="4"/>
  <c r="N853" i="4"/>
  <c r="P853" i="4"/>
  <c r="S845" i="4"/>
  <c r="O845" i="4"/>
  <c r="R845" i="4"/>
  <c r="M845" i="4"/>
  <c r="Q845" i="4"/>
  <c r="P845" i="4"/>
  <c r="N845" i="4"/>
  <c r="S837" i="4"/>
  <c r="O837" i="4"/>
  <c r="R837" i="4"/>
  <c r="M837" i="4"/>
  <c r="Q837" i="4"/>
  <c r="N837" i="4"/>
  <c r="P837" i="4"/>
  <c r="S829" i="4"/>
  <c r="O829" i="4"/>
  <c r="R829" i="4"/>
  <c r="M829" i="4"/>
  <c r="Q829" i="4"/>
  <c r="P829" i="4"/>
  <c r="N829" i="4"/>
  <c r="S821" i="4"/>
  <c r="O821" i="4"/>
  <c r="R821" i="4"/>
  <c r="M821" i="4"/>
  <c r="Q821" i="4"/>
  <c r="N821" i="4"/>
  <c r="P821" i="4"/>
  <c r="S813" i="4"/>
  <c r="O813" i="4"/>
  <c r="R813" i="4"/>
  <c r="M813" i="4"/>
  <c r="P813" i="4"/>
  <c r="N813" i="4"/>
  <c r="Q813" i="4"/>
  <c r="S781" i="4"/>
  <c r="O781" i="4"/>
  <c r="N781" i="4"/>
  <c r="Q781" i="4"/>
  <c r="P781" i="4"/>
  <c r="R781" i="4"/>
  <c r="M781" i="4"/>
  <c r="Q876" i="4"/>
  <c r="M876" i="4"/>
  <c r="O876" i="4"/>
  <c r="S876" i="4"/>
  <c r="N876" i="4"/>
  <c r="R876" i="4"/>
  <c r="P876" i="4"/>
  <c r="Q832" i="4"/>
  <c r="M832" i="4"/>
  <c r="R832" i="4"/>
  <c r="P832" i="4"/>
  <c r="N832" i="4"/>
  <c r="S832" i="4"/>
  <c r="O832" i="4"/>
  <c r="Q784" i="4"/>
  <c r="M784" i="4"/>
  <c r="S784" i="4"/>
  <c r="N784" i="4"/>
  <c r="R784" i="4"/>
  <c r="P784" i="4"/>
  <c r="O784" i="4"/>
  <c r="Q816" i="4"/>
  <c r="M816" i="4"/>
  <c r="R816" i="4"/>
  <c r="N816" i="4"/>
  <c r="O816" i="4"/>
  <c r="S816" i="4"/>
  <c r="P816" i="4"/>
  <c r="Q856" i="4"/>
  <c r="M856" i="4"/>
  <c r="R856" i="4"/>
  <c r="P856" i="4"/>
  <c r="S856" i="4"/>
  <c r="N856" i="4"/>
  <c r="O856" i="4"/>
  <c r="R751" i="4"/>
  <c r="N751" i="4"/>
  <c r="Q751" i="4"/>
  <c r="P751" i="4"/>
  <c r="M751" i="4"/>
  <c r="S751" i="4"/>
  <c r="O751" i="4"/>
  <c r="R719" i="4"/>
  <c r="N719" i="4"/>
  <c r="Q719" i="4"/>
  <c r="P719" i="4"/>
  <c r="M719" i="4"/>
  <c r="S719" i="4"/>
  <c r="O719" i="4"/>
  <c r="R769" i="4"/>
  <c r="N769" i="4"/>
  <c r="Q769" i="4"/>
  <c r="P769" i="4"/>
  <c r="O769" i="4"/>
  <c r="M769" i="4"/>
  <c r="S769" i="4"/>
  <c r="R737" i="4"/>
  <c r="N737" i="4"/>
  <c r="Q737" i="4"/>
  <c r="P737" i="4"/>
  <c r="O737" i="4"/>
  <c r="M737" i="4"/>
  <c r="S737" i="4"/>
  <c r="R755" i="4"/>
  <c r="N755" i="4"/>
  <c r="Q755" i="4"/>
  <c r="P755" i="4"/>
  <c r="S755" i="4"/>
  <c r="O755" i="4"/>
  <c r="M755" i="4"/>
  <c r="R723" i="4"/>
  <c r="N723" i="4"/>
  <c r="Q723" i="4"/>
  <c r="P723" i="4"/>
  <c r="S723" i="4"/>
  <c r="O723" i="4"/>
  <c r="M723" i="4"/>
  <c r="R705" i="4"/>
  <c r="N705" i="4"/>
  <c r="Q705" i="4"/>
  <c r="P705" i="4"/>
  <c r="M705" i="4"/>
  <c r="S705" i="4"/>
  <c r="O705" i="4"/>
  <c r="R673" i="4"/>
  <c r="N673" i="4"/>
  <c r="Q673" i="4"/>
  <c r="P673" i="4"/>
  <c r="M673" i="4"/>
  <c r="S673" i="4"/>
  <c r="O673" i="4"/>
  <c r="R699" i="4"/>
  <c r="N699" i="4"/>
  <c r="Q699" i="4"/>
  <c r="P699" i="4"/>
  <c r="O699" i="4"/>
  <c r="M699" i="4"/>
  <c r="S699" i="4"/>
  <c r="R741" i="4"/>
  <c r="N741" i="4"/>
  <c r="Q741" i="4"/>
  <c r="P741" i="4"/>
  <c r="S741" i="4"/>
  <c r="O741" i="4"/>
  <c r="M741" i="4"/>
  <c r="R685" i="4"/>
  <c r="N685" i="4"/>
  <c r="Q685" i="4"/>
  <c r="P685" i="4"/>
  <c r="S685" i="4"/>
  <c r="O685" i="4"/>
  <c r="M685" i="4"/>
  <c r="R633" i="4"/>
  <c r="N633" i="4"/>
  <c r="P633" i="4"/>
  <c r="S633" i="4"/>
  <c r="M633" i="4"/>
  <c r="O633" i="4"/>
  <c r="Q633" i="4"/>
  <c r="R733" i="4"/>
  <c r="N733" i="4"/>
  <c r="Q733" i="4"/>
  <c r="P733" i="4"/>
  <c r="S733" i="4"/>
  <c r="O733" i="4"/>
  <c r="M733" i="4"/>
  <c r="R679" i="4"/>
  <c r="N679" i="4"/>
  <c r="Q679" i="4"/>
  <c r="P679" i="4"/>
  <c r="S679" i="4"/>
  <c r="O679" i="4"/>
  <c r="M679" i="4"/>
  <c r="S559" i="4"/>
  <c r="O559" i="4"/>
  <c r="Q559" i="4"/>
  <c r="M559" i="4"/>
  <c r="R559" i="4"/>
  <c r="P559" i="4"/>
  <c r="N559" i="4"/>
  <c r="Q622" i="4"/>
  <c r="M622" i="4"/>
  <c r="P622" i="4"/>
  <c r="S622" i="4"/>
  <c r="O622" i="4"/>
  <c r="R622" i="4"/>
  <c r="N622" i="4"/>
  <c r="Q614" i="4"/>
  <c r="M614" i="4"/>
  <c r="P614" i="4"/>
  <c r="S614" i="4"/>
  <c r="O614" i="4"/>
  <c r="R614" i="4"/>
  <c r="N614" i="4"/>
  <c r="Q606" i="4"/>
  <c r="M606" i="4"/>
  <c r="P606" i="4"/>
  <c r="S606" i="4"/>
  <c r="O606" i="4"/>
  <c r="R606" i="4"/>
  <c r="N606" i="4"/>
  <c r="Q598" i="4"/>
  <c r="M598" i="4"/>
  <c r="P598" i="4"/>
  <c r="S598" i="4"/>
  <c r="O598" i="4"/>
  <c r="R598" i="4"/>
  <c r="N598" i="4"/>
  <c r="Q590" i="4"/>
  <c r="M590" i="4"/>
  <c r="P590" i="4"/>
  <c r="S590" i="4"/>
  <c r="O590" i="4"/>
  <c r="R590" i="4"/>
  <c r="N590" i="4"/>
  <c r="Q582" i="4"/>
  <c r="M582" i="4"/>
  <c r="P582" i="4"/>
  <c r="S582" i="4"/>
  <c r="O582" i="4"/>
  <c r="R582" i="4"/>
  <c r="N582" i="4"/>
  <c r="Q574" i="4"/>
  <c r="M574" i="4"/>
  <c r="P574" i="4"/>
  <c r="S574" i="4"/>
  <c r="O574" i="4"/>
  <c r="R574" i="4"/>
  <c r="N574" i="4"/>
  <c r="Q566" i="4"/>
  <c r="M566" i="4"/>
  <c r="P566" i="4"/>
  <c r="S566" i="4"/>
  <c r="O566" i="4"/>
  <c r="R566" i="4"/>
  <c r="N566" i="4"/>
  <c r="Q545" i="4"/>
  <c r="M545" i="4"/>
  <c r="P545" i="4"/>
  <c r="S545" i="4"/>
  <c r="O545" i="4"/>
  <c r="R545" i="4"/>
  <c r="N545" i="4"/>
  <c r="Q537" i="4"/>
  <c r="M537" i="4"/>
  <c r="P537" i="4"/>
  <c r="S537" i="4"/>
  <c r="O537" i="4"/>
  <c r="R537" i="4"/>
  <c r="N537" i="4"/>
  <c r="Q529" i="4"/>
  <c r="M529" i="4"/>
  <c r="P529" i="4"/>
  <c r="S529" i="4"/>
  <c r="O529" i="4"/>
  <c r="R529" i="4"/>
  <c r="N529" i="4"/>
  <c r="Q521" i="4"/>
  <c r="M521" i="4"/>
  <c r="P521" i="4"/>
  <c r="S521" i="4"/>
  <c r="O521" i="4"/>
  <c r="R521" i="4"/>
  <c r="N521" i="4"/>
  <c r="Q513" i="4"/>
  <c r="M513" i="4"/>
  <c r="P513" i="4"/>
  <c r="S513" i="4"/>
  <c r="O513" i="4"/>
  <c r="R513" i="4"/>
  <c r="N513" i="4"/>
  <c r="Q505" i="4"/>
  <c r="M505" i="4"/>
  <c r="P505" i="4"/>
  <c r="S505" i="4"/>
  <c r="O505" i="4"/>
  <c r="R505" i="4"/>
  <c r="N505" i="4"/>
  <c r="Q497" i="4"/>
  <c r="M497" i="4"/>
  <c r="P497" i="4"/>
  <c r="S497" i="4"/>
  <c r="O497" i="4"/>
  <c r="R497" i="4"/>
  <c r="N497" i="4"/>
  <c r="Q489" i="4"/>
  <c r="M489" i="4"/>
  <c r="S489" i="4"/>
  <c r="O489" i="4"/>
  <c r="R489" i="4"/>
  <c r="N489" i="4"/>
  <c r="P489" i="4"/>
  <c r="Q481" i="4"/>
  <c r="M481" i="4"/>
  <c r="S481" i="4"/>
  <c r="O481" i="4"/>
  <c r="P481" i="4"/>
  <c r="N481" i="4"/>
  <c r="R481" i="4"/>
  <c r="Q473" i="4"/>
  <c r="M473" i="4"/>
  <c r="S473" i="4"/>
  <c r="O473" i="4"/>
  <c r="P473" i="4"/>
  <c r="N473" i="4"/>
  <c r="R473" i="4"/>
  <c r="S465" i="4"/>
  <c r="O465" i="4"/>
  <c r="R465" i="4"/>
  <c r="M465" i="4"/>
  <c r="Q465" i="4"/>
  <c r="P465" i="4"/>
  <c r="N465" i="4"/>
  <c r="S333" i="4"/>
  <c r="O333" i="4"/>
  <c r="R333" i="4"/>
  <c r="M333" i="4"/>
  <c r="Q333" i="4"/>
  <c r="P333" i="4"/>
  <c r="N333" i="4"/>
  <c r="Q466" i="4"/>
  <c r="M466" i="4"/>
  <c r="P466" i="4"/>
  <c r="O466" i="4"/>
  <c r="N466" i="4"/>
  <c r="S466" i="4"/>
  <c r="R466" i="4"/>
  <c r="R438" i="4"/>
  <c r="N438" i="4"/>
  <c r="Q438" i="4"/>
  <c r="M438" i="4"/>
  <c r="S438" i="4"/>
  <c r="P438" i="4"/>
  <c r="O438" i="4"/>
  <c r="R406" i="4"/>
  <c r="N406" i="4"/>
  <c r="Q406" i="4"/>
  <c r="M406" i="4"/>
  <c r="S406" i="4"/>
  <c r="P406" i="4"/>
  <c r="O406" i="4"/>
  <c r="R374" i="4"/>
  <c r="N374" i="4"/>
  <c r="Q374" i="4"/>
  <c r="M374" i="4"/>
  <c r="S374" i="4"/>
  <c r="P374" i="4"/>
  <c r="O374" i="4"/>
  <c r="R342" i="4"/>
  <c r="N342" i="4"/>
  <c r="Q342" i="4"/>
  <c r="M342" i="4"/>
  <c r="S342" i="4"/>
  <c r="P342" i="4"/>
  <c r="O342" i="4"/>
  <c r="Q328" i="4"/>
  <c r="M328" i="4"/>
  <c r="R328" i="4"/>
  <c r="P328" i="4"/>
  <c r="O328" i="4"/>
  <c r="S328" i="4"/>
  <c r="N328" i="4"/>
  <c r="R200" i="4"/>
  <c r="N200" i="4"/>
  <c r="Q200" i="4"/>
  <c r="M200" i="4"/>
  <c r="S200" i="4"/>
  <c r="P200" i="4"/>
  <c r="O200" i="4"/>
  <c r="R168" i="4"/>
  <c r="N168" i="4"/>
  <c r="Q168" i="4"/>
  <c r="M168" i="4"/>
  <c r="S168" i="4"/>
  <c r="P168" i="4"/>
  <c r="O168" i="4"/>
  <c r="R136" i="4"/>
  <c r="N136" i="4"/>
  <c r="Q136" i="4"/>
  <c r="M136" i="4"/>
  <c r="S136" i="4"/>
  <c r="P136" i="4"/>
  <c r="O136" i="4"/>
  <c r="S995" i="4"/>
  <c r="O995" i="4"/>
  <c r="P995" i="4"/>
  <c r="Q995" i="4"/>
  <c r="N995" i="4"/>
  <c r="R995" i="4"/>
  <c r="M995" i="4"/>
  <c r="Q994" i="4"/>
  <c r="M994" i="4"/>
  <c r="R994" i="4"/>
  <c r="N994" i="4"/>
  <c r="S994" i="4"/>
  <c r="P994" i="4"/>
  <c r="O994" i="4"/>
  <c r="R964" i="4"/>
  <c r="N964" i="4"/>
  <c r="Q964" i="4"/>
  <c r="P964" i="4"/>
  <c r="O964" i="4"/>
  <c r="M964" i="4"/>
  <c r="S964" i="4"/>
  <c r="R968" i="4"/>
  <c r="N968" i="4"/>
  <c r="Q968" i="4"/>
  <c r="P968" i="4"/>
  <c r="O968" i="4"/>
  <c r="S968" i="4"/>
  <c r="M968" i="4"/>
  <c r="R976" i="4"/>
  <c r="N976" i="4"/>
  <c r="Q976" i="4"/>
  <c r="P976" i="4"/>
  <c r="O976" i="4"/>
  <c r="S976" i="4"/>
  <c r="M976" i="4"/>
  <c r="Q978" i="4"/>
  <c r="M978" i="4"/>
  <c r="R978" i="4"/>
  <c r="O978" i="4"/>
  <c r="N978" i="4"/>
  <c r="S978" i="4"/>
  <c r="P978" i="4"/>
  <c r="R931" i="4"/>
  <c r="N931" i="4"/>
  <c r="P931" i="4"/>
  <c r="O931" i="4"/>
  <c r="M931" i="4"/>
  <c r="Q931" i="4"/>
  <c r="S931" i="4"/>
  <c r="R907" i="4"/>
  <c r="N907" i="4"/>
  <c r="S907" i="4"/>
  <c r="M907" i="4"/>
  <c r="Q907" i="4"/>
  <c r="P907" i="4"/>
  <c r="O907" i="4"/>
  <c r="R891" i="4"/>
  <c r="N891" i="4"/>
  <c r="S891" i="4"/>
  <c r="M891" i="4"/>
  <c r="Q891" i="4"/>
  <c r="P891" i="4"/>
  <c r="O891" i="4"/>
  <c r="S787" i="4"/>
  <c r="O787" i="4"/>
  <c r="R787" i="4"/>
  <c r="M787" i="4"/>
  <c r="Q787" i="4"/>
  <c r="N787" i="4"/>
  <c r="P787" i="4"/>
  <c r="R933" i="4"/>
  <c r="N933" i="4"/>
  <c r="P933" i="4"/>
  <c r="O933" i="4"/>
  <c r="Q933" i="4"/>
  <c r="S933" i="4"/>
  <c r="M933" i="4"/>
  <c r="R937" i="4"/>
  <c r="N937" i="4"/>
  <c r="P937" i="4"/>
  <c r="O937" i="4"/>
  <c r="S937" i="4"/>
  <c r="Q937" i="4"/>
  <c r="M937" i="4"/>
  <c r="R927" i="4"/>
  <c r="N927" i="4"/>
  <c r="O927" i="4"/>
  <c r="P927" i="4"/>
  <c r="Q927" i="4"/>
  <c r="M927" i="4"/>
  <c r="S927" i="4"/>
  <c r="Q880" i="4"/>
  <c r="M880" i="4"/>
  <c r="R880" i="4"/>
  <c r="P880" i="4"/>
  <c r="N880" i="4"/>
  <c r="S880" i="4"/>
  <c r="O880" i="4"/>
  <c r="Q776" i="4"/>
  <c r="M776" i="4"/>
  <c r="S776" i="4"/>
  <c r="N776" i="4"/>
  <c r="P776" i="4"/>
  <c r="O776" i="4"/>
  <c r="R776" i="4"/>
  <c r="Q870" i="4"/>
  <c r="M870" i="4"/>
  <c r="P870" i="4"/>
  <c r="O870" i="4"/>
  <c r="R870" i="4"/>
  <c r="N870" i="4"/>
  <c r="S870" i="4"/>
  <c r="Q808" i="4"/>
  <c r="M808" i="4"/>
  <c r="R808" i="4"/>
  <c r="S808" i="4"/>
  <c r="N808" i="4"/>
  <c r="O808" i="4"/>
  <c r="P808" i="4"/>
  <c r="Q862" i="4"/>
  <c r="M862" i="4"/>
  <c r="P862" i="4"/>
  <c r="O862" i="4"/>
  <c r="R862" i="4"/>
  <c r="S862" i="4"/>
  <c r="N862" i="4"/>
  <c r="Q814" i="4"/>
  <c r="M814" i="4"/>
  <c r="P814" i="4"/>
  <c r="O814" i="4"/>
  <c r="N814" i="4"/>
  <c r="S814" i="4"/>
  <c r="R814" i="4"/>
  <c r="Q854" i="4"/>
  <c r="M854" i="4"/>
  <c r="P854" i="4"/>
  <c r="O854" i="4"/>
  <c r="R854" i="4"/>
  <c r="S854" i="4"/>
  <c r="N854" i="4"/>
  <c r="R743" i="4"/>
  <c r="N743" i="4"/>
  <c r="Q743" i="4"/>
  <c r="P743" i="4"/>
  <c r="M743" i="4"/>
  <c r="S743" i="4"/>
  <c r="O743" i="4"/>
  <c r="R711" i="4"/>
  <c r="N711" i="4"/>
  <c r="Q711" i="4"/>
  <c r="P711" i="4"/>
  <c r="M711" i="4"/>
  <c r="O711" i="4"/>
  <c r="S711" i="4"/>
  <c r="R761" i="4"/>
  <c r="N761" i="4"/>
  <c r="Q761" i="4"/>
  <c r="P761" i="4"/>
  <c r="O761" i="4"/>
  <c r="M761" i="4"/>
  <c r="S761" i="4"/>
  <c r="R729" i="4"/>
  <c r="N729" i="4"/>
  <c r="Q729" i="4"/>
  <c r="P729" i="4"/>
  <c r="O729" i="4"/>
  <c r="M729" i="4"/>
  <c r="S729" i="4"/>
  <c r="R747" i="4"/>
  <c r="N747" i="4"/>
  <c r="Q747" i="4"/>
  <c r="P747" i="4"/>
  <c r="S747" i="4"/>
  <c r="O747" i="4"/>
  <c r="M747" i="4"/>
  <c r="R715" i="4"/>
  <c r="N715" i="4"/>
  <c r="Q715" i="4"/>
  <c r="P715" i="4"/>
  <c r="S715" i="4"/>
  <c r="O715" i="4"/>
  <c r="M715" i="4"/>
  <c r="R697" i="4"/>
  <c r="N697" i="4"/>
  <c r="Q697" i="4"/>
  <c r="P697" i="4"/>
  <c r="M697" i="4"/>
  <c r="S697" i="4"/>
  <c r="O697" i="4"/>
  <c r="R665" i="4"/>
  <c r="N665" i="4"/>
  <c r="Q665" i="4"/>
  <c r="M665" i="4"/>
  <c r="S665" i="4"/>
  <c r="P665" i="4"/>
  <c r="O665" i="4"/>
  <c r="R749" i="4"/>
  <c r="N749" i="4"/>
  <c r="Q749" i="4"/>
  <c r="P749" i="4"/>
  <c r="S749" i="4"/>
  <c r="O749" i="4"/>
  <c r="M749" i="4"/>
  <c r="R691" i="4"/>
  <c r="N691" i="4"/>
  <c r="Q691" i="4"/>
  <c r="P691" i="4"/>
  <c r="O691" i="4"/>
  <c r="M691" i="4"/>
  <c r="S691" i="4"/>
  <c r="R709" i="4"/>
  <c r="N709" i="4"/>
  <c r="Q709" i="4"/>
  <c r="P709" i="4"/>
  <c r="S709" i="4"/>
  <c r="O709" i="4"/>
  <c r="M709" i="4"/>
  <c r="R677" i="4"/>
  <c r="N677" i="4"/>
  <c r="Q677" i="4"/>
  <c r="P677" i="4"/>
  <c r="S677" i="4"/>
  <c r="O677" i="4"/>
  <c r="M677" i="4"/>
  <c r="R703" i="4"/>
  <c r="N703" i="4"/>
  <c r="Q703" i="4"/>
  <c r="P703" i="4"/>
  <c r="S703" i="4"/>
  <c r="O703" i="4"/>
  <c r="M703" i="4"/>
  <c r="R671" i="4"/>
  <c r="N671" i="4"/>
  <c r="Q671" i="4"/>
  <c r="P671" i="4"/>
  <c r="S671" i="4"/>
  <c r="O671" i="4"/>
  <c r="M671" i="4"/>
  <c r="R628" i="4"/>
  <c r="N628" i="4"/>
  <c r="P628" i="4"/>
  <c r="S628" i="4"/>
  <c r="Q628" i="4"/>
  <c r="O628" i="4"/>
  <c r="M628" i="4"/>
  <c r="S621" i="4"/>
  <c r="O621" i="4"/>
  <c r="R621" i="4"/>
  <c r="N621" i="4"/>
  <c r="Q621" i="4"/>
  <c r="M621" i="4"/>
  <c r="P621" i="4"/>
  <c r="S613" i="4"/>
  <c r="O613" i="4"/>
  <c r="R613" i="4"/>
  <c r="N613" i="4"/>
  <c r="Q613" i="4"/>
  <c r="M613" i="4"/>
  <c r="P613" i="4"/>
  <c r="S605" i="4"/>
  <c r="O605" i="4"/>
  <c r="R605" i="4"/>
  <c r="N605" i="4"/>
  <c r="Q605" i="4"/>
  <c r="M605" i="4"/>
  <c r="P605" i="4"/>
  <c r="S597" i="4"/>
  <c r="O597" i="4"/>
  <c r="R597" i="4"/>
  <c r="N597" i="4"/>
  <c r="Q597" i="4"/>
  <c r="M597" i="4"/>
  <c r="P597" i="4"/>
  <c r="S589" i="4"/>
  <c r="O589" i="4"/>
  <c r="R589" i="4"/>
  <c r="N589" i="4"/>
  <c r="Q589" i="4"/>
  <c r="M589" i="4"/>
  <c r="P589" i="4"/>
  <c r="S581" i="4"/>
  <c r="O581" i="4"/>
  <c r="R581" i="4"/>
  <c r="N581" i="4"/>
  <c r="Q581" i="4"/>
  <c r="M581" i="4"/>
  <c r="P581" i="4"/>
  <c r="S573" i="4"/>
  <c r="O573" i="4"/>
  <c r="R573" i="4"/>
  <c r="N573" i="4"/>
  <c r="Q573" i="4"/>
  <c r="M573" i="4"/>
  <c r="P573" i="4"/>
  <c r="S565" i="4"/>
  <c r="O565" i="4"/>
  <c r="R565" i="4"/>
  <c r="N565" i="4"/>
  <c r="Q565" i="4"/>
  <c r="M565" i="4"/>
  <c r="P565" i="4"/>
  <c r="S557" i="4"/>
  <c r="O557" i="4"/>
  <c r="Q557" i="4"/>
  <c r="M557" i="4"/>
  <c r="N557" i="4"/>
  <c r="R557" i="4"/>
  <c r="P557" i="4"/>
  <c r="Q620" i="4"/>
  <c r="M620" i="4"/>
  <c r="P620" i="4"/>
  <c r="S620" i="4"/>
  <c r="O620" i="4"/>
  <c r="R620" i="4"/>
  <c r="N620" i="4"/>
  <c r="Q612" i="4"/>
  <c r="M612" i="4"/>
  <c r="P612" i="4"/>
  <c r="S612" i="4"/>
  <c r="O612" i="4"/>
  <c r="R612" i="4"/>
  <c r="N612" i="4"/>
  <c r="Q604" i="4"/>
  <c r="M604" i="4"/>
  <c r="P604" i="4"/>
  <c r="S604" i="4"/>
  <c r="O604" i="4"/>
  <c r="R604" i="4"/>
  <c r="N604" i="4"/>
  <c r="Q596" i="4"/>
  <c r="M596" i="4"/>
  <c r="P596" i="4"/>
  <c r="S596" i="4"/>
  <c r="O596" i="4"/>
  <c r="R596" i="4"/>
  <c r="N596" i="4"/>
  <c r="Q588" i="4"/>
  <c r="M588" i="4"/>
  <c r="P588" i="4"/>
  <c r="S588" i="4"/>
  <c r="O588" i="4"/>
  <c r="R588" i="4"/>
  <c r="N588" i="4"/>
  <c r="Q580" i="4"/>
  <c r="M580" i="4"/>
  <c r="P580" i="4"/>
  <c r="S580" i="4"/>
  <c r="O580" i="4"/>
  <c r="R580" i="4"/>
  <c r="N580" i="4"/>
  <c r="Q572" i="4"/>
  <c r="M572" i="4"/>
  <c r="P572" i="4"/>
  <c r="S572" i="4"/>
  <c r="O572" i="4"/>
  <c r="R572" i="4"/>
  <c r="N572" i="4"/>
  <c r="Q564" i="4"/>
  <c r="M564" i="4"/>
  <c r="P564" i="4"/>
  <c r="S564" i="4"/>
  <c r="O564" i="4"/>
  <c r="R564" i="4"/>
  <c r="N564" i="4"/>
  <c r="Q543" i="4"/>
  <c r="M543" i="4"/>
  <c r="P543" i="4"/>
  <c r="S543" i="4"/>
  <c r="O543" i="4"/>
  <c r="R543" i="4"/>
  <c r="N543" i="4"/>
  <c r="Q535" i="4"/>
  <c r="M535" i="4"/>
  <c r="P535" i="4"/>
  <c r="S535" i="4"/>
  <c r="O535" i="4"/>
  <c r="R535" i="4"/>
  <c r="N535" i="4"/>
  <c r="Q527" i="4"/>
  <c r="M527" i="4"/>
  <c r="P527" i="4"/>
  <c r="S527" i="4"/>
  <c r="O527" i="4"/>
  <c r="R527" i="4"/>
  <c r="N527" i="4"/>
  <c r="Q519" i="4"/>
  <c r="M519" i="4"/>
  <c r="P519" i="4"/>
  <c r="S519" i="4"/>
  <c r="O519" i="4"/>
  <c r="R519" i="4"/>
  <c r="N519" i="4"/>
  <c r="Q511" i="4"/>
  <c r="M511" i="4"/>
  <c r="P511" i="4"/>
  <c r="S511" i="4"/>
  <c r="O511" i="4"/>
  <c r="R511" i="4"/>
  <c r="N511" i="4"/>
  <c r="Q503" i="4"/>
  <c r="M503" i="4"/>
  <c r="P503" i="4"/>
  <c r="S503" i="4"/>
  <c r="O503" i="4"/>
  <c r="R503" i="4"/>
  <c r="N503" i="4"/>
  <c r="Q495" i="4"/>
  <c r="M495" i="4"/>
  <c r="P495" i="4"/>
  <c r="S495" i="4"/>
  <c r="O495" i="4"/>
  <c r="R495" i="4"/>
  <c r="N495" i="4"/>
  <c r="Q552" i="4"/>
  <c r="M552" i="4"/>
  <c r="R552" i="4"/>
  <c r="P552" i="4"/>
  <c r="O552" i="4"/>
  <c r="S552" i="4"/>
  <c r="N552" i="4"/>
  <c r="R462" i="4"/>
  <c r="N462" i="4"/>
  <c r="Q462" i="4"/>
  <c r="M462" i="4"/>
  <c r="S462" i="4"/>
  <c r="P462" i="4"/>
  <c r="O462" i="4"/>
  <c r="R430" i="4"/>
  <c r="N430" i="4"/>
  <c r="Q430" i="4"/>
  <c r="M430" i="4"/>
  <c r="S430" i="4"/>
  <c r="P430" i="4"/>
  <c r="O430" i="4"/>
  <c r="R398" i="4"/>
  <c r="N398" i="4"/>
  <c r="Q398" i="4"/>
  <c r="M398" i="4"/>
  <c r="S398" i="4"/>
  <c r="P398" i="4"/>
  <c r="O398" i="4"/>
  <c r="R366" i="4"/>
  <c r="N366" i="4"/>
  <c r="Q366" i="4"/>
  <c r="M366" i="4"/>
  <c r="S366" i="4"/>
  <c r="P366" i="4"/>
  <c r="O366" i="4"/>
  <c r="S105" i="4"/>
  <c r="O105" i="4"/>
  <c r="R105" i="4"/>
  <c r="M105" i="4"/>
  <c r="Q105" i="4"/>
  <c r="P105" i="4"/>
  <c r="N105" i="4"/>
  <c r="R192" i="4"/>
  <c r="N192" i="4"/>
  <c r="Q192" i="4"/>
  <c r="M192" i="4"/>
  <c r="S192" i="4"/>
  <c r="P192" i="4"/>
  <c r="O192" i="4"/>
  <c r="R160" i="4"/>
  <c r="N160" i="4"/>
  <c r="Q160" i="4"/>
  <c r="M160" i="4"/>
  <c r="S160" i="4"/>
  <c r="P160" i="4"/>
  <c r="O160" i="4"/>
  <c r="R128" i="4"/>
  <c r="N128" i="4"/>
  <c r="Q128" i="4"/>
  <c r="M128" i="4"/>
  <c r="S128" i="4"/>
  <c r="P128" i="4"/>
  <c r="O128" i="4"/>
  <c r="Q94" i="4"/>
  <c r="M94" i="4"/>
  <c r="P94" i="4"/>
  <c r="S94" i="4"/>
  <c r="O94" i="4"/>
  <c r="R94" i="4"/>
  <c r="N94" i="4"/>
  <c r="Q86" i="4"/>
  <c r="M86" i="4"/>
  <c r="P86" i="4"/>
  <c r="S86" i="4"/>
  <c r="O86" i="4"/>
  <c r="R86" i="4"/>
  <c r="N86" i="4"/>
  <c r="Q78" i="4"/>
  <c r="M78" i="4"/>
  <c r="P78" i="4"/>
  <c r="S78" i="4"/>
  <c r="O78" i="4"/>
  <c r="R78" i="4"/>
  <c r="N78" i="4"/>
  <c r="Q70" i="4"/>
  <c r="M70" i="4"/>
  <c r="P70" i="4"/>
  <c r="S70" i="4"/>
  <c r="O70" i="4"/>
  <c r="R70" i="4"/>
  <c r="N70" i="4"/>
  <c r="Q62" i="4"/>
  <c r="M62" i="4"/>
  <c r="P62" i="4"/>
  <c r="S62" i="4"/>
  <c r="O62" i="4"/>
  <c r="R62" i="4"/>
  <c r="N62" i="4"/>
  <c r="Q54" i="4"/>
  <c r="M54" i="4"/>
  <c r="P54" i="4"/>
  <c r="S54" i="4"/>
  <c r="O54" i="4"/>
  <c r="R54" i="4"/>
  <c r="N54" i="4"/>
  <c r="Q46" i="4"/>
  <c r="M46" i="4"/>
  <c r="P46" i="4"/>
  <c r="S46" i="4"/>
  <c r="O46" i="4"/>
  <c r="R46" i="4"/>
  <c r="N46" i="4"/>
  <c r="Q38" i="4"/>
  <c r="M38" i="4"/>
  <c r="P38" i="4"/>
  <c r="S38" i="4"/>
  <c r="O38" i="4"/>
  <c r="R38" i="4"/>
  <c r="N38" i="4"/>
  <c r="Q28" i="4"/>
  <c r="M28" i="4"/>
  <c r="P28" i="4"/>
  <c r="O28" i="4"/>
  <c r="R28" i="4"/>
  <c r="N28" i="4"/>
  <c r="Q12" i="4"/>
  <c r="M12" i="4"/>
  <c r="P12" i="4"/>
  <c r="R12" i="4"/>
  <c r="N12" i="4"/>
  <c r="Q92" i="4"/>
  <c r="M92" i="4"/>
  <c r="P92" i="4"/>
  <c r="S92" i="4"/>
  <c r="O92" i="4"/>
  <c r="R92" i="4"/>
  <c r="N92" i="4"/>
  <c r="Q84" i="4"/>
  <c r="M84" i="4"/>
  <c r="P84" i="4"/>
  <c r="S84" i="4"/>
  <c r="O84" i="4"/>
  <c r="R84" i="4"/>
  <c r="N84" i="4"/>
  <c r="Q76" i="4"/>
  <c r="M76" i="4"/>
  <c r="P76" i="4"/>
  <c r="S76" i="4"/>
  <c r="O76" i="4"/>
  <c r="R76" i="4"/>
  <c r="N76" i="4"/>
  <c r="Q68" i="4"/>
  <c r="M68" i="4"/>
  <c r="P68" i="4"/>
  <c r="S68" i="4"/>
  <c r="O68" i="4"/>
  <c r="R68" i="4"/>
  <c r="N68" i="4"/>
  <c r="Q60" i="4"/>
  <c r="M60" i="4"/>
  <c r="P60" i="4"/>
  <c r="S60" i="4"/>
  <c r="O60" i="4"/>
  <c r="R60" i="4"/>
  <c r="N60" i="4"/>
  <c r="Q52" i="4"/>
  <c r="M52" i="4"/>
  <c r="P52" i="4"/>
  <c r="S52" i="4"/>
  <c r="O52" i="4"/>
  <c r="R52" i="4"/>
  <c r="N52" i="4"/>
  <c r="Q44" i="4"/>
  <c r="M44" i="4"/>
  <c r="P44" i="4"/>
  <c r="S44" i="4"/>
  <c r="O44" i="4"/>
  <c r="R44" i="4"/>
  <c r="N44" i="4"/>
  <c r="Q36" i="4"/>
  <c r="M36" i="4"/>
  <c r="P36" i="4"/>
  <c r="S36" i="4"/>
  <c r="O36" i="4"/>
  <c r="R36" i="4"/>
  <c r="N36" i="4"/>
  <c r="Q24" i="4"/>
  <c r="M24" i="4"/>
  <c r="P24" i="4"/>
  <c r="O24" i="4"/>
  <c r="R24" i="4"/>
  <c r="N24" i="4"/>
  <c r="R889" i="4"/>
  <c r="N889" i="4"/>
  <c r="S889" i="4"/>
  <c r="M889" i="4"/>
  <c r="Q889" i="4"/>
  <c r="O889" i="4"/>
  <c r="P889" i="4"/>
  <c r="S488" i="4"/>
  <c r="O488" i="4"/>
  <c r="Q488" i="4"/>
  <c r="M488" i="4"/>
  <c r="R488" i="4"/>
  <c r="P488" i="4"/>
  <c r="N488" i="4"/>
  <c r="Q326" i="4"/>
  <c r="M326" i="4"/>
  <c r="P326" i="4"/>
  <c r="O326" i="4"/>
  <c r="S326" i="4"/>
  <c r="N326" i="4"/>
  <c r="R326" i="4"/>
  <c r="Q996" i="4"/>
  <c r="M996" i="4"/>
  <c r="S996" i="4"/>
  <c r="N996" i="4"/>
  <c r="R996" i="4"/>
  <c r="O996" i="4"/>
  <c r="P996" i="4"/>
  <c r="R887" i="4"/>
  <c r="N887" i="4"/>
  <c r="S887" i="4"/>
  <c r="M887" i="4"/>
  <c r="O887" i="4"/>
  <c r="Q887" i="4"/>
  <c r="P887" i="4"/>
  <c r="S815" i="4"/>
  <c r="O815" i="4"/>
  <c r="N815" i="4"/>
  <c r="R815" i="4"/>
  <c r="P815" i="4"/>
  <c r="M815" i="4"/>
  <c r="Q815" i="4"/>
  <c r="Q842" i="4"/>
  <c r="M842" i="4"/>
  <c r="S842" i="4"/>
  <c r="N842" i="4"/>
  <c r="R842" i="4"/>
  <c r="P842" i="4"/>
  <c r="O842" i="4"/>
  <c r="Q822" i="4"/>
  <c r="M822" i="4"/>
  <c r="P822" i="4"/>
  <c r="O822" i="4"/>
  <c r="R822" i="4"/>
  <c r="S822" i="4"/>
  <c r="N822" i="4"/>
  <c r="Q483" i="4"/>
  <c r="M483" i="4"/>
  <c r="S483" i="4"/>
  <c r="O483" i="4"/>
  <c r="R483" i="4"/>
  <c r="N483" i="4"/>
  <c r="P483" i="4"/>
  <c r="Q1000" i="4"/>
  <c r="M1000" i="4"/>
  <c r="P1000" i="4"/>
  <c r="R1000" i="4"/>
  <c r="O1000" i="4"/>
  <c r="S1000" i="4"/>
  <c r="N1000" i="4"/>
  <c r="S789" i="4"/>
  <c r="O789" i="4"/>
  <c r="N789" i="4"/>
  <c r="R789" i="4"/>
  <c r="Q789" i="4"/>
  <c r="M789" i="4"/>
  <c r="P789" i="4"/>
  <c r="Q866" i="4"/>
  <c r="M866" i="4"/>
  <c r="S866" i="4"/>
  <c r="N866" i="4"/>
  <c r="R866" i="4"/>
  <c r="P866" i="4"/>
  <c r="O866" i="4"/>
  <c r="S476" i="4"/>
  <c r="O476" i="4"/>
  <c r="Q476" i="4"/>
  <c r="M476" i="4"/>
  <c r="R476" i="4"/>
  <c r="P476" i="4"/>
  <c r="N476" i="4"/>
  <c r="Q990" i="4"/>
  <c r="M990" i="4"/>
  <c r="O990" i="4"/>
  <c r="R990" i="4"/>
  <c r="P990" i="4"/>
  <c r="S990" i="4"/>
  <c r="N990" i="4"/>
  <c r="R944" i="4"/>
  <c r="N944" i="4"/>
  <c r="O944" i="4"/>
  <c r="Q944" i="4"/>
  <c r="P944" i="4"/>
  <c r="S944" i="4"/>
  <c r="M944" i="4"/>
  <c r="S795" i="4"/>
  <c r="O795" i="4"/>
  <c r="R795" i="4"/>
  <c r="M795" i="4"/>
  <c r="N795" i="4"/>
  <c r="Q795" i="4"/>
  <c r="P795" i="4"/>
  <c r="Q858" i="4"/>
  <c r="M858" i="4"/>
  <c r="S858" i="4"/>
  <c r="N858" i="4"/>
  <c r="R858" i="4"/>
  <c r="O858" i="4"/>
  <c r="P858" i="4"/>
  <c r="Q826" i="4"/>
  <c r="M826" i="4"/>
  <c r="S826" i="4"/>
  <c r="N826" i="4"/>
  <c r="R826" i="4"/>
  <c r="P826" i="4"/>
  <c r="O826" i="4"/>
  <c r="Q812" i="4"/>
  <c r="M812" i="4"/>
  <c r="O812" i="4"/>
  <c r="R812" i="4"/>
  <c r="P812" i="4"/>
  <c r="N812" i="4"/>
  <c r="S812" i="4"/>
  <c r="R631" i="4"/>
  <c r="N631" i="4"/>
  <c r="P631" i="4"/>
  <c r="S631" i="4"/>
  <c r="M631" i="4"/>
  <c r="Q631" i="4"/>
  <c r="O631" i="4"/>
  <c r="Q487" i="4"/>
  <c r="M487" i="4"/>
  <c r="S487" i="4"/>
  <c r="O487" i="4"/>
  <c r="R487" i="4"/>
  <c r="N487" i="4"/>
  <c r="P487" i="4"/>
  <c r="Q479" i="4"/>
  <c r="M479" i="4"/>
  <c r="S479" i="4"/>
  <c r="O479" i="4"/>
  <c r="R479" i="4"/>
  <c r="N479" i="4"/>
  <c r="P479" i="4"/>
  <c r="Q471" i="4"/>
  <c r="M471" i="4"/>
  <c r="S471" i="4"/>
  <c r="O471" i="4"/>
  <c r="R471" i="4"/>
  <c r="N471" i="4"/>
  <c r="P471" i="4"/>
  <c r="Q102" i="4"/>
  <c r="M102" i="4"/>
  <c r="S102" i="4"/>
  <c r="N102" i="4"/>
  <c r="R102" i="4"/>
  <c r="P102" i="4"/>
  <c r="O102" i="4"/>
  <c r="S1001" i="4"/>
  <c r="O1001" i="4"/>
  <c r="N1001" i="4"/>
  <c r="R1001" i="4"/>
  <c r="M1001" i="4"/>
  <c r="Q1001" i="4"/>
  <c r="P1001" i="4"/>
  <c r="R958" i="4"/>
  <c r="N958" i="4"/>
  <c r="Q958" i="4"/>
  <c r="M958" i="4"/>
  <c r="S958" i="4"/>
  <c r="O958" i="4"/>
  <c r="P958" i="4"/>
  <c r="R962" i="4"/>
  <c r="N962" i="4"/>
  <c r="Q962" i="4"/>
  <c r="M962" i="4"/>
  <c r="P962" i="4"/>
  <c r="O962" i="4"/>
  <c r="S962" i="4"/>
  <c r="S849" i="4"/>
  <c r="O849" i="4"/>
  <c r="P849" i="4"/>
  <c r="N849" i="4"/>
  <c r="Q849" i="4"/>
  <c r="R849" i="4"/>
  <c r="M849" i="4"/>
  <c r="S801" i="4"/>
  <c r="O801" i="4"/>
  <c r="P801" i="4"/>
  <c r="M801" i="4"/>
  <c r="Q801" i="4"/>
  <c r="N801" i="4"/>
  <c r="R801" i="4"/>
  <c r="Q872" i="4"/>
  <c r="M872" i="4"/>
  <c r="R872" i="4"/>
  <c r="P872" i="4"/>
  <c r="S872" i="4"/>
  <c r="O872" i="4"/>
  <c r="N872" i="4"/>
  <c r="Q796" i="4"/>
  <c r="M796" i="4"/>
  <c r="P796" i="4"/>
  <c r="R796" i="4"/>
  <c r="O796" i="4"/>
  <c r="N796" i="4"/>
  <c r="S796" i="4"/>
  <c r="R735" i="4"/>
  <c r="N735" i="4"/>
  <c r="Q735" i="4"/>
  <c r="P735" i="4"/>
  <c r="M735" i="4"/>
  <c r="S735" i="4"/>
  <c r="O735" i="4"/>
  <c r="Q790" i="4"/>
  <c r="M790" i="4"/>
  <c r="R790" i="4"/>
  <c r="N790" i="4"/>
  <c r="S790" i="4"/>
  <c r="P790" i="4"/>
  <c r="O790" i="4"/>
  <c r="R753" i="4"/>
  <c r="N753" i="4"/>
  <c r="Q753" i="4"/>
  <c r="P753" i="4"/>
  <c r="O753" i="4"/>
  <c r="M753" i="4"/>
  <c r="S753" i="4"/>
  <c r="R721" i="4"/>
  <c r="N721" i="4"/>
  <c r="Q721" i="4"/>
  <c r="P721" i="4"/>
  <c r="O721" i="4"/>
  <c r="M721" i="4"/>
  <c r="S721" i="4"/>
  <c r="R689" i="4"/>
  <c r="N689" i="4"/>
  <c r="Q689" i="4"/>
  <c r="P689" i="4"/>
  <c r="M689" i="4"/>
  <c r="S689" i="4"/>
  <c r="O689" i="4"/>
  <c r="R717" i="4"/>
  <c r="N717" i="4"/>
  <c r="Q717" i="4"/>
  <c r="P717" i="4"/>
  <c r="S717" i="4"/>
  <c r="O717" i="4"/>
  <c r="M717" i="4"/>
  <c r="R683" i="4"/>
  <c r="N683" i="4"/>
  <c r="Q683" i="4"/>
  <c r="P683" i="4"/>
  <c r="O683" i="4"/>
  <c r="M683" i="4"/>
  <c r="S683" i="4"/>
  <c r="Q830" i="4"/>
  <c r="M830" i="4"/>
  <c r="P830" i="4"/>
  <c r="O830" i="4"/>
  <c r="N830" i="4"/>
  <c r="S830" i="4"/>
  <c r="R830" i="4"/>
  <c r="R695" i="4"/>
  <c r="N695" i="4"/>
  <c r="Q695" i="4"/>
  <c r="P695" i="4"/>
  <c r="S695" i="4"/>
  <c r="O695" i="4"/>
  <c r="M695" i="4"/>
  <c r="Q626" i="4"/>
  <c r="M626" i="4"/>
  <c r="P626" i="4"/>
  <c r="S626" i="4"/>
  <c r="O626" i="4"/>
  <c r="R626" i="4"/>
  <c r="N626" i="4"/>
  <c r="Q618" i="4"/>
  <c r="M618" i="4"/>
  <c r="P618" i="4"/>
  <c r="S618" i="4"/>
  <c r="O618" i="4"/>
  <c r="R618" i="4"/>
  <c r="N618" i="4"/>
  <c r="Q586" i="4"/>
  <c r="M586" i="4"/>
  <c r="P586" i="4"/>
  <c r="S586" i="4"/>
  <c r="O586" i="4"/>
  <c r="R586" i="4"/>
  <c r="N586" i="4"/>
  <c r="Q578" i="4"/>
  <c r="M578" i="4"/>
  <c r="P578" i="4"/>
  <c r="S578" i="4"/>
  <c r="O578" i="4"/>
  <c r="R578" i="4"/>
  <c r="N578" i="4"/>
  <c r="Q570" i="4"/>
  <c r="M570" i="4"/>
  <c r="P570" i="4"/>
  <c r="S570" i="4"/>
  <c r="O570" i="4"/>
  <c r="R570" i="4"/>
  <c r="N570" i="4"/>
  <c r="Q562" i="4"/>
  <c r="M562" i="4"/>
  <c r="P562" i="4"/>
  <c r="S562" i="4"/>
  <c r="O562" i="4"/>
  <c r="R562" i="4"/>
  <c r="N562" i="4"/>
  <c r="Q541" i="4"/>
  <c r="M541" i="4"/>
  <c r="P541" i="4"/>
  <c r="S541" i="4"/>
  <c r="O541" i="4"/>
  <c r="R541" i="4"/>
  <c r="N541" i="4"/>
  <c r="Q533" i="4"/>
  <c r="M533" i="4"/>
  <c r="P533" i="4"/>
  <c r="S533" i="4"/>
  <c r="O533" i="4"/>
  <c r="R533" i="4"/>
  <c r="N533" i="4"/>
  <c r="Q525" i="4"/>
  <c r="M525" i="4"/>
  <c r="P525" i="4"/>
  <c r="S525" i="4"/>
  <c r="O525" i="4"/>
  <c r="R525" i="4"/>
  <c r="N525" i="4"/>
  <c r="Q517" i="4"/>
  <c r="M517" i="4"/>
  <c r="P517" i="4"/>
  <c r="S517" i="4"/>
  <c r="O517" i="4"/>
  <c r="R517" i="4"/>
  <c r="N517" i="4"/>
  <c r="Q509" i="4"/>
  <c r="M509" i="4"/>
  <c r="P509" i="4"/>
  <c r="S509" i="4"/>
  <c r="O509" i="4"/>
  <c r="R509" i="4"/>
  <c r="N509" i="4"/>
  <c r="Q501" i="4"/>
  <c r="M501" i="4"/>
  <c r="P501" i="4"/>
  <c r="S501" i="4"/>
  <c r="O501" i="4"/>
  <c r="R501" i="4"/>
  <c r="N501" i="4"/>
  <c r="Q485" i="4"/>
  <c r="M485" i="4"/>
  <c r="S485" i="4"/>
  <c r="O485" i="4"/>
  <c r="P485" i="4"/>
  <c r="N485" i="4"/>
  <c r="R485" i="4"/>
  <c r="S329" i="4"/>
  <c r="O329" i="4"/>
  <c r="P329" i="4"/>
  <c r="N329" i="4"/>
  <c r="R329" i="4"/>
  <c r="M329" i="4"/>
  <c r="Q329" i="4"/>
  <c r="R454" i="4"/>
  <c r="N454" i="4"/>
  <c r="Q454" i="4"/>
  <c r="M454" i="4"/>
  <c r="S454" i="4"/>
  <c r="P454" i="4"/>
  <c r="O454" i="4"/>
  <c r="R358" i="4"/>
  <c r="N358" i="4"/>
  <c r="Q358" i="4"/>
  <c r="M358" i="4"/>
  <c r="S358" i="4"/>
  <c r="P358" i="4"/>
  <c r="O358" i="4"/>
  <c r="S985" i="4"/>
  <c r="O985" i="4"/>
  <c r="N985" i="4"/>
  <c r="Q985" i="4"/>
  <c r="M985" i="4"/>
  <c r="P985" i="4"/>
  <c r="R985" i="4"/>
  <c r="S981" i="4"/>
  <c r="O981" i="4"/>
  <c r="Q981" i="4"/>
  <c r="R981" i="4"/>
  <c r="P981" i="4"/>
  <c r="N981" i="4"/>
  <c r="M981" i="4"/>
  <c r="S873" i="4"/>
  <c r="O873" i="4"/>
  <c r="P873" i="4"/>
  <c r="N873" i="4"/>
  <c r="R873" i="4"/>
  <c r="Q873" i="4"/>
  <c r="M873" i="4"/>
  <c r="S857" i="4"/>
  <c r="O857" i="4"/>
  <c r="P857" i="4"/>
  <c r="N857" i="4"/>
  <c r="R857" i="4"/>
  <c r="Q857" i="4"/>
  <c r="M857" i="4"/>
  <c r="S841" i="4"/>
  <c r="O841" i="4"/>
  <c r="P841" i="4"/>
  <c r="N841" i="4"/>
  <c r="R841" i="4"/>
  <c r="Q841" i="4"/>
  <c r="M841" i="4"/>
  <c r="S825" i="4"/>
  <c r="O825" i="4"/>
  <c r="P825" i="4"/>
  <c r="N825" i="4"/>
  <c r="Q825" i="4"/>
  <c r="M825" i="4"/>
  <c r="R825" i="4"/>
  <c r="S817" i="4"/>
  <c r="O817" i="4"/>
  <c r="P817" i="4"/>
  <c r="Q817" i="4"/>
  <c r="M817" i="4"/>
  <c r="N817" i="4"/>
  <c r="R817" i="4"/>
  <c r="S809" i="4"/>
  <c r="O809" i="4"/>
  <c r="P809" i="4"/>
  <c r="N809" i="4"/>
  <c r="M809" i="4"/>
  <c r="R809" i="4"/>
  <c r="Q809" i="4"/>
  <c r="S793" i="4"/>
  <c r="O793" i="4"/>
  <c r="Q793" i="4"/>
  <c r="P793" i="4"/>
  <c r="N793" i="4"/>
  <c r="R793" i="4"/>
  <c r="M793" i="4"/>
  <c r="S785" i="4"/>
  <c r="O785" i="4"/>
  <c r="Q785" i="4"/>
  <c r="N785" i="4"/>
  <c r="M785" i="4"/>
  <c r="R785" i="4"/>
  <c r="P785" i="4"/>
  <c r="S777" i="4"/>
  <c r="O777" i="4"/>
  <c r="Q777" i="4"/>
  <c r="M777" i="4"/>
  <c r="R777" i="4"/>
  <c r="P777" i="4"/>
  <c r="N777" i="4"/>
  <c r="R923" i="4"/>
  <c r="N923" i="4"/>
  <c r="O923" i="4"/>
  <c r="P923" i="4"/>
  <c r="S923" i="4"/>
  <c r="Q923" i="4"/>
  <c r="M923" i="4"/>
  <c r="Q860" i="4"/>
  <c r="M860" i="4"/>
  <c r="O860" i="4"/>
  <c r="S860" i="4"/>
  <c r="N860" i="4"/>
  <c r="R860" i="4"/>
  <c r="P860" i="4"/>
  <c r="Q828" i="4"/>
  <c r="M828" i="4"/>
  <c r="O828" i="4"/>
  <c r="S828" i="4"/>
  <c r="N828" i="4"/>
  <c r="R828" i="4"/>
  <c r="P828" i="4"/>
  <c r="Q806" i="4"/>
  <c r="M806" i="4"/>
  <c r="P806" i="4"/>
  <c r="N806" i="4"/>
  <c r="O806" i="4"/>
  <c r="S806" i="4"/>
  <c r="R806" i="4"/>
  <c r="R637" i="4"/>
  <c r="N637" i="4"/>
  <c r="Q637" i="4"/>
  <c r="M637" i="4"/>
  <c r="O637" i="4"/>
  <c r="S637" i="4"/>
  <c r="P637" i="4"/>
  <c r="R663" i="4"/>
  <c r="N663" i="4"/>
  <c r="Q663" i="4"/>
  <c r="M663" i="4"/>
  <c r="P663" i="4"/>
  <c r="O663" i="4"/>
  <c r="S663" i="4"/>
  <c r="S619" i="4"/>
  <c r="O619" i="4"/>
  <c r="R619" i="4"/>
  <c r="N619" i="4"/>
  <c r="Q619" i="4"/>
  <c r="M619" i="4"/>
  <c r="P619" i="4"/>
  <c r="S611" i="4"/>
  <c r="O611" i="4"/>
  <c r="R611" i="4"/>
  <c r="N611" i="4"/>
  <c r="Q611" i="4"/>
  <c r="M611" i="4"/>
  <c r="P611" i="4"/>
  <c r="S603" i="4"/>
  <c r="O603" i="4"/>
  <c r="R603" i="4"/>
  <c r="N603" i="4"/>
  <c r="Q603" i="4"/>
  <c r="M603" i="4"/>
  <c r="P603" i="4"/>
  <c r="S595" i="4"/>
  <c r="O595" i="4"/>
  <c r="R595" i="4"/>
  <c r="N595" i="4"/>
  <c r="Q595" i="4"/>
  <c r="M595" i="4"/>
  <c r="P595" i="4"/>
  <c r="S587" i="4"/>
  <c r="O587" i="4"/>
  <c r="R587" i="4"/>
  <c r="N587" i="4"/>
  <c r="Q587" i="4"/>
  <c r="M587" i="4"/>
  <c r="P587" i="4"/>
  <c r="S579" i="4"/>
  <c r="O579" i="4"/>
  <c r="R579" i="4"/>
  <c r="N579" i="4"/>
  <c r="Q579" i="4"/>
  <c r="M579" i="4"/>
  <c r="P579" i="4"/>
  <c r="S571" i="4"/>
  <c r="O571" i="4"/>
  <c r="R571" i="4"/>
  <c r="N571" i="4"/>
  <c r="Q571" i="4"/>
  <c r="M571" i="4"/>
  <c r="P571" i="4"/>
  <c r="S563" i="4"/>
  <c r="O563" i="4"/>
  <c r="R563" i="4"/>
  <c r="N563" i="4"/>
  <c r="Q563" i="4"/>
  <c r="M563" i="4"/>
  <c r="P563" i="4"/>
  <c r="S555" i="4"/>
  <c r="O555" i="4"/>
  <c r="Q555" i="4"/>
  <c r="P555" i="4"/>
  <c r="N555" i="4"/>
  <c r="R555" i="4"/>
  <c r="M555" i="4"/>
  <c r="S544" i="4"/>
  <c r="O544" i="4"/>
  <c r="R544" i="4"/>
  <c r="N544" i="4"/>
  <c r="Q544" i="4"/>
  <c r="M544" i="4"/>
  <c r="P544" i="4"/>
  <c r="S536" i="4"/>
  <c r="O536" i="4"/>
  <c r="R536" i="4"/>
  <c r="N536" i="4"/>
  <c r="Q536" i="4"/>
  <c r="M536" i="4"/>
  <c r="P536" i="4"/>
  <c r="S528" i="4"/>
  <c r="O528" i="4"/>
  <c r="R528" i="4"/>
  <c r="N528" i="4"/>
  <c r="Q528" i="4"/>
  <c r="M528" i="4"/>
  <c r="P528" i="4"/>
  <c r="S520" i="4"/>
  <c r="O520" i="4"/>
  <c r="R520" i="4"/>
  <c r="N520" i="4"/>
  <c r="Q520" i="4"/>
  <c r="M520" i="4"/>
  <c r="P520" i="4"/>
  <c r="S512" i="4"/>
  <c r="O512" i="4"/>
  <c r="R512" i="4"/>
  <c r="N512" i="4"/>
  <c r="Q512" i="4"/>
  <c r="M512" i="4"/>
  <c r="P512" i="4"/>
  <c r="S504" i="4"/>
  <c r="O504" i="4"/>
  <c r="R504" i="4"/>
  <c r="N504" i="4"/>
  <c r="Q504" i="4"/>
  <c r="M504" i="4"/>
  <c r="P504" i="4"/>
  <c r="S496" i="4"/>
  <c r="O496" i="4"/>
  <c r="R496" i="4"/>
  <c r="N496" i="4"/>
  <c r="Q496" i="4"/>
  <c r="M496" i="4"/>
  <c r="P496" i="4"/>
  <c r="Q332" i="4"/>
  <c r="M332" i="4"/>
  <c r="O332" i="4"/>
  <c r="S332" i="4"/>
  <c r="N332" i="4"/>
  <c r="R332" i="4"/>
  <c r="P332" i="4"/>
  <c r="S103" i="4"/>
  <c r="O103" i="4"/>
  <c r="Q103" i="4"/>
  <c r="P103" i="4"/>
  <c r="N103" i="4"/>
  <c r="R103" i="4"/>
  <c r="M103" i="4"/>
  <c r="R436" i="4"/>
  <c r="N436" i="4"/>
  <c r="Q436" i="4"/>
  <c r="M436" i="4"/>
  <c r="P436" i="4"/>
  <c r="O436" i="4"/>
  <c r="S436" i="4"/>
  <c r="R404" i="4"/>
  <c r="N404" i="4"/>
  <c r="Q404" i="4"/>
  <c r="M404" i="4"/>
  <c r="P404" i="4"/>
  <c r="O404" i="4"/>
  <c r="S404" i="4"/>
  <c r="R372" i="4"/>
  <c r="N372" i="4"/>
  <c r="Q372" i="4"/>
  <c r="M372" i="4"/>
  <c r="P372" i="4"/>
  <c r="O372" i="4"/>
  <c r="S372" i="4"/>
  <c r="R340" i="4"/>
  <c r="N340" i="4"/>
  <c r="Q340" i="4"/>
  <c r="M340" i="4"/>
  <c r="P340" i="4"/>
  <c r="O340" i="4"/>
  <c r="S340" i="4"/>
  <c r="S97" i="4"/>
  <c r="O97" i="4"/>
  <c r="R97" i="4"/>
  <c r="N97" i="4"/>
  <c r="Q97" i="4"/>
  <c r="M97" i="4"/>
  <c r="P97" i="4"/>
  <c r="S89" i="4"/>
  <c r="O89" i="4"/>
  <c r="R89" i="4"/>
  <c r="N89" i="4"/>
  <c r="Q89" i="4"/>
  <c r="M89" i="4"/>
  <c r="P89" i="4"/>
  <c r="S81" i="4"/>
  <c r="O81" i="4"/>
  <c r="R81" i="4"/>
  <c r="N81" i="4"/>
  <c r="Q81" i="4"/>
  <c r="M81" i="4"/>
  <c r="P81" i="4"/>
  <c r="S73" i="4"/>
  <c r="O73" i="4"/>
  <c r="R73" i="4"/>
  <c r="N73" i="4"/>
  <c r="Q73" i="4"/>
  <c r="M73" i="4"/>
  <c r="P73" i="4"/>
  <c r="S65" i="4"/>
  <c r="O65" i="4"/>
  <c r="R65" i="4"/>
  <c r="N65" i="4"/>
  <c r="Q65" i="4"/>
  <c r="M65" i="4"/>
  <c r="P65" i="4"/>
  <c r="S57" i="4"/>
  <c r="O57" i="4"/>
  <c r="R57" i="4"/>
  <c r="N57" i="4"/>
  <c r="Q57" i="4"/>
  <c r="M57" i="4"/>
  <c r="P57" i="4"/>
  <c r="S49" i="4"/>
  <c r="O49" i="4"/>
  <c r="R49" i="4"/>
  <c r="N49" i="4"/>
  <c r="Q49" i="4"/>
  <c r="M49" i="4"/>
  <c r="P49" i="4"/>
  <c r="S41" i="4"/>
  <c r="O41" i="4"/>
  <c r="R41" i="4"/>
  <c r="N41" i="4"/>
  <c r="Q41" i="4"/>
  <c r="M41" i="4"/>
  <c r="P41" i="4"/>
  <c r="S33" i="4"/>
  <c r="O33" i="4"/>
  <c r="R33" i="4"/>
  <c r="N33" i="4"/>
  <c r="Q33" i="4"/>
  <c r="M33" i="4"/>
  <c r="P33" i="4"/>
  <c r="O18" i="4"/>
  <c r="R18" i="4"/>
  <c r="N18" i="4"/>
  <c r="Q18" i="4"/>
  <c r="M18" i="4"/>
  <c r="P18" i="4"/>
  <c r="Q104" i="4"/>
  <c r="M104" i="4"/>
  <c r="O104" i="4"/>
  <c r="S104" i="4"/>
  <c r="N104" i="4"/>
  <c r="R104" i="4"/>
  <c r="P104" i="4"/>
  <c r="R911" i="4"/>
  <c r="N911" i="4"/>
  <c r="O911" i="4"/>
  <c r="P911" i="4"/>
  <c r="Q911" i="4"/>
  <c r="M911" i="4"/>
  <c r="S911" i="4"/>
  <c r="S839" i="4"/>
  <c r="O839" i="4"/>
  <c r="N839" i="4"/>
  <c r="R839" i="4"/>
  <c r="M839" i="4"/>
  <c r="Q839" i="4"/>
  <c r="P839" i="4"/>
  <c r="S823" i="4"/>
  <c r="O823" i="4"/>
  <c r="N823" i="4"/>
  <c r="R823" i="4"/>
  <c r="M823" i="4"/>
  <c r="Q823" i="4"/>
  <c r="P823" i="4"/>
  <c r="S807" i="4"/>
  <c r="O807" i="4"/>
  <c r="N807" i="4"/>
  <c r="Q807" i="4"/>
  <c r="M807" i="4"/>
  <c r="R807" i="4"/>
  <c r="P807" i="4"/>
  <c r="S791" i="4"/>
  <c r="O791" i="4"/>
  <c r="P791" i="4"/>
  <c r="Q791" i="4"/>
  <c r="N791" i="4"/>
  <c r="M791" i="4"/>
  <c r="R791" i="4"/>
  <c r="R915" i="4"/>
  <c r="N915" i="4"/>
  <c r="O915" i="4"/>
  <c r="P915" i="4"/>
  <c r="S915" i="4"/>
  <c r="Q915" i="4"/>
  <c r="M915" i="4"/>
  <c r="Q852" i="4"/>
  <c r="M852" i="4"/>
  <c r="O852" i="4"/>
  <c r="S852" i="4"/>
  <c r="N852" i="4"/>
  <c r="R852" i="4"/>
  <c r="P852" i="4"/>
  <c r="R655" i="4"/>
  <c r="N655" i="4"/>
  <c r="Q655" i="4"/>
  <c r="M655" i="4"/>
  <c r="P655" i="4"/>
  <c r="O655" i="4"/>
  <c r="S655" i="4"/>
  <c r="S550" i="4"/>
  <c r="O550" i="4"/>
  <c r="R550" i="4"/>
  <c r="N550" i="4"/>
  <c r="Q550" i="4"/>
  <c r="M550" i="4"/>
  <c r="P550" i="4"/>
  <c r="S542" i="4"/>
  <c r="O542" i="4"/>
  <c r="R542" i="4"/>
  <c r="N542" i="4"/>
  <c r="Q542" i="4"/>
  <c r="M542" i="4"/>
  <c r="P542" i="4"/>
  <c r="S534" i="4"/>
  <c r="O534" i="4"/>
  <c r="R534" i="4"/>
  <c r="N534" i="4"/>
  <c r="Q534" i="4"/>
  <c r="M534" i="4"/>
  <c r="P534" i="4"/>
  <c r="S526" i="4"/>
  <c r="O526" i="4"/>
  <c r="R526" i="4"/>
  <c r="N526" i="4"/>
  <c r="Q526" i="4"/>
  <c r="M526" i="4"/>
  <c r="P526" i="4"/>
  <c r="S518" i="4"/>
  <c r="O518" i="4"/>
  <c r="R518" i="4"/>
  <c r="N518" i="4"/>
  <c r="Q518" i="4"/>
  <c r="M518" i="4"/>
  <c r="P518" i="4"/>
  <c r="S510" i="4"/>
  <c r="O510" i="4"/>
  <c r="R510" i="4"/>
  <c r="N510" i="4"/>
  <c r="Q510" i="4"/>
  <c r="M510" i="4"/>
  <c r="P510" i="4"/>
  <c r="S502" i="4"/>
  <c r="O502" i="4"/>
  <c r="R502" i="4"/>
  <c r="N502" i="4"/>
  <c r="Q502" i="4"/>
  <c r="M502" i="4"/>
  <c r="P502" i="4"/>
  <c r="S494" i="4"/>
  <c r="O494" i="4"/>
  <c r="R494" i="4"/>
  <c r="N494" i="4"/>
  <c r="Q494" i="4"/>
  <c r="M494" i="4"/>
  <c r="P494" i="4"/>
  <c r="S467" i="4"/>
  <c r="O467" i="4"/>
  <c r="N467" i="4"/>
  <c r="R467" i="4"/>
  <c r="M467" i="4"/>
  <c r="P467" i="4"/>
  <c r="Q467" i="4"/>
  <c r="R460" i="4"/>
  <c r="N460" i="4"/>
  <c r="Q460" i="4"/>
  <c r="M460" i="4"/>
  <c r="P460" i="4"/>
  <c r="O460" i="4"/>
  <c r="S460" i="4"/>
  <c r="R428" i="4"/>
  <c r="N428" i="4"/>
  <c r="Q428" i="4"/>
  <c r="M428" i="4"/>
  <c r="P428" i="4"/>
  <c r="O428" i="4"/>
  <c r="S428" i="4"/>
  <c r="R396" i="4"/>
  <c r="N396" i="4"/>
  <c r="Q396" i="4"/>
  <c r="M396" i="4"/>
  <c r="P396" i="4"/>
  <c r="O396" i="4"/>
  <c r="S396" i="4"/>
  <c r="R364" i="4"/>
  <c r="N364" i="4"/>
  <c r="Q364" i="4"/>
  <c r="M364" i="4"/>
  <c r="P364" i="4"/>
  <c r="O364" i="4"/>
  <c r="S364" i="4"/>
  <c r="S95" i="4"/>
  <c r="O95" i="4"/>
  <c r="R95" i="4"/>
  <c r="N95" i="4"/>
  <c r="Q95" i="4"/>
  <c r="M95" i="4"/>
  <c r="P95" i="4"/>
  <c r="S87" i="4"/>
  <c r="O87" i="4"/>
  <c r="R87" i="4"/>
  <c r="N87" i="4"/>
  <c r="Q87" i="4"/>
  <c r="M87" i="4"/>
  <c r="P87" i="4"/>
  <c r="S79" i="4"/>
  <c r="O79" i="4"/>
  <c r="R79" i="4"/>
  <c r="N79" i="4"/>
  <c r="Q79" i="4"/>
  <c r="M79" i="4"/>
  <c r="P79" i="4"/>
  <c r="S71" i="4"/>
  <c r="O71" i="4"/>
  <c r="R71" i="4"/>
  <c r="N71" i="4"/>
  <c r="Q71" i="4"/>
  <c r="M71" i="4"/>
  <c r="P71" i="4"/>
  <c r="S63" i="4"/>
  <c r="O63" i="4"/>
  <c r="R63" i="4"/>
  <c r="N63" i="4"/>
  <c r="Q63" i="4"/>
  <c r="M63" i="4"/>
  <c r="P63" i="4"/>
  <c r="S55" i="4"/>
  <c r="O55" i="4"/>
  <c r="R55" i="4"/>
  <c r="N55" i="4"/>
  <c r="Q55" i="4"/>
  <c r="M55" i="4"/>
  <c r="P55" i="4"/>
  <c r="S47" i="4"/>
  <c r="O47" i="4"/>
  <c r="R47" i="4"/>
  <c r="N47" i="4"/>
  <c r="Q47" i="4"/>
  <c r="M47" i="4"/>
  <c r="P47" i="4"/>
  <c r="S39" i="4"/>
  <c r="O39" i="4"/>
  <c r="R39" i="4"/>
  <c r="N39" i="4"/>
  <c r="Q39" i="4"/>
  <c r="M39" i="4"/>
  <c r="P39" i="4"/>
  <c r="O30" i="4"/>
  <c r="R30" i="4"/>
  <c r="N30" i="4"/>
  <c r="Q30" i="4"/>
  <c r="M30" i="4"/>
  <c r="P30" i="4"/>
  <c r="O14" i="4"/>
  <c r="R14" i="4"/>
  <c r="N14" i="4"/>
  <c r="Q14" i="4"/>
  <c r="M14" i="4"/>
  <c r="P14" i="4"/>
  <c r="R206" i="4"/>
  <c r="N206" i="4"/>
  <c r="Q206" i="4"/>
  <c r="M206" i="4"/>
  <c r="P206" i="4"/>
  <c r="O206" i="4"/>
  <c r="S206" i="4"/>
  <c r="R174" i="4"/>
  <c r="N174" i="4"/>
  <c r="Q174" i="4"/>
  <c r="M174" i="4"/>
  <c r="P174" i="4"/>
  <c r="O174" i="4"/>
  <c r="S174" i="4"/>
  <c r="R142" i="4"/>
  <c r="N142" i="4"/>
  <c r="Q142" i="4"/>
  <c r="M142" i="4"/>
  <c r="P142" i="4"/>
  <c r="O142" i="4"/>
  <c r="S142" i="4"/>
  <c r="R198" i="4"/>
  <c r="N198" i="4"/>
  <c r="Q198" i="4"/>
  <c r="M198" i="4"/>
  <c r="P198" i="4"/>
  <c r="O198" i="4"/>
  <c r="S198" i="4"/>
  <c r="R166" i="4"/>
  <c r="N166" i="4"/>
  <c r="Q166" i="4"/>
  <c r="M166" i="4"/>
  <c r="P166" i="4"/>
  <c r="O166" i="4"/>
  <c r="S166" i="4"/>
  <c r="R134" i="4"/>
  <c r="N134" i="4"/>
  <c r="Q134" i="4"/>
  <c r="M134" i="4"/>
  <c r="P134" i="4"/>
  <c r="O134" i="4"/>
  <c r="S134" i="4"/>
  <c r="R214" i="4"/>
  <c r="N214" i="4"/>
  <c r="Q214" i="4"/>
  <c r="M214" i="4"/>
  <c r="P214" i="4"/>
  <c r="O214" i="4"/>
  <c r="S214" i="4"/>
  <c r="R150" i="4"/>
  <c r="N150" i="4"/>
  <c r="Q150" i="4"/>
  <c r="M150" i="4"/>
  <c r="P150" i="4"/>
  <c r="O150" i="4"/>
  <c r="S150" i="4"/>
  <c r="S997" i="4"/>
  <c r="O997" i="4"/>
  <c r="Q997" i="4"/>
  <c r="P997" i="4"/>
  <c r="N997" i="4"/>
  <c r="R997" i="4"/>
  <c r="M997" i="4"/>
  <c r="S989" i="4"/>
  <c r="O989" i="4"/>
  <c r="Q989" i="4"/>
  <c r="N989" i="4"/>
  <c r="P989" i="4"/>
  <c r="M989" i="4"/>
  <c r="R989" i="4"/>
  <c r="S805" i="4"/>
  <c r="O805" i="4"/>
  <c r="R805" i="4"/>
  <c r="M805" i="4"/>
  <c r="Q805" i="4"/>
  <c r="N805" i="4"/>
  <c r="P805" i="4"/>
  <c r="Q802" i="4"/>
  <c r="M802" i="4"/>
  <c r="S802" i="4"/>
  <c r="N802" i="4"/>
  <c r="P802" i="4"/>
  <c r="O802" i="4"/>
  <c r="R802" i="4"/>
  <c r="Q844" i="4"/>
  <c r="M844" i="4"/>
  <c r="O844" i="4"/>
  <c r="S844" i="4"/>
  <c r="N844" i="4"/>
  <c r="R844" i="4"/>
  <c r="P844" i="4"/>
  <c r="R641" i="4"/>
  <c r="N641" i="4"/>
  <c r="Q641" i="4"/>
  <c r="M641" i="4"/>
  <c r="S641" i="4"/>
  <c r="O641" i="4"/>
  <c r="P641" i="4"/>
  <c r="S623" i="4"/>
  <c r="O623" i="4"/>
  <c r="R623" i="4"/>
  <c r="N623" i="4"/>
  <c r="Q623" i="4"/>
  <c r="M623" i="4"/>
  <c r="P623" i="4"/>
  <c r="S615" i="4"/>
  <c r="O615" i="4"/>
  <c r="R615" i="4"/>
  <c r="N615" i="4"/>
  <c r="Q615" i="4"/>
  <c r="M615" i="4"/>
  <c r="P615" i="4"/>
  <c r="S607" i="4"/>
  <c r="O607" i="4"/>
  <c r="R607" i="4"/>
  <c r="N607" i="4"/>
  <c r="Q607" i="4"/>
  <c r="M607" i="4"/>
  <c r="P607" i="4"/>
  <c r="S599" i="4"/>
  <c r="O599" i="4"/>
  <c r="R599" i="4"/>
  <c r="N599" i="4"/>
  <c r="Q599" i="4"/>
  <c r="M599" i="4"/>
  <c r="P599" i="4"/>
  <c r="S591" i="4"/>
  <c r="O591" i="4"/>
  <c r="R591" i="4"/>
  <c r="N591" i="4"/>
  <c r="Q591" i="4"/>
  <c r="M591" i="4"/>
  <c r="P591" i="4"/>
  <c r="S583" i="4"/>
  <c r="O583" i="4"/>
  <c r="R583" i="4"/>
  <c r="N583" i="4"/>
  <c r="Q583" i="4"/>
  <c r="M583" i="4"/>
  <c r="P583" i="4"/>
  <c r="S575" i="4"/>
  <c r="O575" i="4"/>
  <c r="R575" i="4"/>
  <c r="N575" i="4"/>
  <c r="Q575" i="4"/>
  <c r="M575" i="4"/>
  <c r="P575" i="4"/>
  <c r="S567" i="4"/>
  <c r="O567" i="4"/>
  <c r="R567" i="4"/>
  <c r="N567" i="4"/>
  <c r="Q567" i="4"/>
  <c r="M567" i="4"/>
  <c r="P567" i="4"/>
  <c r="R639" i="4"/>
  <c r="N639" i="4"/>
  <c r="Q639" i="4"/>
  <c r="M639" i="4"/>
  <c r="P639" i="4"/>
  <c r="S639" i="4"/>
  <c r="O639" i="4"/>
  <c r="S548" i="4"/>
  <c r="O548" i="4"/>
  <c r="R548" i="4"/>
  <c r="N548" i="4"/>
  <c r="Q548" i="4"/>
  <c r="M548" i="4"/>
  <c r="P548" i="4"/>
  <c r="S540" i="4"/>
  <c r="O540" i="4"/>
  <c r="R540" i="4"/>
  <c r="N540" i="4"/>
  <c r="Q540" i="4"/>
  <c r="M540" i="4"/>
  <c r="P540" i="4"/>
  <c r="S532" i="4"/>
  <c r="O532" i="4"/>
  <c r="R532" i="4"/>
  <c r="N532" i="4"/>
  <c r="Q532" i="4"/>
  <c r="M532" i="4"/>
  <c r="P532" i="4"/>
  <c r="S524" i="4"/>
  <c r="O524" i="4"/>
  <c r="R524" i="4"/>
  <c r="N524" i="4"/>
  <c r="Q524" i="4"/>
  <c r="M524" i="4"/>
  <c r="P524" i="4"/>
  <c r="S516" i="4"/>
  <c r="O516" i="4"/>
  <c r="R516" i="4"/>
  <c r="N516" i="4"/>
  <c r="Q516" i="4"/>
  <c r="M516" i="4"/>
  <c r="P516" i="4"/>
  <c r="S508" i="4"/>
  <c r="O508" i="4"/>
  <c r="R508" i="4"/>
  <c r="N508" i="4"/>
  <c r="Q508" i="4"/>
  <c r="M508" i="4"/>
  <c r="P508" i="4"/>
  <c r="S500" i="4"/>
  <c r="O500" i="4"/>
  <c r="R500" i="4"/>
  <c r="N500" i="4"/>
  <c r="Q500" i="4"/>
  <c r="M500" i="4"/>
  <c r="P500" i="4"/>
  <c r="S492" i="4"/>
  <c r="O492" i="4"/>
  <c r="R492" i="4"/>
  <c r="N492" i="4"/>
  <c r="Q492" i="4"/>
  <c r="M492" i="4"/>
  <c r="P492" i="4"/>
  <c r="Q556" i="4"/>
  <c r="M556" i="4"/>
  <c r="O556" i="4"/>
  <c r="S556" i="4"/>
  <c r="N556" i="4"/>
  <c r="R556" i="4"/>
  <c r="P556" i="4"/>
  <c r="R452" i="4"/>
  <c r="N452" i="4"/>
  <c r="Q452" i="4"/>
  <c r="M452" i="4"/>
  <c r="P452" i="4"/>
  <c r="O452" i="4"/>
  <c r="S452" i="4"/>
  <c r="R420" i="4"/>
  <c r="N420" i="4"/>
  <c r="Q420" i="4"/>
  <c r="M420" i="4"/>
  <c r="P420" i="4"/>
  <c r="O420" i="4"/>
  <c r="S420" i="4"/>
  <c r="R388" i="4"/>
  <c r="N388" i="4"/>
  <c r="Q388" i="4"/>
  <c r="M388" i="4"/>
  <c r="P388" i="4"/>
  <c r="O388" i="4"/>
  <c r="S388" i="4"/>
  <c r="R356" i="4"/>
  <c r="N356" i="4"/>
  <c r="Q356" i="4"/>
  <c r="M356" i="4"/>
  <c r="P356" i="4"/>
  <c r="O356" i="4"/>
  <c r="S356" i="4"/>
  <c r="S93" i="4"/>
  <c r="O93" i="4"/>
  <c r="R93" i="4"/>
  <c r="N93" i="4"/>
  <c r="Q93" i="4"/>
  <c r="M93" i="4"/>
  <c r="P93" i="4"/>
  <c r="S85" i="4"/>
  <c r="O85" i="4"/>
  <c r="R85" i="4"/>
  <c r="N85" i="4"/>
  <c r="Q85" i="4"/>
  <c r="M85" i="4"/>
  <c r="P85" i="4"/>
  <c r="S77" i="4"/>
  <c r="O77" i="4"/>
  <c r="R77" i="4"/>
  <c r="N77" i="4"/>
  <c r="Q77" i="4"/>
  <c r="M77" i="4"/>
  <c r="P77" i="4"/>
  <c r="S69" i="4"/>
  <c r="O69" i="4"/>
  <c r="R69" i="4"/>
  <c r="N69" i="4"/>
  <c r="Q69" i="4"/>
  <c r="M69" i="4"/>
  <c r="P69" i="4"/>
  <c r="S61" i="4"/>
  <c r="O61" i="4"/>
  <c r="R61" i="4"/>
  <c r="N61" i="4"/>
  <c r="Q61" i="4"/>
  <c r="M61" i="4"/>
  <c r="P61" i="4"/>
  <c r="S53" i="4"/>
  <c r="O53" i="4"/>
  <c r="R53" i="4"/>
  <c r="N53" i="4"/>
  <c r="Q53" i="4"/>
  <c r="M53" i="4"/>
  <c r="P53" i="4"/>
  <c r="S45" i="4"/>
  <c r="O45" i="4"/>
  <c r="R45" i="4"/>
  <c r="N45" i="4"/>
  <c r="Q45" i="4"/>
  <c r="M45" i="4"/>
  <c r="P45" i="4"/>
  <c r="S37" i="4"/>
  <c r="O37" i="4"/>
  <c r="R37" i="4"/>
  <c r="N37" i="4"/>
  <c r="Q37" i="4"/>
  <c r="M37" i="4"/>
  <c r="P37" i="4"/>
  <c r="O26" i="4"/>
  <c r="R26" i="4"/>
  <c r="N26" i="4"/>
  <c r="Q26" i="4"/>
  <c r="M26" i="4"/>
  <c r="P26" i="4"/>
  <c r="O10" i="4"/>
  <c r="R10" i="4"/>
  <c r="N10" i="4"/>
  <c r="Q10" i="4"/>
  <c r="M10" i="4"/>
  <c r="P10" i="4"/>
  <c r="S987" i="4"/>
  <c r="O987" i="4"/>
  <c r="P987" i="4"/>
  <c r="N987" i="4"/>
  <c r="M987" i="4"/>
  <c r="Q987" i="4"/>
  <c r="R987" i="4"/>
  <c r="S983" i="4"/>
  <c r="O983" i="4"/>
  <c r="R983" i="4"/>
  <c r="M983" i="4"/>
  <c r="P983" i="4"/>
  <c r="N983" i="4"/>
  <c r="Q983" i="4"/>
  <c r="Q984" i="4"/>
  <c r="M984" i="4"/>
  <c r="P984" i="4"/>
  <c r="N984" i="4"/>
  <c r="O984" i="4"/>
  <c r="S984" i="4"/>
  <c r="R984" i="4"/>
  <c r="S875" i="4"/>
  <c r="O875" i="4"/>
  <c r="Q875" i="4"/>
  <c r="P875" i="4"/>
  <c r="N875" i="4"/>
  <c r="M875" i="4"/>
  <c r="R875" i="4"/>
  <c r="S867" i="4"/>
  <c r="O867" i="4"/>
  <c r="Q867" i="4"/>
  <c r="P867" i="4"/>
  <c r="N867" i="4"/>
  <c r="R867" i="4"/>
  <c r="M867" i="4"/>
  <c r="S859" i="4"/>
  <c r="O859" i="4"/>
  <c r="Q859" i="4"/>
  <c r="P859" i="4"/>
  <c r="N859" i="4"/>
  <c r="M859" i="4"/>
  <c r="R859" i="4"/>
  <c r="S851" i="4"/>
  <c r="O851" i="4"/>
  <c r="Q851" i="4"/>
  <c r="P851" i="4"/>
  <c r="N851" i="4"/>
  <c r="M851" i="4"/>
  <c r="R851" i="4"/>
  <c r="S843" i="4"/>
  <c r="O843" i="4"/>
  <c r="Q843" i="4"/>
  <c r="P843" i="4"/>
  <c r="N843" i="4"/>
  <c r="R843" i="4"/>
  <c r="M843" i="4"/>
  <c r="S835" i="4"/>
  <c r="O835" i="4"/>
  <c r="Q835" i="4"/>
  <c r="P835" i="4"/>
  <c r="M835" i="4"/>
  <c r="N835" i="4"/>
  <c r="R835" i="4"/>
  <c r="S827" i="4"/>
  <c r="O827" i="4"/>
  <c r="Q827" i="4"/>
  <c r="P827" i="4"/>
  <c r="N827" i="4"/>
  <c r="R827" i="4"/>
  <c r="M827" i="4"/>
  <c r="S819" i="4"/>
  <c r="O819" i="4"/>
  <c r="Q819" i="4"/>
  <c r="P819" i="4"/>
  <c r="M819" i="4"/>
  <c r="R819" i="4"/>
  <c r="N819" i="4"/>
  <c r="S811" i="4"/>
  <c r="O811" i="4"/>
  <c r="Q811" i="4"/>
  <c r="N811" i="4"/>
  <c r="P811" i="4"/>
  <c r="M811" i="4"/>
  <c r="R811" i="4"/>
  <c r="S803" i="4"/>
  <c r="O803" i="4"/>
  <c r="Q803" i="4"/>
  <c r="M803" i="4"/>
  <c r="P803" i="4"/>
  <c r="N803" i="4"/>
  <c r="R803" i="4"/>
  <c r="S779" i="4"/>
  <c r="O779" i="4"/>
  <c r="R779" i="4"/>
  <c r="M779" i="4"/>
  <c r="Q779" i="4"/>
  <c r="P779" i="4"/>
  <c r="N779" i="4"/>
  <c r="Q868" i="4"/>
  <c r="M868" i="4"/>
  <c r="O868" i="4"/>
  <c r="S868" i="4"/>
  <c r="N868" i="4"/>
  <c r="R868" i="4"/>
  <c r="P868" i="4"/>
  <c r="Q836" i="4"/>
  <c r="M836" i="4"/>
  <c r="O836" i="4"/>
  <c r="S836" i="4"/>
  <c r="N836" i="4"/>
  <c r="R836" i="4"/>
  <c r="P836" i="4"/>
  <c r="R647" i="4"/>
  <c r="N647" i="4"/>
  <c r="Q647" i="4"/>
  <c r="M647" i="4"/>
  <c r="P647" i="4"/>
  <c r="O647" i="4"/>
  <c r="S647" i="4"/>
  <c r="S546" i="4"/>
  <c r="O546" i="4"/>
  <c r="R546" i="4"/>
  <c r="N546" i="4"/>
  <c r="Q546" i="4"/>
  <c r="M546" i="4"/>
  <c r="P546" i="4"/>
  <c r="S538" i="4"/>
  <c r="O538" i="4"/>
  <c r="R538" i="4"/>
  <c r="N538" i="4"/>
  <c r="Q538" i="4"/>
  <c r="M538" i="4"/>
  <c r="P538" i="4"/>
  <c r="S530" i="4"/>
  <c r="O530" i="4"/>
  <c r="R530" i="4"/>
  <c r="N530" i="4"/>
  <c r="Q530" i="4"/>
  <c r="M530" i="4"/>
  <c r="P530" i="4"/>
  <c r="S522" i="4"/>
  <c r="O522" i="4"/>
  <c r="R522" i="4"/>
  <c r="N522" i="4"/>
  <c r="Q522" i="4"/>
  <c r="M522" i="4"/>
  <c r="P522" i="4"/>
  <c r="S514" i="4"/>
  <c r="O514" i="4"/>
  <c r="R514" i="4"/>
  <c r="N514" i="4"/>
  <c r="Q514" i="4"/>
  <c r="M514" i="4"/>
  <c r="P514" i="4"/>
  <c r="S506" i="4"/>
  <c r="O506" i="4"/>
  <c r="R506" i="4"/>
  <c r="N506" i="4"/>
  <c r="Q506" i="4"/>
  <c r="M506" i="4"/>
  <c r="P506" i="4"/>
  <c r="S498" i="4"/>
  <c r="O498" i="4"/>
  <c r="R498" i="4"/>
  <c r="N498" i="4"/>
  <c r="Q498" i="4"/>
  <c r="M498" i="4"/>
  <c r="P498" i="4"/>
  <c r="S490" i="4"/>
  <c r="O490" i="4"/>
  <c r="R490" i="4"/>
  <c r="N490" i="4"/>
  <c r="Q490" i="4"/>
  <c r="M490" i="4"/>
  <c r="P490" i="4"/>
  <c r="S551" i="4"/>
  <c r="O551" i="4"/>
  <c r="N551" i="4"/>
  <c r="R551" i="4"/>
  <c r="M551" i="4"/>
  <c r="Q551" i="4"/>
  <c r="P551" i="4"/>
  <c r="S331" i="4"/>
  <c r="O331" i="4"/>
  <c r="Q331" i="4"/>
  <c r="P331" i="4"/>
  <c r="N331" i="4"/>
  <c r="R331" i="4"/>
  <c r="M331" i="4"/>
  <c r="R444" i="4"/>
  <c r="N444" i="4"/>
  <c r="Q444" i="4"/>
  <c r="M444" i="4"/>
  <c r="P444" i="4"/>
  <c r="O444" i="4"/>
  <c r="S444" i="4"/>
  <c r="R412" i="4"/>
  <c r="N412" i="4"/>
  <c r="Q412" i="4"/>
  <c r="M412" i="4"/>
  <c r="P412" i="4"/>
  <c r="O412" i="4"/>
  <c r="S412" i="4"/>
  <c r="R380" i="4"/>
  <c r="N380" i="4"/>
  <c r="Q380" i="4"/>
  <c r="M380" i="4"/>
  <c r="P380" i="4"/>
  <c r="O380" i="4"/>
  <c r="S380" i="4"/>
  <c r="R348" i="4"/>
  <c r="N348" i="4"/>
  <c r="Q348" i="4"/>
  <c r="M348" i="4"/>
  <c r="P348" i="4"/>
  <c r="O348" i="4"/>
  <c r="S348" i="4"/>
  <c r="S91" i="4"/>
  <c r="O91" i="4"/>
  <c r="R91" i="4"/>
  <c r="N91" i="4"/>
  <c r="Q91" i="4"/>
  <c r="M91" i="4"/>
  <c r="P91" i="4"/>
  <c r="S83" i="4"/>
  <c r="O83" i="4"/>
  <c r="R83" i="4"/>
  <c r="N83" i="4"/>
  <c r="Q83" i="4"/>
  <c r="M83" i="4"/>
  <c r="P83" i="4"/>
  <c r="S75" i="4"/>
  <c r="O75" i="4"/>
  <c r="R75" i="4"/>
  <c r="N75" i="4"/>
  <c r="Q75" i="4"/>
  <c r="M75" i="4"/>
  <c r="P75" i="4"/>
  <c r="S67" i="4"/>
  <c r="O67" i="4"/>
  <c r="R67" i="4"/>
  <c r="N67" i="4"/>
  <c r="Q67" i="4"/>
  <c r="M67" i="4"/>
  <c r="P67" i="4"/>
  <c r="S59" i="4"/>
  <c r="O59" i="4"/>
  <c r="R59" i="4"/>
  <c r="N59" i="4"/>
  <c r="Q59" i="4"/>
  <c r="M59" i="4"/>
  <c r="P59" i="4"/>
  <c r="S51" i="4"/>
  <c r="O51" i="4"/>
  <c r="R51" i="4"/>
  <c r="N51" i="4"/>
  <c r="Q51" i="4"/>
  <c r="M51" i="4"/>
  <c r="P51" i="4"/>
  <c r="S43" i="4"/>
  <c r="O43" i="4"/>
  <c r="R43" i="4"/>
  <c r="N43" i="4"/>
  <c r="Q43" i="4"/>
  <c r="M43" i="4"/>
  <c r="P43" i="4"/>
  <c r="S35" i="4"/>
  <c r="O35" i="4"/>
  <c r="R35" i="4"/>
  <c r="N35" i="4"/>
  <c r="Q35" i="4"/>
  <c r="M35" i="4"/>
  <c r="P35" i="4"/>
  <c r="O22" i="4"/>
  <c r="R22" i="4"/>
  <c r="N22" i="4"/>
  <c r="Q22" i="4"/>
  <c r="M22" i="4"/>
  <c r="P22" i="4"/>
  <c r="R190" i="4"/>
  <c r="N190" i="4"/>
  <c r="Q190" i="4"/>
  <c r="M190" i="4"/>
  <c r="P190" i="4"/>
  <c r="O190" i="4"/>
  <c r="S190" i="4"/>
  <c r="R158" i="4"/>
  <c r="N158" i="4"/>
  <c r="Q158" i="4"/>
  <c r="M158" i="4"/>
  <c r="P158" i="4"/>
  <c r="O158" i="4"/>
  <c r="S158" i="4"/>
  <c r="R126" i="4"/>
  <c r="N126" i="4"/>
  <c r="Q126" i="4"/>
  <c r="M126" i="4"/>
  <c r="P126" i="4"/>
  <c r="O126" i="4"/>
  <c r="S126" i="4"/>
  <c r="R182" i="4"/>
  <c r="N182" i="4"/>
  <c r="Q182" i="4"/>
  <c r="M182" i="4"/>
  <c r="P182" i="4"/>
  <c r="O182" i="4"/>
  <c r="S182" i="4"/>
  <c r="R118" i="4"/>
  <c r="N118" i="4"/>
  <c r="Q118" i="4"/>
  <c r="M118" i="4"/>
  <c r="P118" i="4"/>
  <c r="O118" i="4"/>
  <c r="S118" i="4"/>
  <c r="S993" i="4"/>
  <c r="O993" i="4"/>
  <c r="N993" i="4"/>
  <c r="R993" i="4"/>
  <c r="Q993" i="4"/>
  <c r="P993" i="4"/>
  <c r="M993" i="4"/>
  <c r="Q980" i="4"/>
  <c r="M980" i="4"/>
  <c r="S980" i="4"/>
  <c r="N980" i="4"/>
  <c r="O980" i="4"/>
  <c r="R980" i="4"/>
  <c r="P980" i="4"/>
  <c r="R905" i="4"/>
  <c r="N905" i="4"/>
  <c r="S905" i="4"/>
  <c r="M905" i="4"/>
  <c r="Q905" i="4"/>
  <c r="O905" i="4"/>
  <c r="P905" i="4"/>
  <c r="R881" i="4"/>
  <c r="N881" i="4"/>
  <c r="S881" i="4"/>
  <c r="M881" i="4"/>
  <c r="Q881" i="4"/>
  <c r="P881" i="4"/>
  <c r="O881" i="4"/>
  <c r="Q850" i="4"/>
  <c r="M850" i="4"/>
  <c r="S850" i="4"/>
  <c r="N850" i="4"/>
  <c r="R850" i="4"/>
  <c r="P850" i="4"/>
  <c r="O850" i="4"/>
  <c r="R935" i="4"/>
  <c r="N935" i="4"/>
  <c r="P935" i="4"/>
  <c r="O935" i="4"/>
  <c r="S935" i="4"/>
  <c r="Q935" i="4"/>
  <c r="M935" i="4"/>
  <c r="Q838" i="4"/>
  <c r="M838" i="4"/>
  <c r="P838" i="4"/>
  <c r="O838" i="4"/>
  <c r="R838" i="4"/>
  <c r="S838" i="4"/>
  <c r="N838" i="4"/>
  <c r="Q554" i="4"/>
  <c r="M554" i="4"/>
  <c r="S554" i="4"/>
  <c r="N554" i="4"/>
  <c r="R554" i="4"/>
  <c r="P554" i="4"/>
  <c r="O554" i="4"/>
  <c r="Q464" i="4"/>
  <c r="M464" i="4"/>
  <c r="O464" i="4"/>
  <c r="S464" i="4"/>
  <c r="N464" i="4"/>
  <c r="R464" i="4"/>
  <c r="P464" i="4"/>
  <c r="R903" i="4"/>
  <c r="N903" i="4"/>
  <c r="S903" i="4"/>
  <c r="M903" i="4"/>
  <c r="O903" i="4"/>
  <c r="Q903" i="4"/>
  <c r="P903" i="4"/>
  <c r="Q786" i="4"/>
  <c r="M786" i="4"/>
  <c r="O786" i="4"/>
  <c r="R786" i="4"/>
  <c r="P786" i="4"/>
  <c r="S786" i="4"/>
  <c r="N786" i="4"/>
  <c r="R635" i="4"/>
  <c r="N635" i="4"/>
  <c r="Q635" i="4"/>
  <c r="M635" i="4"/>
  <c r="P635" i="4"/>
  <c r="S635" i="4"/>
  <c r="O635" i="4"/>
  <c r="Q475" i="4"/>
  <c r="M475" i="4"/>
  <c r="S475" i="4"/>
  <c r="O475" i="4"/>
  <c r="R475" i="4"/>
  <c r="N475" i="4"/>
  <c r="P475" i="4"/>
  <c r="S325" i="4"/>
  <c r="O325" i="4"/>
  <c r="R325" i="4"/>
  <c r="M325" i="4"/>
  <c r="Q325" i="4"/>
  <c r="P325" i="4"/>
  <c r="N325" i="4"/>
  <c r="R948" i="4"/>
  <c r="N948" i="4"/>
  <c r="O948" i="4"/>
  <c r="Q948" i="4"/>
  <c r="P948" i="4"/>
  <c r="S948" i="4"/>
  <c r="M948" i="4"/>
  <c r="Q558" i="4"/>
  <c r="M558" i="4"/>
  <c r="S558" i="4"/>
  <c r="O558" i="4"/>
  <c r="R558" i="4"/>
  <c r="P558" i="4"/>
  <c r="N558" i="4"/>
  <c r="P977" i="4"/>
  <c r="O977" i="4"/>
  <c r="S977" i="4"/>
  <c r="N977" i="4"/>
  <c r="R977" i="4"/>
  <c r="Q977" i="4"/>
  <c r="M977" i="4"/>
  <c r="P969" i="4"/>
  <c r="O969" i="4"/>
  <c r="S969" i="4"/>
  <c r="N969" i="4"/>
  <c r="R969" i="4"/>
  <c r="M969" i="4"/>
  <c r="Q969" i="4"/>
  <c r="P932" i="4"/>
  <c r="S932" i="4"/>
  <c r="N932" i="4"/>
  <c r="R932" i="4"/>
  <c r="M932" i="4"/>
  <c r="O932" i="4"/>
  <c r="Q932" i="4"/>
  <c r="P949" i="4"/>
  <c r="R949" i="4"/>
  <c r="M949" i="4"/>
  <c r="S949" i="4"/>
  <c r="Q949" i="4"/>
  <c r="N949" i="4"/>
  <c r="O949" i="4"/>
  <c r="P928" i="4"/>
  <c r="R928" i="4"/>
  <c r="M928" i="4"/>
  <c r="Q928" i="4"/>
  <c r="O928" i="4"/>
  <c r="N928" i="4"/>
  <c r="S928" i="4"/>
  <c r="P912" i="4"/>
  <c r="R912" i="4"/>
  <c r="M912" i="4"/>
  <c r="Q912" i="4"/>
  <c r="O912" i="4"/>
  <c r="N912" i="4"/>
  <c r="S912" i="4"/>
  <c r="P888" i="4"/>
  <c r="Q888" i="4"/>
  <c r="R888" i="4"/>
  <c r="O888" i="4"/>
  <c r="S888" i="4"/>
  <c r="N888" i="4"/>
  <c r="M888" i="4"/>
  <c r="P959" i="4"/>
  <c r="O959" i="4"/>
  <c r="Q959" i="4"/>
  <c r="S959" i="4"/>
  <c r="R959" i="4"/>
  <c r="M959" i="4"/>
  <c r="N959" i="4"/>
  <c r="P914" i="4"/>
  <c r="R914" i="4"/>
  <c r="M914" i="4"/>
  <c r="N914" i="4"/>
  <c r="O914" i="4"/>
  <c r="S914" i="4"/>
  <c r="Q914" i="4"/>
  <c r="P894" i="4"/>
  <c r="Q894" i="4"/>
  <c r="S894" i="4"/>
  <c r="M894" i="4"/>
  <c r="R894" i="4"/>
  <c r="O894" i="4"/>
  <c r="N894" i="4"/>
  <c r="R946" i="4"/>
  <c r="N946" i="4"/>
  <c r="O946" i="4"/>
  <c r="M946" i="4"/>
  <c r="S946" i="4"/>
  <c r="Q946" i="4"/>
  <c r="P946" i="4"/>
  <c r="P906" i="4"/>
  <c r="Q906" i="4"/>
  <c r="O906" i="4"/>
  <c r="N906" i="4"/>
  <c r="S906" i="4"/>
  <c r="R906" i="4"/>
  <c r="M906" i="4"/>
  <c r="P768" i="4"/>
  <c r="O768" i="4"/>
  <c r="S768" i="4"/>
  <c r="N768" i="4"/>
  <c r="Q768" i="4"/>
  <c r="M768" i="4"/>
  <c r="R768" i="4"/>
  <c r="P760" i="4"/>
  <c r="O760" i="4"/>
  <c r="S760" i="4"/>
  <c r="N760" i="4"/>
  <c r="Q760" i="4"/>
  <c r="M760" i="4"/>
  <c r="R760" i="4"/>
  <c r="P752" i="4"/>
  <c r="O752" i="4"/>
  <c r="S752" i="4"/>
  <c r="N752" i="4"/>
  <c r="Q752" i="4"/>
  <c r="M752" i="4"/>
  <c r="R752" i="4"/>
  <c r="P744" i="4"/>
  <c r="O744" i="4"/>
  <c r="S744" i="4"/>
  <c r="N744" i="4"/>
  <c r="Q744" i="4"/>
  <c r="M744" i="4"/>
  <c r="R744" i="4"/>
  <c r="P736" i="4"/>
  <c r="O736" i="4"/>
  <c r="S736" i="4"/>
  <c r="N736" i="4"/>
  <c r="Q736" i="4"/>
  <c r="M736" i="4"/>
  <c r="R736" i="4"/>
  <c r="P728" i="4"/>
  <c r="O728" i="4"/>
  <c r="S728" i="4"/>
  <c r="N728" i="4"/>
  <c r="Q728" i="4"/>
  <c r="M728" i="4"/>
  <c r="R728" i="4"/>
  <c r="P720" i="4"/>
  <c r="O720" i="4"/>
  <c r="S720" i="4"/>
  <c r="N720" i="4"/>
  <c r="Q720" i="4"/>
  <c r="M720" i="4"/>
  <c r="R720" i="4"/>
  <c r="P712" i="4"/>
  <c r="O712" i="4"/>
  <c r="S712" i="4"/>
  <c r="N712" i="4"/>
  <c r="Q712" i="4"/>
  <c r="M712" i="4"/>
  <c r="R712" i="4"/>
  <c r="P704" i="4"/>
  <c r="O704" i="4"/>
  <c r="S704" i="4"/>
  <c r="N704" i="4"/>
  <c r="M704" i="4"/>
  <c r="R704" i="4"/>
  <c r="Q704" i="4"/>
  <c r="P696" i="4"/>
  <c r="O696" i="4"/>
  <c r="S696" i="4"/>
  <c r="N696" i="4"/>
  <c r="M696" i="4"/>
  <c r="R696" i="4"/>
  <c r="Q696" i="4"/>
  <c r="P688" i="4"/>
  <c r="O688" i="4"/>
  <c r="S688" i="4"/>
  <c r="N688" i="4"/>
  <c r="M688" i="4"/>
  <c r="R688" i="4"/>
  <c r="Q688" i="4"/>
  <c r="P680" i="4"/>
  <c r="O680" i="4"/>
  <c r="S680" i="4"/>
  <c r="N680" i="4"/>
  <c r="M680" i="4"/>
  <c r="R680" i="4"/>
  <c r="Q680" i="4"/>
  <c r="P672" i="4"/>
  <c r="O672" i="4"/>
  <c r="S672" i="4"/>
  <c r="N672" i="4"/>
  <c r="M672" i="4"/>
  <c r="R672" i="4"/>
  <c r="Q672" i="4"/>
  <c r="P664" i="4"/>
  <c r="S664" i="4"/>
  <c r="O664" i="4"/>
  <c r="N664" i="4"/>
  <c r="M664" i="4"/>
  <c r="R664" i="4"/>
  <c r="Q664" i="4"/>
  <c r="P656" i="4"/>
  <c r="S656" i="4"/>
  <c r="O656" i="4"/>
  <c r="N656" i="4"/>
  <c r="M656" i="4"/>
  <c r="R656" i="4"/>
  <c r="Q656" i="4"/>
  <c r="P648" i="4"/>
  <c r="S648" i="4"/>
  <c r="O648" i="4"/>
  <c r="N648" i="4"/>
  <c r="M648" i="4"/>
  <c r="R648" i="4"/>
  <c r="Q648" i="4"/>
  <c r="P640" i="4"/>
  <c r="S640" i="4"/>
  <c r="O640" i="4"/>
  <c r="N640" i="4"/>
  <c r="R640" i="4"/>
  <c r="Q640" i="4"/>
  <c r="M640" i="4"/>
  <c r="P632" i="4"/>
  <c r="S632" i="4"/>
  <c r="N632" i="4"/>
  <c r="Q632" i="4"/>
  <c r="M632" i="4"/>
  <c r="R632" i="4"/>
  <c r="O632" i="4"/>
  <c r="R651" i="4"/>
  <c r="N651" i="4"/>
  <c r="Q651" i="4"/>
  <c r="M651" i="4"/>
  <c r="S651" i="4"/>
  <c r="P651" i="4"/>
  <c r="O651" i="4"/>
  <c r="P627" i="4"/>
  <c r="R627" i="4"/>
  <c r="N627" i="4"/>
  <c r="O627" i="4"/>
  <c r="M627" i="4"/>
  <c r="S627" i="4"/>
  <c r="Q627" i="4"/>
  <c r="P457" i="4"/>
  <c r="S457" i="4"/>
  <c r="O457" i="4"/>
  <c r="R457" i="4"/>
  <c r="Q457" i="4"/>
  <c r="N457" i="4"/>
  <c r="M457" i="4"/>
  <c r="P449" i="4"/>
  <c r="S449" i="4"/>
  <c r="O449" i="4"/>
  <c r="R449" i="4"/>
  <c r="Q449" i="4"/>
  <c r="N449" i="4"/>
  <c r="M449" i="4"/>
  <c r="P441" i="4"/>
  <c r="S441" i="4"/>
  <c r="O441" i="4"/>
  <c r="R441" i="4"/>
  <c r="Q441" i="4"/>
  <c r="N441" i="4"/>
  <c r="M441" i="4"/>
  <c r="P433" i="4"/>
  <c r="S433" i="4"/>
  <c r="O433" i="4"/>
  <c r="R433" i="4"/>
  <c r="Q433" i="4"/>
  <c r="N433" i="4"/>
  <c r="M433" i="4"/>
  <c r="P425" i="4"/>
  <c r="S425" i="4"/>
  <c r="O425" i="4"/>
  <c r="R425" i="4"/>
  <c r="Q425" i="4"/>
  <c r="N425" i="4"/>
  <c r="M425" i="4"/>
  <c r="P417" i="4"/>
  <c r="S417" i="4"/>
  <c r="O417" i="4"/>
  <c r="R417" i="4"/>
  <c r="Q417" i="4"/>
  <c r="N417" i="4"/>
  <c r="M417" i="4"/>
  <c r="P409" i="4"/>
  <c r="S409" i="4"/>
  <c r="O409" i="4"/>
  <c r="R409" i="4"/>
  <c r="Q409" i="4"/>
  <c r="N409" i="4"/>
  <c r="M409" i="4"/>
  <c r="P401" i="4"/>
  <c r="S401" i="4"/>
  <c r="O401" i="4"/>
  <c r="R401" i="4"/>
  <c r="Q401" i="4"/>
  <c r="N401" i="4"/>
  <c r="M401" i="4"/>
  <c r="P393" i="4"/>
  <c r="S393" i="4"/>
  <c r="O393" i="4"/>
  <c r="R393" i="4"/>
  <c r="Q393" i="4"/>
  <c r="N393" i="4"/>
  <c r="M393" i="4"/>
  <c r="P385" i="4"/>
  <c r="S385" i="4"/>
  <c r="O385" i="4"/>
  <c r="R385" i="4"/>
  <c r="Q385" i="4"/>
  <c r="N385" i="4"/>
  <c r="M385" i="4"/>
  <c r="P377" i="4"/>
  <c r="S377" i="4"/>
  <c r="O377" i="4"/>
  <c r="R377" i="4"/>
  <c r="Q377" i="4"/>
  <c r="N377" i="4"/>
  <c r="M377" i="4"/>
  <c r="P369" i="4"/>
  <c r="S369" i="4"/>
  <c r="O369" i="4"/>
  <c r="R369" i="4"/>
  <c r="Q369" i="4"/>
  <c r="N369" i="4"/>
  <c r="M369" i="4"/>
  <c r="P361" i="4"/>
  <c r="S361" i="4"/>
  <c r="O361" i="4"/>
  <c r="R361" i="4"/>
  <c r="Q361" i="4"/>
  <c r="N361" i="4"/>
  <c r="M361" i="4"/>
  <c r="P353" i="4"/>
  <c r="S353" i="4"/>
  <c r="O353" i="4"/>
  <c r="R353" i="4"/>
  <c r="Q353" i="4"/>
  <c r="N353" i="4"/>
  <c r="M353" i="4"/>
  <c r="P345" i="4"/>
  <c r="S345" i="4"/>
  <c r="O345" i="4"/>
  <c r="R345" i="4"/>
  <c r="Q345" i="4"/>
  <c r="N345" i="4"/>
  <c r="M345" i="4"/>
  <c r="P337" i="4"/>
  <c r="S337" i="4"/>
  <c r="O337" i="4"/>
  <c r="R337" i="4"/>
  <c r="Q337" i="4"/>
  <c r="N337" i="4"/>
  <c r="M337" i="4"/>
  <c r="R432" i="4"/>
  <c r="N432" i="4"/>
  <c r="Q432" i="4"/>
  <c r="M432" i="4"/>
  <c r="S432" i="4"/>
  <c r="P432" i="4"/>
  <c r="O432" i="4"/>
  <c r="R400" i="4"/>
  <c r="N400" i="4"/>
  <c r="Q400" i="4"/>
  <c r="M400" i="4"/>
  <c r="S400" i="4"/>
  <c r="P400" i="4"/>
  <c r="O400" i="4"/>
  <c r="R368" i="4"/>
  <c r="N368" i="4"/>
  <c r="Q368" i="4"/>
  <c r="M368" i="4"/>
  <c r="S368" i="4"/>
  <c r="P368" i="4"/>
  <c r="O368" i="4"/>
  <c r="P319" i="4"/>
  <c r="S319" i="4"/>
  <c r="O319" i="4"/>
  <c r="R319" i="4"/>
  <c r="N319" i="4"/>
  <c r="Q319" i="4"/>
  <c r="M319" i="4"/>
  <c r="P311" i="4"/>
  <c r="S311" i="4"/>
  <c r="O311" i="4"/>
  <c r="R311" i="4"/>
  <c r="N311" i="4"/>
  <c r="Q311" i="4"/>
  <c r="M311" i="4"/>
  <c r="P303" i="4"/>
  <c r="S303" i="4"/>
  <c r="O303" i="4"/>
  <c r="R303" i="4"/>
  <c r="N303" i="4"/>
  <c r="Q303" i="4"/>
  <c r="M303" i="4"/>
  <c r="P295" i="4"/>
  <c r="S295" i="4"/>
  <c r="O295" i="4"/>
  <c r="R295" i="4"/>
  <c r="N295" i="4"/>
  <c r="Q295" i="4"/>
  <c r="M295" i="4"/>
  <c r="P287" i="4"/>
  <c r="S287" i="4"/>
  <c r="O287" i="4"/>
  <c r="R287" i="4"/>
  <c r="N287" i="4"/>
  <c r="Q287" i="4"/>
  <c r="M287" i="4"/>
  <c r="P279" i="4"/>
  <c r="S279" i="4"/>
  <c r="O279" i="4"/>
  <c r="R279" i="4"/>
  <c r="N279" i="4"/>
  <c r="Q279" i="4"/>
  <c r="M279" i="4"/>
  <c r="P271" i="4"/>
  <c r="S271" i="4"/>
  <c r="O271" i="4"/>
  <c r="R271" i="4"/>
  <c r="N271" i="4"/>
  <c r="Q271" i="4"/>
  <c r="M271" i="4"/>
  <c r="P263" i="4"/>
  <c r="S263" i="4"/>
  <c r="O263" i="4"/>
  <c r="R263" i="4"/>
  <c r="N263" i="4"/>
  <c r="Q263" i="4"/>
  <c r="M263" i="4"/>
  <c r="P255" i="4"/>
  <c r="S255" i="4"/>
  <c r="O255" i="4"/>
  <c r="R255" i="4"/>
  <c r="N255" i="4"/>
  <c r="Q255" i="4"/>
  <c r="M255" i="4"/>
  <c r="P247" i="4"/>
  <c r="S247" i="4"/>
  <c r="O247" i="4"/>
  <c r="R247" i="4"/>
  <c r="N247" i="4"/>
  <c r="Q247" i="4"/>
  <c r="M247" i="4"/>
  <c r="P239" i="4"/>
  <c r="S239" i="4"/>
  <c r="O239" i="4"/>
  <c r="R239" i="4"/>
  <c r="N239" i="4"/>
  <c r="Q239" i="4"/>
  <c r="M239" i="4"/>
  <c r="P231" i="4"/>
  <c r="S231" i="4"/>
  <c r="O231" i="4"/>
  <c r="R231" i="4"/>
  <c r="N231" i="4"/>
  <c r="Q231" i="4"/>
  <c r="M231" i="4"/>
  <c r="P223" i="4"/>
  <c r="S223" i="4"/>
  <c r="O223" i="4"/>
  <c r="R223" i="4"/>
  <c r="N223" i="4"/>
  <c r="Q223" i="4"/>
  <c r="M223" i="4"/>
  <c r="P215" i="4"/>
  <c r="S215" i="4"/>
  <c r="O215" i="4"/>
  <c r="N215" i="4"/>
  <c r="M215" i="4"/>
  <c r="R215" i="4"/>
  <c r="Q215" i="4"/>
  <c r="P207" i="4"/>
  <c r="S207" i="4"/>
  <c r="O207" i="4"/>
  <c r="N207" i="4"/>
  <c r="M207" i="4"/>
  <c r="R207" i="4"/>
  <c r="Q207" i="4"/>
  <c r="P199" i="4"/>
  <c r="S199" i="4"/>
  <c r="O199" i="4"/>
  <c r="N199" i="4"/>
  <c r="M199" i="4"/>
  <c r="R199" i="4"/>
  <c r="Q199" i="4"/>
  <c r="P191" i="4"/>
  <c r="S191" i="4"/>
  <c r="O191" i="4"/>
  <c r="N191" i="4"/>
  <c r="M191" i="4"/>
  <c r="R191" i="4"/>
  <c r="Q191" i="4"/>
  <c r="P183" i="4"/>
  <c r="S183" i="4"/>
  <c r="O183" i="4"/>
  <c r="N183" i="4"/>
  <c r="M183" i="4"/>
  <c r="R183" i="4"/>
  <c r="Q183" i="4"/>
  <c r="P175" i="4"/>
  <c r="S175" i="4"/>
  <c r="O175" i="4"/>
  <c r="N175" i="4"/>
  <c r="M175" i="4"/>
  <c r="R175" i="4"/>
  <c r="Q175" i="4"/>
  <c r="P167" i="4"/>
  <c r="S167" i="4"/>
  <c r="O167" i="4"/>
  <c r="N167" i="4"/>
  <c r="M167" i="4"/>
  <c r="R167" i="4"/>
  <c r="Q167" i="4"/>
  <c r="P159" i="4"/>
  <c r="S159" i="4"/>
  <c r="O159" i="4"/>
  <c r="N159" i="4"/>
  <c r="M159" i="4"/>
  <c r="R159" i="4"/>
  <c r="Q159" i="4"/>
  <c r="P151" i="4"/>
  <c r="S151" i="4"/>
  <c r="O151" i="4"/>
  <c r="N151" i="4"/>
  <c r="M151" i="4"/>
  <c r="R151" i="4"/>
  <c r="Q151" i="4"/>
  <c r="P143" i="4"/>
  <c r="S143" i="4"/>
  <c r="O143" i="4"/>
  <c r="N143" i="4"/>
  <c r="M143" i="4"/>
  <c r="R143" i="4"/>
  <c r="Q143" i="4"/>
  <c r="P135" i="4"/>
  <c r="S135" i="4"/>
  <c r="O135" i="4"/>
  <c r="N135" i="4"/>
  <c r="M135" i="4"/>
  <c r="R135" i="4"/>
  <c r="Q135" i="4"/>
  <c r="P127" i="4"/>
  <c r="S127" i="4"/>
  <c r="O127" i="4"/>
  <c r="N127" i="4"/>
  <c r="M127" i="4"/>
  <c r="R127" i="4"/>
  <c r="Q127" i="4"/>
  <c r="P119" i="4"/>
  <c r="S119" i="4"/>
  <c r="O119" i="4"/>
  <c r="N119" i="4"/>
  <c r="M119" i="4"/>
  <c r="R119" i="4"/>
  <c r="Q119" i="4"/>
  <c r="P111" i="4"/>
  <c r="S111" i="4"/>
  <c r="O111" i="4"/>
  <c r="N111" i="4"/>
  <c r="M111" i="4"/>
  <c r="R111" i="4"/>
  <c r="Q111" i="4"/>
  <c r="R450" i="4"/>
  <c r="N450" i="4"/>
  <c r="Q450" i="4"/>
  <c r="M450" i="4"/>
  <c r="O450" i="4"/>
  <c r="S450" i="4"/>
  <c r="P450" i="4"/>
  <c r="R418" i="4"/>
  <c r="N418" i="4"/>
  <c r="Q418" i="4"/>
  <c r="M418" i="4"/>
  <c r="O418" i="4"/>
  <c r="S418" i="4"/>
  <c r="P418" i="4"/>
  <c r="R386" i="4"/>
  <c r="N386" i="4"/>
  <c r="Q386" i="4"/>
  <c r="M386" i="4"/>
  <c r="O386" i="4"/>
  <c r="S386" i="4"/>
  <c r="P386" i="4"/>
  <c r="R354" i="4"/>
  <c r="N354" i="4"/>
  <c r="Q354" i="4"/>
  <c r="M354" i="4"/>
  <c r="O354" i="4"/>
  <c r="S354" i="4"/>
  <c r="P354" i="4"/>
  <c r="R322" i="4"/>
  <c r="N322" i="4"/>
  <c r="Q322" i="4"/>
  <c r="M322" i="4"/>
  <c r="P322" i="4"/>
  <c r="S322" i="4"/>
  <c r="O322" i="4"/>
  <c r="R314" i="4"/>
  <c r="N314" i="4"/>
  <c r="Q314" i="4"/>
  <c r="M314" i="4"/>
  <c r="P314" i="4"/>
  <c r="S314" i="4"/>
  <c r="O314" i="4"/>
  <c r="R306" i="4"/>
  <c r="N306" i="4"/>
  <c r="Q306" i="4"/>
  <c r="M306" i="4"/>
  <c r="P306" i="4"/>
  <c r="S306" i="4"/>
  <c r="O306" i="4"/>
  <c r="R298" i="4"/>
  <c r="N298" i="4"/>
  <c r="Q298" i="4"/>
  <c r="M298" i="4"/>
  <c r="P298" i="4"/>
  <c r="S298" i="4"/>
  <c r="O298" i="4"/>
  <c r="R290" i="4"/>
  <c r="N290" i="4"/>
  <c r="Q290" i="4"/>
  <c r="M290" i="4"/>
  <c r="P290" i="4"/>
  <c r="S290" i="4"/>
  <c r="O290" i="4"/>
  <c r="R282" i="4"/>
  <c r="N282" i="4"/>
  <c r="Q282" i="4"/>
  <c r="M282" i="4"/>
  <c r="P282" i="4"/>
  <c r="S282" i="4"/>
  <c r="O282" i="4"/>
  <c r="R274" i="4"/>
  <c r="N274" i="4"/>
  <c r="Q274" i="4"/>
  <c r="M274" i="4"/>
  <c r="P274" i="4"/>
  <c r="S274" i="4"/>
  <c r="O274" i="4"/>
  <c r="R266" i="4"/>
  <c r="N266" i="4"/>
  <c r="Q266" i="4"/>
  <c r="M266" i="4"/>
  <c r="P266" i="4"/>
  <c r="S266" i="4"/>
  <c r="O266" i="4"/>
  <c r="R258" i="4"/>
  <c r="N258" i="4"/>
  <c r="Q258" i="4"/>
  <c r="M258" i="4"/>
  <c r="P258" i="4"/>
  <c r="S258" i="4"/>
  <c r="O258" i="4"/>
  <c r="R250" i="4"/>
  <c r="N250" i="4"/>
  <c r="Q250" i="4"/>
  <c r="M250" i="4"/>
  <c r="P250" i="4"/>
  <c r="S250" i="4"/>
  <c r="O250" i="4"/>
  <c r="R236" i="4"/>
  <c r="N236" i="4"/>
  <c r="Q236" i="4"/>
  <c r="M236" i="4"/>
  <c r="P236" i="4"/>
  <c r="S236" i="4"/>
  <c r="O236" i="4"/>
  <c r="R202" i="4"/>
  <c r="N202" i="4"/>
  <c r="Q202" i="4"/>
  <c r="M202" i="4"/>
  <c r="S202" i="4"/>
  <c r="P202" i="4"/>
  <c r="O202" i="4"/>
  <c r="R170" i="4"/>
  <c r="N170" i="4"/>
  <c r="Q170" i="4"/>
  <c r="M170" i="4"/>
  <c r="S170" i="4"/>
  <c r="P170" i="4"/>
  <c r="O170" i="4"/>
  <c r="R138" i="4"/>
  <c r="N138" i="4"/>
  <c r="Q138" i="4"/>
  <c r="M138" i="4"/>
  <c r="S138" i="4"/>
  <c r="P138" i="4"/>
  <c r="O138" i="4"/>
  <c r="P17" i="4"/>
  <c r="O17" i="4"/>
  <c r="R17" i="4"/>
  <c r="N17" i="4"/>
  <c r="Q17" i="4"/>
  <c r="M17" i="4"/>
  <c r="Q998" i="4"/>
  <c r="M998" i="4"/>
  <c r="O998" i="4"/>
  <c r="S998" i="4"/>
  <c r="R998" i="4"/>
  <c r="P998" i="4"/>
  <c r="N998" i="4"/>
  <c r="P975" i="4"/>
  <c r="O975" i="4"/>
  <c r="S975" i="4"/>
  <c r="N975" i="4"/>
  <c r="Q975" i="4"/>
  <c r="M975" i="4"/>
  <c r="R975" i="4"/>
  <c r="P967" i="4"/>
  <c r="O967" i="4"/>
  <c r="S967" i="4"/>
  <c r="N967" i="4"/>
  <c r="Q967" i="4"/>
  <c r="R967" i="4"/>
  <c r="M967" i="4"/>
  <c r="P957" i="4"/>
  <c r="O957" i="4"/>
  <c r="S957" i="4"/>
  <c r="M957" i="4"/>
  <c r="N957" i="4"/>
  <c r="R957" i="4"/>
  <c r="Q957" i="4"/>
  <c r="P938" i="4"/>
  <c r="S938" i="4"/>
  <c r="N938" i="4"/>
  <c r="R938" i="4"/>
  <c r="M938" i="4"/>
  <c r="Q938" i="4"/>
  <c r="O938" i="4"/>
  <c r="P930" i="4"/>
  <c r="S930" i="4"/>
  <c r="N930" i="4"/>
  <c r="R930" i="4"/>
  <c r="M930" i="4"/>
  <c r="Q930" i="4"/>
  <c r="O930" i="4"/>
  <c r="P945" i="4"/>
  <c r="R945" i="4"/>
  <c r="M945" i="4"/>
  <c r="S945" i="4"/>
  <c r="Q945" i="4"/>
  <c r="N945" i="4"/>
  <c r="O945" i="4"/>
  <c r="P961" i="4"/>
  <c r="O961" i="4"/>
  <c r="S961" i="4"/>
  <c r="M961" i="4"/>
  <c r="R961" i="4"/>
  <c r="Q961" i="4"/>
  <c r="N961" i="4"/>
  <c r="P924" i="4"/>
  <c r="R924" i="4"/>
  <c r="M924" i="4"/>
  <c r="Q924" i="4"/>
  <c r="S924" i="4"/>
  <c r="O924" i="4"/>
  <c r="N924" i="4"/>
  <c r="S879" i="4"/>
  <c r="O879" i="4"/>
  <c r="N879" i="4"/>
  <c r="R879" i="4"/>
  <c r="M879" i="4"/>
  <c r="Q879" i="4"/>
  <c r="P879" i="4"/>
  <c r="S863" i="4"/>
  <c r="O863" i="4"/>
  <c r="N863" i="4"/>
  <c r="R863" i="4"/>
  <c r="M863" i="4"/>
  <c r="Q863" i="4"/>
  <c r="P863" i="4"/>
  <c r="S847" i="4"/>
  <c r="O847" i="4"/>
  <c r="N847" i="4"/>
  <c r="R847" i="4"/>
  <c r="M847" i="4"/>
  <c r="Q847" i="4"/>
  <c r="P847" i="4"/>
  <c r="S831" i="4"/>
  <c r="O831" i="4"/>
  <c r="N831" i="4"/>
  <c r="R831" i="4"/>
  <c r="M831" i="4"/>
  <c r="Q831" i="4"/>
  <c r="P831" i="4"/>
  <c r="P953" i="4"/>
  <c r="O953" i="4"/>
  <c r="S953" i="4"/>
  <c r="M953" i="4"/>
  <c r="R953" i="4"/>
  <c r="Q953" i="4"/>
  <c r="N953" i="4"/>
  <c r="R929" i="4"/>
  <c r="N929" i="4"/>
  <c r="P929" i="4"/>
  <c r="O929" i="4"/>
  <c r="Q929" i="4"/>
  <c r="M929" i="4"/>
  <c r="S929" i="4"/>
  <c r="R913" i="4"/>
  <c r="N913" i="4"/>
  <c r="O913" i="4"/>
  <c r="S913" i="4"/>
  <c r="P913" i="4"/>
  <c r="M913" i="4"/>
  <c r="Q913" i="4"/>
  <c r="P886" i="4"/>
  <c r="Q886" i="4"/>
  <c r="S886" i="4"/>
  <c r="M886" i="4"/>
  <c r="R886" i="4"/>
  <c r="O886" i="4"/>
  <c r="N886" i="4"/>
  <c r="P947" i="4"/>
  <c r="R947" i="4"/>
  <c r="M947" i="4"/>
  <c r="O947" i="4"/>
  <c r="N947" i="4"/>
  <c r="S947" i="4"/>
  <c r="Q947" i="4"/>
  <c r="R925" i="4"/>
  <c r="N925" i="4"/>
  <c r="O925" i="4"/>
  <c r="S925" i="4"/>
  <c r="Q925" i="4"/>
  <c r="P925" i="4"/>
  <c r="M925" i="4"/>
  <c r="P926" i="4"/>
  <c r="R926" i="4"/>
  <c r="M926" i="4"/>
  <c r="N926" i="4"/>
  <c r="S926" i="4"/>
  <c r="Q926" i="4"/>
  <c r="O926" i="4"/>
  <c r="P892" i="4"/>
  <c r="Q892" i="4"/>
  <c r="N892" i="4"/>
  <c r="S892" i="4"/>
  <c r="M892" i="4"/>
  <c r="R892" i="4"/>
  <c r="O892" i="4"/>
  <c r="P951" i="4"/>
  <c r="O951" i="4"/>
  <c r="Q951" i="4"/>
  <c r="S951" i="4"/>
  <c r="R951" i="4"/>
  <c r="N951" i="4"/>
  <c r="M951" i="4"/>
  <c r="P774" i="4"/>
  <c r="O774" i="4"/>
  <c r="S774" i="4"/>
  <c r="N774" i="4"/>
  <c r="M774" i="4"/>
  <c r="R774" i="4"/>
  <c r="Q774" i="4"/>
  <c r="P766" i="4"/>
  <c r="O766" i="4"/>
  <c r="S766" i="4"/>
  <c r="N766" i="4"/>
  <c r="M766" i="4"/>
  <c r="R766" i="4"/>
  <c r="Q766" i="4"/>
  <c r="P758" i="4"/>
  <c r="O758" i="4"/>
  <c r="S758" i="4"/>
  <c r="N758" i="4"/>
  <c r="M758" i="4"/>
  <c r="R758" i="4"/>
  <c r="Q758" i="4"/>
  <c r="P750" i="4"/>
  <c r="O750" i="4"/>
  <c r="S750" i="4"/>
  <c r="N750" i="4"/>
  <c r="M750" i="4"/>
  <c r="R750" i="4"/>
  <c r="Q750" i="4"/>
  <c r="P742" i="4"/>
  <c r="O742" i="4"/>
  <c r="S742" i="4"/>
  <c r="N742" i="4"/>
  <c r="M742" i="4"/>
  <c r="R742" i="4"/>
  <c r="Q742" i="4"/>
  <c r="P734" i="4"/>
  <c r="O734" i="4"/>
  <c r="S734" i="4"/>
  <c r="N734" i="4"/>
  <c r="M734" i="4"/>
  <c r="R734" i="4"/>
  <c r="Q734" i="4"/>
  <c r="P726" i="4"/>
  <c r="O726" i="4"/>
  <c r="S726" i="4"/>
  <c r="N726" i="4"/>
  <c r="M726" i="4"/>
  <c r="R726" i="4"/>
  <c r="Q726" i="4"/>
  <c r="P718" i="4"/>
  <c r="O718" i="4"/>
  <c r="S718" i="4"/>
  <c r="N718" i="4"/>
  <c r="M718" i="4"/>
  <c r="R718" i="4"/>
  <c r="Q718" i="4"/>
  <c r="P710" i="4"/>
  <c r="O710" i="4"/>
  <c r="S710" i="4"/>
  <c r="N710" i="4"/>
  <c r="R710" i="4"/>
  <c r="Q710" i="4"/>
  <c r="M710" i="4"/>
  <c r="P702" i="4"/>
  <c r="O702" i="4"/>
  <c r="S702" i="4"/>
  <c r="N702" i="4"/>
  <c r="R702" i="4"/>
  <c r="Q702" i="4"/>
  <c r="M702" i="4"/>
  <c r="P694" i="4"/>
  <c r="O694" i="4"/>
  <c r="S694" i="4"/>
  <c r="N694" i="4"/>
  <c r="R694" i="4"/>
  <c r="Q694" i="4"/>
  <c r="M694" i="4"/>
  <c r="P686" i="4"/>
  <c r="O686" i="4"/>
  <c r="S686" i="4"/>
  <c r="N686" i="4"/>
  <c r="R686" i="4"/>
  <c r="Q686" i="4"/>
  <c r="M686" i="4"/>
  <c r="P678" i="4"/>
  <c r="O678" i="4"/>
  <c r="S678" i="4"/>
  <c r="N678" i="4"/>
  <c r="R678" i="4"/>
  <c r="Q678" i="4"/>
  <c r="M678" i="4"/>
  <c r="P670" i="4"/>
  <c r="O670" i="4"/>
  <c r="S670" i="4"/>
  <c r="N670" i="4"/>
  <c r="R670" i="4"/>
  <c r="Q670" i="4"/>
  <c r="M670" i="4"/>
  <c r="P662" i="4"/>
  <c r="S662" i="4"/>
  <c r="O662" i="4"/>
  <c r="M662" i="4"/>
  <c r="R662" i="4"/>
  <c r="Q662" i="4"/>
  <c r="N662" i="4"/>
  <c r="P654" i="4"/>
  <c r="S654" i="4"/>
  <c r="O654" i="4"/>
  <c r="M654" i="4"/>
  <c r="R654" i="4"/>
  <c r="Q654" i="4"/>
  <c r="N654" i="4"/>
  <c r="P646" i="4"/>
  <c r="S646" i="4"/>
  <c r="O646" i="4"/>
  <c r="M646" i="4"/>
  <c r="Q646" i="4"/>
  <c r="R646" i="4"/>
  <c r="N646" i="4"/>
  <c r="P638" i="4"/>
  <c r="S638" i="4"/>
  <c r="O638" i="4"/>
  <c r="M638" i="4"/>
  <c r="Q638" i="4"/>
  <c r="N638" i="4"/>
  <c r="R638" i="4"/>
  <c r="P630" i="4"/>
  <c r="S630" i="4"/>
  <c r="N630" i="4"/>
  <c r="Q630" i="4"/>
  <c r="R630" i="4"/>
  <c r="O630" i="4"/>
  <c r="M630" i="4"/>
  <c r="R661" i="4"/>
  <c r="N661" i="4"/>
  <c r="Q661" i="4"/>
  <c r="M661" i="4"/>
  <c r="O661" i="4"/>
  <c r="S661" i="4"/>
  <c r="P661" i="4"/>
  <c r="S486" i="4"/>
  <c r="O486" i="4"/>
  <c r="Q486" i="4"/>
  <c r="M486" i="4"/>
  <c r="N486" i="4"/>
  <c r="R486" i="4"/>
  <c r="P486" i="4"/>
  <c r="S478" i="4"/>
  <c r="O478" i="4"/>
  <c r="Q478" i="4"/>
  <c r="M478" i="4"/>
  <c r="N478" i="4"/>
  <c r="R478" i="4"/>
  <c r="P478" i="4"/>
  <c r="S470" i="4"/>
  <c r="O470" i="4"/>
  <c r="Q470" i="4"/>
  <c r="M470" i="4"/>
  <c r="N470" i="4"/>
  <c r="R470" i="4"/>
  <c r="P470" i="4"/>
  <c r="S463" i="4"/>
  <c r="O463" i="4"/>
  <c r="Q463" i="4"/>
  <c r="P463" i="4"/>
  <c r="R463" i="4"/>
  <c r="N463" i="4"/>
  <c r="M463" i="4"/>
  <c r="P455" i="4"/>
  <c r="S455" i="4"/>
  <c r="O455" i="4"/>
  <c r="Q455" i="4"/>
  <c r="N455" i="4"/>
  <c r="M455" i="4"/>
  <c r="R455" i="4"/>
  <c r="P447" i="4"/>
  <c r="S447" i="4"/>
  <c r="O447" i="4"/>
  <c r="Q447" i="4"/>
  <c r="N447" i="4"/>
  <c r="M447" i="4"/>
  <c r="R447" i="4"/>
  <c r="P439" i="4"/>
  <c r="S439" i="4"/>
  <c r="O439" i="4"/>
  <c r="Q439" i="4"/>
  <c r="N439" i="4"/>
  <c r="M439" i="4"/>
  <c r="R439" i="4"/>
  <c r="P431" i="4"/>
  <c r="S431" i="4"/>
  <c r="O431" i="4"/>
  <c r="Q431" i="4"/>
  <c r="N431" i="4"/>
  <c r="M431" i="4"/>
  <c r="R431" i="4"/>
  <c r="P423" i="4"/>
  <c r="S423" i="4"/>
  <c r="O423" i="4"/>
  <c r="Q423" i="4"/>
  <c r="N423" i="4"/>
  <c r="M423" i="4"/>
  <c r="R423" i="4"/>
  <c r="P415" i="4"/>
  <c r="S415" i="4"/>
  <c r="O415" i="4"/>
  <c r="Q415" i="4"/>
  <c r="N415" i="4"/>
  <c r="M415" i="4"/>
  <c r="R415" i="4"/>
  <c r="P407" i="4"/>
  <c r="S407" i="4"/>
  <c r="O407" i="4"/>
  <c r="Q407" i="4"/>
  <c r="N407" i="4"/>
  <c r="M407" i="4"/>
  <c r="R407" i="4"/>
  <c r="P399" i="4"/>
  <c r="S399" i="4"/>
  <c r="O399" i="4"/>
  <c r="Q399" i="4"/>
  <c r="N399" i="4"/>
  <c r="M399" i="4"/>
  <c r="R399" i="4"/>
  <c r="P391" i="4"/>
  <c r="S391" i="4"/>
  <c r="O391" i="4"/>
  <c r="Q391" i="4"/>
  <c r="N391" i="4"/>
  <c r="M391" i="4"/>
  <c r="R391" i="4"/>
  <c r="P383" i="4"/>
  <c r="S383" i="4"/>
  <c r="O383" i="4"/>
  <c r="Q383" i="4"/>
  <c r="N383" i="4"/>
  <c r="M383" i="4"/>
  <c r="R383" i="4"/>
  <c r="P375" i="4"/>
  <c r="S375" i="4"/>
  <c r="O375" i="4"/>
  <c r="Q375" i="4"/>
  <c r="N375" i="4"/>
  <c r="M375" i="4"/>
  <c r="R375" i="4"/>
  <c r="P367" i="4"/>
  <c r="S367" i="4"/>
  <c r="O367" i="4"/>
  <c r="Q367" i="4"/>
  <c r="N367" i="4"/>
  <c r="M367" i="4"/>
  <c r="R367" i="4"/>
  <c r="P359" i="4"/>
  <c r="S359" i="4"/>
  <c r="O359" i="4"/>
  <c r="Q359" i="4"/>
  <c r="N359" i="4"/>
  <c r="M359" i="4"/>
  <c r="R359" i="4"/>
  <c r="P351" i="4"/>
  <c r="S351" i="4"/>
  <c r="O351" i="4"/>
  <c r="Q351" i="4"/>
  <c r="N351" i="4"/>
  <c r="M351" i="4"/>
  <c r="R351" i="4"/>
  <c r="P343" i="4"/>
  <c r="S343" i="4"/>
  <c r="O343" i="4"/>
  <c r="Q343" i="4"/>
  <c r="N343" i="4"/>
  <c r="M343" i="4"/>
  <c r="R343" i="4"/>
  <c r="S335" i="4"/>
  <c r="O335" i="4"/>
  <c r="N335" i="4"/>
  <c r="R335" i="4"/>
  <c r="M335" i="4"/>
  <c r="Q335" i="4"/>
  <c r="P335" i="4"/>
  <c r="S327" i="4"/>
  <c r="O327" i="4"/>
  <c r="N327" i="4"/>
  <c r="R327" i="4"/>
  <c r="M327" i="4"/>
  <c r="Q327" i="4"/>
  <c r="P327" i="4"/>
  <c r="R456" i="4"/>
  <c r="N456" i="4"/>
  <c r="Q456" i="4"/>
  <c r="M456" i="4"/>
  <c r="S456" i="4"/>
  <c r="P456" i="4"/>
  <c r="O456" i="4"/>
  <c r="R424" i="4"/>
  <c r="N424" i="4"/>
  <c r="Q424" i="4"/>
  <c r="M424" i="4"/>
  <c r="S424" i="4"/>
  <c r="P424" i="4"/>
  <c r="O424" i="4"/>
  <c r="R392" i="4"/>
  <c r="N392" i="4"/>
  <c r="Q392" i="4"/>
  <c r="M392" i="4"/>
  <c r="S392" i="4"/>
  <c r="P392" i="4"/>
  <c r="O392" i="4"/>
  <c r="R360" i="4"/>
  <c r="N360" i="4"/>
  <c r="Q360" i="4"/>
  <c r="M360" i="4"/>
  <c r="S360" i="4"/>
  <c r="P360" i="4"/>
  <c r="O360" i="4"/>
  <c r="P317" i="4"/>
  <c r="S317" i="4"/>
  <c r="O317" i="4"/>
  <c r="R317" i="4"/>
  <c r="N317" i="4"/>
  <c r="Q317" i="4"/>
  <c r="M317" i="4"/>
  <c r="P309" i="4"/>
  <c r="S309" i="4"/>
  <c r="O309" i="4"/>
  <c r="R309" i="4"/>
  <c r="N309" i="4"/>
  <c r="Q309" i="4"/>
  <c r="M309" i="4"/>
  <c r="P301" i="4"/>
  <c r="S301" i="4"/>
  <c r="O301" i="4"/>
  <c r="R301" i="4"/>
  <c r="N301" i="4"/>
  <c r="Q301" i="4"/>
  <c r="M301" i="4"/>
  <c r="P293" i="4"/>
  <c r="S293" i="4"/>
  <c r="O293" i="4"/>
  <c r="R293" i="4"/>
  <c r="N293" i="4"/>
  <c r="Q293" i="4"/>
  <c r="M293" i="4"/>
  <c r="P285" i="4"/>
  <c r="S285" i="4"/>
  <c r="O285" i="4"/>
  <c r="R285" i="4"/>
  <c r="N285" i="4"/>
  <c r="Q285" i="4"/>
  <c r="M285" i="4"/>
  <c r="P277" i="4"/>
  <c r="S277" i="4"/>
  <c r="O277" i="4"/>
  <c r="R277" i="4"/>
  <c r="N277" i="4"/>
  <c r="Q277" i="4"/>
  <c r="M277" i="4"/>
  <c r="P269" i="4"/>
  <c r="S269" i="4"/>
  <c r="O269" i="4"/>
  <c r="R269" i="4"/>
  <c r="N269" i="4"/>
  <c r="Q269" i="4"/>
  <c r="M269" i="4"/>
  <c r="P261" i="4"/>
  <c r="S261" i="4"/>
  <c r="O261" i="4"/>
  <c r="R261" i="4"/>
  <c r="N261" i="4"/>
  <c r="Q261" i="4"/>
  <c r="M261" i="4"/>
  <c r="P253" i="4"/>
  <c r="S253" i="4"/>
  <c r="O253" i="4"/>
  <c r="R253" i="4"/>
  <c r="N253" i="4"/>
  <c r="Q253" i="4"/>
  <c r="M253" i="4"/>
  <c r="P245" i="4"/>
  <c r="S245" i="4"/>
  <c r="O245" i="4"/>
  <c r="R245" i="4"/>
  <c r="N245" i="4"/>
  <c r="Q245" i="4"/>
  <c r="M245" i="4"/>
  <c r="P237" i="4"/>
  <c r="S237" i="4"/>
  <c r="O237" i="4"/>
  <c r="R237" i="4"/>
  <c r="N237" i="4"/>
  <c r="Q237" i="4"/>
  <c r="M237" i="4"/>
  <c r="P229" i="4"/>
  <c r="S229" i="4"/>
  <c r="O229" i="4"/>
  <c r="R229" i="4"/>
  <c r="N229" i="4"/>
  <c r="Q229" i="4"/>
  <c r="M229" i="4"/>
  <c r="P221" i="4"/>
  <c r="S221" i="4"/>
  <c r="O221" i="4"/>
  <c r="R221" i="4"/>
  <c r="N221" i="4"/>
  <c r="Q221" i="4"/>
  <c r="M221" i="4"/>
  <c r="P213" i="4"/>
  <c r="S213" i="4"/>
  <c r="O213" i="4"/>
  <c r="M213" i="4"/>
  <c r="R213" i="4"/>
  <c r="Q213" i="4"/>
  <c r="N213" i="4"/>
  <c r="P205" i="4"/>
  <c r="S205" i="4"/>
  <c r="O205" i="4"/>
  <c r="M205" i="4"/>
  <c r="R205" i="4"/>
  <c r="Q205" i="4"/>
  <c r="N205" i="4"/>
  <c r="P197" i="4"/>
  <c r="S197" i="4"/>
  <c r="O197" i="4"/>
  <c r="M197" i="4"/>
  <c r="R197" i="4"/>
  <c r="Q197" i="4"/>
  <c r="N197" i="4"/>
  <c r="P189" i="4"/>
  <c r="S189" i="4"/>
  <c r="O189" i="4"/>
  <c r="M189" i="4"/>
  <c r="R189" i="4"/>
  <c r="Q189" i="4"/>
  <c r="N189" i="4"/>
  <c r="P181" i="4"/>
  <c r="S181" i="4"/>
  <c r="O181" i="4"/>
  <c r="M181" i="4"/>
  <c r="R181" i="4"/>
  <c r="Q181" i="4"/>
  <c r="N181" i="4"/>
  <c r="P173" i="4"/>
  <c r="S173" i="4"/>
  <c r="O173" i="4"/>
  <c r="M173" i="4"/>
  <c r="R173" i="4"/>
  <c r="Q173" i="4"/>
  <c r="N173" i="4"/>
  <c r="P165" i="4"/>
  <c r="S165" i="4"/>
  <c r="O165" i="4"/>
  <c r="M165" i="4"/>
  <c r="R165" i="4"/>
  <c r="Q165" i="4"/>
  <c r="N165" i="4"/>
  <c r="P157" i="4"/>
  <c r="S157" i="4"/>
  <c r="O157" i="4"/>
  <c r="M157" i="4"/>
  <c r="R157" i="4"/>
  <c r="Q157" i="4"/>
  <c r="N157" i="4"/>
  <c r="P149" i="4"/>
  <c r="S149" i="4"/>
  <c r="O149" i="4"/>
  <c r="M149" i="4"/>
  <c r="R149" i="4"/>
  <c r="Q149" i="4"/>
  <c r="N149" i="4"/>
  <c r="P141" i="4"/>
  <c r="S141" i="4"/>
  <c r="O141" i="4"/>
  <c r="M141" i="4"/>
  <c r="R141" i="4"/>
  <c r="Q141" i="4"/>
  <c r="N141" i="4"/>
  <c r="P133" i="4"/>
  <c r="S133" i="4"/>
  <c r="O133" i="4"/>
  <c r="M133" i="4"/>
  <c r="R133" i="4"/>
  <c r="Q133" i="4"/>
  <c r="N133" i="4"/>
  <c r="P125" i="4"/>
  <c r="S125" i="4"/>
  <c r="O125" i="4"/>
  <c r="M125" i="4"/>
  <c r="R125" i="4"/>
  <c r="Q125" i="4"/>
  <c r="N125" i="4"/>
  <c r="P117" i="4"/>
  <c r="S117" i="4"/>
  <c r="O117" i="4"/>
  <c r="M117" i="4"/>
  <c r="R117" i="4"/>
  <c r="Q117" i="4"/>
  <c r="N117" i="4"/>
  <c r="R442" i="4"/>
  <c r="N442" i="4"/>
  <c r="Q442" i="4"/>
  <c r="M442" i="4"/>
  <c r="O442" i="4"/>
  <c r="S442" i="4"/>
  <c r="P442" i="4"/>
  <c r="R410" i="4"/>
  <c r="N410" i="4"/>
  <c r="Q410" i="4"/>
  <c r="M410" i="4"/>
  <c r="O410" i="4"/>
  <c r="S410" i="4"/>
  <c r="P410" i="4"/>
  <c r="R378" i="4"/>
  <c r="N378" i="4"/>
  <c r="Q378" i="4"/>
  <c r="M378" i="4"/>
  <c r="O378" i="4"/>
  <c r="S378" i="4"/>
  <c r="P378" i="4"/>
  <c r="R346" i="4"/>
  <c r="N346" i="4"/>
  <c r="Q346" i="4"/>
  <c r="M346" i="4"/>
  <c r="O346" i="4"/>
  <c r="S346" i="4"/>
  <c r="P346" i="4"/>
  <c r="R320" i="4"/>
  <c r="N320" i="4"/>
  <c r="Q320" i="4"/>
  <c r="M320" i="4"/>
  <c r="P320" i="4"/>
  <c r="S320" i="4"/>
  <c r="O320" i="4"/>
  <c r="R312" i="4"/>
  <c r="N312" i="4"/>
  <c r="Q312" i="4"/>
  <c r="M312" i="4"/>
  <c r="P312" i="4"/>
  <c r="S312" i="4"/>
  <c r="O312" i="4"/>
  <c r="R304" i="4"/>
  <c r="N304" i="4"/>
  <c r="Q304" i="4"/>
  <c r="M304" i="4"/>
  <c r="P304" i="4"/>
  <c r="S304" i="4"/>
  <c r="O304" i="4"/>
  <c r="R296" i="4"/>
  <c r="N296" i="4"/>
  <c r="Q296" i="4"/>
  <c r="M296" i="4"/>
  <c r="P296" i="4"/>
  <c r="S296" i="4"/>
  <c r="O296" i="4"/>
  <c r="R288" i="4"/>
  <c r="N288" i="4"/>
  <c r="Q288" i="4"/>
  <c r="M288" i="4"/>
  <c r="P288" i="4"/>
  <c r="S288" i="4"/>
  <c r="O288" i="4"/>
  <c r="R280" i="4"/>
  <c r="N280" i="4"/>
  <c r="Q280" i="4"/>
  <c r="M280" i="4"/>
  <c r="P280" i="4"/>
  <c r="S280" i="4"/>
  <c r="O280" i="4"/>
  <c r="R272" i="4"/>
  <c r="N272" i="4"/>
  <c r="Q272" i="4"/>
  <c r="M272" i="4"/>
  <c r="P272" i="4"/>
  <c r="S272" i="4"/>
  <c r="O272" i="4"/>
  <c r="R264" i="4"/>
  <c r="N264" i="4"/>
  <c r="Q264" i="4"/>
  <c r="M264" i="4"/>
  <c r="P264" i="4"/>
  <c r="S264" i="4"/>
  <c r="O264" i="4"/>
  <c r="R256" i="4"/>
  <c r="N256" i="4"/>
  <c r="Q256" i="4"/>
  <c r="M256" i="4"/>
  <c r="P256" i="4"/>
  <c r="S256" i="4"/>
  <c r="O256" i="4"/>
  <c r="R242" i="4"/>
  <c r="N242" i="4"/>
  <c r="Q242" i="4"/>
  <c r="M242" i="4"/>
  <c r="P242" i="4"/>
  <c r="S242" i="4"/>
  <c r="O242" i="4"/>
  <c r="R228" i="4"/>
  <c r="N228" i="4"/>
  <c r="Q228" i="4"/>
  <c r="M228" i="4"/>
  <c r="P228" i="4"/>
  <c r="S228" i="4"/>
  <c r="O228" i="4"/>
  <c r="R194" i="4"/>
  <c r="N194" i="4"/>
  <c r="Q194" i="4"/>
  <c r="M194" i="4"/>
  <c r="S194" i="4"/>
  <c r="P194" i="4"/>
  <c r="O194" i="4"/>
  <c r="R162" i="4"/>
  <c r="N162" i="4"/>
  <c r="Q162" i="4"/>
  <c r="M162" i="4"/>
  <c r="S162" i="4"/>
  <c r="P162" i="4"/>
  <c r="O162" i="4"/>
  <c r="R130" i="4"/>
  <c r="N130" i="4"/>
  <c r="Q130" i="4"/>
  <c r="M130" i="4"/>
  <c r="S130" i="4"/>
  <c r="P130" i="4"/>
  <c r="O130" i="4"/>
  <c r="P29" i="4"/>
  <c r="O29" i="4"/>
  <c r="R29" i="4"/>
  <c r="N29" i="4"/>
  <c r="Q29" i="4"/>
  <c r="M29" i="4"/>
  <c r="P13" i="4"/>
  <c r="O13" i="4"/>
  <c r="R13" i="4"/>
  <c r="N13" i="4"/>
  <c r="Q13" i="4"/>
  <c r="M13" i="4"/>
  <c r="P3" i="4"/>
  <c r="O3" i="4"/>
  <c r="R3" i="4"/>
  <c r="N3" i="4"/>
  <c r="Q3" i="4"/>
  <c r="M3" i="4"/>
  <c r="R222" i="4"/>
  <c r="N222" i="4"/>
  <c r="Q222" i="4"/>
  <c r="M222" i="4"/>
  <c r="P222" i="4"/>
  <c r="S222" i="4"/>
  <c r="O222" i="4"/>
  <c r="R196" i="4"/>
  <c r="N196" i="4"/>
  <c r="Q196" i="4"/>
  <c r="M196" i="4"/>
  <c r="O196" i="4"/>
  <c r="S196" i="4"/>
  <c r="P196" i="4"/>
  <c r="R164" i="4"/>
  <c r="N164" i="4"/>
  <c r="Q164" i="4"/>
  <c r="M164" i="4"/>
  <c r="O164" i="4"/>
  <c r="S164" i="4"/>
  <c r="P164" i="4"/>
  <c r="R132" i="4"/>
  <c r="N132" i="4"/>
  <c r="Q132" i="4"/>
  <c r="M132" i="4"/>
  <c r="O132" i="4"/>
  <c r="S132" i="4"/>
  <c r="P132" i="4"/>
  <c r="R240" i="4"/>
  <c r="N240" i="4"/>
  <c r="Q240" i="4"/>
  <c r="M240" i="4"/>
  <c r="P240" i="4"/>
  <c r="O240" i="4"/>
  <c r="S240" i="4"/>
  <c r="R23" i="4"/>
  <c r="N23" i="4"/>
  <c r="Q23" i="4"/>
  <c r="M23" i="4"/>
  <c r="P23" i="4"/>
  <c r="O23" i="4"/>
  <c r="R8" i="4"/>
  <c r="N8" i="4"/>
  <c r="Q8" i="4"/>
  <c r="M8" i="4"/>
  <c r="P8" i="4"/>
  <c r="O8" i="4"/>
  <c r="R218" i="4"/>
  <c r="N218" i="4"/>
  <c r="Q218" i="4"/>
  <c r="M218" i="4"/>
  <c r="S218" i="4"/>
  <c r="P218" i="4"/>
  <c r="O218" i="4"/>
  <c r="R186" i="4"/>
  <c r="N186" i="4"/>
  <c r="Q186" i="4"/>
  <c r="M186" i="4"/>
  <c r="S186" i="4"/>
  <c r="P186" i="4"/>
  <c r="O186" i="4"/>
  <c r="R154" i="4"/>
  <c r="N154" i="4"/>
  <c r="Q154" i="4"/>
  <c r="M154" i="4"/>
  <c r="S154" i="4"/>
  <c r="P154" i="4"/>
  <c r="O154" i="4"/>
  <c r="R122" i="4"/>
  <c r="N122" i="4"/>
  <c r="Q122" i="4"/>
  <c r="M122" i="4"/>
  <c r="S122" i="4"/>
  <c r="P122" i="4"/>
  <c r="O122" i="4"/>
  <c r="P25" i="4"/>
  <c r="O25" i="4"/>
  <c r="R25" i="4"/>
  <c r="N25" i="4"/>
  <c r="Q25" i="4"/>
  <c r="M25" i="4"/>
  <c r="P9" i="4"/>
  <c r="O9" i="4"/>
  <c r="R9" i="4"/>
  <c r="N9" i="4"/>
  <c r="Q9" i="4"/>
  <c r="M9" i="4"/>
  <c r="R246" i="4"/>
  <c r="N246" i="4"/>
  <c r="Q246" i="4"/>
  <c r="M246" i="4"/>
  <c r="P246" i="4"/>
  <c r="S246" i="4"/>
  <c r="O246" i="4"/>
  <c r="R220" i="4"/>
  <c r="N220" i="4"/>
  <c r="Q220" i="4"/>
  <c r="M220" i="4"/>
  <c r="O220" i="4"/>
  <c r="S220" i="4"/>
  <c r="P220" i="4"/>
  <c r="R188" i="4"/>
  <c r="N188" i="4"/>
  <c r="Q188" i="4"/>
  <c r="M188" i="4"/>
  <c r="O188" i="4"/>
  <c r="S188" i="4"/>
  <c r="P188" i="4"/>
  <c r="R156" i="4"/>
  <c r="N156" i="4"/>
  <c r="Q156" i="4"/>
  <c r="M156" i="4"/>
  <c r="O156" i="4"/>
  <c r="S156" i="4"/>
  <c r="P156" i="4"/>
  <c r="R124" i="4"/>
  <c r="N124" i="4"/>
  <c r="Q124" i="4"/>
  <c r="M124" i="4"/>
  <c r="O124" i="4"/>
  <c r="S124" i="4"/>
  <c r="P124" i="4"/>
  <c r="R232" i="4"/>
  <c r="N232" i="4"/>
  <c r="Q232" i="4"/>
  <c r="M232" i="4"/>
  <c r="P232" i="4"/>
  <c r="O232" i="4"/>
  <c r="S232" i="4"/>
  <c r="R19" i="4"/>
  <c r="N19" i="4"/>
  <c r="Q19" i="4"/>
  <c r="M19" i="4"/>
  <c r="P19" i="4"/>
  <c r="O19" i="4"/>
  <c r="R6" i="4"/>
  <c r="N6" i="4"/>
  <c r="Q6" i="4"/>
  <c r="M6" i="4"/>
  <c r="P6" i="4"/>
  <c r="O6" i="4"/>
  <c r="R27" i="4"/>
  <c r="N27" i="4"/>
  <c r="Q27" i="4"/>
  <c r="M27" i="4"/>
  <c r="P27" i="4"/>
  <c r="O27" i="4"/>
  <c r="P973" i="4"/>
  <c r="O973" i="4"/>
  <c r="S973" i="4"/>
  <c r="N973" i="4"/>
  <c r="M973" i="4"/>
  <c r="Q973" i="4"/>
  <c r="R973" i="4"/>
  <c r="P965" i="4"/>
  <c r="O965" i="4"/>
  <c r="S965" i="4"/>
  <c r="N965" i="4"/>
  <c r="M965" i="4"/>
  <c r="R965" i="4"/>
  <c r="Q965" i="4"/>
  <c r="P936" i="4"/>
  <c r="S936" i="4"/>
  <c r="N936" i="4"/>
  <c r="R936" i="4"/>
  <c r="M936" i="4"/>
  <c r="O936" i="4"/>
  <c r="Q936" i="4"/>
  <c r="P963" i="4"/>
  <c r="O963" i="4"/>
  <c r="Q963" i="4"/>
  <c r="N963" i="4"/>
  <c r="M963" i="4"/>
  <c r="S963" i="4"/>
  <c r="R963" i="4"/>
  <c r="P941" i="4"/>
  <c r="R941" i="4"/>
  <c r="M941" i="4"/>
  <c r="S941" i="4"/>
  <c r="Q941" i="4"/>
  <c r="N941" i="4"/>
  <c r="O941" i="4"/>
  <c r="P920" i="4"/>
  <c r="R920" i="4"/>
  <c r="M920" i="4"/>
  <c r="Q920" i="4"/>
  <c r="O920" i="4"/>
  <c r="N920" i="4"/>
  <c r="S920" i="4"/>
  <c r="R909" i="4"/>
  <c r="N909" i="4"/>
  <c r="S909" i="4"/>
  <c r="M909" i="4"/>
  <c r="P909" i="4"/>
  <c r="O909" i="4"/>
  <c r="Q909" i="4"/>
  <c r="R893" i="4"/>
  <c r="N893" i="4"/>
  <c r="S893" i="4"/>
  <c r="M893" i="4"/>
  <c r="P893" i="4"/>
  <c r="O893" i="4"/>
  <c r="Q893" i="4"/>
  <c r="S797" i="4"/>
  <c r="O797" i="4"/>
  <c r="R797" i="4"/>
  <c r="M797" i="4"/>
  <c r="P797" i="4"/>
  <c r="N797" i="4"/>
  <c r="Q797" i="4"/>
  <c r="R950" i="4"/>
  <c r="N950" i="4"/>
  <c r="O950" i="4"/>
  <c r="M950" i="4"/>
  <c r="S950" i="4"/>
  <c r="Q950" i="4"/>
  <c r="P950" i="4"/>
  <c r="P904" i="4"/>
  <c r="Q904" i="4"/>
  <c r="R904" i="4"/>
  <c r="O904" i="4"/>
  <c r="S904" i="4"/>
  <c r="N904" i="4"/>
  <c r="M904" i="4"/>
  <c r="P943" i="4"/>
  <c r="R943" i="4"/>
  <c r="M943" i="4"/>
  <c r="O943" i="4"/>
  <c r="N943" i="4"/>
  <c r="S943" i="4"/>
  <c r="Q943" i="4"/>
  <c r="P922" i="4"/>
  <c r="R922" i="4"/>
  <c r="M922" i="4"/>
  <c r="N922" i="4"/>
  <c r="O922" i="4"/>
  <c r="S922" i="4"/>
  <c r="Q922" i="4"/>
  <c r="P910" i="4"/>
  <c r="Q910" i="4"/>
  <c r="S910" i="4"/>
  <c r="M910" i="4"/>
  <c r="R910" i="4"/>
  <c r="O910" i="4"/>
  <c r="N910" i="4"/>
  <c r="R942" i="4"/>
  <c r="N942" i="4"/>
  <c r="O942" i="4"/>
  <c r="M942" i="4"/>
  <c r="S942" i="4"/>
  <c r="P942" i="4"/>
  <c r="Q942" i="4"/>
  <c r="R917" i="4"/>
  <c r="N917" i="4"/>
  <c r="O917" i="4"/>
  <c r="S917" i="4"/>
  <c r="Q917" i="4"/>
  <c r="P917" i="4"/>
  <c r="M917" i="4"/>
  <c r="P918" i="4"/>
  <c r="R918" i="4"/>
  <c r="M918" i="4"/>
  <c r="N918" i="4"/>
  <c r="S918" i="4"/>
  <c r="Q918" i="4"/>
  <c r="O918" i="4"/>
  <c r="P890" i="4"/>
  <c r="Q890" i="4"/>
  <c r="O890" i="4"/>
  <c r="N890" i="4"/>
  <c r="S890" i="4"/>
  <c r="R890" i="4"/>
  <c r="M890" i="4"/>
  <c r="P900" i="4"/>
  <c r="Q900" i="4"/>
  <c r="N900" i="4"/>
  <c r="S900" i="4"/>
  <c r="M900" i="4"/>
  <c r="O900" i="4"/>
  <c r="R900" i="4"/>
  <c r="Q820" i="4"/>
  <c r="M820" i="4"/>
  <c r="O820" i="4"/>
  <c r="S820" i="4"/>
  <c r="N820" i="4"/>
  <c r="P820" i="4"/>
  <c r="R820" i="4"/>
  <c r="P898" i="4"/>
  <c r="Q898" i="4"/>
  <c r="O898" i="4"/>
  <c r="N898" i="4"/>
  <c r="M898" i="4"/>
  <c r="S898" i="4"/>
  <c r="R898" i="4"/>
  <c r="Q798" i="4"/>
  <c r="M798" i="4"/>
  <c r="P798" i="4"/>
  <c r="S798" i="4"/>
  <c r="O798" i="4"/>
  <c r="N798" i="4"/>
  <c r="R798" i="4"/>
  <c r="P772" i="4"/>
  <c r="O772" i="4"/>
  <c r="S772" i="4"/>
  <c r="N772" i="4"/>
  <c r="R772" i="4"/>
  <c r="Q772" i="4"/>
  <c r="M772" i="4"/>
  <c r="P764" i="4"/>
  <c r="O764" i="4"/>
  <c r="S764" i="4"/>
  <c r="N764" i="4"/>
  <c r="R764" i="4"/>
  <c r="Q764" i="4"/>
  <c r="M764" i="4"/>
  <c r="P756" i="4"/>
  <c r="O756" i="4"/>
  <c r="S756" i="4"/>
  <c r="N756" i="4"/>
  <c r="R756" i="4"/>
  <c r="Q756" i="4"/>
  <c r="M756" i="4"/>
  <c r="P748" i="4"/>
  <c r="O748" i="4"/>
  <c r="S748" i="4"/>
  <c r="N748" i="4"/>
  <c r="R748" i="4"/>
  <c r="Q748" i="4"/>
  <c r="M748" i="4"/>
  <c r="P740" i="4"/>
  <c r="O740" i="4"/>
  <c r="S740" i="4"/>
  <c r="N740" i="4"/>
  <c r="R740" i="4"/>
  <c r="Q740" i="4"/>
  <c r="M740" i="4"/>
  <c r="P732" i="4"/>
  <c r="O732" i="4"/>
  <c r="S732" i="4"/>
  <c r="N732" i="4"/>
  <c r="R732" i="4"/>
  <c r="Q732" i="4"/>
  <c r="M732" i="4"/>
  <c r="P724" i="4"/>
  <c r="O724" i="4"/>
  <c r="S724" i="4"/>
  <c r="N724" i="4"/>
  <c r="R724" i="4"/>
  <c r="Q724" i="4"/>
  <c r="M724" i="4"/>
  <c r="P716" i="4"/>
  <c r="O716" i="4"/>
  <c r="S716" i="4"/>
  <c r="N716" i="4"/>
  <c r="R716" i="4"/>
  <c r="Q716" i="4"/>
  <c r="M716" i="4"/>
  <c r="P708" i="4"/>
  <c r="O708" i="4"/>
  <c r="S708" i="4"/>
  <c r="N708" i="4"/>
  <c r="R708" i="4"/>
  <c r="Q708" i="4"/>
  <c r="M708" i="4"/>
  <c r="P700" i="4"/>
  <c r="O700" i="4"/>
  <c r="S700" i="4"/>
  <c r="N700" i="4"/>
  <c r="R700" i="4"/>
  <c r="Q700" i="4"/>
  <c r="M700" i="4"/>
  <c r="P692" i="4"/>
  <c r="O692" i="4"/>
  <c r="S692" i="4"/>
  <c r="N692" i="4"/>
  <c r="R692" i="4"/>
  <c r="Q692" i="4"/>
  <c r="M692" i="4"/>
  <c r="P684" i="4"/>
  <c r="O684" i="4"/>
  <c r="S684" i="4"/>
  <c r="N684" i="4"/>
  <c r="R684" i="4"/>
  <c r="Q684" i="4"/>
  <c r="M684" i="4"/>
  <c r="P676" i="4"/>
  <c r="O676" i="4"/>
  <c r="S676" i="4"/>
  <c r="N676" i="4"/>
  <c r="R676" i="4"/>
  <c r="Q676" i="4"/>
  <c r="M676" i="4"/>
  <c r="P668" i="4"/>
  <c r="S668" i="4"/>
  <c r="O668" i="4"/>
  <c r="R668" i="4"/>
  <c r="Q668" i="4"/>
  <c r="N668" i="4"/>
  <c r="M668" i="4"/>
  <c r="P660" i="4"/>
  <c r="S660" i="4"/>
  <c r="O660" i="4"/>
  <c r="R660" i="4"/>
  <c r="Q660" i="4"/>
  <c r="N660" i="4"/>
  <c r="M660" i="4"/>
  <c r="P652" i="4"/>
  <c r="S652" i="4"/>
  <c r="O652" i="4"/>
  <c r="R652" i="4"/>
  <c r="Q652" i="4"/>
  <c r="N652" i="4"/>
  <c r="M652" i="4"/>
  <c r="P644" i="4"/>
  <c r="S644" i="4"/>
  <c r="O644" i="4"/>
  <c r="R644" i="4"/>
  <c r="N644" i="4"/>
  <c r="M644" i="4"/>
  <c r="Q644" i="4"/>
  <c r="P636" i="4"/>
  <c r="S636" i="4"/>
  <c r="O636" i="4"/>
  <c r="R636" i="4"/>
  <c r="N636" i="4"/>
  <c r="Q636" i="4"/>
  <c r="M636" i="4"/>
  <c r="Q780" i="4"/>
  <c r="M780" i="4"/>
  <c r="P780" i="4"/>
  <c r="N780" i="4"/>
  <c r="S780" i="4"/>
  <c r="R780" i="4"/>
  <c r="O780" i="4"/>
  <c r="P884" i="4"/>
  <c r="Q884" i="4"/>
  <c r="N884" i="4"/>
  <c r="S884" i="4"/>
  <c r="M884" i="4"/>
  <c r="O884" i="4"/>
  <c r="R884" i="4"/>
  <c r="R667" i="4"/>
  <c r="N667" i="4"/>
  <c r="Q667" i="4"/>
  <c r="M667" i="4"/>
  <c r="S667" i="4"/>
  <c r="P667" i="4"/>
  <c r="O667" i="4"/>
  <c r="R653" i="4"/>
  <c r="N653" i="4"/>
  <c r="Q653" i="4"/>
  <c r="M653" i="4"/>
  <c r="O653" i="4"/>
  <c r="S653" i="4"/>
  <c r="P653" i="4"/>
  <c r="R643" i="4"/>
  <c r="N643" i="4"/>
  <c r="Q643" i="4"/>
  <c r="M643" i="4"/>
  <c r="P643" i="4"/>
  <c r="S643" i="4"/>
  <c r="O643" i="4"/>
  <c r="P461" i="4"/>
  <c r="S461" i="4"/>
  <c r="O461" i="4"/>
  <c r="N461" i="4"/>
  <c r="M461" i="4"/>
  <c r="R461" i="4"/>
  <c r="Q461" i="4"/>
  <c r="P453" i="4"/>
  <c r="S453" i="4"/>
  <c r="O453" i="4"/>
  <c r="N453" i="4"/>
  <c r="M453" i="4"/>
  <c r="R453" i="4"/>
  <c r="Q453" i="4"/>
  <c r="P445" i="4"/>
  <c r="S445" i="4"/>
  <c r="O445" i="4"/>
  <c r="N445" i="4"/>
  <c r="M445" i="4"/>
  <c r="R445" i="4"/>
  <c r="Q445" i="4"/>
  <c r="P437" i="4"/>
  <c r="S437" i="4"/>
  <c r="O437" i="4"/>
  <c r="N437" i="4"/>
  <c r="M437" i="4"/>
  <c r="R437" i="4"/>
  <c r="Q437" i="4"/>
  <c r="P429" i="4"/>
  <c r="S429" i="4"/>
  <c r="O429" i="4"/>
  <c r="N429" i="4"/>
  <c r="M429" i="4"/>
  <c r="R429" i="4"/>
  <c r="Q429" i="4"/>
  <c r="P421" i="4"/>
  <c r="S421" i="4"/>
  <c r="O421" i="4"/>
  <c r="N421" i="4"/>
  <c r="M421" i="4"/>
  <c r="R421" i="4"/>
  <c r="Q421" i="4"/>
  <c r="P413" i="4"/>
  <c r="S413" i="4"/>
  <c r="O413" i="4"/>
  <c r="N413" i="4"/>
  <c r="M413" i="4"/>
  <c r="R413" i="4"/>
  <c r="Q413" i="4"/>
  <c r="P405" i="4"/>
  <c r="S405" i="4"/>
  <c r="O405" i="4"/>
  <c r="N405" i="4"/>
  <c r="M405" i="4"/>
  <c r="R405" i="4"/>
  <c r="Q405" i="4"/>
  <c r="P397" i="4"/>
  <c r="S397" i="4"/>
  <c r="O397" i="4"/>
  <c r="N397" i="4"/>
  <c r="M397" i="4"/>
  <c r="R397" i="4"/>
  <c r="Q397" i="4"/>
  <c r="P389" i="4"/>
  <c r="S389" i="4"/>
  <c r="O389" i="4"/>
  <c r="N389" i="4"/>
  <c r="M389" i="4"/>
  <c r="R389" i="4"/>
  <c r="Q389" i="4"/>
  <c r="P381" i="4"/>
  <c r="S381" i="4"/>
  <c r="O381" i="4"/>
  <c r="N381" i="4"/>
  <c r="M381" i="4"/>
  <c r="R381" i="4"/>
  <c r="Q381" i="4"/>
  <c r="P373" i="4"/>
  <c r="S373" i="4"/>
  <c r="O373" i="4"/>
  <c r="N373" i="4"/>
  <c r="M373" i="4"/>
  <c r="R373" i="4"/>
  <c r="Q373" i="4"/>
  <c r="P365" i="4"/>
  <c r="S365" i="4"/>
  <c r="O365" i="4"/>
  <c r="N365" i="4"/>
  <c r="M365" i="4"/>
  <c r="R365" i="4"/>
  <c r="Q365" i="4"/>
  <c r="P357" i="4"/>
  <c r="S357" i="4"/>
  <c r="O357" i="4"/>
  <c r="N357" i="4"/>
  <c r="M357" i="4"/>
  <c r="R357" i="4"/>
  <c r="Q357" i="4"/>
  <c r="P349" i="4"/>
  <c r="S349" i="4"/>
  <c r="O349" i="4"/>
  <c r="N349" i="4"/>
  <c r="M349" i="4"/>
  <c r="R349" i="4"/>
  <c r="Q349" i="4"/>
  <c r="P341" i="4"/>
  <c r="S341" i="4"/>
  <c r="O341" i="4"/>
  <c r="N341" i="4"/>
  <c r="M341" i="4"/>
  <c r="R341" i="4"/>
  <c r="Q341" i="4"/>
  <c r="R448" i="4"/>
  <c r="N448" i="4"/>
  <c r="Q448" i="4"/>
  <c r="M448" i="4"/>
  <c r="S448" i="4"/>
  <c r="P448" i="4"/>
  <c r="O448" i="4"/>
  <c r="R416" i="4"/>
  <c r="N416" i="4"/>
  <c r="Q416" i="4"/>
  <c r="M416" i="4"/>
  <c r="S416" i="4"/>
  <c r="P416" i="4"/>
  <c r="O416" i="4"/>
  <c r="R384" i="4"/>
  <c r="N384" i="4"/>
  <c r="Q384" i="4"/>
  <c r="M384" i="4"/>
  <c r="S384" i="4"/>
  <c r="P384" i="4"/>
  <c r="O384" i="4"/>
  <c r="R352" i="4"/>
  <c r="N352" i="4"/>
  <c r="Q352" i="4"/>
  <c r="M352" i="4"/>
  <c r="S352" i="4"/>
  <c r="P352" i="4"/>
  <c r="O352" i="4"/>
  <c r="P323" i="4"/>
  <c r="S323" i="4"/>
  <c r="O323" i="4"/>
  <c r="R323" i="4"/>
  <c r="N323" i="4"/>
  <c r="Q323" i="4"/>
  <c r="M323" i="4"/>
  <c r="P315" i="4"/>
  <c r="S315" i="4"/>
  <c r="O315" i="4"/>
  <c r="R315" i="4"/>
  <c r="N315" i="4"/>
  <c r="Q315" i="4"/>
  <c r="M315" i="4"/>
  <c r="P307" i="4"/>
  <c r="S307" i="4"/>
  <c r="O307" i="4"/>
  <c r="R307" i="4"/>
  <c r="N307" i="4"/>
  <c r="Q307" i="4"/>
  <c r="M307" i="4"/>
  <c r="P299" i="4"/>
  <c r="S299" i="4"/>
  <c r="O299" i="4"/>
  <c r="R299" i="4"/>
  <c r="N299" i="4"/>
  <c r="Q299" i="4"/>
  <c r="M299" i="4"/>
  <c r="P291" i="4"/>
  <c r="S291" i="4"/>
  <c r="O291" i="4"/>
  <c r="R291" i="4"/>
  <c r="N291" i="4"/>
  <c r="Q291" i="4"/>
  <c r="M291" i="4"/>
  <c r="P283" i="4"/>
  <c r="S283" i="4"/>
  <c r="O283" i="4"/>
  <c r="R283" i="4"/>
  <c r="N283" i="4"/>
  <c r="Q283" i="4"/>
  <c r="M283" i="4"/>
  <c r="P275" i="4"/>
  <c r="S275" i="4"/>
  <c r="O275" i="4"/>
  <c r="R275" i="4"/>
  <c r="N275" i="4"/>
  <c r="Q275" i="4"/>
  <c r="M275" i="4"/>
  <c r="P267" i="4"/>
  <c r="S267" i="4"/>
  <c r="O267" i="4"/>
  <c r="R267" i="4"/>
  <c r="N267" i="4"/>
  <c r="Q267" i="4"/>
  <c r="M267" i="4"/>
  <c r="P259" i="4"/>
  <c r="S259" i="4"/>
  <c r="O259" i="4"/>
  <c r="R259" i="4"/>
  <c r="N259" i="4"/>
  <c r="Q259" i="4"/>
  <c r="M259" i="4"/>
  <c r="P251" i="4"/>
  <c r="S251" i="4"/>
  <c r="O251" i="4"/>
  <c r="R251" i="4"/>
  <c r="N251" i="4"/>
  <c r="Q251" i="4"/>
  <c r="M251" i="4"/>
  <c r="P243" i="4"/>
  <c r="S243" i="4"/>
  <c r="O243" i="4"/>
  <c r="R243" i="4"/>
  <c r="N243" i="4"/>
  <c r="M243" i="4"/>
  <c r="Q243" i="4"/>
  <c r="P235" i="4"/>
  <c r="S235" i="4"/>
  <c r="O235" i="4"/>
  <c r="R235" i="4"/>
  <c r="N235" i="4"/>
  <c r="M235" i="4"/>
  <c r="Q235" i="4"/>
  <c r="P227" i="4"/>
  <c r="S227" i="4"/>
  <c r="O227" i="4"/>
  <c r="R227" i="4"/>
  <c r="N227" i="4"/>
  <c r="M227" i="4"/>
  <c r="Q227" i="4"/>
  <c r="P219" i="4"/>
  <c r="S219" i="4"/>
  <c r="O219" i="4"/>
  <c r="R219" i="4"/>
  <c r="Q219" i="4"/>
  <c r="N219" i="4"/>
  <c r="M219" i="4"/>
  <c r="P211" i="4"/>
  <c r="S211" i="4"/>
  <c r="O211" i="4"/>
  <c r="R211" i="4"/>
  <c r="Q211" i="4"/>
  <c r="N211" i="4"/>
  <c r="M211" i="4"/>
  <c r="P203" i="4"/>
  <c r="S203" i="4"/>
  <c r="O203" i="4"/>
  <c r="R203" i="4"/>
  <c r="Q203" i="4"/>
  <c r="N203" i="4"/>
  <c r="M203" i="4"/>
  <c r="P195" i="4"/>
  <c r="S195" i="4"/>
  <c r="O195" i="4"/>
  <c r="R195" i="4"/>
  <c r="Q195" i="4"/>
  <c r="N195" i="4"/>
  <c r="M195" i="4"/>
  <c r="P187" i="4"/>
  <c r="S187" i="4"/>
  <c r="O187" i="4"/>
  <c r="R187" i="4"/>
  <c r="Q187" i="4"/>
  <c r="N187" i="4"/>
  <c r="M187" i="4"/>
  <c r="P179" i="4"/>
  <c r="S179" i="4"/>
  <c r="O179" i="4"/>
  <c r="R179" i="4"/>
  <c r="Q179" i="4"/>
  <c r="N179" i="4"/>
  <c r="M179" i="4"/>
  <c r="P171" i="4"/>
  <c r="S171" i="4"/>
  <c r="O171" i="4"/>
  <c r="R171" i="4"/>
  <c r="Q171" i="4"/>
  <c r="N171" i="4"/>
  <c r="M171" i="4"/>
  <c r="P163" i="4"/>
  <c r="S163" i="4"/>
  <c r="O163" i="4"/>
  <c r="R163" i="4"/>
  <c r="Q163" i="4"/>
  <c r="N163" i="4"/>
  <c r="M163" i="4"/>
  <c r="P155" i="4"/>
  <c r="S155" i="4"/>
  <c r="O155" i="4"/>
  <c r="R155" i="4"/>
  <c r="Q155" i="4"/>
  <c r="N155" i="4"/>
  <c r="M155" i="4"/>
  <c r="P147" i="4"/>
  <c r="S147" i="4"/>
  <c r="O147" i="4"/>
  <c r="R147" i="4"/>
  <c r="Q147" i="4"/>
  <c r="N147" i="4"/>
  <c r="M147" i="4"/>
  <c r="P139" i="4"/>
  <c r="S139" i="4"/>
  <c r="O139" i="4"/>
  <c r="R139" i="4"/>
  <c r="Q139" i="4"/>
  <c r="N139" i="4"/>
  <c r="M139" i="4"/>
  <c r="P131" i="4"/>
  <c r="S131" i="4"/>
  <c r="O131" i="4"/>
  <c r="R131" i="4"/>
  <c r="Q131" i="4"/>
  <c r="N131" i="4"/>
  <c r="M131" i="4"/>
  <c r="P123" i="4"/>
  <c r="S123" i="4"/>
  <c r="O123" i="4"/>
  <c r="R123" i="4"/>
  <c r="Q123" i="4"/>
  <c r="N123" i="4"/>
  <c r="M123" i="4"/>
  <c r="P115" i="4"/>
  <c r="S115" i="4"/>
  <c r="O115" i="4"/>
  <c r="R115" i="4"/>
  <c r="Q115" i="4"/>
  <c r="N115" i="4"/>
  <c r="M115" i="4"/>
  <c r="S107" i="4"/>
  <c r="O107" i="4"/>
  <c r="N107" i="4"/>
  <c r="R107" i="4"/>
  <c r="M107" i="4"/>
  <c r="Q107" i="4"/>
  <c r="P107" i="4"/>
  <c r="S99" i="4"/>
  <c r="O99" i="4"/>
  <c r="N99" i="4"/>
  <c r="R99" i="4"/>
  <c r="M99" i="4"/>
  <c r="Q99" i="4"/>
  <c r="P99" i="4"/>
  <c r="R434" i="4"/>
  <c r="N434" i="4"/>
  <c r="Q434" i="4"/>
  <c r="M434" i="4"/>
  <c r="O434" i="4"/>
  <c r="S434" i="4"/>
  <c r="P434" i="4"/>
  <c r="R402" i="4"/>
  <c r="N402" i="4"/>
  <c r="Q402" i="4"/>
  <c r="M402" i="4"/>
  <c r="O402" i="4"/>
  <c r="S402" i="4"/>
  <c r="P402" i="4"/>
  <c r="R370" i="4"/>
  <c r="N370" i="4"/>
  <c r="Q370" i="4"/>
  <c r="M370" i="4"/>
  <c r="O370" i="4"/>
  <c r="S370" i="4"/>
  <c r="P370" i="4"/>
  <c r="R338" i="4"/>
  <c r="N338" i="4"/>
  <c r="Q338" i="4"/>
  <c r="M338" i="4"/>
  <c r="O338" i="4"/>
  <c r="S338" i="4"/>
  <c r="P338" i="4"/>
  <c r="R318" i="4"/>
  <c r="N318" i="4"/>
  <c r="Q318" i="4"/>
  <c r="M318" i="4"/>
  <c r="P318" i="4"/>
  <c r="S318" i="4"/>
  <c r="O318" i="4"/>
  <c r="R310" i="4"/>
  <c r="N310" i="4"/>
  <c r="Q310" i="4"/>
  <c r="M310" i="4"/>
  <c r="P310" i="4"/>
  <c r="S310" i="4"/>
  <c r="O310" i="4"/>
  <c r="R302" i="4"/>
  <c r="N302" i="4"/>
  <c r="Q302" i="4"/>
  <c r="M302" i="4"/>
  <c r="P302" i="4"/>
  <c r="S302" i="4"/>
  <c r="O302" i="4"/>
  <c r="R294" i="4"/>
  <c r="N294" i="4"/>
  <c r="Q294" i="4"/>
  <c r="M294" i="4"/>
  <c r="P294" i="4"/>
  <c r="S294" i="4"/>
  <c r="O294" i="4"/>
  <c r="R286" i="4"/>
  <c r="N286" i="4"/>
  <c r="Q286" i="4"/>
  <c r="M286" i="4"/>
  <c r="P286" i="4"/>
  <c r="S286" i="4"/>
  <c r="O286" i="4"/>
  <c r="R278" i="4"/>
  <c r="N278" i="4"/>
  <c r="Q278" i="4"/>
  <c r="M278" i="4"/>
  <c r="P278" i="4"/>
  <c r="S278" i="4"/>
  <c r="O278" i="4"/>
  <c r="R270" i="4"/>
  <c r="N270" i="4"/>
  <c r="Q270" i="4"/>
  <c r="M270" i="4"/>
  <c r="P270" i="4"/>
  <c r="S270" i="4"/>
  <c r="O270" i="4"/>
  <c r="R262" i="4"/>
  <c r="N262" i="4"/>
  <c r="Q262" i="4"/>
  <c r="M262" i="4"/>
  <c r="P262" i="4"/>
  <c r="S262" i="4"/>
  <c r="O262" i="4"/>
  <c r="R254" i="4"/>
  <c r="N254" i="4"/>
  <c r="Q254" i="4"/>
  <c r="M254" i="4"/>
  <c r="P254" i="4"/>
  <c r="S254" i="4"/>
  <c r="O254" i="4"/>
  <c r="R234" i="4"/>
  <c r="N234" i="4"/>
  <c r="Q234" i="4"/>
  <c r="M234" i="4"/>
  <c r="P234" i="4"/>
  <c r="S234" i="4"/>
  <c r="O234" i="4"/>
  <c r="R110" i="4"/>
  <c r="N110" i="4"/>
  <c r="Q110" i="4"/>
  <c r="M110" i="4"/>
  <c r="P110" i="4"/>
  <c r="O110" i="4"/>
  <c r="S110" i="4"/>
  <c r="P971" i="4"/>
  <c r="O971" i="4"/>
  <c r="S971" i="4"/>
  <c r="N971" i="4"/>
  <c r="Q971" i="4"/>
  <c r="M971" i="4"/>
  <c r="R971" i="4"/>
  <c r="P934" i="4"/>
  <c r="S934" i="4"/>
  <c r="N934" i="4"/>
  <c r="R934" i="4"/>
  <c r="M934" i="4"/>
  <c r="Q934" i="4"/>
  <c r="O934" i="4"/>
  <c r="P955" i="4"/>
  <c r="O955" i="4"/>
  <c r="Q955" i="4"/>
  <c r="N955" i="4"/>
  <c r="M955" i="4"/>
  <c r="R955" i="4"/>
  <c r="S955" i="4"/>
  <c r="P916" i="4"/>
  <c r="R916" i="4"/>
  <c r="M916" i="4"/>
  <c r="Q916" i="4"/>
  <c r="S916" i="4"/>
  <c r="O916" i="4"/>
  <c r="N916" i="4"/>
  <c r="P896" i="4"/>
  <c r="Q896" i="4"/>
  <c r="R896" i="4"/>
  <c r="O896" i="4"/>
  <c r="M896" i="4"/>
  <c r="S896" i="4"/>
  <c r="N896" i="4"/>
  <c r="Q982" i="4"/>
  <c r="M982" i="4"/>
  <c r="O982" i="4"/>
  <c r="N982" i="4"/>
  <c r="S982" i="4"/>
  <c r="P982" i="4"/>
  <c r="R982" i="4"/>
  <c r="R921" i="4"/>
  <c r="N921" i="4"/>
  <c r="O921" i="4"/>
  <c r="S921" i="4"/>
  <c r="P921" i="4"/>
  <c r="M921" i="4"/>
  <c r="Q921" i="4"/>
  <c r="P902" i="4"/>
  <c r="Q902" i="4"/>
  <c r="S902" i="4"/>
  <c r="M902" i="4"/>
  <c r="R902" i="4"/>
  <c r="O902" i="4"/>
  <c r="N902" i="4"/>
  <c r="P908" i="4"/>
  <c r="Q908" i="4"/>
  <c r="N908" i="4"/>
  <c r="S908" i="4"/>
  <c r="M908" i="4"/>
  <c r="R908" i="4"/>
  <c r="O908" i="4"/>
  <c r="P882" i="4"/>
  <c r="Q882" i="4"/>
  <c r="O882" i="4"/>
  <c r="N882" i="4"/>
  <c r="M882" i="4"/>
  <c r="S882" i="4"/>
  <c r="R882" i="4"/>
  <c r="Q794" i="4"/>
  <c r="M794" i="4"/>
  <c r="O794" i="4"/>
  <c r="S794" i="4"/>
  <c r="R794" i="4"/>
  <c r="N794" i="4"/>
  <c r="P794" i="4"/>
  <c r="P770" i="4"/>
  <c r="O770" i="4"/>
  <c r="S770" i="4"/>
  <c r="N770" i="4"/>
  <c r="R770" i="4"/>
  <c r="Q770" i="4"/>
  <c r="M770" i="4"/>
  <c r="P762" i="4"/>
  <c r="O762" i="4"/>
  <c r="S762" i="4"/>
  <c r="N762" i="4"/>
  <c r="R762" i="4"/>
  <c r="Q762" i="4"/>
  <c r="M762" i="4"/>
  <c r="P754" i="4"/>
  <c r="O754" i="4"/>
  <c r="S754" i="4"/>
  <c r="N754" i="4"/>
  <c r="R754" i="4"/>
  <c r="Q754" i="4"/>
  <c r="M754" i="4"/>
  <c r="P746" i="4"/>
  <c r="O746" i="4"/>
  <c r="S746" i="4"/>
  <c r="N746" i="4"/>
  <c r="R746" i="4"/>
  <c r="Q746" i="4"/>
  <c r="M746" i="4"/>
  <c r="P738" i="4"/>
  <c r="O738" i="4"/>
  <c r="S738" i="4"/>
  <c r="N738" i="4"/>
  <c r="R738" i="4"/>
  <c r="Q738" i="4"/>
  <c r="M738" i="4"/>
  <c r="P730" i="4"/>
  <c r="O730" i="4"/>
  <c r="S730" i="4"/>
  <c r="N730" i="4"/>
  <c r="R730" i="4"/>
  <c r="Q730" i="4"/>
  <c r="M730" i="4"/>
  <c r="P722" i="4"/>
  <c r="O722" i="4"/>
  <c r="S722" i="4"/>
  <c r="N722" i="4"/>
  <c r="R722" i="4"/>
  <c r="Q722" i="4"/>
  <c r="M722" i="4"/>
  <c r="P714" i="4"/>
  <c r="O714" i="4"/>
  <c r="S714" i="4"/>
  <c r="N714" i="4"/>
  <c r="R714" i="4"/>
  <c r="Q714" i="4"/>
  <c r="M714" i="4"/>
  <c r="P706" i="4"/>
  <c r="O706" i="4"/>
  <c r="S706" i="4"/>
  <c r="N706" i="4"/>
  <c r="Q706" i="4"/>
  <c r="M706" i="4"/>
  <c r="R706" i="4"/>
  <c r="P698" i="4"/>
  <c r="O698" i="4"/>
  <c r="S698" i="4"/>
  <c r="N698" i="4"/>
  <c r="Q698" i="4"/>
  <c r="M698" i="4"/>
  <c r="R698" i="4"/>
  <c r="P690" i="4"/>
  <c r="O690" i="4"/>
  <c r="S690" i="4"/>
  <c r="N690" i="4"/>
  <c r="Q690" i="4"/>
  <c r="M690" i="4"/>
  <c r="R690" i="4"/>
  <c r="P682" i="4"/>
  <c r="O682" i="4"/>
  <c r="S682" i="4"/>
  <c r="N682" i="4"/>
  <c r="Q682" i="4"/>
  <c r="M682" i="4"/>
  <c r="R682" i="4"/>
  <c r="P674" i="4"/>
  <c r="O674" i="4"/>
  <c r="S674" i="4"/>
  <c r="N674" i="4"/>
  <c r="Q674" i="4"/>
  <c r="M674" i="4"/>
  <c r="R674" i="4"/>
  <c r="P666" i="4"/>
  <c r="S666" i="4"/>
  <c r="O666" i="4"/>
  <c r="Q666" i="4"/>
  <c r="N666" i="4"/>
  <c r="M666" i="4"/>
  <c r="R666" i="4"/>
  <c r="P658" i="4"/>
  <c r="S658" i="4"/>
  <c r="O658" i="4"/>
  <c r="Q658" i="4"/>
  <c r="N658" i="4"/>
  <c r="M658" i="4"/>
  <c r="R658" i="4"/>
  <c r="P650" i="4"/>
  <c r="S650" i="4"/>
  <c r="O650" i="4"/>
  <c r="Q650" i="4"/>
  <c r="N650" i="4"/>
  <c r="M650" i="4"/>
  <c r="R650" i="4"/>
  <c r="P642" i="4"/>
  <c r="S642" i="4"/>
  <c r="O642" i="4"/>
  <c r="Q642" i="4"/>
  <c r="M642" i="4"/>
  <c r="R642" i="4"/>
  <c r="N642" i="4"/>
  <c r="P634" i="4"/>
  <c r="S634" i="4"/>
  <c r="N634" i="4"/>
  <c r="Q634" i="4"/>
  <c r="R634" i="4"/>
  <c r="O634" i="4"/>
  <c r="M634" i="4"/>
  <c r="R659" i="4"/>
  <c r="N659" i="4"/>
  <c r="Q659" i="4"/>
  <c r="M659" i="4"/>
  <c r="S659" i="4"/>
  <c r="P659" i="4"/>
  <c r="O659" i="4"/>
  <c r="R629" i="4"/>
  <c r="P629" i="4"/>
  <c r="S629" i="4"/>
  <c r="N629" i="4"/>
  <c r="O629" i="4"/>
  <c r="M629" i="4"/>
  <c r="Q629" i="4"/>
  <c r="S482" i="4"/>
  <c r="O482" i="4"/>
  <c r="Q482" i="4"/>
  <c r="M482" i="4"/>
  <c r="N482" i="4"/>
  <c r="R482" i="4"/>
  <c r="P482" i="4"/>
  <c r="S474" i="4"/>
  <c r="O474" i="4"/>
  <c r="Q474" i="4"/>
  <c r="M474" i="4"/>
  <c r="N474" i="4"/>
  <c r="R474" i="4"/>
  <c r="P474" i="4"/>
  <c r="P459" i="4"/>
  <c r="S459" i="4"/>
  <c r="O459" i="4"/>
  <c r="M459" i="4"/>
  <c r="R459" i="4"/>
  <c r="Q459" i="4"/>
  <c r="N459" i="4"/>
  <c r="P451" i="4"/>
  <c r="S451" i="4"/>
  <c r="O451" i="4"/>
  <c r="M451" i="4"/>
  <c r="R451" i="4"/>
  <c r="Q451" i="4"/>
  <c r="N451" i="4"/>
  <c r="P443" i="4"/>
  <c r="S443" i="4"/>
  <c r="O443" i="4"/>
  <c r="M443" i="4"/>
  <c r="R443" i="4"/>
  <c r="Q443" i="4"/>
  <c r="N443" i="4"/>
  <c r="P435" i="4"/>
  <c r="S435" i="4"/>
  <c r="O435" i="4"/>
  <c r="M435" i="4"/>
  <c r="R435" i="4"/>
  <c r="Q435" i="4"/>
  <c r="N435" i="4"/>
  <c r="P427" i="4"/>
  <c r="S427" i="4"/>
  <c r="O427" i="4"/>
  <c r="M427" i="4"/>
  <c r="R427" i="4"/>
  <c r="Q427" i="4"/>
  <c r="N427" i="4"/>
  <c r="P419" i="4"/>
  <c r="S419" i="4"/>
  <c r="O419" i="4"/>
  <c r="M419" i="4"/>
  <c r="R419" i="4"/>
  <c r="Q419" i="4"/>
  <c r="N419" i="4"/>
  <c r="P411" i="4"/>
  <c r="S411" i="4"/>
  <c r="O411" i="4"/>
  <c r="M411" i="4"/>
  <c r="R411" i="4"/>
  <c r="Q411" i="4"/>
  <c r="N411" i="4"/>
  <c r="P403" i="4"/>
  <c r="S403" i="4"/>
  <c r="O403" i="4"/>
  <c r="M403" i="4"/>
  <c r="R403" i="4"/>
  <c r="Q403" i="4"/>
  <c r="N403" i="4"/>
  <c r="P395" i="4"/>
  <c r="S395" i="4"/>
  <c r="O395" i="4"/>
  <c r="M395" i="4"/>
  <c r="R395" i="4"/>
  <c r="Q395" i="4"/>
  <c r="N395" i="4"/>
  <c r="P387" i="4"/>
  <c r="S387" i="4"/>
  <c r="O387" i="4"/>
  <c r="M387" i="4"/>
  <c r="R387" i="4"/>
  <c r="Q387" i="4"/>
  <c r="N387" i="4"/>
  <c r="P379" i="4"/>
  <c r="S379" i="4"/>
  <c r="O379" i="4"/>
  <c r="M379" i="4"/>
  <c r="R379" i="4"/>
  <c r="Q379" i="4"/>
  <c r="N379" i="4"/>
  <c r="P371" i="4"/>
  <c r="S371" i="4"/>
  <c r="O371" i="4"/>
  <c r="M371" i="4"/>
  <c r="R371" i="4"/>
  <c r="Q371" i="4"/>
  <c r="N371" i="4"/>
  <c r="P363" i="4"/>
  <c r="S363" i="4"/>
  <c r="O363" i="4"/>
  <c r="M363" i="4"/>
  <c r="R363" i="4"/>
  <c r="Q363" i="4"/>
  <c r="N363" i="4"/>
  <c r="P355" i="4"/>
  <c r="S355" i="4"/>
  <c r="O355" i="4"/>
  <c r="M355" i="4"/>
  <c r="R355" i="4"/>
  <c r="Q355" i="4"/>
  <c r="N355" i="4"/>
  <c r="P347" i="4"/>
  <c r="S347" i="4"/>
  <c r="O347" i="4"/>
  <c r="M347" i="4"/>
  <c r="R347" i="4"/>
  <c r="Q347" i="4"/>
  <c r="N347" i="4"/>
  <c r="P339" i="4"/>
  <c r="S339" i="4"/>
  <c r="O339" i="4"/>
  <c r="M339" i="4"/>
  <c r="R339" i="4"/>
  <c r="Q339" i="4"/>
  <c r="N339" i="4"/>
  <c r="R440" i="4"/>
  <c r="N440" i="4"/>
  <c r="Q440" i="4"/>
  <c r="M440" i="4"/>
  <c r="S440" i="4"/>
  <c r="P440" i="4"/>
  <c r="O440" i="4"/>
  <c r="R408" i="4"/>
  <c r="N408" i="4"/>
  <c r="Q408" i="4"/>
  <c r="M408" i="4"/>
  <c r="S408" i="4"/>
  <c r="P408" i="4"/>
  <c r="O408" i="4"/>
  <c r="R376" i="4"/>
  <c r="N376" i="4"/>
  <c r="Q376" i="4"/>
  <c r="M376" i="4"/>
  <c r="S376" i="4"/>
  <c r="P376" i="4"/>
  <c r="O376" i="4"/>
  <c r="R344" i="4"/>
  <c r="N344" i="4"/>
  <c r="Q344" i="4"/>
  <c r="M344" i="4"/>
  <c r="S344" i="4"/>
  <c r="P344" i="4"/>
  <c r="O344" i="4"/>
  <c r="P321" i="4"/>
  <c r="S321" i="4"/>
  <c r="O321" i="4"/>
  <c r="R321" i="4"/>
  <c r="N321" i="4"/>
  <c r="Q321" i="4"/>
  <c r="M321" i="4"/>
  <c r="P313" i="4"/>
  <c r="S313" i="4"/>
  <c r="O313" i="4"/>
  <c r="R313" i="4"/>
  <c r="N313" i="4"/>
  <c r="Q313" i="4"/>
  <c r="M313" i="4"/>
  <c r="P305" i="4"/>
  <c r="S305" i="4"/>
  <c r="O305" i="4"/>
  <c r="R305" i="4"/>
  <c r="N305" i="4"/>
  <c r="Q305" i="4"/>
  <c r="M305" i="4"/>
  <c r="P297" i="4"/>
  <c r="S297" i="4"/>
  <c r="O297" i="4"/>
  <c r="R297" i="4"/>
  <c r="N297" i="4"/>
  <c r="Q297" i="4"/>
  <c r="M297" i="4"/>
  <c r="P289" i="4"/>
  <c r="S289" i="4"/>
  <c r="O289" i="4"/>
  <c r="R289" i="4"/>
  <c r="N289" i="4"/>
  <c r="Q289" i="4"/>
  <c r="M289" i="4"/>
  <c r="P281" i="4"/>
  <c r="S281" i="4"/>
  <c r="O281" i="4"/>
  <c r="R281" i="4"/>
  <c r="N281" i="4"/>
  <c r="Q281" i="4"/>
  <c r="M281" i="4"/>
  <c r="P273" i="4"/>
  <c r="S273" i="4"/>
  <c r="O273" i="4"/>
  <c r="R273" i="4"/>
  <c r="N273" i="4"/>
  <c r="Q273" i="4"/>
  <c r="M273" i="4"/>
  <c r="P265" i="4"/>
  <c r="S265" i="4"/>
  <c r="O265" i="4"/>
  <c r="R265" i="4"/>
  <c r="N265" i="4"/>
  <c r="Q265" i="4"/>
  <c r="M265" i="4"/>
  <c r="P257" i="4"/>
  <c r="S257" i="4"/>
  <c r="O257" i="4"/>
  <c r="R257" i="4"/>
  <c r="N257" i="4"/>
  <c r="Q257" i="4"/>
  <c r="M257" i="4"/>
  <c r="P249" i="4"/>
  <c r="S249" i="4"/>
  <c r="O249" i="4"/>
  <c r="R249" i="4"/>
  <c r="N249" i="4"/>
  <c r="Q249" i="4"/>
  <c r="M249" i="4"/>
  <c r="P241" i="4"/>
  <c r="S241" i="4"/>
  <c r="O241" i="4"/>
  <c r="R241" i="4"/>
  <c r="N241" i="4"/>
  <c r="Q241" i="4"/>
  <c r="M241" i="4"/>
  <c r="P233" i="4"/>
  <c r="S233" i="4"/>
  <c r="O233" i="4"/>
  <c r="R233" i="4"/>
  <c r="N233" i="4"/>
  <c r="Q233" i="4"/>
  <c r="M233" i="4"/>
  <c r="P225" i="4"/>
  <c r="S225" i="4"/>
  <c r="O225" i="4"/>
  <c r="R225" i="4"/>
  <c r="N225" i="4"/>
  <c r="Q225" i="4"/>
  <c r="M225" i="4"/>
  <c r="P217" i="4"/>
  <c r="S217" i="4"/>
  <c r="O217" i="4"/>
  <c r="Q217" i="4"/>
  <c r="N217" i="4"/>
  <c r="M217" i="4"/>
  <c r="R217" i="4"/>
  <c r="P209" i="4"/>
  <c r="S209" i="4"/>
  <c r="O209" i="4"/>
  <c r="Q209" i="4"/>
  <c r="N209" i="4"/>
  <c r="M209" i="4"/>
  <c r="R209" i="4"/>
  <c r="P201" i="4"/>
  <c r="S201" i="4"/>
  <c r="O201" i="4"/>
  <c r="Q201" i="4"/>
  <c r="N201" i="4"/>
  <c r="M201" i="4"/>
  <c r="R201" i="4"/>
  <c r="P193" i="4"/>
  <c r="S193" i="4"/>
  <c r="O193" i="4"/>
  <c r="Q193" i="4"/>
  <c r="N193" i="4"/>
  <c r="M193" i="4"/>
  <c r="R193" i="4"/>
  <c r="P185" i="4"/>
  <c r="S185" i="4"/>
  <c r="O185" i="4"/>
  <c r="Q185" i="4"/>
  <c r="N185" i="4"/>
  <c r="M185" i="4"/>
  <c r="R185" i="4"/>
  <c r="P177" i="4"/>
  <c r="S177" i="4"/>
  <c r="O177" i="4"/>
  <c r="Q177" i="4"/>
  <c r="N177" i="4"/>
  <c r="M177" i="4"/>
  <c r="R177" i="4"/>
  <c r="P169" i="4"/>
  <c r="S169" i="4"/>
  <c r="O169" i="4"/>
  <c r="Q169" i="4"/>
  <c r="N169" i="4"/>
  <c r="M169" i="4"/>
  <c r="R169" i="4"/>
  <c r="P161" i="4"/>
  <c r="S161" i="4"/>
  <c r="O161" i="4"/>
  <c r="Q161" i="4"/>
  <c r="N161" i="4"/>
  <c r="M161" i="4"/>
  <c r="R161" i="4"/>
  <c r="P153" i="4"/>
  <c r="S153" i="4"/>
  <c r="O153" i="4"/>
  <c r="Q153" i="4"/>
  <c r="N153" i="4"/>
  <c r="M153" i="4"/>
  <c r="R153" i="4"/>
  <c r="P145" i="4"/>
  <c r="S145" i="4"/>
  <c r="O145" i="4"/>
  <c r="Q145" i="4"/>
  <c r="N145" i="4"/>
  <c r="M145" i="4"/>
  <c r="R145" i="4"/>
  <c r="P137" i="4"/>
  <c r="S137" i="4"/>
  <c r="O137" i="4"/>
  <c r="Q137" i="4"/>
  <c r="N137" i="4"/>
  <c r="M137" i="4"/>
  <c r="R137" i="4"/>
  <c r="P129" i="4"/>
  <c r="S129" i="4"/>
  <c r="O129" i="4"/>
  <c r="Q129" i="4"/>
  <c r="N129" i="4"/>
  <c r="M129" i="4"/>
  <c r="R129" i="4"/>
  <c r="P121" i="4"/>
  <c r="S121" i="4"/>
  <c r="O121" i="4"/>
  <c r="Q121" i="4"/>
  <c r="N121" i="4"/>
  <c r="M121" i="4"/>
  <c r="R121" i="4"/>
  <c r="P113" i="4"/>
  <c r="S113" i="4"/>
  <c r="O113" i="4"/>
  <c r="Q113" i="4"/>
  <c r="N113" i="4"/>
  <c r="M113" i="4"/>
  <c r="R113" i="4"/>
  <c r="R458" i="4"/>
  <c r="N458" i="4"/>
  <c r="Q458" i="4"/>
  <c r="M458" i="4"/>
  <c r="O458" i="4"/>
  <c r="S458" i="4"/>
  <c r="P458" i="4"/>
  <c r="R426" i="4"/>
  <c r="N426" i="4"/>
  <c r="Q426" i="4"/>
  <c r="M426" i="4"/>
  <c r="O426" i="4"/>
  <c r="S426" i="4"/>
  <c r="P426" i="4"/>
  <c r="R394" i="4"/>
  <c r="N394" i="4"/>
  <c r="Q394" i="4"/>
  <c r="M394" i="4"/>
  <c r="O394" i="4"/>
  <c r="S394" i="4"/>
  <c r="P394" i="4"/>
  <c r="R362" i="4"/>
  <c r="N362" i="4"/>
  <c r="Q362" i="4"/>
  <c r="M362" i="4"/>
  <c r="O362" i="4"/>
  <c r="S362" i="4"/>
  <c r="P362" i="4"/>
  <c r="R324" i="4"/>
  <c r="N324" i="4"/>
  <c r="Q324" i="4"/>
  <c r="M324" i="4"/>
  <c r="P324" i="4"/>
  <c r="S324" i="4"/>
  <c r="O324" i="4"/>
  <c r="R316" i="4"/>
  <c r="N316" i="4"/>
  <c r="Q316" i="4"/>
  <c r="M316" i="4"/>
  <c r="P316" i="4"/>
  <c r="S316" i="4"/>
  <c r="O316" i="4"/>
  <c r="R308" i="4"/>
  <c r="N308" i="4"/>
  <c r="Q308" i="4"/>
  <c r="M308" i="4"/>
  <c r="P308" i="4"/>
  <c r="S308" i="4"/>
  <c r="O308" i="4"/>
  <c r="R300" i="4"/>
  <c r="N300" i="4"/>
  <c r="Q300" i="4"/>
  <c r="M300" i="4"/>
  <c r="P300" i="4"/>
  <c r="S300" i="4"/>
  <c r="O300" i="4"/>
  <c r="R292" i="4"/>
  <c r="N292" i="4"/>
  <c r="Q292" i="4"/>
  <c r="M292" i="4"/>
  <c r="P292" i="4"/>
  <c r="S292" i="4"/>
  <c r="O292" i="4"/>
  <c r="R284" i="4"/>
  <c r="N284" i="4"/>
  <c r="Q284" i="4"/>
  <c r="M284" i="4"/>
  <c r="P284" i="4"/>
  <c r="S284" i="4"/>
  <c r="O284" i="4"/>
  <c r="R276" i="4"/>
  <c r="N276" i="4"/>
  <c r="Q276" i="4"/>
  <c r="M276" i="4"/>
  <c r="P276" i="4"/>
  <c r="S276" i="4"/>
  <c r="O276" i="4"/>
  <c r="R268" i="4"/>
  <c r="N268" i="4"/>
  <c r="Q268" i="4"/>
  <c r="M268" i="4"/>
  <c r="P268" i="4"/>
  <c r="S268" i="4"/>
  <c r="O268" i="4"/>
  <c r="R260" i="4"/>
  <c r="N260" i="4"/>
  <c r="Q260" i="4"/>
  <c r="M260" i="4"/>
  <c r="P260" i="4"/>
  <c r="S260" i="4"/>
  <c r="O260" i="4"/>
  <c r="R252" i="4"/>
  <c r="N252" i="4"/>
  <c r="Q252" i="4"/>
  <c r="M252" i="4"/>
  <c r="P252" i="4"/>
  <c r="S252" i="4"/>
  <c r="O252" i="4"/>
  <c r="R226" i="4"/>
  <c r="N226" i="4"/>
  <c r="Q226" i="4"/>
  <c r="M226" i="4"/>
  <c r="P226" i="4"/>
  <c r="S226" i="4"/>
  <c r="O226" i="4"/>
  <c r="R244" i="4"/>
  <c r="N244" i="4"/>
  <c r="Q244" i="4"/>
  <c r="M244" i="4"/>
  <c r="P244" i="4"/>
  <c r="S244" i="4"/>
  <c r="O244" i="4"/>
  <c r="R210" i="4"/>
  <c r="N210" i="4"/>
  <c r="Q210" i="4"/>
  <c r="M210" i="4"/>
  <c r="S210" i="4"/>
  <c r="P210" i="4"/>
  <c r="O210" i="4"/>
  <c r="R178" i="4"/>
  <c r="N178" i="4"/>
  <c r="Q178" i="4"/>
  <c r="M178" i="4"/>
  <c r="S178" i="4"/>
  <c r="P178" i="4"/>
  <c r="O178" i="4"/>
  <c r="R146" i="4"/>
  <c r="N146" i="4"/>
  <c r="Q146" i="4"/>
  <c r="M146" i="4"/>
  <c r="S146" i="4"/>
  <c r="P146" i="4"/>
  <c r="O146" i="4"/>
  <c r="R114" i="4"/>
  <c r="N114" i="4"/>
  <c r="Q114" i="4"/>
  <c r="M114" i="4"/>
  <c r="S114" i="4"/>
  <c r="P114" i="4"/>
  <c r="O114" i="4"/>
  <c r="P21" i="4"/>
  <c r="O21" i="4"/>
  <c r="R21" i="4"/>
  <c r="N21" i="4"/>
  <c r="Q21" i="4"/>
  <c r="M21" i="4"/>
  <c r="P7" i="4"/>
  <c r="O7" i="4"/>
  <c r="R7" i="4"/>
  <c r="N7" i="4"/>
  <c r="Q7" i="4"/>
  <c r="M7" i="4"/>
  <c r="R238" i="4"/>
  <c r="N238" i="4"/>
  <c r="Q238" i="4"/>
  <c r="M238" i="4"/>
  <c r="P238" i="4"/>
  <c r="S238" i="4"/>
  <c r="O238" i="4"/>
  <c r="R212" i="4"/>
  <c r="N212" i="4"/>
  <c r="Q212" i="4"/>
  <c r="M212" i="4"/>
  <c r="O212" i="4"/>
  <c r="S212" i="4"/>
  <c r="P212" i="4"/>
  <c r="R180" i="4"/>
  <c r="N180" i="4"/>
  <c r="Q180" i="4"/>
  <c r="M180" i="4"/>
  <c r="O180" i="4"/>
  <c r="S180" i="4"/>
  <c r="P180" i="4"/>
  <c r="R148" i="4"/>
  <c r="N148" i="4"/>
  <c r="Q148" i="4"/>
  <c r="M148" i="4"/>
  <c r="O148" i="4"/>
  <c r="S148" i="4"/>
  <c r="P148" i="4"/>
  <c r="R116" i="4"/>
  <c r="N116" i="4"/>
  <c r="Q116" i="4"/>
  <c r="M116" i="4"/>
  <c r="O116" i="4"/>
  <c r="S116" i="4"/>
  <c r="P116" i="4"/>
  <c r="R224" i="4"/>
  <c r="N224" i="4"/>
  <c r="Q224" i="4"/>
  <c r="M224" i="4"/>
  <c r="P224" i="4"/>
  <c r="O224" i="4"/>
  <c r="S224" i="4"/>
  <c r="R31" i="4"/>
  <c r="N31" i="4"/>
  <c r="Q31" i="4"/>
  <c r="M31" i="4"/>
  <c r="P31" i="4"/>
  <c r="O31" i="4"/>
  <c r="R15" i="4"/>
  <c r="N15" i="4"/>
  <c r="Q15" i="4"/>
  <c r="M15" i="4"/>
  <c r="P15" i="4"/>
  <c r="O15" i="4"/>
  <c r="R4" i="4"/>
  <c r="N4" i="4"/>
  <c r="Q4" i="4"/>
  <c r="M4" i="4"/>
  <c r="P4" i="4"/>
  <c r="O4" i="4"/>
  <c r="P5" i="4"/>
  <c r="O5" i="4"/>
  <c r="R5" i="4"/>
  <c r="N5" i="4"/>
  <c r="Q5" i="4"/>
  <c r="M5" i="4"/>
  <c r="R230" i="4"/>
  <c r="N230" i="4"/>
  <c r="Q230" i="4"/>
  <c r="M230" i="4"/>
  <c r="P230" i="4"/>
  <c r="S230" i="4"/>
  <c r="O230" i="4"/>
  <c r="R204" i="4"/>
  <c r="N204" i="4"/>
  <c r="Q204" i="4"/>
  <c r="M204" i="4"/>
  <c r="O204" i="4"/>
  <c r="S204" i="4"/>
  <c r="P204" i="4"/>
  <c r="R172" i="4"/>
  <c r="N172" i="4"/>
  <c r="Q172" i="4"/>
  <c r="M172" i="4"/>
  <c r="O172" i="4"/>
  <c r="S172" i="4"/>
  <c r="P172" i="4"/>
  <c r="R140" i="4"/>
  <c r="N140" i="4"/>
  <c r="Q140" i="4"/>
  <c r="M140" i="4"/>
  <c r="O140" i="4"/>
  <c r="S140" i="4"/>
  <c r="P140" i="4"/>
  <c r="R248" i="4"/>
  <c r="N248" i="4"/>
  <c r="Q248" i="4"/>
  <c r="M248" i="4"/>
  <c r="P248" i="4"/>
  <c r="S248" i="4"/>
  <c r="O248" i="4"/>
  <c r="R11" i="4"/>
  <c r="N11" i="4"/>
  <c r="Q11" i="4"/>
  <c r="M11" i="4"/>
  <c r="P11" i="4"/>
  <c r="O11" i="4"/>
</calcChain>
</file>

<file path=xl/sharedStrings.xml><?xml version="1.0" encoding="utf-8"?>
<sst xmlns="http://schemas.openxmlformats.org/spreadsheetml/2006/main" count="121" uniqueCount="76">
  <si>
    <t>Subject</t>
  </si>
  <si>
    <t>Syllabus</t>
  </si>
  <si>
    <t>&lt;- ALWAYS FILL THIS OUT</t>
  </si>
  <si>
    <t>Grade</t>
  </si>
  <si>
    <t>Student Name</t>
  </si>
  <si>
    <t>Student Surname</t>
  </si>
  <si>
    <t>Marksheet tool v1.2.3</t>
  </si>
  <si>
    <t>EM Requested</t>
  </si>
  <si>
    <t>Date Completed</t>
  </si>
  <si>
    <t>v1.0ss1</t>
  </si>
  <si>
    <t>Question number</t>
  </si>
  <si>
    <t>Section/ Taxonomy Title</t>
  </si>
  <si>
    <t>Marks Scored</t>
  </si>
  <si>
    <t>Marks Available</t>
  </si>
  <si>
    <t>Select Error Type</t>
  </si>
  <si>
    <t>Marks
Lost</t>
  </si>
  <si>
    <t>INSTRUCTIONS</t>
  </si>
  <si>
    <t>1.a.</t>
  </si>
  <si>
    <t>Number Patterns</t>
  </si>
  <si>
    <t>No error</t>
  </si>
  <si>
    <t>1.</t>
  </si>
  <si>
    <t xml:space="preserve">Fill these out at your lesuire </t>
  </si>
  <si>
    <t>90%-100%</t>
  </si>
  <si>
    <t>1.b.</t>
  </si>
  <si>
    <t>Application</t>
  </si>
  <si>
    <t>2.</t>
  </si>
  <si>
    <t>Question Number and Section/ Tax Title are text. So can do "4.3a" in Q number</t>
  </si>
  <si>
    <t>75%-89%</t>
  </si>
  <si>
    <t>Concept</t>
  </si>
  <si>
    <t>3.</t>
  </si>
  <si>
    <t>Marks Scored and Marks available must be numbers, can have decimals</t>
  </si>
  <si>
    <t>60%-74%</t>
  </si>
  <si>
    <t>3.a.</t>
  </si>
  <si>
    <t>Exponents</t>
  </si>
  <si>
    <t>Careless</t>
  </si>
  <si>
    <t>4.</t>
  </si>
  <si>
    <t>Ensure correct spelling of Section/ Tax Title (or you will have duplicates on next page)</t>
  </si>
  <si>
    <t>40%-59%</t>
  </si>
  <si>
    <t>3.b.</t>
  </si>
  <si>
    <t>Misread Direction</t>
  </si>
  <si>
    <t>5.</t>
  </si>
  <si>
    <t>Do not edit Marks Lost column. The calculation is atuomatic</t>
  </si>
  <si>
    <t>25%-39%</t>
  </si>
  <si>
    <t>Algebraic Expressions</t>
  </si>
  <si>
    <t>6.</t>
  </si>
  <si>
    <t>When complete, head over to next tab for analysis</t>
  </si>
  <si>
    <t>1%-24%</t>
  </si>
  <si>
    <t>7.</t>
  </si>
  <si>
    <t>On next page change colours of "Performance in each section" graph. According to --&gt;</t>
  </si>
  <si>
    <t>0%</t>
  </si>
  <si>
    <t>8.</t>
  </si>
  <si>
    <t>Leave the Pie Chart to have different colours for each section</t>
  </si>
  <si>
    <t>&lt;- This sheet works for Sections and Tax. Breakdowns</t>
  </si>
  <si>
    <t>Error Type Sum</t>
  </si>
  <si>
    <t>Error Type Rank</t>
  </si>
  <si>
    <t>Name</t>
  </si>
  <si>
    <t>Flag</t>
  </si>
  <si>
    <t>Marks</t>
  </si>
  <si>
    <t>Out Of</t>
  </si>
  <si>
    <t>Percentage Rank</t>
  </si>
  <si>
    <t>Marks Lost Rank</t>
  </si>
  <si>
    <t>Perc</t>
  </si>
  <si>
    <t>Marks Lost</t>
  </si>
  <si>
    <t>Test Procedure</t>
  </si>
  <si>
    <t>Omission</t>
  </si>
  <si>
    <t>No Error</t>
  </si>
  <si>
    <t>Error Type
 List for drop down list</t>
  </si>
  <si>
    <t xml:space="preserve">THIS IS ALL DONE AUTOMATICALLY, DO NOT EDIT THIS PAGE (EXCEPT PINK INSTRUCTION)
</t>
  </si>
  <si>
    <t>Title No</t>
  </si>
  <si>
    <t>Score</t>
  </si>
  <si>
    <t>Click Graph, and drag down selection box to include all of the line items ----&gt;</t>
  </si>
  <si>
    <t>Marks
 Lost</t>
  </si>
  <si>
    <t>Error
 Type</t>
  </si>
  <si>
    <t>Total Marks
 Lost</t>
  </si>
  <si>
    <t>Functions</t>
  </si>
  <si>
    <t>Trigonometry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</si>
</sst>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FF"/>
      <name val="Calibri"/>
      <family val="2"/>
    </font>
    <font>
      <b/>
      <u/>
      <sz val="11"/>
      <color rgb="FFFF00FF"/>
      <name val="Calibri"/>
      <family val="2"/>
    </font>
    <font>
      <sz val="11"/>
      <color rgb="FFFF00FF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2"/>
      <color rgb="FFFF00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right"/>
    </xf>
    <xf numFmtId="0" fontId="2" fillId="0" borderId="1" xfId="0" applyFont="1" applyBorder="1"/>
    <xf numFmtId="0" fontId="3" fillId="2" borderId="2" xfId="0" applyFont="1" applyFill="1" applyBorder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2" fillId="5" borderId="1" xfId="0" applyFont="1" applyFill="1" applyBorder="1"/>
    <xf numFmtId="0" fontId="2" fillId="0" borderId="0" xfId="0" applyFont="1" applyAlignment="1">
      <alignment horizontal="left"/>
    </xf>
    <xf numFmtId="0" fontId="2" fillId="6" borderId="1" xfId="0" applyFont="1" applyFill="1" applyBorder="1"/>
    <xf numFmtId="0" fontId="2" fillId="7" borderId="1" xfId="0" applyFont="1" applyFill="1" applyBorder="1"/>
    <xf numFmtId="49" fontId="5" fillId="0" borderId="0" xfId="0" applyNumberFormat="1" applyFont="1" applyAlignment="1">
      <alignment horizontal="right"/>
    </xf>
    <xf numFmtId="0" fontId="2" fillId="8" borderId="1" xfId="0" applyFont="1" applyFill="1" applyBorder="1"/>
    <xf numFmtId="49" fontId="2" fillId="0" borderId="1" xfId="0" applyNumberFormat="1" applyFont="1" applyBorder="1"/>
    <xf numFmtId="49" fontId="2" fillId="0" borderId="0" xfId="0" applyNumberFormat="1" applyFont="1"/>
    <xf numFmtId="1" fontId="2" fillId="0" borderId="0" xfId="0" applyNumberFormat="1" applyFont="1"/>
    <xf numFmtId="0" fontId="1" fillId="0" borderId="0" xfId="0" applyFont="1"/>
    <xf numFmtId="0" fontId="2" fillId="2" borderId="2" xfId="0" applyFont="1" applyFill="1" applyBorder="1"/>
    <xf numFmtId="0" fontId="2" fillId="0" borderId="0" xfId="0" applyFont="1" applyAlignment="1">
      <alignment horizontal="center"/>
    </xf>
    <xf numFmtId="9" fontId="2" fillId="0" borderId="0" xfId="0" applyNumberFormat="1" applyFont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9" fontId="2" fillId="0" borderId="4" xfId="0" applyNumberFormat="1" applyFont="1" applyBorder="1"/>
    <xf numFmtId="1" fontId="2" fillId="0" borderId="4" xfId="0" applyNumberFormat="1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2" borderId="6" xfId="0" applyFont="1" applyFill="1" applyBorder="1" applyAlignment="1">
      <alignment horizontal="center" wrapText="1"/>
    </xf>
    <xf numFmtId="0" fontId="7" fillId="0" borderId="7" xfId="0" applyFont="1" applyBorder="1"/>
    <xf numFmtId="0" fontId="7" fillId="0" borderId="8" xfId="0" applyFont="1" applyBorder="1"/>
    <xf numFmtId="0" fontId="8" fillId="0" borderId="12" xfId="0" applyFont="1" applyBorder="1" applyAlignment="1">
      <alignment horizontal="center" vertical="center" textRotation="180"/>
    </xf>
    <xf numFmtId="0" fontId="7" fillId="0" borderId="12" xfId="0" applyFont="1" applyBorder="1"/>
    <xf numFmtId="0" fontId="8" fillId="0" borderId="3" xfId="0" applyFont="1" applyBorder="1" applyAlignment="1">
      <alignment horizontal="center" vertical="center" textRotation="180"/>
    </xf>
    <xf numFmtId="0" fontId="7" fillId="0" borderId="3" xfId="0" applyFont="1" applyBorder="1"/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ZA" sz="1400" b="0" i="0">
                <a:solidFill>
                  <a:srgbClr val="757575"/>
                </a:solidFill>
                <a:latin typeface="+mn-lt"/>
              </a:rPr>
              <a:t>Performance in each section: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Score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 Output'!$B$3:$B$14</c:f>
              <c:strCache>
                <c:ptCount val="5"/>
                <c:pt idx="0">
                  <c:v>Algebraic Expressions</c:v>
                </c:pt>
                <c:pt idx="1">
                  <c:v>Exponents</c:v>
                </c:pt>
                <c:pt idx="2">
                  <c:v>Number Patterns</c:v>
                </c:pt>
                <c:pt idx="3">
                  <c:v>Functions</c:v>
                </c:pt>
                <c:pt idx="4">
                  <c:v>Trigonometry</c:v>
                </c:pt>
              </c:strCache>
            </c:strRef>
          </c:cat>
          <c:val>
            <c:numRef>
              <c:f>'Graph Output'!$E$3:$E$14</c:f>
              <c:numCache>
                <c:formatCode>0%</c:formatCode>
                <c:ptCount val="12"/>
                <c:pt idx="0">
                  <c:v>1E-4</c:v>
                </c:pt>
                <c:pt idx="1">
                  <c:v>1E-4</c:v>
                </c:pt>
                <c:pt idx="2">
                  <c:v>0.33333333333333331</c:v>
                </c:pt>
                <c:pt idx="3">
                  <c:v>0.75</c:v>
                </c:pt>
                <c:pt idx="4">
                  <c:v>0.8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A5-4D7B-807F-CE8E7A24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900037"/>
        <c:axId val="592225736"/>
      </c:barChart>
      <c:catAx>
        <c:axId val="1236900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2225736"/>
        <c:crosses val="autoZero"/>
        <c:auto val="1"/>
        <c:lblAlgn val="ctr"/>
        <c:lblOffset val="100"/>
        <c:noMultiLvlLbl val="1"/>
      </c:catAx>
      <c:valAx>
        <c:axId val="59222573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90003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ZA" sz="1400" b="0" i="0">
                <a:solidFill>
                  <a:srgbClr val="757575"/>
                </a:solidFill>
                <a:latin typeface="+mn-lt"/>
              </a:rPr>
              <a:t>Marks lost in each section: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Marks
 Lost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 Output'!$G$3:$G$14</c:f>
              <c:strCache>
                <c:ptCount val="5"/>
                <c:pt idx="0">
                  <c:v>Trigonometry</c:v>
                </c:pt>
                <c:pt idx="1">
                  <c:v>Functions</c:v>
                </c:pt>
                <c:pt idx="2">
                  <c:v>Algebraic Expressions</c:v>
                </c:pt>
                <c:pt idx="3">
                  <c:v>Number Patterns</c:v>
                </c:pt>
                <c:pt idx="4">
                  <c:v>Exponents</c:v>
                </c:pt>
              </c:strCache>
            </c:strRef>
          </c:cat>
          <c:val>
            <c:numRef>
              <c:f>'Graph Output'!$J$3:$J$14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EB-4BC8-AEBF-FE9D21F3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135945"/>
        <c:axId val="1946884448"/>
      </c:barChart>
      <c:catAx>
        <c:axId val="176135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6884448"/>
        <c:crosses val="autoZero"/>
        <c:auto val="1"/>
        <c:lblAlgn val="ctr"/>
        <c:lblOffset val="100"/>
        <c:noMultiLvlLbl val="1"/>
      </c:catAx>
      <c:valAx>
        <c:axId val="194688444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1359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ZA" sz="1400" b="0" i="0">
                <a:solidFill>
                  <a:srgbClr val="757575"/>
                </a:solidFill>
                <a:latin typeface="+mn-lt"/>
              </a:rPr>
              <a:t>Marks lost in each section: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32719269466316714"/>
          <c:y val="0.27505919793418754"/>
          <c:w val="0.37617016622922128"/>
          <c:h val="0.61957442332223878"/>
        </c:manualLayout>
      </c:layout>
      <c:pieChart>
        <c:varyColors val="1"/>
        <c:ser>
          <c:idx val="0"/>
          <c:order val="0"/>
          <c:tx>
            <c:strRef>
              <c:f>'Graph Output'!$J$2</c:f>
              <c:strCache>
                <c:ptCount val="1"/>
                <c:pt idx="0">
                  <c:v>Marks
 Lost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3116-4426-8670-4E46DB5C7ACB}"/>
              </c:ext>
            </c:extLst>
          </c:dPt>
          <c:dPt>
            <c:idx val="1"/>
            <c:bubble3D val="0"/>
            <c:spPr>
              <a:solidFill>
                <a:srgbClr val="FF00FF"/>
              </a:solidFill>
            </c:spPr>
            <c:extLst>
              <c:ext xmlns:c16="http://schemas.microsoft.com/office/drawing/2014/chart" uri="{C3380CC4-5D6E-409C-BE32-E72D297353CC}">
                <c16:uniqueId val="{00000003-3116-4426-8670-4E46DB5C7ACB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5-3116-4426-8670-4E46DB5C7AC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3116-4426-8670-4E46DB5C7AC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3116-4426-8670-4E46DB5C7AC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8-3116-4426-8670-4E46DB5C7AC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3116-4426-8670-4E46DB5C7AC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A-3116-4426-8670-4E46DB5C7AC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B-3116-4426-8670-4E46DB5C7AC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C-3116-4426-8670-4E46DB5C7AC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D-3116-4426-8670-4E46DB5C7AC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E-3116-4426-8670-4E46DB5C7AC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'Graph Output'!$G$3:$G$14</c:f>
              <c:strCache>
                <c:ptCount val="5"/>
                <c:pt idx="0">
                  <c:v>Trigonometry</c:v>
                </c:pt>
                <c:pt idx="1">
                  <c:v>Functions</c:v>
                </c:pt>
                <c:pt idx="2">
                  <c:v>Algebraic Expressions</c:v>
                </c:pt>
                <c:pt idx="3">
                  <c:v>Number Patterns</c:v>
                </c:pt>
                <c:pt idx="4">
                  <c:v>Exponents</c:v>
                </c:pt>
              </c:strCache>
            </c:strRef>
          </c:cat>
          <c:val>
            <c:numRef>
              <c:f>'Graph Output'!$J$3:$J$14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116-4426-8670-4E46DB5C7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ZA" sz="1400" b="0" i="0">
                <a:solidFill>
                  <a:srgbClr val="757575"/>
                </a:solidFill>
                <a:latin typeface="+mn-lt"/>
              </a:rPr>
              <a:t>Error Types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'Graph Output'!$M$2</c:f>
              <c:strCache>
                <c:ptCount val="1"/>
                <c:pt idx="0">
                  <c:v>Concept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 Output'!$L$3:$L$14</c:f>
              <c:strCache>
                <c:ptCount val="5"/>
                <c:pt idx="0">
                  <c:v>Exponents</c:v>
                </c:pt>
                <c:pt idx="1">
                  <c:v>Number Patterns</c:v>
                </c:pt>
                <c:pt idx="2">
                  <c:v>Algebraic Expressions</c:v>
                </c:pt>
                <c:pt idx="3">
                  <c:v>Functions</c:v>
                </c:pt>
                <c:pt idx="4">
                  <c:v>Trigonometry</c:v>
                </c:pt>
              </c:strCache>
            </c:strRef>
          </c:cat>
          <c:val>
            <c:numRef>
              <c:f>'Graph Output'!$M$3:$M$14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FA-4C9B-94FB-CB1DADED2077}"/>
            </c:ext>
          </c:extLst>
        </c:ser>
        <c:ser>
          <c:idx val="1"/>
          <c:order val="1"/>
          <c:tx>
            <c:strRef>
              <c:f>'Graph Output'!$N$2</c:f>
              <c:strCache>
                <c:ptCount val="1"/>
                <c:pt idx="0">
                  <c:v>Application</c:v>
                </c:pt>
              </c:strCache>
            </c:strRef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 Output'!$L$3:$L$14</c:f>
              <c:strCache>
                <c:ptCount val="5"/>
                <c:pt idx="0">
                  <c:v>Exponents</c:v>
                </c:pt>
                <c:pt idx="1">
                  <c:v>Number Patterns</c:v>
                </c:pt>
                <c:pt idx="2">
                  <c:v>Algebraic Expressions</c:v>
                </c:pt>
                <c:pt idx="3">
                  <c:v>Functions</c:v>
                </c:pt>
                <c:pt idx="4">
                  <c:v>Trigonometry</c:v>
                </c:pt>
              </c:strCache>
            </c:strRef>
          </c:cat>
          <c:val>
            <c:numRef>
              <c:f>'Graph Output'!$N$3:$N$14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CFA-4C9B-94FB-CB1DADED2077}"/>
            </c:ext>
          </c:extLst>
        </c:ser>
        <c:ser>
          <c:idx val="2"/>
          <c:order val="2"/>
          <c:tx>
            <c:strRef>
              <c:f>'Graph Output'!$O$2</c:f>
              <c:strCache>
                <c:ptCount val="1"/>
                <c:pt idx="0">
                  <c:v>Misread Direction</c:v>
                </c:pt>
              </c:strCache>
            </c:strRef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 Output'!$L$3:$L$14</c:f>
              <c:strCache>
                <c:ptCount val="5"/>
                <c:pt idx="0">
                  <c:v>Exponents</c:v>
                </c:pt>
                <c:pt idx="1">
                  <c:v>Number Patterns</c:v>
                </c:pt>
                <c:pt idx="2">
                  <c:v>Algebraic Expressions</c:v>
                </c:pt>
                <c:pt idx="3">
                  <c:v>Functions</c:v>
                </c:pt>
                <c:pt idx="4">
                  <c:v>Trigonometry</c:v>
                </c:pt>
              </c:strCache>
            </c:strRef>
          </c:cat>
          <c:val>
            <c:numRef>
              <c:f>'Graph Output'!$O$3:$O$14</c:f>
              <c:numCache>
                <c:formatCode>General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CFA-4C9B-94FB-CB1DADED2077}"/>
            </c:ext>
          </c:extLst>
        </c:ser>
        <c:ser>
          <c:idx val="3"/>
          <c:order val="3"/>
          <c:tx>
            <c:strRef>
              <c:f>'Graph Output'!$P$2</c:f>
              <c:strCache>
                <c:ptCount val="1"/>
                <c:pt idx="0">
                  <c:v>Careless</c:v>
                </c:pt>
              </c:strCache>
            </c:strRef>
          </c:tx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 Output'!$L$3:$L$14</c:f>
              <c:strCache>
                <c:ptCount val="5"/>
                <c:pt idx="0">
                  <c:v>Exponents</c:v>
                </c:pt>
                <c:pt idx="1">
                  <c:v>Number Patterns</c:v>
                </c:pt>
                <c:pt idx="2">
                  <c:v>Algebraic Expressions</c:v>
                </c:pt>
                <c:pt idx="3">
                  <c:v>Functions</c:v>
                </c:pt>
                <c:pt idx="4">
                  <c:v>Trigonometry</c:v>
                </c:pt>
              </c:strCache>
            </c:strRef>
          </c:cat>
          <c:val>
            <c:numRef>
              <c:f>'Graph Output'!$P$3:$P$14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CFA-4C9B-94FB-CB1DADED2077}"/>
            </c:ext>
          </c:extLst>
        </c:ser>
        <c:ser>
          <c:idx val="4"/>
          <c:order val="4"/>
          <c:tx>
            <c:strRef>
              <c:f>'Graph Output'!$Q$2</c:f>
              <c:strCache>
                <c:ptCount val="1"/>
                <c:pt idx="0">
                  <c:v>Test Procedure</c:v>
                </c:pt>
              </c:strCache>
            </c:strRef>
          </c:tx>
          <c:invertIfNegative val="1"/>
          <c:cat>
            <c:strRef>
              <c:f>'Graph Output'!$L$3:$L$14</c:f>
              <c:strCache>
                <c:ptCount val="5"/>
                <c:pt idx="0">
                  <c:v>Exponents</c:v>
                </c:pt>
                <c:pt idx="1">
                  <c:v>Number Patterns</c:v>
                </c:pt>
                <c:pt idx="2">
                  <c:v>Algebraic Expressions</c:v>
                </c:pt>
                <c:pt idx="3">
                  <c:v>Functions</c:v>
                </c:pt>
                <c:pt idx="4">
                  <c:v>Trigonometry</c:v>
                </c:pt>
              </c:strCache>
            </c:strRef>
          </c:cat>
          <c:val>
            <c:numRef>
              <c:f>'Graph Output'!$Q$3:$Q$14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A-4C9B-94FB-CB1DADED2077}"/>
            </c:ext>
          </c:extLst>
        </c:ser>
        <c:ser>
          <c:idx val="5"/>
          <c:order val="5"/>
          <c:tx>
            <c:strRef>
              <c:f>'Graph Output'!$R$2</c:f>
              <c:strCache>
                <c:ptCount val="1"/>
                <c:pt idx="0">
                  <c:v>Omission</c:v>
                </c:pt>
              </c:strCache>
            </c:strRef>
          </c:tx>
          <c:invertIfNegative val="1"/>
          <c:cat>
            <c:strRef>
              <c:f>'Graph Output'!$L$3:$L$14</c:f>
              <c:strCache>
                <c:ptCount val="5"/>
                <c:pt idx="0">
                  <c:v>Exponents</c:v>
                </c:pt>
                <c:pt idx="1">
                  <c:v>Number Patterns</c:v>
                </c:pt>
                <c:pt idx="2">
                  <c:v>Algebraic Expressions</c:v>
                </c:pt>
                <c:pt idx="3">
                  <c:v>Functions</c:v>
                </c:pt>
                <c:pt idx="4">
                  <c:v>Trigonometry</c:v>
                </c:pt>
              </c:strCache>
            </c:strRef>
          </c:cat>
          <c:val>
            <c:numRef>
              <c:f>'Graph Output'!$R$3:$R$14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FA-4C9B-94FB-CB1DADED2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5560668"/>
        <c:axId val="2070030465"/>
      </c:barChart>
      <c:catAx>
        <c:axId val="1055560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0030465"/>
        <c:crosses val="autoZero"/>
        <c:auto val="1"/>
        <c:lblAlgn val="ctr"/>
        <c:lblOffset val="100"/>
        <c:noMultiLvlLbl val="1"/>
      </c:catAx>
      <c:valAx>
        <c:axId val="2070030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556066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ZA" sz="1400" b="0" i="0">
                <a:solidFill>
                  <a:srgbClr val="757575"/>
                </a:solidFill>
                <a:latin typeface="+mn-lt"/>
              </a:rPr>
              <a:t>Total Error Types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Marks
 Lost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 Output'!$T$3:$T$8</c:f>
              <c:strCache>
                <c:ptCount val="6"/>
                <c:pt idx="0">
                  <c:v>Concept</c:v>
                </c:pt>
                <c:pt idx="1">
                  <c:v>Application</c:v>
                </c:pt>
                <c:pt idx="2">
                  <c:v>Misread Direction</c:v>
                </c:pt>
                <c:pt idx="3">
                  <c:v>Careless</c:v>
                </c:pt>
                <c:pt idx="4">
                  <c:v>Test Procedure</c:v>
                </c:pt>
                <c:pt idx="5">
                  <c:v>Omission</c:v>
                </c:pt>
              </c:strCache>
            </c:strRef>
          </c:cat>
          <c:val>
            <c:numRef>
              <c:f>'Graph Output'!$U$3:$U$8</c:f>
              <c:numCache>
                <c:formatCode>0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04-4763-980A-17706FD5D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421572"/>
        <c:axId val="594820896"/>
      </c:barChart>
      <c:catAx>
        <c:axId val="562421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4820896"/>
        <c:crosses val="autoZero"/>
        <c:auto val="1"/>
        <c:lblAlgn val="ctr"/>
        <c:lblOffset val="100"/>
        <c:noMultiLvlLbl val="1"/>
      </c:catAx>
      <c:valAx>
        <c:axId val="594820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ZA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24215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0</xdr:rowOff>
    </xdr:from>
    <xdr:ext cx="3714750" cy="2438400"/>
    <xdr:graphicFrame macro="">
      <xdr:nvGraphicFramePr>
        <xdr:cNvPr id="990591931" name="Chart 1">
          <a:extLst>
            <a:ext uri="{FF2B5EF4-FFF2-40B4-BE49-F238E27FC236}">
              <a16:creationId xmlns:a16="http://schemas.microsoft.com/office/drawing/2014/main" id="{00000000-0008-0000-0300-0000BB3B0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57150</xdr:colOff>
      <xdr:row>0</xdr:row>
      <xdr:rowOff>28575</xdr:rowOff>
    </xdr:from>
    <xdr:ext cx="3057525" cy="2724150"/>
    <xdr:graphicFrame macro="">
      <xdr:nvGraphicFramePr>
        <xdr:cNvPr id="322427376" name="Chart 2">
          <a:extLst>
            <a:ext uri="{FF2B5EF4-FFF2-40B4-BE49-F238E27FC236}">
              <a16:creationId xmlns:a16="http://schemas.microsoft.com/office/drawing/2014/main" id="{00000000-0008-0000-0300-0000F0D93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28575</xdr:colOff>
      <xdr:row>0</xdr:row>
      <xdr:rowOff>2266950</xdr:rowOff>
    </xdr:from>
    <xdr:ext cx="3800475" cy="2781300"/>
    <xdr:graphicFrame macro="">
      <xdr:nvGraphicFramePr>
        <xdr:cNvPr id="2043873601" name="Chart 3">
          <a:extLst>
            <a:ext uri="{FF2B5EF4-FFF2-40B4-BE49-F238E27FC236}">
              <a16:creationId xmlns:a16="http://schemas.microsoft.com/office/drawing/2014/main" id="{00000000-0008-0000-0300-00004109D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447675</xdr:colOff>
      <xdr:row>0</xdr:row>
      <xdr:rowOff>0</xdr:rowOff>
    </xdr:from>
    <xdr:ext cx="4552950" cy="4152900"/>
    <xdr:graphicFrame macro="">
      <xdr:nvGraphicFramePr>
        <xdr:cNvPr id="1116204155" name="Chart 4">
          <a:extLst>
            <a:ext uri="{FF2B5EF4-FFF2-40B4-BE49-F238E27FC236}">
              <a16:creationId xmlns:a16="http://schemas.microsoft.com/office/drawing/2014/main" id="{00000000-0008-0000-0300-00007BEC8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600075</xdr:colOff>
      <xdr:row>0</xdr:row>
      <xdr:rowOff>2676525</xdr:rowOff>
    </xdr:from>
    <xdr:ext cx="2838450" cy="2295525"/>
    <xdr:graphicFrame macro="">
      <xdr:nvGraphicFramePr>
        <xdr:cNvPr id="1803521746" name="Chart 5">
          <a:extLst>
            <a:ext uri="{FF2B5EF4-FFF2-40B4-BE49-F238E27FC236}">
              <a16:creationId xmlns:a16="http://schemas.microsoft.com/office/drawing/2014/main" id="{00000000-0008-0000-0300-0000D28E7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4140625" defaultRowHeight="15" customHeight="1" x14ac:dyDescent="0.3"/>
  <cols>
    <col min="1" max="1" width="15.6640625" customWidth="1"/>
    <col min="2" max="2" width="35.33203125" customWidth="1"/>
    <col min="3" max="3" width="8.6640625" customWidth="1"/>
    <col min="4" max="4" width="49" customWidth="1"/>
    <col min="5" max="26" width="8.6640625" customWidth="1"/>
  </cols>
  <sheetData>
    <row r="1" spans="1:4" ht="18" customHeight="1" x14ac:dyDescent="0.3">
      <c r="A1" s="1" t="s">
        <v>0</v>
      </c>
      <c r="B1" s="2"/>
    </row>
    <row r="2" spans="1:4" ht="18" customHeight="1" x14ac:dyDescent="0.3">
      <c r="A2" s="1" t="s">
        <v>1</v>
      </c>
      <c r="B2" s="2"/>
      <c r="D2" s="3" t="s">
        <v>2</v>
      </c>
    </row>
    <row r="3" spans="1:4" ht="18" customHeight="1" x14ac:dyDescent="0.3">
      <c r="A3" s="1" t="s">
        <v>3</v>
      </c>
      <c r="B3" s="2"/>
    </row>
    <row r="4" spans="1:4" ht="18" customHeight="1" x14ac:dyDescent="0.3">
      <c r="A4" s="1" t="s">
        <v>4</v>
      </c>
      <c r="B4" s="2"/>
    </row>
    <row r="5" spans="1:4" ht="18" customHeight="1" x14ac:dyDescent="0.3">
      <c r="A5" s="1" t="s">
        <v>5</v>
      </c>
      <c r="B5" s="2"/>
      <c r="D5" s="4" t="s">
        <v>6</v>
      </c>
    </row>
    <row r="6" spans="1:4" ht="18" customHeight="1" x14ac:dyDescent="0.3">
      <c r="A6" s="1" t="s">
        <v>7</v>
      </c>
      <c r="B6" s="2"/>
    </row>
    <row r="7" spans="1:4" ht="18" customHeight="1" x14ac:dyDescent="0.3">
      <c r="A7" s="1" t="s">
        <v>8</v>
      </c>
      <c r="B7" s="2"/>
    </row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spans="2:2" ht="14.25" customHeight="1" x14ac:dyDescent="0.3"/>
    <row r="34" spans="2:2" ht="14.25" customHeight="1" x14ac:dyDescent="0.3"/>
    <row r="35" spans="2:2" ht="14.25" customHeight="1" x14ac:dyDescent="0.3"/>
    <row r="36" spans="2:2" ht="14.25" customHeight="1" x14ac:dyDescent="0.3"/>
    <row r="37" spans="2:2" ht="14.25" customHeight="1" x14ac:dyDescent="0.3"/>
    <row r="38" spans="2:2" ht="14.25" customHeight="1" x14ac:dyDescent="0.3"/>
    <row r="39" spans="2:2" ht="14.25" customHeight="1" x14ac:dyDescent="0.3"/>
    <row r="40" spans="2:2" ht="14.25" customHeight="1" x14ac:dyDescent="0.3"/>
    <row r="41" spans="2:2" ht="14.25" customHeight="1" x14ac:dyDescent="0.3"/>
    <row r="42" spans="2:2" ht="14.25" customHeight="1" x14ac:dyDescent="0.3">
      <c r="B42" s="4" t="s">
        <v>9</v>
      </c>
    </row>
    <row r="43" spans="2:2" ht="14.25" customHeight="1" x14ac:dyDescent="0.3"/>
    <row r="44" spans="2:2" ht="14.25" customHeight="1" x14ac:dyDescent="0.3"/>
    <row r="45" spans="2:2" ht="14.25" customHeight="1" x14ac:dyDescent="0.3"/>
    <row r="46" spans="2:2" ht="14.25" customHeight="1" x14ac:dyDescent="0.3"/>
    <row r="47" spans="2:2" ht="14.25" customHeight="1" x14ac:dyDescent="0.3"/>
    <row r="48" spans="2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B1:B7">
    <cfRule type="containsBlanks" dxfId="2" priority="1">
      <formula>LEN(TRIM(B1))=0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4" workbookViewId="0">
      <selection activeCell="B19" sqref="B19"/>
    </sheetView>
  </sheetViews>
  <sheetFormatPr defaultColWidth="14.44140625" defaultRowHeight="15" customHeight="1" x14ac:dyDescent="0.3"/>
  <cols>
    <col min="1" max="1" width="17.33203125" customWidth="1"/>
    <col min="2" max="2" width="21" customWidth="1"/>
    <col min="3" max="4" width="8.6640625" customWidth="1"/>
    <col min="5" max="5" width="17.6640625" customWidth="1"/>
    <col min="6" max="7" width="8.6640625" customWidth="1"/>
    <col min="8" max="8" width="73.6640625" customWidth="1"/>
    <col min="9" max="10" width="8.6640625" customWidth="1"/>
    <col min="11" max="11" width="9.5546875" customWidth="1"/>
    <col min="12" max="26" width="8.6640625" customWidth="1"/>
  </cols>
  <sheetData>
    <row r="1" spans="1:26" ht="14.25" customHeight="1" x14ac:dyDescent="0.3"/>
    <row r="2" spans="1:26" ht="14.25" customHeight="1" x14ac:dyDescent="0.3">
      <c r="A2" s="5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44" t="s">
        <v>16</v>
      </c>
      <c r="H2" s="4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7" t="s">
        <v>17</v>
      </c>
      <c r="B3" s="7" t="s">
        <v>18</v>
      </c>
      <c r="C3" s="7">
        <v>2</v>
      </c>
      <c r="D3" s="7">
        <v>2</v>
      </c>
      <c r="E3" s="4" t="s">
        <v>19</v>
      </c>
      <c r="F3" s="4" t="str">
        <f t="shared" ref="F3:F257" si="0">IF(D3-C3=0,"",D3-C3)</f>
        <v/>
      </c>
      <c r="G3" s="8" t="s">
        <v>20</v>
      </c>
      <c r="H3" s="9" t="s">
        <v>21</v>
      </c>
      <c r="J3" s="10"/>
      <c r="K3" s="2" t="s">
        <v>22</v>
      </c>
    </row>
    <row r="4" spans="1:26" ht="14.25" customHeight="1" x14ac:dyDescent="0.3">
      <c r="A4" s="7" t="s">
        <v>23</v>
      </c>
      <c r="B4" s="7" t="s">
        <v>18</v>
      </c>
      <c r="C4" s="7">
        <v>1</v>
      </c>
      <c r="D4" s="7">
        <v>2</v>
      </c>
      <c r="E4" s="4" t="s">
        <v>24</v>
      </c>
      <c r="F4" s="4">
        <f t="shared" si="0"/>
        <v>1</v>
      </c>
      <c r="G4" s="8" t="s">
        <v>25</v>
      </c>
      <c r="H4" s="9" t="s">
        <v>26</v>
      </c>
      <c r="J4" s="11"/>
      <c r="K4" s="2" t="s">
        <v>27</v>
      </c>
    </row>
    <row r="5" spans="1:26" ht="14.25" customHeight="1" x14ac:dyDescent="0.3">
      <c r="A5" s="7" t="s">
        <v>25</v>
      </c>
      <c r="B5" s="7" t="s">
        <v>18</v>
      </c>
      <c r="C5" s="7">
        <v>0</v>
      </c>
      <c r="D5" s="7">
        <v>5</v>
      </c>
      <c r="E5" s="4" t="s">
        <v>28</v>
      </c>
      <c r="F5" s="4">
        <f t="shared" si="0"/>
        <v>5</v>
      </c>
      <c r="G5" s="8" t="s">
        <v>29</v>
      </c>
      <c r="H5" s="9" t="s">
        <v>30</v>
      </c>
      <c r="J5" s="12"/>
      <c r="K5" s="2" t="s">
        <v>31</v>
      </c>
    </row>
    <row r="6" spans="1:26" ht="14.25" customHeight="1" x14ac:dyDescent="0.3">
      <c r="A6" s="7" t="s">
        <v>32</v>
      </c>
      <c r="B6" s="7" t="s">
        <v>33</v>
      </c>
      <c r="C6" s="7">
        <v>0</v>
      </c>
      <c r="D6" s="7">
        <v>3</v>
      </c>
      <c r="E6" s="4" t="s">
        <v>34</v>
      </c>
      <c r="F6" s="4">
        <f t="shared" si="0"/>
        <v>3</v>
      </c>
      <c r="G6" s="8" t="s">
        <v>35</v>
      </c>
      <c r="H6" s="9" t="s">
        <v>36</v>
      </c>
      <c r="J6" s="13"/>
      <c r="K6" s="2" t="s">
        <v>37</v>
      </c>
    </row>
    <row r="7" spans="1:26" ht="14.25" customHeight="1" x14ac:dyDescent="0.3">
      <c r="A7" s="7" t="s">
        <v>38</v>
      </c>
      <c r="B7" s="14" t="s">
        <v>33</v>
      </c>
      <c r="C7" s="7">
        <v>0</v>
      </c>
      <c r="D7" s="7">
        <v>4</v>
      </c>
      <c r="E7" s="4" t="s">
        <v>39</v>
      </c>
      <c r="F7" s="4">
        <f t="shared" si="0"/>
        <v>4</v>
      </c>
      <c r="G7" s="8" t="s">
        <v>40</v>
      </c>
      <c r="H7" s="9" t="s">
        <v>41</v>
      </c>
      <c r="J7" s="15"/>
      <c r="K7" s="2" t="s">
        <v>42</v>
      </c>
    </row>
    <row r="8" spans="1:26" ht="14.25" customHeight="1" x14ac:dyDescent="0.3">
      <c r="A8" s="7" t="s">
        <v>35</v>
      </c>
      <c r="B8" s="7" t="s">
        <v>43</v>
      </c>
      <c r="C8" s="7">
        <v>0</v>
      </c>
      <c r="D8" s="7">
        <v>4</v>
      </c>
      <c r="E8" s="4" t="s">
        <v>24</v>
      </c>
      <c r="F8" s="4">
        <f t="shared" si="0"/>
        <v>4</v>
      </c>
      <c r="G8" s="8" t="s">
        <v>44</v>
      </c>
      <c r="H8" s="9" t="s">
        <v>45</v>
      </c>
      <c r="J8" s="16"/>
      <c r="K8" s="2" t="s">
        <v>46</v>
      </c>
    </row>
    <row r="9" spans="1:26" ht="14.25" customHeight="1" x14ac:dyDescent="0.3">
      <c r="A9" s="7"/>
      <c r="B9" s="7" t="s">
        <v>18</v>
      </c>
      <c r="C9" s="7">
        <v>2</v>
      </c>
      <c r="D9" s="7">
        <v>2</v>
      </c>
      <c r="E9" s="4" t="s">
        <v>19</v>
      </c>
      <c r="F9" s="4" t="str">
        <f t="shared" si="0"/>
        <v/>
      </c>
      <c r="G9" s="17" t="s">
        <v>47</v>
      </c>
      <c r="H9" s="9" t="s">
        <v>48</v>
      </c>
      <c r="J9" s="18"/>
      <c r="K9" s="19" t="s">
        <v>49</v>
      </c>
    </row>
    <row r="10" spans="1:26" ht="14.25" customHeight="1" x14ac:dyDescent="0.3">
      <c r="A10" s="7"/>
      <c r="B10" s="7" t="s">
        <v>18</v>
      </c>
      <c r="C10" s="7">
        <v>1</v>
      </c>
      <c r="D10" s="7">
        <v>2</v>
      </c>
      <c r="E10" s="4" t="s">
        <v>24</v>
      </c>
      <c r="F10" s="4">
        <f t="shared" si="0"/>
        <v>1</v>
      </c>
      <c r="G10" s="17" t="s">
        <v>50</v>
      </c>
      <c r="H10" s="9" t="s">
        <v>51</v>
      </c>
    </row>
    <row r="11" spans="1:26" ht="14.25" customHeight="1" x14ac:dyDescent="0.3">
      <c r="A11" s="7"/>
      <c r="B11" s="7" t="s">
        <v>18</v>
      </c>
      <c r="C11" s="7">
        <v>0</v>
      </c>
      <c r="D11" s="7">
        <v>5</v>
      </c>
      <c r="E11" s="4" t="s">
        <v>28</v>
      </c>
      <c r="F11" s="4">
        <f t="shared" si="0"/>
        <v>5</v>
      </c>
      <c r="G11" s="20"/>
    </row>
    <row r="12" spans="1:26" ht="14.25" customHeight="1" x14ac:dyDescent="0.3">
      <c r="A12" s="7"/>
      <c r="B12" s="7" t="s">
        <v>33</v>
      </c>
      <c r="C12" s="7">
        <v>0</v>
      </c>
      <c r="D12" s="7">
        <v>3</v>
      </c>
      <c r="E12" s="4" t="s">
        <v>34</v>
      </c>
      <c r="F12" s="4">
        <f t="shared" si="0"/>
        <v>3</v>
      </c>
      <c r="G12" s="20"/>
      <c r="H12" s="3" t="s">
        <v>52</v>
      </c>
    </row>
    <row r="13" spans="1:26" ht="14.25" customHeight="1" x14ac:dyDescent="0.3">
      <c r="A13" s="7"/>
      <c r="B13" s="14" t="s">
        <v>33</v>
      </c>
      <c r="C13" s="7">
        <v>0</v>
      </c>
      <c r="D13" s="7">
        <v>4</v>
      </c>
      <c r="E13" s="4" t="s">
        <v>39</v>
      </c>
      <c r="F13" s="4">
        <f t="shared" si="0"/>
        <v>4</v>
      </c>
    </row>
    <row r="14" spans="1:26" ht="14.25" customHeight="1" x14ac:dyDescent="0.3">
      <c r="A14" s="7"/>
      <c r="B14" s="7" t="s">
        <v>43</v>
      </c>
      <c r="C14" s="7">
        <v>0</v>
      </c>
      <c r="D14" s="7">
        <v>4</v>
      </c>
      <c r="E14" s="4" t="s">
        <v>24</v>
      </c>
      <c r="F14" s="4">
        <f t="shared" si="0"/>
        <v>4</v>
      </c>
    </row>
    <row r="15" spans="1:26" ht="14.25" customHeight="1" x14ac:dyDescent="0.3">
      <c r="A15" s="7"/>
      <c r="B15" s="7" t="s">
        <v>74</v>
      </c>
      <c r="C15" s="7">
        <v>6</v>
      </c>
      <c r="D15" s="7">
        <v>8</v>
      </c>
      <c r="E15" s="4" t="s">
        <v>28</v>
      </c>
      <c r="F15" s="4">
        <f t="shared" si="0"/>
        <v>2</v>
      </c>
    </row>
    <row r="16" spans="1:26" ht="14.25" customHeight="1" x14ac:dyDescent="0.3">
      <c r="A16" s="7"/>
      <c r="B16" s="7" t="s">
        <v>75</v>
      </c>
      <c r="C16" s="7">
        <v>4</v>
      </c>
      <c r="D16" s="7">
        <v>5</v>
      </c>
      <c r="E16" s="4" t="s">
        <v>63</v>
      </c>
      <c r="F16" s="4">
        <f t="shared" si="0"/>
        <v>1</v>
      </c>
    </row>
    <row r="17" spans="1:6" ht="14.25" customHeight="1" x14ac:dyDescent="0.3">
      <c r="A17" s="7"/>
      <c r="B17" s="7" t="s">
        <v>33</v>
      </c>
      <c r="C17" s="7">
        <v>0</v>
      </c>
      <c r="D17" s="7">
        <v>1</v>
      </c>
      <c r="E17" s="4" t="s">
        <v>63</v>
      </c>
      <c r="F17" s="4">
        <f t="shared" si="0"/>
        <v>1</v>
      </c>
    </row>
    <row r="18" spans="1:6" ht="14.25" customHeight="1" x14ac:dyDescent="0.3">
      <c r="A18" s="7"/>
      <c r="B18" s="7" t="s">
        <v>33</v>
      </c>
      <c r="C18" s="7">
        <v>0</v>
      </c>
      <c r="D18" s="7">
        <v>1</v>
      </c>
      <c r="E18" s="4" t="s">
        <v>64</v>
      </c>
      <c r="F18" s="4">
        <f t="shared" si="0"/>
        <v>1</v>
      </c>
    </row>
    <row r="19" spans="1:6" ht="14.25" customHeight="1" x14ac:dyDescent="0.3">
      <c r="A19" s="7"/>
      <c r="B19" s="7"/>
      <c r="C19" s="7"/>
      <c r="D19" s="7"/>
      <c r="E19" s="4"/>
      <c r="F19" s="4" t="str">
        <f t="shared" si="0"/>
        <v/>
      </c>
    </row>
    <row r="20" spans="1:6" ht="14.25" customHeight="1" x14ac:dyDescent="0.3">
      <c r="A20" s="7"/>
      <c r="B20" s="7"/>
      <c r="C20" s="7"/>
      <c r="D20" s="7"/>
      <c r="E20" s="4"/>
      <c r="F20" s="4" t="str">
        <f t="shared" si="0"/>
        <v/>
      </c>
    </row>
    <row r="21" spans="1:6" ht="14.25" customHeight="1" x14ac:dyDescent="0.3">
      <c r="A21" s="7"/>
      <c r="B21" s="7"/>
      <c r="C21" s="7"/>
      <c r="D21" s="7"/>
      <c r="E21" s="4"/>
      <c r="F21" s="4" t="str">
        <f t="shared" si="0"/>
        <v/>
      </c>
    </row>
    <row r="22" spans="1:6" ht="14.25" customHeight="1" x14ac:dyDescent="0.3">
      <c r="A22" s="7"/>
      <c r="B22" s="7"/>
      <c r="C22" s="7"/>
      <c r="D22" s="7"/>
      <c r="E22" s="4"/>
      <c r="F22" s="4" t="str">
        <f t="shared" si="0"/>
        <v/>
      </c>
    </row>
    <row r="23" spans="1:6" ht="14.25" customHeight="1" x14ac:dyDescent="0.3">
      <c r="A23" s="7"/>
      <c r="B23" s="7"/>
      <c r="C23" s="7"/>
      <c r="D23" s="7"/>
      <c r="E23" s="4"/>
      <c r="F23" s="4" t="str">
        <f t="shared" si="0"/>
        <v/>
      </c>
    </row>
    <row r="24" spans="1:6" ht="14.25" customHeight="1" x14ac:dyDescent="0.3">
      <c r="A24" s="7"/>
      <c r="B24" s="7"/>
      <c r="C24" s="7"/>
      <c r="D24" s="7"/>
      <c r="E24" s="4"/>
      <c r="F24" s="4" t="str">
        <f t="shared" si="0"/>
        <v/>
      </c>
    </row>
    <row r="25" spans="1:6" ht="14.25" customHeight="1" x14ac:dyDescent="0.3">
      <c r="A25" s="7"/>
      <c r="B25" s="7"/>
      <c r="C25" s="7"/>
      <c r="D25" s="7"/>
      <c r="E25" s="4"/>
      <c r="F25" s="4" t="str">
        <f t="shared" si="0"/>
        <v/>
      </c>
    </row>
    <row r="26" spans="1:6" ht="14.25" customHeight="1" x14ac:dyDescent="0.3">
      <c r="A26" s="7"/>
      <c r="B26" s="7"/>
      <c r="C26" s="7"/>
      <c r="D26" s="7"/>
      <c r="E26" s="4"/>
      <c r="F26" s="4" t="str">
        <f t="shared" si="0"/>
        <v/>
      </c>
    </row>
    <row r="27" spans="1:6" ht="14.25" customHeight="1" x14ac:dyDescent="0.3">
      <c r="A27" s="7"/>
      <c r="B27" s="7"/>
      <c r="C27" s="7"/>
      <c r="D27" s="7"/>
      <c r="E27" s="4"/>
      <c r="F27" s="4" t="str">
        <f t="shared" si="0"/>
        <v/>
      </c>
    </row>
    <row r="28" spans="1:6" ht="14.25" customHeight="1" x14ac:dyDescent="0.3">
      <c r="A28" s="7"/>
      <c r="B28" s="7"/>
      <c r="C28" s="7"/>
      <c r="D28" s="7"/>
      <c r="E28" s="4"/>
      <c r="F28" s="4" t="str">
        <f t="shared" si="0"/>
        <v/>
      </c>
    </row>
    <row r="29" spans="1:6" ht="14.25" customHeight="1" x14ac:dyDescent="0.3">
      <c r="A29" s="7"/>
      <c r="B29" s="7"/>
      <c r="C29" s="7"/>
      <c r="D29" s="7"/>
      <c r="E29" s="4"/>
      <c r="F29" s="4" t="str">
        <f t="shared" si="0"/>
        <v/>
      </c>
    </row>
    <row r="30" spans="1:6" ht="14.25" customHeight="1" x14ac:dyDescent="0.3">
      <c r="A30" s="7"/>
      <c r="B30" s="7"/>
      <c r="C30" s="7"/>
      <c r="D30" s="7"/>
      <c r="E30" s="4"/>
      <c r="F30" s="4" t="str">
        <f t="shared" si="0"/>
        <v/>
      </c>
    </row>
    <row r="31" spans="1:6" ht="14.25" customHeight="1" x14ac:dyDescent="0.3">
      <c r="A31" s="7"/>
      <c r="B31" s="7"/>
      <c r="C31" s="7"/>
      <c r="D31" s="7"/>
      <c r="E31" s="4"/>
      <c r="F31" s="4" t="str">
        <f t="shared" si="0"/>
        <v/>
      </c>
    </row>
    <row r="32" spans="1:6" ht="14.25" customHeight="1" x14ac:dyDescent="0.3">
      <c r="A32" s="7"/>
      <c r="B32" s="7"/>
      <c r="C32" s="7"/>
      <c r="D32" s="7"/>
      <c r="E32" s="4"/>
      <c r="F32" s="4" t="str">
        <f t="shared" si="0"/>
        <v/>
      </c>
    </row>
    <row r="33" spans="1:6" ht="14.25" customHeight="1" x14ac:dyDescent="0.3">
      <c r="A33" s="7"/>
      <c r="B33" s="7"/>
      <c r="C33" s="7"/>
      <c r="D33" s="7"/>
      <c r="E33" s="4"/>
      <c r="F33" s="4" t="str">
        <f t="shared" si="0"/>
        <v/>
      </c>
    </row>
    <row r="34" spans="1:6" ht="14.25" customHeight="1" x14ac:dyDescent="0.3">
      <c r="A34" s="7"/>
      <c r="B34" s="7"/>
      <c r="C34" s="7"/>
      <c r="D34" s="7"/>
      <c r="E34" s="4"/>
      <c r="F34" s="4" t="str">
        <f t="shared" si="0"/>
        <v/>
      </c>
    </row>
    <row r="35" spans="1:6" ht="14.25" customHeight="1" x14ac:dyDescent="0.3">
      <c r="A35" s="7"/>
      <c r="B35" s="7"/>
      <c r="C35" s="7"/>
      <c r="D35" s="7"/>
      <c r="E35" s="4"/>
      <c r="F35" s="4" t="str">
        <f t="shared" si="0"/>
        <v/>
      </c>
    </row>
    <row r="36" spans="1:6" ht="14.25" customHeight="1" x14ac:dyDescent="0.3">
      <c r="A36" s="7"/>
      <c r="B36" s="7"/>
      <c r="C36" s="7"/>
      <c r="D36" s="7"/>
      <c r="E36" s="4"/>
      <c r="F36" s="4" t="str">
        <f t="shared" si="0"/>
        <v/>
      </c>
    </row>
    <row r="37" spans="1:6" ht="14.25" customHeight="1" x14ac:dyDescent="0.3">
      <c r="A37" s="7"/>
      <c r="B37" s="7"/>
      <c r="C37" s="7"/>
      <c r="D37" s="7"/>
      <c r="E37" s="4"/>
      <c r="F37" s="4" t="str">
        <f t="shared" si="0"/>
        <v/>
      </c>
    </row>
    <row r="38" spans="1:6" ht="14.25" customHeight="1" x14ac:dyDescent="0.3">
      <c r="A38" s="7"/>
      <c r="B38" s="7"/>
      <c r="C38" s="7"/>
      <c r="D38" s="7"/>
      <c r="E38" s="4"/>
      <c r="F38" s="4" t="str">
        <f t="shared" si="0"/>
        <v/>
      </c>
    </row>
    <row r="39" spans="1:6" ht="14.25" customHeight="1" x14ac:dyDescent="0.3">
      <c r="A39" s="7"/>
      <c r="B39" s="7"/>
      <c r="C39" s="7"/>
      <c r="D39" s="7"/>
      <c r="E39" s="4"/>
      <c r="F39" s="4" t="str">
        <f t="shared" si="0"/>
        <v/>
      </c>
    </row>
    <row r="40" spans="1:6" ht="14.25" customHeight="1" x14ac:dyDescent="0.3">
      <c r="A40" s="7"/>
      <c r="B40" s="7"/>
      <c r="C40" s="7"/>
      <c r="D40" s="7"/>
      <c r="E40" s="4"/>
      <c r="F40" s="4" t="str">
        <f t="shared" si="0"/>
        <v/>
      </c>
    </row>
    <row r="41" spans="1:6" ht="14.25" customHeight="1" x14ac:dyDescent="0.3">
      <c r="A41" s="7"/>
      <c r="B41" s="7"/>
      <c r="C41" s="7"/>
      <c r="D41" s="7"/>
      <c r="E41" s="4"/>
      <c r="F41" s="4" t="str">
        <f t="shared" si="0"/>
        <v/>
      </c>
    </row>
    <row r="42" spans="1:6" ht="14.25" customHeight="1" x14ac:dyDescent="0.3">
      <c r="A42" s="7"/>
      <c r="B42" s="7"/>
      <c r="C42" s="7"/>
      <c r="D42" s="7"/>
      <c r="E42" s="4"/>
      <c r="F42" s="4" t="str">
        <f t="shared" si="0"/>
        <v/>
      </c>
    </row>
    <row r="43" spans="1:6" ht="14.25" customHeight="1" x14ac:dyDescent="0.3">
      <c r="A43" s="7"/>
      <c r="B43" s="7"/>
      <c r="C43" s="7"/>
      <c r="D43" s="7"/>
      <c r="E43" s="4"/>
      <c r="F43" s="4" t="str">
        <f t="shared" si="0"/>
        <v/>
      </c>
    </row>
    <row r="44" spans="1:6" ht="14.25" customHeight="1" x14ac:dyDescent="0.3">
      <c r="A44" s="7"/>
      <c r="B44" s="7"/>
      <c r="C44" s="7"/>
      <c r="D44" s="7"/>
      <c r="E44" s="4"/>
      <c r="F44" s="4" t="str">
        <f t="shared" si="0"/>
        <v/>
      </c>
    </row>
    <row r="45" spans="1:6" ht="14.25" customHeight="1" x14ac:dyDescent="0.3">
      <c r="A45" s="7"/>
      <c r="B45" s="7"/>
      <c r="C45" s="7"/>
      <c r="D45" s="7"/>
      <c r="E45" s="4"/>
      <c r="F45" s="4" t="str">
        <f t="shared" si="0"/>
        <v/>
      </c>
    </row>
    <row r="46" spans="1:6" ht="14.25" customHeight="1" x14ac:dyDescent="0.3">
      <c r="A46" s="7"/>
      <c r="B46" s="7"/>
      <c r="C46" s="7"/>
      <c r="D46" s="7"/>
      <c r="E46" s="4"/>
      <c r="F46" s="4" t="str">
        <f t="shared" si="0"/>
        <v/>
      </c>
    </row>
    <row r="47" spans="1:6" ht="14.25" customHeight="1" x14ac:dyDescent="0.3">
      <c r="A47" s="7"/>
      <c r="B47" s="7"/>
      <c r="C47" s="7"/>
      <c r="D47" s="7"/>
      <c r="E47" s="4"/>
      <c r="F47" s="4" t="str">
        <f t="shared" si="0"/>
        <v/>
      </c>
    </row>
    <row r="48" spans="1:6" ht="14.25" customHeight="1" x14ac:dyDescent="0.3">
      <c r="A48" s="7"/>
      <c r="B48" s="7"/>
      <c r="C48" s="7"/>
      <c r="D48" s="7"/>
      <c r="E48" s="4"/>
      <c r="F48" s="4" t="str">
        <f t="shared" si="0"/>
        <v/>
      </c>
    </row>
    <row r="49" spans="1:6" ht="14.25" customHeight="1" x14ac:dyDescent="0.3">
      <c r="A49" s="7"/>
      <c r="B49" s="7"/>
      <c r="C49" s="7"/>
      <c r="D49" s="7"/>
      <c r="E49" s="4"/>
      <c r="F49" s="4" t="str">
        <f t="shared" si="0"/>
        <v/>
      </c>
    </row>
    <row r="50" spans="1:6" ht="14.25" customHeight="1" x14ac:dyDescent="0.3">
      <c r="A50" s="7"/>
      <c r="B50" s="7"/>
      <c r="C50" s="7"/>
      <c r="D50" s="7"/>
      <c r="E50" s="4"/>
      <c r="F50" s="4" t="str">
        <f t="shared" si="0"/>
        <v/>
      </c>
    </row>
    <row r="51" spans="1:6" ht="14.25" customHeight="1" x14ac:dyDescent="0.3">
      <c r="A51" s="7"/>
      <c r="B51" s="7"/>
      <c r="C51" s="7"/>
      <c r="D51" s="7"/>
      <c r="E51" s="4"/>
      <c r="F51" s="4" t="str">
        <f t="shared" si="0"/>
        <v/>
      </c>
    </row>
    <row r="52" spans="1:6" ht="14.25" customHeight="1" x14ac:dyDescent="0.3">
      <c r="A52" s="7"/>
      <c r="B52" s="7"/>
      <c r="C52" s="7"/>
      <c r="D52" s="7"/>
      <c r="E52" s="4"/>
      <c r="F52" s="4" t="str">
        <f t="shared" si="0"/>
        <v/>
      </c>
    </row>
    <row r="53" spans="1:6" ht="14.25" customHeight="1" x14ac:dyDescent="0.3">
      <c r="A53" s="7"/>
      <c r="B53" s="7"/>
      <c r="C53" s="7"/>
      <c r="D53" s="7"/>
      <c r="E53" s="4"/>
      <c r="F53" s="4" t="str">
        <f t="shared" si="0"/>
        <v/>
      </c>
    </row>
    <row r="54" spans="1:6" ht="14.25" customHeight="1" x14ac:dyDescent="0.3">
      <c r="A54" s="7"/>
      <c r="B54" s="7"/>
      <c r="C54" s="7"/>
      <c r="D54" s="7"/>
      <c r="E54" s="4"/>
      <c r="F54" s="4" t="str">
        <f t="shared" si="0"/>
        <v/>
      </c>
    </row>
    <row r="55" spans="1:6" ht="14.25" customHeight="1" x14ac:dyDescent="0.3">
      <c r="A55" s="7"/>
      <c r="B55" s="7"/>
      <c r="C55" s="7"/>
      <c r="D55" s="7"/>
      <c r="E55" s="4"/>
      <c r="F55" s="4" t="str">
        <f t="shared" si="0"/>
        <v/>
      </c>
    </row>
    <row r="56" spans="1:6" ht="14.25" customHeight="1" x14ac:dyDescent="0.3">
      <c r="A56" s="7"/>
      <c r="B56" s="7"/>
      <c r="C56" s="7"/>
      <c r="D56" s="7"/>
      <c r="E56" s="4"/>
      <c r="F56" s="4" t="str">
        <f t="shared" si="0"/>
        <v/>
      </c>
    </row>
    <row r="57" spans="1:6" ht="14.25" customHeight="1" x14ac:dyDescent="0.3">
      <c r="A57" s="7"/>
      <c r="B57" s="7"/>
      <c r="C57" s="7"/>
      <c r="D57" s="7"/>
      <c r="E57" s="4"/>
      <c r="F57" s="4" t="str">
        <f t="shared" si="0"/>
        <v/>
      </c>
    </row>
    <row r="58" spans="1:6" ht="14.25" customHeight="1" x14ac:dyDescent="0.3">
      <c r="A58" s="7"/>
      <c r="B58" s="7"/>
      <c r="C58" s="7"/>
      <c r="D58" s="7"/>
      <c r="E58" s="4"/>
      <c r="F58" s="4" t="str">
        <f t="shared" si="0"/>
        <v/>
      </c>
    </row>
    <row r="59" spans="1:6" ht="14.25" customHeight="1" x14ac:dyDescent="0.3">
      <c r="A59" s="7"/>
      <c r="B59" s="7"/>
      <c r="C59" s="7"/>
      <c r="D59" s="7"/>
      <c r="E59" s="4"/>
      <c r="F59" s="4" t="str">
        <f t="shared" si="0"/>
        <v/>
      </c>
    </row>
    <row r="60" spans="1:6" ht="14.25" customHeight="1" x14ac:dyDescent="0.3">
      <c r="A60" s="7"/>
      <c r="B60" s="7"/>
      <c r="C60" s="7"/>
      <c r="D60" s="7"/>
      <c r="E60" s="4"/>
      <c r="F60" s="4" t="str">
        <f t="shared" si="0"/>
        <v/>
      </c>
    </row>
    <row r="61" spans="1:6" ht="14.25" customHeight="1" x14ac:dyDescent="0.3">
      <c r="A61" s="7"/>
      <c r="B61" s="7"/>
      <c r="C61" s="7"/>
      <c r="D61" s="7"/>
      <c r="E61" s="4"/>
      <c r="F61" s="4" t="str">
        <f t="shared" si="0"/>
        <v/>
      </c>
    </row>
    <row r="62" spans="1:6" ht="14.25" customHeight="1" x14ac:dyDescent="0.3">
      <c r="A62" s="7"/>
      <c r="B62" s="7"/>
      <c r="C62" s="7"/>
      <c r="D62" s="7"/>
      <c r="E62" s="4"/>
      <c r="F62" s="4" t="str">
        <f t="shared" si="0"/>
        <v/>
      </c>
    </row>
    <row r="63" spans="1:6" ht="14.25" customHeight="1" x14ac:dyDescent="0.3">
      <c r="A63" s="7"/>
      <c r="B63" s="7"/>
      <c r="C63" s="7"/>
      <c r="D63" s="7"/>
      <c r="E63" s="4"/>
      <c r="F63" s="4" t="str">
        <f t="shared" si="0"/>
        <v/>
      </c>
    </row>
    <row r="64" spans="1:6" ht="14.25" customHeight="1" x14ac:dyDescent="0.3">
      <c r="A64" s="7"/>
      <c r="B64" s="7"/>
      <c r="C64" s="7"/>
      <c r="D64" s="7"/>
      <c r="E64" s="4"/>
      <c r="F64" s="4" t="str">
        <f t="shared" si="0"/>
        <v/>
      </c>
    </row>
    <row r="65" spans="1:6" ht="14.25" customHeight="1" x14ac:dyDescent="0.3">
      <c r="A65" s="7"/>
      <c r="B65" s="7"/>
      <c r="C65" s="7"/>
      <c r="D65" s="7"/>
      <c r="E65" s="4"/>
      <c r="F65" s="4" t="str">
        <f t="shared" si="0"/>
        <v/>
      </c>
    </row>
    <row r="66" spans="1:6" ht="14.25" customHeight="1" x14ac:dyDescent="0.3">
      <c r="A66" s="7"/>
      <c r="B66" s="7"/>
      <c r="C66" s="7"/>
      <c r="D66" s="7"/>
      <c r="E66" s="4"/>
      <c r="F66" s="4" t="str">
        <f t="shared" si="0"/>
        <v/>
      </c>
    </row>
    <row r="67" spans="1:6" ht="14.25" customHeight="1" x14ac:dyDescent="0.3">
      <c r="A67" s="7"/>
      <c r="B67" s="7"/>
      <c r="C67" s="7"/>
      <c r="D67" s="7"/>
      <c r="E67" s="4"/>
      <c r="F67" s="4" t="str">
        <f t="shared" si="0"/>
        <v/>
      </c>
    </row>
    <row r="68" spans="1:6" ht="14.25" customHeight="1" x14ac:dyDescent="0.3">
      <c r="A68" s="7"/>
      <c r="B68" s="7"/>
      <c r="C68" s="7"/>
      <c r="D68" s="7"/>
      <c r="E68" s="4"/>
      <c r="F68" s="4" t="str">
        <f t="shared" si="0"/>
        <v/>
      </c>
    </row>
    <row r="69" spans="1:6" ht="14.25" customHeight="1" x14ac:dyDescent="0.3">
      <c r="A69" s="7"/>
      <c r="B69" s="7"/>
      <c r="C69" s="7"/>
      <c r="D69" s="7"/>
      <c r="E69" s="4"/>
      <c r="F69" s="4" t="str">
        <f t="shared" si="0"/>
        <v/>
      </c>
    </row>
    <row r="70" spans="1:6" ht="14.25" customHeight="1" x14ac:dyDescent="0.3">
      <c r="A70" s="7"/>
      <c r="B70" s="7"/>
      <c r="C70" s="7"/>
      <c r="D70" s="7"/>
      <c r="E70" s="4"/>
      <c r="F70" s="4" t="str">
        <f t="shared" si="0"/>
        <v/>
      </c>
    </row>
    <row r="71" spans="1:6" ht="14.25" customHeight="1" x14ac:dyDescent="0.3">
      <c r="A71" s="7"/>
      <c r="B71" s="7"/>
      <c r="C71" s="7"/>
      <c r="D71" s="7"/>
      <c r="E71" s="4"/>
      <c r="F71" s="4" t="str">
        <f t="shared" si="0"/>
        <v/>
      </c>
    </row>
    <row r="72" spans="1:6" ht="14.25" customHeight="1" x14ac:dyDescent="0.3">
      <c r="A72" s="7"/>
      <c r="B72" s="7"/>
      <c r="C72" s="7"/>
      <c r="D72" s="7"/>
      <c r="E72" s="4"/>
      <c r="F72" s="4" t="str">
        <f t="shared" si="0"/>
        <v/>
      </c>
    </row>
    <row r="73" spans="1:6" ht="14.25" customHeight="1" x14ac:dyDescent="0.3">
      <c r="A73" s="7"/>
      <c r="B73" s="7"/>
      <c r="C73" s="7"/>
      <c r="D73" s="7"/>
      <c r="E73" s="4"/>
      <c r="F73" s="4" t="str">
        <f t="shared" si="0"/>
        <v/>
      </c>
    </row>
    <row r="74" spans="1:6" ht="14.25" customHeight="1" x14ac:dyDescent="0.3">
      <c r="A74" s="7"/>
      <c r="B74" s="7"/>
      <c r="C74" s="7"/>
      <c r="D74" s="7"/>
      <c r="E74" s="4"/>
      <c r="F74" s="4" t="str">
        <f t="shared" si="0"/>
        <v/>
      </c>
    </row>
    <row r="75" spans="1:6" ht="14.25" customHeight="1" x14ac:dyDescent="0.3">
      <c r="A75" s="7"/>
      <c r="B75" s="7"/>
      <c r="C75" s="7"/>
      <c r="D75" s="7"/>
      <c r="E75" s="4"/>
      <c r="F75" s="4" t="str">
        <f t="shared" si="0"/>
        <v/>
      </c>
    </row>
    <row r="76" spans="1:6" ht="14.25" customHeight="1" x14ac:dyDescent="0.3">
      <c r="A76" s="7"/>
      <c r="B76" s="7"/>
      <c r="C76" s="7"/>
      <c r="D76" s="7"/>
      <c r="E76" s="4"/>
      <c r="F76" s="4" t="str">
        <f t="shared" si="0"/>
        <v/>
      </c>
    </row>
    <row r="77" spans="1:6" ht="14.25" customHeight="1" x14ac:dyDescent="0.3">
      <c r="A77" s="7"/>
      <c r="B77" s="7"/>
      <c r="C77" s="7"/>
      <c r="D77" s="7"/>
      <c r="E77" s="4"/>
      <c r="F77" s="4" t="str">
        <f t="shared" si="0"/>
        <v/>
      </c>
    </row>
    <row r="78" spans="1:6" ht="14.25" customHeight="1" x14ac:dyDescent="0.3">
      <c r="A78" s="7"/>
      <c r="B78" s="7"/>
      <c r="C78" s="7"/>
      <c r="D78" s="7"/>
      <c r="E78" s="4"/>
      <c r="F78" s="4" t="str">
        <f t="shared" si="0"/>
        <v/>
      </c>
    </row>
    <row r="79" spans="1:6" ht="14.25" customHeight="1" x14ac:dyDescent="0.3">
      <c r="A79" s="7"/>
      <c r="B79" s="7"/>
      <c r="C79" s="7"/>
      <c r="D79" s="7"/>
      <c r="E79" s="4"/>
      <c r="F79" s="4" t="str">
        <f t="shared" si="0"/>
        <v/>
      </c>
    </row>
    <row r="80" spans="1:6" ht="14.25" customHeight="1" x14ac:dyDescent="0.3">
      <c r="A80" s="7"/>
      <c r="B80" s="7"/>
      <c r="C80" s="7"/>
      <c r="D80" s="7"/>
      <c r="E80" s="4"/>
      <c r="F80" s="4" t="str">
        <f t="shared" si="0"/>
        <v/>
      </c>
    </row>
    <row r="81" spans="1:6" ht="14.25" customHeight="1" x14ac:dyDescent="0.3">
      <c r="A81" s="7"/>
      <c r="B81" s="7"/>
      <c r="C81" s="7"/>
      <c r="D81" s="7"/>
      <c r="E81" s="4"/>
      <c r="F81" s="4" t="str">
        <f t="shared" si="0"/>
        <v/>
      </c>
    </row>
    <row r="82" spans="1:6" ht="14.25" customHeight="1" x14ac:dyDescent="0.3">
      <c r="A82" s="7"/>
      <c r="B82" s="7"/>
      <c r="C82" s="7"/>
      <c r="D82" s="7"/>
      <c r="E82" s="4"/>
      <c r="F82" s="4" t="str">
        <f t="shared" si="0"/>
        <v/>
      </c>
    </row>
    <row r="83" spans="1:6" ht="14.25" customHeight="1" x14ac:dyDescent="0.3">
      <c r="A83" s="7"/>
      <c r="B83" s="7"/>
      <c r="C83" s="7"/>
      <c r="D83" s="7"/>
      <c r="E83" s="4"/>
      <c r="F83" s="4" t="str">
        <f t="shared" si="0"/>
        <v/>
      </c>
    </row>
    <row r="84" spans="1:6" ht="14.25" customHeight="1" x14ac:dyDescent="0.3">
      <c r="A84" s="7"/>
      <c r="B84" s="7"/>
      <c r="C84" s="7"/>
      <c r="D84" s="7"/>
      <c r="E84" s="4"/>
      <c r="F84" s="4" t="str">
        <f t="shared" si="0"/>
        <v/>
      </c>
    </row>
    <row r="85" spans="1:6" ht="14.25" customHeight="1" x14ac:dyDescent="0.3">
      <c r="A85" s="7"/>
      <c r="B85" s="7"/>
      <c r="C85" s="7"/>
      <c r="D85" s="7"/>
      <c r="E85" s="4"/>
      <c r="F85" s="4" t="str">
        <f t="shared" si="0"/>
        <v/>
      </c>
    </row>
    <row r="86" spans="1:6" ht="14.25" customHeight="1" x14ac:dyDescent="0.3">
      <c r="A86" s="7"/>
      <c r="B86" s="7"/>
      <c r="C86" s="7"/>
      <c r="D86" s="7"/>
      <c r="E86" s="4"/>
      <c r="F86" s="4" t="str">
        <f t="shared" si="0"/>
        <v/>
      </c>
    </row>
    <row r="87" spans="1:6" ht="14.25" customHeight="1" x14ac:dyDescent="0.3">
      <c r="A87" s="7"/>
      <c r="B87" s="7"/>
      <c r="C87" s="7"/>
      <c r="D87" s="7"/>
      <c r="E87" s="4"/>
      <c r="F87" s="4" t="str">
        <f t="shared" si="0"/>
        <v/>
      </c>
    </row>
    <row r="88" spans="1:6" ht="14.25" customHeight="1" x14ac:dyDescent="0.3">
      <c r="A88" s="7"/>
      <c r="B88" s="7"/>
      <c r="C88" s="7"/>
      <c r="D88" s="7"/>
      <c r="E88" s="4"/>
      <c r="F88" s="4" t="str">
        <f t="shared" si="0"/>
        <v/>
      </c>
    </row>
    <row r="89" spans="1:6" ht="14.25" customHeight="1" x14ac:dyDescent="0.3">
      <c r="A89" s="7"/>
      <c r="B89" s="7"/>
      <c r="C89" s="7"/>
      <c r="D89" s="7"/>
      <c r="E89" s="4"/>
      <c r="F89" s="4" t="str">
        <f t="shared" si="0"/>
        <v/>
      </c>
    </row>
    <row r="90" spans="1:6" ht="14.25" customHeight="1" x14ac:dyDescent="0.3">
      <c r="A90" s="7"/>
      <c r="B90" s="7"/>
      <c r="C90" s="7"/>
      <c r="D90" s="7"/>
      <c r="E90" s="4"/>
      <c r="F90" s="4" t="str">
        <f t="shared" si="0"/>
        <v/>
      </c>
    </row>
    <row r="91" spans="1:6" ht="14.25" customHeight="1" x14ac:dyDescent="0.3">
      <c r="A91" s="7"/>
      <c r="B91" s="7"/>
      <c r="C91" s="7"/>
      <c r="D91" s="7"/>
      <c r="E91" s="4"/>
      <c r="F91" s="4" t="str">
        <f t="shared" si="0"/>
        <v/>
      </c>
    </row>
    <row r="92" spans="1:6" ht="14.25" customHeight="1" x14ac:dyDescent="0.3">
      <c r="A92" s="7"/>
      <c r="B92" s="7"/>
      <c r="C92" s="7"/>
      <c r="D92" s="7"/>
      <c r="E92" s="4"/>
      <c r="F92" s="4" t="str">
        <f t="shared" si="0"/>
        <v/>
      </c>
    </row>
    <row r="93" spans="1:6" ht="14.25" customHeight="1" x14ac:dyDescent="0.3">
      <c r="A93" s="7"/>
      <c r="B93" s="7"/>
      <c r="C93" s="7"/>
      <c r="D93" s="7"/>
      <c r="E93" s="4"/>
      <c r="F93" s="4" t="str">
        <f t="shared" si="0"/>
        <v/>
      </c>
    </row>
    <row r="94" spans="1:6" ht="14.25" customHeight="1" x14ac:dyDescent="0.3">
      <c r="A94" s="7"/>
      <c r="B94" s="7"/>
      <c r="C94" s="7"/>
      <c r="D94" s="7"/>
      <c r="E94" s="4"/>
      <c r="F94" s="4" t="str">
        <f t="shared" si="0"/>
        <v/>
      </c>
    </row>
    <row r="95" spans="1:6" ht="14.25" customHeight="1" x14ac:dyDescent="0.3">
      <c r="A95" s="7"/>
      <c r="B95" s="7"/>
      <c r="C95" s="7"/>
      <c r="D95" s="7"/>
      <c r="E95" s="4"/>
      <c r="F95" s="4" t="str">
        <f t="shared" si="0"/>
        <v/>
      </c>
    </row>
    <row r="96" spans="1:6" ht="14.25" customHeight="1" x14ac:dyDescent="0.3">
      <c r="A96" s="7"/>
      <c r="B96" s="7"/>
      <c r="C96" s="7"/>
      <c r="D96" s="7"/>
      <c r="E96" s="4"/>
      <c r="F96" s="4" t="str">
        <f t="shared" si="0"/>
        <v/>
      </c>
    </row>
    <row r="97" spans="1:6" ht="14.25" customHeight="1" x14ac:dyDescent="0.3">
      <c r="A97" s="7"/>
      <c r="B97" s="7"/>
      <c r="C97" s="7"/>
      <c r="D97" s="7"/>
      <c r="E97" s="4"/>
      <c r="F97" s="4" t="str">
        <f t="shared" si="0"/>
        <v/>
      </c>
    </row>
    <row r="98" spans="1:6" ht="14.25" customHeight="1" x14ac:dyDescent="0.3">
      <c r="A98" s="7"/>
      <c r="B98" s="7"/>
      <c r="C98" s="7"/>
      <c r="D98" s="7"/>
      <c r="E98" s="4"/>
      <c r="F98" s="4" t="str">
        <f t="shared" si="0"/>
        <v/>
      </c>
    </row>
    <row r="99" spans="1:6" ht="14.25" customHeight="1" x14ac:dyDescent="0.3">
      <c r="A99" s="7"/>
      <c r="B99" s="7"/>
      <c r="C99" s="7"/>
      <c r="D99" s="7"/>
      <c r="E99" s="4"/>
      <c r="F99" s="4" t="str">
        <f t="shared" si="0"/>
        <v/>
      </c>
    </row>
    <row r="100" spans="1:6" ht="14.25" customHeight="1" x14ac:dyDescent="0.3">
      <c r="A100" s="7"/>
      <c r="B100" s="7"/>
      <c r="C100" s="7"/>
      <c r="D100" s="7"/>
      <c r="E100" s="4"/>
      <c r="F100" s="4" t="str">
        <f t="shared" si="0"/>
        <v/>
      </c>
    </row>
    <row r="101" spans="1:6" ht="14.25" customHeight="1" x14ac:dyDescent="0.3">
      <c r="A101" s="7"/>
      <c r="B101" s="7"/>
      <c r="C101" s="7"/>
      <c r="D101" s="7"/>
      <c r="E101" s="4"/>
      <c r="F101" s="4" t="str">
        <f t="shared" si="0"/>
        <v/>
      </c>
    </row>
    <row r="102" spans="1:6" ht="14.25" customHeight="1" x14ac:dyDescent="0.3">
      <c r="A102" s="7"/>
      <c r="B102" s="7"/>
      <c r="C102" s="7"/>
      <c r="D102" s="7"/>
      <c r="E102" s="4"/>
      <c r="F102" s="4" t="str">
        <f t="shared" si="0"/>
        <v/>
      </c>
    </row>
    <row r="103" spans="1:6" ht="14.25" customHeight="1" x14ac:dyDescent="0.3">
      <c r="A103" s="7"/>
      <c r="B103" s="7"/>
      <c r="C103" s="7"/>
      <c r="D103" s="7"/>
      <c r="E103" s="4"/>
      <c r="F103" s="4" t="str">
        <f t="shared" si="0"/>
        <v/>
      </c>
    </row>
    <row r="104" spans="1:6" ht="14.25" customHeight="1" x14ac:dyDescent="0.3">
      <c r="A104" s="7"/>
      <c r="B104" s="7"/>
      <c r="C104" s="7"/>
      <c r="D104" s="7"/>
      <c r="E104" s="4"/>
      <c r="F104" s="4" t="str">
        <f t="shared" si="0"/>
        <v/>
      </c>
    </row>
    <row r="105" spans="1:6" ht="14.25" customHeight="1" x14ac:dyDescent="0.3">
      <c r="A105" s="7"/>
      <c r="B105" s="7"/>
      <c r="C105" s="7"/>
      <c r="D105" s="7"/>
      <c r="E105" s="4"/>
      <c r="F105" s="4" t="str">
        <f t="shared" si="0"/>
        <v/>
      </c>
    </row>
    <row r="106" spans="1:6" ht="14.25" customHeight="1" x14ac:dyDescent="0.3">
      <c r="A106" s="7"/>
      <c r="B106" s="7"/>
      <c r="C106" s="7"/>
      <c r="D106" s="7"/>
      <c r="E106" s="4"/>
      <c r="F106" s="4" t="str">
        <f t="shared" si="0"/>
        <v/>
      </c>
    </row>
    <row r="107" spans="1:6" ht="14.25" customHeight="1" x14ac:dyDescent="0.3">
      <c r="A107" s="7"/>
      <c r="B107" s="7"/>
      <c r="C107" s="7"/>
      <c r="D107" s="7"/>
      <c r="E107" s="4"/>
      <c r="F107" s="4" t="str">
        <f t="shared" si="0"/>
        <v/>
      </c>
    </row>
    <row r="108" spans="1:6" ht="14.25" customHeight="1" x14ac:dyDescent="0.3">
      <c r="A108" s="7"/>
      <c r="B108" s="7"/>
      <c r="C108" s="7"/>
      <c r="D108" s="7"/>
      <c r="E108" s="4"/>
      <c r="F108" s="4" t="str">
        <f t="shared" si="0"/>
        <v/>
      </c>
    </row>
    <row r="109" spans="1:6" ht="14.25" customHeight="1" x14ac:dyDescent="0.3">
      <c r="A109" s="7"/>
      <c r="B109" s="7"/>
      <c r="C109" s="7"/>
      <c r="D109" s="7"/>
      <c r="E109" s="4"/>
      <c r="F109" s="4" t="str">
        <f t="shared" si="0"/>
        <v/>
      </c>
    </row>
    <row r="110" spans="1:6" ht="14.25" customHeight="1" x14ac:dyDescent="0.3">
      <c r="A110" s="7"/>
      <c r="B110" s="7"/>
      <c r="C110" s="7"/>
      <c r="D110" s="7"/>
      <c r="E110" s="4"/>
      <c r="F110" s="4" t="str">
        <f t="shared" si="0"/>
        <v/>
      </c>
    </row>
    <row r="111" spans="1:6" ht="14.25" customHeight="1" x14ac:dyDescent="0.3">
      <c r="A111" s="7"/>
      <c r="B111" s="7"/>
      <c r="C111" s="7"/>
      <c r="D111" s="7"/>
      <c r="E111" s="4"/>
      <c r="F111" s="4" t="str">
        <f t="shared" si="0"/>
        <v/>
      </c>
    </row>
    <row r="112" spans="1:6" ht="14.25" customHeight="1" x14ac:dyDescent="0.3">
      <c r="A112" s="7"/>
      <c r="B112" s="7"/>
      <c r="C112" s="7"/>
      <c r="D112" s="7"/>
      <c r="E112" s="4"/>
      <c r="F112" s="4" t="str">
        <f t="shared" si="0"/>
        <v/>
      </c>
    </row>
    <row r="113" spans="1:6" ht="14.25" customHeight="1" x14ac:dyDescent="0.3">
      <c r="A113" s="7"/>
      <c r="B113" s="7"/>
      <c r="C113" s="7"/>
      <c r="D113" s="7"/>
      <c r="E113" s="4"/>
      <c r="F113" s="4" t="str">
        <f t="shared" si="0"/>
        <v/>
      </c>
    </row>
    <row r="114" spans="1:6" ht="14.25" customHeight="1" x14ac:dyDescent="0.3">
      <c r="A114" s="7"/>
      <c r="B114" s="7"/>
      <c r="C114" s="7"/>
      <c r="D114" s="7"/>
      <c r="E114" s="4"/>
      <c r="F114" s="4" t="str">
        <f t="shared" si="0"/>
        <v/>
      </c>
    </row>
    <row r="115" spans="1:6" ht="14.25" customHeight="1" x14ac:dyDescent="0.3">
      <c r="A115" s="7"/>
      <c r="B115" s="7"/>
      <c r="C115" s="7"/>
      <c r="D115" s="7"/>
      <c r="E115" s="4"/>
      <c r="F115" s="4" t="str">
        <f t="shared" si="0"/>
        <v/>
      </c>
    </row>
    <row r="116" spans="1:6" ht="14.25" customHeight="1" x14ac:dyDescent="0.3">
      <c r="A116" s="7"/>
      <c r="B116" s="7"/>
      <c r="C116" s="7"/>
      <c r="D116" s="7"/>
      <c r="E116" s="4"/>
      <c r="F116" s="4" t="str">
        <f t="shared" si="0"/>
        <v/>
      </c>
    </row>
    <row r="117" spans="1:6" ht="14.25" customHeight="1" x14ac:dyDescent="0.3">
      <c r="A117" s="7"/>
      <c r="B117" s="7"/>
      <c r="C117" s="7"/>
      <c r="D117" s="7"/>
      <c r="E117" s="4"/>
      <c r="F117" s="4" t="str">
        <f t="shared" si="0"/>
        <v/>
      </c>
    </row>
    <row r="118" spans="1:6" ht="14.25" customHeight="1" x14ac:dyDescent="0.3">
      <c r="A118" s="7"/>
      <c r="B118" s="7"/>
      <c r="C118" s="7"/>
      <c r="D118" s="7"/>
      <c r="E118" s="4"/>
      <c r="F118" s="4" t="str">
        <f t="shared" si="0"/>
        <v/>
      </c>
    </row>
    <row r="119" spans="1:6" ht="14.25" customHeight="1" x14ac:dyDescent="0.3">
      <c r="A119" s="7"/>
      <c r="B119" s="7"/>
      <c r="C119" s="7"/>
      <c r="D119" s="7"/>
      <c r="E119" s="4"/>
      <c r="F119" s="4" t="str">
        <f t="shared" si="0"/>
        <v/>
      </c>
    </row>
    <row r="120" spans="1:6" ht="14.25" customHeight="1" x14ac:dyDescent="0.3">
      <c r="A120" s="7"/>
      <c r="B120" s="7"/>
      <c r="C120" s="7"/>
      <c r="D120" s="7"/>
      <c r="E120" s="4"/>
      <c r="F120" s="4" t="str">
        <f t="shared" si="0"/>
        <v/>
      </c>
    </row>
    <row r="121" spans="1:6" ht="14.25" customHeight="1" x14ac:dyDescent="0.3">
      <c r="A121" s="7"/>
      <c r="B121" s="7"/>
      <c r="C121" s="7"/>
      <c r="D121" s="7"/>
      <c r="E121" s="4"/>
      <c r="F121" s="4" t="str">
        <f t="shared" si="0"/>
        <v/>
      </c>
    </row>
    <row r="122" spans="1:6" ht="14.25" customHeight="1" x14ac:dyDescent="0.3">
      <c r="A122" s="7"/>
      <c r="B122" s="7"/>
      <c r="C122" s="7"/>
      <c r="D122" s="7"/>
      <c r="E122" s="4"/>
      <c r="F122" s="4" t="str">
        <f t="shared" si="0"/>
        <v/>
      </c>
    </row>
    <row r="123" spans="1:6" ht="14.25" customHeight="1" x14ac:dyDescent="0.3">
      <c r="A123" s="7"/>
      <c r="B123" s="7"/>
      <c r="C123" s="7"/>
      <c r="D123" s="7"/>
      <c r="E123" s="4"/>
      <c r="F123" s="4" t="str">
        <f t="shared" si="0"/>
        <v/>
      </c>
    </row>
    <row r="124" spans="1:6" ht="14.25" customHeight="1" x14ac:dyDescent="0.3">
      <c r="A124" s="7"/>
      <c r="B124" s="7"/>
      <c r="C124" s="7"/>
      <c r="D124" s="7"/>
      <c r="E124" s="4"/>
      <c r="F124" s="4" t="str">
        <f t="shared" si="0"/>
        <v/>
      </c>
    </row>
    <row r="125" spans="1:6" ht="14.25" customHeight="1" x14ac:dyDescent="0.3">
      <c r="A125" s="7"/>
      <c r="B125" s="7"/>
      <c r="C125" s="7"/>
      <c r="D125" s="7"/>
      <c r="E125" s="4"/>
      <c r="F125" s="4" t="str">
        <f t="shared" si="0"/>
        <v/>
      </c>
    </row>
    <row r="126" spans="1:6" ht="14.25" customHeight="1" x14ac:dyDescent="0.3">
      <c r="A126" s="7"/>
      <c r="B126" s="7"/>
      <c r="C126" s="7"/>
      <c r="D126" s="7"/>
      <c r="E126" s="4"/>
      <c r="F126" s="4" t="str">
        <f t="shared" si="0"/>
        <v/>
      </c>
    </row>
    <row r="127" spans="1:6" ht="14.25" customHeight="1" x14ac:dyDescent="0.3">
      <c r="A127" s="7"/>
      <c r="B127" s="7"/>
      <c r="C127" s="7"/>
      <c r="D127" s="7"/>
      <c r="E127" s="4"/>
      <c r="F127" s="4" t="str">
        <f t="shared" si="0"/>
        <v/>
      </c>
    </row>
    <row r="128" spans="1:6" ht="14.25" customHeight="1" x14ac:dyDescent="0.3">
      <c r="A128" s="7"/>
      <c r="B128" s="7"/>
      <c r="C128" s="7"/>
      <c r="D128" s="7"/>
      <c r="E128" s="4"/>
      <c r="F128" s="4" t="str">
        <f t="shared" si="0"/>
        <v/>
      </c>
    </row>
    <row r="129" spans="1:6" ht="14.25" customHeight="1" x14ac:dyDescent="0.3">
      <c r="A129" s="7"/>
      <c r="B129" s="7"/>
      <c r="C129" s="7"/>
      <c r="D129" s="7"/>
      <c r="E129" s="4"/>
      <c r="F129" s="4" t="str">
        <f t="shared" si="0"/>
        <v/>
      </c>
    </row>
    <row r="130" spans="1:6" ht="14.25" customHeight="1" x14ac:dyDescent="0.3">
      <c r="A130" s="7"/>
      <c r="B130" s="7"/>
      <c r="C130" s="7"/>
      <c r="D130" s="7"/>
      <c r="E130" s="4"/>
      <c r="F130" s="4" t="str">
        <f t="shared" si="0"/>
        <v/>
      </c>
    </row>
    <row r="131" spans="1:6" ht="14.25" customHeight="1" x14ac:dyDescent="0.3">
      <c r="A131" s="7"/>
      <c r="B131" s="7"/>
      <c r="C131" s="7"/>
      <c r="D131" s="7"/>
      <c r="E131" s="4"/>
      <c r="F131" s="4" t="str">
        <f t="shared" si="0"/>
        <v/>
      </c>
    </row>
    <row r="132" spans="1:6" ht="14.25" customHeight="1" x14ac:dyDescent="0.3">
      <c r="A132" s="7"/>
      <c r="B132" s="7"/>
      <c r="C132" s="7"/>
      <c r="D132" s="7"/>
      <c r="E132" s="4"/>
      <c r="F132" s="4" t="str">
        <f t="shared" si="0"/>
        <v/>
      </c>
    </row>
    <row r="133" spans="1:6" ht="14.25" customHeight="1" x14ac:dyDescent="0.3">
      <c r="A133" s="7"/>
      <c r="B133" s="7"/>
      <c r="C133" s="7"/>
      <c r="D133" s="7"/>
      <c r="E133" s="4"/>
      <c r="F133" s="4" t="str">
        <f t="shared" si="0"/>
        <v/>
      </c>
    </row>
    <row r="134" spans="1:6" ht="14.25" customHeight="1" x14ac:dyDescent="0.3">
      <c r="A134" s="7"/>
      <c r="B134" s="7"/>
      <c r="C134" s="7"/>
      <c r="D134" s="7"/>
      <c r="E134" s="4"/>
      <c r="F134" s="4" t="str">
        <f t="shared" si="0"/>
        <v/>
      </c>
    </row>
    <row r="135" spans="1:6" ht="14.25" customHeight="1" x14ac:dyDescent="0.3">
      <c r="A135" s="7"/>
      <c r="B135" s="7"/>
      <c r="C135" s="7"/>
      <c r="D135" s="7"/>
      <c r="E135" s="4"/>
      <c r="F135" s="4" t="str">
        <f t="shared" si="0"/>
        <v/>
      </c>
    </row>
    <row r="136" spans="1:6" ht="14.25" customHeight="1" x14ac:dyDescent="0.3">
      <c r="A136" s="7"/>
      <c r="B136" s="7"/>
      <c r="C136" s="7"/>
      <c r="D136" s="7"/>
      <c r="E136" s="4"/>
      <c r="F136" s="4" t="str">
        <f t="shared" si="0"/>
        <v/>
      </c>
    </row>
    <row r="137" spans="1:6" ht="14.25" customHeight="1" x14ac:dyDescent="0.3">
      <c r="A137" s="7"/>
      <c r="B137" s="7"/>
      <c r="C137" s="7"/>
      <c r="D137" s="7"/>
      <c r="E137" s="4"/>
      <c r="F137" s="4" t="str">
        <f t="shared" si="0"/>
        <v/>
      </c>
    </row>
    <row r="138" spans="1:6" ht="14.25" customHeight="1" x14ac:dyDescent="0.3">
      <c r="A138" s="7"/>
      <c r="B138" s="7"/>
      <c r="C138" s="7"/>
      <c r="D138" s="7"/>
      <c r="E138" s="4"/>
      <c r="F138" s="4" t="str">
        <f t="shared" si="0"/>
        <v/>
      </c>
    </row>
    <row r="139" spans="1:6" ht="14.25" customHeight="1" x14ac:dyDescent="0.3">
      <c r="A139" s="7"/>
      <c r="B139" s="7"/>
      <c r="C139" s="7"/>
      <c r="D139" s="7"/>
      <c r="E139" s="4"/>
      <c r="F139" s="4" t="str">
        <f t="shared" si="0"/>
        <v/>
      </c>
    </row>
    <row r="140" spans="1:6" ht="14.25" customHeight="1" x14ac:dyDescent="0.3">
      <c r="A140" s="7"/>
      <c r="B140" s="7"/>
      <c r="C140" s="7"/>
      <c r="D140" s="7"/>
      <c r="E140" s="4"/>
      <c r="F140" s="4" t="str">
        <f t="shared" si="0"/>
        <v/>
      </c>
    </row>
    <row r="141" spans="1:6" ht="14.25" customHeight="1" x14ac:dyDescent="0.3">
      <c r="A141" s="7"/>
      <c r="B141" s="7"/>
      <c r="C141" s="7"/>
      <c r="D141" s="7"/>
      <c r="E141" s="4"/>
      <c r="F141" s="4" t="str">
        <f t="shared" si="0"/>
        <v/>
      </c>
    </row>
    <row r="142" spans="1:6" ht="14.25" customHeight="1" x14ac:dyDescent="0.3">
      <c r="A142" s="7"/>
      <c r="B142" s="7"/>
      <c r="C142" s="7"/>
      <c r="D142" s="7"/>
      <c r="E142" s="4"/>
      <c r="F142" s="4" t="str">
        <f t="shared" si="0"/>
        <v/>
      </c>
    </row>
    <row r="143" spans="1:6" ht="14.25" customHeight="1" x14ac:dyDescent="0.3">
      <c r="A143" s="7"/>
      <c r="B143" s="7"/>
      <c r="C143" s="7"/>
      <c r="D143" s="7"/>
      <c r="E143" s="4"/>
      <c r="F143" s="4" t="str">
        <f t="shared" si="0"/>
        <v/>
      </c>
    </row>
    <row r="144" spans="1:6" ht="14.25" customHeight="1" x14ac:dyDescent="0.3">
      <c r="A144" s="7"/>
      <c r="B144" s="7"/>
      <c r="C144" s="7"/>
      <c r="D144" s="7"/>
      <c r="E144" s="4"/>
      <c r="F144" s="4" t="str">
        <f t="shared" si="0"/>
        <v/>
      </c>
    </row>
    <row r="145" spans="1:6" ht="14.25" customHeight="1" x14ac:dyDescent="0.3">
      <c r="A145" s="7"/>
      <c r="B145" s="7"/>
      <c r="C145" s="7"/>
      <c r="D145" s="7"/>
      <c r="E145" s="4"/>
      <c r="F145" s="4" t="str">
        <f t="shared" si="0"/>
        <v/>
      </c>
    </row>
    <row r="146" spans="1:6" ht="14.25" customHeight="1" x14ac:dyDescent="0.3">
      <c r="A146" s="7"/>
      <c r="B146" s="7"/>
      <c r="C146" s="7"/>
      <c r="D146" s="7"/>
      <c r="E146" s="4"/>
      <c r="F146" s="4" t="str">
        <f t="shared" si="0"/>
        <v/>
      </c>
    </row>
    <row r="147" spans="1:6" ht="14.25" customHeight="1" x14ac:dyDescent="0.3">
      <c r="A147" s="7"/>
      <c r="B147" s="7"/>
      <c r="C147" s="7"/>
      <c r="D147" s="7"/>
      <c r="E147" s="4"/>
      <c r="F147" s="4" t="str">
        <f t="shared" si="0"/>
        <v/>
      </c>
    </row>
    <row r="148" spans="1:6" ht="14.25" customHeight="1" x14ac:dyDescent="0.3">
      <c r="A148" s="7"/>
      <c r="B148" s="7"/>
      <c r="C148" s="7"/>
      <c r="D148" s="7"/>
      <c r="E148" s="4"/>
      <c r="F148" s="4" t="str">
        <f t="shared" si="0"/>
        <v/>
      </c>
    </row>
    <row r="149" spans="1:6" ht="14.25" customHeight="1" x14ac:dyDescent="0.3">
      <c r="A149" s="7"/>
      <c r="B149" s="7"/>
      <c r="C149" s="7"/>
      <c r="D149" s="7"/>
      <c r="E149" s="4"/>
      <c r="F149" s="4" t="str">
        <f t="shared" si="0"/>
        <v/>
      </c>
    </row>
    <row r="150" spans="1:6" ht="14.25" customHeight="1" x14ac:dyDescent="0.3">
      <c r="A150" s="7"/>
      <c r="B150" s="7"/>
      <c r="C150" s="7"/>
      <c r="D150" s="7"/>
      <c r="E150" s="4"/>
      <c r="F150" s="4" t="str">
        <f t="shared" si="0"/>
        <v/>
      </c>
    </row>
    <row r="151" spans="1:6" ht="14.25" customHeight="1" x14ac:dyDescent="0.3">
      <c r="A151" s="7"/>
      <c r="B151" s="7"/>
      <c r="C151" s="7"/>
      <c r="D151" s="7"/>
      <c r="E151" s="4"/>
      <c r="F151" s="4" t="str">
        <f t="shared" si="0"/>
        <v/>
      </c>
    </row>
    <row r="152" spans="1:6" ht="14.25" customHeight="1" x14ac:dyDescent="0.3">
      <c r="A152" s="7"/>
      <c r="B152" s="7"/>
      <c r="C152" s="7"/>
      <c r="D152" s="7"/>
      <c r="E152" s="4"/>
      <c r="F152" s="4" t="str">
        <f t="shared" si="0"/>
        <v/>
      </c>
    </row>
    <row r="153" spans="1:6" ht="14.25" customHeight="1" x14ac:dyDescent="0.3">
      <c r="A153" s="7"/>
      <c r="B153" s="7"/>
      <c r="C153" s="7"/>
      <c r="D153" s="7"/>
      <c r="E153" s="4"/>
      <c r="F153" s="4" t="str">
        <f t="shared" si="0"/>
        <v/>
      </c>
    </row>
    <row r="154" spans="1:6" ht="14.25" customHeight="1" x14ac:dyDescent="0.3">
      <c r="A154" s="7"/>
      <c r="B154" s="7"/>
      <c r="C154" s="7"/>
      <c r="D154" s="7"/>
      <c r="E154" s="4"/>
      <c r="F154" s="4" t="str">
        <f t="shared" si="0"/>
        <v/>
      </c>
    </row>
    <row r="155" spans="1:6" ht="14.25" customHeight="1" x14ac:dyDescent="0.3">
      <c r="A155" s="7"/>
      <c r="B155" s="7"/>
      <c r="C155" s="7"/>
      <c r="D155" s="7"/>
      <c r="E155" s="4"/>
      <c r="F155" s="4" t="str">
        <f t="shared" si="0"/>
        <v/>
      </c>
    </row>
    <row r="156" spans="1:6" ht="14.25" customHeight="1" x14ac:dyDescent="0.3">
      <c r="A156" s="7"/>
      <c r="B156" s="7"/>
      <c r="C156" s="7"/>
      <c r="D156" s="7"/>
      <c r="E156" s="4"/>
      <c r="F156" s="4" t="str">
        <f t="shared" si="0"/>
        <v/>
      </c>
    </row>
    <row r="157" spans="1:6" ht="14.25" customHeight="1" x14ac:dyDescent="0.3">
      <c r="A157" s="7"/>
      <c r="B157" s="7"/>
      <c r="C157" s="7"/>
      <c r="D157" s="7"/>
      <c r="E157" s="4"/>
      <c r="F157" s="4" t="str">
        <f t="shared" si="0"/>
        <v/>
      </c>
    </row>
    <row r="158" spans="1:6" ht="14.25" customHeight="1" x14ac:dyDescent="0.3">
      <c r="A158" s="7"/>
      <c r="B158" s="7"/>
      <c r="C158" s="7"/>
      <c r="D158" s="7"/>
      <c r="E158" s="4"/>
      <c r="F158" s="4" t="str">
        <f t="shared" si="0"/>
        <v/>
      </c>
    </row>
    <row r="159" spans="1:6" ht="14.25" customHeight="1" x14ac:dyDescent="0.3">
      <c r="A159" s="7"/>
      <c r="B159" s="7"/>
      <c r="C159" s="7"/>
      <c r="D159" s="7"/>
      <c r="E159" s="4"/>
      <c r="F159" s="4" t="str">
        <f t="shared" si="0"/>
        <v/>
      </c>
    </row>
    <row r="160" spans="1:6" ht="14.25" customHeight="1" x14ac:dyDescent="0.3">
      <c r="A160" s="7"/>
      <c r="B160" s="7"/>
      <c r="C160" s="7"/>
      <c r="D160" s="7"/>
      <c r="E160" s="4"/>
      <c r="F160" s="4" t="str">
        <f t="shared" si="0"/>
        <v/>
      </c>
    </row>
    <row r="161" spans="1:6" ht="14.25" customHeight="1" x14ac:dyDescent="0.3">
      <c r="A161" s="7"/>
      <c r="B161" s="7"/>
      <c r="C161" s="7"/>
      <c r="D161" s="7"/>
      <c r="E161" s="4"/>
      <c r="F161" s="4" t="str">
        <f t="shared" si="0"/>
        <v/>
      </c>
    </row>
    <row r="162" spans="1:6" ht="14.25" customHeight="1" x14ac:dyDescent="0.3">
      <c r="A162" s="7"/>
      <c r="B162" s="7"/>
      <c r="C162" s="7"/>
      <c r="D162" s="7"/>
      <c r="E162" s="4"/>
      <c r="F162" s="4" t="str">
        <f t="shared" si="0"/>
        <v/>
      </c>
    </row>
    <row r="163" spans="1:6" ht="14.25" customHeight="1" x14ac:dyDescent="0.3">
      <c r="A163" s="7"/>
      <c r="B163" s="7"/>
      <c r="C163" s="7"/>
      <c r="D163" s="7"/>
      <c r="E163" s="4"/>
      <c r="F163" s="4" t="str">
        <f t="shared" si="0"/>
        <v/>
      </c>
    </row>
    <row r="164" spans="1:6" ht="14.25" customHeight="1" x14ac:dyDescent="0.3">
      <c r="A164" s="7"/>
      <c r="B164" s="7"/>
      <c r="C164" s="7"/>
      <c r="D164" s="7"/>
      <c r="E164" s="4"/>
      <c r="F164" s="4" t="str">
        <f t="shared" si="0"/>
        <v/>
      </c>
    </row>
    <row r="165" spans="1:6" ht="14.25" customHeight="1" x14ac:dyDescent="0.3">
      <c r="A165" s="7"/>
      <c r="B165" s="7"/>
      <c r="C165" s="7"/>
      <c r="D165" s="7"/>
      <c r="E165" s="4"/>
      <c r="F165" s="4" t="str">
        <f t="shared" si="0"/>
        <v/>
      </c>
    </row>
    <row r="166" spans="1:6" ht="14.25" customHeight="1" x14ac:dyDescent="0.3">
      <c r="A166" s="7"/>
      <c r="B166" s="7"/>
      <c r="C166" s="7"/>
      <c r="D166" s="7"/>
      <c r="E166" s="4"/>
      <c r="F166" s="4" t="str">
        <f t="shared" si="0"/>
        <v/>
      </c>
    </row>
    <row r="167" spans="1:6" ht="14.25" customHeight="1" x14ac:dyDescent="0.3">
      <c r="A167" s="7"/>
      <c r="B167" s="7"/>
      <c r="C167" s="7"/>
      <c r="D167" s="7"/>
      <c r="E167" s="4"/>
      <c r="F167" s="4" t="str">
        <f t="shared" si="0"/>
        <v/>
      </c>
    </row>
    <row r="168" spans="1:6" ht="14.25" customHeight="1" x14ac:dyDescent="0.3">
      <c r="A168" s="7"/>
      <c r="B168" s="7"/>
      <c r="C168" s="7"/>
      <c r="D168" s="7"/>
      <c r="E168" s="4"/>
      <c r="F168" s="4" t="str">
        <f t="shared" si="0"/>
        <v/>
      </c>
    </row>
    <row r="169" spans="1:6" ht="14.25" customHeight="1" x14ac:dyDescent="0.3">
      <c r="A169" s="7"/>
      <c r="B169" s="7"/>
      <c r="C169" s="7"/>
      <c r="D169" s="7"/>
      <c r="E169" s="4"/>
      <c r="F169" s="4" t="str">
        <f t="shared" si="0"/>
        <v/>
      </c>
    </row>
    <row r="170" spans="1:6" ht="14.25" customHeight="1" x14ac:dyDescent="0.3">
      <c r="A170" s="7"/>
      <c r="B170" s="7"/>
      <c r="C170" s="7"/>
      <c r="D170" s="7"/>
      <c r="E170" s="4"/>
      <c r="F170" s="4" t="str">
        <f t="shared" si="0"/>
        <v/>
      </c>
    </row>
    <row r="171" spans="1:6" ht="14.25" customHeight="1" x14ac:dyDescent="0.3">
      <c r="A171" s="7"/>
      <c r="B171" s="7"/>
      <c r="C171" s="7"/>
      <c r="D171" s="7"/>
      <c r="E171" s="4"/>
      <c r="F171" s="4" t="str">
        <f t="shared" si="0"/>
        <v/>
      </c>
    </row>
    <row r="172" spans="1:6" ht="14.25" customHeight="1" x14ac:dyDescent="0.3">
      <c r="A172" s="7"/>
      <c r="B172" s="7"/>
      <c r="C172" s="7"/>
      <c r="D172" s="7"/>
      <c r="E172" s="4"/>
      <c r="F172" s="4" t="str">
        <f t="shared" si="0"/>
        <v/>
      </c>
    </row>
    <row r="173" spans="1:6" ht="14.25" customHeight="1" x14ac:dyDescent="0.3">
      <c r="A173" s="7"/>
      <c r="B173" s="7"/>
      <c r="C173" s="7"/>
      <c r="D173" s="7"/>
      <c r="E173" s="4"/>
      <c r="F173" s="4" t="str">
        <f t="shared" si="0"/>
        <v/>
      </c>
    </row>
    <row r="174" spans="1:6" ht="14.25" customHeight="1" x14ac:dyDescent="0.3">
      <c r="A174" s="7"/>
      <c r="B174" s="7"/>
      <c r="C174" s="7"/>
      <c r="D174" s="7"/>
      <c r="E174" s="4"/>
      <c r="F174" s="4" t="str">
        <f t="shared" si="0"/>
        <v/>
      </c>
    </row>
    <row r="175" spans="1:6" ht="14.25" customHeight="1" x14ac:dyDescent="0.3">
      <c r="A175" s="7"/>
      <c r="B175" s="7"/>
      <c r="C175" s="7"/>
      <c r="D175" s="7"/>
      <c r="E175" s="4"/>
      <c r="F175" s="4" t="str">
        <f t="shared" si="0"/>
        <v/>
      </c>
    </row>
    <row r="176" spans="1:6" ht="14.25" customHeight="1" x14ac:dyDescent="0.3">
      <c r="A176" s="7"/>
      <c r="B176" s="7"/>
      <c r="C176" s="7"/>
      <c r="D176" s="7"/>
      <c r="E176" s="4"/>
      <c r="F176" s="4" t="str">
        <f t="shared" si="0"/>
        <v/>
      </c>
    </row>
    <row r="177" spans="1:6" ht="14.25" customHeight="1" x14ac:dyDescent="0.3">
      <c r="A177" s="7"/>
      <c r="B177" s="7"/>
      <c r="C177" s="7"/>
      <c r="D177" s="7"/>
      <c r="E177" s="4"/>
      <c r="F177" s="4" t="str">
        <f t="shared" si="0"/>
        <v/>
      </c>
    </row>
    <row r="178" spans="1:6" ht="14.25" customHeight="1" x14ac:dyDescent="0.3">
      <c r="A178" s="7"/>
      <c r="B178" s="7"/>
      <c r="C178" s="7"/>
      <c r="D178" s="7"/>
      <c r="E178" s="4"/>
      <c r="F178" s="4" t="str">
        <f t="shared" si="0"/>
        <v/>
      </c>
    </row>
    <row r="179" spans="1:6" ht="14.25" customHeight="1" x14ac:dyDescent="0.3">
      <c r="A179" s="7"/>
      <c r="B179" s="7"/>
      <c r="C179" s="7"/>
      <c r="D179" s="7"/>
      <c r="E179" s="4"/>
      <c r="F179" s="4" t="str">
        <f t="shared" si="0"/>
        <v/>
      </c>
    </row>
    <row r="180" spans="1:6" ht="14.25" customHeight="1" x14ac:dyDescent="0.3">
      <c r="A180" s="7"/>
      <c r="B180" s="7"/>
      <c r="C180" s="7"/>
      <c r="D180" s="7"/>
      <c r="E180" s="4"/>
      <c r="F180" s="4" t="str">
        <f t="shared" si="0"/>
        <v/>
      </c>
    </row>
    <row r="181" spans="1:6" ht="14.25" customHeight="1" x14ac:dyDescent="0.3">
      <c r="A181" s="7"/>
      <c r="B181" s="7"/>
      <c r="C181" s="7"/>
      <c r="D181" s="7"/>
      <c r="E181" s="4"/>
      <c r="F181" s="4" t="str">
        <f t="shared" si="0"/>
        <v/>
      </c>
    </row>
    <row r="182" spans="1:6" ht="14.25" customHeight="1" x14ac:dyDescent="0.3">
      <c r="A182" s="7"/>
      <c r="B182" s="7"/>
      <c r="C182" s="7"/>
      <c r="D182" s="7"/>
      <c r="E182" s="4"/>
      <c r="F182" s="4" t="str">
        <f t="shared" si="0"/>
        <v/>
      </c>
    </row>
    <row r="183" spans="1:6" ht="14.25" customHeight="1" x14ac:dyDescent="0.3">
      <c r="A183" s="7"/>
      <c r="B183" s="7"/>
      <c r="C183" s="7"/>
      <c r="D183" s="7"/>
      <c r="E183" s="4"/>
      <c r="F183" s="4" t="str">
        <f t="shared" si="0"/>
        <v/>
      </c>
    </row>
    <row r="184" spans="1:6" ht="14.25" customHeight="1" x14ac:dyDescent="0.3">
      <c r="A184" s="7"/>
      <c r="B184" s="7"/>
      <c r="C184" s="7"/>
      <c r="D184" s="7"/>
      <c r="E184" s="4"/>
      <c r="F184" s="4" t="str">
        <f t="shared" si="0"/>
        <v/>
      </c>
    </row>
    <row r="185" spans="1:6" ht="14.25" customHeight="1" x14ac:dyDescent="0.3">
      <c r="A185" s="7"/>
      <c r="B185" s="7"/>
      <c r="C185" s="7"/>
      <c r="D185" s="7"/>
      <c r="E185" s="4"/>
      <c r="F185" s="4" t="str">
        <f t="shared" si="0"/>
        <v/>
      </c>
    </row>
    <row r="186" spans="1:6" ht="14.25" customHeight="1" x14ac:dyDescent="0.3">
      <c r="A186" s="7"/>
      <c r="B186" s="7"/>
      <c r="C186" s="7"/>
      <c r="D186" s="7"/>
      <c r="E186" s="4"/>
      <c r="F186" s="4" t="str">
        <f t="shared" si="0"/>
        <v/>
      </c>
    </row>
    <row r="187" spans="1:6" ht="14.25" customHeight="1" x14ac:dyDescent="0.3">
      <c r="A187" s="7"/>
      <c r="B187" s="7"/>
      <c r="C187" s="7"/>
      <c r="D187" s="7"/>
      <c r="E187" s="4"/>
      <c r="F187" s="4" t="str">
        <f t="shared" si="0"/>
        <v/>
      </c>
    </row>
    <row r="188" spans="1:6" ht="14.25" customHeight="1" x14ac:dyDescent="0.3">
      <c r="A188" s="7"/>
      <c r="B188" s="7"/>
      <c r="C188" s="7"/>
      <c r="D188" s="7"/>
      <c r="E188" s="4"/>
      <c r="F188" s="4" t="str">
        <f t="shared" si="0"/>
        <v/>
      </c>
    </row>
    <row r="189" spans="1:6" ht="14.25" customHeight="1" x14ac:dyDescent="0.3">
      <c r="A189" s="7"/>
      <c r="B189" s="7"/>
      <c r="C189" s="7"/>
      <c r="D189" s="7"/>
      <c r="E189" s="4"/>
      <c r="F189" s="4" t="str">
        <f t="shared" si="0"/>
        <v/>
      </c>
    </row>
    <row r="190" spans="1:6" ht="14.25" customHeight="1" x14ac:dyDescent="0.3">
      <c r="A190" s="7"/>
      <c r="B190" s="7"/>
      <c r="C190" s="7"/>
      <c r="D190" s="7"/>
      <c r="E190" s="4"/>
      <c r="F190" s="4" t="str">
        <f t="shared" si="0"/>
        <v/>
      </c>
    </row>
    <row r="191" spans="1:6" ht="14.25" customHeight="1" x14ac:dyDescent="0.3">
      <c r="A191" s="7"/>
      <c r="B191" s="7"/>
      <c r="C191" s="7"/>
      <c r="D191" s="7"/>
      <c r="E191" s="4"/>
      <c r="F191" s="4" t="str">
        <f t="shared" si="0"/>
        <v/>
      </c>
    </row>
    <row r="192" spans="1:6" ht="14.25" customHeight="1" x14ac:dyDescent="0.3">
      <c r="A192" s="7"/>
      <c r="B192" s="7"/>
      <c r="C192" s="7"/>
      <c r="D192" s="7"/>
      <c r="E192" s="4"/>
      <c r="F192" s="4" t="str">
        <f t="shared" si="0"/>
        <v/>
      </c>
    </row>
    <row r="193" spans="1:6" ht="14.25" customHeight="1" x14ac:dyDescent="0.3">
      <c r="A193" s="7"/>
      <c r="B193" s="7"/>
      <c r="C193" s="7"/>
      <c r="D193" s="7"/>
      <c r="E193" s="4"/>
      <c r="F193" s="4" t="str">
        <f t="shared" si="0"/>
        <v/>
      </c>
    </row>
    <row r="194" spans="1:6" ht="14.25" customHeight="1" x14ac:dyDescent="0.3">
      <c r="A194" s="7"/>
      <c r="B194" s="7"/>
      <c r="C194" s="7"/>
      <c r="D194" s="7"/>
      <c r="E194" s="4"/>
      <c r="F194" s="4" t="str">
        <f t="shared" si="0"/>
        <v/>
      </c>
    </row>
    <row r="195" spans="1:6" ht="14.25" customHeight="1" x14ac:dyDescent="0.3">
      <c r="A195" s="7"/>
      <c r="B195" s="7"/>
      <c r="C195" s="7"/>
      <c r="D195" s="7"/>
      <c r="E195" s="4"/>
      <c r="F195" s="4" t="str">
        <f t="shared" si="0"/>
        <v/>
      </c>
    </row>
    <row r="196" spans="1:6" ht="14.25" customHeight="1" x14ac:dyDescent="0.3">
      <c r="A196" s="7"/>
      <c r="B196" s="7"/>
      <c r="C196" s="7"/>
      <c r="D196" s="7"/>
      <c r="E196" s="4"/>
      <c r="F196" s="4" t="str">
        <f t="shared" si="0"/>
        <v/>
      </c>
    </row>
    <row r="197" spans="1:6" ht="14.25" customHeight="1" x14ac:dyDescent="0.3">
      <c r="A197" s="7"/>
      <c r="B197" s="7"/>
      <c r="C197" s="7"/>
      <c r="D197" s="7"/>
      <c r="E197" s="4"/>
      <c r="F197" s="4" t="str">
        <f t="shared" si="0"/>
        <v/>
      </c>
    </row>
    <row r="198" spans="1:6" ht="14.25" customHeight="1" x14ac:dyDescent="0.3">
      <c r="A198" s="7"/>
      <c r="B198" s="7"/>
      <c r="C198" s="7"/>
      <c r="D198" s="7"/>
      <c r="E198" s="4"/>
      <c r="F198" s="4" t="str">
        <f t="shared" si="0"/>
        <v/>
      </c>
    </row>
    <row r="199" spans="1:6" ht="14.25" customHeight="1" x14ac:dyDescent="0.3">
      <c r="A199" s="7"/>
      <c r="B199" s="7"/>
      <c r="C199" s="7"/>
      <c r="D199" s="7"/>
      <c r="E199" s="4"/>
      <c r="F199" s="4" t="str">
        <f t="shared" si="0"/>
        <v/>
      </c>
    </row>
    <row r="200" spans="1:6" ht="14.25" customHeight="1" x14ac:dyDescent="0.3">
      <c r="A200" s="7"/>
      <c r="B200" s="7"/>
      <c r="C200" s="7"/>
      <c r="D200" s="7"/>
      <c r="E200" s="4"/>
      <c r="F200" s="4" t="str">
        <f t="shared" si="0"/>
        <v/>
      </c>
    </row>
    <row r="201" spans="1:6" ht="14.25" customHeight="1" x14ac:dyDescent="0.3">
      <c r="A201" s="7"/>
      <c r="B201" s="7"/>
      <c r="C201" s="7"/>
      <c r="D201" s="7"/>
      <c r="E201" s="4"/>
      <c r="F201" s="4" t="str">
        <f t="shared" si="0"/>
        <v/>
      </c>
    </row>
    <row r="202" spans="1:6" ht="14.25" customHeight="1" x14ac:dyDescent="0.3">
      <c r="A202" s="7"/>
      <c r="B202" s="7"/>
      <c r="C202" s="7"/>
      <c r="D202" s="7"/>
      <c r="E202" s="4"/>
      <c r="F202" s="4" t="str">
        <f t="shared" si="0"/>
        <v/>
      </c>
    </row>
    <row r="203" spans="1:6" ht="14.25" customHeight="1" x14ac:dyDescent="0.3">
      <c r="A203" s="7"/>
      <c r="B203" s="7"/>
      <c r="C203" s="7"/>
      <c r="D203" s="7"/>
      <c r="E203" s="4"/>
      <c r="F203" s="4" t="str">
        <f t="shared" si="0"/>
        <v/>
      </c>
    </row>
    <row r="204" spans="1:6" ht="14.25" customHeight="1" x14ac:dyDescent="0.3">
      <c r="A204" s="7"/>
      <c r="B204" s="7"/>
      <c r="C204" s="7"/>
      <c r="D204" s="7"/>
      <c r="E204" s="4"/>
      <c r="F204" s="4" t="str">
        <f t="shared" si="0"/>
        <v/>
      </c>
    </row>
    <row r="205" spans="1:6" ht="14.25" customHeight="1" x14ac:dyDescent="0.3">
      <c r="A205" s="7"/>
      <c r="B205" s="7"/>
      <c r="C205" s="7"/>
      <c r="D205" s="7"/>
      <c r="E205" s="4"/>
      <c r="F205" s="4" t="str">
        <f t="shared" si="0"/>
        <v/>
      </c>
    </row>
    <row r="206" spans="1:6" ht="14.25" customHeight="1" x14ac:dyDescent="0.3">
      <c r="A206" s="7"/>
      <c r="B206" s="7"/>
      <c r="C206" s="7"/>
      <c r="D206" s="7"/>
      <c r="E206" s="4"/>
      <c r="F206" s="4" t="str">
        <f t="shared" si="0"/>
        <v/>
      </c>
    </row>
    <row r="207" spans="1:6" ht="14.25" customHeight="1" x14ac:dyDescent="0.3">
      <c r="A207" s="7"/>
      <c r="B207" s="7"/>
      <c r="C207" s="7"/>
      <c r="D207" s="7"/>
      <c r="E207" s="4"/>
      <c r="F207" s="4" t="str">
        <f t="shared" si="0"/>
        <v/>
      </c>
    </row>
    <row r="208" spans="1:6" ht="14.25" customHeight="1" x14ac:dyDescent="0.3">
      <c r="A208" s="7"/>
      <c r="B208" s="7"/>
      <c r="C208" s="7"/>
      <c r="D208" s="7"/>
      <c r="E208" s="4"/>
      <c r="F208" s="4" t="str">
        <f t="shared" si="0"/>
        <v/>
      </c>
    </row>
    <row r="209" spans="1:6" ht="14.25" customHeight="1" x14ac:dyDescent="0.3">
      <c r="A209" s="7"/>
      <c r="B209" s="7"/>
      <c r="C209" s="7"/>
      <c r="D209" s="7"/>
      <c r="E209" s="4"/>
      <c r="F209" s="4" t="str">
        <f t="shared" si="0"/>
        <v/>
      </c>
    </row>
    <row r="210" spans="1:6" ht="14.25" customHeight="1" x14ac:dyDescent="0.3">
      <c r="A210" s="7"/>
      <c r="B210" s="7"/>
      <c r="C210" s="7"/>
      <c r="D210" s="7"/>
      <c r="E210" s="4"/>
      <c r="F210" s="4" t="str">
        <f t="shared" si="0"/>
        <v/>
      </c>
    </row>
    <row r="211" spans="1:6" ht="14.25" customHeight="1" x14ac:dyDescent="0.3">
      <c r="A211" s="7"/>
      <c r="B211" s="7"/>
      <c r="C211" s="7"/>
      <c r="D211" s="7"/>
      <c r="E211" s="4"/>
      <c r="F211" s="4" t="str">
        <f t="shared" si="0"/>
        <v/>
      </c>
    </row>
    <row r="212" spans="1:6" ht="14.25" customHeight="1" x14ac:dyDescent="0.3">
      <c r="A212" s="7"/>
      <c r="B212" s="7"/>
      <c r="C212" s="7"/>
      <c r="D212" s="7"/>
      <c r="E212" s="4"/>
      <c r="F212" s="4" t="str">
        <f t="shared" si="0"/>
        <v/>
      </c>
    </row>
    <row r="213" spans="1:6" ht="14.25" customHeight="1" x14ac:dyDescent="0.3">
      <c r="A213" s="7"/>
      <c r="B213" s="7"/>
      <c r="C213" s="7"/>
      <c r="D213" s="7"/>
      <c r="E213" s="4"/>
      <c r="F213" s="4" t="str">
        <f t="shared" si="0"/>
        <v/>
      </c>
    </row>
    <row r="214" spans="1:6" ht="14.25" customHeight="1" x14ac:dyDescent="0.3">
      <c r="A214" s="7"/>
      <c r="B214" s="7"/>
      <c r="C214" s="7"/>
      <c r="D214" s="7"/>
      <c r="E214" s="4"/>
      <c r="F214" s="4" t="str">
        <f t="shared" si="0"/>
        <v/>
      </c>
    </row>
    <row r="215" spans="1:6" ht="14.25" customHeight="1" x14ac:dyDescent="0.3">
      <c r="A215" s="7"/>
      <c r="B215" s="7"/>
      <c r="C215" s="7"/>
      <c r="D215" s="7"/>
      <c r="E215" s="4"/>
      <c r="F215" s="4" t="str">
        <f t="shared" si="0"/>
        <v/>
      </c>
    </row>
    <row r="216" spans="1:6" ht="14.25" customHeight="1" x14ac:dyDescent="0.3">
      <c r="A216" s="7"/>
      <c r="B216" s="7"/>
      <c r="C216" s="7"/>
      <c r="D216" s="7"/>
      <c r="E216" s="4"/>
      <c r="F216" s="4" t="str">
        <f t="shared" si="0"/>
        <v/>
      </c>
    </row>
    <row r="217" spans="1:6" ht="14.25" customHeight="1" x14ac:dyDescent="0.3">
      <c r="A217" s="7"/>
      <c r="B217" s="7"/>
      <c r="C217" s="7"/>
      <c r="D217" s="7"/>
      <c r="E217" s="4"/>
      <c r="F217" s="4" t="str">
        <f t="shared" si="0"/>
        <v/>
      </c>
    </row>
    <row r="218" spans="1:6" ht="14.25" customHeight="1" x14ac:dyDescent="0.3">
      <c r="A218" s="7"/>
      <c r="B218" s="7"/>
      <c r="C218" s="7"/>
      <c r="D218" s="7"/>
      <c r="E218" s="4"/>
      <c r="F218" s="4" t="str">
        <f t="shared" si="0"/>
        <v/>
      </c>
    </row>
    <row r="219" spans="1:6" ht="14.25" customHeight="1" x14ac:dyDescent="0.3">
      <c r="A219" s="7"/>
      <c r="B219" s="7"/>
      <c r="C219" s="7"/>
      <c r="D219" s="7"/>
      <c r="E219" s="4"/>
      <c r="F219" s="4" t="str">
        <f t="shared" si="0"/>
        <v/>
      </c>
    </row>
    <row r="220" spans="1:6" ht="14.25" customHeight="1" x14ac:dyDescent="0.3">
      <c r="A220" s="7"/>
      <c r="B220" s="7"/>
      <c r="C220" s="7"/>
      <c r="D220" s="7"/>
      <c r="E220" s="4"/>
      <c r="F220" s="4" t="str">
        <f t="shared" si="0"/>
        <v/>
      </c>
    </row>
    <row r="221" spans="1:6" ht="14.25" customHeight="1" x14ac:dyDescent="0.3">
      <c r="A221" s="7"/>
      <c r="B221" s="7"/>
      <c r="C221" s="7"/>
      <c r="D221" s="7"/>
      <c r="E221" s="4"/>
      <c r="F221" s="4" t="str">
        <f t="shared" si="0"/>
        <v/>
      </c>
    </row>
    <row r="222" spans="1:6" ht="14.25" customHeight="1" x14ac:dyDescent="0.3">
      <c r="A222" s="7"/>
      <c r="B222" s="7"/>
      <c r="C222" s="7"/>
      <c r="D222" s="7"/>
      <c r="E222" s="4"/>
      <c r="F222" s="4" t="str">
        <f t="shared" si="0"/>
        <v/>
      </c>
    </row>
    <row r="223" spans="1:6" ht="14.25" customHeight="1" x14ac:dyDescent="0.3">
      <c r="A223" s="7"/>
      <c r="B223" s="7"/>
      <c r="C223" s="7"/>
      <c r="D223" s="7"/>
      <c r="E223" s="4"/>
      <c r="F223" s="4" t="str">
        <f t="shared" si="0"/>
        <v/>
      </c>
    </row>
    <row r="224" spans="1:6" ht="14.25" customHeight="1" x14ac:dyDescent="0.3">
      <c r="A224" s="7"/>
      <c r="B224" s="7"/>
      <c r="C224" s="7"/>
      <c r="D224" s="7"/>
      <c r="E224" s="4"/>
      <c r="F224" s="4" t="str">
        <f t="shared" si="0"/>
        <v/>
      </c>
    </row>
    <row r="225" spans="1:6" ht="14.25" customHeight="1" x14ac:dyDescent="0.3">
      <c r="A225" s="7"/>
      <c r="B225" s="7"/>
      <c r="C225" s="7"/>
      <c r="D225" s="7"/>
      <c r="E225" s="4"/>
      <c r="F225" s="4" t="str">
        <f t="shared" si="0"/>
        <v/>
      </c>
    </row>
    <row r="226" spans="1:6" ht="14.25" customHeight="1" x14ac:dyDescent="0.3">
      <c r="A226" s="7"/>
      <c r="B226" s="7"/>
      <c r="C226" s="7"/>
      <c r="D226" s="7"/>
      <c r="E226" s="4"/>
      <c r="F226" s="4" t="str">
        <f t="shared" si="0"/>
        <v/>
      </c>
    </row>
    <row r="227" spans="1:6" ht="14.25" customHeight="1" x14ac:dyDescent="0.3">
      <c r="A227" s="7"/>
      <c r="B227" s="7"/>
      <c r="C227" s="7"/>
      <c r="D227" s="7"/>
      <c r="E227" s="4"/>
      <c r="F227" s="4" t="str">
        <f t="shared" si="0"/>
        <v/>
      </c>
    </row>
    <row r="228" spans="1:6" ht="14.25" customHeight="1" x14ac:dyDescent="0.3">
      <c r="A228" s="7"/>
      <c r="B228" s="7"/>
      <c r="C228" s="7"/>
      <c r="D228" s="7"/>
      <c r="E228" s="4"/>
      <c r="F228" s="4" t="str">
        <f t="shared" si="0"/>
        <v/>
      </c>
    </row>
    <row r="229" spans="1:6" ht="14.25" customHeight="1" x14ac:dyDescent="0.3">
      <c r="A229" s="7"/>
      <c r="B229" s="7"/>
      <c r="C229" s="7"/>
      <c r="D229" s="7"/>
      <c r="E229" s="4"/>
      <c r="F229" s="4" t="str">
        <f t="shared" si="0"/>
        <v/>
      </c>
    </row>
    <row r="230" spans="1:6" ht="14.25" customHeight="1" x14ac:dyDescent="0.3">
      <c r="A230" s="7"/>
      <c r="B230" s="7"/>
      <c r="C230" s="7"/>
      <c r="D230" s="7"/>
      <c r="E230" s="4"/>
      <c r="F230" s="4" t="str">
        <f t="shared" si="0"/>
        <v/>
      </c>
    </row>
    <row r="231" spans="1:6" ht="14.25" customHeight="1" x14ac:dyDescent="0.3">
      <c r="A231" s="7"/>
      <c r="B231" s="7"/>
      <c r="C231" s="7"/>
      <c r="D231" s="7"/>
      <c r="E231" s="4"/>
      <c r="F231" s="4" t="str">
        <f t="shared" si="0"/>
        <v/>
      </c>
    </row>
    <row r="232" spans="1:6" ht="14.25" customHeight="1" x14ac:dyDescent="0.3">
      <c r="A232" s="7"/>
      <c r="B232" s="7"/>
      <c r="C232" s="7"/>
      <c r="D232" s="7"/>
      <c r="E232" s="4"/>
      <c r="F232" s="4" t="str">
        <f t="shared" si="0"/>
        <v/>
      </c>
    </row>
    <row r="233" spans="1:6" ht="14.25" customHeight="1" x14ac:dyDescent="0.3">
      <c r="A233" s="7"/>
      <c r="B233" s="7"/>
      <c r="C233" s="7"/>
      <c r="D233" s="7"/>
      <c r="E233" s="4"/>
      <c r="F233" s="4" t="str">
        <f t="shared" si="0"/>
        <v/>
      </c>
    </row>
    <row r="234" spans="1:6" ht="14.25" customHeight="1" x14ac:dyDescent="0.3">
      <c r="A234" s="7"/>
      <c r="B234" s="7"/>
      <c r="C234" s="7"/>
      <c r="D234" s="7"/>
      <c r="E234" s="4"/>
      <c r="F234" s="4" t="str">
        <f t="shared" si="0"/>
        <v/>
      </c>
    </row>
    <row r="235" spans="1:6" ht="14.25" customHeight="1" x14ac:dyDescent="0.3">
      <c r="A235" s="7"/>
      <c r="B235" s="7"/>
      <c r="C235" s="7"/>
      <c r="D235" s="7"/>
      <c r="E235" s="4"/>
      <c r="F235" s="4" t="str">
        <f t="shared" si="0"/>
        <v/>
      </c>
    </row>
    <row r="236" spans="1:6" ht="14.25" customHeight="1" x14ac:dyDescent="0.3">
      <c r="A236" s="7"/>
      <c r="B236" s="7"/>
      <c r="C236" s="7"/>
      <c r="D236" s="7"/>
      <c r="E236" s="4"/>
      <c r="F236" s="4" t="str">
        <f t="shared" si="0"/>
        <v/>
      </c>
    </row>
    <row r="237" spans="1:6" ht="14.25" customHeight="1" x14ac:dyDescent="0.3">
      <c r="A237" s="7"/>
      <c r="B237" s="7"/>
      <c r="C237" s="7"/>
      <c r="D237" s="7"/>
      <c r="E237" s="4"/>
      <c r="F237" s="4" t="str">
        <f t="shared" si="0"/>
        <v/>
      </c>
    </row>
    <row r="238" spans="1:6" ht="14.25" customHeight="1" x14ac:dyDescent="0.3">
      <c r="A238" s="7"/>
      <c r="B238" s="7"/>
      <c r="C238" s="7"/>
      <c r="D238" s="7"/>
      <c r="E238" s="4"/>
      <c r="F238" s="4" t="str">
        <f t="shared" si="0"/>
        <v/>
      </c>
    </row>
    <row r="239" spans="1:6" ht="14.25" customHeight="1" x14ac:dyDescent="0.3">
      <c r="A239" s="7"/>
      <c r="B239" s="7"/>
      <c r="C239" s="7"/>
      <c r="D239" s="7"/>
      <c r="E239" s="4"/>
      <c r="F239" s="4" t="str">
        <f t="shared" si="0"/>
        <v/>
      </c>
    </row>
    <row r="240" spans="1:6" ht="14.25" customHeight="1" x14ac:dyDescent="0.3">
      <c r="A240" s="7"/>
      <c r="B240" s="7"/>
      <c r="C240" s="7"/>
      <c r="D240" s="7"/>
      <c r="E240" s="4"/>
      <c r="F240" s="4" t="str">
        <f t="shared" si="0"/>
        <v/>
      </c>
    </row>
    <row r="241" spans="1:6" ht="14.25" customHeight="1" x14ac:dyDescent="0.3">
      <c r="A241" s="7"/>
      <c r="B241" s="7"/>
      <c r="C241" s="7"/>
      <c r="D241" s="7"/>
      <c r="E241" s="4"/>
      <c r="F241" s="4" t="str">
        <f t="shared" si="0"/>
        <v/>
      </c>
    </row>
    <row r="242" spans="1:6" ht="14.25" customHeight="1" x14ac:dyDescent="0.3">
      <c r="A242" s="7"/>
      <c r="B242" s="7"/>
      <c r="C242" s="7"/>
      <c r="D242" s="7"/>
      <c r="E242" s="4"/>
      <c r="F242" s="4" t="str">
        <f t="shared" si="0"/>
        <v/>
      </c>
    </row>
    <row r="243" spans="1:6" ht="14.25" customHeight="1" x14ac:dyDescent="0.3">
      <c r="A243" s="7"/>
      <c r="B243" s="7"/>
      <c r="C243" s="7"/>
      <c r="D243" s="7"/>
      <c r="E243" s="4"/>
      <c r="F243" s="4" t="str">
        <f t="shared" si="0"/>
        <v/>
      </c>
    </row>
    <row r="244" spans="1:6" ht="14.25" customHeight="1" x14ac:dyDescent="0.3">
      <c r="A244" s="7"/>
      <c r="B244" s="7"/>
      <c r="C244" s="7"/>
      <c r="D244" s="7"/>
      <c r="E244" s="4"/>
      <c r="F244" s="4" t="str">
        <f t="shared" si="0"/>
        <v/>
      </c>
    </row>
    <row r="245" spans="1:6" ht="14.25" customHeight="1" x14ac:dyDescent="0.3">
      <c r="A245" s="7"/>
      <c r="B245" s="7"/>
      <c r="C245" s="7"/>
      <c r="D245" s="7"/>
      <c r="E245" s="4"/>
      <c r="F245" s="4" t="str">
        <f t="shared" si="0"/>
        <v/>
      </c>
    </row>
    <row r="246" spans="1:6" ht="14.25" customHeight="1" x14ac:dyDescent="0.3">
      <c r="A246" s="7"/>
      <c r="B246" s="7"/>
      <c r="C246" s="7"/>
      <c r="D246" s="7"/>
      <c r="E246" s="4"/>
      <c r="F246" s="4" t="str">
        <f t="shared" si="0"/>
        <v/>
      </c>
    </row>
    <row r="247" spans="1:6" ht="14.25" customHeight="1" x14ac:dyDescent="0.3">
      <c r="A247" s="7"/>
      <c r="B247" s="7"/>
      <c r="C247" s="7"/>
      <c r="D247" s="7"/>
      <c r="E247" s="4"/>
      <c r="F247" s="4" t="str">
        <f t="shared" si="0"/>
        <v/>
      </c>
    </row>
    <row r="248" spans="1:6" ht="14.25" customHeight="1" x14ac:dyDescent="0.3">
      <c r="A248" s="7"/>
      <c r="B248" s="7"/>
      <c r="C248" s="7"/>
      <c r="D248" s="7"/>
      <c r="E248" s="4"/>
      <c r="F248" s="4" t="str">
        <f t="shared" si="0"/>
        <v/>
      </c>
    </row>
    <row r="249" spans="1:6" ht="14.25" customHeight="1" x14ac:dyDescent="0.3">
      <c r="A249" s="7"/>
      <c r="B249" s="7"/>
      <c r="C249" s="7"/>
      <c r="D249" s="7"/>
      <c r="E249" s="4"/>
      <c r="F249" s="4" t="str">
        <f t="shared" si="0"/>
        <v/>
      </c>
    </row>
    <row r="250" spans="1:6" ht="14.25" customHeight="1" x14ac:dyDescent="0.3">
      <c r="A250" s="7"/>
      <c r="B250" s="7"/>
      <c r="C250" s="7"/>
      <c r="D250" s="7"/>
      <c r="E250" s="4"/>
      <c r="F250" s="4" t="str">
        <f t="shared" si="0"/>
        <v/>
      </c>
    </row>
    <row r="251" spans="1:6" ht="14.25" customHeight="1" x14ac:dyDescent="0.3">
      <c r="A251" s="7"/>
      <c r="B251" s="7"/>
      <c r="C251" s="7"/>
      <c r="D251" s="7"/>
      <c r="E251" s="4"/>
      <c r="F251" s="4" t="str">
        <f t="shared" si="0"/>
        <v/>
      </c>
    </row>
    <row r="252" spans="1:6" ht="14.25" customHeight="1" x14ac:dyDescent="0.3">
      <c r="A252" s="7"/>
      <c r="B252" s="7"/>
      <c r="C252" s="7"/>
      <c r="D252" s="7"/>
      <c r="E252" s="4"/>
      <c r="F252" s="4" t="str">
        <f t="shared" si="0"/>
        <v/>
      </c>
    </row>
    <row r="253" spans="1:6" ht="14.25" customHeight="1" x14ac:dyDescent="0.3">
      <c r="A253" s="7"/>
      <c r="B253" s="7"/>
      <c r="C253" s="7"/>
      <c r="D253" s="7"/>
      <c r="E253" s="4"/>
      <c r="F253" s="4" t="str">
        <f t="shared" si="0"/>
        <v/>
      </c>
    </row>
    <row r="254" spans="1:6" ht="14.25" customHeight="1" x14ac:dyDescent="0.3">
      <c r="A254" s="7"/>
      <c r="B254" s="7"/>
      <c r="C254" s="7"/>
      <c r="D254" s="7"/>
      <c r="E254" s="4"/>
      <c r="F254" s="4" t="str">
        <f t="shared" si="0"/>
        <v/>
      </c>
    </row>
    <row r="255" spans="1:6" ht="14.25" customHeight="1" x14ac:dyDescent="0.3">
      <c r="A255" s="7"/>
      <c r="B255" s="7"/>
      <c r="C255" s="7"/>
      <c r="D255" s="7"/>
      <c r="E255" s="4"/>
      <c r="F255" s="4" t="str">
        <f t="shared" si="0"/>
        <v/>
      </c>
    </row>
    <row r="256" spans="1:6" ht="14.25" customHeight="1" x14ac:dyDescent="0.3">
      <c r="A256" s="7"/>
      <c r="B256" s="7"/>
      <c r="C256" s="7"/>
      <c r="D256" s="7"/>
      <c r="E256" s="4"/>
      <c r="F256" s="4" t="str">
        <f t="shared" si="0"/>
        <v/>
      </c>
    </row>
    <row r="257" spans="1:6" ht="14.25" customHeight="1" x14ac:dyDescent="0.3">
      <c r="A257" s="7"/>
      <c r="B257" s="7"/>
      <c r="C257" s="7"/>
      <c r="D257" s="7"/>
      <c r="E257" s="4"/>
      <c r="F257" s="4" t="str">
        <f t="shared" si="0"/>
        <v/>
      </c>
    </row>
    <row r="258" spans="1:6" ht="14.25" customHeight="1" x14ac:dyDescent="0.3">
      <c r="A258" s="7"/>
      <c r="B258" s="7"/>
      <c r="C258" s="7"/>
      <c r="D258" s="7"/>
      <c r="E258" s="4"/>
      <c r="F258" s="4" t="str">
        <f t="shared" ref="F258:F512" si="1">IF(D258-C258=0,"",D258-C258)</f>
        <v/>
      </c>
    </row>
    <row r="259" spans="1:6" ht="14.25" customHeight="1" x14ac:dyDescent="0.3">
      <c r="A259" s="7"/>
      <c r="B259" s="7"/>
      <c r="C259" s="7"/>
      <c r="D259" s="7"/>
      <c r="E259" s="4"/>
      <c r="F259" s="4" t="str">
        <f t="shared" si="1"/>
        <v/>
      </c>
    </row>
    <row r="260" spans="1:6" ht="14.25" customHeight="1" x14ac:dyDescent="0.3">
      <c r="A260" s="7"/>
      <c r="B260" s="7"/>
      <c r="C260" s="7"/>
      <c r="D260" s="7"/>
      <c r="E260" s="4"/>
      <c r="F260" s="4" t="str">
        <f t="shared" si="1"/>
        <v/>
      </c>
    </row>
    <row r="261" spans="1:6" ht="14.25" customHeight="1" x14ac:dyDescent="0.3">
      <c r="A261" s="7"/>
      <c r="B261" s="7"/>
      <c r="C261" s="7"/>
      <c r="D261" s="7"/>
      <c r="E261" s="4"/>
      <c r="F261" s="4" t="str">
        <f t="shared" si="1"/>
        <v/>
      </c>
    </row>
    <row r="262" spans="1:6" ht="14.25" customHeight="1" x14ac:dyDescent="0.3">
      <c r="A262" s="7"/>
      <c r="B262" s="7"/>
      <c r="C262" s="7"/>
      <c r="D262" s="7"/>
      <c r="E262" s="4"/>
      <c r="F262" s="4" t="str">
        <f t="shared" si="1"/>
        <v/>
      </c>
    </row>
    <row r="263" spans="1:6" ht="14.25" customHeight="1" x14ac:dyDescent="0.3">
      <c r="A263" s="7"/>
      <c r="B263" s="7"/>
      <c r="C263" s="7"/>
      <c r="D263" s="7"/>
      <c r="E263" s="4"/>
      <c r="F263" s="4" t="str">
        <f t="shared" si="1"/>
        <v/>
      </c>
    </row>
    <row r="264" spans="1:6" ht="14.25" customHeight="1" x14ac:dyDescent="0.3">
      <c r="A264" s="7"/>
      <c r="B264" s="7"/>
      <c r="C264" s="7"/>
      <c r="D264" s="7"/>
      <c r="E264" s="4"/>
      <c r="F264" s="4" t="str">
        <f t="shared" si="1"/>
        <v/>
      </c>
    </row>
    <row r="265" spans="1:6" ht="14.25" customHeight="1" x14ac:dyDescent="0.3">
      <c r="A265" s="7"/>
      <c r="B265" s="7"/>
      <c r="C265" s="7"/>
      <c r="D265" s="7"/>
      <c r="E265" s="4"/>
      <c r="F265" s="4" t="str">
        <f t="shared" si="1"/>
        <v/>
      </c>
    </row>
    <row r="266" spans="1:6" ht="14.25" customHeight="1" x14ac:dyDescent="0.3">
      <c r="A266" s="7"/>
      <c r="B266" s="7"/>
      <c r="C266" s="7"/>
      <c r="D266" s="7"/>
      <c r="E266" s="4"/>
      <c r="F266" s="4" t="str">
        <f t="shared" si="1"/>
        <v/>
      </c>
    </row>
    <row r="267" spans="1:6" ht="14.25" customHeight="1" x14ac:dyDescent="0.3">
      <c r="A267" s="7"/>
      <c r="B267" s="7"/>
      <c r="C267" s="7"/>
      <c r="D267" s="7"/>
      <c r="E267" s="4"/>
      <c r="F267" s="4" t="str">
        <f t="shared" si="1"/>
        <v/>
      </c>
    </row>
    <row r="268" spans="1:6" ht="14.25" customHeight="1" x14ac:dyDescent="0.3">
      <c r="A268" s="7"/>
      <c r="B268" s="7"/>
      <c r="C268" s="7"/>
      <c r="D268" s="7"/>
      <c r="E268" s="4"/>
      <c r="F268" s="4" t="str">
        <f t="shared" si="1"/>
        <v/>
      </c>
    </row>
    <row r="269" spans="1:6" ht="14.25" customHeight="1" x14ac:dyDescent="0.3">
      <c r="A269" s="7"/>
      <c r="B269" s="7"/>
      <c r="C269" s="7"/>
      <c r="D269" s="7"/>
      <c r="E269" s="4"/>
      <c r="F269" s="4" t="str">
        <f t="shared" si="1"/>
        <v/>
      </c>
    </row>
    <row r="270" spans="1:6" ht="14.25" customHeight="1" x14ac:dyDescent="0.3">
      <c r="A270" s="7"/>
      <c r="B270" s="7"/>
      <c r="C270" s="7"/>
      <c r="D270" s="7"/>
      <c r="E270" s="4"/>
      <c r="F270" s="4" t="str">
        <f t="shared" si="1"/>
        <v/>
      </c>
    </row>
    <row r="271" spans="1:6" ht="14.25" customHeight="1" x14ac:dyDescent="0.3">
      <c r="A271" s="7"/>
      <c r="B271" s="7"/>
      <c r="C271" s="7"/>
      <c r="D271" s="7"/>
      <c r="E271" s="4"/>
      <c r="F271" s="4" t="str">
        <f t="shared" si="1"/>
        <v/>
      </c>
    </row>
    <row r="272" spans="1:6" ht="14.25" customHeight="1" x14ac:dyDescent="0.3">
      <c r="A272" s="7"/>
      <c r="B272" s="7"/>
      <c r="C272" s="7"/>
      <c r="D272" s="7"/>
      <c r="E272" s="4"/>
      <c r="F272" s="4" t="str">
        <f t="shared" si="1"/>
        <v/>
      </c>
    </row>
    <row r="273" spans="1:6" ht="14.25" customHeight="1" x14ac:dyDescent="0.3">
      <c r="A273" s="7"/>
      <c r="B273" s="7"/>
      <c r="C273" s="7"/>
      <c r="D273" s="7"/>
      <c r="E273" s="4"/>
      <c r="F273" s="4" t="str">
        <f t="shared" si="1"/>
        <v/>
      </c>
    </row>
    <row r="274" spans="1:6" ht="14.25" customHeight="1" x14ac:dyDescent="0.3">
      <c r="A274" s="7"/>
      <c r="B274" s="7"/>
      <c r="C274" s="7"/>
      <c r="D274" s="7"/>
      <c r="E274" s="4"/>
      <c r="F274" s="4" t="str">
        <f t="shared" si="1"/>
        <v/>
      </c>
    </row>
    <row r="275" spans="1:6" ht="14.25" customHeight="1" x14ac:dyDescent="0.3">
      <c r="A275" s="7"/>
      <c r="B275" s="7"/>
      <c r="C275" s="7"/>
      <c r="D275" s="7"/>
      <c r="E275" s="4"/>
      <c r="F275" s="4" t="str">
        <f t="shared" si="1"/>
        <v/>
      </c>
    </row>
    <row r="276" spans="1:6" ht="14.25" customHeight="1" x14ac:dyDescent="0.3">
      <c r="A276" s="7"/>
      <c r="B276" s="7"/>
      <c r="C276" s="7"/>
      <c r="D276" s="7"/>
      <c r="E276" s="4"/>
      <c r="F276" s="4" t="str">
        <f t="shared" si="1"/>
        <v/>
      </c>
    </row>
    <row r="277" spans="1:6" ht="14.25" customHeight="1" x14ac:dyDescent="0.3">
      <c r="A277" s="7"/>
      <c r="B277" s="7"/>
      <c r="C277" s="7"/>
      <c r="D277" s="7"/>
      <c r="E277" s="4"/>
      <c r="F277" s="4" t="str">
        <f t="shared" si="1"/>
        <v/>
      </c>
    </row>
    <row r="278" spans="1:6" ht="14.25" customHeight="1" x14ac:dyDescent="0.3">
      <c r="A278" s="7"/>
      <c r="B278" s="7"/>
      <c r="C278" s="7"/>
      <c r="D278" s="7"/>
      <c r="E278" s="4"/>
      <c r="F278" s="4" t="str">
        <f t="shared" si="1"/>
        <v/>
      </c>
    </row>
    <row r="279" spans="1:6" ht="14.25" customHeight="1" x14ac:dyDescent="0.3">
      <c r="A279" s="7"/>
      <c r="B279" s="7"/>
      <c r="C279" s="7"/>
      <c r="D279" s="7"/>
      <c r="E279" s="4"/>
      <c r="F279" s="4" t="str">
        <f t="shared" si="1"/>
        <v/>
      </c>
    </row>
    <row r="280" spans="1:6" ht="14.25" customHeight="1" x14ac:dyDescent="0.3">
      <c r="A280" s="7"/>
      <c r="B280" s="7"/>
      <c r="C280" s="7"/>
      <c r="D280" s="7"/>
      <c r="E280" s="4"/>
      <c r="F280" s="4" t="str">
        <f t="shared" si="1"/>
        <v/>
      </c>
    </row>
    <row r="281" spans="1:6" ht="14.25" customHeight="1" x14ac:dyDescent="0.3">
      <c r="A281" s="7"/>
      <c r="B281" s="7"/>
      <c r="C281" s="7"/>
      <c r="D281" s="7"/>
      <c r="E281" s="4"/>
      <c r="F281" s="4" t="str">
        <f t="shared" si="1"/>
        <v/>
      </c>
    </row>
    <row r="282" spans="1:6" ht="14.25" customHeight="1" x14ac:dyDescent="0.3">
      <c r="A282" s="7"/>
      <c r="B282" s="7"/>
      <c r="C282" s="7"/>
      <c r="D282" s="7"/>
      <c r="E282" s="4"/>
      <c r="F282" s="4" t="str">
        <f t="shared" si="1"/>
        <v/>
      </c>
    </row>
    <row r="283" spans="1:6" ht="14.25" customHeight="1" x14ac:dyDescent="0.3">
      <c r="A283" s="7"/>
      <c r="B283" s="7"/>
      <c r="C283" s="7"/>
      <c r="D283" s="7"/>
      <c r="E283" s="4"/>
      <c r="F283" s="4" t="str">
        <f t="shared" si="1"/>
        <v/>
      </c>
    </row>
    <row r="284" spans="1:6" ht="14.25" customHeight="1" x14ac:dyDescent="0.3">
      <c r="A284" s="7"/>
      <c r="B284" s="7"/>
      <c r="C284" s="7"/>
      <c r="D284" s="7"/>
      <c r="E284" s="4"/>
      <c r="F284" s="4" t="str">
        <f t="shared" si="1"/>
        <v/>
      </c>
    </row>
    <row r="285" spans="1:6" ht="14.25" customHeight="1" x14ac:dyDescent="0.3">
      <c r="A285" s="7"/>
      <c r="B285" s="7"/>
      <c r="C285" s="7"/>
      <c r="D285" s="7"/>
      <c r="E285" s="4"/>
      <c r="F285" s="4" t="str">
        <f t="shared" si="1"/>
        <v/>
      </c>
    </row>
    <row r="286" spans="1:6" ht="14.25" customHeight="1" x14ac:dyDescent="0.3">
      <c r="A286" s="7"/>
      <c r="B286" s="7"/>
      <c r="C286" s="7"/>
      <c r="D286" s="7"/>
      <c r="E286" s="4"/>
      <c r="F286" s="4" t="str">
        <f t="shared" si="1"/>
        <v/>
      </c>
    </row>
    <row r="287" spans="1:6" ht="14.25" customHeight="1" x14ac:dyDescent="0.3">
      <c r="A287" s="7"/>
      <c r="B287" s="7"/>
      <c r="C287" s="7"/>
      <c r="D287" s="7"/>
      <c r="E287" s="4"/>
      <c r="F287" s="4" t="str">
        <f t="shared" si="1"/>
        <v/>
      </c>
    </row>
    <row r="288" spans="1:6" ht="14.25" customHeight="1" x14ac:dyDescent="0.3">
      <c r="A288" s="7"/>
      <c r="B288" s="7"/>
      <c r="C288" s="7"/>
      <c r="D288" s="7"/>
      <c r="E288" s="4"/>
      <c r="F288" s="4" t="str">
        <f t="shared" si="1"/>
        <v/>
      </c>
    </row>
    <row r="289" spans="1:6" ht="14.25" customHeight="1" x14ac:dyDescent="0.3">
      <c r="A289" s="7"/>
      <c r="B289" s="7"/>
      <c r="C289" s="7"/>
      <c r="D289" s="7"/>
      <c r="E289" s="4"/>
      <c r="F289" s="4" t="str">
        <f t="shared" si="1"/>
        <v/>
      </c>
    </row>
    <row r="290" spans="1:6" ht="14.25" customHeight="1" x14ac:dyDescent="0.3">
      <c r="A290" s="7"/>
      <c r="B290" s="7"/>
      <c r="C290" s="7"/>
      <c r="D290" s="7"/>
      <c r="E290" s="4"/>
      <c r="F290" s="4" t="str">
        <f t="shared" si="1"/>
        <v/>
      </c>
    </row>
    <row r="291" spans="1:6" ht="14.25" customHeight="1" x14ac:dyDescent="0.3">
      <c r="A291" s="7"/>
      <c r="B291" s="7"/>
      <c r="C291" s="7"/>
      <c r="D291" s="7"/>
      <c r="E291" s="4"/>
      <c r="F291" s="4" t="str">
        <f t="shared" si="1"/>
        <v/>
      </c>
    </row>
    <row r="292" spans="1:6" ht="14.25" customHeight="1" x14ac:dyDescent="0.3">
      <c r="A292" s="7"/>
      <c r="B292" s="7"/>
      <c r="C292" s="7"/>
      <c r="D292" s="7"/>
      <c r="E292" s="4"/>
      <c r="F292" s="4" t="str">
        <f t="shared" si="1"/>
        <v/>
      </c>
    </row>
    <row r="293" spans="1:6" ht="14.25" customHeight="1" x14ac:dyDescent="0.3">
      <c r="A293" s="7"/>
      <c r="B293" s="7"/>
      <c r="C293" s="7"/>
      <c r="D293" s="7"/>
      <c r="E293" s="4"/>
      <c r="F293" s="4" t="str">
        <f t="shared" si="1"/>
        <v/>
      </c>
    </row>
    <row r="294" spans="1:6" ht="14.25" customHeight="1" x14ac:dyDescent="0.3">
      <c r="A294" s="7"/>
      <c r="B294" s="7"/>
      <c r="C294" s="7"/>
      <c r="D294" s="7"/>
      <c r="E294" s="4"/>
      <c r="F294" s="4" t="str">
        <f t="shared" si="1"/>
        <v/>
      </c>
    </row>
    <row r="295" spans="1:6" ht="14.25" customHeight="1" x14ac:dyDescent="0.3">
      <c r="A295" s="7"/>
      <c r="B295" s="7"/>
      <c r="C295" s="7"/>
      <c r="D295" s="7"/>
      <c r="E295" s="4"/>
      <c r="F295" s="4" t="str">
        <f t="shared" si="1"/>
        <v/>
      </c>
    </row>
    <row r="296" spans="1:6" ht="14.25" customHeight="1" x14ac:dyDescent="0.3">
      <c r="A296" s="7"/>
      <c r="B296" s="7"/>
      <c r="C296" s="7"/>
      <c r="D296" s="7"/>
      <c r="E296" s="4"/>
      <c r="F296" s="4" t="str">
        <f t="shared" si="1"/>
        <v/>
      </c>
    </row>
    <row r="297" spans="1:6" ht="14.25" customHeight="1" x14ac:dyDescent="0.3">
      <c r="A297" s="7"/>
      <c r="B297" s="7"/>
      <c r="C297" s="7"/>
      <c r="D297" s="7"/>
      <c r="E297" s="4"/>
      <c r="F297" s="4" t="str">
        <f t="shared" si="1"/>
        <v/>
      </c>
    </row>
    <row r="298" spans="1:6" ht="14.25" customHeight="1" x14ac:dyDescent="0.3">
      <c r="A298" s="7"/>
      <c r="B298" s="7"/>
      <c r="C298" s="7"/>
      <c r="D298" s="7"/>
      <c r="E298" s="4"/>
      <c r="F298" s="4" t="str">
        <f t="shared" si="1"/>
        <v/>
      </c>
    </row>
    <row r="299" spans="1:6" ht="14.25" customHeight="1" x14ac:dyDescent="0.3">
      <c r="A299" s="7"/>
      <c r="B299" s="7"/>
      <c r="C299" s="7"/>
      <c r="D299" s="7"/>
      <c r="E299" s="4"/>
      <c r="F299" s="4" t="str">
        <f t="shared" si="1"/>
        <v/>
      </c>
    </row>
    <row r="300" spans="1:6" ht="14.25" customHeight="1" x14ac:dyDescent="0.3">
      <c r="A300" s="7"/>
      <c r="B300" s="7"/>
      <c r="C300" s="7"/>
      <c r="D300" s="7"/>
      <c r="E300" s="4"/>
      <c r="F300" s="4" t="str">
        <f t="shared" si="1"/>
        <v/>
      </c>
    </row>
    <row r="301" spans="1:6" ht="14.25" customHeight="1" x14ac:dyDescent="0.3">
      <c r="A301" s="7"/>
      <c r="B301" s="7"/>
      <c r="C301" s="7"/>
      <c r="D301" s="7"/>
      <c r="E301" s="4"/>
      <c r="F301" s="4" t="str">
        <f t="shared" si="1"/>
        <v/>
      </c>
    </row>
    <row r="302" spans="1:6" ht="14.25" customHeight="1" x14ac:dyDescent="0.3">
      <c r="A302" s="7"/>
      <c r="B302" s="7"/>
      <c r="C302" s="7"/>
      <c r="D302" s="7"/>
      <c r="E302" s="4"/>
      <c r="F302" s="4" t="str">
        <f t="shared" si="1"/>
        <v/>
      </c>
    </row>
    <row r="303" spans="1:6" ht="14.25" customHeight="1" x14ac:dyDescent="0.3">
      <c r="A303" s="7"/>
      <c r="B303" s="7"/>
      <c r="C303" s="7"/>
      <c r="D303" s="7"/>
      <c r="E303" s="4"/>
      <c r="F303" s="4" t="str">
        <f t="shared" si="1"/>
        <v/>
      </c>
    </row>
    <row r="304" spans="1:6" ht="14.25" customHeight="1" x14ac:dyDescent="0.3">
      <c r="A304" s="7"/>
      <c r="B304" s="7"/>
      <c r="C304" s="7"/>
      <c r="D304" s="7"/>
      <c r="E304" s="4"/>
      <c r="F304" s="4" t="str">
        <f t="shared" si="1"/>
        <v/>
      </c>
    </row>
    <row r="305" spans="1:6" ht="14.25" customHeight="1" x14ac:dyDescent="0.3">
      <c r="A305" s="7"/>
      <c r="B305" s="7"/>
      <c r="C305" s="7"/>
      <c r="D305" s="7"/>
      <c r="E305" s="4"/>
      <c r="F305" s="4" t="str">
        <f t="shared" si="1"/>
        <v/>
      </c>
    </row>
    <row r="306" spans="1:6" ht="14.25" customHeight="1" x14ac:dyDescent="0.3">
      <c r="A306" s="7"/>
      <c r="B306" s="7"/>
      <c r="C306" s="7"/>
      <c r="D306" s="7"/>
      <c r="E306" s="4"/>
      <c r="F306" s="4" t="str">
        <f t="shared" si="1"/>
        <v/>
      </c>
    </row>
    <row r="307" spans="1:6" ht="14.25" customHeight="1" x14ac:dyDescent="0.3">
      <c r="A307" s="7"/>
      <c r="B307" s="7"/>
      <c r="C307" s="7"/>
      <c r="D307" s="7"/>
      <c r="E307" s="4"/>
      <c r="F307" s="4" t="str">
        <f t="shared" si="1"/>
        <v/>
      </c>
    </row>
    <row r="308" spans="1:6" ht="14.25" customHeight="1" x14ac:dyDescent="0.3">
      <c r="A308" s="7"/>
      <c r="B308" s="7"/>
      <c r="C308" s="7"/>
      <c r="D308" s="7"/>
      <c r="E308" s="4"/>
      <c r="F308" s="4" t="str">
        <f t="shared" si="1"/>
        <v/>
      </c>
    </row>
    <row r="309" spans="1:6" ht="14.25" customHeight="1" x14ac:dyDescent="0.3">
      <c r="A309" s="7"/>
      <c r="B309" s="7"/>
      <c r="C309" s="7"/>
      <c r="D309" s="7"/>
      <c r="E309" s="4"/>
      <c r="F309" s="4" t="str">
        <f t="shared" si="1"/>
        <v/>
      </c>
    </row>
    <row r="310" spans="1:6" ht="14.25" customHeight="1" x14ac:dyDescent="0.3">
      <c r="A310" s="7"/>
      <c r="B310" s="7"/>
      <c r="C310" s="7"/>
      <c r="D310" s="7"/>
      <c r="E310" s="4"/>
      <c r="F310" s="4" t="str">
        <f t="shared" si="1"/>
        <v/>
      </c>
    </row>
    <row r="311" spans="1:6" ht="14.25" customHeight="1" x14ac:dyDescent="0.3">
      <c r="A311" s="7"/>
      <c r="B311" s="7"/>
      <c r="C311" s="7"/>
      <c r="D311" s="7"/>
      <c r="E311" s="4"/>
      <c r="F311" s="4" t="str">
        <f t="shared" si="1"/>
        <v/>
      </c>
    </row>
    <row r="312" spans="1:6" ht="14.25" customHeight="1" x14ac:dyDescent="0.3">
      <c r="A312" s="7"/>
      <c r="B312" s="7"/>
      <c r="C312" s="7"/>
      <c r="D312" s="7"/>
      <c r="E312" s="4"/>
      <c r="F312" s="4" t="str">
        <f t="shared" si="1"/>
        <v/>
      </c>
    </row>
    <row r="313" spans="1:6" ht="14.25" customHeight="1" x14ac:dyDescent="0.3">
      <c r="A313" s="7"/>
      <c r="B313" s="7"/>
      <c r="C313" s="7"/>
      <c r="D313" s="7"/>
      <c r="E313" s="4"/>
      <c r="F313" s="4" t="str">
        <f t="shared" si="1"/>
        <v/>
      </c>
    </row>
    <row r="314" spans="1:6" ht="14.25" customHeight="1" x14ac:dyDescent="0.3">
      <c r="A314" s="7"/>
      <c r="B314" s="7"/>
      <c r="C314" s="7"/>
      <c r="D314" s="7"/>
      <c r="E314" s="4"/>
      <c r="F314" s="4" t="str">
        <f t="shared" si="1"/>
        <v/>
      </c>
    </row>
    <row r="315" spans="1:6" ht="14.25" customHeight="1" x14ac:dyDescent="0.3">
      <c r="A315" s="7"/>
      <c r="B315" s="7"/>
      <c r="C315" s="7"/>
      <c r="D315" s="7"/>
      <c r="E315" s="4"/>
      <c r="F315" s="4" t="str">
        <f t="shared" si="1"/>
        <v/>
      </c>
    </row>
    <row r="316" spans="1:6" ht="14.25" customHeight="1" x14ac:dyDescent="0.3">
      <c r="A316" s="7"/>
      <c r="B316" s="7"/>
      <c r="C316" s="7"/>
      <c r="D316" s="7"/>
      <c r="E316" s="4"/>
      <c r="F316" s="4" t="str">
        <f t="shared" si="1"/>
        <v/>
      </c>
    </row>
    <row r="317" spans="1:6" ht="14.25" customHeight="1" x14ac:dyDescent="0.3">
      <c r="A317" s="7"/>
      <c r="B317" s="7"/>
      <c r="C317" s="7"/>
      <c r="D317" s="7"/>
      <c r="E317" s="4"/>
      <c r="F317" s="4" t="str">
        <f t="shared" si="1"/>
        <v/>
      </c>
    </row>
    <row r="318" spans="1:6" ht="14.25" customHeight="1" x14ac:dyDescent="0.3">
      <c r="A318" s="7"/>
      <c r="B318" s="7"/>
      <c r="C318" s="7"/>
      <c r="D318" s="7"/>
      <c r="E318" s="4"/>
      <c r="F318" s="4" t="str">
        <f t="shared" si="1"/>
        <v/>
      </c>
    </row>
    <row r="319" spans="1:6" ht="14.25" customHeight="1" x14ac:dyDescent="0.3">
      <c r="A319" s="7"/>
      <c r="B319" s="7"/>
      <c r="C319" s="7"/>
      <c r="D319" s="7"/>
      <c r="E319" s="4"/>
      <c r="F319" s="4" t="str">
        <f t="shared" si="1"/>
        <v/>
      </c>
    </row>
    <row r="320" spans="1:6" ht="14.25" customHeight="1" x14ac:dyDescent="0.3">
      <c r="A320" s="7"/>
      <c r="B320" s="7"/>
      <c r="C320" s="7"/>
      <c r="D320" s="7"/>
      <c r="E320" s="4"/>
      <c r="F320" s="4" t="str">
        <f t="shared" si="1"/>
        <v/>
      </c>
    </row>
    <row r="321" spans="1:6" ht="14.25" customHeight="1" x14ac:dyDescent="0.3">
      <c r="A321" s="7"/>
      <c r="B321" s="7"/>
      <c r="C321" s="7"/>
      <c r="D321" s="7"/>
      <c r="E321" s="4"/>
      <c r="F321" s="4" t="str">
        <f t="shared" si="1"/>
        <v/>
      </c>
    </row>
    <row r="322" spans="1:6" ht="14.25" customHeight="1" x14ac:dyDescent="0.3">
      <c r="A322" s="7"/>
      <c r="B322" s="7"/>
      <c r="C322" s="7"/>
      <c r="D322" s="7"/>
      <c r="E322" s="4"/>
      <c r="F322" s="4" t="str">
        <f t="shared" si="1"/>
        <v/>
      </c>
    </row>
    <row r="323" spans="1:6" ht="14.25" customHeight="1" x14ac:dyDescent="0.3">
      <c r="A323" s="7"/>
      <c r="B323" s="7"/>
      <c r="C323" s="7"/>
      <c r="D323" s="7"/>
      <c r="E323" s="4"/>
      <c r="F323" s="4" t="str">
        <f t="shared" si="1"/>
        <v/>
      </c>
    </row>
    <row r="324" spans="1:6" ht="14.25" customHeight="1" x14ac:dyDescent="0.3">
      <c r="A324" s="7"/>
      <c r="B324" s="7"/>
      <c r="C324" s="7"/>
      <c r="D324" s="7"/>
      <c r="E324" s="4"/>
      <c r="F324" s="4" t="str">
        <f t="shared" si="1"/>
        <v/>
      </c>
    </row>
    <row r="325" spans="1:6" ht="14.25" customHeight="1" x14ac:dyDescent="0.3">
      <c r="A325" s="7"/>
      <c r="B325" s="7"/>
      <c r="C325" s="7"/>
      <c r="D325" s="7"/>
      <c r="E325" s="4"/>
      <c r="F325" s="4" t="str">
        <f t="shared" si="1"/>
        <v/>
      </c>
    </row>
    <row r="326" spans="1:6" ht="14.25" customHeight="1" x14ac:dyDescent="0.3">
      <c r="A326" s="7"/>
      <c r="B326" s="7"/>
      <c r="C326" s="7"/>
      <c r="D326" s="7"/>
      <c r="E326" s="4"/>
      <c r="F326" s="4" t="str">
        <f t="shared" si="1"/>
        <v/>
      </c>
    </row>
    <row r="327" spans="1:6" ht="14.25" customHeight="1" x14ac:dyDescent="0.3">
      <c r="A327" s="7"/>
      <c r="B327" s="7"/>
      <c r="C327" s="7"/>
      <c r="D327" s="7"/>
      <c r="E327" s="4"/>
      <c r="F327" s="4" t="str">
        <f t="shared" si="1"/>
        <v/>
      </c>
    </row>
    <row r="328" spans="1:6" ht="14.25" customHeight="1" x14ac:dyDescent="0.3">
      <c r="A328" s="7"/>
      <c r="B328" s="7"/>
      <c r="C328" s="7"/>
      <c r="D328" s="7"/>
      <c r="E328" s="4"/>
      <c r="F328" s="4" t="str">
        <f t="shared" si="1"/>
        <v/>
      </c>
    </row>
    <row r="329" spans="1:6" ht="14.25" customHeight="1" x14ac:dyDescent="0.3">
      <c r="A329" s="7"/>
      <c r="B329" s="7"/>
      <c r="C329" s="7"/>
      <c r="D329" s="7"/>
      <c r="E329" s="4"/>
      <c r="F329" s="4" t="str">
        <f t="shared" si="1"/>
        <v/>
      </c>
    </row>
    <row r="330" spans="1:6" ht="14.25" customHeight="1" x14ac:dyDescent="0.3">
      <c r="A330" s="7"/>
      <c r="B330" s="7"/>
      <c r="C330" s="7"/>
      <c r="D330" s="7"/>
      <c r="E330" s="4"/>
      <c r="F330" s="4" t="str">
        <f t="shared" si="1"/>
        <v/>
      </c>
    </row>
    <row r="331" spans="1:6" ht="14.25" customHeight="1" x14ac:dyDescent="0.3">
      <c r="A331" s="7"/>
      <c r="B331" s="7"/>
      <c r="C331" s="7"/>
      <c r="D331" s="7"/>
      <c r="E331" s="4"/>
      <c r="F331" s="4" t="str">
        <f t="shared" si="1"/>
        <v/>
      </c>
    </row>
    <row r="332" spans="1:6" ht="14.25" customHeight="1" x14ac:dyDescent="0.3">
      <c r="A332" s="7"/>
      <c r="B332" s="7"/>
      <c r="C332" s="7"/>
      <c r="D332" s="7"/>
      <c r="E332" s="4"/>
      <c r="F332" s="4" t="str">
        <f t="shared" si="1"/>
        <v/>
      </c>
    </row>
    <row r="333" spans="1:6" ht="14.25" customHeight="1" x14ac:dyDescent="0.3">
      <c r="A333" s="7"/>
      <c r="B333" s="7"/>
      <c r="C333" s="7"/>
      <c r="D333" s="7"/>
      <c r="E333" s="4"/>
      <c r="F333" s="4" t="str">
        <f t="shared" si="1"/>
        <v/>
      </c>
    </row>
    <row r="334" spans="1:6" ht="14.25" customHeight="1" x14ac:dyDescent="0.3">
      <c r="A334" s="7"/>
      <c r="B334" s="7"/>
      <c r="C334" s="7"/>
      <c r="D334" s="7"/>
      <c r="E334" s="4"/>
      <c r="F334" s="4" t="str">
        <f t="shared" si="1"/>
        <v/>
      </c>
    </row>
    <row r="335" spans="1:6" ht="14.25" customHeight="1" x14ac:dyDescent="0.3">
      <c r="A335" s="7"/>
      <c r="B335" s="7"/>
      <c r="C335" s="7"/>
      <c r="D335" s="7"/>
      <c r="E335" s="4"/>
      <c r="F335" s="4" t="str">
        <f t="shared" si="1"/>
        <v/>
      </c>
    </row>
    <row r="336" spans="1:6" ht="14.25" customHeight="1" x14ac:dyDescent="0.3">
      <c r="A336" s="7"/>
      <c r="B336" s="7"/>
      <c r="C336" s="7"/>
      <c r="D336" s="7"/>
      <c r="E336" s="4"/>
      <c r="F336" s="4" t="str">
        <f t="shared" si="1"/>
        <v/>
      </c>
    </row>
    <row r="337" spans="1:6" ht="14.25" customHeight="1" x14ac:dyDescent="0.3">
      <c r="A337" s="7"/>
      <c r="B337" s="7"/>
      <c r="C337" s="7"/>
      <c r="D337" s="7"/>
      <c r="E337" s="4"/>
      <c r="F337" s="4" t="str">
        <f t="shared" si="1"/>
        <v/>
      </c>
    </row>
    <row r="338" spans="1:6" ht="14.25" customHeight="1" x14ac:dyDescent="0.3">
      <c r="A338" s="7"/>
      <c r="B338" s="7"/>
      <c r="C338" s="7"/>
      <c r="D338" s="7"/>
      <c r="E338" s="4"/>
      <c r="F338" s="4" t="str">
        <f t="shared" si="1"/>
        <v/>
      </c>
    </row>
    <row r="339" spans="1:6" ht="14.25" customHeight="1" x14ac:dyDescent="0.3">
      <c r="A339" s="7"/>
      <c r="B339" s="7"/>
      <c r="C339" s="7"/>
      <c r="D339" s="7"/>
      <c r="E339" s="4"/>
      <c r="F339" s="4" t="str">
        <f t="shared" si="1"/>
        <v/>
      </c>
    </row>
    <row r="340" spans="1:6" ht="14.25" customHeight="1" x14ac:dyDescent="0.3">
      <c r="A340" s="7"/>
      <c r="B340" s="7"/>
      <c r="C340" s="7"/>
      <c r="D340" s="7"/>
      <c r="E340" s="4"/>
      <c r="F340" s="4" t="str">
        <f t="shared" si="1"/>
        <v/>
      </c>
    </row>
    <row r="341" spans="1:6" ht="14.25" customHeight="1" x14ac:dyDescent="0.3">
      <c r="A341" s="7"/>
      <c r="B341" s="7"/>
      <c r="C341" s="7"/>
      <c r="D341" s="7"/>
      <c r="E341" s="4"/>
      <c r="F341" s="4" t="str">
        <f t="shared" si="1"/>
        <v/>
      </c>
    </row>
    <row r="342" spans="1:6" ht="14.25" customHeight="1" x14ac:dyDescent="0.3">
      <c r="A342" s="7"/>
      <c r="B342" s="7"/>
      <c r="C342" s="7"/>
      <c r="D342" s="7"/>
      <c r="E342" s="4"/>
      <c r="F342" s="4" t="str">
        <f t="shared" si="1"/>
        <v/>
      </c>
    </row>
    <row r="343" spans="1:6" ht="14.25" customHeight="1" x14ac:dyDescent="0.3">
      <c r="A343" s="7"/>
      <c r="B343" s="7"/>
      <c r="C343" s="7"/>
      <c r="D343" s="7"/>
      <c r="E343" s="4"/>
      <c r="F343" s="4" t="str">
        <f t="shared" si="1"/>
        <v/>
      </c>
    </row>
    <row r="344" spans="1:6" ht="14.25" customHeight="1" x14ac:dyDescent="0.3">
      <c r="A344" s="7"/>
      <c r="B344" s="7"/>
      <c r="C344" s="7"/>
      <c r="D344" s="7"/>
      <c r="E344" s="4"/>
      <c r="F344" s="4" t="str">
        <f t="shared" si="1"/>
        <v/>
      </c>
    </row>
    <row r="345" spans="1:6" ht="14.25" customHeight="1" x14ac:dyDescent="0.3">
      <c r="A345" s="7"/>
      <c r="B345" s="7"/>
      <c r="C345" s="7"/>
      <c r="D345" s="7"/>
      <c r="E345" s="4"/>
      <c r="F345" s="4" t="str">
        <f t="shared" si="1"/>
        <v/>
      </c>
    </row>
    <row r="346" spans="1:6" ht="14.25" customHeight="1" x14ac:dyDescent="0.3">
      <c r="A346" s="7"/>
      <c r="B346" s="7"/>
      <c r="C346" s="7"/>
      <c r="D346" s="7"/>
      <c r="E346" s="4"/>
      <c r="F346" s="4" t="str">
        <f t="shared" si="1"/>
        <v/>
      </c>
    </row>
    <row r="347" spans="1:6" ht="14.25" customHeight="1" x14ac:dyDescent="0.3">
      <c r="A347" s="7"/>
      <c r="B347" s="7"/>
      <c r="C347" s="7"/>
      <c r="D347" s="7"/>
      <c r="E347" s="4"/>
      <c r="F347" s="4" t="str">
        <f t="shared" si="1"/>
        <v/>
      </c>
    </row>
    <row r="348" spans="1:6" ht="14.25" customHeight="1" x14ac:dyDescent="0.3">
      <c r="A348" s="7"/>
      <c r="B348" s="7"/>
      <c r="C348" s="7"/>
      <c r="D348" s="7"/>
      <c r="E348" s="4"/>
      <c r="F348" s="4" t="str">
        <f t="shared" si="1"/>
        <v/>
      </c>
    </row>
    <row r="349" spans="1:6" ht="14.25" customHeight="1" x14ac:dyDescent="0.3">
      <c r="A349" s="7"/>
      <c r="B349" s="7"/>
      <c r="C349" s="7"/>
      <c r="D349" s="7"/>
      <c r="E349" s="4"/>
      <c r="F349" s="4" t="str">
        <f t="shared" si="1"/>
        <v/>
      </c>
    </row>
    <row r="350" spans="1:6" ht="14.25" customHeight="1" x14ac:dyDescent="0.3">
      <c r="A350" s="7"/>
      <c r="B350" s="7"/>
      <c r="C350" s="7"/>
      <c r="D350" s="7"/>
      <c r="E350" s="4"/>
      <c r="F350" s="4" t="str">
        <f t="shared" si="1"/>
        <v/>
      </c>
    </row>
    <row r="351" spans="1:6" ht="14.25" customHeight="1" x14ac:dyDescent="0.3">
      <c r="A351" s="7"/>
      <c r="B351" s="7"/>
      <c r="C351" s="7"/>
      <c r="D351" s="7"/>
      <c r="E351" s="4"/>
      <c r="F351" s="4" t="str">
        <f t="shared" si="1"/>
        <v/>
      </c>
    </row>
    <row r="352" spans="1:6" ht="14.25" customHeight="1" x14ac:dyDescent="0.3">
      <c r="A352" s="7"/>
      <c r="B352" s="7"/>
      <c r="C352" s="7"/>
      <c r="D352" s="7"/>
      <c r="E352" s="4"/>
      <c r="F352" s="4" t="str">
        <f t="shared" si="1"/>
        <v/>
      </c>
    </row>
    <row r="353" spans="1:6" ht="14.25" customHeight="1" x14ac:dyDescent="0.3">
      <c r="A353" s="7"/>
      <c r="B353" s="7"/>
      <c r="C353" s="7"/>
      <c r="D353" s="7"/>
      <c r="E353" s="4"/>
      <c r="F353" s="4" t="str">
        <f t="shared" si="1"/>
        <v/>
      </c>
    </row>
    <row r="354" spans="1:6" ht="14.25" customHeight="1" x14ac:dyDescent="0.3">
      <c r="A354" s="7"/>
      <c r="B354" s="7"/>
      <c r="C354" s="7"/>
      <c r="D354" s="7"/>
      <c r="E354" s="4"/>
      <c r="F354" s="4" t="str">
        <f t="shared" si="1"/>
        <v/>
      </c>
    </row>
    <row r="355" spans="1:6" ht="14.25" customHeight="1" x14ac:dyDescent="0.3">
      <c r="A355" s="7"/>
      <c r="B355" s="7"/>
      <c r="C355" s="7"/>
      <c r="D355" s="7"/>
      <c r="E355" s="4"/>
      <c r="F355" s="4" t="str">
        <f t="shared" si="1"/>
        <v/>
      </c>
    </row>
    <row r="356" spans="1:6" ht="14.25" customHeight="1" x14ac:dyDescent="0.3">
      <c r="A356" s="7"/>
      <c r="B356" s="7"/>
      <c r="C356" s="7"/>
      <c r="D356" s="7"/>
      <c r="E356" s="4"/>
      <c r="F356" s="4" t="str">
        <f t="shared" si="1"/>
        <v/>
      </c>
    </row>
    <row r="357" spans="1:6" ht="14.25" customHeight="1" x14ac:dyDescent="0.3">
      <c r="A357" s="7"/>
      <c r="B357" s="7"/>
      <c r="C357" s="7"/>
      <c r="D357" s="7"/>
      <c r="E357" s="4"/>
      <c r="F357" s="4" t="str">
        <f t="shared" si="1"/>
        <v/>
      </c>
    </row>
    <row r="358" spans="1:6" ht="14.25" customHeight="1" x14ac:dyDescent="0.3">
      <c r="A358" s="7"/>
      <c r="B358" s="7"/>
      <c r="C358" s="7"/>
      <c r="D358" s="7"/>
      <c r="E358" s="4"/>
      <c r="F358" s="4" t="str">
        <f t="shared" si="1"/>
        <v/>
      </c>
    </row>
    <row r="359" spans="1:6" ht="14.25" customHeight="1" x14ac:dyDescent="0.3">
      <c r="A359" s="7"/>
      <c r="B359" s="7"/>
      <c r="C359" s="7"/>
      <c r="D359" s="7"/>
      <c r="E359" s="4"/>
      <c r="F359" s="4" t="str">
        <f t="shared" si="1"/>
        <v/>
      </c>
    </row>
    <row r="360" spans="1:6" ht="14.25" customHeight="1" x14ac:dyDescent="0.3">
      <c r="A360" s="7"/>
      <c r="B360" s="7"/>
      <c r="C360" s="7"/>
      <c r="D360" s="7"/>
      <c r="E360" s="4"/>
      <c r="F360" s="4" t="str">
        <f t="shared" si="1"/>
        <v/>
      </c>
    </row>
    <row r="361" spans="1:6" ht="14.25" customHeight="1" x14ac:dyDescent="0.3">
      <c r="A361" s="7"/>
      <c r="B361" s="7"/>
      <c r="C361" s="7"/>
      <c r="D361" s="7"/>
      <c r="E361" s="4"/>
      <c r="F361" s="4" t="str">
        <f t="shared" si="1"/>
        <v/>
      </c>
    </row>
    <row r="362" spans="1:6" ht="14.25" customHeight="1" x14ac:dyDescent="0.3">
      <c r="A362" s="7"/>
      <c r="B362" s="7"/>
      <c r="C362" s="7"/>
      <c r="D362" s="7"/>
      <c r="E362" s="4"/>
      <c r="F362" s="4" t="str">
        <f t="shared" si="1"/>
        <v/>
      </c>
    </row>
    <row r="363" spans="1:6" ht="14.25" customHeight="1" x14ac:dyDescent="0.3">
      <c r="A363" s="7"/>
      <c r="B363" s="7"/>
      <c r="C363" s="7"/>
      <c r="D363" s="7"/>
      <c r="E363" s="4"/>
      <c r="F363" s="4" t="str">
        <f t="shared" si="1"/>
        <v/>
      </c>
    </row>
    <row r="364" spans="1:6" ht="14.25" customHeight="1" x14ac:dyDescent="0.3">
      <c r="A364" s="7"/>
      <c r="B364" s="7"/>
      <c r="C364" s="7"/>
      <c r="D364" s="7"/>
      <c r="E364" s="4"/>
      <c r="F364" s="4" t="str">
        <f t="shared" si="1"/>
        <v/>
      </c>
    </row>
    <row r="365" spans="1:6" ht="14.25" customHeight="1" x14ac:dyDescent="0.3">
      <c r="A365" s="7"/>
      <c r="B365" s="7"/>
      <c r="C365" s="7"/>
      <c r="D365" s="7"/>
      <c r="E365" s="4"/>
      <c r="F365" s="4" t="str">
        <f t="shared" si="1"/>
        <v/>
      </c>
    </row>
    <row r="366" spans="1:6" ht="14.25" customHeight="1" x14ac:dyDescent="0.3">
      <c r="A366" s="7"/>
      <c r="B366" s="7"/>
      <c r="C366" s="7"/>
      <c r="D366" s="7"/>
      <c r="E366" s="4"/>
      <c r="F366" s="4" t="str">
        <f t="shared" si="1"/>
        <v/>
      </c>
    </row>
    <row r="367" spans="1:6" ht="14.25" customHeight="1" x14ac:dyDescent="0.3">
      <c r="A367" s="7"/>
      <c r="B367" s="7"/>
      <c r="C367" s="7"/>
      <c r="D367" s="7"/>
      <c r="E367" s="4"/>
      <c r="F367" s="4" t="str">
        <f t="shared" si="1"/>
        <v/>
      </c>
    </row>
    <row r="368" spans="1:6" ht="14.25" customHeight="1" x14ac:dyDescent="0.3">
      <c r="A368" s="7"/>
      <c r="B368" s="7"/>
      <c r="C368" s="7"/>
      <c r="D368" s="7"/>
      <c r="E368" s="4"/>
      <c r="F368" s="4" t="str">
        <f t="shared" si="1"/>
        <v/>
      </c>
    </row>
    <row r="369" spans="1:6" ht="14.25" customHeight="1" x14ac:dyDescent="0.3">
      <c r="A369" s="7"/>
      <c r="B369" s="7"/>
      <c r="C369" s="7"/>
      <c r="D369" s="7"/>
      <c r="E369" s="4"/>
      <c r="F369" s="4" t="str">
        <f t="shared" si="1"/>
        <v/>
      </c>
    </row>
    <row r="370" spans="1:6" ht="14.25" customHeight="1" x14ac:dyDescent="0.3">
      <c r="A370" s="7"/>
      <c r="B370" s="7"/>
      <c r="C370" s="7"/>
      <c r="D370" s="7"/>
      <c r="E370" s="4"/>
      <c r="F370" s="4" t="str">
        <f t="shared" si="1"/>
        <v/>
      </c>
    </row>
    <row r="371" spans="1:6" ht="14.25" customHeight="1" x14ac:dyDescent="0.3">
      <c r="A371" s="7"/>
      <c r="B371" s="7"/>
      <c r="C371" s="7"/>
      <c r="D371" s="7"/>
      <c r="E371" s="4"/>
      <c r="F371" s="4" t="str">
        <f t="shared" si="1"/>
        <v/>
      </c>
    </row>
    <row r="372" spans="1:6" ht="14.25" customHeight="1" x14ac:dyDescent="0.3">
      <c r="A372" s="7"/>
      <c r="B372" s="7"/>
      <c r="C372" s="7"/>
      <c r="D372" s="7"/>
      <c r="E372" s="4"/>
      <c r="F372" s="4" t="str">
        <f t="shared" si="1"/>
        <v/>
      </c>
    </row>
    <row r="373" spans="1:6" ht="14.25" customHeight="1" x14ac:dyDescent="0.3">
      <c r="A373" s="7"/>
      <c r="B373" s="7"/>
      <c r="C373" s="7"/>
      <c r="D373" s="7"/>
      <c r="E373" s="4"/>
      <c r="F373" s="4" t="str">
        <f t="shared" si="1"/>
        <v/>
      </c>
    </row>
    <row r="374" spans="1:6" ht="14.25" customHeight="1" x14ac:dyDescent="0.3">
      <c r="A374" s="7"/>
      <c r="B374" s="7"/>
      <c r="C374" s="7"/>
      <c r="D374" s="7"/>
      <c r="E374" s="4"/>
      <c r="F374" s="4" t="str">
        <f t="shared" si="1"/>
        <v/>
      </c>
    </row>
    <row r="375" spans="1:6" ht="14.25" customHeight="1" x14ac:dyDescent="0.3">
      <c r="A375" s="7"/>
      <c r="B375" s="7"/>
      <c r="C375" s="7"/>
      <c r="D375" s="7"/>
      <c r="E375" s="4"/>
      <c r="F375" s="4" t="str">
        <f t="shared" si="1"/>
        <v/>
      </c>
    </row>
    <row r="376" spans="1:6" ht="14.25" customHeight="1" x14ac:dyDescent="0.3">
      <c r="A376" s="7"/>
      <c r="B376" s="7"/>
      <c r="C376" s="7"/>
      <c r="D376" s="7"/>
      <c r="E376" s="4"/>
      <c r="F376" s="4" t="str">
        <f t="shared" si="1"/>
        <v/>
      </c>
    </row>
    <row r="377" spans="1:6" ht="14.25" customHeight="1" x14ac:dyDescent="0.3">
      <c r="A377" s="7"/>
      <c r="B377" s="7"/>
      <c r="C377" s="7"/>
      <c r="D377" s="7"/>
      <c r="E377" s="4"/>
      <c r="F377" s="4" t="str">
        <f t="shared" si="1"/>
        <v/>
      </c>
    </row>
    <row r="378" spans="1:6" ht="14.25" customHeight="1" x14ac:dyDescent="0.3">
      <c r="A378" s="7"/>
      <c r="B378" s="7"/>
      <c r="C378" s="7"/>
      <c r="D378" s="7"/>
      <c r="E378" s="4"/>
      <c r="F378" s="4" t="str">
        <f t="shared" si="1"/>
        <v/>
      </c>
    </row>
    <row r="379" spans="1:6" ht="14.25" customHeight="1" x14ac:dyDescent="0.3">
      <c r="A379" s="7"/>
      <c r="B379" s="7"/>
      <c r="C379" s="7"/>
      <c r="D379" s="7"/>
      <c r="E379" s="4"/>
      <c r="F379" s="4" t="str">
        <f t="shared" si="1"/>
        <v/>
      </c>
    </row>
    <row r="380" spans="1:6" ht="14.25" customHeight="1" x14ac:dyDescent="0.3">
      <c r="A380" s="7"/>
      <c r="B380" s="7"/>
      <c r="C380" s="7"/>
      <c r="D380" s="7"/>
      <c r="E380" s="4"/>
      <c r="F380" s="4" t="str">
        <f t="shared" si="1"/>
        <v/>
      </c>
    </row>
    <row r="381" spans="1:6" ht="14.25" customHeight="1" x14ac:dyDescent="0.3">
      <c r="A381" s="7"/>
      <c r="B381" s="7"/>
      <c r="C381" s="7"/>
      <c r="D381" s="7"/>
      <c r="E381" s="4"/>
      <c r="F381" s="4" t="str">
        <f t="shared" si="1"/>
        <v/>
      </c>
    </row>
    <row r="382" spans="1:6" ht="14.25" customHeight="1" x14ac:dyDescent="0.3">
      <c r="A382" s="7"/>
      <c r="B382" s="7"/>
      <c r="C382" s="7"/>
      <c r="D382" s="7"/>
      <c r="E382" s="4"/>
      <c r="F382" s="4" t="str">
        <f t="shared" si="1"/>
        <v/>
      </c>
    </row>
    <row r="383" spans="1:6" ht="14.25" customHeight="1" x14ac:dyDescent="0.3">
      <c r="A383" s="7"/>
      <c r="B383" s="7"/>
      <c r="C383" s="7"/>
      <c r="D383" s="7"/>
      <c r="E383" s="4"/>
      <c r="F383" s="4" t="str">
        <f t="shared" si="1"/>
        <v/>
      </c>
    </row>
    <row r="384" spans="1:6" ht="14.25" customHeight="1" x14ac:dyDescent="0.3">
      <c r="A384" s="7"/>
      <c r="B384" s="7"/>
      <c r="C384" s="7"/>
      <c r="D384" s="7"/>
      <c r="E384" s="4"/>
      <c r="F384" s="4" t="str">
        <f t="shared" si="1"/>
        <v/>
      </c>
    </row>
    <row r="385" spans="1:6" ht="14.25" customHeight="1" x14ac:dyDescent="0.3">
      <c r="A385" s="7"/>
      <c r="B385" s="7"/>
      <c r="C385" s="7"/>
      <c r="D385" s="7"/>
      <c r="E385" s="4"/>
      <c r="F385" s="4" t="str">
        <f t="shared" si="1"/>
        <v/>
      </c>
    </row>
    <row r="386" spans="1:6" ht="14.25" customHeight="1" x14ac:dyDescent="0.3">
      <c r="A386" s="7"/>
      <c r="B386" s="7"/>
      <c r="C386" s="7"/>
      <c r="D386" s="7"/>
      <c r="E386" s="4"/>
      <c r="F386" s="4" t="str">
        <f t="shared" si="1"/>
        <v/>
      </c>
    </row>
    <row r="387" spans="1:6" ht="14.25" customHeight="1" x14ac:dyDescent="0.3">
      <c r="A387" s="7"/>
      <c r="B387" s="7"/>
      <c r="C387" s="7"/>
      <c r="D387" s="7"/>
      <c r="E387" s="4"/>
      <c r="F387" s="4" t="str">
        <f t="shared" si="1"/>
        <v/>
      </c>
    </row>
    <row r="388" spans="1:6" ht="14.25" customHeight="1" x14ac:dyDescent="0.3">
      <c r="A388" s="7"/>
      <c r="B388" s="7"/>
      <c r="C388" s="7"/>
      <c r="D388" s="7"/>
      <c r="E388" s="4"/>
      <c r="F388" s="4" t="str">
        <f t="shared" si="1"/>
        <v/>
      </c>
    </row>
    <row r="389" spans="1:6" ht="14.25" customHeight="1" x14ac:dyDescent="0.3">
      <c r="A389" s="7"/>
      <c r="B389" s="7"/>
      <c r="C389" s="7"/>
      <c r="D389" s="7"/>
      <c r="E389" s="4"/>
      <c r="F389" s="4" t="str">
        <f t="shared" si="1"/>
        <v/>
      </c>
    </row>
    <row r="390" spans="1:6" ht="14.25" customHeight="1" x14ac:dyDescent="0.3">
      <c r="A390" s="7"/>
      <c r="B390" s="7"/>
      <c r="C390" s="7"/>
      <c r="D390" s="7"/>
      <c r="E390" s="4"/>
      <c r="F390" s="4" t="str">
        <f t="shared" si="1"/>
        <v/>
      </c>
    </row>
    <row r="391" spans="1:6" ht="14.25" customHeight="1" x14ac:dyDescent="0.3">
      <c r="A391" s="7"/>
      <c r="B391" s="7"/>
      <c r="C391" s="7"/>
      <c r="D391" s="7"/>
      <c r="E391" s="4"/>
      <c r="F391" s="4" t="str">
        <f t="shared" si="1"/>
        <v/>
      </c>
    </row>
    <row r="392" spans="1:6" ht="14.25" customHeight="1" x14ac:dyDescent="0.3">
      <c r="A392" s="7"/>
      <c r="B392" s="7"/>
      <c r="C392" s="7"/>
      <c r="D392" s="7"/>
      <c r="E392" s="4"/>
      <c r="F392" s="4" t="str">
        <f t="shared" si="1"/>
        <v/>
      </c>
    </row>
    <row r="393" spans="1:6" ht="14.25" customHeight="1" x14ac:dyDescent="0.3">
      <c r="A393" s="7"/>
      <c r="B393" s="7"/>
      <c r="C393" s="7"/>
      <c r="D393" s="7"/>
      <c r="E393" s="4"/>
      <c r="F393" s="4" t="str">
        <f t="shared" si="1"/>
        <v/>
      </c>
    </row>
    <row r="394" spans="1:6" ht="14.25" customHeight="1" x14ac:dyDescent="0.3">
      <c r="A394" s="7"/>
      <c r="B394" s="7"/>
      <c r="C394" s="7"/>
      <c r="D394" s="7"/>
      <c r="E394" s="4"/>
      <c r="F394" s="4" t="str">
        <f t="shared" si="1"/>
        <v/>
      </c>
    </row>
    <row r="395" spans="1:6" ht="14.25" customHeight="1" x14ac:dyDescent="0.3">
      <c r="A395" s="7"/>
      <c r="B395" s="7"/>
      <c r="C395" s="7"/>
      <c r="D395" s="7"/>
      <c r="E395" s="4"/>
      <c r="F395" s="4" t="str">
        <f t="shared" si="1"/>
        <v/>
      </c>
    </row>
    <row r="396" spans="1:6" ht="14.25" customHeight="1" x14ac:dyDescent="0.3">
      <c r="A396" s="7"/>
      <c r="B396" s="7"/>
      <c r="C396" s="7"/>
      <c r="D396" s="7"/>
      <c r="E396" s="4"/>
      <c r="F396" s="4" t="str">
        <f t="shared" si="1"/>
        <v/>
      </c>
    </row>
    <row r="397" spans="1:6" ht="14.25" customHeight="1" x14ac:dyDescent="0.3">
      <c r="A397" s="7"/>
      <c r="B397" s="7"/>
      <c r="C397" s="7"/>
      <c r="D397" s="7"/>
      <c r="E397" s="4"/>
      <c r="F397" s="4" t="str">
        <f t="shared" si="1"/>
        <v/>
      </c>
    </row>
    <row r="398" spans="1:6" ht="14.25" customHeight="1" x14ac:dyDescent="0.3">
      <c r="A398" s="7"/>
      <c r="B398" s="7"/>
      <c r="C398" s="7"/>
      <c r="D398" s="7"/>
      <c r="E398" s="4"/>
      <c r="F398" s="4" t="str">
        <f t="shared" si="1"/>
        <v/>
      </c>
    </row>
    <row r="399" spans="1:6" ht="14.25" customHeight="1" x14ac:dyDescent="0.3">
      <c r="A399" s="7"/>
      <c r="B399" s="7"/>
      <c r="C399" s="7"/>
      <c r="D399" s="7"/>
      <c r="E399" s="4"/>
      <c r="F399" s="4" t="str">
        <f t="shared" si="1"/>
        <v/>
      </c>
    </row>
    <row r="400" spans="1:6" ht="14.25" customHeight="1" x14ac:dyDescent="0.3">
      <c r="A400" s="7"/>
      <c r="B400" s="7"/>
      <c r="C400" s="7"/>
      <c r="D400" s="7"/>
      <c r="E400" s="4"/>
      <c r="F400" s="4" t="str">
        <f t="shared" si="1"/>
        <v/>
      </c>
    </row>
    <row r="401" spans="1:6" ht="14.25" customHeight="1" x14ac:dyDescent="0.3">
      <c r="A401" s="7"/>
      <c r="B401" s="7"/>
      <c r="C401" s="7"/>
      <c r="D401" s="7"/>
      <c r="E401" s="4"/>
      <c r="F401" s="4" t="str">
        <f t="shared" si="1"/>
        <v/>
      </c>
    </row>
    <row r="402" spans="1:6" ht="14.25" customHeight="1" x14ac:dyDescent="0.3">
      <c r="A402" s="7"/>
      <c r="B402" s="7"/>
      <c r="C402" s="7"/>
      <c r="D402" s="7"/>
      <c r="E402" s="4"/>
      <c r="F402" s="4" t="str">
        <f t="shared" si="1"/>
        <v/>
      </c>
    </row>
    <row r="403" spans="1:6" ht="14.25" customHeight="1" x14ac:dyDescent="0.3">
      <c r="A403" s="7"/>
      <c r="B403" s="7"/>
      <c r="C403" s="7"/>
      <c r="D403" s="7"/>
      <c r="E403" s="4"/>
      <c r="F403" s="4" t="str">
        <f t="shared" si="1"/>
        <v/>
      </c>
    </row>
    <row r="404" spans="1:6" ht="14.25" customHeight="1" x14ac:dyDescent="0.3">
      <c r="A404" s="7"/>
      <c r="B404" s="7"/>
      <c r="C404" s="7"/>
      <c r="D404" s="7"/>
      <c r="E404" s="4"/>
      <c r="F404" s="4" t="str">
        <f t="shared" si="1"/>
        <v/>
      </c>
    </row>
    <row r="405" spans="1:6" ht="14.25" customHeight="1" x14ac:dyDescent="0.3">
      <c r="A405" s="7"/>
      <c r="B405" s="7"/>
      <c r="C405" s="7"/>
      <c r="D405" s="7"/>
      <c r="E405" s="4"/>
      <c r="F405" s="4" t="str">
        <f t="shared" si="1"/>
        <v/>
      </c>
    </row>
    <row r="406" spans="1:6" ht="14.25" customHeight="1" x14ac:dyDescent="0.3">
      <c r="A406" s="7"/>
      <c r="B406" s="7"/>
      <c r="C406" s="7"/>
      <c r="D406" s="7"/>
      <c r="E406" s="4"/>
      <c r="F406" s="4" t="str">
        <f t="shared" si="1"/>
        <v/>
      </c>
    </row>
    <row r="407" spans="1:6" ht="14.25" customHeight="1" x14ac:dyDescent="0.3">
      <c r="A407" s="7"/>
      <c r="B407" s="7"/>
      <c r="C407" s="7"/>
      <c r="D407" s="7"/>
      <c r="E407" s="4"/>
      <c r="F407" s="4" t="str">
        <f t="shared" si="1"/>
        <v/>
      </c>
    </row>
    <row r="408" spans="1:6" ht="14.25" customHeight="1" x14ac:dyDescent="0.3">
      <c r="A408" s="7"/>
      <c r="B408" s="7"/>
      <c r="C408" s="7"/>
      <c r="D408" s="7"/>
      <c r="E408" s="4"/>
      <c r="F408" s="4" t="str">
        <f t="shared" si="1"/>
        <v/>
      </c>
    </row>
    <row r="409" spans="1:6" ht="14.25" customHeight="1" x14ac:dyDescent="0.3">
      <c r="A409" s="7"/>
      <c r="B409" s="7"/>
      <c r="C409" s="7"/>
      <c r="D409" s="7"/>
      <c r="E409" s="4"/>
      <c r="F409" s="4" t="str">
        <f t="shared" si="1"/>
        <v/>
      </c>
    </row>
    <row r="410" spans="1:6" ht="14.25" customHeight="1" x14ac:dyDescent="0.3">
      <c r="A410" s="7"/>
      <c r="B410" s="7"/>
      <c r="C410" s="7"/>
      <c r="D410" s="7"/>
      <c r="E410" s="4"/>
      <c r="F410" s="4" t="str">
        <f t="shared" si="1"/>
        <v/>
      </c>
    </row>
    <row r="411" spans="1:6" ht="14.25" customHeight="1" x14ac:dyDescent="0.3">
      <c r="A411" s="7"/>
      <c r="B411" s="7"/>
      <c r="C411" s="7"/>
      <c r="D411" s="7"/>
      <c r="E411" s="4"/>
      <c r="F411" s="4" t="str">
        <f t="shared" si="1"/>
        <v/>
      </c>
    </row>
    <row r="412" spans="1:6" ht="14.25" customHeight="1" x14ac:dyDescent="0.3">
      <c r="A412" s="7"/>
      <c r="B412" s="7"/>
      <c r="C412" s="7"/>
      <c r="D412" s="7"/>
      <c r="E412" s="4"/>
      <c r="F412" s="4" t="str">
        <f t="shared" si="1"/>
        <v/>
      </c>
    </row>
    <row r="413" spans="1:6" ht="14.25" customHeight="1" x14ac:dyDescent="0.3">
      <c r="A413" s="7"/>
      <c r="B413" s="7"/>
      <c r="C413" s="7"/>
      <c r="D413" s="7"/>
      <c r="E413" s="4"/>
      <c r="F413" s="4" t="str">
        <f t="shared" si="1"/>
        <v/>
      </c>
    </row>
    <row r="414" spans="1:6" ht="14.25" customHeight="1" x14ac:dyDescent="0.3">
      <c r="A414" s="7"/>
      <c r="B414" s="7"/>
      <c r="C414" s="7"/>
      <c r="D414" s="7"/>
      <c r="E414" s="4"/>
      <c r="F414" s="4" t="str">
        <f t="shared" si="1"/>
        <v/>
      </c>
    </row>
    <row r="415" spans="1:6" ht="14.25" customHeight="1" x14ac:dyDescent="0.3">
      <c r="A415" s="7"/>
      <c r="B415" s="7"/>
      <c r="C415" s="7"/>
      <c r="D415" s="7"/>
      <c r="E415" s="4"/>
      <c r="F415" s="4" t="str">
        <f t="shared" si="1"/>
        <v/>
      </c>
    </row>
    <row r="416" spans="1:6" ht="14.25" customHeight="1" x14ac:dyDescent="0.3">
      <c r="A416" s="7"/>
      <c r="B416" s="7"/>
      <c r="C416" s="7"/>
      <c r="D416" s="7"/>
      <c r="E416" s="4"/>
      <c r="F416" s="4" t="str">
        <f t="shared" si="1"/>
        <v/>
      </c>
    </row>
    <row r="417" spans="1:6" ht="14.25" customHeight="1" x14ac:dyDescent="0.3">
      <c r="A417" s="7"/>
      <c r="B417" s="7"/>
      <c r="C417" s="7"/>
      <c r="D417" s="7"/>
      <c r="E417" s="4"/>
      <c r="F417" s="4" t="str">
        <f t="shared" si="1"/>
        <v/>
      </c>
    </row>
    <row r="418" spans="1:6" ht="14.25" customHeight="1" x14ac:dyDescent="0.3">
      <c r="A418" s="7"/>
      <c r="B418" s="7"/>
      <c r="C418" s="7"/>
      <c r="D418" s="7"/>
      <c r="E418" s="4"/>
      <c r="F418" s="4" t="str">
        <f t="shared" si="1"/>
        <v/>
      </c>
    </row>
    <row r="419" spans="1:6" ht="14.25" customHeight="1" x14ac:dyDescent="0.3">
      <c r="A419" s="7"/>
      <c r="B419" s="7"/>
      <c r="C419" s="7"/>
      <c r="D419" s="7"/>
      <c r="E419" s="4"/>
      <c r="F419" s="4" t="str">
        <f t="shared" si="1"/>
        <v/>
      </c>
    </row>
    <row r="420" spans="1:6" ht="14.25" customHeight="1" x14ac:dyDescent="0.3">
      <c r="A420" s="7"/>
      <c r="B420" s="7"/>
      <c r="C420" s="7"/>
      <c r="D420" s="7"/>
      <c r="E420" s="4"/>
      <c r="F420" s="4" t="str">
        <f t="shared" si="1"/>
        <v/>
      </c>
    </row>
    <row r="421" spans="1:6" ht="14.25" customHeight="1" x14ac:dyDescent="0.3">
      <c r="A421" s="7"/>
      <c r="B421" s="7"/>
      <c r="C421" s="7"/>
      <c r="D421" s="7"/>
      <c r="E421" s="4"/>
      <c r="F421" s="4" t="str">
        <f t="shared" si="1"/>
        <v/>
      </c>
    </row>
    <row r="422" spans="1:6" ht="14.25" customHeight="1" x14ac:dyDescent="0.3">
      <c r="A422" s="7"/>
      <c r="B422" s="7"/>
      <c r="C422" s="7"/>
      <c r="D422" s="7"/>
      <c r="E422" s="4"/>
      <c r="F422" s="4" t="str">
        <f t="shared" si="1"/>
        <v/>
      </c>
    </row>
    <row r="423" spans="1:6" ht="14.25" customHeight="1" x14ac:dyDescent="0.3">
      <c r="A423" s="7"/>
      <c r="B423" s="7"/>
      <c r="C423" s="7"/>
      <c r="D423" s="7"/>
      <c r="E423" s="4"/>
      <c r="F423" s="4" t="str">
        <f t="shared" si="1"/>
        <v/>
      </c>
    </row>
    <row r="424" spans="1:6" ht="14.25" customHeight="1" x14ac:dyDescent="0.3">
      <c r="A424" s="7"/>
      <c r="B424" s="7"/>
      <c r="C424" s="7"/>
      <c r="D424" s="7"/>
      <c r="E424" s="4"/>
      <c r="F424" s="4" t="str">
        <f t="shared" si="1"/>
        <v/>
      </c>
    </row>
    <row r="425" spans="1:6" ht="14.25" customHeight="1" x14ac:dyDescent="0.3">
      <c r="A425" s="7"/>
      <c r="B425" s="7"/>
      <c r="C425" s="7"/>
      <c r="D425" s="7"/>
      <c r="E425" s="4"/>
      <c r="F425" s="4" t="str">
        <f t="shared" si="1"/>
        <v/>
      </c>
    </row>
    <row r="426" spans="1:6" ht="14.25" customHeight="1" x14ac:dyDescent="0.3">
      <c r="A426" s="7"/>
      <c r="B426" s="7"/>
      <c r="C426" s="7"/>
      <c r="D426" s="7"/>
      <c r="E426" s="4"/>
      <c r="F426" s="4" t="str">
        <f t="shared" si="1"/>
        <v/>
      </c>
    </row>
    <row r="427" spans="1:6" ht="14.25" customHeight="1" x14ac:dyDescent="0.3">
      <c r="A427" s="7"/>
      <c r="B427" s="7"/>
      <c r="C427" s="7"/>
      <c r="D427" s="7"/>
      <c r="E427" s="4"/>
      <c r="F427" s="4" t="str">
        <f t="shared" si="1"/>
        <v/>
      </c>
    </row>
    <row r="428" spans="1:6" ht="14.25" customHeight="1" x14ac:dyDescent="0.3">
      <c r="A428" s="7"/>
      <c r="B428" s="7"/>
      <c r="C428" s="7"/>
      <c r="D428" s="7"/>
      <c r="E428" s="4"/>
      <c r="F428" s="4" t="str">
        <f t="shared" si="1"/>
        <v/>
      </c>
    </row>
    <row r="429" spans="1:6" ht="14.25" customHeight="1" x14ac:dyDescent="0.3">
      <c r="A429" s="7"/>
      <c r="B429" s="7"/>
      <c r="C429" s="7"/>
      <c r="D429" s="7"/>
      <c r="E429" s="4"/>
      <c r="F429" s="4" t="str">
        <f t="shared" si="1"/>
        <v/>
      </c>
    </row>
    <row r="430" spans="1:6" ht="14.25" customHeight="1" x14ac:dyDescent="0.3">
      <c r="A430" s="7"/>
      <c r="B430" s="7"/>
      <c r="C430" s="7"/>
      <c r="D430" s="7"/>
      <c r="E430" s="4"/>
      <c r="F430" s="4" t="str">
        <f t="shared" si="1"/>
        <v/>
      </c>
    </row>
    <row r="431" spans="1:6" ht="14.25" customHeight="1" x14ac:dyDescent="0.3">
      <c r="A431" s="7"/>
      <c r="B431" s="7"/>
      <c r="C431" s="7"/>
      <c r="D431" s="7"/>
      <c r="E431" s="4"/>
      <c r="F431" s="4" t="str">
        <f t="shared" si="1"/>
        <v/>
      </c>
    </row>
    <row r="432" spans="1:6" ht="14.25" customHeight="1" x14ac:dyDescent="0.3">
      <c r="A432" s="7"/>
      <c r="B432" s="7"/>
      <c r="C432" s="7"/>
      <c r="D432" s="7"/>
      <c r="E432" s="4"/>
      <c r="F432" s="4" t="str">
        <f t="shared" si="1"/>
        <v/>
      </c>
    </row>
    <row r="433" spans="1:6" ht="14.25" customHeight="1" x14ac:dyDescent="0.3">
      <c r="A433" s="7"/>
      <c r="B433" s="7"/>
      <c r="C433" s="7"/>
      <c r="D433" s="7"/>
      <c r="E433" s="4"/>
      <c r="F433" s="4" t="str">
        <f t="shared" si="1"/>
        <v/>
      </c>
    </row>
    <row r="434" spans="1:6" ht="14.25" customHeight="1" x14ac:dyDescent="0.3">
      <c r="A434" s="7"/>
      <c r="B434" s="7"/>
      <c r="C434" s="7"/>
      <c r="D434" s="7"/>
      <c r="E434" s="4"/>
      <c r="F434" s="4" t="str">
        <f t="shared" si="1"/>
        <v/>
      </c>
    </row>
    <row r="435" spans="1:6" ht="14.25" customHeight="1" x14ac:dyDescent="0.3">
      <c r="A435" s="7"/>
      <c r="B435" s="7"/>
      <c r="C435" s="7"/>
      <c r="D435" s="7"/>
      <c r="E435" s="4"/>
      <c r="F435" s="4" t="str">
        <f t="shared" si="1"/>
        <v/>
      </c>
    </row>
    <row r="436" spans="1:6" ht="14.25" customHeight="1" x14ac:dyDescent="0.3">
      <c r="A436" s="7"/>
      <c r="B436" s="7"/>
      <c r="C436" s="7"/>
      <c r="D436" s="7"/>
      <c r="E436" s="4"/>
      <c r="F436" s="4" t="str">
        <f t="shared" si="1"/>
        <v/>
      </c>
    </row>
    <row r="437" spans="1:6" ht="14.25" customHeight="1" x14ac:dyDescent="0.3">
      <c r="A437" s="7"/>
      <c r="B437" s="7"/>
      <c r="C437" s="7"/>
      <c r="D437" s="7"/>
      <c r="E437" s="4"/>
      <c r="F437" s="4" t="str">
        <f t="shared" si="1"/>
        <v/>
      </c>
    </row>
    <row r="438" spans="1:6" ht="14.25" customHeight="1" x14ac:dyDescent="0.3">
      <c r="A438" s="7"/>
      <c r="B438" s="7"/>
      <c r="C438" s="7"/>
      <c r="D438" s="7"/>
      <c r="E438" s="4"/>
      <c r="F438" s="4" t="str">
        <f t="shared" si="1"/>
        <v/>
      </c>
    </row>
    <row r="439" spans="1:6" ht="14.25" customHeight="1" x14ac:dyDescent="0.3">
      <c r="A439" s="7"/>
      <c r="B439" s="7"/>
      <c r="C439" s="7"/>
      <c r="D439" s="7"/>
      <c r="E439" s="4"/>
      <c r="F439" s="4" t="str">
        <f t="shared" si="1"/>
        <v/>
      </c>
    </row>
    <row r="440" spans="1:6" ht="14.25" customHeight="1" x14ac:dyDescent="0.3">
      <c r="A440" s="7"/>
      <c r="B440" s="7"/>
      <c r="C440" s="7"/>
      <c r="D440" s="7"/>
      <c r="E440" s="4"/>
      <c r="F440" s="4" t="str">
        <f t="shared" si="1"/>
        <v/>
      </c>
    </row>
    <row r="441" spans="1:6" ht="14.25" customHeight="1" x14ac:dyDescent="0.3">
      <c r="A441" s="7"/>
      <c r="B441" s="7"/>
      <c r="C441" s="7"/>
      <c r="D441" s="7"/>
      <c r="E441" s="4"/>
      <c r="F441" s="4" t="str">
        <f t="shared" si="1"/>
        <v/>
      </c>
    </row>
    <row r="442" spans="1:6" ht="14.25" customHeight="1" x14ac:dyDescent="0.3">
      <c r="A442" s="7"/>
      <c r="B442" s="7"/>
      <c r="C442" s="7"/>
      <c r="D442" s="7"/>
      <c r="E442" s="4"/>
      <c r="F442" s="4" t="str">
        <f t="shared" si="1"/>
        <v/>
      </c>
    </row>
    <row r="443" spans="1:6" ht="14.25" customHeight="1" x14ac:dyDescent="0.3">
      <c r="A443" s="7"/>
      <c r="B443" s="7"/>
      <c r="C443" s="7"/>
      <c r="D443" s="7"/>
      <c r="E443" s="4"/>
      <c r="F443" s="4" t="str">
        <f t="shared" si="1"/>
        <v/>
      </c>
    </row>
    <row r="444" spans="1:6" ht="14.25" customHeight="1" x14ac:dyDescent="0.3">
      <c r="A444" s="7"/>
      <c r="B444" s="7"/>
      <c r="C444" s="7"/>
      <c r="D444" s="7"/>
      <c r="E444" s="4"/>
      <c r="F444" s="4" t="str">
        <f t="shared" si="1"/>
        <v/>
      </c>
    </row>
    <row r="445" spans="1:6" ht="14.25" customHeight="1" x14ac:dyDescent="0.3">
      <c r="A445" s="7"/>
      <c r="B445" s="7"/>
      <c r="C445" s="7"/>
      <c r="D445" s="7"/>
      <c r="E445" s="4"/>
      <c r="F445" s="4" t="str">
        <f t="shared" si="1"/>
        <v/>
      </c>
    </row>
    <row r="446" spans="1:6" ht="14.25" customHeight="1" x14ac:dyDescent="0.3">
      <c r="A446" s="7"/>
      <c r="B446" s="7"/>
      <c r="C446" s="7"/>
      <c r="D446" s="7"/>
      <c r="E446" s="4"/>
      <c r="F446" s="4" t="str">
        <f t="shared" si="1"/>
        <v/>
      </c>
    </row>
    <row r="447" spans="1:6" ht="14.25" customHeight="1" x14ac:dyDescent="0.3">
      <c r="A447" s="7"/>
      <c r="B447" s="7"/>
      <c r="C447" s="7"/>
      <c r="D447" s="7"/>
      <c r="E447" s="4"/>
      <c r="F447" s="4" t="str">
        <f t="shared" si="1"/>
        <v/>
      </c>
    </row>
    <row r="448" spans="1:6" ht="14.25" customHeight="1" x14ac:dyDescent="0.3">
      <c r="A448" s="7"/>
      <c r="B448" s="7"/>
      <c r="C448" s="7"/>
      <c r="D448" s="7"/>
      <c r="E448" s="4"/>
      <c r="F448" s="4" t="str">
        <f t="shared" si="1"/>
        <v/>
      </c>
    </row>
    <row r="449" spans="1:6" ht="14.25" customHeight="1" x14ac:dyDescent="0.3">
      <c r="A449" s="7"/>
      <c r="B449" s="7"/>
      <c r="C449" s="7"/>
      <c r="D449" s="7"/>
      <c r="E449" s="4"/>
      <c r="F449" s="4" t="str">
        <f t="shared" si="1"/>
        <v/>
      </c>
    </row>
    <row r="450" spans="1:6" ht="14.25" customHeight="1" x14ac:dyDescent="0.3">
      <c r="A450" s="7"/>
      <c r="B450" s="7"/>
      <c r="C450" s="7"/>
      <c r="D450" s="7"/>
      <c r="E450" s="4"/>
      <c r="F450" s="4" t="str">
        <f t="shared" si="1"/>
        <v/>
      </c>
    </row>
    <row r="451" spans="1:6" ht="14.25" customHeight="1" x14ac:dyDescent="0.3">
      <c r="A451" s="7"/>
      <c r="B451" s="7"/>
      <c r="C451" s="7"/>
      <c r="D451" s="7"/>
      <c r="E451" s="4"/>
      <c r="F451" s="4" t="str">
        <f t="shared" si="1"/>
        <v/>
      </c>
    </row>
    <row r="452" spans="1:6" ht="14.25" customHeight="1" x14ac:dyDescent="0.3">
      <c r="A452" s="7"/>
      <c r="B452" s="7"/>
      <c r="C452" s="7"/>
      <c r="D452" s="7"/>
      <c r="E452" s="4"/>
      <c r="F452" s="4" t="str">
        <f t="shared" si="1"/>
        <v/>
      </c>
    </row>
    <row r="453" spans="1:6" ht="14.25" customHeight="1" x14ac:dyDescent="0.3">
      <c r="A453" s="7"/>
      <c r="B453" s="7"/>
      <c r="C453" s="7"/>
      <c r="D453" s="7"/>
      <c r="E453" s="4"/>
      <c r="F453" s="4" t="str">
        <f t="shared" si="1"/>
        <v/>
      </c>
    </row>
    <row r="454" spans="1:6" ht="14.25" customHeight="1" x14ac:dyDescent="0.3">
      <c r="A454" s="7"/>
      <c r="B454" s="7"/>
      <c r="C454" s="7"/>
      <c r="D454" s="7"/>
      <c r="E454" s="4"/>
      <c r="F454" s="4" t="str">
        <f t="shared" si="1"/>
        <v/>
      </c>
    </row>
    <row r="455" spans="1:6" ht="14.25" customHeight="1" x14ac:dyDescent="0.3">
      <c r="A455" s="7"/>
      <c r="B455" s="7"/>
      <c r="C455" s="7"/>
      <c r="D455" s="7"/>
      <c r="E455" s="4"/>
      <c r="F455" s="4" t="str">
        <f t="shared" si="1"/>
        <v/>
      </c>
    </row>
    <row r="456" spans="1:6" ht="14.25" customHeight="1" x14ac:dyDescent="0.3">
      <c r="A456" s="7"/>
      <c r="B456" s="7"/>
      <c r="C456" s="7"/>
      <c r="D456" s="7"/>
      <c r="E456" s="4"/>
      <c r="F456" s="4" t="str">
        <f t="shared" si="1"/>
        <v/>
      </c>
    </row>
    <row r="457" spans="1:6" ht="14.25" customHeight="1" x14ac:dyDescent="0.3">
      <c r="A457" s="7"/>
      <c r="B457" s="7"/>
      <c r="C457" s="7"/>
      <c r="D457" s="7"/>
      <c r="E457" s="4"/>
      <c r="F457" s="4" t="str">
        <f t="shared" si="1"/>
        <v/>
      </c>
    </row>
    <row r="458" spans="1:6" ht="14.25" customHeight="1" x14ac:dyDescent="0.3">
      <c r="A458" s="7"/>
      <c r="B458" s="7"/>
      <c r="C458" s="7"/>
      <c r="D458" s="7"/>
      <c r="E458" s="4"/>
      <c r="F458" s="4" t="str">
        <f t="shared" si="1"/>
        <v/>
      </c>
    </row>
    <row r="459" spans="1:6" ht="14.25" customHeight="1" x14ac:dyDescent="0.3">
      <c r="A459" s="7"/>
      <c r="B459" s="7"/>
      <c r="C459" s="7"/>
      <c r="D459" s="7"/>
      <c r="E459" s="4"/>
      <c r="F459" s="4" t="str">
        <f t="shared" si="1"/>
        <v/>
      </c>
    </row>
    <row r="460" spans="1:6" ht="14.25" customHeight="1" x14ac:dyDescent="0.3">
      <c r="A460" s="7"/>
      <c r="B460" s="7"/>
      <c r="C460" s="7"/>
      <c r="D460" s="7"/>
      <c r="E460" s="4"/>
      <c r="F460" s="4" t="str">
        <f t="shared" si="1"/>
        <v/>
      </c>
    </row>
    <row r="461" spans="1:6" ht="14.25" customHeight="1" x14ac:dyDescent="0.3">
      <c r="A461" s="7"/>
      <c r="B461" s="7"/>
      <c r="C461" s="7"/>
      <c r="D461" s="7"/>
      <c r="E461" s="4"/>
      <c r="F461" s="4" t="str">
        <f t="shared" si="1"/>
        <v/>
      </c>
    </row>
    <row r="462" spans="1:6" ht="14.25" customHeight="1" x14ac:dyDescent="0.3">
      <c r="A462" s="7"/>
      <c r="B462" s="7"/>
      <c r="C462" s="7"/>
      <c r="D462" s="7"/>
      <c r="E462" s="4"/>
      <c r="F462" s="4" t="str">
        <f t="shared" si="1"/>
        <v/>
      </c>
    </row>
    <row r="463" spans="1:6" ht="14.25" customHeight="1" x14ac:dyDescent="0.3">
      <c r="A463" s="7"/>
      <c r="B463" s="7"/>
      <c r="C463" s="7"/>
      <c r="D463" s="7"/>
      <c r="E463" s="4"/>
      <c r="F463" s="4" t="str">
        <f t="shared" si="1"/>
        <v/>
      </c>
    </row>
    <row r="464" spans="1:6" ht="14.25" customHeight="1" x14ac:dyDescent="0.3">
      <c r="A464" s="7"/>
      <c r="B464" s="7"/>
      <c r="C464" s="7"/>
      <c r="D464" s="7"/>
      <c r="E464" s="4"/>
      <c r="F464" s="4" t="str">
        <f t="shared" si="1"/>
        <v/>
      </c>
    </row>
    <row r="465" spans="1:6" ht="14.25" customHeight="1" x14ac:dyDescent="0.3">
      <c r="A465" s="7"/>
      <c r="B465" s="7"/>
      <c r="C465" s="7"/>
      <c r="D465" s="7"/>
      <c r="E465" s="4"/>
      <c r="F465" s="4" t="str">
        <f t="shared" si="1"/>
        <v/>
      </c>
    </row>
    <row r="466" spans="1:6" ht="14.25" customHeight="1" x14ac:dyDescent="0.3">
      <c r="A466" s="7"/>
      <c r="B466" s="7"/>
      <c r="C466" s="7"/>
      <c r="D466" s="7"/>
      <c r="E466" s="4"/>
      <c r="F466" s="4" t="str">
        <f t="shared" si="1"/>
        <v/>
      </c>
    </row>
    <row r="467" spans="1:6" ht="14.25" customHeight="1" x14ac:dyDescent="0.3">
      <c r="A467" s="7"/>
      <c r="B467" s="7"/>
      <c r="C467" s="7"/>
      <c r="D467" s="7"/>
      <c r="E467" s="4"/>
      <c r="F467" s="4" t="str">
        <f t="shared" si="1"/>
        <v/>
      </c>
    </row>
    <row r="468" spans="1:6" ht="14.25" customHeight="1" x14ac:dyDescent="0.3">
      <c r="A468" s="7"/>
      <c r="B468" s="7"/>
      <c r="C468" s="7"/>
      <c r="D468" s="7"/>
      <c r="E468" s="4"/>
      <c r="F468" s="4" t="str">
        <f t="shared" si="1"/>
        <v/>
      </c>
    </row>
    <row r="469" spans="1:6" ht="14.25" customHeight="1" x14ac:dyDescent="0.3">
      <c r="A469" s="7"/>
      <c r="B469" s="7"/>
      <c r="C469" s="7"/>
      <c r="D469" s="7"/>
      <c r="E469" s="4"/>
      <c r="F469" s="4" t="str">
        <f t="shared" si="1"/>
        <v/>
      </c>
    </row>
    <row r="470" spans="1:6" ht="14.25" customHeight="1" x14ac:dyDescent="0.3">
      <c r="A470" s="7"/>
      <c r="B470" s="7"/>
      <c r="C470" s="7"/>
      <c r="D470" s="7"/>
      <c r="E470" s="4"/>
      <c r="F470" s="4" t="str">
        <f t="shared" si="1"/>
        <v/>
      </c>
    </row>
    <row r="471" spans="1:6" ht="14.25" customHeight="1" x14ac:dyDescent="0.3">
      <c r="A471" s="7"/>
      <c r="B471" s="7"/>
      <c r="C471" s="7"/>
      <c r="D471" s="7"/>
      <c r="E471" s="4"/>
      <c r="F471" s="4" t="str">
        <f t="shared" si="1"/>
        <v/>
      </c>
    </row>
    <row r="472" spans="1:6" ht="14.25" customHeight="1" x14ac:dyDescent="0.3">
      <c r="A472" s="7"/>
      <c r="B472" s="7"/>
      <c r="C472" s="7"/>
      <c r="D472" s="7"/>
      <c r="E472" s="4"/>
      <c r="F472" s="4" t="str">
        <f t="shared" si="1"/>
        <v/>
      </c>
    </row>
    <row r="473" spans="1:6" ht="14.25" customHeight="1" x14ac:dyDescent="0.3">
      <c r="A473" s="7"/>
      <c r="B473" s="7"/>
      <c r="C473" s="7"/>
      <c r="D473" s="7"/>
      <c r="E473" s="4"/>
      <c r="F473" s="4" t="str">
        <f t="shared" si="1"/>
        <v/>
      </c>
    </row>
    <row r="474" spans="1:6" ht="14.25" customHeight="1" x14ac:dyDescent="0.3">
      <c r="A474" s="7"/>
      <c r="B474" s="7"/>
      <c r="C474" s="7"/>
      <c r="D474" s="7"/>
      <c r="E474" s="4"/>
      <c r="F474" s="4" t="str">
        <f t="shared" si="1"/>
        <v/>
      </c>
    </row>
    <row r="475" spans="1:6" ht="14.25" customHeight="1" x14ac:dyDescent="0.3">
      <c r="A475" s="7"/>
      <c r="B475" s="7"/>
      <c r="C475" s="7"/>
      <c r="D475" s="7"/>
      <c r="E475" s="4"/>
      <c r="F475" s="4" t="str">
        <f t="shared" si="1"/>
        <v/>
      </c>
    </row>
    <row r="476" spans="1:6" ht="14.25" customHeight="1" x14ac:dyDescent="0.3">
      <c r="A476" s="7"/>
      <c r="B476" s="7"/>
      <c r="C476" s="7"/>
      <c r="D476" s="7"/>
      <c r="E476" s="4"/>
      <c r="F476" s="4" t="str">
        <f t="shared" si="1"/>
        <v/>
      </c>
    </row>
    <row r="477" spans="1:6" ht="14.25" customHeight="1" x14ac:dyDescent="0.3">
      <c r="A477" s="7"/>
      <c r="B477" s="7"/>
      <c r="C477" s="7"/>
      <c r="D477" s="7"/>
      <c r="E477" s="4"/>
      <c r="F477" s="4" t="str">
        <f t="shared" si="1"/>
        <v/>
      </c>
    </row>
    <row r="478" spans="1:6" ht="14.25" customHeight="1" x14ac:dyDescent="0.3">
      <c r="A478" s="7"/>
      <c r="B478" s="7"/>
      <c r="C478" s="7"/>
      <c r="D478" s="7"/>
      <c r="E478" s="4"/>
      <c r="F478" s="4" t="str">
        <f t="shared" si="1"/>
        <v/>
      </c>
    </row>
    <row r="479" spans="1:6" ht="14.25" customHeight="1" x14ac:dyDescent="0.3">
      <c r="A479" s="7"/>
      <c r="B479" s="7"/>
      <c r="C479" s="7"/>
      <c r="D479" s="7"/>
      <c r="E479" s="4"/>
      <c r="F479" s="4" t="str">
        <f t="shared" si="1"/>
        <v/>
      </c>
    </row>
    <row r="480" spans="1:6" ht="14.25" customHeight="1" x14ac:dyDescent="0.3">
      <c r="A480" s="7"/>
      <c r="B480" s="7"/>
      <c r="C480" s="7"/>
      <c r="D480" s="7"/>
      <c r="E480" s="4"/>
      <c r="F480" s="4" t="str">
        <f t="shared" si="1"/>
        <v/>
      </c>
    </row>
    <row r="481" spans="1:6" ht="14.25" customHeight="1" x14ac:dyDescent="0.3">
      <c r="A481" s="7"/>
      <c r="B481" s="7"/>
      <c r="C481" s="7"/>
      <c r="D481" s="7"/>
      <c r="E481" s="4"/>
      <c r="F481" s="4" t="str">
        <f t="shared" si="1"/>
        <v/>
      </c>
    </row>
    <row r="482" spans="1:6" ht="14.25" customHeight="1" x14ac:dyDescent="0.3">
      <c r="A482" s="7"/>
      <c r="B482" s="7"/>
      <c r="C482" s="7"/>
      <c r="D482" s="7"/>
      <c r="E482" s="4"/>
      <c r="F482" s="4" t="str">
        <f t="shared" si="1"/>
        <v/>
      </c>
    </row>
    <row r="483" spans="1:6" ht="14.25" customHeight="1" x14ac:dyDescent="0.3">
      <c r="A483" s="7"/>
      <c r="B483" s="7"/>
      <c r="C483" s="7"/>
      <c r="D483" s="7"/>
      <c r="E483" s="4"/>
      <c r="F483" s="4" t="str">
        <f t="shared" si="1"/>
        <v/>
      </c>
    </row>
    <row r="484" spans="1:6" ht="14.25" customHeight="1" x14ac:dyDescent="0.3">
      <c r="A484" s="7"/>
      <c r="B484" s="7"/>
      <c r="C484" s="7"/>
      <c r="D484" s="7"/>
      <c r="E484" s="4"/>
      <c r="F484" s="4" t="str">
        <f t="shared" si="1"/>
        <v/>
      </c>
    </row>
    <row r="485" spans="1:6" ht="14.25" customHeight="1" x14ac:dyDescent="0.3">
      <c r="A485" s="7"/>
      <c r="B485" s="7"/>
      <c r="C485" s="7"/>
      <c r="D485" s="7"/>
      <c r="E485" s="4"/>
      <c r="F485" s="4" t="str">
        <f t="shared" si="1"/>
        <v/>
      </c>
    </row>
    <row r="486" spans="1:6" ht="14.25" customHeight="1" x14ac:dyDescent="0.3">
      <c r="A486" s="7"/>
      <c r="B486" s="7"/>
      <c r="C486" s="7"/>
      <c r="D486" s="7"/>
      <c r="E486" s="4"/>
      <c r="F486" s="4" t="str">
        <f t="shared" si="1"/>
        <v/>
      </c>
    </row>
    <row r="487" spans="1:6" ht="14.25" customHeight="1" x14ac:dyDescent="0.3">
      <c r="A487" s="7"/>
      <c r="B487" s="7"/>
      <c r="C487" s="7"/>
      <c r="D487" s="7"/>
      <c r="E487" s="4"/>
      <c r="F487" s="4" t="str">
        <f t="shared" si="1"/>
        <v/>
      </c>
    </row>
    <row r="488" spans="1:6" ht="14.25" customHeight="1" x14ac:dyDescent="0.3">
      <c r="A488" s="7"/>
      <c r="B488" s="7"/>
      <c r="C488" s="7"/>
      <c r="D488" s="7"/>
      <c r="E488" s="4"/>
      <c r="F488" s="4" t="str">
        <f t="shared" si="1"/>
        <v/>
      </c>
    </row>
    <row r="489" spans="1:6" ht="14.25" customHeight="1" x14ac:dyDescent="0.3">
      <c r="A489" s="7"/>
      <c r="B489" s="7"/>
      <c r="C489" s="7"/>
      <c r="D489" s="7"/>
      <c r="E489" s="4"/>
      <c r="F489" s="4" t="str">
        <f t="shared" si="1"/>
        <v/>
      </c>
    </row>
    <row r="490" spans="1:6" ht="14.25" customHeight="1" x14ac:dyDescent="0.3">
      <c r="A490" s="7"/>
      <c r="B490" s="7"/>
      <c r="C490" s="7"/>
      <c r="D490" s="7"/>
      <c r="E490" s="4"/>
      <c r="F490" s="4" t="str">
        <f t="shared" si="1"/>
        <v/>
      </c>
    </row>
    <row r="491" spans="1:6" ht="14.25" customHeight="1" x14ac:dyDescent="0.3">
      <c r="A491" s="7"/>
      <c r="B491" s="7"/>
      <c r="C491" s="7"/>
      <c r="D491" s="7"/>
      <c r="E491" s="4"/>
      <c r="F491" s="4" t="str">
        <f t="shared" si="1"/>
        <v/>
      </c>
    </row>
    <row r="492" spans="1:6" ht="14.25" customHeight="1" x14ac:dyDescent="0.3">
      <c r="A492" s="7"/>
      <c r="B492" s="7"/>
      <c r="C492" s="7"/>
      <c r="D492" s="7"/>
      <c r="E492" s="4"/>
      <c r="F492" s="4" t="str">
        <f t="shared" si="1"/>
        <v/>
      </c>
    </row>
    <row r="493" spans="1:6" ht="14.25" customHeight="1" x14ac:dyDescent="0.3">
      <c r="A493" s="7"/>
      <c r="B493" s="7"/>
      <c r="C493" s="7"/>
      <c r="D493" s="7"/>
      <c r="E493" s="4"/>
      <c r="F493" s="4" t="str">
        <f t="shared" si="1"/>
        <v/>
      </c>
    </row>
    <row r="494" spans="1:6" ht="14.25" customHeight="1" x14ac:dyDescent="0.3">
      <c r="A494" s="7"/>
      <c r="B494" s="7"/>
      <c r="C494" s="7"/>
      <c r="D494" s="7"/>
      <c r="E494" s="4"/>
      <c r="F494" s="4" t="str">
        <f t="shared" si="1"/>
        <v/>
      </c>
    </row>
    <row r="495" spans="1:6" ht="14.25" customHeight="1" x14ac:dyDescent="0.3">
      <c r="A495" s="7"/>
      <c r="B495" s="7"/>
      <c r="C495" s="7"/>
      <c r="D495" s="7"/>
      <c r="E495" s="4"/>
      <c r="F495" s="4" t="str">
        <f t="shared" si="1"/>
        <v/>
      </c>
    </row>
    <row r="496" spans="1:6" ht="14.25" customHeight="1" x14ac:dyDescent="0.3">
      <c r="A496" s="7"/>
      <c r="B496" s="7"/>
      <c r="C496" s="7"/>
      <c r="D496" s="7"/>
      <c r="E496" s="4"/>
      <c r="F496" s="4" t="str">
        <f t="shared" si="1"/>
        <v/>
      </c>
    </row>
    <row r="497" spans="1:6" ht="14.25" customHeight="1" x14ac:dyDescent="0.3">
      <c r="A497" s="7"/>
      <c r="B497" s="7"/>
      <c r="C497" s="7"/>
      <c r="D497" s="7"/>
      <c r="E497" s="4"/>
      <c r="F497" s="4" t="str">
        <f t="shared" si="1"/>
        <v/>
      </c>
    </row>
    <row r="498" spans="1:6" ht="14.25" customHeight="1" x14ac:dyDescent="0.3">
      <c r="A498" s="7"/>
      <c r="B498" s="7"/>
      <c r="C498" s="7"/>
      <c r="D498" s="7"/>
      <c r="E498" s="4"/>
      <c r="F498" s="4" t="str">
        <f t="shared" si="1"/>
        <v/>
      </c>
    </row>
    <row r="499" spans="1:6" ht="14.25" customHeight="1" x14ac:dyDescent="0.3">
      <c r="A499" s="7"/>
      <c r="B499" s="7"/>
      <c r="C499" s="7"/>
      <c r="D499" s="7"/>
      <c r="E499" s="4"/>
      <c r="F499" s="4" t="str">
        <f t="shared" si="1"/>
        <v/>
      </c>
    </row>
    <row r="500" spans="1:6" ht="14.25" customHeight="1" x14ac:dyDescent="0.3">
      <c r="A500" s="7"/>
      <c r="B500" s="7"/>
      <c r="C500" s="7"/>
      <c r="D500" s="7"/>
      <c r="E500" s="4"/>
      <c r="F500" s="4" t="str">
        <f t="shared" si="1"/>
        <v/>
      </c>
    </row>
    <row r="501" spans="1:6" ht="14.25" customHeight="1" x14ac:dyDescent="0.3">
      <c r="A501" s="7"/>
      <c r="B501" s="7"/>
      <c r="C501" s="7"/>
      <c r="D501" s="7"/>
      <c r="E501" s="4"/>
      <c r="F501" s="4" t="str">
        <f t="shared" si="1"/>
        <v/>
      </c>
    </row>
    <row r="502" spans="1:6" ht="14.25" customHeight="1" x14ac:dyDescent="0.3">
      <c r="A502" s="7"/>
      <c r="B502" s="7"/>
      <c r="C502" s="7"/>
      <c r="D502" s="7"/>
      <c r="E502" s="4"/>
      <c r="F502" s="4" t="str">
        <f t="shared" si="1"/>
        <v/>
      </c>
    </row>
    <row r="503" spans="1:6" ht="14.25" customHeight="1" x14ac:dyDescent="0.3">
      <c r="A503" s="7"/>
      <c r="B503" s="7"/>
      <c r="C503" s="7"/>
      <c r="D503" s="7"/>
      <c r="E503" s="4"/>
      <c r="F503" s="4" t="str">
        <f t="shared" si="1"/>
        <v/>
      </c>
    </row>
    <row r="504" spans="1:6" ht="14.25" customHeight="1" x14ac:dyDescent="0.3">
      <c r="A504" s="7"/>
      <c r="B504" s="7"/>
      <c r="C504" s="7"/>
      <c r="D504" s="7"/>
      <c r="E504" s="4"/>
      <c r="F504" s="4" t="str">
        <f t="shared" si="1"/>
        <v/>
      </c>
    </row>
    <row r="505" spans="1:6" ht="14.25" customHeight="1" x14ac:dyDescent="0.3">
      <c r="A505" s="7"/>
      <c r="B505" s="7"/>
      <c r="C505" s="7"/>
      <c r="D505" s="7"/>
      <c r="E505" s="4"/>
      <c r="F505" s="4" t="str">
        <f t="shared" si="1"/>
        <v/>
      </c>
    </row>
    <row r="506" spans="1:6" ht="14.25" customHeight="1" x14ac:dyDescent="0.3">
      <c r="A506" s="7"/>
      <c r="B506" s="7"/>
      <c r="C506" s="7"/>
      <c r="D506" s="7"/>
      <c r="E506" s="4"/>
      <c r="F506" s="4" t="str">
        <f t="shared" si="1"/>
        <v/>
      </c>
    </row>
    <row r="507" spans="1:6" ht="14.25" customHeight="1" x14ac:dyDescent="0.3">
      <c r="A507" s="7"/>
      <c r="B507" s="7"/>
      <c r="C507" s="7"/>
      <c r="D507" s="7"/>
      <c r="E507" s="4"/>
      <c r="F507" s="4" t="str">
        <f t="shared" si="1"/>
        <v/>
      </c>
    </row>
    <row r="508" spans="1:6" ht="14.25" customHeight="1" x14ac:dyDescent="0.3">
      <c r="A508" s="7"/>
      <c r="B508" s="7"/>
      <c r="C508" s="7"/>
      <c r="D508" s="7"/>
      <c r="E508" s="4"/>
      <c r="F508" s="4" t="str">
        <f t="shared" si="1"/>
        <v/>
      </c>
    </row>
    <row r="509" spans="1:6" ht="14.25" customHeight="1" x14ac:dyDescent="0.3">
      <c r="A509" s="7"/>
      <c r="B509" s="7"/>
      <c r="C509" s="7"/>
      <c r="D509" s="7"/>
      <c r="E509" s="4"/>
      <c r="F509" s="4" t="str">
        <f t="shared" si="1"/>
        <v/>
      </c>
    </row>
    <row r="510" spans="1:6" ht="14.25" customHeight="1" x14ac:dyDescent="0.3">
      <c r="A510" s="7"/>
      <c r="B510" s="7"/>
      <c r="C510" s="7"/>
      <c r="D510" s="7"/>
      <c r="E510" s="4"/>
      <c r="F510" s="4" t="str">
        <f t="shared" si="1"/>
        <v/>
      </c>
    </row>
    <row r="511" spans="1:6" ht="14.25" customHeight="1" x14ac:dyDescent="0.3">
      <c r="A511" s="7"/>
      <c r="B511" s="7"/>
      <c r="C511" s="7"/>
      <c r="D511" s="7"/>
      <c r="E511" s="4"/>
      <c r="F511" s="4" t="str">
        <f t="shared" si="1"/>
        <v/>
      </c>
    </row>
    <row r="512" spans="1:6" ht="14.25" customHeight="1" x14ac:dyDescent="0.3">
      <c r="A512" s="7"/>
      <c r="B512" s="7"/>
      <c r="C512" s="7"/>
      <c r="D512" s="7"/>
      <c r="E512" s="4"/>
      <c r="F512" s="4" t="str">
        <f t="shared" si="1"/>
        <v/>
      </c>
    </row>
    <row r="513" spans="1:6" ht="14.25" customHeight="1" x14ac:dyDescent="0.3">
      <c r="A513" s="7"/>
      <c r="B513" s="7"/>
      <c r="C513" s="7"/>
      <c r="D513" s="7"/>
      <c r="E513" s="4"/>
      <c r="F513" s="4" t="str">
        <f t="shared" ref="F513:F767" si="2">IF(D513-C513=0,"",D513-C513)</f>
        <v/>
      </c>
    </row>
    <row r="514" spans="1:6" ht="14.25" customHeight="1" x14ac:dyDescent="0.3">
      <c r="A514" s="7"/>
      <c r="B514" s="7"/>
      <c r="C514" s="7"/>
      <c r="D514" s="7"/>
      <c r="E514" s="4"/>
      <c r="F514" s="4" t="str">
        <f t="shared" si="2"/>
        <v/>
      </c>
    </row>
    <row r="515" spans="1:6" ht="14.25" customHeight="1" x14ac:dyDescent="0.3">
      <c r="A515" s="7"/>
      <c r="B515" s="7"/>
      <c r="C515" s="7"/>
      <c r="D515" s="7"/>
      <c r="E515" s="4"/>
      <c r="F515" s="4" t="str">
        <f t="shared" si="2"/>
        <v/>
      </c>
    </row>
    <row r="516" spans="1:6" ht="14.25" customHeight="1" x14ac:dyDescent="0.3">
      <c r="A516" s="7"/>
      <c r="B516" s="7"/>
      <c r="C516" s="7"/>
      <c r="D516" s="7"/>
      <c r="E516" s="4"/>
      <c r="F516" s="4" t="str">
        <f t="shared" si="2"/>
        <v/>
      </c>
    </row>
    <row r="517" spans="1:6" ht="14.25" customHeight="1" x14ac:dyDescent="0.3">
      <c r="A517" s="7"/>
      <c r="B517" s="7"/>
      <c r="C517" s="7"/>
      <c r="D517" s="7"/>
      <c r="E517" s="4"/>
      <c r="F517" s="4" t="str">
        <f t="shared" si="2"/>
        <v/>
      </c>
    </row>
    <row r="518" spans="1:6" ht="14.25" customHeight="1" x14ac:dyDescent="0.3">
      <c r="A518" s="7"/>
      <c r="B518" s="7"/>
      <c r="C518" s="7"/>
      <c r="D518" s="7"/>
      <c r="E518" s="4"/>
      <c r="F518" s="4" t="str">
        <f t="shared" si="2"/>
        <v/>
      </c>
    </row>
    <row r="519" spans="1:6" ht="14.25" customHeight="1" x14ac:dyDescent="0.3">
      <c r="A519" s="7"/>
      <c r="B519" s="7"/>
      <c r="C519" s="7"/>
      <c r="D519" s="7"/>
      <c r="E519" s="4"/>
      <c r="F519" s="4" t="str">
        <f t="shared" si="2"/>
        <v/>
      </c>
    </row>
    <row r="520" spans="1:6" ht="14.25" customHeight="1" x14ac:dyDescent="0.3">
      <c r="A520" s="7"/>
      <c r="B520" s="7"/>
      <c r="C520" s="7"/>
      <c r="D520" s="7"/>
      <c r="E520" s="4"/>
      <c r="F520" s="4" t="str">
        <f t="shared" si="2"/>
        <v/>
      </c>
    </row>
    <row r="521" spans="1:6" ht="14.25" customHeight="1" x14ac:dyDescent="0.3">
      <c r="A521" s="7"/>
      <c r="B521" s="7"/>
      <c r="C521" s="7"/>
      <c r="D521" s="7"/>
      <c r="E521" s="4"/>
      <c r="F521" s="4" t="str">
        <f t="shared" si="2"/>
        <v/>
      </c>
    </row>
    <row r="522" spans="1:6" ht="14.25" customHeight="1" x14ac:dyDescent="0.3">
      <c r="A522" s="7"/>
      <c r="B522" s="7"/>
      <c r="C522" s="7"/>
      <c r="D522" s="7"/>
      <c r="E522" s="4"/>
      <c r="F522" s="4" t="str">
        <f t="shared" si="2"/>
        <v/>
      </c>
    </row>
    <row r="523" spans="1:6" ht="14.25" customHeight="1" x14ac:dyDescent="0.3">
      <c r="A523" s="7"/>
      <c r="B523" s="7"/>
      <c r="C523" s="7"/>
      <c r="D523" s="7"/>
      <c r="E523" s="4"/>
      <c r="F523" s="4" t="str">
        <f t="shared" si="2"/>
        <v/>
      </c>
    </row>
    <row r="524" spans="1:6" ht="14.25" customHeight="1" x14ac:dyDescent="0.3">
      <c r="A524" s="7"/>
      <c r="B524" s="7"/>
      <c r="C524" s="7"/>
      <c r="D524" s="7"/>
      <c r="E524" s="4"/>
      <c r="F524" s="4" t="str">
        <f t="shared" si="2"/>
        <v/>
      </c>
    </row>
    <row r="525" spans="1:6" ht="14.25" customHeight="1" x14ac:dyDescent="0.3">
      <c r="A525" s="7"/>
      <c r="B525" s="7"/>
      <c r="C525" s="7"/>
      <c r="D525" s="7"/>
      <c r="E525" s="4"/>
      <c r="F525" s="4" t="str">
        <f t="shared" si="2"/>
        <v/>
      </c>
    </row>
    <row r="526" spans="1:6" ht="14.25" customHeight="1" x14ac:dyDescent="0.3">
      <c r="A526" s="7"/>
      <c r="B526" s="7"/>
      <c r="C526" s="7"/>
      <c r="D526" s="7"/>
      <c r="E526" s="4"/>
      <c r="F526" s="4" t="str">
        <f t="shared" si="2"/>
        <v/>
      </c>
    </row>
    <row r="527" spans="1:6" ht="14.25" customHeight="1" x14ac:dyDescent="0.3">
      <c r="A527" s="7"/>
      <c r="B527" s="7"/>
      <c r="C527" s="7"/>
      <c r="D527" s="7"/>
      <c r="E527" s="4"/>
      <c r="F527" s="4" t="str">
        <f t="shared" si="2"/>
        <v/>
      </c>
    </row>
    <row r="528" spans="1:6" ht="14.25" customHeight="1" x14ac:dyDescent="0.3">
      <c r="A528" s="7"/>
      <c r="B528" s="7"/>
      <c r="C528" s="7"/>
      <c r="D528" s="7"/>
      <c r="E528" s="4"/>
      <c r="F528" s="4" t="str">
        <f t="shared" si="2"/>
        <v/>
      </c>
    </row>
    <row r="529" spans="1:6" ht="14.25" customHeight="1" x14ac:dyDescent="0.3">
      <c r="A529" s="7"/>
      <c r="B529" s="7"/>
      <c r="C529" s="7"/>
      <c r="D529" s="7"/>
      <c r="E529" s="4"/>
      <c r="F529" s="4" t="str">
        <f t="shared" si="2"/>
        <v/>
      </c>
    </row>
    <row r="530" spans="1:6" ht="14.25" customHeight="1" x14ac:dyDescent="0.3">
      <c r="A530" s="7"/>
      <c r="B530" s="7"/>
      <c r="C530" s="7"/>
      <c r="D530" s="7"/>
      <c r="E530" s="4"/>
      <c r="F530" s="4" t="str">
        <f t="shared" si="2"/>
        <v/>
      </c>
    </row>
    <row r="531" spans="1:6" ht="14.25" customHeight="1" x14ac:dyDescent="0.3">
      <c r="A531" s="7"/>
      <c r="B531" s="7"/>
      <c r="C531" s="7"/>
      <c r="D531" s="7"/>
      <c r="E531" s="4"/>
      <c r="F531" s="4" t="str">
        <f t="shared" si="2"/>
        <v/>
      </c>
    </row>
    <row r="532" spans="1:6" ht="14.25" customHeight="1" x14ac:dyDescent="0.3">
      <c r="A532" s="7"/>
      <c r="B532" s="7"/>
      <c r="C532" s="7"/>
      <c r="D532" s="7"/>
      <c r="E532" s="4"/>
      <c r="F532" s="4" t="str">
        <f t="shared" si="2"/>
        <v/>
      </c>
    </row>
    <row r="533" spans="1:6" ht="14.25" customHeight="1" x14ac:dyDescent="0.3">
      <c r="A533" s="7"/>
      <c r="B533" s="7"/>
      <c r="C533" s="7"/>
      <c r="D533" s="7"/>
      <c r="E533" s="4"/>
      <c r="F533" s="4" t="str">
        <f t="shared" si="2"/>
        <v/>
      </c>
    </row>
    <row r="534" spans="1:6" ht="14.25" customHeight="1" x14ac:dyDescent="0.3">
      <c r="A534" s="7"/>
      <c r="B534" s="7"/>
      <c r="C534" s="7"/>
      <c r="D534" s="7"/>
      <c r="E534" s="4"/>
      <c r="F534" s="4" t="str">
        <f t="shared" si="2"/>
        <v/>
      </c>
    </row>
    <row r="535" spans="1:6" ht="14.25" customHeight="1" x14ac:dyDescent="0.3">
      <c r="A535" s="7"/>
      <c r="B535" s="7"/>
      <c r="C535" s="7"/>
      <c r="D535" s="7"/>
      <c r="E535" s="4"/>
      <c r="F535" s="4" t="str">
        <f t="shared" si="2"/>
        <v/>
      </c>
    </row>
    <row r="536" spans="1:6" ht="14.25" customHeight="1" x14ac:dyDescent="0.3">
      <c r="A536" s="7"/>
      <c r="B536" s="7"/>
      <c r="C536" s="7"/>
      <c r="D536" s="7"/>
      <c r="E536" s="4"/>
      <c r="F536" s="4" t="str">
        <f t="shared" si="2"/>
        <v/>
      </c>
    </row>
    <row r="537" spans="1:6" ht="14.25" customHeight="1" x14ac:dyDescent="0.3">
      <c r="A537" s="7"/>
      <c r="B537" s="7"/>
      <c r="C537" s="7"/>
      <c r="D537" s="7"/>
      <c r="E537" s="4"/>
      <c r="F537" s="4" t="str">
        <f t="shared" si="2"/>
        <v/>
      </c>
    </row>
    <row r="538" spans="1:6" ht="14.25" customHeight="1" x14ac:dyDescent="0.3">
      <c r="A538" s="7"/>
      <c r="B538" s="7"/>
      <c r="C538" s="7"/>
      <c r="D538" s="7"/>
      <c r="E538" s="4"/>
      <c r="F538" s="4" t="str">
        <f t="shared" si="2"/>
        <v/>
      </c>
    </row>
    <row r="539" spans="1:6" ht="14.25" customHeight="1" x14ac:dyDescent="0.3">
      <c r="A539" s="7"/>
      <c r="B539" s="7"/>
      <c r="C539" s="7"/>
      <c r="D539" s="7"/>
      <c r="E539" s="4"/>
      <c r="F539" s="4" t="str">
        <f t="shared" si="2"/>
        <v/>
      </c>
    </row>
    <row r="540" spans="1:6" ht="14.25" customHeight="1" x14ac:dyDescent="0.3">
      <c r="A540" s="7"/>
      <c r="B540" s="7"/>
      <c r="C540" s="7"/>
      <c r="D540" s="7"/>
      <c r="E540" s="4"/>
      <c r="F540" s="4" t="str">
        <f t="shared" si="2"/>
        <v/>
      </c>
    </row>
    <row r="541" spans="1:6" ht="14.25" customHeight="1" x14ac:dyDescent="0.3">
      <c r="A541" s="7"/>
      <c r="B541" s="7"/>
      <c r="C541" s="7"/>
      <c r="D541" s="7"/>
      <c r="E541" s="4"/>
      <c r="F541" s="4" t="str">
        <f t="shared" si="2"/>
        <v/>
      </c>
    </row>
    <row r="542" spans="1:6" ht="14.25" customHeight="1" x14ac:dyDescent="0.3">
      <c r="A542" s="7"/>
      <c r="B542" s="7"/>
      <c r="C542" s="7"/>
      <c r="D542" s="7"/>
      <c r="E542" s="4"/>
      <c r="F542" s="4" t="str">
        <f t="shared" si="2"/>
        <v/>
      </c>
    </row>
    <row r="543" spans="1:6" ht="14.25" customHeight="1" x14ac:dyDescent="0.3">
      <c r="A543" s="7"/>
      <c r="B543" s="7"/>
      <c r="C543" s="7"/>
      <c r="D543" s="7"/>
      <c r="E543" s="4"/>
      <c r="F543" s="4" t="str">
        <f t="shared" si="2"/>
        <v/>
      </c>
    </row>
    <row r="544" spans="1:6" ht="14.25" customHeight="1" x14ac:dyDescent="0.3">
      <c r="A544" s="7"/>
      <c r="B544" s="7"/>
      <c r="C544" s="7"/>
      <c r="D544" s="7"/>
      <c r="E544" s="4"/>
      <c r="F544" s="4" t="str">
        <f t="shared" si="2"/>
        <v/>
      </c>
    </row>
    <row r="545" spans="1:6" ht="14.25" customHeight="1" x14ac:dyDescent="0.3">
      <c r="A545" s="7"/>
      <c r="B545" s="7"/>
      <c r="C545" s="7"/>
      <c r="D545" s="7"/>
      <c r="E545" s="4"/>
      <c r="F545" s="4" t="str">
        <f t="shared" si="2"/>
        <v/>
      </c>
    </row>
    <row r="546" spans="1:6" ht="14.25" customHeight="1" x14ac:dyDescent="0.3">
      <c r="A546" s="7"/>
      <c r="B546" s="7"/>
      <c r="C546" s="7"/>
      <c r="D546" s="7"/>
      <c r="E546" s="4"/>
      <c r="F546" s="4" t="str">
        <f t="shared" si="2"/>
        <v/>
      </c>
    </row>
    <row r="547" spans="1:6" ht="14.25" customHeight="1" x14ac:dyDescent="0.3">
      <c r="A547" s="7"/>
      <c r="B547" s="7"/>
      <c r="C547" s="7"/>
      <c r="D547" s="7"/>
      <c r="E547" s="4"/>
      <c r="F547" s="4" t="str">
        <f t="shared" si="2"/>
        <v/>
      </c>
    </row>
    <row r="548" spans="1:6" ht="14.25" customHeight="1" x14ac:dyDescent="0.3">
      <c r="A548" s="7"/>
      <c r="B548" s="7"/>
      <c r="C548" s="7"/>
      <c r="D548" s="7"/>
      <c r="E548" s="4"/>
      <c r="F548" s="4" t="str">
        <f t="shared" si="2"/>
        <v/>
      </c>
    </row>
    <row r="549" spans="1:6" ht="14.25" customHeight="1" x14ac:dyDescent="0.3">
      <c r="A549" s="7"/>
      <c r="B549" s="7"/>
      <c r="C549" s="7"/>
      <c r="D549" s="7"/>
      <c r="E549" s="4"/>
      <c r="F549" s="4" t="str">
        <f t="shared" si="2"/>
        <v/>
      </c>
    </row>
    <row r="550" spans="1:6" ht="14.25" customHeight="1" x14ac:dyDescent="0.3">
      <c r="A550" s="7"/>
      <c r="B550" s="7"/>
      <c r="C550" s="7"/>
      <c r="D550" s="7"/>
      <c r="E550" s="4"/>
      <c r="F550" s="4" t="str">
        <f t="shared" si="2"/>
        <v/>
      </c>
    </row>
    <row r="551" spans="1:6" ht="14.25" customHeight="1" x14ac:dyDescent="0.3">
      <c r="A551" s="7"/>
      <c r="B551" s="7"/>
      <c r="C551" s="7"/>
      <c r="D551" s="7"/>
      <c r="E551" s="4"/>
      <c r="F551" s="4" t="str">
        <f t="shared" si="2"/>
        <v/>
      </c>
    </row>
    <row r="552" spans="1:6" ht="14.25" customHeight="1" x14ac:dyDescent="0.3">
      <c r="A552" s="7"/>
      <c r="B552" s="7"/>
      <c r="C552" s="7"/>
      <c r="D552" s="7"/>
      <c r="E552" s="4"/>
      <c r="F552" s="4" t="str">
        <f t="shared" si="2"/>
        <v/>
      </c>
    </row>
    <row r="553" spans="1:6" ht="14.25" customHeight="1" x14ac:dyDescent="0.3">
      <c r="A553" s="7"/>
      <c r="B553" s="7"/>
      <c r="C553" s="7"/>
      <c r="D553" s="7"/>
      <c r="E553" s="4"/>
      <c r="F553" s="4" t="str">
        <f t="shared" si="2"/>
        <v/>
      </c>
    </row>
    <row r="554" spans="1:6" ht="14.25" customHeight="1" x14ac:dyDescent="0.3">
      <c r="A554" s="7"/>
      <c r="B554" s="7"/>
      <c r="C554" s="7"/>
      <c r="D554" s="7"/>
      <c r="E554" s="4"/>
      <c r="F554" s="4" t="str">
        <f t="shared" si="2"/>
        <v/>
      </c>
    </row>
    <row r="555" spans="1:6" ht="14.25" customHeight="1" x14ac:dyDescent="0.3">
      <c r="A555" s="7"/>
      <c r="B555" s="7"/>
      <c r="C555" s="7"/>
      <c r="D555" s="7"/>
      <c r="E555" s="4"/>
      <c r="F555" s="4" t="str">
        <f t="shared" si="2"/>
        <v/>
      </c>
    </row>
    <row r="556" spans="1:6" ht="14.25" customHeight="1" x14ac:dyDescent="0.3">
      <c r="A556" s="7"/>
      <c r="B556" s="7"/>
      <c r="C556" s="7"/>
      <c r="D556" s="7"/>
      <c r="E556" s="4"/>
      <c r="F556" s="4" t="str">
        <f t="shared" si="2"/>
        <v/>
      </c>
    </row>
    <row r="557" spans="1:6" ht="14.25" customHeight="1" x14ac:dyDescent="0.3">
      <c r="A557" s="7"/>
      <c r="B557" s="7"/>
      <c r="C557" s="7"/>
      <c r="D557" s="7"/>
      <c r="E557" s="4"/>
      <c r="F557" s="4" t="str">
        <f t="shared" si="2"/>
        <v/>
      </c>
    </row>
    <row r="558" spans="1:6" ht="14.25" customHeight="1" x14ac:dyDescent="0.3">
      <c r="A558" s="7"/>
      <c r="B558" s="7"/>
      <c r="C558" s="7"/>
      <c r="D558" s="7"/>
      <c r="E558" s="4"/>
      <c r="F558" s="4" t="str">
        <f t="shared" si="2"/>
        <v/>
      </c>
    </row>
    <row r="559" spans="1:6" ht="14.25" customHeight="1" x14ac:dyDescent="0.3">
      <c r="A559" s="7"/>
      <c r="B559" s="7"/>
      <c r="C559" s="7"/>
      <c r="D559" s="7"/>
      <c r="E559" s="4"/>
      <c r="F559" s="4" t="str">
        <f t="shared" si="2"/>
        <v/>
      </c>
    </row>
    <row r="560" spans="1:6" ht="14.25" customHeight="1" x14ac:dyDescent="0.3">
      <c r="A560" s="7"/>
      <c r="B560" s="7"/>
      <c r="C560" s="7"/>
      <c r="D560" s="7"/>
      <c r="E560" s="4"/>
      <c r="F560" s="4" t="str">
        <f t="shared" si="2"/>
        <v/>
      </c>
    </row>
    <row r="561" spans="1:6" ht="14.25" customHeight="1" x14ac:dyDescent="0.3">
      <c r="A561" s="7"/>
      <c r="B561" s="7"/>
      <c r="C561" s="7"/>
      <c r="D561" s="7"/>
      <c r="E561" s="4"/>
      <c r="F561" s="4" t="str">
        <f t="shared" si="2"/>
        <v/>
      </c>
    </row>
    <row r="562" spans="1:6" ht="14.25" customHeight="1" x14ac:dyDescent="0.3">
      <c r="A562" s="7"/>
      <c r="B562" s="7"/>
      <c r="C562" s="7"/>
      <c r="D562" s="7"/>
      <c r="E562" s="4"/>
      <c r="F562" s="4" t="str">
        <f t="shared" si="2"/>
        <v/>
      </c>
    </row>
    <row r="563" spans="1:6" ht="14.25" customHeight="1" x14ac:dyDescent="0.3">
      <c r="A563" s="7"/>
      <c r="B563" s="7"/>
      <c r="C563" s="7"/>
      <c r="D563" s="7"/>
      <c r="E563" s="4"/>
      <c r="F563" s="4" t="str">
        <f t="shared" si="2"/>
        <v/>
      </c>
    </row>
    <row r="564" spans="1:6" ht="14.25" customHeight="1" x14ac:dyDescent="0.3">
      <c r="A564" s="7"/>
      <c r="B564" s="7"/>
      <c r="C564" s="7"/>
      <c r="D564" s="7"/>
      <c r="E564" s="4"/>
      <c r="F564" s="4" t="str">
        <f t="shared" si="2"/>
        <v/>
      </c>
    </row>
    <row r="565" spans="1:6" ht="14.25" customHeight="1" x14ac:dyDescent="0.3">
      <c r="A565" s="7"/>
      <c r="B565" s="7"/>
      <c r="C565" s="7"/>
      <c r="D565" s="7"/>
      <c r="E565" s="4"/>
      <c r="F565" s="4" t="str">
        <f t="shared" si="2"/>
        <v/>
      </c>
    </row>
    <row r="566" spans="1:6" ht="14.25" customHeight="1" x14ac:dyDescent="0.3">
      <c r="A566" s="7"/>
      <c r="B566" s="7"/>
      <c r="C566" s="7"/>
      <c r="D566" s="7"/>
      <c r="E566" s="4"/>
      <c r="F566" s="4" t="str">
        <f t="shared" si="2"/>
        <v/>
      </c>
    </row>
    <row r="567" spans="1:6" ht="14.25" customHeight="1" x14ac:dyDescent="0.3">
      <c r="A567" s="7"/>
      <c r="B567" s="7"/>
      <c r="C567" s="7"/>
      <c r="D567" s="7"/>
      <c r="E567" s="4"/>
      <c r="F567" s="4" t="str">
        <f t="shared" si="2"/>
        <v/>
      </c>
    </row>
    <row r="568" spans="1:6" ht="14.25" customHeight="1" x14ac:dyDescent="0.3">
      <c r="A568" s="7"/>
      <c r="B568" s="7"/>
      <c r="C568" s="7"/>
      <c r="D568" s="7"/>
      <c r="E568" s="4"/>
      <c r="F568" s="4" t="str">
        <f t="shared" si="2"/>
        <v/>
      </c>
    </row>
    <row r="569" spans="1:6" ht="14.25" customHeight="1" x14ac:dyDescent="0.3">
      <c r="A569" s="7"/>
      <c r="B569" s="7"/>
      <c r="C569" s="7"/>
      <c r="D569" s="7"/>
      <c r="E569" s="4"/>
      <c r="F569" s="4" t="str">
        <f t="shared" si="2"/>
        <v/>
      </c>
    </row>
    <row r="570" spans="1:6" ht="14.25" customHeight="1" x14ac:dyDescent="0.3">
      <c r="A570" s="7"/>
      <c r="B570" s="7"/>
      <c r="C570" s="7"/>
      <c r="D570" s="7"/>
      <c r="E570" s="4"/>
      <c r="F570" s="4" t="str">
        <f t="shared" si="2"/>
        <v/>
      </c>
    </row>
    <row r="571" spans="1:6" ht="14.25" customHeight="1" x14ac:dyDescent="0.3">
      <c r="A571" s="7"/>
      <c r="B571" s="7"/>
      <c r="C571" s="7"/>
      <c r="D571" s="7"/>
      <c r="E571" s="4"/>
      <c r="F571" s="4" t="str">
        <f t="shared" si="2"/>
        <v/>
      </c>
    </row>
    <row r="572" spans="1:6" ht="14.25" customHeight="1" x14ac:dyDescent="0.3">
      <c r="A572" s="7"/>
      <c r="B572" s="7"/>
      <c r="C572" s="7"/>
      <c r="D572" s="7"/>
      <c r="E572" s="4"/>
      <c r="F572" s="4" t="str">
        <f t="shared" si="2"/>
        <v/>
      </c>
    </row>
    <row r="573" spans="1:6" ht="14.25" customHeight="1" x14ac:dyDescent="0.3">
      <c r="A573" s="7"/>
      <c r="B573" s="7"/>
      <c r="C573" s="7"/>
      <c r="D573" s="7"/>
      <c r="E573" s="4"/>
      <c r="F573" s="4" t="str">
        <f t="shared" si="2"/>
        <v/>
      </c>
    </row>
    <row r="574" spans="1:6" ht="14.25" customHeight="1" x14ac:dyDescent="0.3">
      <c r="A574" s="7"/>
      <c r="B574" s="7"/>
      <c r="C574" s="7"/>
      <c r="D574" s="7"/>
      <c r="E574" s="4"/>
      <c r="F574" s="4" t="str">
        <f t="shared" si="2"/>
        <v/>
      </c>
    </row>
    <row r="575" spans="1:6" ht="14.25" customHeight="1" x14ac:dyDescent="0.3">
      <c r="A575" s="7"/>
      <c r="B575" s="7"/>
      <c r="C575" s="7"/>
      <c r="D575" s="7"/>
      <c r="E575" s="4"/>
      <c r="F575" s="4" t="str">
        <f t="shared" si="2"/>
        <v/>
      </c>
    </row>
    <row r="576" spans="1:6" ht="14.25" customHeight="1" x14ac:dyDescent="0.3">
      <c r="A576" s="7"/>
      <c r="B576" s="7"/>
      <c r="C576" s="7"/>
      <c r="D576" s="7"/>
      <c r="E576" s="4"/>
      <c r="F576" s="4" t="str">
        <f t="shared" si="2"/>
        <v/>
      </c>
    </row>
    <row r="577" spans="1:6" ht="14.25" customHeight="1" x14ac:dyDescent="0.3">
      <c r="A577" s="7"/>
      <c r="B577" s="7"/>
      <c r="C577" s="7"/>
      <c r="D577" s="7"/>
      <c r="E577" s="4"/>
      <c r="F577" s="4" t="str">
        <f t="shared" si="2"/>
        <v/>
      </c>
    </row>
    <row r="578" spans="1:6" ht="14.25" customHeight="1" x14ac:dyDescent="0.3">
      <c r="A578" s="7"/>
      <c r="B578" s="7"/>
      <c r="C578" s="7"/>
      <c r="D578" s="7"/>
      <c r="E578" s="4"/>
      <c r="F578" s="4" t="str">
        <f t="shared" si="2"/>
        <v/>
      </c>
    </row>
    <row r="579" spans="1:6" ht="14.25" customHeight="1" x14ac:dyDescent="0.3">
      <c r="A579" s="7"/>
      <c r="B579" s="7"/>
      <c r="C579" s="7"/>
      <c r="D579" s="7"/>
      <c r="E579" s="4"/>
      <c r="F579" s="4" t="str">
        <f t="shared" si="2"/>
        <v/>
      </c>
    </row>
    <row r="580" spans="1:6" ht="14.25" customHeight="1" x14ac:dyDescent="0.3">
      <c r="A580" s="7"/>
      <c r="B580" s="7"/>
      <c r="C580" s="7"/>
      <c r="D580" s="7"/>
      <c r="E580" s="4"/>
      <c r="F580" s="4" t="str">
        <f t="shared" si="2"/>
        <v/>
      </c>
    </row>
    <row r="581" spans="1:6" ht="14.25" customHeight="1" x14ac:dyDescent="0.3">
      <c r="A581" s="7"/>
      <c r="B581" s="7"/>
      <c r="C581" s="7"/>
      <c r="D581" s="7"/>
      <c r="E581" s="4"/>
      <c r="F581" s="4" t="str">
        <f t="shared" si="2"/>
        <v/>
      </c>
    </row>
    <row r="582" spans="1:6" ht="14.25" customHeight="1" x14ac:dyDescent="0.3">
      <c r="A582" s="7"/>
      <c r="B582" s="7"/>
      <c r="C582" s="7"/>
      <c r="D582" s="7"/>
      <c r="E582" s="4"/>
      <c r="F582" s="4" t="str">
        <f t="shared" si="2"/>
        <v/>
      </c>
    </row>
    <row r="583" spans="1:6" ht="14.25" customHeight="1" x14ac:dyDescent="0.3">
      <c r="A583" s="7"/>
      <c r="B583" s="7"/>
      <c r="C583" s="7"/>
      <c r="D583" s="7"/>
      <c r="E583" s="4"/>
      <c r="F583" s="4" t="str">
        <f t="shared" si="2"/>
        <v/>
      </c>
    </row>
    <row r="584" spans="1:6" ht="14.25" customHeight="1" x14ac:dyDescent="0.3">
      <c r="A584" s="7"/>
      <c r="B584" s="7"/>
      <c r="C584" s="7"/>
      <c r="D584" s="7"/>
      <c r="E584" s="4"/>
      <c r="F584" s="4" t="str">
        <f t="shared" si="2"/>
        <v/>
      </c>
    </row>
    <row r="585" spans="1:6" ht="14.25" customHeight="1" x14ac:dyDescent="0.3">
      <c r="A585" s="7"/>
      <c r="B585" s="7"/>
      <c r="C585" s="7"/>
      <c r="D585" s="7"/>
      <c r="E585" s="4"/>
      <c r="F585" s="4" t="str">
        <f t="shared" si="2"/>
        <v/>
      </c>
    </row>
    <row r="586" spans="1:6" ht="14.25" customHeight="1" x14ac:dyDescent="0.3">
      <c r="A586" s="7"/>
      <c r="B586" s="7"/>
      <c r="C586" s="7"/>
      <c r="D586" s="7"/>
      <c r="E586" s="4"/>
      <c r="F586" s="4" t="str">
        <f t="shared" si="2"/>
        <v/>
      </c>
    </row>
    <row r="587" spans="1:6" ht="14.25" customHeight="1" x14ac:dyDescent="0.3">
      <c r="A587" s="7"/>
      <c r="B587" s="7"/>
      <c r="C587" s="7"/>
      <c r="D587" s="7"/>
      <c r="E587" s="4"/>
      <c r="F587" s="4" t="str">
        <f t="shared" si="2"/>
        <v/>
      </c>
    </row>
    <row r="588" spans="1:6" ht="14.25" customHeight="1" x14ac:dyDescent="0.3">
      <c r="A588" s="7"/>
      <c r="B588" s="7"/>
      <c r="C588" s="7"/>
      <c r="D588" s="7"/>
      <c r="E588" s="4"/>
      <c r="F588" s="4" t="str">
        <f t="shared" si="2"/>
        <v/>
      </c>
    </row>
    <row r="589" spans="1:6" ht="14.25" customHeight="1" x14ac:dyDescent="0.3">
      <c r="A589" s="7"/>
      <c r="B589" s="7"/>
      <c r="C589" s="7"/>
      <c r="D589" s="7"/>
      <c r="E589" s="4"/>
      <c r="F589" s="4" t="str">
        <f t="shared" si="2"/>
        <v/>
      </c>
    </row>
    <row r="590" spans="1:6" ht="14.25" customHeight="1" x14ac:dyDescent="0.3">
      <c r="A590" s="7"/>
      <c r="B590" s="7"/>
      <c r="C590" s="7"/>
      <c r="D590" s="7"/>
      <c r="E590" s="4"/>
      <c r="F590" s="4" t="str">
        <f t="shared" si="2"/>
        <v/>
      </c>
    </row>
    <row r="591" spans="1:6" ht="14.25" customHeight="1" x14ac:dyDescent="0.3">
      <c r="A591" s="7"/>
      <c r="B591" s="7"/>
      <c r="C591" s="7"/>
      <c r="D591" s="7"/>
      <c r="E591" s="4"/>
      <c r="F591" s="4" t="str">
        <f t="shared" si="2"/>
        <v/>
      </c>
    </row>
    <row r="592" spans="1:6" ht="14.25" customHeight="1" x14ac:dyDescent="0.3">
      <c r="A592" s="7"/>
      <c r="B592" s="7"/>
      <c r="C592" s="7"/>
      <c r="D592" s="7"/>
      <c r="E592" s="4"/>
      <c r="F592" s="4" t="str">
        <f t="shared" si="2"/>
        <v/>
      </c>
    </row>
    <row r="593" spans="1:6" ht="14.25" customHeight="1" x14ac:dyDescent="0.3">
      <c r="A593" s="7"/>
      <c r="B593" s="7"/>
      <c r="C593" s="7"/>
      <c r="D593" s="7"/>
      <c r="E593" s="4"/>
      <c r="F593" s="4" t="str">
        <f t="shared" si="2"/>
        <v/>
      </c>
    </row>
    <row r="594" spans="1:6" ht="14.25" customHeight="1" x14ac:dyDescent="0.3">
      <c r="A594" s="7"/>
      <c r="B594" s="7"/>
      <c r="C594" s="7"/>
      <c r="D594" s="7"/>
      <c r="E594" s="4"/>
      <c r="F594" s="4" t="str">
        <f t="shared" si="2"/>
        <v/>
      </c>
    </row>
    <row r="595" spans="1:6" ht="14.25" customHeight="1" x14ac:dyDescent="0.3">
      <c r="A595" s="7"/>
      <c r="B595" s="7"/>
      <c r="C595" s="7"/>
      <c r="D595" s="7"/>
      <c r="E595" s="4"/>
      <c r="F595" s="4" t="str">
        <f t="shared" si="2"/>
        <v/>
      </c>
    </row>
    <row r="596" spans="1:6" ht="14.25" customHeight="1" x14ac:dyDescent="0.3">
      <c r="A596" s="7"/>
      <c r="B596" s="7"/>
      <c r="C596" s="7"/>
      <c r="D596" s="7"/>
      <c r="E596" s="4"/>
      <c r="F596" s="4" t="str">
        <f t="shared" si="2"/>
        <v/>
      </c>
    </row>
    <row r="597" spans="1:6" ht="14.25" customHeight="1" x14ac:dyDescent="0.3">
      <c r="A597" s="7"/>
      <c r="B597" s="7"/>
      <c r="C597" s="7"/>
      <c r="D597" s="7"/>
      <c r="E597" s="4"/>
      <c r="F597" s="4" t="str">
        <f t="shared" si="2"/>
        <v/>
      </c>
    </row>
    <row r="598" spans="1:6" ht="14.25" customHeight="1" x14ac:dyDescent="0.3">
      <c r="A598" s="7"/>
      <c r="B598" s="7"/>
      <c r="C598" s="7"/>
      <c r="D598" s="7"/>
      <c r="E598" s="4"/>
      <c r="F598" s="4" t="str">
        <f t="shared" si="2"/>
        <v/>
      </c>
    </row>
    <row r="599" spans="1:6" ht="14.25" customHeight="1" x14ac:dyDescent="0.3">
      <c r="A599" s="7"/>
      <c r="B599" s="7"/>
      <c r="C599" s="7"/>
      <c r="D599" s="7"/>
      <c r="E599" s="4"/>
      <c r="F599" s="4" t="str">
        <f t="shared" si="2"/>
        <v/>
      </c>
    </row>
    <row r="600" spans="1:6" ht="14.25" customHeight="1" x14ac:dyDescent="0.3">
      <c r="A600" s="7"/>
      <c r="B600" s="7"/>
      <c r="C600" s="7"/>
      <c r="D600" s="7"/>
      <c r="E600" s="4"/>
      <c r="F600" s="4" t="str">
        <f t="shared" si="2"/>
        <v/>
      </c>
    </row>
    <row r="601" spans="1:6" ht="14.25" customHeight="1" x14ac:dyDescent="0.3">
      <c r="A601" s="7"/>
      <c r="B601" s="7"/>
      <c r="C601" s="7"/>
      <c r="D601" s="7"/>
      <c r="E601" s="4"/>
      <c r="F601" s="4" t="str">
        <f t="shared" si="2"/>
        <v/>
      </c>
    </row>
    <row r="602" spans="1:6" ht="14.25" customHeight="1" x14ac:dyDescent="0.3">
      <c r="A602" s="7"/>
      <c r="B602" s="7"/>
      <c r="C602" s="7"/>
      <c r="D602" s="7"/>
      <c r="E602" s="4"/>
      <c r="F602" s="4" t="str">
        <f t="shared" si="2"/>
        <v/>
      </c>
    </row>
    <row r="603" spans="1:6" ht="14.25" customHeight="1" x14ac:dyDescent="0.3">
      <c r="A603" s="7"/>
      <c r="B603" s="7"/>
      <c r="C603" s="7"/>
      <c r="D603" s="7"/>
      <c r="E603" s="4"/>
      <c r="F603" s="4" t="str">
        <f t="shared" si="2"/>
        <v/>
      </c>
    </row>
    <row r="604" spans="1:6" ht="14.25" customHeight="1" x14ac:dyDescent="0.3">
      <c r="A604" s="7"/>
      <c r="B604" s="7"/>
      <c r="C604" s="7"/>
      <c r="D604" s="7"/>
      <c r="E604" s="4"/>
      <c r="F604" s="4" t="str">
        <f t="shared" si="2"/>
        <v/>
      </c>
    </row>
    <row r="605" spans="1:6" ht="14.25" customHeight="1" x14ac:dyDescent="0.3">
      <c r="A605" s="7"/>
      <c r="B605" s="7"/>
      <c r="C605" s="7"/>
      <c r="D605" s="7"/>
      <c r="E605" s="4"/>
      <c r="F605" s="4" t="str">
        <f t="shared" si="2"/>
        <v/>
      </c>
    </row>
    <row r="606" spans="1:6" ht="14.25" customHeight="1" x14ac:dyDescent="0.3">
      <c r="A606" s="7"/>
      <c r="B606" s="7"/>
      <c r="C606" s="7"/>
      <c r="D606" s="7"/>
      <c r="E606" s="4"/>
      <c r="F606" s="4" t="str">
        <f t="shared" si="2"/>
        <v/>
      </c>
    </row>
    <row r="607" spans="1:6" ht="14.25" customHeight="1" x14ac:dyDescent="0.3">
      <c r="A607" s="7"/>
      <c r="B607" s="7"/>
      <c r="C607" s="7"/>
      <c r="D607" s="7"/>
      <c r="E607" s="4"/>
      <c r="F607" s="4" t="str">
        <f t="shared" si="2"/>
        <v/>
      </c>
    </row>
    <row r="608" spans="1:6" ht="14.25" customHeight="1" x14ac:dyDescent="0.3">
      <c r="A608" s="7"/>
      <c r="B608" s="7"/>
      <c r="C608" s="7"/>
      <c r="D608" s="7"/>
      <c r="E608" s="4"/>
      <c r="F608" s="4" t="str">
        <f t="shared" si="2"/>
        <v/>
      </c>
    </row>
    <row r="609" spans="1:6" ht="14.25" customHeight="1" x14ac:dyDescent="0.3">
      <c r="A609" s="7"/>
      <c r="B609" s="7"/>
      <c r="C609" s="7"/>
      <c r="D609" s="7"/>
      <c r="E609" s="4"/>
      <c r="F609" s="4" t="str">
        <f t="shared" si="2"/>
        <v/>
      </c>
    </row>
    <row r="610" spans="1:6" ht="14.25" customHeight="1" x14ac:dyDescent="0.3">
      <c r="A610" s="7"/>
      <c r="B610" s="7"/>
      <c r="C610" s="7"/>
      <c r="D610" s="7"/>
      <c r="E610" s="4"/>
      <c r="F610" s="4" t="str">
        <f t="shared" si="2"/>
        <v/>
      </c>
    </row>
    <row r="611" spans="1:6" ht="14.25" customHeight="1" x14ac:dyDescent="0.3">
      <c r="A611" s="7"/>
      <c r="B611" s="7"/>
      <c r="C611" s="7"/>
      <c r="D611" s="7"/>
      <c r="E611" s="4"/>
      <c r="F611" s="4" t="str">
        <f t="shared" si="2"/>
        <v/>
      </c>
    </row>
    <row r="612" spans="1:6" ht="14.25" customHeight="1" x14ac:dyDescent="0.3">
      <c r="A612" s="7"/>
      <c r="B612" s="7"/>
      <c r="C612" s="7"/>
      <c r="D612" s="7"/>
      <c r="E612" s="4"/>
      <c r="F612" s="4" t="str">
        <f t="shared" si="2"/>
        <v/>
      </c>
    </row>
    <row r="613" spans="1:6" ht="14.25" customHeight="1" x14ac:dyDescent="0.3">
      <c r="A613" s="7"/>
      <c r="B613" s="7"/>
      <c r="C613" s="7"/>
      <c r="D613" s="7"/>
      <c r="E613" s="4"/>
      <c r="F613" s="4" t="str">
        <f t="shared" si="2"/>
        <v/>
      </c>
    </row>
    <row r="614" spans="1:6" ht="14.25" customHeight="1" x14ac:dyDescent="0.3">
      <c r="A614" s="7"/>
      <c r="B614" s="7"/>
      <c r="C614" s="7"/>
      <c r="D614" s="7"/>
      <c r="E614" s="4"/>
      <c r="F614" s="4" t="str">
        <f t="shared" si="2"/>
        <v/>
      </c>
    </row>
    <row r="615" spans="1:6" ht="14.25" customHeight="1" x14ac:dyDescent="0.3">
      <c r="A615" s="7"/>
      <c r="B615" s="7"/>
      <c r="C615" s="7"/>
      <c r="D615" s="7"/>
      <c r="E615" s="4"/>
      <c r="F615" s="4" t="str">
        <f t="shared" si="2"/>
        <v/>
      </c>
    </row>
    <row r="616" spans="1:6" ht="14.25" customHeight="1" x14ac:dyDescent="0.3">
      <c r="A616" s="7"/>
      <c r="B616" s="7"/>
      <c r="C616" s="7"/>
      <c r="D616" s="7"/>
      <c r="E616" s="4"/>
      <c r="F616" s="4" t="str">
        <f t="shared" si="2"/>
        <v/>
      </c>
    </row>
    <row r="617" spans="1:6" ht="14.25" customHeight="1" x14ac:dyDescent="0.3">
      <c r="A617" s="7"/>
      <c r="B617" s="7"/>
      <c r="C617" s="7"/>
      <c r="D617" s="7"/>
      <c r="E617" s="4"/>
      <c r="F617" s="4" t="str">
        <f t="shared" si="2"/>
        <v/>
      </c>
    </row>
    <row r="618" spans="1:6" ht="14.25" customHeight="1" x14ac:dyDescent="0.3">
      <c r="A618" s="7"/>
      <c r="B618" s="7"/>
      <c r="C618" s="7"/>
      <c r="D618" s="7"/>
      <c r="E618" s="4"/>
      <c r="F618" s="4" t="str">
        <f t="shared" si="2"/>
        <v/>
      </c>
    </row>
    <row r="619" spans="1:6" ht="14.25" customHeight="1" x14ac:dyDescent="0.3">
      <c r="A619" s="7"/>
      <c r="B619" s="7"/>
      <c r="C619" s="7"/>
      <c r="D619" s="7"/>
      <c r="E619" s="4"/>
      <c r="F619" s="4" t="str">
        <f t="shared" si="2"/>
        <v/>
      </c>
    </row>
    <row r="620" spans="1:6" ht="14.25" customHeight="1" x14ac:dyDescent="0.3">
      <c r="A620" s="7"/>
      <c r="B620" s="7"/>
      <c r="C620" s="7"/>
      <c r="D620" s="7"/>
      <c r="E620" s="4"/>
      <c r="F620" s="4" t="str">
        <f t="shared" si="2"/>
        <v/>
      </c>
    </row>
    <row r="621" spans="1:6" ht="14.25" customHeight="1" x14ac:dyDescent="0.3">
      <c r="A621" s="7"/>
      <c r="B621" s="7"/>
      <c r="C621" s="7"/>
      <c r="D621" s="7"/>
      <c r="E621" s="4"/>
      <c r="F621" s="4" t="str">
        <f t="shared" si="2"/>
        <v/>
      </c>
    </row>
    <row r="622" spans="1:6" ht="14.25" customHeight="1" x14ac:dyDescent="0.3">
      <c r="A622" s="7"/>
      <c r="B622" s="7"/>
      <c r="C622" s="7"/>
      <c r="D622" s="7"/>
      <c r="E622" s="4"/>
      <c r="F622" s="4" t="str">
        <f t="shared" si="2"/>
        <v/>
      </c>
    </row>
    <row r="623" spans="1:6" ht="14.25" customHeight="1" x14ac:dyDescent="0.3">
      <c r="A623" s="7"/>
      <c r="B623" s="7"/>
      <c r="C623" s="7"/>
      <c r="D623" s="7"/>
      <c r="E623" s="4"/>
      <c r="F623" s="4" t="str">
        <f t="shared" si="2"/>
        <v/>
      </c>
    </row>
    <row r="624" spans="1:6" ht="14.25" customHeight="1" x14ac:dyDescent="0.3">
      <c r="A624" s="7"/>
      <c r="B624" s="7"/>
      <c r="C624" s="7"/>
      <c r="D624" s="7"/>
      <c r="E624" s="4"/>
      <c r="F624" s="4" t="str">
        <f t="shared" si="2"/>
        <v/>
      </c>
    </row>
    <row r="625" spans="1:6" ht="14.25" customHeight="1" x14ac:dyDescent="0.3">
      <c r="A625" s="7"/>
      <c r="B625" s="7"/>
      <c r="C625" s="7"/>
      <c r="D625" s="7"/>
      <c r="E625" s="4"/>
      <c r="F625" s="4" t="str">
        <f t="shared" si="2"/>
        <v/>
      </c>
    </row>
    <row r="626" spans="1:6" ht="14.25" customHeight="1" x14ac:dyDescent="0.3">
      <c r="A626" s="7"/>
      <c r="B626" s="7"/>
      <c r="C626" s="7"/>
      <c r="D626" s="7"/>
      <c r="E626" s="4"/>
      <c r="F626" s="4" t="str">
        <f t="shared" si="2"/>
        <v/>
      </c>
    </row>
    <row r="627" spans="1:6" ht="14.25" customHeight="1" x14ac:dyDescent="0.3">
      <c r="A627" s="7"/>
      <c r="B627" s="7"/>
      <c r="C627" s="7"/>
      <c r="D627" s="7"/>
      <c r="E627" s="4"/>
      <c r="F627" s="4" t="str">
        <f t="shared" si="2"/>
        <v/>
      </c>
    </row>
    <row r="628" spans="1:6" ht="14.25" customHeight="1" x14ac:dyDescent="0.3">
      <c r="A628" s="7"/>
      <c r="B628" s="7"/>
      <c r="C628" s="7"/>
      <c r="D628" s="7"/>
      <c r="E628" s="4"/>
      <c r="F628" s="4" t="str">
        <f t="shared" si="2"/>
        <v/>
      </c>
    </row>
    <row r="629" spans="1:6" ht="14.25" customHeight="1" x14ac:dyDescent="0.3">
      <c r="A629" s="7"/>
      <c r="B629" s="7"/>
      <c r="C629" s="7"/>
      <c r="D629" s="7"/>
      <c r="E629" s="4"/>
      <c r="F629" s="4" t="str">
        <f t="shared" si="2"/>
        <v/>
      </c>
    </row>
    <row r="630" spans="1:6" ht="14.25" customHeight="1" x14ac:dyDescent="0.3">
      <c r="A630" s="7"/>
      <c r="B630" s="7"/>
      <c r="C630" s="7"/>
      <c r="D630" s="7"/>
      <c r="E630" s="4"/>
      <c r="F630" s="4" t="str">
        <f t="shared" si="2"/>
        <v/>
      </c>
    </row>
    <row r="631" spans="1:6" ht="14.25" customHeight="1" x14ac:dyDescent="0.3">
      <c r="A631" s="7"/>
      <c r="B631" s="7"/>
      <c r="C631" s="7"/>
      <c r="D631" s="7"/>
      <c r="E631" s="4"/>
      <c r="F631" s="4" t="str">
        <f t="shared" si="2"/>
        <v/>
      </c>
    </row>
    <row r="632" spans="1:6" ht="14.25" customHeight="1" x14ac:dyDescent="0.3">
      <c r="A632" s="7"/>
      <c r="B632" s="7"/>
      <c r="C632" s="7"/>
      <c r="D632" s="7"/>
      <c r="E632" s="4"/>
      <c r="F632" s="4" t="str">
        <f t="shared" si="2"/>
        <v/>
      </c>
    </row>
    <row r="633" spans="1:6" ht="14.25" customHeight="1" x14ac:dyDescent="0.3">
      <c r="A633" s="7"/>
      <c r="B633" s="7"/>
      <c r="C633" s="7"/>
      <c r="D633" s="7"/>
      <c r="E633" s="4"/>
      <c r="F633" s="4" t="str">
        <f t="shared" si="2"/>
        <v/>
      </c>
    </row>
    <row r="634" spans="1:6" ht="14.25" customHeight="1" x14ac:dyDescent="0.3">
      <c r="A634" s="7"/>
      <c r="B634" s="7"/>
      <c r="C634" s="7"/>
      <c r="D634" s="7"/>
      <c r="E634" s="4"/>
      <c r="F634" s="4" t="str">
        <f t="shared" si="2"/>
        <v/>
      </c>
    </row>
    <row r="635" spans="1:6" ht="14.25" customHeight="1" x14ac:dyDescent="0.3">
      <c r="A635" s="7"/>
      <c r="B635" s="7"/>
      <c r="C635" s="7"/>
      <c r="D635" s="7"/>
      <c r="E635" s="4"/>
      <c r="F635" s="4" t="str">
        <f t="shared" si="2"/>
        <v/>
      </c>
    </row>
    <row r="636" spans="1:6" ht="14.25" customHeight="1" x14ac:dyDescent="0.3">
      <c r="A636" s="7"/>
      <c r="B636" s="7"/>
      <c r="C636" s="7"/>
      <c r="D636" s="7"/>
      <c r="E636" s="4"/>
      <c r="F636" s="4" t="str">
        <f t="shared" si="2"/>
        <v/>
      </c>
    </row>
    <row r="637" spans="1:6" ht="14.25" customHeight="1" x14ac:dyDescent="0.3">
      <c r="A637" s="7"/>
      <c r="B637" s="7"/>
      <c r="C637" s="7"/>
      <c r="D637" s="7"/>
      <c r="E637" s="4"/>
      <c r="F637" s="4" t="str">
        <f t="shared" si="2"/>
        <v/>
      </c>
    </row>
    <row r="638" spans="1:6" ht="14.25" customHeight="1" x14ac:dyDescent="0.3">
      <c r="A638" s="7"/>
      <c r="B638" s="7"/>
      <c r="C638" s="7"/>
      <c r="D638" s="7"/>
      <c r="E638" s="4"/>
      <c r="F638" s="4" t="str">
        <f t="shared" si="2"/>
        <v/>
      </c>
    </row>
    <row r="639" spans="1:6" ht="14.25" customHeight="1" x14ac:dyDescent="0.3">
      <c r="A639" s="7"/>
      <c r="B639" s="7"/>
      <c r="C639" s="7"/>
      <c r="D639" s="7"/>
      <c r="E639" s="4"/>
      <c r="F639" s="4" t="str">
        <f t="shared" si="2"/>
        <v/>
      </c>
    </row>
    <row r="640" spans="1:6" ht="14.25" customHeight="1" x14ac:dyDescent="0.3">
      <c r="A640" s="7"/>
      <c r="B640" s="7"/>
      <c r="C640" s="7"/>
      <c r="D640" s="7"/>
      <c r="E640" s="4"/>
      <c r="F640" s="4" t="str">
        <f t="shared" si="2"/>
        <v/>
      </c>
    </row>
    <row r="641" spans="1:6" ht="14.25" customHeight="1" x14ac:dyDescent="0.3">
      <c r="A641" s="7"/>
      <c r="B641" s="7"/>
      <c r="C641" s="7"/>
      <c r="D641" s="7"/>
      <c r="E641" s="4"/>
      <c r="F641" s="4" t="str">
        <f t="shared" si="2"/>
        <v/>
      </c>
    </row>
    <row r="642" spans="1:6" ht="14.25" customHeight="1" x14ac:dyDescent="0.3">
      <c r="A642" s="7"/>
      <c r="B642" s="7"/>
      <c r="C642" s="7"/>
      <c r="D642" s="7"/>
      <c r="E642" s="4"/>
      <c r="F642" s="4" t="str">
        <f t="shared" si="2"/>
        <v/>
      </c>
    </row>
    <row r="643" spans="1:6" ht="14.25" customHeight="1" x14ac:dyDescent="0.3">
      <c r="A643" s="7"/>
      <c r="B643" s="7"/>
      <c r="C643" s="7"/>
      <c r="D643" s="7"/>
      <c r="E643" s="4"/>
      <c r="F643" s="4" t="str">
        <f t="shared" si="2"/>
        <v/>
      </c>
    </row>
    <row r="644" spans="1:6" ht="14.25" customHeight="1" x14ac:dyDescent="0.3">
      <c r="A644" s="7"/>
      <c r="B644" s="7"/>
      <c r="C644" s="7"/>
      <c r="D644" s="7"/>
      <c r="E644" s="4"/>
      <c r="F644" s="4" t="str">
        <f t="shared" si="2"/>
        <v/>
      </c>
    </row>
    <row r="645" spans="1:6" ht="14.25" customHeight="1" x14ac:dyDescent="0.3">
      <c r="A645" s="7"/>
      <c r="B645" s="7"/>
      <c r="C645" s="7"/>
      <c r="D645" s="7"/>
      <c r="E645" s="4"/>
      <c r="F645" s="4" t="str">
        <f t="shared" si="2"/>
        <v/>
      </c>
    </row>
    <row r="646" spans="1:6" ht="14.25" customHeight="1" x14ac:dyDescent="0.3">
      <c r="A646" s="7"/>
      <c r="B646" s="7"/>
      <c r="C646" s="7"/>
      <c r="D646" s="7"/>
      <c r="E646" s="4"/>
      <c r="F646" s="4" t="str">
        <f t="shared" si="2"/>
        <v/>
      </c>
    </row>
    <row r="647" spans="1:6" ht="14.25" customHeight="1" x14ac:dyDescent="0.3">
      <c r="A647" s="7"/>
      <c r="B647" s="7"/>
      <c r="C647" s="7"/>
      <c r="D647" s="7"/>
      <c r="E647" s="4"/>
      <c r="F647" s="4" t="str">
        <f t="shared" si="2"/>
        <v/>
      </c>
    </row>
    <row r="648" spans="1:6" ht="14.25" customHeight="1" x14ac:dyDescent="0.3">
      <c r="A648" s="7"/>
      <c r="B648" s="7"/>
      <c r="C648" s="7"/>
      <c r="D648" s="7"/>
      <c r="E648" s="4"/>
      <c r="F648" s="4" t="str">
        <f t="shared" si="2"/>
        <v/>
      </c>
    </row>
    <row r="649" spans="1:6" ht="14.25" customHeight="1" x14ac:dyDescent="0.3">
      <c r="A649" s="7"/>
      <c r="B649" s="7"/>
      <c r="C649" s="7"/>
      <c r="D649" s="7"/>
      <c r="E649" s="4"/>
      <c r="F649" s="4" t="str">
        <f t="shared" si="2"/>
        <v/>
      </c>
    </row>
    <row r="650" spans="1:6" ht="14.25" customHeight="1" x14ac:dyDescent="0.3">
      <c r="A650" s="7"/>
      <c r="B650" s="7"/>
      <c r="C650" s="7"/>
      <c r="D650" s="7"/>
      <c r="E650" s="4"/>
      <c r="F650" s="4" t="str">
        <f t="shared" si="2"/>
        <v/>
      </c>
    </row>
    <row r="651" spans="1:6" ht="14.25" customHeight="1" x14ac:dyDescent="0.3">
      <c r="A651" s="7"/>
      <c r="B651" s="7"/>
      <c r="C651" s="7"/>
      <c r="D651" s="7"/>
      <c r="E651" s="4"/>
      <c r="F651" s="4" t="str">
        <f t="shared" si="2"/>
        <v/>
      </c>
    </row>
    <row r="652" spans="1:6" ht="14.25" customHeight="1" x14ac:dyDescent="0.3">
      <c r="A652" s="7"/>
      <c r="B652" s="7"/>
      <c r="C652" s="7"/>
      <c r="D652" s="7"/>
      <c r="E652" s="4"/>
      <c r="F652" s="4" t="str">
        <f t="shared" si="2"/>
        <v/>
      </c>
    </row>
    <row r="653" spans="1:6" ht="14.25" customHeight="1" x14ac:dyDescent="0.3">
      <c r="A653" s="7"/>
      <c r="B653" s="7"/>
      <c r="C653" s="7"/>
      <c r="D653" s="7"/>
      <c r="E653" s="4"/>
      <c r="F653" s="4" t="str">
        <f t="shared" si="2"/>
        <v/>
      </c>
    </row>
    <row r="654" spans="1:6" ht="14.25" customHeight="1" x14ac:dyDescent="0.3">
      <c r="A654" s="7"/>
      <c r="B654" s="7"/>
      <c r="C654" s="7"/>
      <c r="D654" s="7"/>
      <c r="E654" s="4"/>
      <c r="F654" s="4" t="str">
        <f t="shared" si="2"/>
        <v/>
      </c>
    </row>
    <row r="655" spans="1:6" ht="14.25" customHeight="1" x14ac:dyDescent="0.3">
      <c r="A655" s="7"/>
      <c r="B655" s="7"/>
      <c r="C655" s="7"/>
      <c r="D655" s="7"/>
      <c r="E655" s="4"/>
      <c r="F655" s="4" t="str">
        <f t="shared" si="2"/>
        <v/>
      </c>
    </row>
    <row r="656" spans="1:6" ht="14.25" customHeight="1" x14ac:dyDescent="0.3">
      <c r="A656" s="7"/>
      <c r="B656" s="7"/>
      <c r="C656" s="7"/>
      <c r="D656" s="7"/>
      <c r="E656" s="4"/>
      <c r="F656" s="4" t="str">
        <f t="shared" si="2"/>
        <v/>
      </c>
    </row>
    <row r="657" spans="1:6" ht="14.25" customHeight="1" x14ac:dyDescent="0.3">
      <c r="A657" s="7"/>
      <c r="B657" s="7"/>
      <c r="C657" s="7"/>
      <c r="D657" s="7"/>
      <c r="E657" s="4"/>
      <c r="F657" s="4" t="str">
        <f t="shared" si="2"/>
        <v/>
      </c>
    </row>
    <row r="658" spans="1:6" ht="14.25" customHeight="1" x14ac:dyDescent="0.3">
      <c r="A658" s="7"/>
      <c r="B658" s="7"/>
      <c r="C658" s="7"/>
      <c r="D658" s="7"/>
      <c r="E658" s="4"/>
      <c r="F658" s="4" t="str">
        <f t="shared" si="2"/>
        <v/>
      </c>
    </row>
    <row r="659" spans="1:6" ht="14.25" customHeight="1" x14ac:dyDescent="0.3">
      <c r="A659" s="7"/>
      <c r="B659" s="7"/>
      <c r="C659" s="7"/>
      <c r="D659" s="7"/>
      <c r="E659" s="4"/>
      <c r="F659" s="4" t="str">
        <f t="shared" si="2"/>
        <v/>
      </c>
    </row>
    <row r="660" spans="1:6" ht="14.25" customHeight="1" x14ac:dyDescent="0.3">
      <c r="A660" s="7"/>
      <c r="B660" s="7"/>
      <c r="C660" s="7"/>
      <c r="D660" s="7"/>
      <c r="E660" s="4"/>
      <c r="F660" s="4" t="str">
        <f t="shared" si="2"/>
        <v/>
      </c>
    </row>
    <row r="661" spans="1:6" ht="14.25" customHeight="1" x14ac:dyDescent="0.3">
      <c r="A661" s="7"/>
      <c r="B661" s="7"/>
      <c r="C661" s="7"/>
      <c r="D661" s="7"/>
      <c r="E661" s="4"/>
      <c r="F661" s="4" t="str">
        <f t="shared" si="2"/>
        <v/>
      </c>
    </row>
    <row r="662" spans="1:6" ht="14.25" customHeight="1" x14ac:dyDescent="0.3">
      <c r="A662" s="7"/>
      <c r="B662" s="7"/>
      <c r="C662" s="7"/>
      <c r="D662" s="7"/>
      <c r="E662" s="4"/>
      <c r="F662" s="4" t="str">
        <f t="shared" si="2"/>
        <v/>
      </c>
    </row>
    <row r="663" spans="1:6" ht="14.25" customHeight="1" x14ac:dyDescent="0.3">
      <c r="A663" s="7"/>
      <c r="B663" s="7"/>
      <c r="C663" s="7"/>
      <c r="D663" s="7"/>
      <c r="E663" s="4"/>
      <c r="F663" s="4" t="str">
        <f t="shared" si="2"/>
        <v/>
      </c>
    </row>
    <row r="664" spans="1:6" ht="14.25" customHeight="1" x14ac:dyDescent="0.3">
      <c r="A664" s="7"/>
      <c r="B664" s="7"/>
      <c r="C664" s="7"/>
      <c r="D664" s="7"/>
      <c r="E664" s="4"/>
      <c r="F664" s="4" t="str">
        <f t="shared" si="2"/>
        <v/>
      </c>
    </row>
    <row r="665" spans="1:6" ht="14.25" customHeight="1" x14ac:dyDescent="0.3">
      <c r="A665" s="7"/>
      <c r="B665" s="7"/>
      <c r="C665" s="7"/>
      <c r="D665" s="7"/>
      <c r="E665" s="4"/>
      <c r="F665" s="4" t="str">
        <f t="shared" si="2"/>
        <v/>
      </c>
    </row>
    <row r="666" spans="1:6" ht="14.25" customHeight="1" x14ac:dyDescent="0.3">
      <c r="A666" s="7"/>
      <c r="B666" s="7"/>
      <c r="C666" s="7"/>
      <c r="D666" s="7"/>
      <c r="E666" s="4"/>
      <c r="F666" s="4" t="str">
        <f t="shared" si="2"/>
        <v/>
      </c>
    </row>
    <row r="667" spans="1:6" ht="14.25" customHeight="1" x14ac:dyDescent="0.3">
      <c r="A667" s="7"/>
      <c r="B667" s="7"/>
      <c r="C667" s="7"/>
      <c r="D667" s="7"/>
      <c r="E667" s="4"/>
      <c r="F667" s="4" t="str">
        <f t="shared" si="2"/>
        <v/>
      </c>
    </row>
    <row r="668" spans="1:6" ht="14.25" customHeight="1" x14ac:dyDescent="0.3">
      <c r="A668" s="7"/>
      <c r="B668" s="7"/>
      <c r="C668" s="7"/>
      <c r="D668" s="7"/>
      <c r="E668" s="4"/>
      <c r="F668" s="4" t="str">
        <f t="shared" si="2"/>
        <v/>
      </c>
    </row>
    <row r="669" spans="1:6" ht="14.25" customHeight="1" x14ac:dyDescent="0.3">
      <c r="A669" s="7"/>
      <c r="B669" s="7"/>
      <c r="C669" s="7"/>
      <c r="D669" s="7"/>
      <c r="E669" s="4"/>
      <c r="F669" s="4" t="str">
        <f t="shared" si="2"/>
        <v/>
      </c>
    </row>
    <row r="670" spans="1:6" ht="14.25" customHeight="1" x14ac:dyDescent="0.3">
      <c r="A670" s="7"/>
      <c r="B670" s="7"/>
      <c r="C670" s="7"/>
      <c r="D670" s="7"/>
      <c r="E670" s="4"/>
      <c r="F670" s="4" t="str">
        <f t="shared" si="2"/>
        <v/>
      </c>
    </row>
    <row r="671" spans="1:6" ht="14.25" customHeight="1" x14ac:dyDescent="0.3">
      <c r="A671" s="7"/>
      <c r="B671" s="7"/>
      <c r="C671" s="7"/>
      <c r="D671" s="7"/>
      <c r="E671" s="4"/>
      <c r="F671" s="4" t="str">
        <f t="shared" si="2"/>
        <v/>
      </c>
    </row>
    <row r="672" spans="1:6" ht="14.25" customHeight="1" x14ac:dyDescent="0.3">
      <c r="A672" s="7"/>
      <c r="B672" s="7"/>
      <c r="C672" s="7"/>
      <c r="D672" s="7"/>
      <c r="E672" s="4"/>
      <c r="F672" s="4" t="str">
        <f t="shared" si="2"/>
        <v/>
      </c>
    </row>
    <row r="673" spans="1:6" ht="14.25" customHeight="1" x14ac:dyDescent="0.3">
      <c r="A673" s="7"/>
      <c r="B673" s="7"/>
      <c r="C673" s="7"/>
      <c r="D673" s="7"/>
      <c r="E673" s="4"/>
      <c r="F673" s="4" t="str">
        <f t="shared" si="2"/>
        <v/>
      </c>
    </row>
    <row r="674" spans="1:6" ht="14.25" customHeight="1" x14ac:dyDescent="0.3">
      <c r="A674" s="7"/>
      <c r="B674" s="7"/>
      <c r="C674" s="7"/>
      <c r="D674" s="7"/>
      <c r="E674" s="4"/>
      <c r="F674" s="4" t="str">
        <f t="shared" si="2"/>
        <v/>
      </c>
    </row>
    <row r="675" spans="1:6" ht="14.25" customHeight="1" x14ac:dyDescent="0.3">
      <c r="A675" s="7"/>
      <c r="B675" s="7"/>
      <c r="C675" s="7"/>
      <c r="D675" s="7"/>
      <c r="E675" s="4"/>
      <c r="F675" s="4" t="str">
        <f t="shared" si="2"/>
        <v/>
      </c>
    </row>
    <row r="676" spans="1:6" ht="14.25" customHeight="1" x14ac:dyDescent="0.3">
      <c r="A676" s="7"/>
      <c r="B676" s="7"/>
      <c r="C676" s="7"/>
      <c r="D676" s="7"/>
      <c r="E676" s="4"/>
      <c r="F676" s="4" t="str">
        <f t="shared" si="2"/>
        <v/>
      </c>
    </row>
    <row r="677" spans="1:6" ht="14.25" customHeight="1" x14ac:dyDescent="0.3">
      <c r="A677" s="7"/>
      <c r="B677" s="7"/>
      <c r="C677" s="7"/>
      <c r="D677" s="7"/>
      <c r="E677" s="4"/>
      <c r="F677" s="4" t="str">
        <f t="shared" si="2"/>
        <v/>
      </c>
    </row>
    <row r="678" spans="1:6" ht="14.25" customHeight="1" x14ac:dyDescent="0.3">
      <c r="A678" s="7"/>
      <c r="B678" s="7"/>
      <c r="C678" s="7"/>
      <c r="D678" s="7"/>
      <c r="E678" s="4"/>
      <c r="F678" s="4" t="str">
        <f t="shared" si="2"/>
        <v/>
      </c>
    </row>
    <row r="679" spans="1:6" ht="14.25" customHeight="1" x14ac:dyDescent="0.3">
      <c r="A679" s="7"/>
      <c r="B679" s="7"/>
      <c r="C679" s="7"/>
      <c r="D679" s="7"/>
      <c r="E679" s="4"/>
      <c r="F679" s="4" t="str">
        <f t="shared" si="2"/>
        <v/>
      </c>
    </row>
    <row r="680" spans="1:6" ht="14.25" customHeight="1" x14ac:dyDescent="0.3">
      <c r="A680" s="7"/>
      <c r="B680" s="7"/>
      <c r="C680" s="7"/>
      <c r="D680" s="7"/>
      <c r="E680" s="4"/>
      <c r="F680" s="4" t="str">
        <f t="shared" si="2"/>
        <v/>
      </c>
    </row>
    <row r="681" spans="1:6" ht="14.25" customHeight="1" x14ac:dyDescent="0.3">
      <c r="A681" s="7"/>
      <c r="B681" s="7"/>
      <c r="C681" s="7"/>
      <c r="D681" s="7"/>
      <c r="E681" s="4"/>
      <c r="F681" s="4" t="str">
        <f t="shared" si="2"/>
        <v/>
      </c>
    </row>
    <row r="682" spans="1:6" ht="14.25" customHeight="1" x14ac:dyDescent="0.3">
      <c r="A682" s="7"/>
      <c r="B682" s="7"/>
      <c r="C682" s="7"/>
      <c r="D682" s="7"/>
      <c r="E682" s="4"/>
      <c r="F682" s="4" t="str">
        <f t="shared" si="2"/>
        <v/>
      </c>
    </row>
    <row r="683" spans="1:6" ht="14.25" customHeight="1" x14ac:dyDescent="0.3">
      <c r="A683" s="7"/>
      <c r="B683" s="7"/>
      <c r="C683" s="7"/>
      <c r="D683" s="7"/>
      <c r="E683" s="4"/>
      <c r="F683" s="4" t="str">
        <f t="shared" si="2"/>
        <v/>
      </c>
    </row>
    <row r="684" spans="1:6" ht="14.25" customHeight="1" x14ac:dyDescent="0.3">
      <c r="A684" s="7"/>
      <c r="B684" s="7"/>
      <c r="C684" s="7"/>
      <c r="D684" s="7"/>
      <c r="E684" s="4"/>
      <c r="F684" s="4" t="str">
        <f t="shared" si="2"/>
        <v/>
      </c>
    </row>
    <row r="685" spans="1:6" ht="14.25" customHeight="1" x14ac:dyDescent="0.3">
      <c r="A685" s="7"/>
      <c r="B685" s="7"/>
      <c r="C685" s="7"/>
      <c r="D685" s="7"/>
      <c r="E685" s="4"/>
      <c r="F685" s="4" t="str">
        <f t="shared" si="2"/>
        <v/>
      </c>
    </row>
    <row r="686" spans="1:6" ht="14.25" customHeight="1" x14ac:dyDescent="0.3">
      <c r="A686" s="7"/>
      <c r="B686" s="7"/>
      <c r="C686" s="7"/>
      <c r="D686" s="7"/>
      <c r="E686" s="4"/>
      <c r="F686" s="4" t="str">
        <f t="shared" si="2"/>
        <v/>
      </c>
    </row>
    <row r="687" spans="1:6" ht="14.25" customHeight="1" x14ac:dyDescent="0.3">
      <c r="A687" s="7"/>
      <c r="B687" s="7"/>
      <c r="C687" s="7"/>
      <c r="D687" s="7"/>
      <c r="E687" s="4"/>
      <c r="F687" s="4" t="str">
        <f t="shared" si="2"/>
        <v/>
      </c>
    </row>
    <row r="688" spans="1:6" ht="14.25" customHeight="1" x14ac:dyDescent="0.3">
      <c r="A688" s="7"/>
      <c r="B688" s="7"/>
      <c r="C688" s="7"/>
      <c r="D688" s="7"/>
      <c r="E688" s="4"/>
      <c r="F688" s="4" t="str">
        <f t="shared" si="2"/>
        <v/>
      </c>
    </row>
    <row r="689" spans="1:6" ht="14.25" customHeight="1" x14ac:dyDescent="0.3">
      <c r="A689" s="7"/>
      <c r="B689" s="7"/>
      <c r="C689" s="7"/>
      <c r="D689" s="7"/>
      <c r="E689" s="4"/>
      <c r="F689" s="4" t="str">
        <f t="shared" si="2"/>
        <v/>
      </c>
    </row>
    <row r="690" spans="1:6" ht="14.25" customHeight="1" x14ac:dyDescent="0.3">
      <c r="A690" s="7"/>
      <c r="B690" s="7"/>
      <c r="C690" s="7"/>
      <c r="D690" s="7"/>
      <c r="E690" s="4"/>
      <c r="F690" s="4" t="str">
        <f t="shared" si="2"/>
        <v/>
      </c>
    </row>
    <row r="691" spans="1:6" ht="14.25" customHeight="1" x14ac:dyDescent="0.3">
      <c r="A691" s="7"/>
      <c r="B691" s="7"/>
      <c r="C691" s="7"/>
      <c r="D691" s="7"/>
      <c r="E691" s="4"/>
      <c r="F691" s="4" t="str">
        <f t="shared" si="2"/>
        <v/>
      </c>
    </row>
    <row r="692" spans="1:6" ht="14.25" customHeight="1" x14ac:dyDescent="0.3">
      <c r="A692" s="7"/>
      <c r="B692" s="7"/>
      <c r="C692" s="7"/>
      <c r="D692" s="7"/>
      <c r="E692" s="4"/>
      <c r="F692" s="4" t="str">
        <f t="shared" si="2"/>
        <v/>
      </c>
    </row>
    <row r="693" spans="1:6" ht="14.25" customHeight="1" x14ac:dyDescent="0.3">
      <c r="A693" s="7"/>
      <c r="B693" s="7"/>
      <c r="C693" s="7"/>
      <c r="D693" s="7"/>
      <c r="E693" s="4"/>
      <c r="F693" s="4" t="str">
        <f t="shared" si="2"/>
        <v/>
      </c>
    </row>
    <row r="694" spans="1:6" ht="14.25" customHeight="1" x14ac:dyDescent="0.3">
      <c r="A694" s="7"/>
      <c r="B694" s="7"/>
      <c r="C694" s="7"/>
      <c r="D694" s="7"/>
      <c r="E694" s="4"/>
      <c r="F694" s="4" t="str">
        <f t="shared" si="2"/>
        <v/>
      </c>
    </row>
    <row r="695" spans="1:6" ht="14.25" customHeight="1" x14ac:dyDescent="0.3">
      <c r="A695" s="7"/>
      <c r="B695" s="7"/>
      <c r="C695" s="7"/>
      <c r="D695" s="7"/>
      <c r="E695" s="4"/>
      <c r="F695" s="4" t="str">
        <f t="shared" si="2"/>
        <v/>
      </c>
    </row>
    <row r="696" spans="1:6" ht="14.25" customHeight="1" x14ac:dyDescent="0.3">
      <c r="A696" s="7"/>
      <c r="B696" s="7"/>
      <c r="C696" s="7"/>
      <c r="D696" s="7"/>
      <c r="E696" s="4"/>
      <c r="F696" s="4" t="str">
        <f t="shared" si="2"/>
        <v/>
      </c>
    </row>
    <row r="697" spans="1:6" ht="14.25" customHeight="1" x14ac:dyDescent="0.3">
      <c r="A697" s="7"/>
      <c r="B697" s="7"/>
      <c r="C697" s="7"/>
      <c r="D697" s="7"/>
      <c r="E697" s="4"/>
      <c r="F697" s="4" t="str">
        <f t="shared" si="2"/>
        <v/>
      </c>
    </row>
    <row r="698" spans="1:6" ht="14.25" customHeight="1" x14ac:dyDescent="0.3">
      <c r="A698" s="7"/>
      <c r="B698" s="7"/>
      <c r="C698" s="7"/>
      <c r="D698" s="7"/>
      <c r="E698" s="4"/>
      <c r="F698" s="4" t="str">
        <f t="shared" si="2"/>
        <v/>
      </c>
    </row>
    <row r="699" spans="1:6" ht="14.25" customHeight="1" x14ac:dyDescent="0.3">
      <c r="A699" s="7"/>
      <c r="B699" s="7"/>
      <c r="C699" s="7"/>
      <c r="D699" s="7"/>
      <c r="E699" s="4"/>
      <c r="F699" s="4" t="str">
        <f t="shared" si="2"/>
        <v/>
      </c>
    </row>
    <row r="700" spans="1:6" ht="14.25" customHeight="1" x14ac:dyDescent="0.3">
      <c r="A700" s="7"/>
      <c r="B700" s="7"/>
      <c r="C700" s="7"/>
      <c r="D700" s="7"/>
      <c r="E700" s="4"/>
      <c r="F700" s="4" t="str">
        <f t="shared" si="2"/>
        <v/>
      </c>
    </row>
    <row r="701" spans="1:6" ht="14.25" customHeight="1" x14ac:dyDescent="0.3">
      <c r="A701" s="7"/>
      <c r="B701" s="7"/>
      <c r="C701" s="7"/>
      <c r="D701" s="7"/>
      <c r="E701" s="4"/>
      <c r="F701" s="4" t="str">
        <f t="shared" si="2"/>
        <v/>
      </c>
    </row>
    <row r="702" spans="1:6" ht="14.25" customHeight="1" x14ac:dyDescent="0.3">
      <c r="A702" s="7"/>
      <c r="B702" s="7"/>
      <c r="C702" s="7"/>
      <c r="D702" s="7"/>
      <c r="E702" s="4"/>
      <c r="F702" s="4" t="str">
        <f t="shared" si="2"/>
        <v/>
      </c>
    </row>
    <row r="703" spans="1:6" ht="14.25" customHeight="1" x14ac:dyDescent="0.3">
      <c r="A703" s="7"/>
      <c r="B703" s="7"/>
      <c r="C703" s="7"/>
      <c r="D703" s="7"/>
      <c r="E703" s="4"/>
      <c r="F703" s="4" t="str">
        <f t="shared" si="2"/>
        <v/>
      </c>
    </row>
    <row r="704" spans="1:6" ht="14.25" customHeight="1" x14ac:dyDescent="0.3">
      <c r="A704" s="7"/>
      <c r="B704" s="7"/>
      <c r="C704" s="7"/>
      <c r="D704" s="7"/>
      <c r="E704" s="4"/>
      <c r="F704" s="4" t="str">
        <f t="shared" si="2"/>
        <v/>
      </c>
    </row>
    <row r="705" spans="1:6" ht="14.25" customHeight="1" x14ac:dyDescent="0.3">
      <c r="A705" s="7"/>
      <c r="B705" s="7"/>
      <c r="C705" s="7"/>
      <c r="D705" s="7"/>
      <c r="E705" s="4"/>
      <c r="F705" s="4" t="str">
        <f t="shared" si="2"/>
        <v/>
      </c>
    </row>
    <row r="706" spans="1:6" ht="14.25" customHeight="1" x14ac:dyDescent="0.3">
      <c r="A706" s="7"/>
      <c r="B706" s="7"/>
      <c r="C706" s="7"/>
      <c r="D706" s="7"/>
      <c r="E706" s="4"/>
      <c r="F706" s="4" t="str">
        <f t="shared" si="2"/>
        <v/>
      </c>
    </row>
    <row r="707" spans="1:6" ht="14.25" customHeight="1" x14ac:dyDescent="0.3">
      <c r="A707" s="7"/>
      <c r="B707" s="7"/>
      <c r="C707" s="7"/>
      <c r="D707" s="7"/>
      <c r="E707" s="4"/>
      <c r="F707" s="4" t="str">
        <f t="shared" si="2"/>
        <v/>
      </c>
    </row>
    <row r="708" spans="1:6" ht="14.25" customHeight="1" x14ac:dyDescent="0.3">
      <c r="A708" s="7"/>
      <c r="B708" s="7"/>
      <c r="C708" s="7"/>
      <c r="D708" s="7"/>
      <c r="E708" s="4"/>
      <c r="F708" s="4" t="str">
        <f t="shared" si="2"/>
        <v/>
      </c>
    </row>
    <row r="709" spans="1:6" ht="14.25" customHeight="1" x14ac:dyDescent="0.3">
      <c r="A709" s="7"/>
      <c r="B709" s="7"/>
      <c r="C709" s="7"/>
      <c r="D709" s="7"/>
      <c r="E709" s="4"/>
      <c r="F709" s="4" t="str">
        <f t="shared" si="2"/>
        <v/>
      </c>
    </row>
    <row r="710" spans="1:6" ht="14.25" customHeight="1" x14ac:dyDescent="0.3">
      <c r="A710" s="7"/>
      <c r="B710" s="7"/>
      <c r="C710" s="7"/>
      <c r="D710" s="7"/>
      <c r="E710" s="4"/>
      <c r="F710" s="4" t="str">
        <f t="shared" si="2"/>
        <v/>
      </c>
    </row>
    <row r="711" spans="1:6" ht="14.25" customHeight="1" x14ac:dyDescent="0.3">
      <c r="A711" s="7"/>
      <c r="B711" s="7"/>
      <c r="C711" s="7"/>
      <c r="D711" s="7"/>
      <c r="E711" s="4"/>
      <c r="F711" s="4" t="str">
        <f t="shared" si="2"/>
        <v/>
      </c>
    </row>
    <row r="712" spans="1:6" ht="14.25" customHeight="1" x14ac:dyDescent="0.3">
      <c r="A712" s="7"/>
      <c r="B712" s="7"/>
      <c r="C712" s="7"/>
      <c r="D712" s="7"/>
      <c r="E712" s="4"/>
      <c r="F712" s="4" t="str">
        <f t="shared" si="2"/>
        <v/>
      </c>
    </row>
    <row r="713" spans="1:6" ht="14.25" customHeight="1" x14ac:dyDescent="0.3">
      <c r="A713" s="7"/>
      <c r="B713" s="7"/>
      <c r="C713" s="7"/>
      <c r="D713" s="7"/>
      <c r="E713" s="4"/>
      <c r="F713" s="4" t="str">
        <f t="shared" si="2"/>
        <v/>
      </c>
    </row>
    <row r="714" spans="1:6" ht="14.25" customHeight="1" x14ac:dyDescent="0.3">
      <c r="A714" s="7"/>
      <c r="B714" s="7"/>
      <c r="C714" s="7"/>
      <c r="D714" s="7"/>
      <c r="E714" s="4"/>
      <c r="F714" s="4" t="str">
        <f t="shared" si="2"/>
        <v/>
      </c>
    </row>
    <row r="715" spans="1:6" ht="14.25" customHeight="1" x14ac:dyDescent="0.3">
      <c r="A715" s="7"/>
      <c r="B715" s="7"/>
      <c r="C715" s="7"/>
      <c r="D715" s="7"/>
      <c r="E715" s="4"/>
      <c r="F715" s="4" t="str">
        <f t="shared" si="2"/>
        <v/>
      </c>
    </row>
    <row r="716" spans="1:6" ht="14.25" customHeight="1" x14ac:dyDescent="0.3">
      <c r="A716" s="7"/>
      <c r="B716" s="7"/>
      <c r="C716" s="7"/>
      <c r="D716" s="7"/>
      <c r="E716" s="4"/>
      <c r="F716" s="4" t="str">
        <f t="shared" si="2"/>
        <v/>
      </c>
    </row>
    <row r="717" spans="1:6" ht="14.25" customHeight="1" x14ac:dyDescent="0.3">
      <c r="A717" s="7"/>
      <c r="B717" s="7"/>
      <c r="C717" s="7"/>
      <c r="D717" s="7"/>
      <c r="E717" s="4"/>
      <c r="F717" s="4" t="str">
        <f t="shared" si="2"/>
        <v/>
      </c>
    </row>
    <row r="718" spans="1:6" ht="14.25" customHeight="1" x14ac:dyDescent="0.3">
      <c r="A718" s="7"/>
      <c r="B718" s="7"/>
      <c r="C718" s="7"/>
      <c r="D718" s="7"/>
      <c r="E718" s="4"/>
      <c r="F718" s="4" t="str">
        <f t="shared" si="2"/>
        <v/>
      </c>
    </row>
    <row r="719" spans="1:6" ht="14.25" customHeight="1" x14ac:dyDescent="0.3">
      <c r="A719" s="7"/>
      <c r="B719" s="7"/>
      <c r="C719" s="7"/>
      <c r="D719" s="7"/>
      <c r="E719" s="4"/>
      <c r="F719" s="4" t="str">
        <f t="shared" si="2"/>
        <v/>
      </c>
    </row>
    <row r="720" spans="1:6" ht="14.25" customHeight="1" x14ac:dyDescent="0.3">
      <c r="A720" s="7"/>
      <c r="B720" s="7"/>
      <c r="C720" s="7"/>
      <c r="D720" s="7"/>
      <c r="E720" s="4"/>
      <c r="F720" s="4" t="str">
        <f t="shared" si="2"/>
        <v/>
      </c>
    </row>
    <row r="721" spans="1:6" ht="14.25" customHeight="1" x14ac:dyDescent="0.3">
      <c r="A721" s="7"/>
      <c r="B721" s="7"/>
      <c r="C721" s="7"/>
      <c r="D721" s="7"/>
      <c r="E721" s="4"/>
      <c r="F721" s="4" t="str">
        <f t="shared" si="2"/>
        <v/>
      </c>
    </row>
    <row r="722" spans="1:6" ht="14.25" customHeight="1" x14ac:dyDescent="0.3">
      <c r="A722" s="7"/>
      <c r="B722" s="7"/>
      <c r="C722" s="7"/>
      <c r="D722" s="7"/>
      <c r="E722" s="4"/>
      <c r="F722" s="4" t="str">
        <f t="shared" si="2"/>
        <v/>
      </c>
    </row>
    <row r="723" spans="1:6" ht="14.25" customHeight="1" x14ac:dyDescent="0.3">
      <c r="A723" s="7"/>
      <c r="B723" s="7"/>
      <c r="C723" s="7"/>
      <c r="D723" s="7"/>
      <c r="E723" s="4"/>
      <c r="F723" s="4" t="str">
        <f t="shared" si="2"/>
        <v/>
      </c>
    </row>
    <row r="724" spans="1:6" ht="14.25" customHeight="1" x14ac:dyDescent="0.3">
      <c r="A724" s="7"/>
      <c r="B724" s="7"/>
      <c r="C724" s="7"/>
      <c r="D724" s="7"/>
      <c r="E724" s="4"/>
      <c r="F724" s="4" t="str">
        <f t="shared" si="2"/>
        <v/>
      </c>
    </row>
    <row r="725" spans="1:6" ht="14.25" customHeight="1" x14ac:dyDescent="0.3">
      <c r="A725" s="7"/>
      <c r="B725" s="7"/>
      <c r="C725" s="7"/>
      <c r="D725" s="7"/>
      <c r="E725" s="4"/>
      <c r="F725" s="4" t="str">
        <f t="shared" si="2"/>
        <v/>
      </c>
    </row>
    <row r="726" spans="1:6" ht="14.25" customHeight="1" x14ac:dyDescent="0.3">
      <c r="A726" s="7"/>
      <c r="B726" s="7"/>
      <c r="C726" s="7"/>
      <c r="D726" s="7"/>
      <c r="E726" s="4"/>
      <c r="F726" s="4" t="str">
        <f t="shared" si="2"/>
        <v/>
      </c>
    </row>
    <row r="727" spans="1:6" ht="14.25" customHeight="1" x14ac:dyDescent="0.3">
      <c r="A727" s="7"/>
      <c r="B727" s="7"/>
      <c r="C727" s="7"/>
      <c r="D727" s="7"/>
      <c r="E727" s="4"/>
      <c r="F727" s="4" t="str">
        <f t="shared" si="2"/>
        <v/>
      </c>
    </row>
    <row r="728" spans="1:6" ht="14.25" customHeight="1" x14ac:dyDescent="0.3">
      <c r="A728" s="7"/>
      <c r="B728" s="7"/>
      <c r="C728" s="7"/>
      <c r="D728" s="7"/>
      <c r="E728" s="4"/>
      <c r="F728" s="4" t="str">
        <f t="shared" si="2"/>
        <v/>
      </c>
    </row>
    <row r="729" spans="1:6" ht="14.25" customHeight="1" x14ac:dyDescent="0.3">
      <c r="A729" s="7"/>
      <c r="B729" s="7"/>
      <c r="C729" s="7"/>
      <c r="D729" s="7"/>
      <c r="E729" s="4"/>
      <c r="F729" s="4" t="str">
        <f t="shared" si="2"/>
        <v/>
      </c>
    </row>
    <row r="730" spans="1:6" ht="14.25" customHeight="1" x14ac:dyDescent="0.3">
      <c r="A730" s="7"/>
      <c r="B730" s="7"/>
      <c r="C730" s="7"/>
      <c r="D730" s="7"/>
      <c r="E730" s="4"/>
      <c r="F730" s="4" t="str">
        <f t="shared" si="2"/>
        <v/>
      </c>
    </row>
    <row r="731" spans="1:6" ht="14.25" customHeight="1" x14ac:dyDescent="0.3">
      <c r="A731" s="7"/>
      <c r="B731" s="7"/>
      <c r="C731" s="7"/>
      <c r="D731" s="7"/>
      <c r="E731" s="4"/>
      <c r="F731" s="4" t="str">
        <f t="shared" si="2"/>
        <v/>
      </c>
    </row>
    <row r="732" spans="1:6" ht="14.25" customHeight="1" x14ac:dyDescent="0.3">
      <c r="A732" s="7"/>
      <c r="B732" s="7"/>
      <c r="C732" s="7"/>
      <c r="D732" s="7"/>
      <c r="E732" s="4"/>
      <c r="F732" s="4" t="str">
        <f t="shared" si="2"/>
        <v/>
      </c>
    </row>
    <row r="733" spans="1:6" ht="14.25" customHeight="1" x14ac:dyDescent="0.3">
      <c r="A733" s="7"/>
      <c r="B733" s="7"/>
      <c r="C733" s="7"/>
      <c r="D733" s="7"/>
      <c r="E733" s="4"/>
      <c r="F733" s="4" t="str">
        <f t="shared" si="2"/>
        <v/>
      </c>
    </row>
    <row r="734" spans="1:6" ht="14.25" customHeight="1" x14ac:dyDescent="0.3">
      <c r="A734" s="7"/>
      <c r="B734" s="7"/>
      <c r="C734" s="7"/>
      <c r="D734" s="7"/>
      <c r="E734" s="4"/>
      <c r="F734" s="4" t="str">
        <f t="shared" si="2"/>
        <v/>
      </c>
    </row>
    <row r="735" spans="1:6" ht="14.25" customHeight="1" x14ac:dyDescent="0.3">
      <c r="A735" s="7"/>
      <c r="B735" s="7"/>
      <c r="C735" s="7"/>
      <c r="D735" s="7"/>
      <c r="E735" s="4"/>
      <c r="F735" s="4" t="str">
        <f t="shared" si="2"/>
        <v/>
      </c>
    </row>
    <row r="736" spans="1:6" ht="14.25" customHeight="1" x14ac:dyDescent="0.3">
      <c r="A736" s="7"/>
      <c r="B736" s="7"/>
      <c r="C736" s="7"/>
      <c r="D736" s="7"/>
      <c r="E736" s="4"/>
      <c r="F736" s="4" t="str">
        <f t="shared" si="2"/>
        <v/>
      </c>
    </row>
    <row r="737" spans="1:6" ht="14.25" customHeight="1" x14ac:dyDescent="0.3">
      <c r="A737" s="7"/>
      <c r="B737" s="7"/>
      <c r="C737" s="7"/>
      <c r="D737" s="7"/>
      <c r="E737" s="4"/>
      <c r="F737" s="4" t="str">
        <f t="shared" si="2"/>
        <v/>
      </c>
    </row>
    <row r="738" spans="1:6" ht="14.25" customHeight="1" x14ac:dyDescent="0.3">
      <c r="A738" s="7"/>
      <c r="B738" s="7"/>
      <c r="C738" s="7"/>
      <c r="D738" s="7"/>
      <c r="E738" s="4"/>
      <c r="F738" s="4" t="str">
        <f t="shared" si="2"/>
        <v/>
      </c>
    </row>
    <row r="739" spans="1:6" ht="14.25" customHeight="1" x14ac:dyDescent="0.3">
      <c r="A739" s="7"/>
      <c r="B739" s="7"/>
      <c r="C739" s="7"/>
      <c r="D739" s="7"/>
      <c r="E739" s="4"/>
      <c r="F739" s="4" t="str">
        <f t="shared" si="2"/>
        <v/>
      </c>
    </row>
    <row r="740" spans="1:6" ht="14.25" customHeight="1" x14ac:dyDescent="0.3">
      <c r="A740" s="7"/>
      <c r="B740" s="7"/>
      <c r="C740" s="7"/>
      <c r="D740" s="7"/>
      <c r="E740" s="4"/>
      <c r="F740" s="4" t="str">
        <f t="shared" si="2"/>
        <v/>
      </c>
    </row>
    <row r="741" spans="1:6" ht="14.25" customHeight="1" x14ac:dyDescent="0.3">
      <c r="A741" s="7"/>
      <c r="B741" s="7"/>
      <c r="C741" s="7"/>
      <c r="D741" s="7"/>
      <c r="E741" s="4"/>
      <c r="F741" s="4" t="str">
        <f t="shared" si="2"/>
        <v/>
      </c>
    </row>
    <row r="742" spans="1:6" ht="14.25" customHeight="1" x14ac:dyDescent="0.3">
      <c r="A742" s="7"/>
      <c r="B742" s="7"/>
      <c r="C742" s="7"/>
      <c r="D742" s="7"/>
      <c r="E742" s="4"/>
      <c r="F742" s="4" t="str">
        <f t="shared" si="2"/>
        <v/>
      </c>
    </row>
    <row r="743" spans="1:6" ht="14.25" customHeight="1" x14ac:dyDescent="0.3">
      <c r="A743" s="7"/>
      <c r="B743" s="7"/>
      <c r="C743" s="7"/>
      <c r="D743" s="7"/>
      <c r="E743" s="4"/>
      <c r="F743" s="4" t="str">
        <f t="shared" si="2"/>
        <v/>
      </c>
    </row>
    <row r="744" spans="1:6" ht="14.25" customHeight="1" x14ac:dyDescent="0.3">
      <c r="A744" s="7"/>
      <c r="B744" s="7"/>
      <c r="C744" s="7"/>
      <c r="D744" s="7"/>
      <c r="E744" s="4"/>
      <c r="F744" s="4" t="str">
        <f t="shared" si="2"/>
        <v/>
      </c>
    </row>
    <row r="745" spans="1:6" ht="14.25" customHeight="1" x14ac:dyDescent="0.3">
      <c r="A745" s="7"/>
      <c r="B745" s="7"/>
      <c r="C745" s="7"/>
      <c r="D745" s="7"/>
      <c r="E745" s="4"/>
      <c r="F745" s="4" t="str">
        <f t="shared" si="2"/>
        <v/>
      </c>
    </row>
    <row r="746" spans="1:6" ht="14.25" customHeight="1" x14ac:dyDescent="0.3">
      <c r="A746" s="7"/>
      <c r="B746" s="7"/>
      <c r="C746" s="7"/>
      <c r="D746" s="7"/>
      <c r="E746" s="4"/>
      <c r="F746" s="4" t="str">
        <f t="shared" si="2"/>
        <v/>
      </c>
    </row>
    <row r="747" spans="1:6" ht="14.25" customHeight="1" x14ac:dyDescent="0.3">
      <c r="A747" s="7"/>
      <c r="B747" s="7"/>
      <c r="C747" s="7"/>
      <c r="D747" s="7"/>
      <c r="E747" s="4"/>
      <c r="F747" s="4" t="str">
        <f t="shared" si="2"/>
        <v/>
      </c>
    </row>
    <row r="748" spans="1:6" ht="14.25" customHeight="1" x14ac:dyDescent="0.3">
      <c r="A748" s="7"/>
      <c r="B748" s="7"/>
      <c r="C748" s="7"/>
      <c r="D748" s="7"/>
      <c r="E748" s="4"/>
      <c r="F748" s="4" t="str">
        <f t="shared" si="2"/>
        <v/>
      </c>
    </row>
    <row r="749" spans="1:6" ht="14.25" customHeight="1" x14ac:dyDescent="0.3">
      <c r="A749" s="7"/>
      <c r="B749" s="7"/>
      <c r="C749" s="7"/>
      <c r="D749" s="7"/>
      <c r="E749" s="4"/>
      <c r="F749" s="4" t="str">
        <f t="shared" si="2"/>
        <v/>
      </c>
    </row>
    <row r="750" spans="1:6" ht="14.25" customHeight="1" x14ac:dyDescent="0.3">
      <c r="A750" s="7"/>
      <c r="B750" s="7"/>
      <c r="C750" s="7"/>
      <c r="D750" s="7"/>
      <c r="E750" s="4"/>
      <c r="F750" s="4" t="str">
        <f t="shared" si="2"/>
        <v/>
      </c>
    </row>
    <row r="751" spans="1:6" ht="14.25" customHeight="1" x14ac:dyDescent="0.3">
      <c r="A751" s="7"/>
      <c r="B751" s="7"/>
      <c r="C751" s="7"/>
      <c r="D751" s="7"/>
      <c r="E751" s="4"/>
      <c r="F751" s="4" t="str">
        <f t="shared" si="2"/>
        <v/>
      </c>
    </row>
    <row r="752" spans="1:6" ht="14.25" customHeight="1" x14ac:dyDescent="0.3">
      <c r="A752" s="7"/>
      <c r="B752" s="7"/>
      <c r="C752" s="7"/>
      <c r="D752" s="7"/>
      <c r="E752" s="4"/>
      <c r="F752" s="4" t="str">
        <f t="shared" si="2"/>
        <v/>
      </c>
    </row>
    <row r="753" spans="1:6" ht="14.25" customHeight="1" x14ac:dyDescent="0.3">
      <c r="A753" s="7"/>
      <c r="B753" s="7"/>
      <c r="C753" s="7"/>
      <c r="D753" s="7"/>
      <c r="E753" s="4"/>
      <c r="F753" s="4" t="str">
        <f t="shared" si="2"/>
        <v/>
      </c>
    </row>
    <row r="754" spans="1:6" ht="14.25" customHeight="1" x14ac:dyDescent="0.3">
      <c r="A754" s="7"/>
      <c r="B754" s="7"/>
      <c r="C754" s="7"/>
      <c r="D754" s="7"/>
      <c r="E754" s="4"/>
      <c r="F754" s="4" t="str">
        <f t="shared" si="2"/>
        <v/>
      </c>
    </row>
    <row r="755" spans="1:6" ht="14.25" customHeight="1" x14ac:dyDescent="0.3">
      <c r="A755" s="7"/>
      <c r="B755" s="7"/>
      <c r="C755" s="7"/>
      <c r="D755" s="7"/>
      <c r="E755" s="4"/>
      <c r="F755" s="4" t="str">
        <f t="shared" si="2"/>
        <v/>
      </c>
    </row>
    <row r="756" spans="1:6" ht="14.25" customHeight="1" x14ac:dyDescent="0.3">
      <c r="A756" s="7"/>
      <c r="B756" s="7"/>
      <c r="C756" s="7"/>
      <c r="D756" s="7"/>
      <c r="E756" s="4"/>
      <c r="F756" s="4" t="str">
        <f t="shared" si="2"/>
        <v/>
      </c>
    </row>
    <row r="757" spans="1:6" ht="14.25" customHeight="1" x14ac:dyDescent="0.3">
      <c r="A757" s="7"/>
      <c r="B757" s="7"/>
      <c r="C757" s="7"/>
      <c r="D757" s="7"/>
      <c r="E757" s="4"/>
      <c r="F757" s="4" t="str">
        <f t="shared" si="2"/>
        <v/>
      </c>
    </row>
    <row r="758" spans="1:6" ht="14.25" customHeight="1" x14ac:dyDescent="0.3">
      <c r="A758" s="7"/>
      <c r="B758" s="7"/>
      <c r="C758" s="7"/>
      <c r="D758" s="7"/>
      <c r="E758" s="4"/>
      <c r="F758" s="4" t="str">
        <f t="shared" si="2"/>
        <v/>
      </c>
    </row>
    <row r="759" spans="1:6" ht="14.25" customHeight="1" x14ac:dyDescent="0.3">
      <c r="A759" s="7"/>
      <c r="B759" s="7"/>
      <c r="C759" s="7"/>
      <c r="D759" s="7"/>
      <c r="E759" s="4"/>
      <c r="F759" s="4" t="str">
        <f t="shared" si="2"/>
        <v/>
      </c>
    </row>
    <row r="760" spans="1:6" ht="14.25" customHeight="1" x14ac:dyDescent="0.3">
      <c r="A760" s="7"/>
      <c r="B760" s="7"/>
      <c r="C760" s="7"/>
      <c r="D760" s="7"/>
      <c r="E760" s="4"/>
      <c r="F760" s="4" t="str">
        <f t="shared" si="2"/>
        <v/>
      </c>
    </row>
    <row r="761" spans="1:6" ht="14.25" customHeight="1" x14ac:dyDescent="0.3">
      <c r="A761" s="7"/>
      <c r="B761" s="7"/>
      <c r="C761" s="7"/>
      <c r="D761" s="7"/>
      <c r="E761" s="4"/>
      <c r="F761" s="4" t="str">
        <f t="shared" si="2"/>
        <v/>
      </c>
    </row>
    <row r="762" spans="1:6" ht="14.25" customHeight="1" x14ac:dyDescent="0.3">
      <c r="A762" s="7"/>
      <c r="B762" s="7"/>
      <c r="C762" s="7"/>
      <c r="D762" s="7"/>
      <c r="E762" s="4"/>
      <c r="F762" s="4" t="str">
        <f t="shared" si="2"/>
        <v/>
      </c>
    </row>
    <row r="763" spans="1:6" ht="14.25" customHeight="1" x14ac:dyDescent="0.3">
      <c r="A763" s="7"/>
      <c r="B763" s="7"/>
      <c r="C763" s="7"/>
      <c r="D763" s="7"/>
      <c r="E763" s="4"/>
      <c r="F763" s="4" t="str">
        <f t="shared" si="2"/>
        <v/>
      </c>
    </row>
    <row r="764" spans="1:6" ht="14.25" customHeight="1" x14ac:dyDescent="0.3">
      <c r="A764" s="7"/>
      <c r="B764" s="7"/>
      <c r="C764" s="7"/>
      <c r="D764" s="7"/>
      <c r="E764" s="4"/>
      <c r="F764" s="4" t="str">
        <f t="shared" si="2"/>
        <v/>
      </c>
    </row>
    <row r="765" spans="1:6" ht="14.25" customHeight="1" x14ac:dyDescent="0.3">
      <c r="A765" s="7"/>
      <c r="B765" s="7"/>
      <c r="C765" s="7"/>
      <c r="D765" s="7"/>
      <c r="E765" s="4"/>
      <c r="F765" s="4" t="str">
        <f t="shared" si="2"/>
        <v/>
      </c>
    </row>
    <row r="766" spans="1:6" ht="14.25" customHeight="1" x14ac:dyDescent="0.3">
      <c r="A766" s="7"/>
      <c r="B766" s="7"/>
      <c r="C766" s="7"/>
      <c r="D766" s="7"/>
      <c r="E766" s="4"/>
      <c r="F766" s="4" t="str">
        <f t="shared" si="2"/>
        <v/>
      </c>
    </row>
    <row r="767" spans="1:6" ht="14.25" customHeight="1" x14ac:dyDescent="0.3">
      <c r="A767" s="7"/>
      <c r="B767" s="7"/>
      <c r="C767" s="7"/>
      <c r="D767" s="7"/>
      <c r="E767" s="4"/>
      <c r="F767" s="4" t="str">
        <f t="shared" si="2"/>
        <v/>
      </c>
    </row>
    <row r="768" spans="1:6" ht="14.25" customHeight="1" x14ac:dyDescent="0.3">
      <c r="A768" s="7"/>
      <c r="B768" s="7"/>
      <c r="C768" s="7"/>
      <c r="D768" s="7"/>
      <c r="E768" s="4"/>
      <c r="F768" s="4" t="str">
        <f t="shared" ref="F768:F1001" si="3">IF(D768-C768=0,"",D768-C768)</f>
        <v/>
      </c>
    </row>
    <row r="769" spans="1:6" ht="14.25" customHeight="1" x14ac:dyDescent="0.3">
      <c r="A769" s="7"/>
      <c r="B769" s="7"/>
      <c r="C769" s="7"/>
      <c r="D769" s="7"/>
      <c r="E769" s="4"/>
      <c r="F769" s="4" t="str">
        <f t="shared" si="3"/>
        <v/>
      </c>
    </row>
    <row r="770" spans="1:6" ht="14.25" customHeight="1" x14ac:dyDescent="0.3">
      <c r="A770" s="7"/>
      <c r="B770" s="7"/>
      <c r="C770" s="7"/>
      <c r="D770" s="7"/>
      <c r="E770" s="4"/>
      <c r="F770" s="4" t="str">
        <f t="shared" si="3"/>
        <v/>
      </c>
    </row>
    <row r="771" spans="1:6" ht="14.25" customHeight="1" x14ac:dyDescent="0.3">
      <c r="A771" s="7"/>
      <c r="B771" s="7"/>
      <c r="C771" s="7"/>
      <c r="D771" s="7"/>
      <c r="E771" s="4"/>
      <c r="F771" s="4" t="str">
        <f t="shared" si="3"/>
        <v/>
      </c>
    </row>
    <row r="772" spans="1:6" ht="14.25" customHeight="1" x14ac:dyDescent="0.3">
      <c r="A772" s="7"/>
      <c r="B772" s="7"/>
      <c r="C772" s="7"/>
      <c r="D772" s="7"/>
      <c r="E772" s="4"/>
      <c r="F772" s="4" t="str">
        <f t="shared" si="3"/>
        <v/>
      </c>
    </row>
    <row r="773" spans="1:6" ht="14.25" customHeight="1" x14ac:dyDescent="0.3">
      <c r="A773" s="7"/>
      <c r="B773" s="7"/>
      <c r="C773" s="7"/>
      <c r="D773" s="7"/>
      <c r="E773" s="4"/>
      <c r="F773" s="4" t="str">
        <f t="shared" si="3"/>
        <v/>
      </c>
    </row>
    <row r="774" spans="1:6" ht="14.25" customHeight="1" x14ac:dyDescent="0.3">
      <c r="A774" s="7"/>
      <c r="B774" s="7"/>
      <c r="C774" s="7"/>
      <c r="D774" s="7"/>
      <c r="E774" s="4"/>
      <c r="F774" s="4" t="str">
        <f t="shared" si="3"/>
        <v/>
      </c>
    </row>
    <row r="775" spans="1:6" ht="14.25" customHeight="1" x14ac:dyDescent="0.3">
      <c r="A775" s="7"/>
      <c r="B775" s="7"/>
      <c r="C775" s="7"/>
      <c r="D775" s="7"/>
      <c r="E775" s="4"/>
      <c r="F775" s="4" t="str">
        <f t="shared" si="3"/>
        <v/>
      </c>
    </row>
    <row r="776" spans="1:6" ht="14.25" customHeight="1" x14ac:dyDescent="0.3">
      <c r="A776" s="7"/>
      <c r="B776" s="7"/>
      <c r="C776" s="7"/>
      <c r="D776" s="7"/>
      <c r="E776" s="4"/>
      <c r="F776" s="4" t="str">
        <f t="shared" si="3"/>
        <v/>
      </c>
    </row>
    <row r="777" spans="1:6" ht="14.25" customHeight="1" x14ac:dyDescent="0.3">
      <c r="A777" s="7"/>
      <c r="B777" s="7"/>
      <c r="C777" s="7"/>
      <c r="D777" s="7"/>
      <c r="E777" s="4"/>
      <c r="F777" s="4" t="str">
        <f t="shared" si="3"/>
        <v/>
      </c>
    </row>
    <row r="778" spans="1:6" ht="14.25" customHeight="1" x14ac:dyDescent="0.3">
      <c r="A778" s="7"/>
      <c r="B778" s="7"/>
      <c r="C778" s="7"/>
      <c r="D778" s="7"/>
      <c r="E778" s="4"/>
      <c r="F778" s="4" t="str">
        <f t="shared" si="3"/>
        <v/>
      </c>
    </row>
    <row r="779" spans="1:6" ht="14.25" customHeight="1" x14ac:dyDescent="0.3">
      <c r="A779" s="7"/>
      <c r="B779" s="7"/>
      <c r="C779" s="7"/>
      <c r="D779" s="7"/>
      <c r="E779" s="4"/>
      <c r="F779" s="4" t="str">
        <f t="shared" si="3"/>
        <v/>
      </c>
    </row>
    <row r="780" spans="1:6" ht="14.25" customHeight="1" x14ac:dyDescent="0.3">
      <c r="A780" s="7"/>
      <c r="B780" s="7"/>
      <c r="C780" s="7"/>
      <c r="D780" s="7"/>
      <c r="E780" s="4"/>
      <c r="F780" s="4" t="str">
        <f t="shared" si="3"/>
        <v/>
      </c>
    </row>
    <row r="781" spans="1:6" ht="14.25" customHeight="1" x14ac:dyDescent="0.3">
      <c r="A781" s="7"/>
      <c r="B781" s="7"/>
      <c r="C781" s="7"/>
      <c r="D781" s="7"/>
      <c r="E781" s="4"/>
      <c r="F781" s="4" t="str">
        <f t="shared" si="3"/>
        <v/>
      </c>
    </row>
    <row r="782" spans="1:6" ht="14.25" customHeight="1" x14ac:dyDescent="0.3">
      <c r="A782" s="7"/>
      <c r="B782" s="7"/>
      <c r="C782" s="7"/>
      <c r="D782" s="7"/>
      <c r="E782" s="4"/>
      <c r="F782" s="4" t="str">
        <f t="shared" si="3"/>
        <v/>
      </c>
    </row>
    <row r="783" spans="1:6" ht="14.25" customHeight="1" x14ac:dyDescent="0.3">
      <c r="A783" s="7"/>
      <c r="B783" s="7"/>
      <c r="C783" s="7"/>
      <c r="D783" s="7"/>
      <c r="E783" s="4"/>
      <c r="F783" s="4" t="str">
        <f t="shared" si="3"/>
        <v/>
      </c>
    </row>
    <row r="784" spans="1:6" ht="14.25" customHeight="1" x14ac:dyDescent="0.3">
      <c r="A784" s="7"/>
      <c r="B784" s="7"/>
      <c r="C784" s="7"/>
      <c r="D784" s="7"/>
      <c r="E784" s="4"/>
      <c r="F784" s="4" t="str">
        <f t="shared" si="3"/>
        <v/>
      </c>
    </row>
    <row r="785" spans="1:6" ht="14.25" customHeight="1" x14ac:dyDescent="0.3">
      <c r="A785" s="7"/>
      <c r="B785" s="7"/>
      <c r="C785" s="7"/>
      <c r="D785" s="7"/>
      <c r="E785" s="4"/>
      <c r="F785" s="4" t="str">
        <f t="shared" si="3"/>
        <v/>
      </c>
    </row>
    <row r="786" spans="1:6" ht="14.25" customHeight="1" x14ac:dyDescent="0.3">
      <c r="A786" s="7"/>
      <c r="B786" s="7"/>
      <c r="C786" s="7"/>
      <c r="D786" s="7"/>
      <c r="E786" s="4"/>
      <c r="F786" s="4" t="str">
        <f t="shared" si="3"/>
        <v/>
      </c>
    </row>
    <row r="787" spans="1:6" ht="14.25" customHeight="1" x14ac:dyDescent="0.3">
      <c r="A787" s="7"/>
      <c r="B787" s="7"/>
      <c r="C787" s="7"/>
      <c r="D787" s="7"/>
      <c r="E787" s="4"/>
      <c r="F787" s="4" t="str">
        <f t="shared" si="3"/>
        <v/>
      </c>
    </row>
    <row r="788" spans="1:6" ht="14.25" customHeight="1" x14ac:dyDescent="0.3">
      <c r="A788" s="7"/>
      <c r="B788" s="7"/>
      <c r="C788" s="7"/>
      <c r="D788" s="7"/>
      <c r="E788" s="4"/>
      <c r="F788" s="4" t="str">
        <f t="shared" si="3"/>
        <v/>
      </c>
    </row>
    <row r="789" spans="1:6" ht="14.25" customHeight="1" x14ac:dyDescent="0.3">
      <c r="A789" s="7"/>
      <c r="B789" s="7"/>
      <c r="C789" s="7"/>
      <c r="D789" s="7"/>
      <c r="E789" s="4"/>
      <c r="F789" s="4" t="str">
        <f t="shared" si="3"/>
        <v/>
      </c>
    </row>
    <row r="790" spans="1:6" ht="14.25" customHeight="1" x14ac:dyDescent="0.3">
      <c r="A790" s="7"/>
      <c r="B790" s="7"/>
      <c r="C790" s="7"/>
      <c r="D790" s="7"/>
      <c r="E790" s="4"/>
      <c r="F790" s="4" t="str">
        <f t="shared" si="3"/>
        <v/>
      </c>
    </row>
    <row r="791" spans="1:6" ht="14.25" customHeight="1" x14ac:dyDescent="0.3">
      <c r="A791" s="7"/>
      <c r="B791" s="7"/>
      <c r="C791" s="7"/>
      <c r="D791" s="7"/>
      <c r="E791" s="4"/>
      <c r="F791" s="4" t="str">
        <f t="shared" si="3"/>
        <v/>
      </c>
    </row>
    <row r="792" spans="1:6" ht="14.25" customHeight="1" x14ac:dyDescent="0.3">
      <c r="A792" s="7"/>
      <c r="B792" s="7"/>
      <c r="C792" s="7"/>
      <c r="D792" s="7"/>
      <c r="E792" s="4"/>
      <c r="F792" s="4" t="str">
        <f t="shared" si="3"/>
        <v/>
      </c>
    </row>
    <row r="793" spans="1:6" ht="14.25" customHeight="1" x14ac:dyDescent="0.3">
      <c r="A793" s="7"/>
      <c r="B793" s="7"/>
      <c r="C793" s="7"/>
      <c r="D793" s="7"/>
      <c r="E793" s="4"/>
      <c r="F793" s="4" t="str">
        <f t="shared" si="3"/>
        <v/>
      </c>
    </row>
    <row r="794" spans="1:6" ht="14.25" customHeight="1" x14ac:dyDescent="0.3">
      <c r="A794" s="7"/>
      <c r="B794" s="7"/>
      <c r="C794" s="7"/>
      <c r="D794" s="7"/>
      <c r="E794" s="4"/>
      <c r="F794" s="4" t="str">
        <f t="shared" si="3"/>
        <v/>
      </c>
    </row>
    <row r="795" spans="1:6" ht="14.25" customHeight="1" x14ac:dyDescent="0.3">
      <c r="A795" s="7"/>
      <c r="B795" s="7"/>
      <c r="C795" s="7"/>
      <c r="D795" s="7"/>
      <c r="E795" s="4"/>
      <c r="F795" s="4" t="str">
        <f t="shared" si="3"/>
        <v/>
      </c>
    </row>
    <row r="796" spans="1:6" ht="14.25" customHeight="1" x14ac:dyDescent="0.3">
      <c r="A796" s="7"/>
      <c r="B796" s="7"/>
      <c r="C796" s="7"/>
      <c r="D796" s="7"/>
      <c r="E796" s="4"/>
      <c r="F796" s="4" t="str">
        <f t="shared" si="3"/>
        <v/>
      </c>
    </row>
    <row r="797" spans="1:6" ht="14.25" customHeight="1" x14ac:dyDescent="0.3">
      <c r="A797" s="7"/>
      <c r="B797" s="7"/>
      <c r="C797" s="7"/>
      <c r="D797" s="7"/>
      <c r="E797" s="4"/>
      <c r="F797" s="4" t="str">
        <f t="shared" si="3"/>
        <v/>
      </c>
    </row>
    <row r="798" spans="1:6" ht="14.25" customHeight="1" x14ac:dyDescent="0.3">
      <c r="A798" s="7"/>
      <c r="B798" s="7"/>
      <c r="C798" s="7"/>
      <c r="D798" s="7"/>
      <c r="E798" s="4"/>
      <c r="F798" s="4" t="str">
        <f t="shared" si="3"/>
        <v/>
      </c>
    </row>
    <row r="799" spans="1:6" ht="14.25" customHeight="1" x14ac:dyDescent="0.3">
      <c r="A799" s="7"/>
      <c r="B799" s="7"/>
      <c r="C799" s="7"/>
      <c r="D799" s="7"/>
      <c r="E799" s="4"/>
      <c r="F799" s="4" t="str">
        <f t="shared" si="3"/>
        <v/>
      </c>
    </row>
    <row r="800" spans="1:6" ht="14.25" customHeight="1" x14ac:dyDescent="0.3">
      <c r="A800" s="7"/>
      <c r="B800" s="7"/>
      <c r="C800" s="7"/>
      <c r="D800" s="7"/>
      <c r="E800" s="4"/>
      <c r="F800" s="4" t="str">
        <f t="shared" si="3"/>
        <v/>
      </c>
    </row>
    <row r="801" spans="1:6" ht="14.25" customHeight="1" x14ac:dyDescent="0.3">
      <c r="A801" s="7"/>
      <c r="B801" s="7"/>
      <c r="C801" s="7"/>
      <c r="D801" s="7"/>
      <c r="E801" s="4"/>
      <c r="F801" s="4" t="str">
        <f t="shared" si="3"/>
        <v/>
      </c>
    </row>
    <row r="802" spans="1:6" ht="14.25" customHeight="1" x14ac:dyDescent="0.3">
      <c r="A802" s="7"/>
      <c r="B802" s="7"/>
      <c r="C802" s="7"/>
      <c r="D802" s="7"/>
      <c r="E802" s="4"/>
      <c r="F802" s="4" t="str">
        <f t="shared" si="3"/>
        <v/>
      </c>
    </row>
    <row r="803" spans="1:6" ht="14.25" customHeight="1" x14ac:dyDescent="0.3">
      <c r="A803" s="7"/>
      <c r="B803" s="7"/>
      <c r="C803" s="7"/>
      <c r="D803" s="7"/>
      <c r="E803" s="4"/>
      <c r="F803" s="4" t="str">
        <f t="shared" si="3"/>
        <v/>
      </c>
    </row>
    <row r="804" spans="1:6" ht="14.25" customHeight="1" x14ac:dyDescent="0.3">
      <c r="A804" s="7"/>
      <c r="B804" s="7"/>
      <c r="C804" s="7"/>
      <c r="D804" s="7"/>
      <c r="E804" s="4"/>
      <c r="F804" s="4" t="str">
        <f t="shared" si="3"/>
        <v/>
      </c>
    </row>
    <row r="805" spans="1:6" ht="14.25" customHeight="1" x14ac:dyDescent="0.3">
      <c r="A805" s="7"/>
      <c r="B805" s="7"/>
      <c r="C805" s="7"/>
      <c r="D805" s="7"/>
      <c r="E805" s="4"/>
      <c r="F805" s="4" t="str">
        <f t="shared" si="3"/>
        <v/>
      </c>
    </row>
    <row r="806" spans="1:6" ht="14.25" customHeight="1" x14ac:dyDescent="0.3">
      <c r="A806" s="7"/>
      <c r="B806" s="7"/>
      <c r="C806" s="7"/>
      <c r="D806" s="7"/>
      <c r="E806" s="4"/>
      <c r="F806" s="4" t="str">
        <f t="shared" si="3"/>
        <v/>
      </c>
    </row>
    <row r="807" spans="1:6" ht="14.25" customHeight="1" x14ac:dyDescent="0.3">
      <c r="A807" s="7"/>
      <c r="B807" s="7"/>
      <c r="C807" s="7"/>
      <c r="D807" s="7"/>
      <c r="E807" s="4"/>
      <c r="F807" s="4" t="str">
        <f t="shared" si="3"/>
        <v/>
      </c>
    </row>
    <row r="808" spans="1:6" ht="14.25" customHeight="1" x14ac:dyDescent="0.3">
      <c r="A808" s="7"/>
      <c r="B808" s="7"/>
      <c r="C808" s="7"/>
      <c r="D808" s="7"/>
      <c r="E808" s="4"/>
      <c r="F808" s="4" t="str">
        <f t="shared" si="3"/>
        <v/>
      </c>
    </row>
    <row r="809" spans="1:6" ht="14.25" customHeight="1" x14ac:dyDescent="0.3">
      <c r="A809" s="7"/>
      <c r="B809" s="7"/>
      <c r="C809" s="7"/>
      <c r="D809" s="7"/>
      <c r="E809" s="4"/>
      <c r="F809" s="4" t="str">
        <f t="shared" si="3"/>
        <v/>
      </c>
    </row>
    <row r="810" spans="1:6" ht="14.25" customHeight="1" x14ac:dyDescent="0.3">
      <c r="A810" s="7"/>
      <c r="B810" s="7"/>
      <c r="C810" s="7"/>
      <c r="D810" s="7"/>
      <c r="E810" s="4"/>
      <c r="F810" s="4" t="str">
        <f t="shared" si="3"/>
        <v/>
      </c>
    </row>
    <row r="811" spans="1:6" ht="14.25" customHeight="1" x14ac:dyDescent="0.3">
      <c r="A811" s="7"/>
      <c r="B811" s="7"/>
      <c r="C811" s="7"/>
      <c r="D811" s="7"/>
      <c r="E811" s="4"/>
      <c r="F811" s="4" t="str">
        <f t="shared" si="3"/>
        <v/>
      </c>
    </row>
    <row r="812" spans="1:6" ht="14.25" customHeight="1" x14ac:dyDescent="0.3">
      <c r="A812" s="7"/>
      <c r="B812" s="7"/>
      <c r="C812" s="7"/>
      <c r="D812" s="7"/>
      <c r="E812" s="4"/>
      <c r="F812" s="4" t="str">
        <f t="shared" si="3"/>
        <v/>
      </c>
    </row>
    <row r="813" spans="1:6" ht="14.25" customHeight="1" x14ac:dyDescent="0.3">
      <c r="A813" s="7"/>
      <c r="B813" s="7"/>
      <c r="C813" s="7"/>
      <c r="D813" s="7"/>
      <c r="E813" s="4"/>
      <c r="F813" s="4" t="str">
        <f t="shared" si="3"/>
        <v/>
      </c>
    </row>
    <row r="814" spans="1:6" ht="14.25" customHeight="1" x14ac:dyDescent="0.3">
      <c r="A814" s="7"/>
      <c r="B814" s="7"/>
      <c r="C814" s="7"/>
      <c r="D814" s="7"/>
      <c r="E814" s="4"/>
      <c r="F814" s="4" t="str">
        <f t="shared" si="3"/>
        <v/>
      </c>
    </row>
    <row r="815" spans="1:6" ht="14.25" customHeight="1" x14ac:dyDescent="0.3">
      <c r="A815" s="7"/>
      <c r="B815" s="7"/>
      <c r="C815" s="7"/>
      <c r="D815" s="7"/>
      <c r="E815" s="4"/>
      <c r="F815" s="4" t="str">
        <f t="shared" si="3"/>
        <v/>
      </c>
    </row>
    <row r="816" spans="1:6" ht="14.25" customHeight="1" x14ac:dyDescent="0.3">
      <c r="A816" s="7"/>
      <c r="B816" s="7"/>
      <c r="C816" s="7"/>
      <c r="D816" s="7"/>
      <c r="E816" s="4"/>
      <c r="F816" s="4" t="str">
        <f t="shared" si="3"/>
        <v/>
      </c>
    </row>
    <row r="817" spans="1:6" ht="14.25" customHeight="1" x14ac:dyDescent="0.3">
      <c r="A817" s="7"/>
      <c r="B817" s="7"/>
      <c r="C817" s="7"/>
      <c r="D817" s="7"/>
      <c r="E817" s="4"/>
      <c r="F817" s="4" t="str">
        <f t="shared" si="3"/>
        <v/>
      </c>
    </row>
    <row r="818" spans="1:6" ht="14.25" customHeight="1" x14ac:dyDescent="0.3">
      <c r="A818" s="7"/>
      <c r="B818" s="7"/>
      <c r="C818" s="7"/>
      <c r="D818" s="7"/>
      <c r="E818" s="4"/>
      <c r="F818" s="4" t="str">
        <f t="shared" si="3"/>
        <v/>
      </c>
    </row>
    <row r="819" spans="1:6" ht="14.25" customHeight="1" x14ac:dyDescent="0.3">
      <c r="A819" s="7"/>
      <c r="B819" s="7"/>
      <c r="C819" s="7"/>
      <c r="D819" s="7"/>
      <c r="E819" s="4"/>
      <c r="F819" s="4" t="str">
        <f t="shared" si="3"/>
        <v/>
      </c>
    </row>
    <row r="820" spans="1:6" ht="14.25" customHeight="1" x14ac:dyDescent="0.3">
      <c r="A820" s="7"/>
      <c r="B820" s="7"/>
      <c r="C820" s="7"/>
      <c r="D820" s="7"/>
      <c r="E820" s="4"/>
      <c r="F820" s="4" t="str">
        <f t="shared" si="3"/>
        <v/>
      </c>
    </row>
    <row r="821" spans="1:6" ht="14.25" customHeight="1" x14ac:dyDescent="0.3">
      <c r="A821" s="7"/>
      <c r="B821" s="7"/>
      <c r="C821" s="7"/>
      <c r="D821" s="7"/>
      <c r="E821" s="4"/>
      <c r="F821" s="4" t="str">
        <f t="shared" si="3"/>
        <v/>
      </c>
    </row>
    <row r="822" spans="1:6" ht="14.25" customHeight="1" x14ac:dyDescent="0.3">
      <c r="A822" s="7"/>
      <c r="B822" s="7"/>
      <c r="C822" s="7"/>
      <c r="D822" s="7"/>
      <c r="E822" s="4"/>
      <c r="F822" s="4" t="str">
        <f t="shared" si="3"/>
        <v/>
      </c>
    </row>
    <row r="823" spans="1:6" ht="14.25" customHeight="1" x14ac:dyDescent="0.3">
      <c r="A823" s="7"/>
      <c r="B823" s="7"/>
      <c r="C823" s="7"/>
      <c r="D823" s="7"/>
      <c r="E823" s="4"/>
      <c r="F823" s="4" t="str">
        <f t="shared" si="3"/>
        <v/>
      </c>
    </row>
    <row r="824" spans="1:6" ht="14.25" customHeight="1" x14ac:dyDescent="0.3">
      <c r="A824" s="7"/>
      <c r="B824" s="7"/>
      <c r="C824" s="7"/>
      <c r="D824" s="7"/>
      <c r="E824" s="4"/>
      <c r="F824" s="4" t="str">
        <f t="shared" si="3"/>
        <v/>
      </c>
    </row>
    <row r="825" spans="1:6" ht="14.25" customHeight="1" x14ac:dyDescent="0.3">
      <c r="A825" s="7"/>
      <c r="B825" s="7"/>
      <c r="C825" s="7"/>
      <c r="D825" s="7"/>
      <c r="E825" s="4"/>
      <c r="F825" s="4" t="str">
        <f t="shared" si="3"/>
        <v/>
      </c>
    </row>
    <row r="826" spans="1:6" ht="14.25" customHeight="1" x14ac:dyDescent="0.3">
      <c r="A826" s="7"/>
      <c r="B826" s="7"/>
      <c r="C826" s="7"/>
      <c r="D826" s="7"/>
      <c r="E826" s="4"/>
      <c r="F826" s="4" t="str">
        <f t="shared" si="3"/>
        <v/>
      </c>
    </row>
    <row r="827" spans="1:6" ht="14.25" customHeight="1" x14ac:dyDescent="0.3">
      <c r="A827" s="7"/>
      <c r="B827" s="7"/>
      <c r="C827" s="7"/>
      <c r="D827" s="7"/>
      <c r="E827" s="4"/>
      <c r="F827" s="4" t="str">
        <f t="shared" si="3"/>
        <v/>
      </c>
    </row>
    <row r="828" spans="1:6" ht="14.25" customHeight="1" x14ac:dyDescent="0.3">
      <c r="A828" s="7"/>
      <c r="B828" s="7"/>
      <c r="C828" s="7"/>
      <c r="D828" s="7"/>
      <c r="E828" s="4"/>
      <c r="F828" s="4" t="str">
        <f t="shared" si="3"/>
        <v/>
      </c>
    </row>
    <row r="829" spans="1:6" ht="14.25" customHeight="1" x14ac:dyDescent="0.3">
      <c r="A829" s="7"/>
      <c r="B829" s="7"/>
      <c r="C829" s="7"/>
      <c r="D829" s="7"/>
      <c r="E829" s="4"/>
      <c r="F829" s="4" t="str">
        <f t="shared" si="3"/>
        <v/>
      </c>
    </row>
    <row r="830" spans="1:6" ht="14.25" customHeight="1" x14ac:dyDescent="0.3">
      <c r="A830" s="7"/>
      <c r="B830" s="7"/>
      <c r="C830" s="7"/>
      <c r="D830" s="7"/>
      <c r="E830" s="4"/>
      <c r="F830" s="4" t="str">
        <f t="shared" si="3"/>
        <v/>
      </c>
    </row>
    <row r="831" spans="1:6" ht="14.25" customHeight="1" x14ac:dyDescent="0.3">
      <c r="A831" s="7"/>
      <c r="B831" s="7"/>
      <c r="C831" s="7"/>
      <c r="D831" s="7"/>
      <c r="E831" s="4"/>
      <c r="F831" s="4" t="str">
        <f t="shared" si="3"/>
        <v/>
      </c>
    </row>
    <row r="832" spans="1:6" ht="14.25" customHeight="1" x14ac:dyDescent="0.3">
      <c r="A832" s="7"/>
      <c r="B832" s="7"/>
      <c r="C832" s="7"/>
      <c r="D832" s="7"/>
      <c r="E832" s="4"/>
      <c r="F832" s="4" t="str">
        <f t="shared" si="3"/>
        <v/>
      </c>
    </row>
    <row r="833" spans="1:6" ht="14.25" customHeight="1" x14ac:dyDescent="0.3">
      <c r="A833" s="7"/>
      <c r="B833" s="7"/>
      <c r="C833" s="7"/>
      <c r="D833" s="7"/>
      <c r="E833" s="4"/>
      <c r="F833" s="4" t="str">
        <f t="shared" si="3"/>
        <v/>
      </c>
    </row>
    <row r="834" spans="1:6" ht="14.25" customHeight="1" x14ac:dyDescent="0.3">
      <c r="A834" s="7"/>
      <c r="B834" s="7"/>
      <c r="C834" s="7"/>
      <c r="D834" s="7"/>
      <c r="E834" s="4"/>
      <c r="F834" s="4" t="str">
        <f t="shared" si="3"/>
        <v/>
      </c>
    </row>
    <row r="835" spans="1:6" ht="14.25" customHeight="1" x14ac:dyDescent="0.3">
      <c r="A835" s="7"/>
      <c r="B835" s="7"/>
      <c r="C835" s="7"/>
      <c r="D835" s="7"/>
      <c r="E835" s="4"/>
      <c r="F835" s="4" t="str">
        <f t="shared" si="3"/>
        <v/>
      </c>
    </row>
    <row r="836" spans="1:6" ht="14.25" customHeight="1" x14ac:dyDescent="0.3">
      <c r="A836" s="7"/>
      <c r="B836" s="7"/>
      <c r="C836" s="7"/>
      <c r="D836" s="7"/>
      <c r="E836" s="4"/>
      <c r="F836" s="4" t="str">
        <f t="shared" si="3"/>
        <v/>
      </c>
    </row>
    <row r="837" spans="1:6" ht="14.25" customHeight="1" x14ac:dyDescent="0.3">
      <c r="A837" s="7"/>
      <c r="B837" s="7"/>
      <c r="C837" s="7"/>
      <c r="D837" s="7"/>
      <c r="E837" s="4"/>
      <c r="F837" s="4" t="str">
        <f t="shared" si="3"/>
        <v/>
      </c>
    </row>
    <row r="838" spans="1:6" ht="14.25" customHeight="1" x14ac:dyDescent="0.3">
      <c r="A838" s="7"/>
      <c r="B838" s="7"/>
      <c r="C838" s="7"/>
      <c r="D838" s="7"/>
      <c r="E838" s="4"/>
      <c r="F838" s="4" t="str">
        <f t="shared" si="3"/>
        <v/>
      </c>
    </row>
    <row r="839" spans="1:6" ht="14.25" customHeight="1" x14ac:dyDescent="0.3">
      <c r="A839" s="7"/>
      <c r="B839" s="7"/>
      <c r="C839" s="7"/>
      <c r="D839" s="7"/>
      <c r="E839" s="4"/>
      <c r="F839" s="4" t="str">
        <f t="shared" si="3"/>
        <v/>
      </c>
    </row>
    <row r="840" spans="1:6" ht="14.25" customHeight="1" x14ac:dyDescent="0.3">
      <c r="A840" s="7"/>
      <c r="B840" s="7"/>
      <c r="C840" s="7"/>
      <c r="D840" s="7"/>
      <c r="E840" s="4"/>
      <c r="F840" s="4" t="str">
        <f t="shared" si="3"/>
        <v/>
      </c>
    </row>
    <row r="841" spans="1:6" ht="14.25" customHeight="1" x14ac:dyDescent="0.3">
      <c r="A841" s="7"/>
      <c r="B841" s="7"/>
      <c r="C841" s="7"/>
      <c r="D841" s="7"/>
      <c r="E841" s="4"/>
      <c r="F841" s="4" t="str">
        <f t="shared" si="3"/>
        <v/>
      </c>
    </row>
    <row r="842" spans="1:6" ht="14.25" customHeight="1" x14ac:dyDescent="0.3">
      <c r="A842" s="7"/>
      <c r="B842" s="7"/>
      <c r="C842" s="7"/>
      <c r="D842" s="7"/>
      <c r="E842" s="4"/>
      <c r="F842" s="4" t="str">
        <f t="shared" si="3"/>
        <v/>
      </c>
    </row>
    <row r="843" spans="1:6" ht="14.25" customHeight="1" x14ac:dyDescent="0.3">
      <c r="A843" s="7"/>
      <c r="B843" s="7"/>
      <c r="C843" s="7"/>
      <c r="D843" s="7"/>
      <c r="E843" s="4"/>
      <c r="F843" s="4" t="str">
        <f t="shared" si="3"/>
        <v/>
      </c>
    </row>
    <row r="844" spans="1:6" ht="14.25" customHeight="1" x14ac:dyDescent="0.3">
      <c r="A844" s="7"/>
      <c r="B844" s="7"/>
      <c r="C844" s="7"/>
      <c r="D844" s="7"/>
      <c r="E844" s="4"/>
      <c r="F844" s="4" t="str">
        <f t="shared" si="3"/>
        <v/>
      </c>
    </row>
    <row r="845" spans="1:6" ht="14.25" customHeight="1" x14ac:dyDescent="0.3">
      <c r="A845" s="7"/>
      <c r="B845" s="7"/>
      <c r="C845" s="7"/>
      <c r="D845" s="7"/>
      <c r="E845" s="4"/>
      <c r="F845" s="4" t="str">
        <f t="shared" si="3"/>
        <v/>
      </c>
    </row>
    <row r="846" spans="1:6" ht="14.25" customHeight="1" x14ac:dyDescent="0.3">
      <c r="A846" s="7"/>
      <c r="B846" s="7"/>
      <c r="C846" s="7"/>
      <c r="D846" s="7"/>
      <c r="E846" s="4"/>
      <c r="F846" s="4" t="str">
        <f t="shared" si="3"/>
        <v/>
      </c>
    </row>
    <row r="847" spans="1:6" ht="14.25" customHeight="1" x14ac:dyDescent="0.3">
      <c r="A847" s="7"/>
      <c r="B847" s="7"/>
      <c r="C847" s="7"/>
      <c r="D847" s="7"/>
      <c r="E847" s="4"/>
      <c r="F847" s="4" t="str">
        <f t="shared" si="3"/>
        <v/>
      </c>
    </row>
    <row r="848" spans="1:6" ht="14.25" customHeight="1" x14ac:dyDescent="0.3">
      <c r="A848" s="7"/>
      <c r="B848" s="7"/>
      <c r="C848" s="7"/>
      <c r="D848" s="7"/>
      <c r="E848" s="4"/>
      <c r="F848" s="4" t="str">
        <f t="shared" si="3"/>
        <v/>
      </c>
    </row>
    <row r="849" spans="1:6" ht="14.25" customHeight="1" x14ac:dyDescent="0.3">
      <c r="A849" s="7"/>
      <c r="B849" s="7"/>
      <c r="C849" s="7"/>
      <c r="D849" s="7"/>
      <c r="E849" s="4"/>
      <c r="F849" s="4" t="str">
        <f t="shared" si="3"/>
        <v/>
      </c>
    </row>
    <row r="850" spans="1:6" ht="14.25" customHeight="1" x14ac:dyDescent="0.3">
      <c r="A850" s="7"/>
      <c r="B850" s="7"/>
      <c r="C850" s="7"/>
      <c r="D850" s="7"/>
      <c r="E850" s="4"/>
      <c r="F850" s="4" t="str">
        <f t="shared" si="3"/>
        <v/>
      </c>
    </row>
    <row r="851" spans="1:6" ht="14.25" customHeight="1" x14ac:dyDescent="0.3">
      <c r="A851" s="7"/>
      <c r="B851" s="7"/>
      <c r="C851" s="7"/>
      <c r="D851" s="7"/>
      <c r="E851" s="4"/>
      <c r="F851" s="4" t="str">
        <f t="shared" si="3"/>
        <v/>
      </c>
    </row>
    <row r="852" spans="1:6" ht="14.25" customHeight="1" x14ac:dyDescent="0.3">
      <c r="A852" s="7"/>
      <c r="B852" s="7"/>
      <c r="C852" s="7"/>
      <c r="D852" s="7"/>
      <c r="E852" s="4"/>
      <c r="F852" s="4" t="str">
        <f t="shared" si="3"/>
        <v/>
      </c>
    </row>
    <row r="853" spans="1:6" ht="14.25" customHeight="1" x14ac:dyDescent="0.3">
      <c r="A853" s="7"/>
      <c r="B853" s="7"/>
      <c r="C853" s="7"/>
      <c r="D853" s="7"/>
      <c r="E853" s="4"/>
      <c r="F853" s="4" t="str">
        <f t="shared" si="3"/>
        <v/>
      </c>
    </row>
    <row r="854" spans="1:6" ht="14.25" customHeight="1" x14ac:dyDescent="0.3">
      <c r="A854" s="7"/>
      <c r="B854" s="7"/>
      <c r="C854" s="7"/>
      <c r="D854" s="7"/>
      <c r="E854" s="4"/>
      <c r="F854" s="4" t="str">
        <f t="shared" si="3"/>
        <v/>
      </c>
    </row>
    <row r="855" spans="1:6" ht="14.25" customHeight="1" x14ac:dyDescent="0.3">
      <c r="A855" s="7"/>
      <c r="B855" s="7"/>
      <c r="C855" s="7"/>
      <c r="D855" s="7"/>
      <c r="E855" s="4"/>
      <c r="F855" s="4" t="str">
        <f t="shared" si="3"/>
        <v/>
      </c>
    </row>
    <row r="856" spans="1:6" ht="14.25" customHeight="1" x14ac:dyDescent="0.3">
      <c r="A856" s="7"/>
      <c r="B856" s="7"/>
      <c r="C856" s="7"/>
      <c r="D856" s="7"/>
      <c r="E856" s="4"/>
      <c r="F856" s="4" t="str">
        <f t="shared" si="3"/>
        <v/>
      </c>
    </row>
    <row r="857" spans="1:6" ht="14.25" customHeight="1" x14ac:dyDescent="0.3">
      <c r="A857" s="7"/>
      <c r="B857" s="7"/>
      <c r="C857" s="7"/>
      <c r="D857" s="7"/>
      <c r="E857" s="4"/>
      <c r="F857" s="4" t="str">
        <f t="shared" si="3"/>
        <v/>
      </c>
    </row>
    <row r="858" spans="1:6" ht="14.25" customHeight="1" x14ac:dyDescent="0.3">
      <c r="A858" s="7"/>
      <c r="B858" s="7"/>
      <c r="C858" s="7"/>
      <c r="D858" s="7"/>
      <c r="E858" s="4"/>
      <c r="F858" s="4" t="str">
        <f t="shared" si="3"/>
        <v/>
      </c>
    </row>
    <row r="859" spans="1:6" ht="14.25" customHeight="1" x14ac:dyDescent="0.3">
      <c r="A859" s="7"/>
      <c r="B859" s="7"/>
      <c r="C859" s="7"/>
      <c r="D859" s="7"/>
      <c r="E859" s="4"/>
      <c r="F859" s="4" t="str">
        <f t="shared" si="3"/>
        <v/>
      </c>
    </row>
    <row r="860" spans="1:6" ht="14.25" customHeight="1" x14ac:dyDescent="0.3">
      <c r="A860" s="7"/>
      <c r="B860" s="7"/>
      <c r="C860" s="7"/>
      <c r="D860" s="7"/>
      <c r="E860" s="4"/>
      <c r="F860" s="4" t="str">
        <f t="shared" si="3"/>
        <v/>
      </c>
    </row>
    <row r="861" spans="1:6" ht="14.25" customHeight="1" x14ac:dyDescent="0.3">
      <c r="A861" s="7"/>
      <c r="B861" s="7"/>
      <c r="C861" s="7"/>
      <c r="D861" s="7"/>
      <c r="E861" s="4"/>
      <c r="F861" s="4" t="str">
        <f t="shared" si="3"/>
        <v/>
      </c>
    </row>
    <row r="862" spans="1:6" ht="14.25" customHeight="1" x14ac:dyDescent="0.3">
      <c r="A862" s="7"/>
      <c r="B862" s="7"/>
      <c r="C862" s="7"/>
      <c r="D862" s="7"/>
      <c r="E862" s="4"/>
      <c r="F862" s="4" t="str">
        <f t="shared" si="3"/>
        <v/>
      </c>
    </row>
    <row r="863" spans="1:6" ht="14.25" customHeight="1" x14ac:dyDescent="0.3">
      <c r="A863" s="7"/>
      <c r="B863" s="7"/>
      <c r="C863" s="7"/>
      <c r="D863" s="7"/>
      <c r="E863" s="4"/>
      <c r="F863" s="4" t="str">
        <f t="shared" si="3"/>
        <v/>
      </c>
    </row>
    <row r="864" spans="1:6" ht="14.25" customHeight="1" x14ac:dyDescent="0.3">
      <c r="A864" s="7"/>
      <c r="B864" s="7"/>
      <c r="C864" s="7"/>
      <c r="D864" s="7"/>
      <c r="E864" s="4"/>
      <c r="F864" s="4" t="str">
        <f t="shared" si="3"/>
        <v/>
      </c>
    </row>
    <row r="865" spans="1:6" ht="14.25" customHeight="1" x14ac:dyDescent="0.3">
      <c r="A865" s="7"/>
      <c r="B865" s="7"/>
      <c r="C865" s="7"/>
      <c r="D865" s="7"/>
      <c r="E865" s="4"/>
      <c r="F865" s="4" t="str">
        <f t="shared" si="3"/>
        <v/>
      </c>
    </row>
    <row r="866" spans="1:6" ht="14.25" customHeight="1" x14ac:dyDescent="0.3">
      <c r="A866" s="7"/>
      <c r="B866" s="7"/>
      <c r="C866" s="7"/>
      <c r="D866" s="7"/>
      <c r="E866" s="4"/>
      <c r="F866" s="4" t="str">
        <f t="shared" si="3"/>
        <v/>
      </c>
    </row>
    <row r="867" spans="1:6" ht="14.25" customHeight="1" x14ac:dyDescent="0.3">
      <c r="A867" s="7"/>
      <c r="B867" s="7"/>
      <c r="C867" s="7"/>
      <c r="D867" s="7"/>
      <c r="E867" s="4"/>
      <c r="F867" s="4" t="str">
        <f t="shared" si="3"/>
        <v/>
      </c>
    </row>
    <row r="868" spans="1:6" ht="14.25" customHeight="1" x14ac:dyDescent="0.3">
      <c r="A868" s="7"/>
      <c r="B868" s="7"/>
      <c r="C868" s="7"/>
      <c r="D868" s="7"/>
      <c r="E868" s="4"/>
      <c r="F868" s="4" t="str">
        <f t="shared" si="3"/>
        <v/>
      </c>
    </row>
    <row r="869" spans="1:6" ht="14.25" customHeight="1" x14ac:dyDescent="0.3">
      <c r="A869" s="7"/>
      <c r="B869" s="7"/>
      <c r="C869" s="7"/>
      <c r="D869" s="7"/>
      <c r="E869" s="4"/>
      <c r="F869" s="4" t="str">
        <f t="shared" si="3"/>
        <v/>
      </c>
    </row>
    <row r="870" spans="1:6" ht="14.25" customHeight="1" x14ac:dyDescent="0.3">
      <c r="A870" s="7"/>
      <c r="B870" s="7"/>
      <c r="C870" s="7"/>
      <c r="D870" s="7"/>
      <c r="E870" s="4"/>
      <c r="F870" s="4" t="str">
        <f t="shared" si="3"/>
        <v/>
      </c>
    </row>
    <row r="871" spans="1:6" ht="14.25" customHeight="1" x14ac:dyDescent="0.3">
      <c r="A871" s="7"/>
      <c r="B871" s="7"/>
      <c r="C871" s="7"/>
      <c r="D871" s="7"/>
      <c r="E871" s="4"/>
      <c r="F871" s="4" t="str">
        <f t="shared" si="3"/>
        <v/>
      </c>
    </row>
    <row r="872" spans="1:6" ht="14.25" customHeight="1" x14ac:dyDescent="0.3">
      <c r="A872" s="7"/>
      <c r="B872" s="7"/>
      <c r="C872" s="7"/>
      <c r="D872" s="7"/>
      <c r="E872" s="4"/>
      <c r="F872" s="4" t="str">
        <f t="shared" si="3"/>
        <v/>
      </c>
    </row>
    <row r="873" spans="1:6" ht="14.25" customHeight="1" x14ac:dyDescent="0.3">
      <c r="A873" s="7"/>
      <c r="B873" s="7"/>
      <c r="C873" s="7"/>
      <c r="D873" s="7"/>
      <c r="E873" s="4"/>
      <c r="F873" s="4" t="str">
        <f t="shared" si="3"/>
        <v/>
      </c>
    </row>
    <row r="874" spans="1:6" ht="14.25" customHeight="1" x14ac:dyDescent="0.3">
      <c r="A874" s="7"/>
      <c r="B874" s="7"/>
      <c r="C874" s="7"/>
      <c r="D874" s="7"/>
      <c r="E874" s="4"/>
      <c r="F874" s="4" t="str">
        <f t="shared" si="3"/>
        <v/>
      </c>
    </row>
    <row r="875" spans="1:6" ht="14.25" customHeight="1" x14ac:dyDescent="0.3">
      <c r="A875" s="7"/>
      <c r="B875" s="7"/>
      <c r="C875" s="7"/>
      <c r="D875" s="7"/>
      <c r="E875" s="4"/>
      <c r="F875" s="4" t="str">
        <f t="shared" si="3"/>
        <v/>
      </c>
    </row>
    <row r="876" spans="1:6" ht="14.25" customHeight="1" x14ac:dyDescent="0.3">
      <c r="A876" s="7"/>
      <c r="B876" s="7"/>
      <c r="C876" s="7"/>
      <c r="D876" s="7"/>
      <c r="E876" s="4"/>
      <c r="F876" s="4" t="str">
        <f t="shared" si="3"/>
        <v/>
      </c>
    </row>
    <row r="877" spans="1:6" ht="14.25" customHeight="1" x14ac:dyDescent="0.3">
      <c r="A877" s="7"/>
      <c r="B877" s="7"/>
      <c r="C877" s="7"/>
      <c r="D877" s="7"/>
      <c r="E877" s="4"/>
      <c r="F877" s="4" t="str">
        <f t="shared" si="3"/>
        <v/>
      </c>
    </row>
    <row r="878" spans="1:6" ht="14.25" customHeight="1" x14ac:dyDescent="0.3">
      <c r="A878" s="7"/>
      <c r="B878" s="7"/>
      <c r="C878" s="7"/>
      <c r="D878" s="7"/>
      <c r="E878" s="4"/>
      <c r="F878" s="4" t="str">
        <f t="shared" si="3"/>
        <v/>
      </c>
    </row>
    <row r="879" spans="1:6" ht="14.25" customHeight="1" x14ac:dyDescent="0.3">
      <c r="A879" s="7"/>
      <c r="B879" s="7"/>
      <c r="C879" s="7"/>
      <c r="D879" s="7"/>
      <c r="E879" s="4"/>
      <c r="F879" s="4" t="str">
        <f t="shared" si="3"/>
        <v/>
      </c>
    </row>
    <row r="880" spans="1:6" ht="14.25" customHeight="1" x14ac:dyDescent="0.3">
      <c r="A880" s="7"/>
      <c r="B880" s="7"/>
      <c r="C880" s="7"/>
      <c r="D880" s="7"/>
      <c r="E880" s="4"/>
      <c r="F880" s="4" t="str">
        <f t="shared" si="3"/>
        <v/>
      </c>
    </row>
    <row r="881" spans="1:6" ht="14.25" customHeight="1" x14ac:dyDescent="0.3">
      <c r="A881" s="7"/>
      <c r="B881" s="7"/>
      <c r="C881" s="7"/>
      <c r="D881" s="7"/>
      <c r="E881" s="4"/>
      <c r="F881" s="4" t="str">
        <f t="shared" si="3"/>
        <v/>
      </c>
    </row>
    <row r="882" spans="1:6" ht="14.25" customHeight="1" x14ac:dyDescent="0.3">
      <c r="A882" s="7"/>
      <c r="B882" s="7"/>
      <c r="C882" s="7"/>
      <c r="D882" s="7"/>
      <c r="E882" s="4"/>
      <c r="F882" s="4" t="str">
        <f t="shared" si="3"/>
        <v/>
      </c>
    </row>
    <row r="883" spans="1:6" ht="14.25" customHeight="1" x14ac:dyDescent="0.3">
      <c r="A883" s="7"/>
      <c r="B883" s="7"/>
      <c r="C883" s="7"/>
      <c r="D883" s="7"/>
      <c r="E883" s="4"/>
      <c r="F883" s="4" t="str">
        <f t="shared" si="3"/>
        <v/>
      </c>
    </row>
    <row r="884" spans="1:6" ht="14.25" customHeight="1" x14ac:dyDescent="0.3">
      <c r="A884" s="7"/>
      <c r="B884" s="7"/>
      <c r="C884" s="7"/>
      <c r="D884" s="7"/>
      <c r="E884" s="4"/>
      <c r="F884" s="4" t="str">
        <f t="shared" si="3"/>
        <v/>
      </c>
    </row>
    <row r="885" spans="1:6" ht="14.25" customHeight="1" x14ac:dyDescent="0.3">
      <c r="A885" s="7"/>
      <c r="B885" s="7"/>
      <c r="C885" s="7"/>
      <c r="D885" s="7"/>
      <c r="E885" s="4"/>
      <c r="F885" s="4" t="str">
        <f t="shared" si="3"/>
        <v/>
      </c>
    </row>
    <row r="886" spans="1:6" ht="14.25" customHeight="1" x14ac:dyDescent="0.3">
      <c r="A886" s="7"/>
      <c r="B886" s="7"/>
      <c r="C886" s="7"/>
      <c r="D886" s="7"/>
      <c r="E886" s="4"/>
      <c r="F886" s="4" t="str">
        <f t="shared" si="3"/>
        <v/>
      </c>
    </row>
    <row r="887" spans="1:6" ht="14.25" customHeight="1" x14ac:dyDescent="0.3">
      <c r="A887" s="7"/>
      <c r="B887" s="7"/>
      <c r="C887" s="7"/>
      <c r="D887" s="7"/>
      <c r="E887" s="4"/>
      <c r="F887" s="4" t="str">
        <f t="shared" si="3"/>
        <v/>
      </c>
    </row>
    <row r="888" spans="1:6" ht="14.25" customHeight="1" x14ac:dyDescent="0.3">
      <c r="A888" s="7"/>
      <c r="B888" s="7"/>
      <c r="C888" s="7"/>
      <c r="D888" s="7"/>
      <c r="E888" s="4"/>
      <c r="F888" s="4" t="str">
        <f t="shared" si="3"/>
        <v/>
      </c>
    </row>
    <row r="889" spans="1:6" ht="14.25" customHeight="1" x14ac:dyDescent="0.3">
      <c r="A889" s="7"/>
      <c r="B889" s="7"/>
      <c r="C889" s="7"/>
      <c r="D889" s="7"/>
      <c r="E889" s="4"/>
      <c r="F889" s="4" t="str">
        <f t="shared" si="3"/>
        <v/>
      </c>
    </row>
    <row r="890" spans="1:6" ht="14.25" customHeight="1" x14ac:dyDescent="0.3">
      <c r="A890" s="7"/>
      <c r="B890" s="7"/>
      <c r="C890" s="7"/>
      <c r="D890" s="7"/>
      <c r="E890" s="4"/>
      <c r="F890" s="4" t="str">
        <f t="shared" si="3"/>
        <v/>
      </c>
    </row>
    <row r="891" spans="1:6" ht="14.25" customHeight="1" x14ac:dyDescent="0.3">
      <c r="A891" s="7"/>
      <c r="B891" s="7"/>
      <c r="C891" s="7"/>
      <c r="D891" s="7"/>
      <c r="E891" s="4"/>
      <c r="F891" s="4" t="str">
        <f t="shared" si="3"/>
        <v/>
      </c>
    </row>
    <row r="892" spans="1:6" ht="14.25" customHeight="1" x14ac:dyDescent="0.3">
      <c r="A892" s="7"/>
      <c r="B892" s="7"/>
      <c r="C892" s="7"/>
      <c r="D892" s="7"/>
      <c r="E892" s="4"/>
      <c r="F892" s="4" t="str">
        <f t="shared" si="3"/>
        <v/>
      </c>
    </row>
    <row r="893" spans="1:6" ht="14.25" customHeight="1" x14ac:dyDescent="0.3">
      <c r="A893" s="7"/>
      <c r="B893" s="7"/>
      <c r="C893" s="7"/>
      <c r="D893" s="7"/>
      <c r="E893" s="4"/>
      <c r="F893" s="4" t="str">
        <f t="shared" si="3"/>
        <v/>
      </c>
    </row>
    <row r="894" spans="1:6" ht="14.25" customHeight="1" x14ac:dyDescent="0.3">
      <c r="A894" s="7"/>
      <c r="B894" s="7"/>
      <c r="C894" s="7"/>
      <c r="D894" s="7"/>
      <c r="E894" s="4"/>
      <c r="F894" s="4" t="str">
        <f t="shared" si="3"/>
        <v/>
      </c>
    </row>
    <row r="895" spans="1:6" ht="14.25" customHeight="1" x14ac:dyDescent="0.3">
      <c r="A895" s="7"/>
      <c r="B895" s="7"/>
      <c r="C895" s="7"/>
      <c r="D895" s="7"/>
      <c r="E895" s="4"/>
      <c r="F895" s="4" t="str">
        <f t="shared" si="3"/>
        <v/>
      </c>
    </row>
    <row r="896" spans="1:6" ht="14.25" customHeight="1" x14ac:dyDescent="0.3">
      <c r="A896" s="7"/>
      <c r="B896" s="7"/>
      <c r="C896" s="7"/>
      <c r="D896" s="7"/>
      <c r="E896" s="4"/>
      <c r="F896" s="4" t="str">
        <f t="shared" si="3"/>
        <v/>
      </c>
    </row>
    <row r="897" spans="1:6" ht="14.25" customHeight="1" x14ac:dyDescent="0.3">
      <c r="A897" s="7"/>
      <c r="B897" s="7"/>
      <c r="C897" s="7"/>
      <c r="D897" s="7"/>
      <c r="E897" s="4"/>
      <c r="F897" s="4" t="str">
        <f t="shared" si="3"/>
        <v/>
      </c>
    </row>
    <row r="898" spans="1:6" ht="14.25" customHeight="1" x14ac:dyDescent="0.3">
      <c r="A898" s="7"/>
      <c r="B898" s="7"/>
      <c r="C898" s="7"/>
      <c r="D898" s="7"/>
      <c r="E898" s="4"/>
      <c r="F898" s="4" t="str">
        <f t="shared" si="3"/>
        <v/>
      </c>
    </row>
    <row r="899" spans="1:6" ht="14.25" customHeight="1" x14ac:dyDescent="0.3">
      <c r="A899" s="7"/>
      <c r="B899" s="7"/>
      <c r="C899" s="7"/>
      <c r="D899" s="7"/>
      <c r="E899" s="4"/>
      <c r="F899" s="4" t="str">
        <f t="shared" si="3"/>
        <v/>
      </c>
    </row>
    <row r="900" spans="1:6" ht="14.25" customHeight="1" x14ac:dyDescent="0.3">
      <c r="A900" s="7"/>
      <c r="B900" s="7"/>
      <c r="C900" s="7"/>
      <c r="D900" s="7"/>
      <c r="E900" s="4"/>
      <c r="F900" s="4" t="str">
        <f t="shared" si="3"/>
        <v/>
      </c>
    </row>
    <row r="901" spans="1:6" ht="14.25" customHeight="1" x14ac:dyDescent="0.3">
      <c r="A901" s="7"/>
      <c r="B901" s="7"/>
      <c r="C901" s="7"/>
      <c r="D901" s="7"/>
      <c r="E901" s="4"/>
      <c r="F901" s="4" t="str">
        <f t="shared" si="3"/>
        <v/>
      </c>
    </row>
    <row r="902" spans="1:6" ht="14.25" customHeight="1" x14ac:dyDescent="0.3">
      <c r="A902" s="7"/>
      <c r="B902" s="7"/>
      <c r="C902" s="7"/>
      <c r="D902" s="7"/>
      <c r="E902" s="4"/>
      <c r="F902" s="4" t="str">
        <f t="shared" si="3"/>
        <v/>
      </c>
    </row>
    <row r="903" spans="1:6" ht="14.25" customHeight="1" x14ac:dyDescent="0.3">
      <c r="A903" s="7"/>
      <c r="B903" s="7"/>
      <c r="C903" s="7"/>
      <c r="D903" s="7"/>
      <c r="E903" s="4"/>
      <c r="F903" s="4" t="str">
        <f t="shared" si="3"/>
        <v/>
      </c>
    </row>
    <row r="904" spans="1:6" ht="14.25" customHeight="1" x14ac:dyDescent="0.3">
      <c r="A904" s="7"/>
      <c r="B904" s="7"/>
      <c r="C904" s="7"/>
      <c r="D904" s="7"/>
      <c r="E904" s="4"/>
      <c r="F904" s="4" t="str">
        <f t="shared" si="3"/>
        <v/>
      </c>
    </row>
    <row r="905" spans="1:6" ht="14.25" customHeight="1" x14ac:dyDescent="0.3">
      <c r="A905" s="7"/>
      <c r="B905" s="7"/>
      <c r="C905" s="7"/>
      <c r="D905" s="7"/>
      <c r="E905" s="4"/>
      <c r="F905" s="4" t="str">
        <f t="shared" si="3"/>
        <v/>
      </c>
    </row>
    <row r="906" spans="1:6" ht="14.25" customHeight="1" x14ac:dyDescent="0.3">
      <c r="A906" s="7"/>
      <c r="B906" s="7"/>
      <c r="C906" s="7"/>
      <c r="D906" s="7"/>
      <c r="E906" s="4"/>
      <c r="F906" s="4" t="str">
        <f t="shared" si="3"/>
        <v/>
      </c>
    </row>
    <row r="907" spans="1:6" ht="14.25" customHeight="1" x14ac:dyDescent="0.3">
      <c r="A907" s="7"/>
      <c r="B907" s="7"/>
      <c r="C907" s="7"/>
      <c r="D907" s="7"/>
      <c r="E907" s="4"/>
      <c r="F907" s="4" t="str">
        <f t="shared" si="3"/>
        <v/>
      </c>
    </row>
    <row r="908" spans="1:6" ht="14.25" customHeight="1" x14ac:dyDescent="0.3">
      <c r="A908" s="7"/>
      <c r="B908" s="7"/>
      <c r="C908" s="7"/>
      <c r="D908" s="7"/>
      <c r="E908" s="4"/>
      <c r="F908" s="4" t="str">
        <f t="shared" si="3"/>
        <v/>
      </c>
    </row>
    <row r="909" spans="1:6" ht="14.25" customHeight="1" x14ac:dyDescent="0.3">
      <c r="A909" s="7"/>
      <c r="B909" s="7"/>
      <c r="C909" s="7"/>
      <c r="D909" s="7"/>
      <c r="E909" s="4"/>
      <c r="F909" s="4" t="str">
        <f t="shared" si="3"/>
        <v/>
      </c>
    </row>
    <row r="910" spans="1:6" ht="14.25" customHeight="1" x14ac:dyDescent="0.3">
      <c r="A910" s="7"/>
      <c r="B910" s="7"/>
      <c r="C910" s="7"/>
      <c r="D910" s="7"/>
      <c r="E910" s="4"/>
      <c r="F910" s="4" t="str">
        <f t="shared" si="3"/>
        <v/>
      </c>
    </row>
    <row r="911" spans="1:6" ht="14.25" customHeight="1" x14ac:dyDescent="0.3">
      <c r="A911" s="7"/>
      <c r="B911" s="7"/>
      <c r="C911" s="7"/>
      <c r="D911" s="7"/>
      <c r="E911" s="4"/>
      <c r="F911" s="4" t="str">
        <f t="shared" si="3"/>
        <v/>
      </c>
    </row>
    <row r="912" spans="1:6" ht="14.25" customHeight="1" x14ac:dyDescent="0.3">
      <c r="A912" s="7"/>
      <c r="B912" s="7"/>
      <c r="C912" s="7"/>
      <c r="D912" s="7"/>
      <c r="E912" s="4"/>
      <c r="F912" s="4" t="str">
        <f t="shared" si="3"/>
        <v/>
      </c>
    </row>
    <row r="913" spans="1:6" ht="14.25" customHeight="1" x14ac:dyDescent="0.3">
      <c r="A913" s="7"/>
      <c r="B913" s="7"/>
      <c r="C913" s="7"/>
      <c r="D913" s="7"/>
      <c r="E913" s="4"/>
      <c r="F913" s="4" t="str">
        <f t="shared" si="3"/>
        <v/>
      </c>
    </row>
    <row r="914" spans="1:6" ht="14.25" customHeight="1" x14ac:dyDescent="0.3">
      <c r="A914" s="7"/>
      <c r="B914" s="7"/>
      <c r="C914" s="7"/>
      <c r="D914" s="7"/>
      <c r="E914" s="4"/>
      <c r="F914" s="4" t="str">
        <f t="shared" si="3"/>
        <v/>
      </c>
    </row>
    <row r="915" spans="1:6" ht="14.25" customHeight="1" x14ac:dyDescent="0.3">
      <c r="A915" s="7"/>
      <c r="B915" s="7"/>
      <c r="C915" s="7"/>
      <c r="D915" s="7"/>
      <c r="E915" s="4"/>
      <c r="F915" s="4" t="str">
        <f t="shared" si="3"/>
        <v/>
      </c>
    </row>
    <row r="916" spans="1:6" ht="14.25" customHeight="1" x14ac:dyDescent="0.3">
      <c r="A916" s="7"/>
      <c r="B916" s="7"/>
      <c r="C916" s="7"/>
      <c r="D916" s="7"/>
      <c r="E916" s="4"/>
      <c r="F916" s="4" t="str">
        <f t="shared" si="3"/>
        <v/>
      </c>
    </row>
    <row r="917" spans="1:6" ht="14.25" customHeight="1" x14ac:dyDescent="0.3">
      <c r="A917" s="7"/>
      <c r="B917" s="7"/>
      <c r="C917" s="7"/>
      <c r="D917" s="7"/>
      <c r="E917" s="4"/>
      <c r="F917" s="4" t="str">
        <f t="shared" si="3"/>
        <v/>
      </c>
    </row>
    <row r="918" spans="1:6" ht="14.25" customHeight="1" x14ac:dyDescent="0.3">
      <c r="A918" s="7"/>
      <c r="B918" s="7"/>
      <c r="C918" s="7"/>
      <c r="D918" s="7"/>
      <c r="E918" s="4"/>
      <c r="F918" s="4" t="str">
        <f t="shared" si="3"/>
        <v/>
      </c>
    </row>
    <row r="919" spans="1:6" ht="14.25" customHeight="1" x14ac:dyDescent="0.3">
      <c r="A919" s="7"/>
      <c r="B919" s="7"/>
      <c r="C919" s="7"/>
      <c r="D919" s="7"/>
      <c r="E919" s="4"/>
      <c r="F919" s="4" t="str">
        <f t="shared" si="3"/>
        <v/>
      </c>
    </row>
    <row r="920" spans="1:6" ht="14.25" customHeight="1" x14ac:dyDescent="0.3">
      <c r="A920" s="7"/>
      <c r="B920" s="7"/>
      <c r="C920" s="7"/>
      <c r="D920" s="7"/>
      <c r="E920" s="4"/>
      <c r="F920" s="4" t="str">
        <f t="shared" si="3"/>
        <v/>
      </c>
    </row>
    <row r="921" spans="1:6" ht="14.25" customHeight="1" x14ac:dyDescent="0.3">
      <c r="A921" s="7"/>
      <c r="B921" s="7"/>
      <c r="C921" s="7"/>
      <c r="D921" s="7"/>
      <c r="E921" s="4"/>
      <c r="F921" s="4" t="str">
        <f t="shared" si="3"/>
        <v/>
      </c>
    </row>
    <row r="922" spans="1:6" ht="14.25" customHeight="1" x14ac:dyDescent="0.3">
      <c r="A922" s="7"/>
      <c r="B922" s="7"/>
      <c r="C922" s="7"/>
      <c r="D922" s="7"/>
      <c r="E922" s="4"/>
      <c r="F922" s="4" t="str">
        <f t="shared" si="3"/>
        <v/>
      </c>
    </row>
    <row r="923" spans="1:6" ht="14.25" customHeight="1" x14ac:dyDescent="0.3">
      <c r="A923" s="7"/>
      <c r="B923" s="7"/>
      <c r="C923" s="7"/>
      <c r="D923" s="7"/>
      <c r="E923" s="4"/>
      <c r="F923" s="4" t="str">
        <f t="shared" si="3"/>
        <v/>
      </c>
    </row>
    <row r="924" spans="1:6" ht="14.25" customHeight="1" x14ac:dyDescent="0.3">
      <c r="A924" s="7"/>
      <c r="B924" s="7"/>
      <c r="C924" s="7"/>
      <c r="D924" s="7"/>
      <c r="E924" s="4"/>
      <c r="F924" s="4" t="str">
        <f t="shared" si="3"/>
        <v/>
      </c>
    </row>
    <row r="925" spans="1:6" ht="14.25" customHeight="1" x14ac:dyDescent="0.3">
      <c r="A925" s="7"/>
      <c r="B925" s="7"/>
      <c r="C925" s="7"/>
      <c r="D925" s="7"/>
      <c r="E925" s="4"/>
      <c r="F925" s="4" t="str">
        <f t="shared" si="3"/>
        <v/>
      </c>
    </row>
    <row r="926" spans="1:6" ht="14.25" customHeight="1" x14ac:dyDescent="0.3">
      <c r="A926" s="7"/>
      <c r="B926" s="7"/>
      <c r="C926" s="7"/>
      <c r="D926" s="7"/>
      <c r="E926" s="4"/>
      <c r="F926" s="4" t="str">
        <f t="shared" si="3"/>
        <v/>
      </c>
    </row>
    <row r="927" spans="1:6" ht="14.25" customHeight="1" x14ac:dyDescent="0.3">
      <c r="A927" s="7"/>
      <c r="B927" s="7"/>
      <c r="C927" s="7"/>
      <c r="D927" s="7"/>
      <c r="E927" s="4"/>
      <c r="F927" s="4" t="str">
        <f t="shared" si="3"/>
        <v/>
      </c>
    </row>
    <row r="928" spans="1:6" ht="14.25" customHeight="1" x14ac:dyDescent="0.3">
      <c r="A928" s="7"/>
      <c r="B928" s="7"/>
      <c r="C928" s="7"/>
      <c r="D928" s="7"/>
      <c r="E928" s="4"/>
      <c r="F928" s="4" t="str">
        <f t="shared" si="3"/>
        <v/>
      </c>
    </row>
    <row r="929" spans="1:6" ht="14.25" customHeight="1" x14ac:dyDescent="0.3">
      <c r="A929" s="7"/>
      <c r="B929" s="7"/>
      <c r="C929" s="7"/>
      <c r="D929" s="7"/>
      <c r="E929" s="4"/>
      <c r="F929" s="4" t="str">
        <f t="shared" si="3"/>
        <v/>
      </c>
    </row>
    <row r="930" spans="1:6" ht="14.25" customHeight="1" x14ac:dyDescent="0.3">
      <c r="A930" s="7"/>
      <c r="B930" s="7"/>
      <c r="C930" s="7"/>
      <c r="D930" s="7"/>
      <c r="E930" s="4"/>
      <c r="F930" s="4" t="str">
        <f t="shared" si="3"/>
        <v/>
      </c>
    </row>
    <row r="931" spans="1:6" ht="14.25" customHeight="1" x14ac:dyDescent="0.3">
      <c r="A931" s="7"/>
      <c r="B931" s="7"/>
      <c r="C931" s="7"/>
      <c r="D931" s="7"/>
      <c r="E931" s="4"/>
      <c r="F931" s="4" t="str">
        <f t="shared" si="3"/>
        <v/>
      </c>
    </row>
    <row r="932" spans="1:6" ht="14.25" customHeight="1" x14ac:dyDescent="0.3">
      <c r="A932" s="7"/>
      <c r="B932" s="7"/>
      <c r="C932" s="7"/>
      <c r="D932" s="7"/>
      <c r="E932" s="4"/>
      <c r="F932" s="4" t="str">
        <f t="shared" si="3"/>
        <v/>
      </c>
    </row>
    <row r="933" spans="1:6" ht="14.25" customHeight="1" x14ac:dyDescent="0.3">
      <c r="A933" s="7"/>
      <c r="B933" s="7"/>
      <c r="C933" s="7"/>
      <c r="D933" s="7"/>
      <c r="E933" s="4"/>
      <c r="F933" s="4" t="str">
        <f t="shared" si="3"/>
        <v/>
      </c>
    </row>
    <row r="934" spans="1:6" ht="14.25" customHeight="1" x14ac:dyDescent="0.3">
      <c r="A934" s="7"/>
      <c r="B934" s="7"/>
      <c r="C934" s="7"/>
      <c r="D934" s="7"/>
      <c r="E934" s="4"/>
      <c r="F934" s="4" t="str">
        <f t="shared" si="3"/>
        <v/>
      </c>
    </row>
    <row r="935" spans="1:6" ht="14.25" customHeight="1" x14ac:dyDescent="0.3">
      <c r="A935" s="7"/>
      <c r="B935" s="7"/>
      <c r="C935" s="7"/>
      <c r="D935" s="7"/>
      <c r="E935" s="4"/>
      <c r="F935" s="4" t="str">
        <f t="shared" si="3"/>
        <v/>
      </c>
    </row>
    <row r="936" spans="1:6" ht="14.25" customHeight="1" x14ac:dyDescent="0.3">
      <c r="A936" s="7"/>
      <c r="B936" s="7"/>
      <c r="C936" s="7"/>
      <c r="D936" s="7"/>
      <c r="E936" s="4"/>
      <c r="F936" s="4" t="str">
        <f t="shared" si="3"/>
        <v/>
      </c>
    </row>
    <row r="937" spans="1:6" ht="14.25" customHeight="1" x14ac:dyDescent="0.3">
      <c r="A937" s="7"/>
      <c r="B937" s="7"/>
      <c r="C937" s="7"/>
      <c r="D937" s="7"/>
      <c r="E937" s="4"/>
      <c r="F937" s="4" t="str">
        <f t="shared" si="3"/>
        <v/>
      </c>
    </row>
    <row r="938" spans="1:6" ht="14.25" customHeight="1" x14ac:dyDescent="0.3">
      <c r="A938" s="7"/>
      <c r="B938" s="7"/>
      <c r="C938" s="7"/>
      <c r="D938" s="7"/>
      <c r="E938" s="4"/>
      <c r="F938" s="4" t="str">
        <f t="shared" si="3"/>
        <v/>
      </c>
    </row>
    <row r="939" spans="1:6" ht="14.25" customHeight="1" x14ac:dyDescent="0.3">
      <c r="A939" s="7"/>
      <c r="B939" s="7"/>
      <c r="C939" s="7"/>
      <c r="D939" s="7"/>
      <c r="E939" s="4"/>
      <c r="F939" s="4" t="str">
        <f t="shared" si="3"/>
        <v/>
      </c>
    </row>
    <row r="940" spans="1:6" ht="14.25" customHeight="1" x14ac:dyDescent="0.3">
      <c r="A940" s="7"/>
      <c r="B940" s="7"/>
      <c r="C940" s="7"/>
      <c r="D940" s="7"/>
      <c r="E940" s="4"/>
      <c r="F940" s="4" t="str">
        <f t="shared" si="3"/>
        <v/>
      </c>
    </row>
    <row r="941" spans="1:6" ht="14.25" customHeight="1" x14ac:dyDescent="0.3">
      <c r="A941" s="7"/>
      <c r="B941" s="7"/>
      <c r="C941" s="7"/>
      <c r="D941" s="7"/>
      <c r="E941" s="4"/>
      <c r="F941" s="4" t="str">
        <f t="shared" si="3"/>
        <v/>
      </c>
    </row>
    <row r="942" spans="1:6" ht="14.25" customHeight="1" x14ac:dyDescent="0.3">
      <c r="A942" s="7"/>
      <c r="B942" s="7"/>
      <c r="C942" s="7"/>
      <c r="D942" s="7"/>
      <c r="E942" s="4"/>
      <c r="F942" s="4" t="str">
        <f t="shared" si="3"/>
        <v/>
      </c>
    </row>
    <row r="943" spans="1:6" ht="14.25" customHeight="1" x14ac:dyDescent="0.3">
      <c r="A943" s="7"/>
      <c r="B943" s="7"/>
      <c r="C943" s="7"/>
      <c r="D943" s="7"/>
      <c r="E943" s="4"/>
      <c r="F943" s="4" t="str">
        <f t="shared" si="3"/>
        <v/>
      </c>
    </row>
    <row r="944" spans="1:6" ht="14.25" customHeight="1" x14ac:dyDescent="0.3">
      <c r="A944" s="7"/>
      <c r="B944" s="7"/>
      <c r="C944" s="7"/>
      <c r="D944" s="7"/>
      <c r="E944" s="4"/>
      <c r="F944" s="4" t="str">
        <f t="shared" si="3"/>
        <v/>
      </c>
    </row>
    <row r="945" spans="1:6" ht="14.25" customHeight="1" x14ac:dyDescent="0.3">
      <c r="A945" s="7"/>
      <c r="B945" s="7"/>
      <c r="C945" s="7"/>
      <c r="D945" s="7"/>
      <c r="E945" s="4"/>
      <c r="F945" s="4" t="str">
        <f t="shared" si="3"/>
        <v/>
      </c>
    </row>
    <row r="946" spans="1:6" ht="14.25" customHeight="1" x14ac:dyDescent="0.3">
      <c r="A946" s="7"/>
      <c r="B946" s="7"/>
      <c r="C946" s="7"/>
      <c r="D946" s="7"/>
      <c r="E946" s="4"/>
      <c r="F946" s="4" t="str">
        <f t="shared" si="3"/>
        <v/>
      </c>
    </row>
    <row r="947" spans="1:6" ht="14.25" customHeight="1" x14ac:dyDescent="0.3">
      <c r="A947" s="7"/>
      <c r="B947" s="7"/>
      <c r="C947" s="7"/>
      <c r="D947" s="7"/>
      <c r="E947" s="4"/>
      <c r="F947" s="4" t="str">
        <f t="shared" si="3"/>
        <v/>
      </c>
    </row>
    <row r="948" spans="1:6" ht="14.25" customHeight="1" x14ac:dyDescent="0.3">
      <c r="A948" s="7"/>
      <c r="B948" s="7"/>
      <c r="C948" s="7"/>
      <c r="D948" s="7"/>
      <c r="E948" s="4"/>
      <c r="F948" s="4" t="str">
        <f t="shared" si="3"/>
        <v/>
      </c>
    </row>
    <row r="949" spans="1:6" ht="14.25" customHeight="1" x14ac:dyDescent="0.3">
      <c r="A949" s="7"/>
      <c r="B949" s="7"/>
      <c r="C949" s="7"/>
      <c r="D949" s="7"/>
      <c r="E949" s="4"/>
      <c r="F949" s="4" t="str">
        <f t="shared" si="3"/>
        <v/>
      </c>
    </row>
    <row r="950" spans="1:6" ht="14.25" customHeight="1" x14ac:dyDescent="0.3">
      <c r="A950" s="7"/>
      <c r="B950" s="7"/>
      <c r="C950" s="7"/>
      <c r="D950" s="7"/>
      <c r="E950" s="4"/>
      <c r="F950" s="4" t="str">
        <f t="shared" si="3"/>
        <v/>
      </c>
    </row>
    <row r="951" spans="1:6" ht="14.25" customHeight="1" x14ac:dyDescent="0.3">
      <c r="A951" s="7"/>
      <c r="B951" s="7"/>
      <c r="C951" s="7"/>
      <c r="D951" s="7"/>
      <c r="E951" s="4"/>
      <c r="F951" s="4" t="str">
        <f t="shared" si="3"/>
        <v/>
      </c>
    </row>
    <row r="952" spans="1:6" ht="14.25" customHeight="1" x14ac:dyDescent="0.3">
      <c r="A952" s="7"/>
      <c r="B952" s="7"/>
      <c r="C952" s="7"/>
      <c r="D952" s="7"/>
      <c r="E952" s="4"/>
      <c r="F952" s="4" t="str">
        <f t="shared" si="3"/>
        <v/>
      </c>
    </row>
    <row r="953" spans="1:6" ht="14.25" customHeight="1" x14ac:dyDescent="0.3">
      <c r="A953" s="7"/>
      <c r="B953" s="7"/>
      <c r="C953" s="7"/>
      <c r="D953" s="7"/>
      <c r="E953" s="4"/>
      <c r="F953" s="4" t="str">
        <f t="shared" si="3"/>
        <v/>
      </c>
    </row>
    <row r="954" spans="1:6" ht="14.25" customHeight="1" x14ac:dyDescent="0.3">
      <c r="A954" s="7"/>
      <c r="B954" s="7"/>
      <c r="C954" s="7"/>
      <c r="D954" s="7"/>
      <c r="E954" s="4"/>
      <c r="F954" s="4" t="str">
        <f t="shared" si="3"/>
        <v/>
      </c>
    </row>
    <row r="955" spans="1:6" ht="14.25" customHeight="1" x14ac:dyDescent="0.3">
      <c r="A955" s="7"/>
      <c r="B955" s="7"/>
      <c r="C955" s="7"/>
      <c r="D955" s="7"/>
      <c r="E955" s="4"/>
      <c r="F955" s="4" t="str">
        <f t="shared" si="3"/>
        <v/>
      </c>
    </row>
    <row r="956" spans="1:6" ht="14.25" customHeight="1" x14ac:dyDescent="0.3">
      <c r="A956" s="7"/>
      <c r="B956" s="7"/>
      <c r="C956" s="7"/>
      <c r="D956" s="7"/>
      <c r="E956" s="4"/>
      <c r="F956" s="4" t="str">
        <f t="shared" si="3"/>
        <v/>
      </c>
    </row>
    <row r="957" spans="1:6" ht="14.25" customHeight="1" x14ac:dyDescent="0.3">
      <c r="A957" s="7"/>
      <c r="B957" s="7"/>
      <c r="C957" s="7"/>
      <c r="D957" s="7"/>
      <c r="E957" s="4"/>
      <c r="F957" s="4" t="str">
        <f t="shared" si="3"/>
        <v/>
      </c>
    </row>
    <row r="958" spans="1:6" ht="14.25" customHeight="1" x14ac:dyDescent="0.3">
      <c r="A958" s="7"/>
      <c r="B958" s="7"/>
      <c r="C958" s="7"/>
      <c r="D958" s="7"/>
      <c r="E958" s="4"/>
      <c r="F958" s="4" t="str">
        <f t="shared" si="3"/>
        <v/>
      </c>
    </row>
    <row r="959" spans="1:6" ht="14.25" customHeight="1" x14ac:dyDescent="0.3">
      <c r="A959" s="7"/>
      <c r="B959" s="7"/>
      <c r="C959" s="7"/>
      <c r="D959" s="7"/>
      <c r="E959" s="4"/>
      <c r="F959" s="4" t="str">
        <f t="shared" si="3"/>
        <v/>
      </c>
    </row>
    <row r="960" spans="1:6" ht="14.25" customHeight="1" x14ac:dyDescent="0.3">
      <c r="A960" s="7"/>
      <c r="B960" s="7"/>
      <c r="C960" s="7"/>
      <c r="D960" s="7"/>
      <c r="E960" s="4"/>
      <c r="F960" s="4" t="str">
        <f t="shared" si="3"/>
        <v/>
      </c>
    </row>
    <row r="961" spans="1:6" ht="14.25" customHeight="1" x14ac:dyDescent="0.3">
      <c r="A961" s="7"/>
      <c r="B961" s="7"/>
      <c r="C961" s="7"/>
      <c r="D961" s="7"/>
      <c r="E961" s="4"/>
      <c r="F961" s="4" t="str">
        <f t="shared" si="3"/>
        <v/>
      </c>
    </row>
    <row r="962" spans="1:6" ht="14.25" customHeight="1" x14ac:dyDescent="0.3">
      <c r="A962" s="7"/>
      <c r="B962" s="7"/>
      <c r="C962" s="7"/>
      <c r="D962" s="7"/>
      <c r="E962" s="4"/>
      <c r="F962" s="4" t="str">
        <f t="shared" si="3"/>
        <v/>
      </c>
    </row>
    <row r="963" spans="1:6" ht="14.25" customHeight="1" x14ac:dyDescent="0.3">
      <c r="A963" s="7"/>
      <c r="B963" s="7"/>
      <c r="C963" s="7"/>
      <c r="D963" s="7"/>
      <c r="E963" s="4"/>
      <c r="F963" s="4" t="str">
        <f t="shared" si="3"/>
        <v/>
      </c>
    </row>
    <row r="964" spans="1:6" ht="14.25" customHeight="1" x14ac:dyDescent="0.3">
      <c r="A964" s="7"/>
      <c r="B964" s="7"/>
      <c r="C964" s="7"/>
      <c r="D964" s="7"/>
      <c r="E964" s="4"/>
      <c r="F964" s="4" t="str">
        <f t="shared" si="3"/>
        <v/>
      </c>
    </row>
    <row r="965" spans="1:6" ht="14.25" customHeight="1" x14ac:dyDescent="0.3">
      <c r="A965" s="7"/>
      <c r="B965" s="7"/>
      <c r="C965" s="7"/>
      <c r="D965" s="7"/>
      <c r="E965" s="4"/>
      <c r="F965" s="4" t="str">
        <f t="shared" si="3"/>
        <v/>
      </c>
    </row>
    <row r="966" spans="1:6" ht="14.25" customHeight="1" x14ac:dyDescent="0.3">
      <c r="A966" s="7"/>
      <c r="B966" s="7"/>
      <c r="C966" s="7"/>
      <c r="D966" s="7"/>
      <c r="E966" s="4"/>
      <c r="F966" s="4" t="str">
        <f t="shared" si="3"/>
        <v/>
      </c>
    </row>
    <row r="967" spans="1:6" ht="14.25" customHeight="1" x14ac:dyDescent="0.3">
      <c r="A967" s="7"/>
      <c r="B967" s="7"/>
      <c r="C967" s="7"/>
      <c r="D967" s="7"/>
      <c r="E967" s="4"/>
      <c r="F967" s="4" t="str">
        <f t="shared" si="3"/>
        <v/>
      </c>
    </row>
    <row r="968" spans="1:6" ht="14.25" customHeight="1" x14ac:dyDescent="0.3">
      <c r="A968" s="7"/>
      <c r="B968" s="7"/>
      <c r="C968" s="7"/>
      <c r="D968" s="7"/>
      <c r="E968" s="4"/>
      <c r="F968" s="4" t="str">
        <f t="shared" si="3"/>
        <v/>
      </c>
    </row>
    <row r="969" spans="1:6" ht="14.25" customHeight="1" x14ac:dyDescent="0.3">
      <c r="A969" s="7"/>
      <c r="B969" s="7"/>
      <c r="C969" s="7"/>
      <c r="D969" s="7"/>
      <c r="E969" s="4"/>
      <c r="F969" s="4" t="str">
        <f t="shared" si="3"/>
        <v/>
      </c>
    </row>
    <row r="970" spans="1:6" ht="14.25" customHeight="1" x14ac:dyDescent="0.3">
      <c r="A970" s="7"/>
      <c r="B970" s="7"/>
      <c r="C970" s="7"/>
      <c r="D970" s="7"/>
      <c r="E970" s="4"/>
      <c r="F970" s="4" t="str">
        <f t="shared" si="3"/>
        <v/>
      </c>
    </row>
    <row r="971" spans="1:6" ht="14.25" customHeight="1" x14ac:dyDescent="0.3">
      <c r="A971" s="7"/>
      <c r="B971" s="7"/>
      <c r="C971" s="7"/>
      <c r="D971" s="7"/>
      <c r="E971" s="4"/>
      <c r="F971" s="4" t="str">
        <f t="shared" si="3"/>
        <v/>
      </c>
    </row>
    <row r="972" spans="1:6" ht="14.25" customHeight="1" x14ac:dyDescent="0.3">
      <c r="A972" s="7"/>
      <c r="B972" s="7"/>
      <c r="C972" s="7"/>
      <c r="D972" s="7"/>
      <c r="E972" s="4"/>
      <c r="F972" s="4" t="str">
        <f t="shared" si="3"/>
        <v/>
      </c>
    </row>
    <row r="973" spans="1:6" ht="14.25" customHeight="1" x14ac:dyDescent="0.3">
      <c r="A973" s="7"/>
      <c r="B973" s="7"/>
      <c r="C973" s="7"/>
      <c r="D973" s="7"/>
      <c r="E973" s="4"/>
      <c r="F973" s="4" t="str">
        <f t="shared" si="3"/>
        <v/>
      </c>
    </row>
    <row r="974" spans="1:6" ht="14.25" customHeight="1" x14ac:dyDescent="0.3">
      <c r="A974" s="7"/>
      <c r="B974" s="7"/>
      <c r="C974" s="7"/>
      <c r="D974" s="7"/>
      <c r="E974" s="4"/>
      <c r="F974" s="4" t="str">
        <f t="shared" si="3"/>
        <v/>
      </c>
    </row>
    <row r="975" spans="1:6" ht="14.25" customHeight="1" x14ac:dyDescent="0.3">
      <c r="A975" s="7"/>
      <c r="B975" s="7"/>
      <c r="C975" s="7"/>
      <c r="D975" s="7"/>
      <c r="E975" s="4"/>
      <c r="F975" s="4" t="str">
        <f t="shared" si="3"/>
        <v/>
      </c>
    </row>
    <row r="976" spans="1:6" ht="14.25" customHeight="1" x14ac:dyDescent="0.3">
      <c r="A976" s="7"/>
      <c r="B976" s="7"/>
      <c r="C976" s="7"/>
      <c r="D976" s="7"/>
      <c r="E976" s="4"/>
      <c r="F976" s="4" t="str">
        <f t="shared" si="3"/>
        <v/>
      </c>
    </row>
    <row r="977" spans="1:6" ht="14.25" customHeight="1" x14ac:dyDescent="0.3">
      <c r="A977" s="7"/>
      <c r="B977" s="7"/>
      <c r="C977" s="7"/>
      <c r="D977" s="7"/>
      <c r="E977" s="4"/>
      <c r="F977" s="4" t="str">
        <f t="shared" si="3"/>
        <v/>
      </c>
    </row>
    <row r="978" spans="1:6" ht="14.25" customHeight="1" x14ac:dyDescent="0.3">
      <c r="A978" s="7"/>
      <c r="B978" s="7"/>
      <c r="C978" s="7"/>
      <c r="D978" s="7"/>
      <c r="E978" s="4"/>
      <c r="F978" s="4" t="str">
        <f t="shared" si="3"/>
        <v/>
      </c>
    </row>
    <row r="979" spans="1:6" ht="14.25" customHeight="1" x14ac:dyDescent="0.3">
      <c r="A979" s="7"/>
      <c r="B979" s="7"/>
      <c r="C979" s="7"/>
      <c r="D979" s="7"/>
      <c r="E979" s="4"/>
      <c r="F979" s="4" t="str">
        <f t="shared" si="3"/>
        <v/>
      </c>
    </row>
    <row r="980" spans="1:6" ht="14.25" customHeight="1" x14ac:dyDescent="0.3">
      <c r="A980" s="7"/>
      <c r="B980" s="7"/>
      <c r="C980" s="7"/>
      <c r="D980" s="7"/>
      <c r="E980" s="4"/>
      <c r="F980" s="4" t="str">
        <f t="shared" si="3"/>
        <v/>
      </c>
    </row>
    <row r="981" spans="1:6" ht="14.25" customHeight="1" x14ac:dyDescent="0.3">
      <c r="A981" s="7"/>
      <c r="B981" s="7"/>
      <c r="C981" s="7"/>
      <c r="D981" s="7"/>
      <c r="E981" s="4"/>
      <c r="F981" s="4" t="str">
        <f t="shared" si="3"/>
        <v/>
      </c>
    </row>
    <row r="982" spans="1:6" ht="14.25" customHeight="1" x14ac:dyDescent="0.3">
      <c r="A982" s="7"/>
      <c r="B982" s="7"/>
      <c r="C982" s="7"/>
      <c r="D982" s="7"/>
      <c r="E982" s="4"/>
      <c r="F982" s="4" t="str">
        <f t="shared" si="3"/>
        <v/>
      </c>
    </row>
    <row r="983" spans="1:6" ht="14.25" customHeight="1" x14ac:dyDescent="0.3">
      <c r="A983" s="7"/>
      <c r="B983" s="7"/>
      <c r="C983" s="7"/>
      <c r="D983" s="7"/>
      <c r="E983" s="4"/>
      <c r="F983" s="4" t="str">
        <f t="shared" si="3"/>
        <v/>
      </c>
    </row>
    <row r="984" spans="1:6" ht="14.25" customHeight="1" x14ac:dyDescent="0.3">
      <c r="A984" s="7"/>
      <c r="B984" s="7"/>
      <c r="C984" s="7"/>
      <c r="D984" s="7"/>
      <c r="E984" s="4"/>
      <c r="F984" s="4" t="str">
        <f t="shared" si="3"/>
        <v/>
      </c>
    </row>
    <row r="985" spans="1:6" ht="14.25" customHeight="1" x14ac:dyDescent="0.3">
      <c r="A985" s="7"/>
      <c r="B985" s="7"/>
      <c r="C985" s="7"/>
      <c r="D985" s="7"/>
      <c r="E985" s="4"/>
      <c r="F985" s="4" t="str">
        <f t="shared" si="3"/>
        <v/>
      </c>
    </row>
    <row r="986" spans="1:6" ht="14.25" customHeight="1" x14ac:dyDescent="0.3">
      <c r="A986" s="7"/>
      <c r="B986" s="7"/>
      <c r="C986" s="7"/>
      <c r="D986" s="7"/>
      <c r="E986" s="4"/>
      <c r="F986" s="4" t="str">
        <f t="shared" si="3"/>
        <v/>
      </c>
    </row>
    <row r="987" spans="1:6" ht="14.25" customHeight="1" x14ac:dyDescent="0.3">
      <c r="A987" s="7"/>
      <c r="B987" s="7"/>
      <c r="C987" s="7"/>
      <c r="D987" s="7"/>
      <c r="E987" s="4"/>
      <c r="F987" s="4" t="str">
        <f t="shared" si="3"/>
        <v/>
      </c>
    </row>
    <row r="988" spans="1:6" ht="14.25" customHeight="1" x14ac:dyDescent="0.3">
      <c r="A988" s="7"/>
      <c r="B988" s="7"/>
      <c r="C988" s="7"/>
      <c r="D988" s="7"/>
      <c r="E988" s="4"/>
      <c r="F988" s="4" t="str">
        <f t="shared" si="3"/>
        <v/>
      </c>
    </row>
    <row r="989" spans="1:6" ht="14.25" customHeight="1" x14ac:dyDescent="0.3">
      <c r="A989" s="7"/>
      <c r="B989" s="7"/>
      <c r="C989" s="7"/>
      <c r="D989" s="7"/>
      <c r="E989" s="4"/>
      <c r="F989" s="4" t="str">
        <f t="shared" si="3"/>
        <v/>
      </c>
    </row>
    <row r="990" spans="1:6" ht="14.25" customHeight="1" x14ac:dyDescent="0.3">
      <c r="A990" s="7"/>
      <c r="B990" s="7"/>
      <c r="C990" s="7"/>
      <c r="D990" s="7"/>
      <c r="E990" s="4"/>
      <c r="F990" s="4" t="str">
        <f t="shared" si="3"/>
        <v/>
      </c>
    </row>
    <row r="991" spans="1:6" ht="14.25" customHeight="1" x14ac:dyDescent="0.3">
      <c r="A991" s="7"/>
      <c r="B991" s="7"/>
      <c r="C991" s="7"/>
      <c r="D991" s="7"/>
      <c r="E991" s="4"/>
      <c r="F991" s="4" t="str">
        <f t="shared" si="3"/>
        <v/>
      </c>
    </row>
    <row r="992" spans="1:6" ht="14.25" customHeight="1" x14ac:dyDescent="0.3">
      <c r="A992" s="7"/>
      <c r="B992" s="7"/>
      <c r="C992" s="7"/>
      <c r="D992" s="7"/>
      <c r="E992" s="4"/>
      <c r="F992" s="4" t="str">
        <f t="shared" si="3"/>
        <v/>
      </c>
    </row>
    <row r="993" spans="1:6" ht="14.25" customHeight="1" x14ac:dyDescent="0.3">
      <c r="A993" s="7"/>
      <c r="B993" s="7"/>
      <c r="C993" s="7"/>
      <c r="D993" s="7"/>
      <c r="E993" s="4"/>
      <c r="F993" s="4" t="str">
        <f t="shared" si="3"/>
        <v/>
      </c>
    </row>
    <row r="994" spans="1:6" ht="14.25" customHeight="1" x14ac:dyDescent="0.3">
      <c r="A994" s="7"/>
      <c r="B994" s="7"/>
      <c r="C994" s="7"/>
      <c r="D994" s="7"/>
      <c r="E994" s="4"/>
      <c r="F994" s="4" t="str">
        <f t="shared" si="3"/>
        <v/>
      </c>
    </row>
    <row r="995" spans="1:6" ht="14.25" customHeight="1" x14ac:dyDescent="0.3">
      <c r="A995" s="7"/>
      <c r="B995" s="7"/>
      <c r="C995" s="7"/>
      <c r="D995" s="7"/>
      <c r="E995" s="4"/>
      <c r="F995" s="4" t="str">
        <f t="shared" si="3"/>
        <v/>
      </c>
    </row>
    <row r="996" spans="1:6" ht="14.25" customHeight="1" x14ac:dyDescent="0.3">
      <c r="A996" s="7"/>
      <c r="B996" s="7"/>
      <c r="C996" s="7"/>
      <c r="D996" s="7"/>
      <c r="E996" s="4"/>
      <c r="F996" s="4" t="str">
        <f t="shared" si="3"/>
        <v/>
      </c>
    </row>
    <row r="997" spans="1:6" ht="14.25" customHeight="1" x14ac:dyDescent="0.3">
      <c r="A997" s="7"/>
      <c r="B997" s="7"/>
      <c r="C997" s="7"/>
      <c r="D997" s="7"/>
      <c r="E997" s="4"/>
      <c r="F997" s="4" t="str">
        <f t="shared" si="3"/>
        <v/>
      </c>
    </row>
    <row r="998" spans="1:6" ht="14.25" customHeight="1" x14ac:dyDescent="0.3">
      <c r="A998" s="7"/>
      <c r="B998" s="7"/>
      <c r="C998" s="7"/>
      <c r="D998" s="7"/>
      <c r="E998" s="4"/>
      <c r="F998" s="4" t="str">
        <f t="shared" si="3"/>
        <v/>
      </c>
    </row>
    <row r="999" spans="1:6" ht="14.25" customHeight="1" x14ac:dyDescent="0.3">
      <c r="A999" s="7"/>
      <c r="B999" s="7"/>
      <c r="C999" s="7"/>
      <c r="D999" s="7"/>
      <c r="E999" s="4"/>
      <c r="F999" s="4" t="str">
        <f t="shared" si="3"/>
        <v/>
      </c>
    </row>
    <row r="1000" spans="1:6" ht="14.25" customHeight="1" x14ac:dyDescent="0.3">
      <c r="A1000" s="7"/>
      <c r="B1000" s="7"/>
      <c r="C1000" s="7"/>
      <c r="D1000" s="7"/>
      <c r="E1000" s="4"/>
      <c r="F1000" s="4" t="str">
        <f t="shared" si="3"/>
        <v/>
      </c>
    </row>
    <row r="1001" spans="1:6" ht="14.25" customHeight="1" x14ac:dyDescent="0.3">
      <c r="E1001" s="4"/>
      <c r="F1001" s="4" t="str">
        <f t="shared" si="3"/>
        <v/>
      </c>
    </row>
  </sheetData>
  <mergeCells count="1">
    <mergeCell ref="G2:H2"/>
  </mergeCells>
  <conditionalFormatting sqref="A3:D1000">
    <cfRule type="containsBlanks" dxfId="1" priority="1">
      <formula>LEN(TRIM(A3))=0</formula>
    </cfRule>
  </conditionalFormatting>
  <conditionalFormatting sqref="E3:E1001">
    <cfRule type="containsBlanks" dxfId="0" priority="2">
      <formula>LEN(TRIM(E3))=0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Calculation!$U$6:$U$12</xm:f>
          </x14:formula1>
          <xm:sqref>E3:E1001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5"/>
  <sheetViews>
    <sheetView workbookViewId="0"/>
  </sheetViews>
  <sheetFormatPr defaultColWidth="14.44140625" defaultRowHeight="15" customHeight="1" x14ac:dyDescent="0.3"/>
  <cols>
    <col min="1" max="4" width="8.88671875" customWidth="1"/>
    <col min="5" max="5" width="9" customWidth="1"/>
    <col min="6" max="6" width="7.33203125" customWidth="1"/>
    <col min="7" max="7" width="14.109375" customWidth="1"/>
    <col min="8" max="19" width="8.88671875" customWidth="1"/>
    <col min="20" max="20" width="4" customWidth="1"/>
    <col min="21" max="21" width="19.88671875" customWidth="1"/>
    <col min="22" max="26" width="8.6640625" customWidth="1"/>
  </cols>
  <sheetData>
    <row r="1" spans="1:22" ht="14.25" customHeight="1" x14ac:dyDescent="0.3">
      <c r="L1" s="4" t="s">
        <v>53</v>
      </c>
      <c r="M1" s="21">
        <f t="shared" ref="M1:S1" ca="1" si="0">(IF(SUM(M6:M1005)=0,RAND()/1000,SUM(M6:M1005)+(RAND()/1000)))</f>
        <v>8.000454399331197</v>
      </c>
      <c r="N1" s="21">
        <f t="shared" ca="1" si="0"/>
        <v>6.0009209398160941</v>
      </c>
      <c r="O1" s="21">
        <f t="shared" ca="1" si="0"/>
        <v>12.000694958452543</v>
      </c>
      <c r="P1" s="21">
        <f t="shared" ca="1" si="0"/>
        <v>10.000351262416673</v>
      </c>
      <c r="Q1" s="21">
        <f t="shared" ca="1" si="0"/>
        <v>2.0009449336219798</v>
      </c>
      <c r="R1" s="21">
        <f t="shared" ca="1" si="0"/>
        <v>1.0009233495074337</v>
      </c>
      <c r="S1" s="21">
        <f t="shared" ca="1" si="0"/>
        <v>3.5197042118134903E-4</v>
      </c>
      <c r="T1" s="22"/>
    </row>
    <row r="2" spans="1:22" ht="14.25" customHeight="1" x14ac:dyDescent="0.3">
      <c r="L2" s="4" t="s">
        <v>54</v>
      </c>
      <c r="M2" s="4">
        <f t="shared" ref="M2:S2" ca="1" si="1">IFERROR(RANK(M1,$M$1:$R$1,0),"")</f>
        <v>3</v>
      </c>
      <c r="N2" s="4">
        <f t="shared" ca="1" si="1"/>
        <v>4</v>
      </c>
      <c r="O2" s="4">
        <f t="shared" ca="1" si="1"/>
        <v>1</v>
      </c>
      <c r="P2" s="4">
        <f t="shared" ca="1" si="1"/>
        <v>2</v>
      </c>
      <c r="Q2" s="4">
        <f t="shared" ca="1" si="1"/>
        <v>5</v>
      </c>
      <c r="R2" s="4">
        <f t="shared" ca="1" si="1"/>
        <v>6</v>
      </c>
      <c r="S2" s="4" t="str">
        <f t="shared" ca="1" si="1"/>
        <v/>
      </c>
      <c r="T2" s="22"/>
    </row>
    <row r="3" spans="1:22" ht="14.25" customHeight="1" x14ac:dyDescent="0.3">
      <c r="M3" s="4">
        <v>1</v>
      </c>
      <c r="N3" s="4">
        <v>2</v>
      </c>
      <c r="O3" s="4">
        <v>3</v>
      </c>
      <c r="P3" s="4">
        <v>4</v>
      </c>
      <c r="Q3" s="4">
        <v>5</v>
      </c>
      <c r="R3" s="4">
        <v>6</v>
      </c>
      <c r="T3" s="22"/>
    </row>
    <row r="4" spans="1:22" ht="29.25" customHeight="1" x14ac:dyDescent="0.3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54</v>
      </c>
      <c r="H4" s="23">
        <f ca="1">MAX(E6:E1004)</f>
        <v>5</v>
      </c>
      <c r="K4" s="4" t="s">
        <v>61</v>
      </c>
      <c r="L4" s="4" t="s">
        <v>62</v>
      </c>
      <c r="M4" s="4" t="s">
        <v>39</v>
      </c>
      <c r="N4" s="4" t="s">
        <v>34</v>
      </c>
      <c r="O4" s="4" t="s">
        <v>28</v>
      </c>
      <c r="P4" s="4" t="s">
        <v>24</v>
      </c>
      <c r="Q4" s="4" t="s">
        <v>63</v>
      </c>
      <c r="R4" s="4" t="s">
        <v>64</v>
      </c>
      <c r="S4" s="4" t="s">
        <v>65</v>
      </c>
      <c r="T4" s="22"/>
      <c r="U4" s="46" t="s">
        <v>66</v>
      </c>
    </row>
    <row r="5" spans="1:22" ht="29.25" customHeight="1" x14ac:dyDescent="0.3">
      <c r="H5" s="23"/>
      <c r="M5" s="4">
        <v>1</v>
      </c>
      <c r="N5" s="4">
        <v>2</v>
      </c>
      <c r="O5" s="4">
        <v>3</v>
      </c>
      <c r="P5" s="4">
        <v>4</v>
      </c>
      <c r="Q5" s="4">
        <v>5</v>
      </c>
      <c r="R5" s="4">
        <v>6</v>
      </c>
      <c r="T5" s="22"/>
      <c r="U5" s="45"/>
    </row>
    <row r="6" spans="1:22" ht="14.25" customHeight="1" x14ac:dyDescent="0.3">
      <c r="A6" s="4" t="str">
        <f>IF('Input Sheet'!B3=0,"",'Input Sheet'!B3)</f>
        <v>Number Patterns</v>
      </c>
      <c r="B6" s="24" t="b">
        <f t="shared" ref="B6:B260" si="2">IFERROR(VLOOKUP(A6,$A7:A$1005,1,FALSE)=0,1)</f>
        <v>0</v>
      </c>
      <c r="C6" s="4">
        <f>SUMIF('Input Sheet'!B$3:B$1000,A6,'Input Sheet'!C$3:C$1000)</f>
        <v>6</v>
      </c>
      <c r="D6" s="4">
        <f>SUMIF('Input Sheet'!B$3:B$1000,A6,'Input Sheet'!D$3:D$1000)</f>
        <v>18</v>
      </c>
      <c r="E6" s="4" t="str">
        <f t="shared" ref="E6:F6" ca="1" si="3">IFERROR(RANK(K6,K$6:K$1004,1),"")</f>
        <v/>
      </c>
      <c r="F6" s="4" t="str">
        <f t="shared" ca="1" si="3"/>
        <v/>
      </c>
      <c r="G6" s="4" t="str">
        <f t="shared" ref="G6:G260" ca="1" si="4">IFERROR(RANK(L6,L$6:L$1004,0),"")</f>
        <v/>
      </c>
      <c r="H6" s="4" t="str">
        <f t="shared" ref="H6:H260" si="5">IF($B6=1,$A6,"")</f>
        <v/>
      </c>
      <c r="I6" s="4" t="str">
        <f t="shared" ref="I6:I260" si="6">IF($B6=1,$C6,"")</f>
        <v/>
      </c>
      <c r="J6" s="4" t="str">
        <f t="shared" ref="J6:J260" si="7">IF($B6=1,$D6,"")</f>
        <v/>
      </c>
      <c r="K6" s="25" t="str">
        <f t="shared" ref="K6:K260" ca="1" si="8">IF($B6=1,$C6/$D6+RAND()/1000,"")</f>
        <v/>
      </c>
      <c r="L6" s="21" t="str">
        <f t="shared" ref="L6:L260" ca="1" si="9">IF($B6=1,$D6-$C6+RAND()/1000,"")</f>
        <v/>
      </c>
      <c r="M6" s="21" t="str">
        <f>IF(SUMIFS('Input Sheet'!$F$3:$F$1001,'Input Sheet'!$B$3:$B$1001,$H6,'Input Sheet'!$E$3:$E$1001,M$4)=0,"",SUMIFS('Input Sheet'!$F$3:$F$1001,'Input Sheet'!$B$3:$B$1001,$H6,'Input Sheet'!$E$3:$E$1001,M$4))</f>
        <v/>
      </c>
      <c r="N6" s="21" t="str">
        <f>IF(SUMIFS('Input Sheet'!$F$3:$F$1001,'Input Sheet'!$B$3:$B$1001,$H6,'Input Sheet'!$E$3:$E$1001,N$4)=0,"",SUMIFS('Input Sheet'!$F$3:$F$1001,'Input Sheet'!$B$3:$B$1001,$H6,'Input Sheet'!$E$3:$E$1001,N$4))</f>
        <v/>
      </c>
      <c r="O6" s="21" t="str">
        <f>IF(SUMIFS('Input Sheet'!$F$3:$F$1001,'Input Sheet'!$B$3:$B$1001,$H6,'Input Sheet'!$E$3:$E$1001,O$4)=0,"",SUMIFS('Input Sheet'!$F$3:$F$1001,'Input Sheet'!$B$3:$B$1001,$H6,'Input Sheet'!$E$3:$E$1001,O$4))</f>
        <v/>
      </c>
      <c r="P6" s="21" t="str">
        <f>IF(SUMIFS('Input Sheet'!$F$3:$F$1001,'Input Sheet'!$B$3:$B$1001,$H6,'Input Sheet'!$E$3:$E$1001,P$4)=0,"",SUMIFS('Input Sheet'!$F$3:$F$1001,'Input Sheet'!$B$3:$B$1001,$H6,'Input Sheet'!$E$3:$E$1001,P$4))</f>
        <v/>
      </c>
      <c r="Q6" s="21" t="str">
        <f>IF(SUMIFS('Input Sheet'!$F$3:$F$1001,'Input Sheet'!$B$3:$B$1001,$H6,'Input Sheet'!$E$3:$E$1001,Q$4)=0,"",SUMIFS('Input Sheet'!$F$3:$F$1001,'Input Sheet'!$B$3:$B$1001,$H6,'Input Sheet'!$E$3:$E$1001,Q$4))</f>
        <v/>
      </c>
      <c r="R6" s="21" t="str">
        <f>IF(SUMIFS('Input Sheet'!$F$3:$F$1001,'Input Sheet'!$B$3:$B$1001,$H6,'Input Sheet'!$E$3:$E$1001,R$4)=0,"",SUMIFS('Input Sheet'!$F$3:$F$1001,'Input Sheet'!$B$3:$B$1001,$H6,'Input Sheet'!$E$3:$E$1001,R$4))</f>
        <v/>
      </c>
      <c r="S6" s="21" t="str">
        <f>IF(SUMIFS('Input Sheet'!$F$3:$F$1001,'Input Sheet'!$B$3:$B$1001,$H6,'Input Sheet'!$E$3:$E$1001,S$4)=0,"",SUMIFS('Input Sheet'!$F$3:$F$1001,'Input Sheet'!$B$3:$B$1001,$H6,'Input Sheet'!$E$3:$E$1001,S$4))</f>
        <v/>
      </c>
      <c r="T6" s="22">
        <v>1</v>
      </c>
      <c r="U6" s="4" t="s">
        <v>39</v>
      </c>
      <c r="V6" s="21">
        <f>SUM(M6:M1005)</f>
        <v>8</v>
      </c>
    </row>
    <row r="7" spans="1:22" ht="14.25" customHeight="1" x14ac:dyDescent="0.3">
      <c r="A7" s="4" t="str">
        <f>IF('Input Sheet'!B4=0,"",'Input Sheet'!B4)</f>
        <v>Number Patterns</v>
      </c>
      <c r="B7" s="24" t="b">
        <f t="shared" si="2"/>
        <v>0</v>
      </c>
      <c r="C7" s="4">
        <f>SUMIF('Input Sheet'!B$3:B$1000,A7,'Input Sheet'!C$3:C$1000)</f>
        <v>6</v>
      </c>
      <c r="D7" s="4">
        <f>SUMIF('Input Sheet'!B$3:B$1000,A7,'Input Sheet'!D$3:D$1000)</f>
        <v>18</v>
      </c>
      <c r="E7" s="4" t="str">
        <f t="shared" ref="E7:F7" ca="1" si="10">IFERROR(RANK(K7,K$6:K$1004,1),"")</f>
        <v/>
      </c>
      <c r="F7" s="4" t="str">
        <f t="shared" ca="1" si="10"/>
        <v/>
      </c>
      <c r="G7" s="4" t="str">
        <f t="shared" ca="1" si="4"/>
        <v/>
      </c>
      <c r="H7" s="4" t="str">
        <f t="shared" si="5"/>
        <v/>
      </c>
      <c r="I7" s="4" t="str">
        <f t="shared" si="6"/>
        <v/>
      </c>
      <c r="J7" s="4" t="str">
        <f t="shared" si="7"/>
        <v/>
      </c>
      <c r="K7" s="25" t="str">
        <f t="shared" ca="1" si="8"/>
        <v/>
      </c>
      <c r="L7" s="21" t="str">
        <f t="shared" ca="1" si="9"/>
        <v/>
      </c>
      <c r="M7" s="21" t="str">
        <f>IF(SUMIFS('Input Sheet'!$F$3:$F$1001,'Input Sheet'!$B$3:$B$1001,$H7,'Input Sheet'!$E$3:$E$1001,M$4)=0,"",SUMIFS('Input Sheet'!$F$3:$F$1001,'Input Sheet'!$B$3:$B$1001,$H7,'Input Sheet'!$E$3:$E$1001,M$4))</f>
        <v/>
      </c>
      <c r="N7" s="21" t="str">
        <f>IF(SUMIFS('Input Sheet'!$F$3:$F$1001,'Input Sheet'!$B$3:$B$1001,$H7,'Input Sheet'!$E$3:$E$1001,N$4)=0,"",SUMIFS('Input Sheet'!$F$3:$F$1001,'Input Sheet'!$B$3:$B$1001,$H7,'Input Sheet'!$E$3:$E$1001,N$4))</f>
        <v/>
      </c>
      <c r="O7" s="21" t="str">
        <f>IF(SUMIFS('Input Sheet'!$F$3:$F$1001,'Input Sheet'!$B$3:$B$1001,$H7,'Input Sheet'!$E$3:$E$1001,O$4)=0,"",SUMIFS('Input Sheet'!$F$3:$F$1001,'Input Sheet'!$B$3:$B$1001,$H7,'Input Sheet'!$E$3:$E$1001,O$4))</f>
        <v/>
      </c>
      <c r="P7" s="21" t="str">
        <f>IF(SUMIFS('Input Sheet'!$F$3:$F$1001,'Input Sheet'!$B$3:$B$1001,$H7,'Input Sheet'!$E$3:$E$1001,P$4)=0,"",SUMIFS('Input Sheet'!$F$3:$F$1001,'Input Sheet'!$B$3:$B$1001,$H7,'Input Sheet'!$E$3:$E$1001,P$4))</f>
        <v/>
      </c>
      <c r="Q7" s="21" t="str">
        <f>IF(SUMIFS('Input Sheet'!$F$3:$F$1001,'Input Sheet'!$B$3:$B$1001,$H7,'Input Sheet'!$E$3:$E$1001,Q$4)=0,"",SUMIFS('Input Sheet'!$F$3:$F$1001,'Input Sheet'!$B$3:$B$1001,$H7,'Input Sheet'!$E$3:$E$1001,Q$4))</f>
        <v/>
      </c>
      <c r="R7" s="21" t="str">
        <f>IF(SUMIFS('Input Sheet'!$F$3:$F$1001,'Input Sheet'!$B$3:$B$1001,$H7,'Input Sheet'!$E$3:$E$1001,R$4)=0,"",SUMIFS('Input Sheet'!$F$3:$F$1001,'Input Sheet'!$B$3:$B$1001,$H7,'Input Sheet'!$E$3:$E$1001,R$4))</f>
        <v/>
      </c>
      <c r="S7" s="21" t="str">
        <f>IF(SUMIFS('Input Sheet'!$F$3:$F$1001,'Input Sheet'!$B$3:$B$1001,$H7,'Input Sheet'!$E$3:$E$1001,S$4)=0,"",SUMIFS('Input Sheet'!$F$3:$F$1001,'Input Sheet'!$B$3:$B$1001,$H7,'Input Sheet'!$E$3:$E$1001,S$4))</f>
        <v/>
      </c>
      <c r="T7" s="22">
        <v>2</v>
      </c>
      <c r="U7" s="4" t="s">
        <v>34</v>
      </c>
      <c r="V7" s="21">
        <f>SUM(N6:N1005)</f>
        <v>6</v>
      </c>
    </row>
    <row r="8" spans="1:22" ht="14.25" customHeight="1" x14ac:dyDescent="0.3">
      <c r="A8" s="4" t="str">
        <f>IF('Input Sheet'!B5=0,"",'Input Sheet'!B5)</f>
        <v>Number Patterns</v>
      </c>
      <c r="B8" s="24" t="b">
        <f t="shared" si="2"/>
        <v>0</v>
      </c>
      <c r="C8" s="4">
        <f>SUMIF('Input Sheet'!B$3:B$1000,A8,'Input Sheet'!C$3:C$1000)</f>
        <v>6</v>
      </c>
      <c r="D8" s="4">
        <f>SUMIF('Input Sheet'!B$3:B$1000,A8,'Input Sheet'!D$3:D$1000)</f>
        <v>18</v>
      </c>
      <c r="E8" s="4" t="str">
        <f t="shared" ref="E8:F8" ca="1" si="11">IFERROR(RANK(K8,K$6:K$1004,1),"")</f>
        <v/>
      </c>
      <c r="F8" s="4" t="str">
        <f t="shared" ca="1" si="11"/>
        <v/>
      </c>
      <c r="G8" s="4" t="str">
        <f t="shared" ca="1" si="4"/>
        <v/>
      </c>
      <c r="H8" s="4" t="str">
        <f t="shared" si="5"/>
        <v/>
      </c>
      <c r="I8" s="4" t="str">
        <f t="shared" si="6"/>
        <v/>
      </c>
      <c r="J8" s="4" t="str">
        <f t="shared" si="7"/>
        <v/>
      </c>
      <c r="K8" s="25" t="str">
        <f t="shared" ca="1" si="8"/>
        <v/>
      </c>
      <c r="L8" s="21" t="str">
        <f t="shared" ca="1" si="9"/>
        <v/>
      </c>
      <c r="M8" s="21" t="str">
        <f>IF(SUMIFS('Input Sheet'!$F$3:$F$1001,'Input Sheet'!$B$3:$B$1001,$H8,'Input Sheet'!$E$3:$E$1001,M$4)=0,"",SUMIFS('Input Sheet'!$F$3:$F$1001,'Input Sheet'!$B$3:$B$1001,$H8,'Input Sheet'!$E$3:$E$1001,M$4))</f>
        <v/>
      </c>
      <c r="N8" s="21" t="str">
        <f>IF(SUMIFS('Input Sheet'!$F$3:$F$1001,'Input Sheet'!$B$3:$B$1001,$H8,'Input Sheet'!$E$3:$E$1001,N$4)=0,"",SUMIFS('Input Sheet'!$F$3:$F$1001,'Input Sheet'!$B$3:$B$1001,$H8,'Input Sheet'!$E$3:$E$1001,N$4))</f>
        <v/>
      </c>
      <c r="O8" s="21" t="str">
        <f>IF(SUMIFS('Input Sheet'!$F$3:$F$1001,'Input Sheet'!$B$3:$B$1001,$H8,'Input Sheet'!$E$3:$E$1001,O$4)=0,"",SUMIFS('Input Sheet'!$F$3:$F$1001,'Input Sheet'!$B$3:$B$1001,$H8,'Input Sheet'!$E$3:$E$1001,O$4))</f>
        <v/>
      </c>
      <c r="P8" s="21" t="str">
        <f>IF(SUMIFS('Input Sheet'!$F$3:$F$1001,'Input Sheet'!$B$3:$B$1001,$H8,'Input Sheet'!$E$3:$E$1001,P$4)=0,"",SUMIFS('Input Sheet'!$F$3:$F$1001,'Input Sheet'!$B$3:$B$1001,$H8,'Input Sheet'!$E$3:$E$1001,P$4))</f>
        <v/>
      </c>
      <c r="Q8" s="21" t="str">
        <f>IF(SUMIFS('Input Sheet'!$F$3:$F$1001,'Input Sheet'!$B$3:$B$1001,$H8,'Input Sheet'!$E$3:$E$1001,Q$4)=0,"",SUMIFS('Input Sheet'!$F$3:$F$1001,'Input Sheet'!$B$3:$B$1001,$H8,'Input Sheet'!$E$3:$E$1001,Q$4))</f>
        <v/>
      </c>
      <c r="R8" s="21" t="str">
        <f>IF(SUMIFS('Input Sheet'!$F$3:$F$1001,'Input Sheet'!$B$3:$B$1001,$H8,'Input Sheet'!$E$3:$E$1001,R$4)=0,"",SUMIFS('Input Sheet'!$F$3:$F$1001,'Input Sheet'!$B$3:$B$1001,$H8,'Input Sheet'!$E$3:$E$1001,R$4))</f>
        <v/>
      </c>
      <c r="S8" s="21" t="str">
        <f>IF(SUMIFS('Input Sheet'!$F$3:$F$1001,'Input Sheet'!$B$3:$B$1001,$H8,'Input Sheet'!$E$3:$E$1001,S$4)=0,"",SUMIFS('Input Sheet'!$F$3:$F$1001,'Input Sheet'!$B$3:$B$1001,$H8,'Input Sheet'!$E$3:$E$1001,S$4))</f>
        <v/>
      </c>
      <c r="T8" s="22">
        <v>3</v>
      </c>
      <c r="U8" s="4" t="s">
        <v>28</v>
      </c>
      <c r="V8" s="21">
        <f>SUM(O6:O1005)</f>
        <v>12</v>
      </c>
    </row>
    <row r="9" spans="1:22" ht="14.25" customHeight="1" x14ac:dyDescent="0.3">
      <c r="A9" s="4" t="str">
        <f>IF('Input Sheet'!B6=0,"",'Input Sheet'!B6)</f>
        <v>Exponents</v>
      </c>
      <c r="B9" s="24" t="b">
        <f t="shared" si="2"/>
        <v>0</v>
      </c>
      <c r="C9" s="4">
        <f>SUMIF('Input Sheet'!B$3:B$1000,A9,'Input Sheet'!C$3:C$1000)</f>
        <v>0</v>
      </c>
      <c r="D9" s="4">
        <f>SUMIF('Input Sheet'!B$3:B$1000,A9,'Input Sheet'!D$3:D$1000)</f>
        <v>16</v>
      </c>
      <c r="E9" s="4" t="str">
        <f t="shared" ref="E9:F9" ca="1" si="12">IFERROR(RANK(K9,K$6:K$1004,1),"")</f>
        <v/>
      </c>
      <c r="F9" s="4" t="str">
        <f t="shared" ca="1" si="12"/>
        <v/>
      </c>
      <c r="G9" s="4" t="str">
        <f t="shared" ca="1" si="4"/>
        <v/>
      </c>
      <c r="H9" s="4" t="str">
        <f t="shared" si="5"/>
        <v/>
      </c>
      <c r="I9" s="4" t="str">
        <f t="shared" si="6"/>
        <v/>
      </c>
      <c r="J9" s="4" t="str">
        <f t="shared" si="7"/>
        <v/>
      </c>
      <c r="K9" s="25" t="str">
        <f t="shared" ca="1" si="8"/>
        <v/>
      </c>
      <c r="L9" s="21" t="str">
        <f t="shared" ca="1" si="9"/>
        <v/>
      </c>
      <c r="M9" s="21" t="str">
        <f>IF(SUMIFS('Input Sheet'!$F$3:$F$1001,'Input Sheet'!$B$3:$B$1001,$H9,'Input Sheet'!$E$3:$E$1001,M$4)=0,"",SUMIFS('Input Sheet'!$F$3:$F$1001,'Input Sheet'!$B$3:$B$1001,$H9,'Input Sheet'!$E$3:$E$1001,M$4))</f>
        <v/>
      </c>
      <c r="N9" s="21" t="str">
        <f>IF(SUMIFS('Input Sheet'!$F$3:$F$1001,'Input Sheet'!$B$3:$B$1001,$H9,'Input Sheet'!$E$3:$E$1001,N$4)=0,"",SUMIFS('Input Sheet'!$F$3:$F$1001,'Input Sheet'!$B$3:$B$1001,$H9,'Input Sheet'!$E$3:$E$1001,N$4))</f>
        <v/>
      </c>
      <c r="O9" s="21" t="str">
        <f>IF(SUMIFS('Input Sheet'!$F$3:$F$1001,'Input Sheet'!$B$3:$B$1001,$H9,'Input Sheet'!$E$3:$E$1001,O$4)=0,"",SUMIFS('Input Sheet'!$F$3:$F$1001,'Input Sheet'!$B$3:$B$1001,$H9,'Input Sheet'!$E$3:$E$1001,O$4))</f>
        <v/>
      </c>
      <c r="P9" s="21" t="str">
        <f>IF(SUMIFS('Input Sheet'!$F$3:$F$1001,'Input Sheet'!$B$3:$B$1001,$H9,'Input Sheet'!$E$3:$E$1001,P$4)=0,"",SUMIFS('Input Sheet'!$F$3:$F$1001,'Input Sheet'!$B$3:$B$1001,$H9,'Input Sheet'!$E$3:$E$1001,P$4))</f>
        <v/>
      </c>
      <c r="Q9" s="21" t="str">
        <f>IF(SUMIFS('Input Sheet'!$F$3:$F$1001,'Input Sheet'!$B$3:$B$1001,$H9,'Input Sheet'!$E$3:$E$1001,Q$4)=0,"",SUMIFS('Input Sheet'!$F$3:$F$1001,'Input Sheet'!$B$3:$B$1001,$H9,'Input Sheet'!$E$3:$E$1001,Q$4))</f>
        <v/>
      </c>
      <c r="R9" s="21" t="str">
        <f>IF(SUMIFS('Input Sheet'!$F$3:$F$1001,'Input Sheet'!$B$3:$B$1001,$H9,'Input Sheet'!$E$3:$E$1001,R$4)=0,"",SUMIFS('Input Sheet'!$F$3:$F$1001,'Input Sheet'!$B$3:$B$1001,$H9,'Input Sheet'!$E$3:$E$1001,R$4))</f>
        <v/>
      </c>
      <c r="S9" s="21" t="str">
        <f>IF(SUMIFS('Input Sheet'!$F$3:$F$1001,'Input Sheet'!$B$3:$B$1001,$H9,'Input Sheet'!$E$3:$E$1001,S$4)=0,"",SUMIFS('Input Sheet'!$F$3:$F$1001,'Input Sheet'!$B$3:$B$1001,$H9,'Input Sheet'!$E$3:$E$1001,S$4))</f>
        <v/>
      </c>
      <c r="T9" s="22">
        <v>4</v>
      </c>
      <c r="U9" s="4" t="s">
        <v>24</v>
      </c>
      <c r="V9" s="21">
        <f>SUM(P6:P1005)</f>
        <v>10</v>
      </c>
    </row>
    <row r="10" spans="1:22" ht="14.25" customHeight="1" x14ac:dyDescent="0.3">
      <c r="A10" s="4" t="str">
        <f>IF('Input Sheet'!B7=0,"",'Input Sheet'!B7)</f>
        <v>Exponents</v>
      </c>
      <c r="B10" s="24" t="b">
        <f t="shared" si="2"/>
        <v>0</v>
      </c>
      <c r="C10" s="4">
        <f>SUMIF('Input Sheet'!B$3:B$1000,A10,'Input Sheet'!C$3:C$1000)</f>
        <v>0</v>
      </c>
      <c r="D10" s="4">
        <f>SUMIF('Input Sheet'!B$3:B$1000,A10,'Input Sheet'!D$3:D$1000)</f>
        <v>16</v>
      </c>
      <c r="E10" s="4" t="str">
        <f t="shared" ref="E10:F10" ca="1" si="13">IFERROR(RANK(K10,K$6:K$1004,1),"")</f>
        <v/>
      </c>
      <c r="F10" s="4" t="str">
        <f t="shared" ca="1" si="13"/>
        <v/>
      </c>
      <c r="G10" s="4" t="str">
        <f t="shared" ca="1" si="4"/>
        <v/>
      </c>
      <c r="H10" s="4" t="str">
        <f t="shared" si="5"/>
        <v/>
      </c>
      <c r="I10" s="4" t="str">
        <f t="shared" si="6"/>
        <v/>
      </c>
      <c r="J10" s="4" t="str">
        <f t="shared" si="7"/>
        <v/>
      </c>
      <c r="K10" s="25" t="str">
        <f t="shared" ca="1" si="8"/>
        <v/>
      </c>
      <c r="L10" s="21" t="str">
        <f t="shared" ca="1" si="9"/>
        <v/>
      </c>
      <c r="M10" s="21" t="str">
        <f>IF(SUMIFS('Input Sheet'!$F$3:$F$1001,'Input Sheet'!$B$3:$B$1001,$H10,'Input Sheet'!$E$3:$E$1001,M$4)=0,"",SUMIFS('Input Sheet'!$F$3:$F$1001,'Input Sheet'!$B$3:$B$1001,$H10,'Input Sheet'!$E$3:$E$1001,M$4))</f>
        <v/>
      </c>
      <c r="N10" s="21" t="str">
        <f>IF(SUMIFS('Input Sheet'!$F$3:$F$1001,'Input Sheet'!$B$3:$B$1001,$H10,'Input Sheet'!$E$3:$E$1001,N$4)=0,"",SUMIFS('Input Sheet'!$F$3:$F$1001,'Input Sheet'!$B$3:$B$1001,$H10,'Input Sheet'!$E$3:$E$1001,N$4))</f>
        <v/>
      </c>
      <c r="O10" s="21" t="str">
        <f>IF(SUMIFS('Input Sheet'!$F$3:$F$1001,'Input Sheet'!$B$3:$B$1001,$H10,'Input Sheet'!$E$3:$E$1001,O$4)=0,"",SUMIFS('Input Sheet'!$F$3:$F$1001,'Input Sheet'!$B$3:$B$1001,$H10,'Input Sheet'!$E$3:$E$1001,O$4))</f>
        <v/>
      </c>
      <c r="P10" s="21" t="str">
        <f>IF(SUMIFS('Input Sheet'!$F$3:$F$1001,'Input Sheet'!$B$3:$B$1001,$H10,'Input Sheet'!$E$3:$E$1001,P$4)=0,"",SUMIFS('Input Sheet'!$F$3:$F$1001,'Input Sheet'!$B$3:$B$1001,$H10,'Input Sheet'!$E$3:$E$1001,P$4))</f>
        <v/>
      </c>
      <c r="Q10" s="21" t="str">
        <f>IF(SUMIFS('Input Sheet'!$F$3:$F$1001,'Input Sheet'!$B$3:$B$1001,$H10,'Input Sheet'!$E$3:$E$1001,Q$4)=0,"",SUMIFS('Input Sheet'!$F$3:$F$1001,'Input Sheet'!$B$3:$B$1001,$H10,'Input Sheet'!$E$3:$E$1001,Q$4))</f>
        <v/>
      </c>
      <c r="R10" s="21" t="str">
        <f>IF(SUMIFS('Input Sheet'!$F$3:$F$1001,'Input Sheet'!$B$3:$B$1001,$H10,'Input Sheet'!$E$3:$E$1001,R$4)=0,"",SUMIFS('Input Sheet'!$F$3:$F$1001,'Input Sheet'!$B$3:$B$1001,$H10,'Input Sheet'!$E$3:$E$1001,R$4))</f>
        <v/>
      </c>
      <c r="S10" s="21" t="str">
        <f>IF(SUMIFS('Input Sheet'!$F$3:$F$1001,'Input Sheet'!$B$3:$B$1001,$H10,'Input Sheet'!$E$3:$E$1001,S$4)=0,"",SUMIFS('Input Sheet'!$F$3:$F$1001,'Input Sheet'!$B$3:$B$1001,$H10,'Input Sheet'!$E$3:$E$1001,S$4))</f>
        <v/>
      </c>
      <c r="T10" s="22">
        <v>5</v>
      </c>
      <c r="U10" s="4" t="s">
        <v>63</v>
      </c>
      <c r="V10" s="21">
        <f>SUM(Q6:Q1005)</f>
        <v>2</v>
      </c>
    </row>
    <row r="11" spans="1:22" ht="14.25" customHeight="1" x14ac:dyDescent="0.3">
      <c r="A11" s="4" t="str">
        <f>IF('Input Sheet'!B8=0,"",'Input Sheet'!B8)</f>
        <v>Algebraic Expressions</v>
      </c>
      <c r="B11" s="24" t="b">
        <f t="shared" si="2"/>
        <v>0</v>
      </c>
      <c r="C11" s="4">
        <f>SUMIF('Input Sheet'!B$3:B$1000,A11,'Input Sheet'!C$3:C$1000)</f>
        <v>0</v>
      </c>
      <c r="D11" s="4">
        <f>SUMIF('Input Sheet'!B$3:B$1000,A11,'Input Sheet'!D$3:D$1000)</f>
        <v>8</v>
      </c>
      <c r="E11" s="4" t="str">
        <f t="shared" ref="E11:F11" ca="1" si="14">IFERROR(RANK(K11,K$6:K$1004,1),"")</f>
        <v/>
      </c>
      <c r="F11" s="4" t="str">
        <f t="shared" ca="1" si="14"/>
        <v/>
      </c>
      <c r="G11" s="4" t="str">
        <f t="shared" ca="1" si="4"/>
        <v/>
      </c>
      <c r="H11" s="4" t="str">
        <f t="shared" si="5"/>
        <v/>
      </c>
      <c r="I11" s="4" t="str">
        <f t="shared" si="6"/>
        <v/>
      </c>
      <c r="J11" s="4" t="str">
        <f t="shared" si="7"/>
        <v/>
      </c>
      <c r="K11" s="25" t="str">
        <f t="shared" ca="1" si="8"/>
        <v/>
      </c>
      <c r="L11" s="21" t="str">
        <f t="shared" ca="1" si="9"/>
        <v/>
      </c>
      <c r="M11" s="21" t="str">
        <f>IF(SUMIFS('Input Sheet'!$F$3:$F$1001,'Input Sheet'!$B$3:$B$1001,$H11,'Input Sheet'!$E$3:$E$1001,M$4)=0,"",SUMIFS('Input Sheet'!$F$3:$F$1001,'Input Sheet'!$B$3:$B$1001,$H11,'Input Sheet'!$E$3:$E$1001,M$4))</f>
        <v/>
      </c>
      <c r="N11" s="21" t="str">
        <f>IF(SUMIFS('Input Sheet'!$F$3:$F$1001,'Input Sheet'!$B$3:$B$1001,$H11,'Input Sheet'!$E$3:$E$1001,N$4)=0,"",SUMIFS('Input Sheet'!$F$3:$F$1001,'Input Sheet'!$B$3:$B$1001,$H11,'Input Sheet'!$E$3:$E$1001,N$4))</f>
        <v/>
      </c>
      <c r="O11" s="21" t="str">
        <f>IF(SUMIFS('Input Sheet'!$F$3:$F$1001,'Input Sheet'!$B$3:$B$1001,$H11,'Input Sheet'!$E$3:$E$1001,O$4)=0,"",SUMIFS('Input Sheet'!$F$3:$F$1001,'Input Sheet'!$B$3:$B$1001,$H11,'Input Sheet'!$E$3:$E$1001,O$4))</f>
        <v/>
      </c>
      <c r="P11" s="21" t="str">
        <f>IF(SUMIFS('Input Sheet'!$F$3:$F$1001,'Input Sheet'!$B$3:$B$1001,$H11,'Input Sheet'!$E$3:$E$1001,P$4)=0,"",SUMIFS('Input Sheet'!$F$3:$F$1001,'Input Sheet'!$B$3:$B$1001,$H11,'Input Sheet'!$E$3:$E$1001,P$4))</f>
        <v/>
      </c>
      <c r="Q11" s="21" t="str">
        <f>IF(SUMIFS('Input Sheet'!$F$3:$F$1001,'Input Sheet'!$B$3:$B$1001,$H11,'Input Sheet'!$E$3:$E$1001,Q$4)=0,"",SUMIFS('Input Sheet'!$F$3:$F$1001,'Input Sheet'!$B$3:$B$1001,$H11,'Input Sheet'!$E$3:$E$1001,Q$4))</f>
        <v/>
      </c>
      <c r="R11" s="21" t="str">
        <f>IF(SUMIFS('Input Sheet'!$F$3:$F$1001,'Input Sheet'!$B$3:$B$1001,$H11,'Input Sheet'!$E$3:$E$1001,R$4)=0,"",SUMIFS('Input Sheet'!$F$3:$F$1001,'Input Sheet'!$B$3:$B$1001,$H11,'Input Sheet'!$E$3:$E$1001,R$4))</f>
        <v/>
      </c>
      <c r="S11" s="21" t="str">
        <f>IF(SUMIFS('Input Sheet'!$F$3:$F$1001,'Input Sheet'!$B$3:$B$1001,$H11,'Input Sheet'!$E$3:$E$1001,S$4)=0,"",SUMIFS('Input Sheet'!$F$3:$F$1001,'Input Sheet'!$B$3:$B$1001,$H11,'Input Sheet'!$E$3:$E$1001,S$4))</f>
        <v/>
      </c>
      <c r="T11" s="22">
        <v>6</v>
      </c>
      <c r="U11" s="4" t="s">
        <v>64</v>
      </c>
      <c r="V11" s="21">
        <f>SUM(R6:R1005)</f>
        <v>1</v>
      </c>
    </row>
    <row r="12" spans="1:22" ht="14.25" customHeight="1" x14ac:dyDescent="0.3">
      <c r="A12" s="4" t="str">
        <f>IF('Input Sheet'!B9=0,"",'Input Sheet'!B9)</f>
        <v>Number Patterns</v>
      </c>
      <c r="B12" s="24" t="b">
        <f t="shared" si="2"/>
        <v>0</v>
      </c>
      <c r="C12" s="4">
        <f>SUMIF('Input Sheet'!B$3:B$1000,A12,'Input Sheet'!C$3:C$1000)</f>
        <v>6</v>
      </c>
      <c r="D12" s="4">
        <f>SUMIF('Input Sheet'!B$3:B$1000,A12,'Input Sheet'!D$3:D$1000)</f>
        <v>18</v>
      </c>
      <c r="E12" s="4" t="str">
        <f t="shared" ref="E12:F12" ca="1" si="15">IFERROR(RANK(K12,K$6:K$1004,1),"")</f>
        <v/>
      </c>
      <c r="F12" s="4" t="str">
        <f t="shared" ca="1" si="15"/>
        <v/>
      </c>
      <c r="G12" s="4" t="str">
        <f t="shared" ca="1" si="4"/>
        <v/>
      </c>
      <c r="H12" s="4" t="str">
        <f t="shared" si="5"/>
        <v/>
      </c>
      <c r="I12" s="4" t="str">
        <f t="shared" si="6"/>
        <v/>
      </c>
      <c r="J12" s="4" t="str">
        <f t="shared" si="7"/>
        <v/>
      </c>
      <c r="K12" s="25" t="str">
        <f t="shared" ca="1" si="8"/>
        <v/>
      </c>
      <c r="L12" s="21" t="str">
        <f t="shared" ca="1" si="9"/>
        <v/>
      </c>
      <c r="M12" s="21" t="str">
        <f>IF(SUMIFS('Input Sheet'!$F$3:$F$1001,'Input Sheet'!$B$3:$B$1001,$H12,'Input Sheet'!$E$3:$E$1001,M$4)=0,"",SUMIFS('Input Sheet'!$F$3:$F$1001,'Input Sheet'!$B$3:$B$1001,$H12,'Input Sheet'!$E$3:$E$1001,M$4))</f>
        <v/>
      </c>
      <c r="N12" s="21" t="str">
        <f>IF(SUMIFS('Input Sheet'!$F$3:$F$1001,'Input Sheet'!$B$3:$B$1001,$H12,'Input Sheet'!$E$3:$E$1001,N$4)=0,"",SUMIFS('Input Sheet'!$F$3:$F$1001,'Input Sheet'!$B$3:$B$1001,$H12,'Input Sheet'!$E$3:$E$1001,N$4))</f>
        <v/>
      </c>
      <c r="O12" s="21" t="str">
        <f>IF(SUMIFS('Input Sheet'!$F$3:$F$1001,'Input Sheet'!$B$3:$B$1001,$H12,'Input Sheet'!$E$3:$E$1001,O$4)=0,"",SUMIFS('Input Sheet'!$F$3:$F$1001,'Input Sheet'!$B$3:$B$1001,$H12,'Input Sheet'!$E$3:$E$1001,O$4))</f>
        <v/>
      </c>
      <c r="P12" s="21" t="str">
        <f>IF(SUMIFS('Input Sheet'!$F$3:$F$1001,'Input Sheet'!$B$3:$B$1001,$H12,'Input Sheet'!$E$3:$E$1001,P$4)=0,"",SUMIFS('Input Sheet'!$F$3:$F$1001,'Input Sheet'!$B$3:$B$1001,$H12,'Input Sheet'!$E$3:$E$1001,P$4))</f>
        <v/>
      </c>
      <c r="Q12" s="21" t="str">
        <f>IF(SUMIFS('Input Sheet'!$F$3:$F$1001,'Input Sheet'!$B$3:$B$1001,$H12,'Input Sheet'!$E$3:$E$1001,Q$4)=0,"",SUMIFS('Input Sheet'!$F$3:$F$1001,'Input Sheet'!$B$3:$B$1001,$H12,'Input Sheet'!$E$3:$E$1001,Q$4))</f>
        <v/>
      </c>
      <c r="R12" s="21" t="str">
        <f>IF(SUMIFS('Input Sheet'!$F$3:$F$1001,'Input Sheet'!$B$3:$B$1001,$H12,'Input Sheet'!$E$3:$E$1001,R$4)=0,"",SUMIFS('Input Sheet'!$F$3:$F$1001,'Input Sheet'!$B$3:$B$1001,$H12,'Input Sheet'!$E$3:$E$1001,R$4))</f>
        <v/>
      </c>
      <c r="S12" s="21" t="str">
        <f>IF(SUMIFS('Input Sheet'!$F$3:$F$1001,'Input Sheet'!$B$3:$B$1001,$H12,'Input Sheet'!$E$3:$E$1001,S$4)=0,"",SUMIFS('Input Sheet'!$F$3:$F$1001,'Input Sheet'!$B$3:$B$1001,$H12,'Input Sheet'!$E$3:$E$1001,S$4))</f>
        <v/>
      </c>
      <c r="T12" s="22">
        <v>7</v>
      </c>
      <c r="U12" s="4" t="s">
        <v>19</v>
      </c>
    </row>
    <row r="13" spans="1:22" ht="14.25" customHeight="1" x14ac:dyDescent="0.3">
      <c r="A13" s="4" t="str">
        <f>IF('Input Sheet'!B10=0,"",'Input Sheet'!B10)</f>
        <v>Number Patterns</v>
      </c>
      <c r="B13" s="24" t="b">
        <f t="shared" si="2"/>
        <v>0</v>
      </c>
      <c r="C13" s="4">
        <f>SUMIF('Input Sheet'!B$3:B$1000,A13,'Input Sheet'!C$3:C$1000)</f>
        <v>6</v>
      </c>
      <c r="D13" s="4">
        <f>SUMIF('Input Sheet'!B$3:B$1000,A13,'Input Sheet'!D$3:D$1000)</f>
        <v>18</v>
      </c>
      <c r="E13" s="4" t="str">
        <f t="shared" ref="E13:F13" ca="1" si="16">IFERROR(RANK(K13,K$6:K$1004,1),"")</f>
        <v/>
      </c>
      <c r="F13" s="4" t="str">
        <f t="shared" ca="1" si="16"/>
        <v/>
      </c>
      <c r="G13" s="4" t="str">
        <f t="shared" ca="1" si="4"/>
        <v/>
      </c>
      <c r="H13" s="4" t="str">
        <f t="shared" si="5"/>
        <v/>
      </c>
      <c r="I13" s="4" t="str">
        <f t="shared" si="6"/>
        <v/>
      </c>
      <c r="J13" s="4" t="str">
        <f t="shared" si="7"/>
        <v/>
      </c>
      <c r="K13" s="25" t="str">
        <f t="shared" ca="1" si="8"/>
        <v/>
      </c>
      <c r="L13" s="21" t="str">
        <f t="shared" ca="1" si="9"/>
        <v/>
      </c>
      <c r="M13" s="21" t="str">
        <f>IF(SUMIFS('Input Sheet'!$F$3:$F$1001,'Input Sheet'!$B$3:$B$1001,$H13,'Input Sheet'!$E$3:$E$1001,M$4)=0,"",SUMIFS('Input Sheet'!$F$3:$F$1001,'Input Sheet'!$B$3:$B$1001,$H13,'Input Sheet'!$E$3:$E$1001,M$4))</f>
        <v/>
      </c>
      <c r="N13" s="21" t="str">
        <f>IF(SUMIFS('Input Sheet'!$F$3:$F$1001,'Input Sheet'!$B$3:$B$1001,$H13,'Input Sheet'!$E$3:$E$1001,N$4)=0,"",SUMIFS('Input Sheet'!$F$3:$F$1001,'Input Sheet'!$B$3:$B$1001,$H13,'Input Sheet'!$E$3:$E$1001,N$4))</f>
        <v/>
      </c>
      <c r="O13" s="21" t="str">
        <f>IF(SUMIFS('Input Sheet'!$F$3:$F$1001,'Input Sheet'!$B$3:$B$1001,$H13,'Input Sheet'!$E$3:$E$1001,O$4)=0,"",SUMIFS('Input Sheet'!$F$3:$F$1001,'Input Sheet'!$B$3:$B$1001,$H13,'Input Sheet'!$E$3:$E$1001,O$4))</f>
        <v/>
      </c>
      <c r="P13" s="21" t="str">
        <f>IF(SUMIFS('Input Sheet'!$F$3:$F$1001,'Input Sheet'!$B$3:$B$1001,$H13,'Input Sheet'!$E$3:$E$1001,P$4)=0,"",SUMIFS('Input Sheet'!$F$3:$F$1001,'Input Sheet'!$B$3:$B$1001,$H13,'Input Sheet'!$E$3:$E$1001,P$4))</f>
        <v/>
      </c>
      <c r="Q13" s="21" t="str">
        <f>IF(SUMIFS('Input Sheet'!$F$3:$F$1001,'Input Sheet'!$B$3:$B$1001,$H13,'Input Sheet'!$E$3:$E$1001,Q$4)=0,"",SUMIFS('Input Sheet'!$F$3:$F$1001,'Input Sheet'!$B$3:$B$1001,$H13,'Input Sheet'!$E$3:$E$1001,Q$4))</f>
        <v/>
      </c>
      <c r="R13" s="21" t="str">
        <f>IF(SUMIFS('Input Sheet'!$F$3:$F$1001,'Input Sheet'!$B$3:$B$1001,$H13,'Input Sheet'!$E$3:$E$1001,R$4)=0,"",SUMIFS('Input Sheet'!$F$3:$F$1001,'Input Sheet'!$B$3:$B$1001,$H13,'Input Sheet'!$E$3:$E$1001,R$4))</f>
        <v/>
      </c>
      <c r="S13" s="21" t="str">
        <f>IF(SUMIFS('Input Sheet'!$F$3:$F$1001,'Input Sheet'!$B$3:$B$1001,$H13,'Input Sheet'!$E$3:$E$1001,S$4)=0,"",SUMIFS('Input Sheet'!$F$3:$F$1001,'Input Sheet'!$B$3:$B$1001,$H13,'Input Sheet'!$E$3:$E$1001,S$4))</f>
        <v/>
      </c>
      <c r="T13" s="22">
        <v>8</v>
      </c>
    </row>
    <row r="14" spans="1:22" ht="14.25" customHeight="1" x14ac:dyDescent="0.3">
      <c r="A14" s="4" t="str">
        <f>IF('Input Sheet'!B11=0,"",'Input Sheet'!B11)</f>
        <v>Number Patterns</v>
      </c>
      <c r="B14" s="24">
        <f t="shared" si="2"/>
        <v>1</v>
      </c>
      <c r="C14" s="4">
        <f>SUMIF('Input Sheet'!B$3:B$1000,A14,'Input Sheet'!C$3:C$1000)</f>
        <v>6</v>
      </c>
      <c r="D14" s="4">
        <f>SUMIF('Input Sheet'!B$3:B$1000,A14,'Input Sheet'!D$3:D$1000)</f>
        <v>18</v>
      </c>
      <c r="E14" s="4">
        <f t="shared" ref="E14:F14" ca="1" si="17">IFERROR(RANK(K14,K$6:K$1004,1),"")</f>
        <v>3</v>
      </c>
      <c r="F14" s="4">
        <f t="shared" ca="1" si="17"/>
        <v>4</v>
      </c>
      <c r="G14" s="4">
        <f t="shared" ca="1" si="4"/>
        <v>2</v>
      </c>
      <c r="H14" s="4" t="str">
        <f t="shared" si="5"/>
        <v>Number Patterns</v>
      </c>
      <c r="I14" s="4">
        <f t="shared" si="6"/>
        <v>6</v>
      </c>
      <c r="J14" s="4">
        <f t="shared" si="7"/>
        <v>18</v>
      </c>
      <c r="K14" s="25">
        <f t="shared" ca="1" si="8"/>
        <v>0.33360770747580287</v>
      </c>
      <c r="L14" s="21">
        <f t="shared" ca="1" si="9"/>
        <v>12.000443945503426</v>
      </c>
      <c r="M14" s="21" t="str">
        <f>IF(SUMIFS('Input Sheet'!$F$3:$F$1001,'Input Sheet'!$B$3:$B$1001,$H14,'Input Sheet'!$E$3:$E$1001,M$4)=0,"",SUMIFS('Input Sheet'!$F$3:$F$1001,'Input Sheet'!$B$3:$B$1001,$H14,'Input Sheet'!$E$3:$E$1001,M$4))</f>
        <v/>
      </c>
      <c r="N14" s="21" t="str">
        <f>IF(SUMIFS('Input Sheet'!$F$3:$F$1001,'Input Sheet'!$B$3:$B$1001,$H14,'Input Sheet'!$E$3:$E$1001,N$4)=0,"",SUMIFS('Input Sheet'!$F$3:$F$1001,'Input Sheet'!$B$3:$B$1001,$H14,'Input Sheet'!$E$3:$E$1001,N$4))</f>
        <v/>
      </c>
      <c r="O14" s="21">
        <f>IF(SUMIFS('Input Sheet'!$F$3:$F$1001,'Input Sheet'!$B$3:$B$1001,$H14,'Input Sheet'!$E$3:$E$1001,O$4)=0,"",SUMIFS('Input Sheet'!$F$3:$F$1001,'Input Sheet'!$B$3:$B$1001,$H14,'Input Sheet'!$E$3:$E$1001,O$4))</f>
        <v>10</v>
      </c>
      <c r="P14" s="21">
        <f>IF(SUMIFS('Input Sheet'!$F$3:$F$1001,'Input Sheet'!$B$3:$B$1001,$H14,'Input Sheet'!$E$3:$E$1001,P$4)=0,"",SUMIFS('Input Sheet'!$F$3:$F$1001,'Input Sheet'!$B$3:$B$1001,$H14,'Input Sheet'!$E$3:$E$1001,P$4))</f>
        <v>2</v>
      </c>
      <c r="Q14" s="21" t="str">
        <f>IF(SUMIFS('Input Sheet'!$F$3:$F$1001,'Input Sheet'!$B$3:$B$1001,$H14,'Input Sheet'!$E$3:$E$1001,Q$4)=0,"",SUMIFS('Input Sheet'!$F$3:$F$1001,'Input Sheet'!$B$3:$B$1001,$H14,'Input Sheet'!$E$3:$E$1001,Q$4))</f>
        <v/>
      </c>
      <c r="R14" s="21" t="str">
        <f>IF(SUMIFS('Input Sheet'!$F$3:$F$1001,'Input Sheet'!$B$3:$B$1001,$H14,'Input Sheet'!$E$3:$E$1001,R$4)=0,"",SUMIFS('Input Sheet'!$F$3:$F$1001,'Input Sheet'!$B$3:$B$1001,$H14,'Input Sheet'!$E$3:$E$1001,R$4))</f>
        <v/>
      </c>
      <c r="S14" s="21" t="str">
        <f>IF(SUMIFS('Input Sheet'!$F$3:$F$1001,'Input Sheet'!$B$3:$B$1001,$H14,'Input Sheet'!$E$3:$E$1001,S$4)=0,"",SUMIFS('Input Sheet'!$F$3:$F$1001,'Input Sheet'!$B$3:$B$1001,$H14,'Input Sheet'!$E$3:$E$1001,S$4))</f>
        <v/>
      </c>
      <c r="T14" s="22">
        <v>9</v>
      </c>
    </row>
    <row r="15" spans="1:22" ht="14.25" customHeight="1" x14ac:dyDescent="0.3">
      <c r="A15" s="4" t="str">
        <f>IF('Input Sheet'!B12=0,"",'Input Sheet'!B12)</f>
        <v>Exponents</v>
      </c>
      <c r="B15" s="24" t="b">
        <f t="shared" si="2"/>
        <v>0</v>
      </c>
      <c r="C15" s="4">
        <f>SUMIF('Input Sheet'!B$3:B$1000,A15,'Input Sheet'!C$3:C$1000)</f>
        <v>0</v>
      </c>
      <c r="D15" s="4">
        <f>SUMIF('Input Sheet'!B$3:B$1000,A15,'Input Sheet'!D$3:D$1000)</f>
        <v>16</v>
      </c>
      <c r="E15" s="4" t="str">
        <f t="shared" ref="E15:F15" ca="1" si="18">IFERROR(RANK(K15,K$6:K$1004,1),"")</f>
        <v/>
      </c>
      <c r="F15" s="4" t="str">
        <f t="shared" ca="1" si="18"/>
        <v/>
      </c>
      <c r="G15" s="4" t="str">
        <f t="shared" ca="1" si="4"/>
        <v/>
      </c>
      <c r="H15" s="4" t="str">
        <f t="shared" si="5"/>
        <v/>
      </c>
      <c r="I15" s="4" t="str">
        <f t="shared" si="6"/>
        <v/>
      </c>
      <c r="J15" s="4" t="str">
        <f t="shared" si="7"/>
        <v/>
      </c>
      <c r="K15" s="25" t="str">
        <f t="shared" ca="1" si="8"/>
        <v/>
      </c>
      <c r="L15" s="21" t="str">
        <f t="shared" ca="1" si="9"/>
        <v/>
      </c>
      <c r="M15" s="21" t="str">
        <f>IF(SUMIFS('Input Sheet'!$F$3:$F$1001,'Input Sheet'!$B$3:$B$1001,$H15,'Input Sheet'!$E$3:$E$1001,M$4)=0,"",SUMIFS('Input Sheet'!$F$3:$F$1001,'Input Sheet'!$B$3:$B$1001,$H15,'Input Sheet'!$E$3:$E$1001,M$4))</f>
        <v/>
      </c>
      <c r="N15" s="21" t="str">
        <f>IF(SUMIFS('Input Sheet'!$F$3:$F$1001,'Input Sheet'!$B$3:$B$1001,$H15,'Input Sheet'!$E$3:$E$1001,N$4)=0,"",SUMIFS('Input Sheet'!$F$3:$F$1001,'Input Sheet'!$B$3:$B$1001,$H15,'Input Sheet'!$E$3:$E$1001,N$4))</f>
        <v/>
      </c>
      <c r="O15" s="21" t="str">
        <f>IF(SUMIFS('Input Sheet'!$F$3:$F$1001,'Input Sheet'!$B$3:$B$1001,$H15,'Input Sheet'!$E$3:$E$1001,O$4)=0,"",SUMIFS('Input Sheet'!$F$3:$F$1001,'Input Sheet'!$B$3:$B$1001,$H15,'Input Sheet'!$E$3:$E$1001,O$4))</f>
        <v/>
      </c>
      <c r="P15" s="21" t="str">
        <f>IF(SUMIFS('Input Sheet'!$F$3:$F$1001,'Input Sheet'!$B$3:$B$1001,$H15,'Input Sheet'!$E$3:$E$1001,P$4)=0,"",SUMIFS('Input Sheet'!$F$3:$F$1001,'Input Sheet'!$B$3:$B$1001,$H15,'Input Sheet'!$E$3:$E$1001,P$4))</f>
        <v/>
      </c>
      <c r="Q15" s="21" t="str">
        <f>IF(SUMIFS('Input Sheet'!$F$3:$F$1001,'Input Sheet'!$B$3:$B$1001,$H15,'Input Sheet'!$E$3:$E$1001,Q$4)=0,"",SUMIFS('Input Sheet'!$F$3:$F$1001,'Input Sheet'!$B$3:$B$1001,$H15,'Input Sheet'!$E$3:$E$1001,Q$4))</f>
        <v/>
      </c>
      <c r="R15" s="21" t="str">
        <f>IF(SUMIFS('Input Sheet'!$F$3:$F$1001,'Input Sheet'!$B$3:$B$1001,$H15,'Input Sheet'!$E$3:$E$1001,R$4)=0,"",SUMIFS('Input Sheet'!$F$3:$F$1001,'Input Sheet'!$B$3:$B$1001,$H15,'Input Sheet'!$E$3:$E$1001,R$4))</f>
        <v/>
      </c>
      <c r="S15" s="21" t="str">
        <f>IF(SUMIFS('Input Sheet'!$F$3:$F$1001,'Input Sheet'!$B$3:$B$1001,$H15,'Input Sheet'!$E$3:$E$1001,S$4)=0,"",SUMIFS('Input Sheet'!$F$3:$F$1001,'Input Sheet'!$B$3:$B$1001,$H15,'Input Sheet'!$E$3:$E$1001,S$4))</f>
        <v/>
      </c>
      <c r="T15" s="22">
        <v>10</v>
      </c>
    </row>
    <row r="16" spans="1:22" ht="14.25" customHeight="1" x14ac:dyDescent="0.3">
      <c r="A16" s="4" t="str">
        <f>IF('Input Sheet'!B13=0,"",'Input Sheet'!B13)</f>
        <v>Exponents</v>
      </c>
      <c r="B16" s="24" t="b">
        <f t="shared" si="2"/>
        <v>0</v>
      </c>
      <c r="C16" s="4">
        <f>SUMIF('Input Sheet'!B$3:B$1000,A16,'Input Sheet'!C$3:C$1000)</f>
        <v>0</v>
      </c>
      <c r="D16" s="4">
        <f>SUMIF('Input Sheet'!B$3:B$1000,A16,'Input Sheet'!D$3:D$1000)</f>
        <v>16</v>
      </c>
      <c r="E16" s="4" t="str">
        <f t="shared" ref="E16:F16" ca="1" si="19">IFERROR(RANK(K16,K$6:K$1004,1),"")</f>
        <v/>
      </c>
      <c r="F16" s="4" t="str">
        <f t="shared" ca="1" si="19"/>
        <v/>
      </c>
      <c r="G16" s="4" t="str">
        <f t="shared" ca="1" si="4"/>
        <v/>
      </c>
      <c r="H16" s="4" t="str">
        <f t="shared" si="5"/>
        <v/>
      </c>
      <c r="I16" s="4" t="str">
        <f t="shared" si="6"/>
        <v/>
      </c>
      <c r="J16" s="4" t="str">
        <f t="shared" si="7"/>
        <v/>
      </c>
      <c r="K16" s="25" t="str">
        <f t="shared" ca="1" si="8"/>
        <v/>
      </c>
      <c r="L16" s="21" t="str">
        <f t="shared" ca="1" si="9"/>
        <v/>
      </c>
      <c r="M16" s="21" t="str">
        <f>IF(SUMIFS('Input Sheet'!$F$3:$F$1001,'Input Sheet'!$B$3:$B$1001,$H16,'Input Sheet'!$E$3:$E$1001,M$4)=0,"",SUMIFS('Input Sheet'!$F$3:$F$1001,'Input Sheet'!$B$3:$B$1001,$H16,'Input Sheet'!$E$3:$E$1001,M$4))</f>
        <v/>
      </c>
      <c r="N16" s="21" t="str">
        <f>IF(SUMIFS('Input Sheet'!$F$3:$F$1001,'Input Sheet'!$B$3:$B$1001,$H16,'Input Sheet'!$E$3:$E$1001,N$4)=0,"",SUMIFS('Input Sheet'!$F$3:$F$1001,'Input Sheet'!$B$3:$B$1001,$H16,'Input Sheet'!$E$3:$E$1001,N$4))</f>
        <v/>
      </c>
      <c r="O16" s="21" t="str">
        <f>IF(SUMIFS('Input Sheet'!$F$3:$F$1001,'Input Sheet'!$B$3:$B$1001,$H16,'Input Sheet'!$E$3:$E$1001,O$4)=0,"",SUMIFS('Input Sheet'!$F$3:$F$1001,'Input Sheet'!$B$3:$B$1001,$H16,'Input Sheet'!$E$3:$E$1001,O$4))</f>
        <v/>
      </c>
      <c r="P16" s="21" t="str">
        <f>IF(SUMIFS('Input Sheet'!$F$3:$F$1001,'Input Sheet'!$B$3:$B$1001,$H16,'Input Sheet'!$E$3:$E$1001,P$4)=0,"",SUMIFS('Input Sheet'!$F$3:$F$1001,'Input Sheet'!$B$3:$B$1001,$H16,'Input Sheet'!$E$3:$E$1001,P$4))</f>
        <v/>
      </c>
      <c r="Q16" s="21" t="str">
        <f>IF(SUMIFS('Input Sheet'!$F$3:$F$1001,'Input Sheet'!$B$3:$B$1001,$H16,'Input Sheet'!$E$3:$E$1001,Q$4)=0,"",SUMIFS('Input Sheet'!$F$3:$F$1001,'Input Sheet'!$B$3:$B$1001,$H16,'Input Sheet'!$E$3:$E$1001,Q$4))</f>
        <v/>
      </c>
      <c r="R16" s="21" t="str">
        <f>IF(SUMIFS('Input Sheet'!$F$3:$F$1001,'Input Sheet'!$B$3:$B$1001,$H16,'Input Sheet'!$E$3:$E$1001,R$4)=0,"",SUMIFS('Input Sheet'!$F$3:$F$1001,'Input Sheet'!$B$3:$B$1001,$H16,'Input Sheet'!$E$3:$E$1001,R$4))</f>
        <v/>
      </c>
      <c r="S16" s="21" t="str">
        <f>IF(SUMIFS('Input Sheet'!$F$3:$F$1001,'Input Sheet'!$B$3:$B$1001,$H16,'Input Sheet'!$E$3:$E$1001,S$4)=0,"",SUMIFS('Input Sheet'!$F$3:$F$1001,'Input Sheet'!$B$3:$B$1001,$H16,'Input Sheet'!$E$3:$E$1001,S$4))</f>
        <v/>
      </c>
      <c r="T16" s="22">
        <v>11</v>
      </c>
    </row>
    <row r="17" spans="1:20" ht="14.25" customHeight="1" x14ac:dyDescent="0.3">
      <c r="A17" s="4" t="str">
        <f>IF('Input Sheet'!B14=0,"",'Input Sheet'!B14)</f>
        <v>Algebraic Expressions</v>
      </c>
      <c r="B17" s="24">
        <f t="shared" si="2"/>
        <v>1</v>
      </c>
      <c r="C17" s="4">
        <f>SUMIF('Input Sheet'!B$3:B$1000,A17,'Input Sheet'!C$3:C$1000)</f>
        <v>0</v>
      </c>
      <c r="D17" s="4">
        <f>SUMIF('Input Sheet'!B$3:B$1000,A17,'Input Sheet'!D$3:D$1000)</f>
        <v>8</v>
      </c>
      <c r="E17" s="4">
        <f t="shared" ref="E17:F17" ca="1" si="20">IFERROR(RANK(K17,K$6:K$1004,1),"")</f>
        <v>1</v>
      </c>
      <c r="F17" s="4">
        <f t="shared" ca="1" si="20"/>
        <v>3</v>
      </c>
      <c r="G17" s="4">
        <f t="shared" ca="1" si="4"/>
        <v>3</v>
      </c>
      <c r="H17" s="4" t="str">
        <f t="shared" si="5"/>
        <v>Algebraic Expressions</v>
      </c>
      <c r="I17" s="4">
        <f t="shared" si="6"/>
        <v>0</v>
      </c>
      <c r="J17" s="4">
        <f t="shared" si="7"/>
        <v>8</v>
      </c>
      <c r="K17" s="25">
        <f t="shared" ca="1" si="8"/>
        <v>5.7586571343807072E-4</v>
      </c>
      <c r="L17" s="21">
        <f t="shared" ca="1" si="9"/>
        <v>8.0004156758341303</v>
      </c>
      <c r="M17" s="21" t="str">
        <f>IF(SUMIFS('Input Sheet'!$F$3:$F$1001,'Input Sheet'!$B$3:$B$1001,$H17,'Input Sheet'!$E$3:$E$1001,M$4)=0,"",SUMIFS('Input Sheet'!$F$3:$F$1001,'Input Sheet'!$B$3:$B$1001,$H17,'Input Sheet'!$E$3:$E$1001,M$4))</f>
        <v/>
      </c>
      <c r="N17" s="21" t="str">
        <f>IF(SUMIFS('Input Sheet'!$F$3:$F$1001,'Input Sheet'!$B$3:$B$1001,$H17,'Input Sheet'!$E$3:$E$1001,N$4)=0,"",SUMIFS('Input Sheet'!$F$3:$F$1001,'Input Sheet'!$B$3:$B$1001,$H17,'Input Sheet'!$E$3:$E$1001,N$4))</f>
        <v/>
      </c>
      <c r="O17" s="21" t="str">
        <f>IF(SUMIFS('Input Sheet'!$F$3:$F$1001,'Input Sheet'!$B$3:$B$1001,$H17,'Input Sheet'!$E$3:$E$1001,O$4)=0,"",SUMIFS('Input Sheet'!$F$3:$F$1001,'Input Sheet'!$B$3:$B$1001,$H17,'Input Sheet'!$E$3:$E$1001,O$4))</f>
        <v/>
      </c>
      <c r="P17" s="21">
        <f>IF(SUMIFS('Input Sheet'!$F$3:$F$1001,'Input Sheet'!$B$3:$B$1001,$H17,'Input Sheet'!$E$3:$E$1001,P$4)=0,"",SUMIFS('Input Sheet'!$F$3:$F$1001,'Input Sheet'!$B$3:$B$1001,$H17,'Input Sheet'!$E$3:$E$1001,P$4))</f>
        <v>8</v>
      </c>
      <c r="Q17" s="21" t="str">
        <f>IF(SUMIFS('Input Sheet'!$F$3:$F$1001,'Input Sheet'!$B$3:$B$1001,$H17,'Input Sheet'!$E$3:$E$1001,Q$4)=0,"",SUMIFS('Input Sheet'!$F$3:$F$1001,'Input Sheet'!$B$3:$B$1001,$H17,'Input Sheet'!$E$3:$E$1001,Q$4))</f>
        <v/>
      </c>
      <c r="R17" s="21" t="str">
        <f>IF(SUMIFS('Input Sheet'!$F$3:$F$1001,'Input Sheet'!$B$3:$B$1001,$H17,'Input Sheet'!$E$3:$E$1001,R$4)=0,"",SUMIFS('Input Sheet'!$F$3:$F$1001,'Input Sheet'!$B$3:$B$1001,$H17,'Input Sheet'!$E$3:$E$1001,R$4))</f>
        <v/>
      </c>
      <c r="S17" s="21" t="str">
        <f>IF(SUMIFS('Input Sheet'!$F$3:$F$1001,'Input Sheet'!$B$3:$B$1001,$H17,'Input Sheet'!$E$3:$E$1001,S$4)=0,"",SUMIFS('Input Sheet'!$F$3:$F$1001,'Input Sheet'!$B$3:$B$1001,$H17,'Input Sheet'!$E$3:$E$1001,S$4))</f>
        <v/>
      </c>
      <c r="T17" s="22">
        <v>12</v>
      </c>
    </row>
    <row r="18" spans="1:20" ht="14.25" customHeight="1" x14ac:dyDescent="0.3">
      <c r="A18" s="4" t="str">
        <f>IF('Input Sheet'!B15=0,"",'Input Sheet'!B15)</f>
        <v>Functions</v>
      </c>
      <c r="B18" s="24">
        <f t="shared" si="2"/>
        <v>1</v>
      </c>
      <c r="C18" s="4">
        <f>SUMIF('Input Sheet'!B$3:B$1000,A18,'Input Sheet'!C$3:C$1000)</f>
        <v>6</v>
      </c>
      <c r="D18" s="4">
        <f>SUMIF('Input Sheet'!B$3:B$1000,A18,'Input Sheet'!D$3:D$1000)</f>
        <v>8</v>
      </c>
      <c r="E18" s="4">
        <f t="shared" ref="E18:F18" ca="1" si="21">IFERROR(RANK(K18,K$6:K$1004,1),"")</f>
        <v>4</v>
      </c>
      <c r="F18" s="4">
        <f t="shared" ca="1" si="21"/>
        <v>2</v>
      </c>
      <c r="G18" s="4">
        <f t="shared" ca="1" si="4"/>
        <v>4</v>
      </c>
      <c r="H18" s="4" t="str">
        <f t="shared" si="5"/>
        <v>Functions</v>
      </c>
      <c r="I18" s="4">
        <f t="shared" si="6"/>
        <v>6</v>
      </c>
      <c r="J18" s="4">
        <f t="shared" si="7"/>
        <v>8</v>
      </c>
      <c r="K18" s="25">
        <f t="shared" ca="1" si="8"/>
        <v>0.75057299125291643</v>
      </c>
      <c r="L18" s="21">
        <f t="shared" ca="1" si="9"/>
        <v>2.0003635205990662</v>
      </c>
      <c r="M18" s="21" t="str">
        <f>IF(SUMIFS('Input Sheet'!$F$3:$F$1001,'Input Sheet'!$B$3:$B$1001,$H18,'Input Sheet'!$E$3:$E$1001,M$4)=0,"",SUMIFS('Input Sheet'!$F$3:$F$1001,'Input Sheet'!$B$3:$B$1001,$H18,'Input Sheet'!$E$3:$E$1001,M$4))</f>
        <v/>
      </c>
      <c r="N18" s="21" t="str">
        <f>IF(SUMIFS('Input Sheet'!$F$3:$F$1001,'Input Sheet'!$B$3:$B$1001,$H18,'Input Sheet'!$E$3:$E$1001,N$4)=0,"",SUMIFS('Input Sheet'!$F$3:$F$1001,'Input Sheet'!$B$3:$B$1001,$H18,'Input Sheet'!$E$3:$E$1001,N$4))</f>
        <v/>
      </c>
      <c r="O18" s="21">
        <f>IF(SUMIFS('Input Sheet'!$F$3:$F$1001,'Input Sheet'!$B$3:$B$1001,$H18,'Input Sheet'!$E$3:$E$1001,O$4)=0,"",SUMIFS('Input Sheet'!$F$3:$F$1001,'Input Sheet'!$B$3:$B$1001,$H18,'Input Sheet'!$E$3:$E$1001,O$4))</f>
        <v>2</v>
      </c>
      <c r="P18" s="21" t="str">
        <f>IF(SUMIFS('Input Sheet'!$F$3:$F$1001,'Input Sheet'!$B$3:$B$1001,$H18,'Input Sheet'!$E$3:$E$1001,P$4)=0,"",SUMIFS('Input Sheet'!$F$3:$F$1001,'Input Sheet'!$B$3:$B$1001,$H18,'Input Sheet'!$E$3:$E$1001,P$4))</f>
        <v/>
      </c>
      <c r="Q18" s="21" t="str">
        <f>IF(SUMIFS('Input Sheet'!$F$3:$F$1001,'Input Sheet'!$B$3:$B$1001,$H18,'Input Sheet'!$E$3:$E$1001,Q$4)=0,"",SUMIFS('Input Sheet'!$F$3:$F$1001,'Input Sheet'!$B$3:$B$1001,$H18,'Input Sheet'!$E$3:$E$1001,Q$4))</f>
        <v/>
      </c>
      <c r="R18" s="21" t="str">
        <f>IF(SUMIFS('Input Sheet'!$F$3:$F$1001,'Input Sheet'!$B$3:$B$1001,$H18,'Input Sheet'!$E$3:$E$1001,R$4)=0,"",SUMIFS('Input Sheet'!$F$3:$F$1001,'Input Sheet'!$B$3:$B$1001,$H18,'Input Sheet'!$E$3:$E$1001,R$4))</f>
        <v/>
      </c>
      <c r="S18" s="21" t="str">
        <f>IF(SUMIFS('Input Sheet'!$F$3:$F$1001,'Input Sheet'!$B$3:$B$1001,$H18,'Input Sheet'!$E$3:$E$1001,S$4)=0,"",SUMIFS('Input Sheet'!$F$3:$F$1001,'Input Sheet'!$B$3:$B$1001,$H18,'Input Sheet'!$E$3:$E$1001,S$4))</f>
        <v/>
      </c>
      <c r="T18" s="22">
        <v>13</v>
      </c>
    </row>
    <row r="19" spans="1:20" ht="14.25" customHeight="1" x14ac:dyDescent="0.3">
      <c r="A19" s="4" t="str">
        <f>IF('Input Sheet'!B16=0,"",'Input Sheet'!B16)</f>
        <v>Trigonometry</v>
      </c>
      <c r="B19" s="24">
        <f t="shared" si="2"/>
        <v>1</v>
      </c>
      <c r="C19" s="4">
        <f>SUMIF('Input Sheet'!B$3:B$1000,A19,'Input Sheet'!C$3:C$1000)</f>
        <v>4</v>
      </c>
      <c r="D19" s="4">
        <f>SUMIF('Input Sheet'!B$3:B$1000,A19,'Input Sheet'!D$3:D$1000)</f>
        <v>5</v>
      </c>
      <c r="E19" s="4">
        <f t="shared" ref="E19:F19" ca="1" si="22">IFERROR(RANK(K19,K$6:K$1004,1),"")</f>
        <v>5</v>
      </c>
      <c r="F19" s="4">
        <f t="shared" ca="1" si="22"/>
        <v>1</v>
      </c>
      <c r="G19" s="4">
        <f t="shared" ca="1" si="4"/>
        <v>5</v>
      </c>
      <c r="H19" s="4" t="str">
        <f t="shared" si="5"/>
        <v>Trigonometry</v>
      </c>
      <c r="I19" s="4">
        <f t="shared" si="6"/>
        <v>4</v>
      </c>
      <c r="J19" s="4">
        <f t="shared" si="7"/>
        <v>5</v>
      </c>
      <c r="K19" s="25">
        <f t="shared" ca="1" si="8"/>
        <v>0.80038396328144268</v>
      </c>
      <c r="L19" s="21">
        <f t="shared" ca="1" si="9"/>
        <v>1.0004049231053289</v>
      </c>
      <c r="M19" s="21" t="str">
        <f>IF(SUMIFS('Input Sheet'!$F$3:$F$1001,'Input Sheet'!$B$3:$B$1001,$H19,'Input Sheet'!$E$3:$E$1001,M$4)=0,"",SUMIFS('Input Sheet'!$F$3:$F$1001,'Input Sheet'!$B$3:$B$1001,$H19,'Input Sheet'!$E$3:$E$1001,M$4))</f>
        <v/>
      </c>
      <c r="N19" s="21" t="str">
        <f>IF(SUMIFS('Input Sheet'!$F$3:$F$1001,'Input Sheet'!$B$3:$B$1001,$H19,'Input Sheet'!$E$3:$E$1001,N$4)=0,"",SUMIFS('Input Sheet'!$F$3:$F$1001,'Input Sheet'!$B$3:$B$1001,$H19,'Input Sheet'!$E$3:$E$1001,N$4))</f>
        <v/>
      </c>
      <c r="O19" s="21" t="str">
        <f>IF(SUMIFS('Input Sheet'!$F$3:$F$1001,'Input Sheet'!$B$3:$B$1001,$H19,'Input Sheet'!$E$3:$E$1001,O$4)=0,"",SUMIFS('Input Sheet'!$F$3:$F$1001,'Input Sheet'!$B$3:$B$1001,$H19,'Input Sheet'!$E$3:$E$1001,O$4))</f>
        <v/>
      </c>
      <c r="P19" s="21" t="str">
        <f>IF(SUMIFS('Input Sheet'!$F$3:$F$1001,'Input Sheet'!$B$3:$B$1001,$H19,'Input Sheet'!$E$3:$E$1001,P$4)=0,"",SUMIFS('Input Sheet'!$F$3:$F$1001,'Input Sheet'!$B$3:$B$1001,$H19,'Input Sheet'!$E$3:$E$1001,P$4))</f>
        <v/>
      </c>
      <c r="Q19" s="21">
        <f>IF(SUMIFS('Input Sheet'!$F$3:$F$1001,'Input Sheet'!$B$3:$B$1001,$H19,'Input Sheet'!$E$3:$E$1001,Q$4)=0,"",SUMIFS('Input Sheet'!$F$3:$F$1001,'Input Sheet'!$B$3:$B$1001,$H19,'Input Sheet'!$E$3:$E$1001,Q$4))</f>
        <v>1</v>
      </c>
      <c r="R19" s="21" t="str">
        <f>IF(SUMIFS('Input Sheet'!$F$3:$F$1001,'Input Sheet'!$B$3:$B$1001,$H19,'Input Sheet'!$E$3:$E$1001,R$4)=0,"",SUMIFS('Input Sheet'!$F$3:$F$1001,'Input Sheet'!$B$3:$B$1001,$H19,'Input Sheet'!$E$3:$E$1001,R$4))</f>
        <v/>
      </c>
      <c r="S19" s="21" t="str">
        <f>IF(SUMIFS('Input Sheet'!$F$3:$F$1001,'Input Sheet'!$B$3:$B$1001,$H19,'Input Sheet'!$E$3:$E$1001,S$4)=0,"",SUMIFS('Input Sheet'!$F$3:$F$1001,'Input Sheet'!$B$3:$B$1001,$H19,'Input Sheet'!$E$3:$E$1001,S$4))</f>
        <v/>
      </c>
      <c r="T19" s="22">
        <v>14</v>
      </c>
    </row>
    <row r="20" spans="1:20" ht="14.25" customHeight="1" x14ac:dyDescent="0.3">
      <c r="A20" s="4" t="str">
        <f>IF('Input Sheet'!B17=0,"",'Input Sheet'!B17)</f>
        <v>Exponents</v>
      </c>
      <c r="B20" s="24" t="b">
        <f t="shared" si="2"/>
        <v>0</v>
      </c>
      <c r="C20" s="4">
        <f>SUMIF('Input Sheet'!B$3:B$1000,A20,'Input Sheet'!C$3:C$1000)</f>
        <v>0</v>
      </c>
      <c r="D20" s="4">
        <f>SUMIF('Input Sheet'!B$3:B$1000,A20,'Input Sheet'!D$3:D$1000)</f>
        <v>16</v>
      </c>
      <c r="E20" s="4" t="str">
        <f t="shared" ref="E20:F20" ca="1" si="23">IFERROR(RANK(K20,K$6:K$1004,1),"")</f>
        <v/>
      </c>
      <c r="F20" s="4" t="str">
        <f t="shared" ca="1" si="23"/>
        <v/>
      </c>
      <c r="G20" s="4" t="str">
        <f t="shared" ca="1" si="4"/>
        <v/>
      </c>
      <c r="H20" s="4" t="str">
        <f t="shared" si="5"/>
        <v/>
      </c>
      <c r="I20" s="4" t="str">
        <f t="shared" si="6"/>
        <v/>
      </c>
      <c r="J20" s="4" t="str">
        <f t="shared" si="7"/>
        <v/>
      </c>
      <c r="K20" s="25" t="str">
        <f t="shared" ca="1" si="8"/>
        <v/>
      </c>
      <c r="L20" s="21" t="str">
        <f t="shared" ca="1" si="9"/>
        <v/>
      </c>
      <c r="M20" s="21" t="str">
        <f>IF(SUMIFS('Input Sheet'!$F$3:$F$1001,'Input Sheet'!$B$3:$B$1001,$H20,'Input Sheet'!$E$3:$E$1001,M$4)=0,"",SUMIFS('Input Sheet'!$F$3:$F$1001,'Input Sheet'!$B$3:$B$1001,$H20,'Input Sheet'!$E$3:$E$1001,M$4))</f>
        <v/>
      </c>
      <c r="N20" s="21" t="str">
        <f>IF(SUMIFS('Input Sheet'!$F$3:$F$1001,'Input Sheet'!$B$3:$B$1001,$H20,'Input Sheet'!$E$3:$E$1001,N$4)=0,"",SUMIFS('Input Sheet'!$F$3:$F$1001,'Input Sheet'!$B$3:$B$1001,$H20,'Input Sheet'!$E$3:$E$1001,N$4))</f>
        <v/>
      </c>
      <c r="O20" s="21" t="str">
        <f>IF(SUMIFS('Input Sheet'!$F$3:$F$1001,'Input Sheet'!$B$3:$B$1001,$H20,'Input Sheet'!$E$3:$E$1001,O$4)=0,"",SUMIFS('Input Sheet'!$F$3:$F$1001,'Input Sheet'!$B$3:$B$1001,$H20,'Input Sheet'!$E$3:$E$1001,O$4))</f>
        <v/>
      </c>
      <c r="P20" s="21" t="str">
        <f>IF(SUMIFS('Input Sheet'!$F$3:$F$1001,'Input Sheet'!$B$3:$B$1001,$H20,'Input Sheet'!$E$3:$E$1001,P$4)=0,"",SUMIFS('Input Sheet'!$F$3:$F$1001,'Input Sheet'!$B$3:$B$1001,$H20,'Input Sheet'!$E$3:$E$1001,P$4))</f>
        <v/>
      </c>
      <c r="Q20" s="21" t="str">
        <f>IF(SUMIFS('Input Sheet'!$F$3:$F$1001,'Input Sheet'!$B$3:$B$1001,$H20,'Input Sheet'!$E$3:$E$1001,Q$4)=0,"",SUMIFS('Input Sheet'!$F$3:$F$1001,'Input Sheet'!$B$3:$B$1001,$H20,'Input Sheet'!$E$3:$E$1001,Q$4))</f>
        <v/>
      </c>
      <c r="R20" s="21" t="str">
        <f>IF(SUMIFS('Input Sheet'!$F$3:$F$1001,'Input Sheet'!$B$3:$B$1001,$H20,'Input Sheet'!$E$3:$E$1001,R$4)=0,"",SUMIFS('Input Sheet'!$F$3:$F$1001,'Input Sheet'!$B$3:$B$1001,$H20,'Input Sheet'!$E$3:$E$1001,R$4))</f>
        <v/>
      </c>
      <c r="S20" s="21" t="str">
        <f>IF(SUMIFS('Input Sheet'!$F$3:$F$1001,'Input Sheet'!$B$3:$B$1001,$H20,'Input Sheet'!$E$3:$E$1001,S$4)=0,"",SUMIFS('Input Sheet'!$F$3:$F$1001,'Input Sheet'!$B$3:$B$1001,$H20,'Input Sheet'!$E$3:$E$1001,S$4))</f>
        <v/>
      </c>
      <c r="T20" s="22">
        <v>15</v>
      </c>
    </row>
    <row r="21" spans="1:20" ht="14.25" customHeight="1" x14ac:dyDescent="0.3">
      <c r="A21" s="4" t="str">
        <f>IF('Input Sheet'!B18=0,"",'Input Sheet'!B18)</f>
        <v>Exponents</v>
      </c>
      <c r="B21" s="24">
        <f t="shared" si="2"/>
        <v>1</v>
      </c>
      <c r="C21" s="4">
        <f>SUMIF('Input Sheet'!B$3:B$1000,A21,'Input Sheet'!C$3:C$1000)</f>
        <v>0</v>
      </c>
      <c r="D21" s="4">
        <f>SUMIF('Input Sheet'!B$3:B$1000,A21,'Input Sheet'!D$3:D$1000)</f>
        <v>16</v>
      </c>
      <c r="E21" s="4">
        <f t="shared" ref="E21:F21" ca="1" si="24">IFERROR(RANK(K21,K$6:K$1004,1),"")</f>
        <v>2</v>
      </c>
      <c r="F21" s="4">
        <f t="shared" ca="1" si="24"/>
        <v>5</v>
      </c>
      <c r="G21" s="4">
        <f t="shared" ca="1" si="4"/>
        <v>1</v>
      </c>
      <c r="H21" s="4" t="str">
        <f t="shared" si="5"/>
        <v>Exponents</v>
      </c>
      <c r="I21" s="4">
        <f t="shared" si="6"/>
        <v>0</v>
      </c>
      <c r="J21" s="4">
        <f t="shared" si="7"/>
        <v>16</v>
      </c>
      <c r="K21" s="25">
        <f t="shared" ca="1" si="8"/>
        <v>8.1248236690659008E-4</v>
      </c>
      <c r="L21" s="21">
        <f t="shared" ca="1" si="9"/>
        <v>16.00073124345208</v>
      </c>
      <c r="M21" s="21">
        <f>IF(SUMIFS('Input Sheet'!$F$3:$F$1001,'Input Sheet'!$B$3:$B$1001,$H21,'Input Sheet'!$E$3:$E$1001,M$4)=0,"",SUMIFS('Input Sheet'!$F$3:$F$1001,'Input Sheet'!$B$3:$B$1001,$H21,'Input Sheet'!$E$3:$E$1001,M$4))</f>
        <v>8</v>
      </c>
      <c r="N21" s="21">
        <f>IF(SUMIFS('Input Sheet'!$F$3:$F$1001,'Input Sheet'!$B$3:$B$1001,$H21,'Input Sheet'!$E$3:$E$1001,N$4)=0,"",SUMIFS('Input Sheet'!$F$3:$F$1001,'Input Sheet'!$B$3:$B$1001,$H21,'Input Sheet'!$E$3:$E$1001,N$4))</f>
        <v>6</v>
      </c>
      <c r="O21" s="21" t="str">
        <f>IF(SUMIFS('Input Sheet'!$F$3:$F$1001,'Input Sheet'!$B$3:$B$1001,$H21,'Input Sheet'!$E$3:$E$1001,O$4)=0,"",SUMIFS('Input Sheet'!$F$3:$F$1001,'Input Sheet'!$B$3:$B$1001,$H21,'Input Sheet'!$E$3:$E$1001,O$4))</f>
        <v/>
      </c>
      <c r="P21" s="21" t="str">
        <f>IF(SUMIFS('Input Sheet'!$F$3:$F$1001,'Input Sheet'!$B$3:$B$1001,$H21,'Input Sheet'!$E$3:$E$1001,P$4)=0,"",SUMIFS('Input Sheet'!$F$3:$F$1001,'Input Sheet'!$B$3:$B$1001,$H21,'Input Sheet'!$E$3:$E$1001,P$4))</f>
        <v/>
      </c>
      <c r="Q21" s="21">
        <f>IF(SUMIFS('Input Sheet'!$F$3:$F$1001,'Input Sheet'!$B$3:$B$1001,$H21,'Input Sheet'!$E$3:$E$1001,Q$4)=0,"",SUMIFS('Input Sheet'!$F$3:$F$1001,'Input Sheet'!$B$3:$B$1001,$H21,'Input Sheet'!$E$3:$E$1001,Q$4))</f>
        <v>1</v>
      </c>
      <c r="R21" s="21">
        <f>IF(SUMIFS('Input Sheet'!$F$3:$F$1001,'Input Sheet'!$B$3:$B$1001,$H21,'Input Sheet'!$E$3:$E$1001,R$4)=0,"",SUMIFS('Input Sheet'!$F$3:$F$1001,'Input Sheet'!$B$3:$B$1001,$H21,'Input Sheet'!$E$3:$E$1001,R$4))</f>
        <v>1</v>
      </c>
      <c r="S21" s="21" t="str">
        <f>IF(SUMIFS('Input Sheet'!$F$3:$F$1001,'Input Sheet'!$B$3:$B$1001,$H21,'Input Sheet'!$E$3:$E$1001,S$4)=0,"",SUMIFS('Input Sheet'!$F$3:$F$1001,'Input Sheet'!$B$3:$B$1001,$H21,'Input Sheet'!$E$3:$E$1001,S$4))</f>
        <v/>
      </c>
      <c r="T21" s="22">
        <v>16</v>
      </c>
    </row>
    <row r="22" spans="1:20" ht="14.25" customHeight="1" x14ac:dyDescent="0.3">
      <c r="A22" s="4" t="str">
        <f>IF('Input Sheet'!B19=0,"",'Input Sheet'!B19)</f>
        <v/>
      </c>
      <c r="B22" s="24" t="b">
        <f t="shared" si="2"/>
        <v>0</v>
      </c>
      <c r="C22" s="4">
        <f>SUMIF('Input Sheet'!B$3:B$1000,A22,'Input Sheet'!C$3:C$1000)</f>
        <v>0</v>
      </c>
      <c r="D22" s="4">
        <f>SUMIF('Input Sheet'!B$3:B$1000,A22,'Input Sheet'!D$3:D$1000)</f>
        <v>0</v>
      </c>
      <c r="E22" s="4" t="str">
        <f t="shared" ref="E22:F22" ca="1" si="25">IFERROR(RANK(K22,K$6:K$1004,1),"")</f>
        <v/>
      </c>
      <c r="F22" s="4" t="str">
        <f t="shared" ca="1" si="25"/>
        <v/>
      </c>
      <c r="G22" s="4" t="str">
        <f t="shared" ca="1" si="4"/>
        <v/>
      </c>
      <c r="H22" s="4" t="str">
        <f t="shared" si="5"/>
        <v/>
      </c>
      <c r="I22" s="4" t="str">
        <f t="shared" si="6"/>
        <v/>
      </c>
      <c r="J22" s="4" t="str">
        <f t="shared" si="7"/>
        <v/>
      </c>
      <c r="K22" s="25" t="str">
        <f t="shared" ca="1" si="8"/>
        <v/>
      </c>
      <c r="L22" s="21" t="str">
        <f t="shared" ca="1" si="9"/>
        <v/>
      </c>
      <c r="M22" s="21" t="str">
        <f>IF(SUMIFS('Input Sheet'!$F$3:$F$1001,'Input Sheet'!$B$3:$B$1001,$H22,'Input Sheet'!$E$3:$E$1001,M$4)=0,"",SUMIFS('Input Sheet'!$F$3:$F$1001,'Input Sheet'!$B$3:$B$1001,$H22,'Input Sheet'!$E$3:$E$1001,M$4))</f>
        <v/>
      </c>
      <c r="N22" s="21" t="str">
        <f>IF(SUMIFS('Input Sheet'!$F$3:$F$1001,'Input Sheet'!$B$3:$B$1001,$H22,'Input Sheet'!$E$3:$E$1001,N$4)=0,"",SUMIFS('Input Sheet'!$F$3:$F$1001,'Input Sheet'!$B$3:$B$1001,$H22,'Input Sheet'!$E$3:$E$1001,N$4))</f>
        <v/>
      </c>
      <c r="O22" s="21" t="str">
        <f>IF(SUMIFS('Input Sheet'!$F$3:$F$1001,'Input Sheet'!$B$3:$B$1001,$H22,'Input Sheet'!$E$3:$E$1001,O$4)=0,"",SUMIFS('Input Sheet'!$F$3:$F$1001,'Input Sheet'!$B$3:$B$1001,$H22,'Input Sheet'!$E$3:$E$1001,O$4))</f>
        <v/>
      </c>
      <c r="P22" s="21" t="str">
        <f>IF(SUMIFS('Input Sheet'!$F$3:$F$1001,'Input Sheet'!$B$3:$B$1001,$H22,'Input Sheet'!$E$3:$E$1001,P$4)=0,"",SUMIFS('Input Sheet'!$F$3:$F$1001,'Input Sheet'!$B$3:$B$1001,$H22,'Input Sheet'!$E$3:$E$1001,P$4))</f>
        <v/>
      </c>
      <c r="Q22" s="21" t="str">
        <f>IF(SUMIFS('Input Sheet'!$F$3:$F$1001,'Input Sheet'!$B$3:$B$1001,$H22,'Input Sheet'!$E$3:$E$1001,Q$4)=0,"",SUMIFS('Input Sheet'!$F$3:$F$1001,'Input Sheet'!$B$3:$B$1001,$H22,'Input Sheet'!$E$3:$E$1001,Q$4))</f>
        <v/>
      </c>
      <c r="R22" s="21" t="str">
        <f>IF(SUMIFS('Input Sheet'!$F$3:$F$1001,'Input Sheet'!$B$3:$B$1001,$H22,'Input Sheet'!$E$3:$E$1001,R$4)=0,"",SUMIFS('Input Sheet'!$F$3:$F$1001,'Input Sheet'!$B$3:$B$1001,$H22,'Input Sheet'!$E$3:$E$1001,R$4))</f>
        <v/>
      </c>
      <c r="S22" s="21" t="str">
        <f>IF(SUMIFS('Input Sheet'!$F$3:$F$1001,'Input Sheet'!$B$3:$B$1001,$H22,'Input Sheet'!$E$3:$E$1001,S$4)=0,"",SUMIFS('Input Sheet'!$F$3:$F$1001,'Input Sheet'!$B$3:$B$1001,$H22,'Input Sheet'!$E$3:$E$1001,S$4))</f>
        <v/>
      </c>
      <c r="T22" s="22">
        <v>17</v>
      </c>
    </row>
    <row r="23" spans="1:20" ht="14.25" customHeight="1" x14ac:dyDescent="0.3">
      <c r="A23" s="4" t="str">
        <f>IF('Input Sheet'!B20=0,"",'Input Sheet'!B20)</f>
        <v/>
      </c>
      <c r="B23" s="24" t="b">
        <f t="shared" si="2"/>
        <v>0</v>
      </c>
      <c r="C23" s="4">
        <f>SUMIF('Input Sheet'!B$3:B$1000,A23,'Input Sheet'!C$3:C$1000)</f>
        <v>0</v>
      </c>
      <c r="D23" s="4">
        <f>SUMIF('Input Sheet'!B$3:B$1000,A23,'Input Sheet'!D$3:D$1000)</f>
        <v>0</v>
      </c>
      <c r="E23" s="4" t="str">
        <f t="shared" ref="E23:F23" ca="1" si="26">IFERROR(RANK(K23,K$6:K$1004,1),"")</f>
        <v/>
      </c>
      <c r="F23" s="4" t="str">
        <f t="shared" ca="1" si="26"/>
        <v/>
      </c>
      <c r="G23" s="4" t="str">
        <f t="shared" ca="1" si="4"/>
        <v/>
      </c>
      <c r="H23" s="4" t="str">
        <f t="shared" si="5"/>
        <v/>
      </c>
      <c r="I23" s="4" t="str">
        <f t="shared" si="6"/>
        <v/>
      </c>
      <c r="J23" s="4" t="str">
        <f t="shared" si="7"/>
        <v/>
      </c>
      <c r="K23" s="25" t="str">
        <f t="shared" ca="1" si="8"/>
        <v/>
      </c>
      <c r="L23" s="21" t="str">
        <f t="shared" ca="1" si="9"/>
        <v/>
      </c>
      <c r="M23" s="21" t="str">
        <f>IF(SUMIFS('Input Sheet'!$F$3:$F$1001,'Input Sheet'!$B$3:$B$1001,$H23,'Input Sheet'!$E$3:$E$1001,M$4)=0,"",SUMIFS('Input Sheet'!$F$3:$F$1001,'Input Sheet'!$B$3:$B$1001,$H23,'Input Sheet'!$E$3:$E$1001,M$4))</f>
        <v/>
      </c>
      <c r="N23" s="21" t="str">
        <f>IF(SUMIFS('Input Sheet'!$F$3:$F$1001,'Input Sheet'!$B$3:$B$1001,$H23,'Input Sheet'!$E$3:$E$1001,N$4)=0,"",SUMIFS('Input Sheet'!$F$3:$F$1001,'Input Sheet'!$B$3:$B$1001,$H23,'Input Sheet'!$E$3:$E$1001,N$4))</f>
        <v/>
      </c>
      <c r="O23" s="21" t="str">
        <f>IF(SUMIFS('Input Sheet'!$F$3:$F$1001,'Input Sheet'!$B$3:$B$1001,$H23,'Input Sheet'!$E$3:$E$1001,O$4)=0,"",SUMIFS('Input Sheet'!$F$3:$F$1001,'Input Sheet'!$B$3:$B$1001,$H23,'Input Sheet'!$E$3:$E$1001,O$4))</f>
        <v/>
      </c>
      <c r="P23" s="21" t="str">
        <f>IF(SUMIFS('Input Sheet'!$F$3:$F$1001,'Input Sheet'!$B$3:$B$1001,$H23,'Input Sheet'!$E$3:$E$1001,P$4)=0,"",SUMIFS('Input Sheet'!$F$3:$F$1001,'Input Sheet'!$B$3:$B$1001,$H23,'Input Sheet'!$E$3:$E$1001,P$4))</f>
        <v/>
      </c>
      <c r="Q23" s="21" t="str">
        <f>IF(SUMIFS('Input Sheet'!$F$3:$F$1001,'Input Sheet'!$B$3:$B$1001,$H23,'Input Sheet'!$E$3:$E$1001,Q$4)=0,"",SUMIFS('Input Sheet'!$F$3:$F$1001,'Input Sheet'!$B$3:$B$1001,$H23,'Input Sheet'!$E$3:$E$1001,Q$4))</f>
        <v/>
      </c>
      <c r="R23" s="21" t="str">
        <f>IF(SUMIFS('Input Sheet'!$F$3:$F$1001,'Input Sheet'!$B$3:$B$1001,$H23,'Input Sheet'!$E$3:$E$1001,R$4)=0,"",SUMIFS('Input Sheet'!$F$3:$F$1001,'Input Sheet'!$B$3:$B$1001,$H23,'Input Sheet'!$E$3:$E$1001,R$4))</f>
        <v/>
      </c>
      <c r="S23" s="21" t="str">
        <f>IF(SUMIFS('Input Sheet'!$F$3:$F$1001,'Input Sheet'!$B$3:$B$1001,$H23,'Input Sheet'!$E$3:$E$1001,S$4)=0,"",SUMIFS('Input Sheet'!$F$3:$F$1001,'Input Sheet'!$B$3:$B$1001,$H23,'Input Sheet'!$E$3:$E$1001,S$4))</f>
        <v/>
      </c>
      <c r="T23" s="22">
        <v>18</v>
      </c>
    </row>
    <row r="24" spans="1:20" ht="14.25" customHeight="1" x14ac:dyDescent="0.3">
      <c r="A24" s="4" t="str">
        <f>IF('Input Sheet'!B21=0,"",'Input Sheet'!B21)</f>
        <v/>
      </c>
      <c r="B24" s="24" t="b">
        <f t="shared" si="2"/>
        <v>0</v>
      </c>
      <c r="C24" s="4">
        <f>SUMIF('Input Sheet'!B$3:B$1000,A24,'Input Sheet'!C$3:C$1000)</f>
        <v>0</v>
      </c>
      <c r="D24" s="4">
        <f>SUMIF('Input Sheet'!B$3:B$1000,A24,'Input Sheet'!D$3:D$1000)</f>
        <v>0</v>
      </c>
      <c r="E24" s="4" t="str">
        <f t="shared" ref="E24:F24" ca="1" si="27">IFERROR(RANK(K24,K$6:K$1004,1),"")</f>
        <v/>
      </c>
      <c r="F24" s="4" t="str">
        <f t="shared" ca="1" si="27"/>
        <v/>
      </c>
      <c r="G24" s="4" t="str">
        <f t="shared" ca="1" si="4"/>
        <v/>
      </c>
      <c r="H24" s="4" t="str">
        <f t="shared" si="5"/>
        <v/>
      </c>
      <c r="I24" s="4" t="str">
        <f t="shared" si="6"/>
        <v/>
      </c>
      <c r="J24" s="4" t="str">
        <f t="shared" si="7"/>
        <v/>
      </c>
      <c r="K24" s="25" t="str">
        <f t="shared" ca="1" si="8"/>
        <v/>
      </c>
      <c r="L24" s="21" t="str">
        <f t="shared" ca="1" si="9"/>
        <v/>
      </c>
      <c r="M24" s="21" t="str">
        <f>IF(SUMIFS('Input Sheet'!$F$3:$F$1001,'Input Sheet'!$B$3:$B$1001,$H24,'Input Sheet'!$E$3:$E$1001,M$4)=0,"",SUMIFS('Input Sheet'!$F$3:$F$1001,'Input Sheet'!$B$3:$B$1001,$H24,'Input Sheet'!$E$3:$E$1001,M$4))</f>
        <v/>
      </c>
      <c r="N24" s="21" t="str">
        <f>IF(SUMIFS('Input Sheet'!$F$3:$F$1001,'Input Sheet'!$B$3:$B$1001,$H24,'Input Sheet'!$E$3:$E$1001,N$4)=0,"",SUMIFS('Input Sheet'!$F$3:$F$1001,'Input Sheet'!$B$3:$B$1001,$H24,'Input Sheet'!$E$3:$E$1001,N$4))</f>
        <v/>
      </c>
      <c r="O24" s="21" t="str">
        <f>IF(SUMIFS('Input Sheet'!$F$3:$F$1001,'Input Sheet'!$B$3:$B$1001,$H24,'Input Sheet'!$E$3:$E$1001,O$4)=0,"",SUMIFS('Input Sheet'!$F$3:$F$1001,'Input Sheet'!$B$3:$B$1001,$H24,'Input Sheet'!$E$3:$E$1001,O$4))</f>
        <v/>
      </c>
      <c r="P24" s="21" t="str">
        <f>IF(SUMIFS('Input Sheet'!$F$3:$F$1001,'Input Sheet'!$B$3:$B$1001,$H24,'Input Sheet'!$E$3:$E$1001,P$4)=0,"",SUMIFS('Input Sheet'!$F$3:$F$1001,'Input Sheet'!$B$3:$B$1001,$H24,'Input Sheet'!$E$3:$E$1001,P$4))</f>
        <v/>
      </c>
      <c r="Q24" s="21" t="str">
        <f>IF(SUMIFS('Input Sheet'!$F$3:$F$1001,'Input Sheet'!$B$3:$B$1001,$H24,'Input Sheet'!$E$3:$E$1001,Q$4)=0,"",SUMIFS('Input Sheet'!$F$3:$F$1001,'Input Sheet'!$B$3:$B$1001,$H24,'Input Sheet'!$E$3:$E$1001,Q$4))</f>
        <v/>
      </c>
      <c r="R24" s="21" t="str">
        <f>IF(SUMIFS('Input Sheet'!$F$3:$F$1001,'Input Sheet'!$B$3:$B$1001,$H24,'Input Sheet'!$E$3:$E$1001,R$4)=0,"",SUMIFS('Input Sheet'!$F$3:$F$1001,'Input Sheet'!$B$3:$B$1001,$H24,'Input Sheet'!$E$3:$E$1001,R$4))</f>
        <v/>
      </c>
      <c r="S24" s="21" t="str">
        <f>IF(SUMIFS('Input Sheet'!$F$3:$F$1001,'Input Sheet'!$B$3:$B$1001,$H24,'Input Sheet'!$E$3:$E$1001,S$4)=0,"",SUMIFS('Input Sheet'!$F$3:$F$1001,'Input Sheet'!$B$3:$B$1001,$H24,'Input Sheet'!$E$3:$E$1001,S$4))</f>
        <v/>
      </c>
      <c r="T24" s="22">
        <v>19</v>
      </c>
    </row>
    <row r="25" spans="1:20" ht="14.25" customHeight="1" x14ac:dyDescent="0.3">
      <c r="A25" s="4" t="str">
        <f>IF('Input Sheet'!B22=0,"",'Input Sheet'!B22)</f>
        <v/>
      </c>
      <c r="B25" s="24" t="b">
        <f t="shared" si="2"/>
        <v>0</v>
      </c>
      <c r="C25" s="4">
        <f>SUMIF('Input Sheet'!B$3:B$1000,A25,'Input Sheet'!C$3:C$1000)</f>
        <v>0</v>
      </c>
      <c r="D25" s="4">
        <f>SUMIF('Input Sheet'!B$3:B$1000,A25,'Input Sheet'!D$3:D$1000)</f>
        <v>0</v>
      </c>
      <c r="E25" s="4" t="str">
        <f t="shared" ref="E25:F25" ca="1" si="28">IFERROR(RANK(K25,K$6:K$1004,1),"")</f>
        <v/>
      </c>
      <c r="F25" s="4" t="str">
        <f t="shared" ca="1" si="28"/>
        <v/>
      </c>
      <c r="G25" s="4" t="str">
        <f t="shared" ca="1" si="4"/>
        <v/>
      </c>
      <c r="H25" s="4" t="str">
        <f t="shared" si="5"/>
        <v/>
      </c>
      <c r="I25" s="4" t="str">
        <f t="shared" si="6"/>
        <v/>
      </c>
      <c r="J25" s="4" t="str">
        <f t="shared" si="7"/>
        <v/>
      </c>
      <c r="K25" s="25" t="str">
        <f t="shared" ca="1" si="8"/>
        <v/>
      </c>
      <c r="L25" s="21" t="str">
        <f t="shared" ca="1" si="9"/>
        <v/>
      </c>
      <c r="M25" s="21" t="str">
        <f>IF(SUMIFS('Input Sheet'!$F$3:$F$1001,'Input Sheet'!$B$3:$B$1001,$H25,'Input Sheet'!$E$3:$E$1001,M$4)=0,"",SUMIFS('Input Sheet'!$F$3:$F$1001,'Input Sheet'!$B$3:$B$1001,$H25,'Input Sheet'!$E$3:$E$1001,M$4))</f>
        <v/>
      </c>
      <c r="N25" s="21" t="str">
        <f>IF(SUMIFS('Input Sheet'!$F$3:$F$1001,'Input Sheet'!$B$3:$B$1001,$H25,'Input Sheet'!$E$3:$E$1001,N$4)=0,"",SUMIFS('Input Sheet'!$F$3:$F$1001,'Input Sheet'!$B$3:$B$1001,$H25,'Input Sheet'!$E$3:$E$1001,N$4))</f>
        <v/>
      </c>
      <c r="O25" s="21" t="str">
        <f>IF(SUMIFS('Input Sheet'!$F$3:$F$1001,'Input Sheet'!$B$3:$B$1001,$H25,'Input Sheet'!$E$3:$E$1001,O$4)=0,"",SUMIFS('Input Sheet'!$F$3:$F$1001,'Input Sheet'!$B$3:$B$1001,$H25,'Input Sheet'!$E$3:$E$1001,O$4))</f>
        <v/>
      </c>
      <c r="P25" s="21" t="str">
        <f>IF(SUMIFS('Input Sheet'!$F$3:$F$1001,'Input Sheet'!$B$3:$B$1001,$H25,'Input Sheet'!$E$3:$E$1001,P$4)=0,"",SUMIFS('Input Sheet'!$F$3:$F$1001,'Input Sheet'!$B$3:$B$1001,$H25,'Input Sheet'!$E$3:$E$1001,P$4))</f>
        <v/>
      </c>
      <c r="Q25" s="21" t="str">
        <f>IF(SUMIFS('Input Sheet'!$F$3:$F$1001,'Input Sheet'!$B$3:$B$1001,$H25,'Input Sheet'!$E$3:$E$1001,Q$4)=0,"",SUMIFS('Input Sheet'!$F$3:$F$1001,'Input Sheet'!$B$3:$B$1001,$H25,'Input Sheet'!$E$3:$E$1001,Q$4))</f>
        <v/>
      </c>
      <c r="R25" s="21" t="str">
        <f>IF(SUMIFS('Input Sheet'!$F$3:$F$1001,'Input Sheet'!$B$3:$B$1001,$H25,'Input Sheet'!$E$3:$E$1001,R$4)=0,"",SUMIFS('Input Sheet'!$F$3:$F$1001,'Input Sheet'!$B$3:$B$1001,$H25,'Input Sheet'!$E$3:$E$1001,R$4))</f>
        <v/>
      </c>
      <c r="S25" s="21" t="str">
        <f>IF(SUMIFS('Input Sheet'!$F$3:$F$1001,'Input Sheet'!$B$3:$B$1001,$H25,'Input Sheet'!$E$3:$E$1001,S$4)=0,"",SUMIFS('Input Sheet'!$F$3:$F$1001,'Input Sheet'!$B$3:$B$1001,$H25,'Input Sheet'!$E$3:$E$1001,S$4))</f>
        <v/>
      </c>
      <c r="T25" s="22">
        <v>20</v>
      </c>
    </row>
    <row r="26" spans="1:20" ht="14.25" customHeight="1" x14ac:dyDescent="0.3">
      <c r="A26" s="4" t="str">
        <f>IF('Input Sheet'!B23=0,"",'Input Sheet'!B23)</f>
        <v/>
      </c>
      <c r="B26" s="24" t="b">
        <f t="shared" si="2"/>
        <v>0</v>
      </c>
      <c r="C26" s="4">
        <f>SUMIF('Input Sheet'!B$3:B$1000,A26,'Input Sheet'!C$3:C$1000)</f>
        <v>0</v>
      </c>
      <c r="D26" s="4">
        <f>SUMIF('Input Sheet'!B$3:B$1000,A26,'Input Sheet'!D$3:D$1000)</f>
        <v>0</v>
      </c>
      <c r="E26" s="4" t="str">
        <f t="shared" ref="E26:F26" ca="1" si="29">IFERROR(RANK(K26,K$6:K$1004,1),"")</f>
        <v/>
      </c>
      <c r="F26" s="4" t="str">
        <f t="shared" ca="1" si="29"/>
        <v/>
      </c>
      <c r="G26" s="4" t="str">
        <f t="shared" ca="1" si="4"/>
        <v/>
      </c>
      <c r="H26" s="4" t="str">
        <f t="shared" si="5"/>
        <v/>
      </c>
      <c r="I26" s="4" t="str">
        <f t="shared" si="6"/>
        <v/>
      </c>
      <c r="J26" s="4" t="str">
        <f t="shared" si="7"/>
        <v/>
      </c>
      <c r="K26" s="25" t="str">
        <f t="shared" ca="1" si="8"/>
        <v/>
      </c>
      <c r="L26" s="21" t="str">
        <f t="shared" ca="1" si="9"/>
        <v/>
      </c>
      <c r="M26" s="21" t="str">
        <f>IF(SUMIFS('Input Sheet'!$F$3:$F$1001,'Input Sheet'!$B$3:$B$1001,$H26,'Input Sheet'!$E$3:$E$1001,M$4)=0,"",SUMIFS('Input Sheet'!$F$3:$F$1001,'Input Sheet'!$B$3:$B$1001,$H26,'Input Sheet'!$E$3:$E$1001,M$4))</f>
        <v/>
      </c>
      <c r="N26" s="21" t="str">
        <f>IF(SUMIFS('Input Sheet'!$F$3:$F$1001,'Input Sheet'!$B$3:$B$1001,$H26,'Input Sheet'!$E$3:$E$1001,N$4)=0,"",SUMIFS('Input Sheet'!$F$3:$F$1001,'Input Sheet'!$B$3:$B$1001,$H26,'Input Sheet'!$E$3:$E$1001,N$4))</f>
        <v/>
      </c>
      <c r="O26" s="21" t="str">
        <f>IF(SUMIFS('Input Sheet'!$F$3:$F$1001,'Input Sheet'!$B$3:$B$1001,$H26,'Input Sheet'!$E$3:$E$1001,O$4)=0,"",SUMIFS('Input Sheet'!$F$3:$F$1001,'Input Sheet'!$B$3:$B$1001,$H26,'Input Sheet'!$E$3:$E$1001,O$4))</f>
        <v/>
      </c>
      <c r="P26" s="21" t="str">
        <f>IF(SUMIFS('Input Sheet'!$F$3:$F$1001,'Input Sheet'!$B$3:$B$1001,$H26,'Input Sheet'!$E$3:$E$1001,P$4)=0,"",SUMIFS('Input Sheet'!$F$3:$F$1001,'Input Sheet'!$B$3:$B$1001,$H26,'Input Sheet'!$E$3:$E$1001,P$4))</f>
        <v/>
      </c>
      <c r="Q26" s="21" t="str">
        <f>IF(SUMIFS('Input Sheet'!$F$3:$F$1001,'Input Sheet'!$B$3:$B$1001,$H26,'Input Sheet'!$E$3:$E$1001,Q$4)=0,"",SUMIFS('Input Sheet'!$F$3:$F$1001,'Input Sheet'!$B$3:$B$1001,$H26,'Input Sheet'!$E$3:$E$1001,Q$4))</f>
        <v/>
      </c>
      <c r="R26" s="21" t="str">
        <f>IF(SUMIFS('Input Sheet'!$F$3:$F$1001,'Input Sheet'!$B$3:$B$1001,$H26,'Input Sheet'!$E$3:$E$1001,R$4)=0,"",SUMIFS('Input Sheet'!$F$3:$F$1001,'Input Sheet'!$B$3:$B$1001,$H26,'Input Sheet'!$E$3:$E$1001,R$4))</f>
        <v/>
      </c>
      <c r="S26" s="21" t="str">
        <f>IF(SUMIFS('Input Sheet'!$F$3:$F$1001,'Input Sheet'!$B$3:$B$1001,$H26,'Input Sheet'!$E$3:$E$1001,S$4)=0,"",SUMIFS('Input Sheet'!$F$3:$F$1001,'Input Sheet'!$B$3:$B$1001,$H26,'Input Sheet'!$E$3:$E$1001,S$4))</f>
        <v/>
      </c>
      <c r="T26" s="22">
        <v>21</v>
      </c>
    </row>
    <row r="27" spans="1:20" ht="14.25" customHeight="1" x14ac:dyDescent="0.3">
      <c r="A27" s="4" t="str">
        <f>IF('Input Sheet'!B24=0,"",'Input Sheet'!B24)</f>
        <v/>
      </c>
      <c r="B27" s="24" t="b">
        <f t="shared" si="2"/>
        <v>0</v>
      </c>
      <c r="C27" s="4">
        <f>SUMIF('Input Sheet'!B$3:B$1000,A27,'Input Sheet'!C$3:C$1000)</f>
        <v>0</v>
      </c>
      <c r="D27" s="4">
        <f>SUMIF('Input Sheet'!B$3:B$1000,A27,'Input Sheet'!D$3:D$1000)</f>
        <v>0</v>
      </c>
      <c r="E27" s="4" t="str">
        <f t="shared" ref="E27:F27" ca="1" si="30">IFERROR(RANK(K27,K$6:K$1004,1),"")</f>
        <v/>
      </c>
      <c r="F27" s="4" t="str">
        <f t="shared" ca="1" si="30"/>
        <v/>
      </c>
      <c r="G27" s="4" t="str">
        <f t="shared" ca="1" si="4"/>
        <v/>
      </c>
      <c r="H27" s="4" t="str">
        <f t="shared" si="5"/>
        <v/>
      </c>
      <c r="I27" s="4" t="str">
        <f t="shared" si="6"/>
        <v/>
      </c>
      <c r="J27" s="4" t="str">
        <f t="shared" si="7"/>
        <v/>
      </c>
      <c r="K27" s="25" t="str">
        <f t="shared" ca="1" si="8"/>
        <v/>
      </c>
      <c r="L27" s="21" t="str">
        <f t="shared" ca="1" si="9"/>
        <v/>
      </c>
      <c r="M27" s="21" t="str">
        <f>IF(SUMIFS('Input Sheet'!$F$3:$F$1001,'Input Sheet'!$B$3:$B$1001,$H27,'Input Sheet'!$E$3:$E$1001,M$4)=0,"",SUMIFS('Input Sheet'!$F$3:$F$1001,'Input Sheet'!$B$3:$B$1001,$H27,'Input Sheet'!$E$3:$E$1001,M$4))</f>
        <v/>
      </c>
      <c r="N27" s="21" t="str">
        <f>IF(SUMIFS('Input Sheet'!$F$3:$F$1001,'Input Sheet'!$B$3:$B$1001,$H27,'Input Sheet'!$E$3:$E$1001,N$4)=0,"",SUMIFS('Input Sheet'!$F$3:$F$1001,'Input Sheet'!$B$3:$B$1001,$H27,'Input Sheet'!$E$3:$E$1001,N$4))</f>
        <v/>
      </c>
      <c r="O27" s="21" t="str">
        <f>IF(SUMIFS('Input Sheet'!$F$3:$F$1001,'Input Sheet'!$B$3:$B$1001,$H27,'Input Sheet'!$E$3:$E$1001,O$4)=0,"",SUMIFS('Input Sheet'!$F$3:$F$1001,'Input Sheet'!$B$3:$B$1001,$H27,'Input Sheet'!$E$3:$E$1001,O$4))</f>
        <v/>
      </c>
      <c r="P27" s="21" t="str">
        <f>IF(SUMIFS('Input Sheet'!$F$3:$F$1001,'Input Sheet'!$B$3:$B$1001,$H27,'Input Sheet'!$E$3:$E$1001,P$4)=0,"",SUMIFS('Input Sheet'!$F$3:$F$1001,'Input Sheet'!$B$3:$B$1001,$H27,'Input Sheet'!$E$3:$E$1001,P$4))</f>
        <v/>
      </c>
      <c r="Q27" s="21" t="str">
        <f>IF(SUMIFS('Input Sheet'!$F$3:$F$1001,'Input Sheet'!$B$3:$B$1001,$H27,'Input Sheet'!$E$3:$E$1001,Q$4)=0,"",SUMIFS('Input Sheet'!$F$3:$F$1001,'Input Sheet'!$B$3:$B$1001,$H27,'Input Sheet'!$E$3:$E$1001,Q$4))</f>
        <v/>
      </c>
      <c r="R27" s="21" t="str">
        <f>IF(SUMIFS('Input Sheet'!$F$3:$F$1001,'Input Sheet'!$B$3:$B$1001,$H27,'Input Sheet'!$E$3:$E$1001,R$4)=0,"",SUMIFS('Input Sheet'!$F$3:$F$1001,'Input Sheet'!$B$3:$B$1001,$H27,'Input Sheet'!$E$3:$E$1001,R$4))</f>
        <v/>
      </c>
      <c r="S27" s="21" t="str">
        <f>IF(SUMIFS('Input Sheet'!$F$3:$F$1001,'Input Sheet'!$B$3:$B$1001,$H27,'Input Sheet'!$E$3:$E$1001,S$4)=0,"",SUMIFS('Input Sheet'!$F$3:$F$1001,'Input Sheet'!$B$3:$B$1001,$H27,'Input Sheet'!$E$3:$E$1001,S$4))</f>
        <v/>
      </c>
      <c r="T27" s="22">
        <v>22</v>
      </c>
    </row>
    <row r="28" spans="1:20" ht="14.25" customHeight="1" x14ac:dyDescent="0.3">
      <c r="A28" s="4" t="str">
        <f>IF('Input Sheet'!B25=0,"",'Input Sheet'!B25)</f>
        <v/>
      </c>
      <c r="B28" s="24" t="b">
        <f t="shared" si="2"/>
        <v>0</v>
      </c>
      <c r="C28" s="4">
        <f>SUMIF('Input Sheet'!B$3:B$1000,A28,'Input Sheet'!C$3:C$1000)</f>
        <v>0</v>
      </c>
      <c r="D28" s="4">
        <f>SUMIF('Input Sheet'!B$3:B$1000,A28,'Input Sheet'!D$3:D$1000)</f>
        <v>0</v>
      </c>
      <c r="E28" s="4" t="str">
        <f t="shared" ref="E28:F28" ca="1" si="31">IFERROR(RANK(K28,K$6:K$1004,1),"")</f>
        <v/>
      </c>
      <c r="F28" s="4" t="str">
        <f t="shared" ca="1" si="31"/>
        <v/>
      </c>
      <c r="G28" s="4" t="str">
        <f t="shared" ca="1" si="4"/>
        <v/>
      </c>
      <c r="H28" s="4" t="str">
        <f t="shared" si="5"/>
        <v/>
      </c>
      <c r="I28" s="4" t="str">
        <f t="shared" si="6"/>
        <v/>
      </c>
      <c r="J28" s="4" t="str">
        <f t="shared" si="7"/>
        <v/>
      </c>
      <c r="K28" s="25" t="str">
        <f t="shared" ca="1" si="8"/>
        <v/>
      </c>
      <c r="L28" s="21" t="str">
        <f t="shared" ca="1" si="9"/>
        <v/>
      </c>
      <c r="M28" s="21" t="str">
        <f>IF(SUMIFS('Input Sheet'!$F$3:$F$1001,'Input Sheet'!$B$3:$B$1001,$H28,'Input Sheet'!$E$3:$E$1001,M$4)=0,"",SUMIFS('Input Sheet'!$F$3:$F$1001,'Input Sheet'!$B$3:$B$1001,$H28,'Input Sheet'!$E$3:$E$1001,M$4))</f>
        <v/>
      </c>
      <c r="N28" s="21" t="str">
        <f>IF(SUMIFS('Input Sheet'!$F$3:$F$1001,'Input Sheet'!$B$3:$B$1001,$H28,'Input Sheet'!$E$3:$E$1001,N$4)=0,"",SUMIFS('Input Sheet'!$F$3:$F$1001,'Input Sheet'!$B$3:$B$1001,$H28,'Input Sheet'!$E$3:$E$1001,N$4))</f>
        <v/>
      </c>
      <c r="O28" s="21" t="str">
        <f>IF(SUMIFS('Input Sheet'!$F$3:$F$1001,'Input Sheet'!$B$3:$B$1001,$H28,'Input Sheet'!$E$3:$E$1001,O$4)=0,"",SUMIFS('Input Sheet'!$F$3:$F$1001,'Input Sheet'!$B$3:$B$1001,$H28,'Input Sheet'!$E$3:$E$1001,O$4))</f>
        <v/>
      </c>
      <c r="P28" s="21" t="str">
        <f>IF(SUMIFS('Input Sheet'!$F$3:$F$1001,'Input Sheet'!$B$3:$B$1001,$H28,'Input Sheet'!$E$3:$E$1001,P$4)=0,"",SUMIFS('Input Sheet'!$F$3:$F$1001,'Input Sheet'!$B$3:$B$1001,$H28,'Input Sheet'!$E$3:$E$1001,P$4))</f>
        <v/>
      </c>
      <c r="Q28" s="21" t="str">
        <f>IF(SUMIFS('Input Sheet'!$F$3:$F$1001,'Input Sheet'!$B$3:$B$1001,$H28,'Input Sheet'!$E$3:$E$1001,Q$4)=0,"",SUMIFS('Input Sheet'!$F$3:$F$1001,'Input Sheet'!$B$3:$B$1001,$H28,'Input Sheet'!$E$3:$E$1001,Q$4))</f>
        <v/>
      </c>
      <c r="R28" s="21" t="str">
        <f>IF(SUMIFS('Input Sheet'!$F$3:$F$1001,'Input Sheet'!$B$3:$B$1001,$H28,'Input Sheet'!$E$3:$E$1001,R$4)=0,"",SUMIFS('Input Sheet'!$F$3:$F$1001,'Input Sheet'!$B$3:$B$1001,$H28,'Input Sheet'!$E$3:$E$1001,R$4))</f>
        <v/>
      </c>
      <c r="S28" s="21" t="str">
        <f>IF(SUMIFS('Input Sheet'!$F$3:$F$1001,'Input Sheet'!$B$3:$B$1001,$H28,'Input Sheet'!$E$3:$E$1001,S$4)=0,"",SUMIFS('Input Sheet'!$F$3:$F$1001,'Input Sheet'!$B$3:$B$1001,$H28,'Input Sheet'!$E$3:$E$1001,S$4))</f>
        <v/>
      </c>
      <c r="T28" s="22">
        <v>23</v>
      </c>
    </row>
    <row r="29" spans="1:20" ht="14.25" customHeight="1" x14ac:dyDescent="0.3">
      <c r="A29" s="4" t="str">
        <f>IF('Input Sheet'!B26=0,"",'Input Sheet'!B26)</f>
        <v/>
      </c>
      <c r="B29" s="24" t="b">
        <f t="shared" si="2"/>
        <v>0</v>
      </c>
      <c r="C29" s="4">
        <f>SUMIF('Input Sheet'!B$3:B$1000,A29,'Input Sheet'!C$3:C$1000)</f>
        <v>0</v>
      </c>
      <c r="D29" s="4">
        <f>SUMIF('Input Sheet'!B$3:B$1000,A29,'Input Sheet'!D$3:D$1000)</f>
        <v>0</v>
      </c>
      <c r="E29" s="4" t="str">
        <f t="shared" ref="E29:F29" ca="1" si="32">IFERROR(RANK(K29,K$6:K$1004,1),"")</f>
        <v/>
      </c>
      <c r="F29" s="4" t="str">
        <f t="shared" ca="1" si="32"/>
        <v/>
      </c>
      <c r="G29" s="4" t="str">
        <f t="shared" ca="1" si="4"/>
        <v/>
      </c>
      <c r="H29" s="4" t="str">
        <f t="shared" si="5"/>
        <v/>
      </c>
      <c r="I29" s="4" t="str">
        <f t="shared" si="6"/>
        <v/>
      </c>
      <c r="J29" s="4" t="str">
        <f t="shared" si="7"/>
        <v/>
      </c>
      <c r="K29" s="25" t="str">
        <f t="shared" ca="1" si="8"/>
        <v/>
      </c>
      <c r="L29" s="21" t="str">
        <f t="shared" ca="1" si="9"/>
        <v/>
      </c>
      <c r="M29" s="21" t="str">
        <f>IF(SUMIFS('Input Sheet'!$F$3:$F$1001,'Input Sheet'!$B$3:$B$1001,$H29,'Input Sheet'!$E$3:$E$1001,M$4)=0,"",SUMIFS('Input Sheet'!$F$3:$F$1001,'Input Sheet'!$B$3:$B$1001,$H29,'Input Sheet'!$E$3:$E$1001,M$4))</f>
        <v/>
      </c>
      <c r="N29" s="21" t="str">
        <f>IF(SUMIFS('Input Sheet'!$F$3:$F$1001,'Input Sheet'!$B$3:$B$1001,$H29,'Input Sheet'!$E$3:$E$1001,N$4)=0,"",SUMIFS('Input Sheet'!$F$3:$F$1001,'Input Sheet'!$B$3:$B$1001,$H29,'Input Sheet'!$E$3:$E$1001,N$4))</f>
        <v/>
      </c>
      <c r="O29" s="21" t="str">
        <f>IF(SUMIFS('Input Sheet'!$F$3:$F$1001,'Input Sheet'!$B$3:$B$1001,$H29,'Input Sheet'!$E$3:$E$1001,O$4)=0,"",SUMIFS('Input Sheet'!$F$3:$F$1001,'Input Sheet'!$B$3:$B$1001,$H29,'Input Sheet'!$E$3:$E$1001,O$4))</f>
        <v/>
      </c>
      <c r="P29" s="21" t="str">
        <f>IF(SUMIFS('Input Sheet'!$F$3:$F$1001,'Input Sheet'!$B$3:$B$1001,$H29,'Input Sheet'!$E$3:$E$1001,P$4)=0,"",SUMIFS('Input Sheet'!$F$3:$F$1001,'Input Sheet'!$B$3:$B$1001,$H29,'Input Sheet'!$E$3:$E$1001,P$4))</f>
        <v/>
      </c>
      <c r="Q29" s="21" t="str">
        <f>IF(SUMIFS('Input Sheet'!$F$3:$F$1001,'Input Sheet'!$B$3:$B$1001,$H29,'Input Sheet'!$E$3:$E$1001,Q$4)=0,"",SUMIFS('Input Sheet'!$F$3:$F$1001,'Input Sheet'!$B$3:$B$1001,$H29,'Input Sheet'!$E$3:$E$1001,Q$4))</f>
        <v/>
      </c>
      <c r="R29" s="21" t="str">
        <f>IF(SUMIFS('Input Sheet'!$F$3:$F$1001,'Input Sheet'!$B$3:$B$1001,$H29,'Input Sheet'!$E$3:$E$1001,R$4)=0,"",SUMIFS('Input Sheet'!$F$3:$F$1001,'Input Sheet'!$B$3:$B$1001,$H29,'Input Sheet'!$E$3:$E$1001,R$4))</f>
        <v/>
      </c>
      <c r="S29" s="21" t="str">
        <f>IF(SUMIFS('Input Sheet'!$F$3:$F$1001,'Input Sheet'!$B$3:$B$1001,$H29,'Input Sheet'!$E$3:$E$1001,S$4)=0,"",SUMIFS('Input Sheet'!$F$3:$F$1001,'Input Sheet'!$B$3:$B$1001,$H29,'Input Sheet'!$E$3:$E$1001,S$4))</f>
        <v/>
      </c>
      <c r="T29" s="22">
        <v>24</v>
      </c>
    </row>
    <row r="30" spans="1:20" ht="14.25" customHeight="1" x14ac:dyDescent="0.3">
      <c r="A30" s="4" t="str">
        <f>IF('Input Sheet'!B27=0,"",'Input Sheet'!B27)</f>
        <v/>
      </c>
      <c r="B30" s="24" t="b">
        <f t="shared" si="2"/>
        <v>0</v>
      </c>
      <c r="C30" s="4">
        <f>SUMIF('Input Sheet'!B$3:B$1000,A30,'Input Sheet'!C$3:C$1000)</f>
        <v>0</v>
      </c>
      <c r="D30" s="4">
        <f>SUMIF('Input Sheet'!B$3:B$1000,A30,'Input Sheet'!D$3:D$1000)</f>
        <v>0</v>
      </c>
      <c r="E30" s="4" t="str">
        <f t="shared" ref="E30:F30" ca="1" si="33">IFERROR(RANK(K30,K$6:K$1004,1),"")</f>
        <v/>
      </c>
      <c r="F30" s="4" t="str">
        <f t="shared" ca="1" si="33"/>
        <v/>
      </c>
      <c r="G30" s="4" t="str">
        <f t="shared" ca="1" si="4"/>
        <v/>
      </c>
      <c r="H30" s="4" t="str">
        <f t="shared" si="5"/>
        <v/>
      </c>
      <c r="I30" s="4" t="str">
        <f t="shared" si="6"/>
        <v/>
      </c>
      <c r="J30" s="4" t="str">
        <f t="shared" si="7"/>
        <v/>
      </c>
      <c r="K30" s="25" t="str">
        <f t="shared" ca="1" si="8"/>
        <v/>
      </c>
      <c r="L30" s="21" t="str">
        <f t="shared" ca="1" si="9"/>
        <v/>
      </c>
      <c r="M30" s="21" t="str">
        <f>IF(SUMIFS('Input Sheet'!$F$3:$F$1001,'Input Sheet'!$B$3:$B$1001,$H30,'Input Sheet'!$E$3:$E$1001,M$4)=0,"",SUMIFS('Input Sheet'!$F$3:$F$1001,'Input Sheet'!$B$3:$B$1001,$H30,'Input Sheet'!$E$3:$E$1001,M$4))</f>
        <v/>
      </c>
      <c r="N30" s="21" t="str">
        <f>IF(SUMIFS('Input Sheet'!$F$3:$F$1001,'Input Sheet'!$B$3:$B$1001,$H30,'Input Sheet'!$E$3:$E$1001,N$4)=0,"",SUMIFS('Input Sheet'!$F$3:$F$1001,'Input Sheet'!$B$3:$B$1001,$H30,'Input Sheet'!$E$3:$E$1001,N$4))</f>
        <v/>
      </c>
      <c r="O30" s="21" t="str">
        <f>IF(SUMIFS('Input Sheet'!$F$3:$F$1001,'Input Sheet'!$B$3:$B$1001,$H30,'Input Sheet'!$E$3:$E$1001,O$4)=0,"",SUMIFS('Input Sheet'!$F$3:$F$1001,'Input Sheet'!$B$3:$B$1001,$H30,'Input Sheet'!$E$3:$E$1001,O$4))</f>
        <v/>
      </c>
      <c r="P30" s="21" t="str">
        <f>IF(SUMIFS('Input Sheet'!$F$3:$F$1001,'Input Sheet'!$B$3:$B$1001,$H30,'Input Sheet'!$E$3:$E$1001,P$4)=0,"",SUMIFS('Input Sheet'!$F$3:$F$1001,'Input Sheet'!$B$3:$B$1001,$H30,'Input Sheet'!$E$3:$E$1001,P$4))</f>
        <v/>
      </c>
      <c r="Q30" s="21" t="str">
        <f>IF(SUMIFS('Input Sheet'!$F$3:$F$1001,'Input Sheet'!$B$3:$B$1001,$H30,'Input Sheet'!$E$3:$E$1001,Q$4)=0,"",SUMIFS('Input Sheet'!$F$3:$F$1001,'Input Sheet'!$B$3:$B$1001,$H30,'Input Sheet'!$E$3:$E$1001,Q$4))</f>
        <v/>
      </c>
      <c r="R30" s="21" t="str">
        <f>IF(SUMIFS('Input Sheet'!$F$3:$F$1001,'Input Sheet'!$B$3:$B$1001,$H30,'Input Sheet'!$E$3:$E$1001,R$4)=0,"",SUMIFS('Input Sheet'!$F$3:$F$1001,'Input Sheet'!$B$3:$B$1001,$H30,'Input Sheet'!$E$3:$E$1001,R$4))</f>
        <v/>
      </c>
      <c r="S30" s="21" t="str">
        <f>IF(SUMIFS('Input Sheet'!$F$3:$F$1001,'Input Sheet'!$B$3:$B$1001,$H30,'Input Sheet'!$E$3:$E$1001,S$4)=0,"",SUMIFS('Input Sheet'!$F$3:$F$1001,'Input Sheet'!$B$3:$B$1001,$H30,'Input Sheet'!$E$3:$E$1001,S$4))</f>
        <v/>
      </c>
      <c r="T30" s="22">
        <v>25</v>
      </c>
    </row>
    <row r="31" spans="1:20" ht="14.25" customHeight="1" x14ac:dyDescent="0.3">
      <c r="A31" s="4" t="str">
        <f>IF('Input Sheet'!B28=0,"",'Input Sheet'!B28)</f>
        <v/>
      </c>
      <c r="B31" s="24" t="b">
        <f t="shared" si="2"/>
        <v>0</v>
      </c>
      <c r="C31" s="4">
        <f>SUMIF('Input Sheet'!B$3:B$1000,A31,'Input Sheet'!C$3:C$1000)</f>
        <v>0</v>
      </c>
      <c r="D31" s="4">
        <f>SUMIF('Input Sheet'!B$3:B$1000,A31,'Input Sheet'!D$3:D$1000)</f>
        <v>0</v>
      </c>
      <c r="E31" s="4" t="str">
        <f t="shared" ref="E31:F31" ca="1" si="34">IFERROR(RANK(K31,K$6:K$1004,1),"")</f>
        <v/>
      </c>
      <c r="F31" s="4" t="str">
        <f t="shared" ca="1" si="34"/>
        <v/>
      </c>
      <c r="G31" s="4" t="str">
        <f t="shared" ca="1" si="4"/>
        <v/>
      </c>
      <c r="H31" s="4" t="str">
        <f t="shared" si="5"/>
        <v/>
      </c>
      <c r="I31" s="4" t="str">
        <f t="shared" si="6"/>
        <v/>
      </c>
      <c r="J31" s="4" t="str">
        <f t="shared" si="7"/>
        <v/>
      </c>
      <c r="K31" s="25" t="str">
        <f t="shared" ca="1" si="8"/>
        <v/>
      </c>
      <c r="L31" s="21" t="str">
        <f t="shared" ca="1" si="9"/>
        <v/>
      </c>
      <c r="M31" s="21" t="str">
        <f>IF(SUMIFS('Input Sheet'!$F$3:$F$1001,'Input Sheet'!$B$3:$B$1001,$H31,'Input Sheet'!$E$3:$E$1001,M$4)=0,"",SUMIFS('Input Sheet'!$F$3:$F$1001,'Input Sheet'!$B$3:$B$1001,$H31,'Input Sheet'!$E$3:$E$1001,M$4))</f>
        <v/>
      </c>
      <c r="N31" s="21" t="str">
        <f>IF(SUMIFS('Input Sheet'!$F$3:$F$1001,'Input Sheet'!$B$3:$B$1001,$H31,'Input Sheet'!$E$3:$E$1001,N$4)=0,"",SUMIFS('Input Sheet'!$F$3:$F$1001,'Input Sheet'!$B$3:$B$1001,$H31,'Input Sheet'!$E$3:$E$1001,N$4))</f>
        <v/>
      </c>
      <c r="O31" s="21" t="str">
        <f>IF(SUMIFS('Input Sheet'!$F$3:$F$1001,'Input Sheet'!$B$3:$B$1001,$H31,'Input Sheet'!$E$3:$E$1001,O$4)=0,"",SUMIFS('Input Sheet'!$F$3:$F$1001,'Input Sheet'!$B$3:$B$1001,$H31,'Input Sheet'!$E$3:$E$1001,O$4))</f>
        <v/>
      </c>
      <c r="P31" s="21" t="str">
        <f>IF(SUMIFS('Input Sheet'!$F$3:$F$1001,'Input Sheet'!$B$3:$B$1001,$H31,'Input Sheet'!$E$3:$E$1001,P$4)=0,"",SUMIFS('Input Sheet'!$F$3:$F$1001,'Input Sheet'!$B$3:$B$1001,$H31,'Input Sheet'!$E$3:$E$1001,P$4))</f>
        <v/>
      </c>
      <c r="Q31" s="21" t="str">
        <f>IF(SUMIFS('Input Sheet'!$F$3:$F$1001,'Input Sheet'!$B$3:$B$1001,$H31,'Input Sheet'!$E$3:$E$1001,Q$4)=0,"",SUMIFS('Input Sheet'!$F$3:$F$1001,'Input Sheet'!$B$3:$B$1001,$H31,'Input Sheet'!$E$3:$E$1001,Q$4))</f>
        <v/>
      </c>
      <c r="R31" s="21" t="str">
        <f>IF(SUMIFS('Input Sheet'!$F$3:$F$1001,'Input Sheet'!$B$3:$B$1001,$H31,'Input Sheet'!$E$3:$E$1001,R$4)=0,"",SUMIFS('Input Sheet'!$F$3:$F$1001,'Input Sheet'!$B$3:$B$1001,$H31,'Input Sheet'!$E$3:$E$1001,R$4))</f>
        <v/>
      </c>
      <c r="S31" s="21" t="str">
        <f>IF(SUMIFS('Input Sheet'!$F$3:$F$1001,'Input Sheet'!$B$3:$B$1001,$H31,'Input Sheet'!$E$3:$E$1001,S$4)=0,"",SUMIFS('Input Sheet'!$F$3:$F$1001,'Input Sheet'!$B$3:$B$1001,$H31,'Input Sheet'!$E$3:$E$1001,S$4))</f>
        <v/>
      </c>
      <c r="T31" s="22">
        <v>26</v>
      </c>
    </row>
    <row r="32" spans="1:20" ht="14.25" customHeight="1" x14ac:dyDescent="0.3">
      <c r="A32" s="4" t="str">
        <f>IF('Input Sheet'!B29=0,"",'Input Sheet'!B29)</f>
        <v/>
      </c>
      <c r="B32" s="24" t="b">
        <f t="shared" si="2"/>
        <v>0</v>
      </c>
      <c r="C32" s="4">
        <f>SUMIF('Input Sheet'!B$3:B$1000,A32,'Input Sheet'!C$3:C$1000)</f>
        <v>0</v>
      </c>
      <c r="D32" s="4">
        <f>SUMIF('Input Sheet'!B$3:B$1000,A32,'Input Sheet'!D$3:D$1000)</f>
        <v>0</v>
      </c>
      <c r="E32" s="4" t="str">
        <f t="shared" ref="E32:F32" ca="1" si="35">IFERROR(RANK(K32,K$6:K$1004,1),"")</f>
        <v/>
      </c>
      <c r="F32" s="4" t="str">
        <f t="shared" ca="1" si="35"/>
        <v/>
      </c>
      <c r="G32" s="4" t="str">
        <f t="shared" ca="1" si="4"/>
        <v/>
      </c>
      <c r="H32" s="4" t="str">
        <f t="shared" si="5"/>
        <v/>
      </c>
      <c r="I32" s="4" t="str">
        <f t="shared" si="6"/>
        <v/>
      </c>
      <c r="J32" s="4" t="str">
        <f t="shared" si="7"/>
        <v/>
      </c>
      <c r="K32" s="25" t="str">
        <f t="shared" ca="1" si="8"/>
        <v/>
      </c>
      <c r="L32" s="21" t="str">
        <f t="shared" ca="1" si="9"/>
        <v/>
      </c>
      <c r="M32" s="21" t="str">
        <f>IF(SUMIFS('Input Sheet'!$F$3:$F$1001,'Input Sheet'!$B$3:$B$1001,$H32,'Input Sheet'!$E$3:$E$1001,M$4)=0,"",SUMIFS('Input Sheet'!$F$3:$F$1001,'Input Sheet'!$B$3:$B$1001,$H32,'Input Sheet'!$E$3:$E$1001,M$4))</f>
        <v/>
      </c>
      <c r="N32" s="21" t="str">
        <f>IF(SUMIFS('Input Sheet'!$F$3:$F$1001,'Input Sheet'!$B$3:$B$1001,$H32,'Input Sheet'!$E$3:$E$1001,N$4)=0,"",SUMIFS('Input Sheet'!$F$3:$F$1001,'Input Sheet'!$B$3:$B$1001,$H32,'Input Sheet'!$E$3:$E$1001,N$4))</f>
        <v/>
      </c>
      <c r="O32" s="21" t="str">
        <f>IF(SUMIFS('Input Sheet'!$F$3:$F$1001,'Input Sheet'!$B$3:$B$1001,$H32,'Input Sheet'!$E$3:$E$1001,O$4)=0,"",SUMIFS('Input Sheet'!$F$3:$F$1001,'Input Sheet'!$B$3:$B$1001,$H32,'Input Sheet'!$E$3:$E$1001,O$4))</f>
        <v/>
      </c>
      <c r="P32" s="21" t="str">
        <f>IF(SUMIFS('Input Sheet'!$F$3:$F$1001,'Input Sheet'!$B$3:$B$1001,$H32,'Input Sheet'!$E$3:$E$1001,P$4)=0,"",SUMIFS('Input Sheet'!$F$3:$F$1001,'Input Sheet'!$B$3:$B$1001,$H32,'Input Sheet'!$E$3:$E$1001,P$4))</f>
        <v/>
      </c>
      <c r="Q32" s="21" t="str">
        <f>IF(SUMIFS('Input Sheet'!$F$3:$F$1001,'Input Sheet'!$B$3:$B$1001,$H32,'Input Sheet'!$E$3:$E$1001,Q$4)=0,"",SUMIFS('Input Sheet'!$F$3:$F$1001,'Input Sheet'!$B$3:$B$1001,$H32,'Input Sheet'!$E$3:$E$1001,Q$4))</f>
        <v/>
      </c>
      <c r="R32" s="21" t="str">
        <f>IF(SUMIFS('Input Sheet'!$F$3:$F$1001,'Input Sheet'!$B$3:$B$1001,$H32,'Input Sheet'!$E$3:$E$1001,R$4)=0,"",SUMIFS('Input Sheet'!$F$3:$F$1001,'Input Sheet'!$B$3:$B$1001,$H32,'Input Sheet'!$E$3:$E$1001,R$4))</f>
        <v/>
      </c>
      <c r="S32" s="21" t="str">
        <f>IF(SUMIFS('Input Sheet'!$F$3:$F$1001,'Input Sheet'!$B$3:$B$1001,$H32,'Input Sheet'!$E$3:$E$1001,S$4)=0,"",SUMIFS('Input Sheet'!$F$3:$F$1001,'Input Sheet'!$B$3:$B$1001,$H32,'Input Sheet'!$E$3:$E$1001,S$4))</f>
        <v/>
      </c>
      <c r="T32" s="22">
        <v>27</v>
      </c>
    </row>
    <row r="33" spans="1:20" ht="14.25" customHeight="1" x14ac:dyDescent="0.3">
      <c r="A33" s="4" t="str">
        <f>IF('Input Sheet'!B30=0,"",'Input Sheet'!B30)</f>
        <v/>
      </c>
      <c r="B33" s="24" t="b">
        <f t="shared" si="2"/>
        <v>0</v>
      </c>
      <c r="C33" s="4">
        <f>SUMIF('Input Sheet'!B$3:B$1000,A33,'Input Sheet'!C$3:C$1000)</f>
        <v>0</v>
      </c>
      <c r="D33" s="4">
        <f>SUMIF('Input Sheet'!B$3:B$1000,A33,'Input Sheet'!D$3:D$1000)</f>
        <v>0</v>
      </c>
      <c r="E33" s="4" t="str">
        <f t="shared" ref="E33:F33" ca="1" si="36">IFERROR(RANK(K33,K$6:K$1004,1),"")</f>
        <v/>
      </c>
      <c r="F33" s="4" t="str">
        <f t="shared" ca="1" si="36"/>
        <v/>
      </c>
      <c r="G33" s="4" t="str">
        <f t="shared" ca="1" si="4"/>
        <v/>
      </c>
      <c r="H33" s="4" t="str">
        <f t="shared" si="5"/>
        <v/>
      </c>
      <c r="I33" s="4" t="str">
        <f t="shared" si="6"/>
        <v/>
      </c>
      <c r="J33" s="4" t="str">
        <f t="shared" si="7"/>
        <v/>
      </c>
      <c r="K33" s="25" t="str">
        <f t="shared" ca="1" si="8"/>
        <v/>
      </c>
      <c r="L33" s="21" t="str">
        <f t="shared" ca="1" si="9"/>
        <v/>
      </c>
      <c r="M33" s="21" t="str">
        <f>IF(SUMIFS('Input Sheet'!$F$3:$F$1001,'Input Sheet'!$B$3:$B$1001,$H33,'Input Sheet'!$E$3:$E$1001,M$4)=0,"",SUMIFS('Input Sheet'!$F$3:$F$1001,'Input Sheet'!$B$3:$B$1001,$H33,'Input Sheet'!$E$3:$E$1001,M$4))</f>
        <v/>
      </c>
      <c r="N33" s="21" t="str">
        <f>IF(SUMIFS('Input Sheet'!$F$3:$F$1001,'Input Sheet'!$B$3:$B$1001,$H33,'Input Sheet'!$E$3:$E$1001,N$4)=0,"",SUMIFS('Input Sheet'!$F$3:$F$1001,'Input Sheet'!$B$3:$B$1001,$H33,'Input Sheet'!$E$3:$E$1001,N$4))</f>
        <v/>
      </c>
      <c r="O33" s="21" t="str">
        <f>IF(SUMIFS('Input Sheet'!$F$3:$F$1001,'Input Sheet'!$B$3:$B$1001,$H33,'Input Sheet'!$E$3:$E$1001,O$4)=0,"",SUMIFS('Input Sheet'!$F$3:$F$1001,'Input Sheet'!$B$3:$B$1001,$H33,'Input Sheet'!$E$3:$E$1001,O$4))</f>
        <v/>
      </c>
      <c r="P33" s="21" t="str">
        <f>IF(SUMIFS('Input Sheet'!$F$3:$F$1001,'Input Sheet'!$B$3:$B$1001,$H33,'Input Sheet'!$E$3:$E$1001,P$4)=0,"",SUMIFS('Input Sheet'!$F$3:$F$1001,'Input Sheet'!$B$3:$B$1001,$H33,'Input Sheet'!$E$3:$E$1001,P$4))</f>
        <v/>
      </c>
      <c r="Q33" s="21" t="str">
        <f>IF(SUMIFS('Input Sheet'!$F$3:$F$1001,'Input Sheet'!$B$3:$B$1001,$H33,'Input Sheet'!$E$3:$E$1001,Q$4)=0,"",SUMIFS('Input Sheet'!$F$3:$F$1001,'Input Sheet'!$B$3:$B$1001,$H33,'Input Sheet'!$E$3:$E$1001,Q$4))</f>
        <v/>
      </c>
      <c r="R33" s="21" t="str">
        <f>IF(SUMIFS('Input Sheet'!$F$3:$F$1001,'Input Sheet'!$B$3:$B$1001,$H33,'Input Sheet'!$E$3:$E$1001,R$4)=0,"",SUMIFS('Input Sheet'!$F$3:$F$1001,'Input Sheet'!$B$3:$B$1001,$H33,'Input Sheet'!$E$3:$E$1001,R$4))</f>
        <v/>
      </c>
      <c r="S33" s="21" t="str">
        <f>IF(SUMIFS('Input Sheet'!$F$3:$F$1001,'Input Sheet'!$B$3:$B$1001,$H33,'Input Sheet'!$E$3:$E$1001,S$4)=0,"",SUMIFS('Input Sheet'!$F$3:$F$1001,'Input Sheet'!$B$3:$B$1001,$H33,'Input Sheet'!$E$3:$E$1001,S$4))</f>
        <v/>
      </c>
      <c r="T33" s="22">
        <v>28</v>
      </c>
    </row>
    <row r="34" spans="1:20" ht="14.25" customHeight="1" x14ac:dyDescent="0.3">
      <c r="A34" s="4" t="str">
        <f>IF('Input Sheet'!B31=0,"",'Input Sheet'!B31)</f>
        <v/>
      </c>
      <c r="B34" s="24" t="b">
        <f t="shared" si="2"/>
        <v>0</v>
      </c>
      <c r="C34" s="4">
        <f>SUMIF('Input Sheet'!B$3:B$1000,A34,'Input Sheet'!C$3:C$1000)</f>
        <v>0</v>
      </c>
      <c r="D34" s="4">
        <f>SUMIF('Input Sheet'!B$3:B$1000,A34,'Input Sheet'!D$3:D$1000)</f>
        <v>0</v>
      </c>
      <c r="E34" s="4" t="str">
        <f t="shared" ref="E34:F34" ca="1" si="37">IFERROR(RANK(K34,K$6:K$1004,1),"")</f>
        <v/>
      </c>
      <c r="F34" s="4" t="str">
        <f t="shared" ca="1" si="37"/>
        <v/>
      </c>
      <c r="G34" s="4" t="str">
        <f t="shared" ca="1" si="4"/>
        <v/>
      </c>
      <c r="H34" s="4" t="str">
        <f t="shared" si="5"/>
        <v/>
      </c>
      <c r="I34" s="4" t="str">
        <f t="shared" si="6"/>
        <v/>
      </c>
      <c r="J34" s="4" t="str">
        <f t="shared" si="7"/>
        <v/>
      </c>
      <c r="K34" s="25" t="str">
        <f t="shared" ca="1" si="8"/>
        <v/>
      </c>
      <c r="L34" s="21" t="str">
        <f t="shared" ca="1" si="9"/>
        <v/>
      </c>
      <c r="M34" s="21" t="str">
        <f>IF(SUMIFS('Input Sheet'!$F$3:$F$1001,'Input Sheet'!$B$3:$B$1001,$H34,'Input Sheet'!$E$3:$E$1001,M$4)=0,"",SUMIFS('Input Sheet'!$F$3:$F$1001,'Input Sheet'!$B$3:$B$1001,$H34,'Input Sheet'!$E$3:$E$1001,M$4))</f>
        <v/>
      </c>
      <c r="N34" s="21" t="str">
        <f>IF(SUMIFS('Input Sheet'!$F$3:$F$1001,'Input Sheet'!$B$3:$B$1001,$H34,'Input Sheet'!$E$3:$E$1001,N$4)=0,"",SUMIFS('Input Sheet'!$F$3:$F$1001,'Input Sheet'!$B$3:$B$1001,$H34,'Input Sheet'!$E$3:$E$1001,N$4))</f>
        <v/>
      </c>
      <c r="O34" s="21" t="str">
        <f>IF(SUMIFS('Input Sheet'!$F$3:$F$1001,'Input Sheet'!$B$3:$B$1001,$H34,'Input Sheet'!$E$3:$E$1001,O$4)=0,"",SUMIFS('Input Sheet'!$F$3:$F$1001,'Input Sheet'!$B$3:$B$1001,$H34,'Input Sheet'!$E$3:$E$1001,O$4))</f>
        <v/>
      </c>
      <c r="P34" s="21" t="str">
        <f>IF(SUMIFS('Input Sheet'!$F$3:$F$1001,'Input Sheet'!$B$3:$B$1001,$H34,'Input Sheet'!$E$3:$E$1001,P$4)=0,"",SUMIFS('Input Sheet'!$F$3:$F$1001,'Input Sheet'!$B$3:$B$1001,$H34,'Input Sheet'!$E$3:$E$1001,P$4))</f>
        <v/>
      </c>
      <c r="Q34" s="21" t="str">
        <f>IF(SUMIFS('Input Sheet'!$F$3:$F$1001,'Input Sheet'!$B$3:$B$1001,$H34,'Input Sheet'!$E$3:$E$1001,Q$4)=0,"",SUMIFS('Input Sheet'!$F$3:$F$1001,'Input Sheet'!$B$3:$B$1001,$H34,'Input Sheet'!$E$3:$E$1001,Q$4))</f>
        <v/>
      </c>
      <c r="R34" s="21" t="str">
        <f>IF(SUMIFS('Input Sheet'!$F$3:$F$1001,'Input Sheet'!$B$3:$B$1001,$H34,'Input Sheet'!$E$3:$E$1001,R$4)=0,"",SUMIFS('Input Sheet'!$F$3:$F$1001,'Input Sheet'!$B$3:$B$1001,$H34,'Input Sheet'!$E$3:$E$1001,R$4))</f>
        <v/>
      </c>
      <c r="S34" s="21" t="str">
        <f>IF(SUMIFS('Input Sheet'!$F$3:$F$1001,'Input Sheet'!$B$3:$B$1001,$H34,'Input Sheet'!$E$3:$E$1001,S$4)=0,"",SUMIFS('Input Sheet'!$F$3:$F$1001,'Input Sheet'!$B$3:$B$1001,$H34,'Input Sheet'!$E$3:$E$1001,S$4))</f>
        <v/>
      </c>
      <c r="T34" s="22">
        <v>29</v>
      </c>
    </row>
    <row r="35" spans="1:20" ht="14.25" customHeight="1" x14ac:dyDescent="0.3">
      <c r="A35" s="4" t="str">
        <f>IF('Input Sheet'!B32=0,"",'Input Sheet'!B32)</f>
        <v/>
      </c>
      <c r="B35" s="24" t="b">
        <f t="shared" si="2"/>
        <v>0</v>
      </c>
      <c r="C35" s="4">
        <f>SUMIF('Input Sheet'!B$3:B$1000,A35,'Input Sheet'!C$3:C$1000)</f>
        <v>0</v>
      </c>
      <c r="D35" s="4">
        <f>SUMIF('Input Sheet'!B$3:B$1000,A35,'Input Sheet'!D$3:D$1000)</f>
        <v>0</v>
      </c>
      <c r="E35" s="4" t="str">
        <f t="shared" ref="E35:F35" ca="1" si="38">IFERROR(RANK(K35,K$6:K$1004,1),"")</f>
        <v/>
      </c>
      <c r="F35" s="4" t="str">
        <f t="shared" ca="1" si="38"/>
        <v/>
      </c>
      <c r="G35" s="4" t="str">
        <f t="shared" ca="1" si="4"/>
        <v/>
      </c>
      <c r="H35" s="4" t="str">
        <f t="shared" si="5"/>
        <v/>
      </c>
      <c r="I35" s="4" t="str">
        <f t="shared" si="6"/>
        <v/>
      </c>
      <c r="J35" s="4" t="str">
        <f t="shared" si="7"/>
        <v/>
      </c>
      <c r="K35" s="25" t="str">
        <f t="shared" ca="1" si="8"/>
        <v/>
      </c>
      <c r="L35" s="21" t="str">
        <f t="shared" ca="1" si="9"/>
        <v/>
      </c>
      <c r="M35" s="21" t="str">
        <f>IF(SUMIFS('Input Sheet'!$F$3:$F$1001,'Input Sheet'!$B$3:$B$1001,$H35,'Input Sheet'!$E$3:$E$1001,M$4)=0,"",SUMIFS('Input Sheet'!$F$3:$F$1001,'Input Sheet'!$B$3:$B$1001,$H35,'Input Sheet'!$E$3:$E$1001,M$4))</f>
        <v/>
      </c>
      <c r="N35" s="21" t="str">
        <f>IF(SUMIFS('Input Sheet'!$F$3:$F$1001,'Input Sheet'!$B$3:$B$1001,$H35,'Input Sheet'!$E$3:$E$1001,N$4)=0,"",SUMIFS('Input Sheet'!$F$3:$F$1001,'Input Sheet'!$B$3:$B$1001,$H35,'Input Sheet'!$E$3:$E$1001,N$4))</f>
        <v/>
      </c>
      <c r="O35" s="21" t="str">
        <f>IF(SUMIFS('Input Sheet'!$F$3:$F$1001,'Input Sheet'!$B$3:$B$1001,$H35,'Input Sheet'!$E$3:$E$1001,O$4)=0,"",SUMIFS('Input Sheet'!$F$3:$F$1001,'Input Sheet'!$B$3:$B$1001,$H35,'Input Sheet'!$E$3:$E$1001,O$4))</f>
        <v/>
      </c>
      <c r="P35" s="21" t="str">
        <f>IF(SUMIFS('Input Sheet'!$F$3:$F$1001,'Input Sheet'!$B$3:$B$1001,$H35,'Input Sheet'!$E$3:$E$1001,P$4)=0,"",SUMIFS('Input Sheet'!$F$3:$F$1001,'Input Sheet'!$B$3:$B$1001,$H35,'Input Sheet'!$E$3:$E$1001,P$4))</f>
        <v/>
      </c>
      <c r="Q35" s="21" t="str">
        <f>IF(SUMIFS('Input Sheet'!$F$3:$F$1001,'Input Sheet'!$B$3:$B$1001,$H35,'Input Sheet'!$E$3:$E$1001,Q$4)=0,"",SUMIFS('Input Sheet'!$F$3:$F$1001,'Input Sheet'!$B$3:$B$1001,$H35,'Input Sheet'!$E$3:$E$1001,Q$4))</f>
        <v/>
      </c>
      <c r="R35" s="21" t="str">
        <f>IF(SUMIFS('Input Sheet'!$F$3:$F$1001,'Input Sheet'!$B$3:$B$1001,$H35,'Input Sheet'!$E$3:$E$1001,R$4)=0,"",SUMIFS('Input Sheet'!$F$3:$F$1001,'Input Sheet'!$B$3:$B$1001,$H35,'Input Sheet'!$E$3:$E$1001,R$4))</f>
        <v/>
      </c>
      <c r="S35" s="21" t="str">
        <f>IF(SUMIFS('Input Sheet'!$F$3:$F$1001,'Input Sheet'!$B$3:$B$1001,$H35,'Input Sheet'!$E$3:$E$1001,S$4)=0,"",SUMIFS('Input Sheet'!$F$3:$F$1001,'Input Sheet'!$B$3:$B$1001,$H35,'Input Sheet'!$E$3:$E$1001,S$4))</f>
        <v/>
      </c>
      <c r="T35" s="22">
        <v>30</v>
      </c>
    </row>
    <row r="36" spans="1:20" ht="14.25" customHeight="1" x14ac:dyDescent="0.3">
      <c r="A36" s="4" t="str">
        <f>IF('Input Sheet'!B33=0,"",'Input Sheet'!B33)</f>
        <v/>
      </c>
      <c r="B36" s="24" t="b">
        <f t="shared" si="2"/>
        <v>0</v>
      </c>
      <c r="C36" s="4">
        <f>SUMIF('Input Sheet'!B$3:B$1000,A36,'Input Sheet'!C$3:C$1000)</f>
        <v>0</v>
      </c>
      <c r="D36" s="4">
        <f>SUMIF('Input Sheet'!B$3:B$1000,A36,'Input Sheet'!D$3:D$1000)</f>
        <v>0</v>
      </c>
      <c r="E36" s="4" t="str">
        <f t="shared" ref="E36:F36" ca="1" si="39">IFERROR(RANK(K36,K$6:K$1004,1),"")</f>
        <v/>
      </c>
      <c r="F36" s="4" t="str">
        <f t="shared" ca="1" si="39"/>
        <v/>
      </c>
      <c r="G36" s="4" t="str">
        <f t="shared" ca="1" si="4"/>
        <v/>
      </c>
      <c r="H36" s="4" t="str">
        <f t="shared" si="5"/>
        <v/>
      </c>
      <c r="I36" s="4" t="str">
        <f t="shared" si="6"/>
        <v/>
      </c>
      <c r="J36" s="4" t="str">
        <f t="shared" si="7"/>
        <v/>
      </c>
      <c r="K36" s="25" t="str">
        <f t="shared" ca="1" si="8"/>
        <v/>
      </c>
      <c r="L36" s="21" t="str">
        <f t="shared" ca="1" si="9"/>
        <v/>
      </c>
      <c r="M36" s="21" t="str">
        <f>IF(SUMIFS('Input Sheet'!$F$3:$F$1001,'Input Sheet'!$B$3:$B$1001,$H36,'Input Sheet'!$E$3:$E$1001,M$4)=0,"",SUMIFS('Input Sheet'!$F$3:$F$1001,'Input Sheet'!$B$3:$B$1001,$H36,'Input Sheet'!$E$3:$E$1001,M$4))</f>
        <v/>
      </c>
      <c r="N36" s="21" t="str">
        <f>IF(SUMIFS('Input Sheet'!$F$3:$F$1001,'Input Sheet'!$B$3:$B$1001,$H36,'Input Sheet'!$E$3:$E$1001,N$4)=0,"",SUMIFS('Input Sheet'!$F$3:$F$1001,'Input Sheet'!$B$3:$B$1001,$H36,'Input Sheet'!$E$3:$E$1001,N$4))</f>
        <v/>
      </c>
      <c r="O36" s="21" t="str">
        <f>IF(SUMIFS('Input Sheet'!$F$3:$F$1001,'Input Sheet'!$B$3:$B$1001,$H36,'Input Sheet'!$E$3:$E$1001,O$4)=0,"",SUMIFS('Input Sheet'!$F$3:$F$1001,'Input Sheet'!$B$3:$B$1001,$H36,'Input Sheet'!$E$3:$E$1001,O$4))</f>
        <v/>
      </c>
      <c r="P36" s="21" t="str">
        <f>IF(SUMIFS('Input Sheet'!$F$3:$F$1001,'Input Sheet'!$B$3:$B$1001,$H36,'Input Sheet'!$E$3:$E$1001,P$4)=0,"",SUMIFS('Input Sheet'!$F$3:$F$1001,'Input Sheet'!$B$3:$B$1001,$H36,'Input Sheet'!$E$3:$E$1001,P$4))</f>
        <v/>
      </c>
      <c r="Q36" s="21" t="str">
        <f>IF(SUMIFS('Input Sheet'!$F$3:$F$1001,'Input Sheet'!$B$3:$B$1001,$H36,'Input Sheet'!$E$3:$E$1001,Q$4)=0,"",SUMIFS('Input Sheet'!$F$3:$F$1001,'Input Sheet'!$B$3:$B$1001,$H36,'Input Sheet'!$E$3:$E$1001,Q$4))</f>
        <v/>
      </c>
      <c r="R36" s="21" t="str">
        <f>IF(SUMIFS('Input Sheet'!$F$3:$F$1001,'Input Sheet'!$B$3:$B$1001,$H36,'Input Sheet'!$E$3:$E$1001,R$4)=0,"",SUMIFS('Input Sheet'!$F$3:$F$1001,'Input Sheet'!$B$3:$B$1001,$H36,'Input Sheet'!$E$3:$E$1001,R$4))</f>
        <v/>
      </c>
      <c r="S36" s="21" t="str">
        <f>IF(SUMIFS('Input Sheet'!$F$3:$F$1001,'Input Sheet'!$B$3:$B$1001,$H36,'Input Sheet'!$E$3:$E$1001,S$4)=0,"",SUMIFS('Input Sheet'!$F$3:$F$1001,'Input Sheet'!$B$3:$B$1001,$H36,'Input Sheet'!$E$3:$E$1001,S$4))</f>
        <v/>
      </c>
      <c r="T36" s="22">
        <v>31</v>
      </c>
    </row>
    <row r="37" spans="1:20" ht="14.25" customHeight="1" x14ac:dyDescent="0.3">
      <c r="A37" s="4" t="str">
        <f>IF('Input Sheet'!B34=0,"",'Input Sheet'!B34)</f>
        <v/>
      </c>
      <c r="B37" s="24" t="b">
        <f t="shared" si="2"/>
        <v>0</v>
      </c>
      <c r="C37" s="4">
        <f>SUMIF('Input Sheet'!B$3:B$1000,A37,'Input Sheet'!C$3:C$1000)</f>
        <v>0</v>
      </c>
      <c r="D37" s="4">
        <f>SUMIF('Input Sheet'!B$3:B$1000,A37,'Input Sheet'!D$3:D$1000)</f>
        <v>0</v>
      </c>
      <c r="E37" s="4" t="str">
        <f t="shared" ref="E37:F37" ca="1" si="40">IFERROR(RANK(K37,K$6:K$1004,1),"")</f>
        <v/>
      </c>
      <c r="F37" s="4" t="str">
        <f t="shared" ca="1" si="40"/>
        <v/>
      </c>
      <c r="G37" s="4" t="str">
        <f t="shared" ca="1" si="4"/>
        <v/>
      </c>
      <c r="H37" s="4" t="str">
        <f t="shared" si="5"/>
        <v/>
      </c>
      <c r="I37" s="4" t="str">
        <f t="shared" si="6"/>
        <v/>
      </c>
      <c r="J37" s="4" t="str">
        <f t="shared" si="7"/>
        <v/>
      </c>
      <c r="K37" s="25" t="str">
        <f t="shared" ca="1" si="8"/>
        <v/>
      </c>
      <c r="L37" s="21" t="str">
        <f t="shared" ca="1" si="9"/>
        <v/>
      </c>
      <c r="M37" s="21" t="str">
        <f>IF(SUMIFS('Input Sheet'!$F$3:$F$1001,'Input Sheet'!$B$3:$B$1001,$H37,'Input Sheet'!$E$3:$E$1001,M$4)=0,"",SUMIFS('Input Sheet'!$F$3:$F$1001,'Input Sheet'!$B$3:$B$1001,$H37,'Input Sheet'!$E$3:$E$1001,M$4))</f>
        <v/>
      </c>
      <c r="N37" s="21" t="str">
        <f>IF(SUMIFS('Input Sheet'!$F$3:$F$1001,'Input Sheet'!$B$3:$B$1001,$H37,'Input Sheet'!$E$3:$E$1001,N$4)=0,"",SUMIFS('Input Sheet'!$F$3:$F$1001,'Input Sheet'!$B$3:$B$1001,$H37,'Input Sheet'!$E$3:$E$1001,N$4))</f>
        <v/>
      </c>
      <c r="O37" s="21" t="str">
        <f>IF(SUMIFS('Input Sheet'!$F$3:$F$1001,'Input Sheet'!$B$3:$B$1001,$H37,'Input Sheet'!$E$3:$E$1001,O$4)=0,"",SUMIFS('Input Sheet'!$F$3:$F$1001,'Input Sheet'!$B$3:$B$1001,$H37,'Input Sheet'!$E$3:$E$1001,O$4))</f>
        <v/>
      </c>
      <c r="P37" s="21" t="str">
        <f>IF(SUMIFS('Input Sheet'!$F$3:$F$1001,'Input Sheet'!$B$3:$B$1001,$H37,'Input Sheet'!$E$3:$E$1001,P$4)=0,"",SUMIFS('Input Sheet'!$F$3:$F$1001,'Input Sheet'!$B$3:$B$1001,$H37,'Input Sheet'!$E$3:$E$1001,P$4))</f>
        <v/>
      </c>
      <c r="Q37" s="21" t="str">
        <f>IF(SUMIFS('Input Sheet'!$F$3:$F$1001,'Input Sheet'!$B$3:$B$1001,$H37,'Input Sheet'!$E$3:$E$1001,Q$4)=0,"",SUMIFS('Input Sheet'!$F$3:$F$1001,'Input Sheet'!$B$3:$B$1001,$H37,'Input Sheet'!$E$3:$E$1001,Q$4))</f>
        <v/>
      </c>
      <c r="R37" s="21" t="str">
        <f>IF(SUMIFS('Input Sheet'!$F$3:$F$1001,'Input Sheet'!$B$3:$B$1001,$H37,'Input Sheet'!$E$3:$E$1001,R$4)=0,"",SUMIFS('Input Sheet'!$F$3:$F$1001,'Input Sheet'!$B$3:$B$1001,$H37,'Input Sheet'!$E$3:$E$1001,R$4))</f>
        <v/>
      </c>
      <c r="S37" s="21" t="str">
        <f>IF(SUMIFS('Input Sheet'!$F$3:$F$1001,'Input Sheet'!$B$3:$B$1001,$H37,'Input Sheet'!$E$3:$E$1001,S$4)=0,"",SUMIFS('Input Sheet'!$F$3:$F$1001,'Input Sheet'!$B$3:$B$1001,$H37,'Input Sheet'!$E$3:$E$1001,S$4))</f>
        <v/>
      </c>
      <c r="T37" s="22">
        <v>32</v>
      </c>
    </row>
    <row r="38" spans="1:20" ht="14.25" customHeight="1" x14ac:dyDescent="0.3">
      <c r="A38" s="4" t="str">
        <f>IF('Input Sheet'!B35=0,"",'Input Sheet'!B35)</f>
        <v/>
      </c>
      <c r="B38" s="24" t="b">
        <f t="shared" si="2"/>
        <v>0</v>
      </c>
      <c r="C38" s="4">
        <f>SUMIF('Input Sheet'!B$3:B$1000,A38,'Input Sheet'!C$3:C$1000)</f>
        <v>0</v>
      </c>
      <c r="D38" s="4">
        <f>SUMIF('Input Sheet'!B$3:B$1000,A38,'Input Sheet'!D$3:D$1000)</f>
        <v>0</v>
      </c>
      <c r="E38" s="4" t="str">
        <f t="shared" ref="E38:F38" ca="1" si="41">IFERROR(RANK(K38,K$6:K$1004,1),"")</f>
        <v/>
      </c>
      <c r="F38" s="4" t="str">
        <f t="shared" ca="1" si="41"/>
        <v/>
      </c>
      <c r="G38" s="4" t="str">
        <f t="shared" ca="1" si="4"/>
        <v/>
      </c>
      <c r="H38" s="4" t="str">
        <f t="shared" si="5"/>
        <v/>
      </c>
      <c r="I38" s="4" t="str">
        <f t="shared" si="6"/>
        <v/>
      </c>
      <c r="J38" s="4" t="str">
        <f t="shared" si="7"/>
        <v/>
      </c>
      <c r="K38" s="25" t="str">
        <f t="shared" ca="1" si="8"/>
        <v/>
      </c>
      <c r="L38" s="21" t="str">
        <f t="shared" ca="1" si="9"/>
        <v/>
      </c>
      <c r="M38" s="21" t="str">
        <f>IF(SUMIFS('Input Sheet'!$F$3:$F$1001,'Input Sheet'!$B$3:$B$1001,$H38,'Input Sheet'!$E$3:$E$1001,M$4)=0,"",SUMIFS('Input Sheet'!$F$3:$F$1001,'Input Sheet'!$B$3:$B$1001,$H38,'Input Sheet'!$E$3:$E$1001,M$4))</f>
        <v/>
      </c>
      <c r="N38" s="21" t="str">
        <f>IF(SUMIFS('Input Sheet'!$F$3:$F$1001,'Input Sheet'!$B$3:$B$1001,$H38,'Input Sheet'!$E$3:$E$1001,N$4)=0,"",SUMIFS('Input Sheet'!$F$3:$F$1001,'Input Sheet'!$B$3:$B$1001,$H38,'Input Sheet'!$E$3:$E$1001,N$4))</f>
        <v/>
      </c>
      <c r="O38" s="21" t="str">
        <f>IF(SUMIFS('Input Sheet'!$F$3:$F$1001,'Input Sheet'!$B$3:$B$1001,$H38,'Input Sheet'!$E$3:$E$1001,O$4)=0,"",SUMIFS('Input Sheet'!$F$3:$F$1001,'Input Sheet'!$B$3:$B$1001,$H38,'Input Sheet'!$E$3:$E$1001,O$4))</f>
        <v/>
      </c>
      <c r="P38" s="21" t="str">
        <f>IF(SUMIFS('Input Sheet'!$F$3:$F$1001,'Input Sheet'!$B$3:$B$1001,$H38,'Input Sheet'!$E$3:$E$1001,P$4)=0,"",SUMIFS('Input Sheet'!$F$3:$F$1001,'Input Sheet'!$B$3:$B$1001,$H38,'Input Sheet'!$E$3:$E$1001,P$4))</f>
        <v/>
      </c>
      <c r="Q38" s="21" t="str">
        <f>IF(SUMIFS('Input Sheet'!$F$3:$F$1001,'Input Sheet'!$B$3:$B$1001,$H38,'Input Sheet'!$E$3:$E$1001,Q$4)=0,"",SUMIFS('Input Sheet'!$F$3:$F$1001,'Input Sheet'!$B$3:$B$1001,$H38,'Input Sheet'!$E$3:$E$1001,Q$4))</f>
        <v/>
      </c>
      <c r="R38" s="21" t="str">
        <f>IF(SUMIFS('Input Sheet'!$F$3:$F$1001,'Input Sheet'!$B$3:$B$1001,$H38,'Input Sheet'!$E$3:$E$1001,R$4)=0,"",SUMIFS('Input Sheet'!$F$3:$F$1001,'Input Sheet'!$B$3:$B$1001,$H38,'Input Sheet'!$E$3:$E$1001,R$4))</f>
        <v/>
      </c>
      <c r="S38" s="21" t="str">
        <f>IF(SUMIFS('Input Sheet'!$F$3:$F$1001,'Input Sheet'!$B$3:$B$1001,$H38,'Input Sheet'!$E$3:$E$1001,S$4)=0,"",SUMIFS('Input Sheet'!$F$3:$F$1001,'Input Sheet'!$B$3:$B$1001,$H38,'Input Sheet'!$E$3:$E$1001,S$4))</f>
        <v/>
      </c>
      <c r="T38" s="22">
        <v>33</v>
      </c>
    </row>
    <row r="39" spans="1:20" ht="14.25" customHeight="1" x14ac:dyDescent="0.3">
      <c r="A39" s="4" t="str">
        <f>IF('Input Sheet'!B36=0,"",'Input Sheet'!B36)</f>
        <v/>
      </c>
      <c r="B39" s="24" t="b">
        <f t="shared" si="2"/>
        <v>0</v>
      </c>
      <c r="C39" s="4">
        <f>SUMIF('Input Sheet'!B$3:B$1000,A39,'Input Sheet'!C$3:C$1000)</f>
        <v>0</v>
      </c>
      <c r="D39" s="4">
        <f>SUMIF('Input Sheet'!B$3:B$1000,A39,'Input Sheet'!D$3:D$1000)</f>
        <v>0</v>
      </c>
      <c r="E39" s="4" t="str">
        <f t="shared" ref="E39:F39" ca="1" si="42">IFERROR(RANK(K39,K$6:K$1004,1),"")</f>
        <v/>
      </c>
      <c r="F39" s="4" t="str">
        <f t="shared" ca="1" si="42"/>
        <v/>
      </c>
      <c r="G39" s="4" t="str">
        <f t="shared" ca="1" si="4"/>
        <v/>
      </c>
      <c r="H39" s="4" t="str">
        <f t="shared" si="5"/>
        <v/>
      </c>
      <c r="I39" s="4" t="str">
        <f t="shared" si="6"/>
        <v/>
      </c>
      <c r="J39" s="4" t="str">
        <f t="shared" si="7"/>
        <v/>
      </c>
      <c r="K39" s="25" t="str">
        <f t="shared" ca="1" si="8"/>
        <v/>
      </c>
      <c r="L39" s="21" t="str">
        <f t="shared" ca="1" si="9"/>
        <v/>
      </c>
      <c r="M39" s="21" t="str">
        <f>IF(SUMIFS('Input Sheet'!$F$3:$F$1001,'Input Sheet'!$B$3:$B$1001,$H39,'Input Sheet'!$E$3:$E$1001,M$4)=0,"",SUMIFS('Input Sheet'!$F$3:$F$1001,'Input Sheet'!$B$3:$B$1001,$H39,'Input Sheet'!$E$3:$E$1001,M$4))</f>
        <v/>
      </c>
      <c r="N39" s="21" t="str">
        <f>IF(SUMIFS('Input Sheet'!$F$3:$F$1001,'Input Sheet'!$B$3:$B$1001,$H39,'Input Sheet'!$E$3:$E$1001,N$4)=0,"",SUMIFS('Input Sheet'!$F$3:$F$1001,'Input Sheet'!$B$3:$B$1001,$H39,'Input Sheet'!$E$3:$E$1001,N$4))</f>
        <v/>
      </c>
      <c r="O39" s="21" t="str">
        <f>IF(SUMIFS('Input Sheet'!$F$3:$F$1001,'Input Sheet'!$B$3:$B$1001,$H39,'Input Sheet'!$E$3:$E$1001,O$4)=0,"",SUMIFS('Input Sheet'!$F$3:$F$1001,'Input Sheet'!$B$3:$B$1001,$H39,'Input Sheet'!$E$3:$E$1001,O$4))</f>
        <v/>
      </c>
      <c r="P39" s="21" t="str">
        <f>IF(SUMIFS('Input Sheet'!$F$3:$F$1001,'Input Sheet'!$B$3:$B$1001,$H39,'Input Sheet'!$E$3:$E$1001,P$4)=0,"",SUMIFS('Input Sheet'!$F$3:$F$1001,'Input Sheet'!$B$3:$B$1001,$H39,'Input Sheet'!$E$3:$E$1001,P$4))</f>
        <v/>
      </c>
      <c r="Q39" s="21" t="str">
        <f>IF(SUMIFS('Input Sheet'!$F$3:$F$1001,'Input Sheet'!$B$3:$B$1001,$H39,'Input Sheet'!$E$3:$E$1001,Q$4)=0,"",SUMIFS('Input Sheet'!$F$3:$F$1001,'Input Sheet'!$B$3:$B$1001,$H39,'Input Sheet'!$E$3:$E$1001,Q$4))</f>
        <v/>
      </c>
      <c r="R39" s="21" t="str">
        <f>IF(SUMIFS('Input Sheet'!$F$3:$F$1001,'Input Sheet'!$B$3:$B$1001,$H39,'Input Sheet'!$E$3:$E$1001,R$4)=0,"",SUMIFS('Input Sheet'!$F$3:$F$1001,'Input Sheet'!$B$3:$B$1001,$H39,'Input Sheet'!$E$3:$E$1001,R$4))</f>
        <v/>
      </c>
      <c r="S39" s="21" t="str">
        <f>IF(SUMIFS('Input Sheet'!$F$3:$F$1001,'Input Sheet'!$B$3:$B$1001,$H39,'Input Sheet'!$E$3:$E$1001,S$4)=0,"",SUMIFS('Input Sheet'!$F$3:$F$1001,'Input Sheet'!$B$3:$B$1001,$H39,'Input Sheet'!$E$3:$E$1001,S$4))</f>
        <v/>
      </c>
      <c r="T39" s="22">
        <v>34</v>
      </c>
    </row>
    <row r="40" spans="1:20" ht="14.25" customHeight="1" x14ac:dyDescent="0.3">
      <c r="A40" s="4" t="str">
        <f>IF('Input Sheet'!B37=0,"",'Input Sheet'!B37)</f>
        <v/>
      </c>
      <c r="B40" s="24" t="b">
        <f t="shared" si="2"/>
        <v>0</v>
      </c>
      <c r="C40" s="4">
        <f>SUMIF('Input Sheet'!B$3:B$1000,A40,'Input Sheet'!C$3:C$1000)</f>
        <v>0</v>
      </c>
      <c r="D40" s="4">
        <f>SUMIF('Input Sheet'!B$3:B$1000,A40,'Input Sheet'!D$3:D$1000)</f>
        <v>0</v>
      </c>
      <c r="E40" s="4" t="str">
        <f t="shared" ref="E40:F40" ca="1" si="43">IFERROR(RANK(K40,K$6:K$1004,1),"")</f>
        <v/>
      </c>
      <c r="F40" s="4" t="str">
        <f t="shared" ca="1" si="43"/>
        <v/>
      </c>
      <c r="G40" s="4" t="str">
        <f t="shared" ca="1" si="4"/>
        <v/>
      </c>
      <c r="H40" s="4" t="str">
        <f t="shared" si="5"/>
        <v/>
      </c>
      <c r="I40" s="4" t="str">
        <f t="shared" si="6"/>
        <v/>
      </c>
      <c r="J40" s="4" t="str">
        <f t="shared" si="7"/>
        <v/>
      </c>
      <c r="K40" s="25" t="str">
        <f t="shared" ca="1" si="8"/>
        <v/>
      </c>
      <c r="L40" s="21" t="str">
        <f t="shared" ca="1" si="9"/>
        <v/>
      </c>
      <c r="M40" s="21" t="str">
        <f>IF(SUMIFS('Input Sheet'!$F$3:$F$1001,'Input Sheet'!$B$3:$B$1001,$H40,'Input Sheet'!$E$3:$E$1001,M$4)=0,"",SUMIFS('Input Sheet'!$F$3:$F$1001,'Input Sheet'!$B$3:$B$1001,$H40,'Input Sheet'!$E$3:$E$1001,M$4))</f>
        <v/>
      </c>
      <c r="N40" s="21" t="str">
        <f>IF(SUMIFS('Input Sheet'!$F$3:$F$1001,'Input Sheet'!$B$3:$B$1001,$H40,'Input Sheet'!$E$3:$E$1001,N$4)=0,"",SUMIFS('Input Sheet'!$F$3:$F$1001,'Input Sheet'!$B$3:$B$1001,$H40,'Input Sheet'!$E$3:$E$1001,N$4))</f>
        <v/>
      </c>
      <c r="O40" s="21" t="str">
        <f>IF(SUMIFS('Input Sheet'!$F$3:$F$1001,'Input Sheet'!$B$3:$B$1001,$H40,'Input Sheet'!$E$3:$E$1001,O$4)=0,"",SUMIFS('Input Sheet'!$F$3:$F$1001,'Input Sheet'!$B$3:$B$1001,$H40,'Input Sheet'!$E$3:$E$1001,O$4))</f>
        <v/>
      </c>
      <c r="P40" s="21" t="str">
        <f>IF(SUMIFS('Input Sheet'!$F$3:$F$1001,'Input Sheet'!$B$3:$B$1001,$H40,'Input Sheet'!$E$3:$E$1001,P$4)=0,"",SUMIFS('Input Sheet'!$F$3:$F$1001,'Input Sheet'!$B$3:$B$1001,$H40,'Input Sheet'!$E$3:$E$1001,P$4))</f>
        <v/>
      </c>
      <c r="Q40" s="21" t="str">
        <f>IF(SUMIFS('Input Sheet'!$F$3:$F$1001,'Input Sheet'!$B$3:$B$1001,$H40,'Input Sheet'!$E$3:$E$1001,Q$4)=0,"",SUMIFS('Input Sheet'!$F$3:$F$1001,'Input Sheet'!$B$3:$B$1001,$H40,'Input Sheet'!$E$3:$E$1001,Q$4))</f>
        <v/>
      </c>
      <c r="R40" s="21" t="str">
        <f>IF(SUMIFS('Input Sheet'!$F$3:$F$1001,'Input Sheet'!$B$3:$B$1001,$H40,'Input Sheet'!$E$3:$E$1001,R$4)=0,"",SUMIFS('Input Sheet'!$F$3:$F$1001,'Input Sheet'!$B$3:$B$1001,$H40,'Input Sheet'!$E$3:$E$1001,R$4))</f>
        <v/>
      </c>
      <c r="S40" s="21" t="str">
        <f>IF(SUMIFS('Input Sheet'!$F$3:$F$1001,'Input Sheet'!$B$3:$B$1001,$H40,'Input Sheet'!$E$3:$E$1001,S$4)=0,"",SUMIFS('Input Sheet'!$F$3:$F$1001,'Input Sheet'!$B$3:$B$1001,$H40,'Input Sheet'!$E$3:$E$1001,S$4))</f>
        <v/>
      </c>
      <c r="T40" s="22">
        <v>35</v>
      </c>
    </row>
    <row r="41" spans="1:20" ht="14.25" customHeight="1" x14ac:dyDescent="0.3">
      <c r="A41" s="4" t="str">
        <f>IF('Input Sheet'!B38=0,"",'Input Sheet'!B38)</f>
        <v/>
      </c>
      <c r="B41" s="24" t="b">
        <f t="shared" si="2"/>
        <v>0</v>
      </c>
      <c r="C41" s="4">
        <f>SUMIF('Input Sheet'!B$3:B$1000,A41,'Input Sheet'!C$3:C$1000)</f>
        <v>0</v>
      </c>
      <c r="D41" s="4">
        <f>SUMIF('Input Sheet'!B$3:B$1000,A41,'Input Sheet'!D$3:D$1000)</f>
        <v>0</v>
      </c>
      <c r="E41" s="4" t="str">
        <f t="shared" ref="E41:F41" ca="1" si="44">IFERROR(RANK(K41,K$6:K$1004,1),"")</f>
        <v/>
      </c>
      <c r="F41" s="4" t="str">
        <f t="shared" ca="1" si="44"/>
        <v/>
      </c>
      <c r="G41" s="4" t="str">
        <f t="shared" ca="1" si="4"/>
        <v/>
      </c>
      <c r="H41" s="4" t="str">
        <f t="shared" si="5"/>
        <v/>
      </c>
      <c r="I41" s="4" t="str">
        <f t="shared" si="6"/>
        <v/>
      </c>
      <c r="J41" s="4" t="str">
        <f t="shared" si="7"/>
        <v/>
      </c>
      <c r="K41" s="25" t="str">
        <f t="shared" ca="1" si="8"/>
        <v/>
      </c>
      <c r="L41" s="21" t="str">
        <f t="shared" ca="1" si="9"/>
        <v/>
      </c>
      <c r="M41" s="21" t="str">
        <f>IF(SUMIFS('Input Sheet'!$F$3:$F$1001,'Input Sheet'!$B$3:$B$1001,$H41,'Input Sheet'!$E$3:$E$1001,M$4)=0,"",SUMIFS('Input Sheet'!$F$3:$F$1001,'Input Sheet'!$B$3:$B$1001,$H41,'Input Sheet'!$E$3:$E$1001,M$4))</f>
        <v/>
      </c>
      <c r="N41" s="21" t="str">
        <f>IF(SUMIFS('Input Sheet'!$F$3:$F$1001,'Input Sheet'!$B$3:$B$1001,$H41,'Input Sheet'!$E$3:$E$1001,N$4)=0,"",SUMIFS('Input Sheet'!$F$3:$F$1001,'Input Sheet'!$B$3:$B$1001,$H41,'Input Sheet'!$E$3:$E$1001,N$4))</f>
        <v/>
      </c>
      <c r="O41" s="21" t="str">
        <f>IF(SUMIFS('Input Sheet'!$F$3:$F$1001,'Input Sheet'!$B$3:$B$1001,$H41,'Input Sheet'!$E$3:$E$1001,O$4)=0,"",SUMIFS('Input Sheet'!$F$3:$F$1001,'Input Sheet'!$B$3:$B$1001,$H41,'Input Sheet'!$E$3:$E$1001,O$4))</f>
        <v/>
      </c>
      <c r="P41" s="21" t="str">
        <f>IF(SUMIFS('Input Sheet'!$F$3:$F$1001,'Input Sheet'!$B$3:$B$1001,$H41,'Input Sheet'!$E$3:$E$1001,P$4)=0,"",SUMIFS('Input Sheet'!$F$3:$F$1001,'Input Sheet'!$B$3:$B$1001,$H41,'Input Sheet'!$E$3:$E$1001,P$4))</f>
        <v/>
      </c>
      <c r="Q41" s="21" t="str">
        <f>IF(SUMIFS('Input Sheet'!$F$3:$F$1001,'Input Sheet'!$B$3:$B$1001,$H41,'Input Sheet'!$E$3:$E$1001,Q$4)=0,"",SUMIFS('Input Sheet'!$F$3:$F$1001,'Input Sheet'!$B$3:$B$1001,$H41,'Input Sheet'!$E$3:$E$1001,Q$4))</f>
        <v/>
      </c>
      <c r="R41" s="21" t="str">
        <f>IF(SUMIFS('Input Sheet'!$F$3:$F$1001,'Input Sheet'!$B$3:$B$1001,$H41,'Input Sheet'!$E$3:$E$1001,R$4)=0,"",SUMIFS('Input Sheet'!$F$3:$F$1001,'Input Sheet'!$B$3:$B$1001,$H41,'Input Sheet'!$E$3:$E$1001,R$4))</f>
        <v/>
      </c>
      <c r="S41" s="21" t="str">
        <f>IF(SUMIFS('Input Sheet'!$F$3:$F$1001,'Input Sheet'!$B$3:$B$1001,$H41,'Input Sheet'!$E$3:$E$1001,S$4)=0,"",SUMIFS('Input Sheet'!$F$3:$F$1001,'Input Sheet'!$B$3:$B$1001,$H41,'Input Sheet'!$E$3:$E$1001,S$4))</f>
        <v/>
      </c>
      <c r="T41" s="22">
        <v>36</v>
      </c>
    </row>
    <row r="42" spans="1:20" ht="14.25" customHeight="1" x14ac:dyDescent="0.3">
      <c r="A42" s="4" t="str">
        <f>IF('Input Sheet'!B39=0,"",'Input Sheet'!B39)</f>
        <v/>
      </c>
      <c r="B42" s="24" t="b">
        <f t="shared" si="2"/>
        <v>0</v>
      </c>
      <c r="C42" s="4">
        <f>SUMIF('Input Sheet'!B$3:B$1000,A42,'Input Sheet'!C$3:C$1000)</f>
        <v>0</v>
      </c>
      <c r="D42" s="4">
        <f>SUMIF('Input Sheet'!B$3:B$1000,A42,'Input Sheet'!D$3:D$1000)</f>
        <v>0</v>
      </c>
      <c r="E42" s="4" t="str">
        <f t="shared" ref="E42:F42" ca="1" si="45">IFERROR(RANK(K42,K$6:K$1004,1),"")</f>
        <v/>
      </c>
      <c r="F42" s="4" t="str">
        <f t="shared" ca="1" si="45"/>
        <v/>
      </c>
      <c r="G42" s="4" t="str">
        <f t="shared" ca="1" si="4"/>
        <v/>
      </c>
      <c r="H42" s="4" t="str">
        <f t="shared" si="5"/>
        <v/>
      </c>
      <c r="I42" s="4" t="str">
        <f t="shared" si="6"/>
        <v/>
      </c>
      <c r="J42" s="4" t="str">
        <f t="shared" si="7"/>
        <v/>
      </c>
      <c r="K42" s="25" t="str">
        <f t="shared" ca="1" si="8"/>
        <v/>
      </c>
      <c r="L42" s="21" t="str">
        <f t="shared" ca="1" si="9"/>
        <v/>
      </c>
      <c r="M42" s="21" t="str">
        <f>IF(SUMIFS('Input Sheet'!$F$3:$F$1001,'Input Sheet'!$B$3:$B$1001,$H42,'Input Sheet'!$E$3:$E$1001,M$4)=0,"",SUMIFS('Input Sheet'!$F$3:$F$1001,'Input Sheet'!$B$3:$B$1001,$H42,'Input Sheet'!$E$3:$E$1001,M$4))</f>
        <v/>
      </c>
      <c r="N42" s="21" t="str">
        <f>IF(SUMIFS('Input Sheet'!$F$3:$F$1001,'Input Sheet'!$B$3:$B$1001,$H42,'Input Sheet'!$E$3:$E$1001,N$4)=0,"",SUMIFS('Input Sheet'!$F$3:$F$1001,'Input Sheet'!$B$3:$B$1001,$H42,'Input Sheet'!$E$3:$E$1001,N$4))</f>
        <v/>
      </c>
      <c r="O42" s="21" t="str">
        <f>IF(SUMIFS('Input Sheet'!$F$3:$F$1001,'Input Sheet'!$B$3:$B$1001,$H42,'Input Sheet'!$E$3:$E$1001,O$4)=0,"",SUMIFS('Input Sheet'!$F$3:$F$1001,'Input Sheet'!$B$3:$B$1001,$H42,'Input Sheet'!$E$3:$E$1001,O$4))</f>
        <v/>
      </c>
      <c r="P42" s="21" t="str">
        <f>IF(SUMIFS('Input Sheet'!$F$3:$F$1001,'Input Sheet'!$B$3:$B$1001,$H42,'Input Sheet'!$E$3:$E$1001,P$4)=0,"",SUMIFS('Input Sheet'!$F$3:$F$1001,'Input Sheet'!$B$3:$B$1001,$H42,'Input Sheet'!$E$3:$E$1001,P$4))</f>
        <v/>
      </c>
      <c r="Q42" s="21" t="str">
        <f>IF(SUMIFS('Input Sheet'!$F$3:$F$1001,'Input Sheet'!$B$3:$B$1001,$H42,'Input Sheet'!$E$3:$E$1001,Q$4)=0,"",SUMIFS('Input Sheet'!$F$3:$F$1001,'Input Sheet'!$B$3:$B$1001,$H42,'Input Sheet'!$E$3:$E$1001,Q$4))</f>
        <v/>
      </c>
      <c r="R42" s="21" t="str">
        <f>IF(SUMIFS('Input Sheet'!$F$3:$F$1001,'Input Sheet'!$B$3:$B$1001,$H42,'Input Sheet'!$E$3:$E$1001,R$4)=0,"",SUMIFS('Input Sheet'!$F$3:$F$1001,'Input Sheet'!$B$3:$B$1001,$H42,'Input Sheet'!$E$3:$E$1001,R$4))</f>
        <v/>
      </c>
      <c r="S42" s="21" t="str">
        <f>IF(SUMIFS('Input Sheet'!$F$3:$F$1001,'Input Sheet'!$B$3:$B$1001,$H42,'Input Sheet'!$E$3:$E$1001,S$4)=0,"",SUMIFS('Input Sheet'!$F$3:$F$1001,'Input Sheet'!$B$3:$B$1001,$H42,'Input Sheet'!$E$3:$E$1001,S$4))</f>
        <v/>
      </c>
      <c r="T42" s="22">
        <v>37</v>
      </c>
    </row>
    <row r="43" spans="1:20" ht="14.25" customHeight="1" x14ac:dyDescent="0.3">
      <c r="A43" s="4" t="str">
        <f>IF('Input Sheet'!B40=0,"",'Input Sheet'!B40)</f>
        <v/>
      </c>
      <c r="B43" s="24" t="b">
        <f t="shared" si="2"/>
        <v>0</v>
      </c>
      <c r="C43" s="4">
        <f>SUMIF('Input Sheet'!B$3:B$1000,A43,'Input Sheet'!C$3:C$1000)</f>
        <v>0</v>
      </c>
      <c r="D43" s="4">
        <f>SUMIF('Input Sheet'!B$3:B$1000,A43,'Input Sheet'!D$3:D$1000)</f>
        <v>0</v>
      </c>
      <c r="E43" s="4" t="str">
        <f t="shared" ref="E43:F43" ca="1" si="46">IFERROR(RANK(K43,K$6:K$1004,1),"")</f>
        <v/>
      </c>
      <c r="F43" s="4" t="str">
        <f t="shared" ca="1" si="46"/>
        <v/>
      </c>
      <c r="G43" s="4" t="str">
        <f t="shared" ca="1" si="4"/>
        <v/>
      </c>
      <c r="H43" s="4" t="str">
        <f t="shared" si="5"/>
        <v/>
      </c>
      <c r="I43" s="4" t="str">
        <f t="shared" si="6"/>
        <v/>
      </c>
      <c r="J43" s="4" t="str">
        <f t="shared" si="7"/>
        <v/>
      </c>
      <c r="K43" s="25" t="str">
        <f t="shared" ca="1" si="8"/>
        <v/>
      </c>
      <c r="L43" s="21" t="str">
        <f t="shared" ca="1" si="9"/>
        <v/>
      </c>
      <c r="M43" s="21" t="str">
        <f>IF(SUMIFS('Input Sheet'!$F$3:$F$1001,'Input Sheet'!$B$3:$B$1001,$H43,'Input Sheet'!$E$3:$E$1001,M$4)=0,"",SUMIFS('Input Sheet'!$F$3:$F$1001,'Input Sheet'!$B$3:$B$1001,$H43,'Input Sheet'!$E$3:$E$1001,M$4))</f>
        <v/>
      </c>
      <c r="N43" s="21" t="str">
        <f>IF(SUMIFS('Input Sheet'!$F$3:$F$1001,'Input Sheet'!$B$3:$B$1001,$H43,'Input Sheet'!$E$3:$E$1001,N$4)=0,"",SUMIFS('Input Sheet'!$F$3:$F$1001,'Input Sheet'!$B$3:$B$1001,$H43,'Input Sheet'!$E$3:$E$1001,N$4))</f>
        <v/>
      </c>
      <c r="O43" s="21" t="str">
        <f>IF(SUMIFS('Input Sheet'!$F$3:$F$1001,'Input Sheet'!$B$3:$B$1001,$H43,'Input Sheet'!$E$3:$E$1001,O$4)=0,"",SUMIFS('Input Sheet'!$F$3:$F$1001,'Input Sheet'!$B$3:$B$1001,$H43,'Input Sheet'!$E$3:$E$1001,O$4))</f>
        <v/>
      </c>
      <c r="P43" s="21" t="str">
        <f>IF(SUMIFS('Input Sheet'!$F$3:$F$1001,'Input Sheet'!$B$3:$B$1001,$H43,'Input Sheet'!$E$3:$E$1001,P$4)=0,"",SUMIFS('Input Sheet'!$F$3:$F$1001,'Input Sheet'!$B$3:$B$1001,$H43,'Input Sheet'!$E$3:$E$1001,P$4))</f>
        <v/>
      </c>
      <c r="Q43" s="21" t="str">
        <f>IF(SUMIFS('Input Sheet'!$F$3:$F$1001,'Input Sheet'!$B$3:$B$1001,$H43,'Input Sheet'!$E$3:$E$1001,Q$4)=0,"",SUMIFS('Input Sheet'!$F$3:$F$1001,'Input Sheet'!$B$3:$B$1001,$H43,'Input Sheet'!$E$3:$E$1001,Q$4))</f>
        <v/>
      </c>
      <c r="R43" s="21" t="str">
        <f>IF(SUMIFS('Input Sheet'!$F$3:$F$1001,'Input Sheet'!$B$3:$B$1001,$H43,'Input Sheet'!$E$3:$E$1001,R$4)=0,"",SUMIFS('Input Sheet'!$F$3:$F$1001,'Input Sheet'!$B$3:$B$1001,$H43,'Input Sheet'!$E$3:$E$1001,R$4))</f>
        <v/>
      </c>
      <c r="S43" s="21" t="str">
        <f>IF(SUMIFS('Input Sheet'!$F$3:$F$1001,'Input Sheet'!$B$3:$B$1001,$H43,'Input Sheet'!$E$3:$E$1001,S$4)=0,"",SUMIFS('Input Sheet'!$F$3:$F$1001,'Input Sheet'!$B$3:$B$1001,$H43,'Input Sheet'!$E$3:$E$1001,S$4))</f>
        <v/>
      </c>
      <c r="T43" s="22">
        <v>38</v>
      </c>
    </row>
    <row r="44" spans="1:20" ht="14.25" customHeight="1" x14ac:dyDescent="0.3">
      <c r="A44" s="4" t="str">
        <f>IF('Input Sheet'!B41=0,"",'Input Sheet'!B41)</f>
        <v/>
      </c>
      <c r="B44" s="24" t="b">
        <f t="shared" si="2"/>
        <v>0</v>
      </c>
      <c r="C44" s="4">
        <f>SUMIF('Input Sheet'!B$3:B$1000,A44,'Input Sheet'!C$3:C$1000)</f>
        <v>0</v>
      </c>
      <c r="D44" s="4">
        <f>SUMIF('Input Sheet'!B$3:B$1000,A44,'Input Sheet'!D$3:D$1000)</f>
        <v>0</v>
      </c>
      <c r="E44" s="4" t="str">
        <f t="shared" ref="E44:F44" ca="1" si="47">IFERROR(RANK(K44,K$6:K$1004,1),"")</f>
        <v/>
      </c>
      <c r="F44" s="4" t="str">
        <f t="shared" ca="1" si="47"/>
        <v/>
      </c>
      <c r="G44" s="4" t="str">
        <f t="shared" ca="1" si="4"/>
        <v/>
      </c>
      <c r="H44" s="4" t="str">
        <f t="shared" si="5"/>
        <v/>
      </c>
      <c r="I44" s="4" t="str">
        <f t="shared" si="6"/>
        <v/>
      </c>
      <c r="J44" s="4" t="str">
        <f t="shared" si="7"/>
        <v/>
      </c>
      <c r="K44" s="25" t="str">
        <f t="shared" ca="1" si="8"/>
        <v/>
      </c>
      <c r="L44" s="21" t="str">
        <f t="shared" ca="1" si="9"/>
        <v/>
      </c>
      <c r="M44" s="21" t="str">
        <f>IF(SUMIFS('Input Sheet'!$F$3:$F$1001,'Input Sheet'!$B$3:$B$1001,$H44,'Input Sheet'!$E$3:$E$1001,M$4)=0,"",SUMIFS('Input Sheet'!$F$3:$F$1001,'Input Sheet'!$B$3:$B$1001,$H44,'Input Sheet'!$E$3:$E$1001,M$4))</f>
        <v/>
      </c>
      <c r="N44" s="21" t="str">
        <f>IF(SUMIFS('Input Sheet'!$F$3:$F$1001,'Input Sheet'!$B$3:$B$1001,$H44,'Input Sheet'!$E$3:$E$1001,N$4)=0,"",SUMIFS('Input Sheet'!$F$3:$F$1001,'Input Sheet'!$B$3:$B$1001,$H44,'Input Sheet'!$E$3:$E$1001,N$4))</f>
        <v/>
      </c>
      <c r="O44" s="21" t="str">
        <f>IF(SUMIFS('Input Sheet'!$F$3:$F$1001,'Input Sheet'!$B$3:$B$1001,$H44,'Input Sheet'!$E$3:$E$1001,O$4)=0,"",SUMIFS('Input Sheet'!$F$3:$F$1001,'Input Sheet'!$B$3:$B$1001,$H44,'Input Sheet'!$E$3:$E$1001,O$4))</f>
        <v/>
      </c>
      <c r="P44" s="21" t="str">
        <f>IF(SUMIFS('Input Sheet'!$F$3:$F$1001,'Input Sheet'!$B$3:$B$1001,$H44,'Input Sheet'!$E$3:$E$1001,P$4)=0,"",SUMIFS('Input Sheet'!$F$3:$F$1001,'Input Sheet'!$B$3:$B$1001,$H44,'Input Sheet'!$E$3:$E$1001,P$4))</f>
        <v/>
      </c>
      <c r="Q44" s="21" t="str">
        <f>IF(SUMIFS('Input Sheet'!$F$3:$F$1001,'Input Sheet'!$B$3:$B$1001,$H44,'Input Sheet'!$E$3:$E$1001,Q$4)=0,"",SUMIFS('Input Sheet'!$F$3:$F$1001,'Input Sheet'!$B$3:$B$1001,$H44,'Input Sheet'!$E$3:$E$1001,Q$4))</f>
        <v/>
      </c>
      <c r="R44" s="21" t="str">
        <f>IF(SUMIFS('Input Sheet'!$F$3:$F$1001,'Input Sheet'!$B$3:$B$1001,$H44,'Input Sheet'!$E$3:$E$1001,R$4)=0,"",SUMIFS('Input Sheet'!$F$3:$F$1001,'Input Sheet'!$B$3:$B$1001,$H44,'Input Sheet'!$E$3:$E$1001,R$4))</f>
        <v/>
      </c>
      <c r="S44" s="21" t="str">
        <f>IF(SUMIFS('Input Sheet'!$F$3:$F$1001,'Input Sheet'!$B$3:$B$1001,$H44,'Input Sheet'!$E$3:$E$1001,S$4)=0,"",SUMIFS('Input Sheet'!$F$3:$F$1001,'Input Sheet'!$B$3:$B$1001,$H44,'Input Sheet'!$E$3:$E$1001,S$4))</f>
        <v/>
      </c>
      <c r="T44" s="22">
        <v>39</v>
      </c>
    </row>
    <row r="45" spans="1:20" ht="14.25" customHeight="1" x14ac:dyDescent="0.3">
      <c r="A45" s="4" t="str">
        <f>IF('Input Sheet'!B42=0,"",'Input Sheet'!B42)</f>
        <v/>
      </c>
      <c r="B45" s="24" t="b">
        <f t="shared" si="2"/>
        <v>0</v>
      </c>
      <c r="C45" s="4">
        <f>SUMIF('Input Sheet'!B$3:B$1000,A45,'Input Sheet'!C$3:C$1000)</f>
        <v>0</v>
      </c>
      <c r="D45" s="4">
        <f>SUMIF('Input Sheet'!B$3:B$1000,A45,'Input Sheet'!D$3:D$1000)</f>
        <v>0</v>
      </c>
      <c r="E45" s="4" t="str">
        <f t="shared" ref="E45:F45" ca="1" si="48">IFERROR(RANK(K45,K$6:K$1004,1),"")</f>
        <v/>
      </c>
      <c r="F45" s="4" t="str">
        <f t="shared" ca="1" si="48"/>
        <v/>
      </c>
      <c r="G45" s="4" t="str">
        <f t="shared" ca="1" si="4"/>
        <v/>
      </c>
      <c r="H45" s="4" t="str">
        <f t="shared" si="5"/>
        <v/>
      </c>
      <c r="I45" s="4" t="str">
        <f t="shared" si="6"/>
        <v/>
      </c>
      <c r="J45" s="4" t="str">
        <f t="shared" si="7"/>
        <v/>
      </c>
      <c r="K45" s="25" t="str">
        <f t="shared" ca="1" si="8"/>
        <v/>
      </c>
      <c r="L45" s="21" t="str">
        <f t="shared" ca="1" si="9"/>
        <v/>
      </c>
      <c r="M45" s="21" t="str">
        <f>IF(SUMIFS('Input Sheet'!$F$3:$F$1001,'Input Sheet'!$B$3:$B$1001,$H45,'Input Sheet'!$E$3:$E$1001,M$4)=0,"",SUMIFS('Input Sheet'!$F$3:$F$1001,'Input Sheet'!$B$3:$B$1001,$H45,'Input Sheet'!$E$3:$E$1001,M$4))</f>
        <v/>
      </c>
      <c r="N45" s="21" t="str">
        <f>IF(SUMIFS('Input Sheet'!$F$3:$F$1001,'Input Sheet'!$B$3:$B$1001,$H45,'Input Sheet'!$E$3:$E$1001,N$4)=0,"",SUMIFS('Input Sheet'!$F$3:$F$1001,'Input Sheet'!$B$3:$B$1001,$H45,'Input Sheet'!$E$3:$E$1001,N$4))</f>
        <v/>
      </c>
      <c r="O45" s="21" t="str">
        <f>IF(SUMIFS('Input Sheet'!$F$3:$F$1001,'Input Sheet'!$B$3:$B$1001,$H45,'Input Sheet'!$E$3:$E$1001,O$4)=0,"",SUMIFS('Input Sheet'!$F$3:$F$1001,'Input Sheet'!$B$3:$B$1001,$H45,'Input Sheet'!$E$3:$E$1001,O$4))</f>
        <v/>
      </c>
      <c r="P45" s="21" t="str">
        <f>IF(SUMIFS('Input Sheet'!$F$3:$F$1001,'Input Sheet'!$B$3:$B$1001,$H45,'Input Sheet'!$E$3:$E$1001,P$4)=0,"",SUMIFS('Input Sheet'!$F$3:$F$1001,'Input Sheet'!$B$3:$B$1001,$H45,'Input Sheet'!$E$3:$E$1001,P$4))</f>
        <v/>
      </c>
      <c r="Q45" s="21" t="str">
        <f>IF(SUMIFS('Input Sheet'!$F$3:$F$1001,'Input Sheet'!$B$3:$B$1001,$H45,'Input Sheet'!$E$3:$E$1001,Q$4)=0,"",SUMIFS('Input Sheet'!$F$3:$F$1001,'Input Sheet'!$B$3:$B$1001,$H45,'Input Sheet'!$E$3:$E$1001,Q$4))</f>
        <v/>
      </c>
      <c r="R45" s="21" t="str">
        <f>IF(SUMIFS('Input Sheet'!$F$3:$F$1001,'Input Sheet'!$B$3:$B$1001,$H45,'Input Sheet'!$E$3:$E$1001,R$4)=0,"",SUMIFS('Input Sheet'!$F$3:$F$1001,'Input Sheet'!$B$3:$B$1001,$H45,'Input Sheet'!$E$3:$E$1001,R$4))</f>
        <v/>
      </c>
      <c r="S45" s="21" t="str">
        <f>IF(SUMIFS('Input Sheet'!$F$3:$F$1001,'Input Sheet'!$B$3:$B$1001,$H45,'Input Sheet'!$E$3:$E$1001,S$4)=0,"",SUMIFS('Input Sheet'!$F$3:$F$1001,'Input Sheet'!$B$3:$B$1001,$H45,'Input Sheet'!$E$3:$E$1001,S$4))</f>
        <v/>
      </c>
      <c r="T45" s="22">
        <v>40</v>
      </c>
    </row>
    <row r="46" spans="1:20" ht="14.25" customHeight="1" x14ac:dyDescent="0.3">
      <c r="A46" s="4" t="str">
        <f>IF('Input Sheet'!B43=0,"",'Input Sheet'!B43)</f>
        <v/>
      </c>
      <c r="B46" s="24" t="b">
        <f t="shared" si="2"/>
        <v>0</v>
      </c>
      <c r="C46" s="4">
        <f>SUMIF('Input Sheet'!B$3:B$1000,A46,'Input Sheet'!C$3:C$1000)</f>
        <v>0</v>
      </c>
      <c r="D46" s="4">
        <f>SUMIF('Input Sheet'!B$3:B$1000,A46,'Input Sheet'!D$3:D$1000)</f>
        <v>0</v>
      </c>
      <c r="E46" s="4" t="str">
        <f t="shared" ref="E46:F46" ca="1" si="49">IFERROR(RANK(K46,K$6:K$1004,1),"")</f>
        <v/>
      </c>
      <c r="F46" s="4" t="str">
        <f t="shared" ca="1" si="49"/>
        <v/>
      </c>
      <c r="G46" s="4" t="str">
        <f t="shared" ca="1" si="4"/>
        <v/>
      </c>
      <c r="H46" s="4" t="str">
        <f t="shared" si="5"/>
        <v/>
      </c>
      <c r="I46" s="4" t="str">
        <f t="shared" si="6"/>
        <v/>
      </c>
      <c r="J46" s="4" t="str">
        <f t="shared" si="7"/>
        <v/>
      </c>
      <c r="K46" s="25" t="str">
        <f t="shared" ca="1" si="8"/>
        <v/>
      </c>
      <c r="L46" s="21" t="str">
        <f t="shared" ca="1" si="9"/>
        <v/>
      </c>
      <c r="M46" s="21" t="str">
        <f>IF(SUMIFS('Input Sheet'!$F$3:$F$1001,'Input Sheet'!$B$3:$B$1001,$H46,'Input Sheet'!$E$3:$E$1001,M$4)=0,"",SUMIFS('Input Sheet'!$F$3:$F$1001,'Input Sheet'!$B$3:$B$1001,$H46,'Input Sheet'!$E$3:$E$1001,M$4))</f>
        <v/>
      </c>
      <c r="N46" s="21" t="str">
        <f>IF(SUMIFS('Input Sheet'!$F$3:$F$1001,'Input Sheet'!$B$3:$B$1001,$H46,'Input Sheet'!$E$3:$E$1001,N$4)=0,"",SUMIFS('Input Sheet'!$F$3:$F$1001,'Input Sheet'!$B$3:$B$1001,$H46,'Input Sheet'!$E$3:$E$1001,N$4))</f>
        <v/>
      </c>
      <c r="O46" s="21" t="str">
        <f>IF(SUMIFS('Input Sheet'!$F$3:$F$1001,'Input Sheet'!$B$3:$B$1001,$H46,'Input Sheet'!$E$3:$E$1001,O$4)=0,"",SUMIFS('Input Sheet'!$F$3:$F$1001,'Input Sheet'!$B$3:$B$1001,$H46,'Input Sheet'!$E$3:$E$1001,O$4))</f>
        <v/>
      </c>
      <c r="P46" s="21" t="str">
        <f>IF(SUMIFS('Input Sheet'!$F$3:$F$1001,'Input Sheet'!$B$3:$B$1001,$H46,'Input Sheet'!$E$3:$E$1001,P$4)=0,"",SUMIFS('Input Sheet'!$F$3:$F$1001,'Input Sheet'!$B$3:$B$1001,$H46,'Input Sheet'!$E$3:$E$1001,P$4))</f>
        <v/>
      </c>
      <c r="Q46" s="21" t="str">
        <f>IF(SUMIFS('Input Sheet'!$F$3:$F$1001,'Input Sheet'!$B$3:$B$1001,$H46,'Input Sheet'!$E$3:$E$1001,Q$4)=0,"",SUMIFS('Input Sheet'!$F$3:$F$1001,'Input Sheet'!$B$3:$B$1001,$H46,'Input Sheet'!$E$3:$E$1001,Q$4))</f>
        <v/>
      </c>
      <c r="R46" s="21" t="str">
        <f>IF(SUMIFS('Input Sheet'!$F$3:$F$1001,'Input Sheet'!$B$3:$B$1001,$H46,'Input Sheet'!$E$3:$E$1001,R$4)=0,"",SUMIFS('Input Sheet'!$F$3:$F$1001,'Input Sheet'!$B$3:$B$1001,$H46,'Input Sheet'!$E$3:$E$1001,R$4))</f>
        <v/>
      </c>
      <c r="S46" s="21" t="str">
        <f>IF(SUMIFS('Input Sheet'!$F$3:$F$1001,'Input Sheet'!$B$3:$B$1001,$H46,'Input Sheet'!$E$3:$E$1001,S$4)=0,"",SUMIFS('Input Sheet'!$F$3:$F$1001,'Input Sheet'!$B$3:$B$1001,$H46,'Input Sheet'!$E$3:$E$1001,S$4))</f>
        <v/>
      </c>
      <c r="T46" s="22">
        <v>41</v>
      </c>
    </row>
    <row r="47" spans="1:20" ht="14.25" customHeight="1" x14ac:dyDescent="0.3">
      <c r="A47" s="4" t="str">
        <f>IF('Input Sheet'!B44=0,"",'Input Sheet'!B44)</f>
        <v/>
      </c>
      <c r="B47" s="24" t="b">
        <f t="shared" si="2"/>
        <v>0</v>
      </c>
      <c r="C47" s="4">
        <f>SUMIF('Input Sheet'!B$3:B$1000,A47,'Input Sheet'!C$3:C$1000)</f>
        <v>0</v>
      </c>
      <c r="D47" s="4">
        <f>SUMIF('Input Sheet'!B$3:B$1000,A47,'Input Sheet'!D$3:D$1000)</f>
        <v>0</v>
      </c>
      <c r="E47" s="4" t="str">
        <f t="shared" ref="E47:F47" ca="1" si="50">IFERROR(RANK(K47,K$6:K$1004,1),"")</f>
        <v/>
      </c>
      <c r="F47" s="4" t="str">
        <f t="shared" ca="1" si="50"/>
        <v/>
      </c>
      <c r="G47" s="4" t="str">
        <f t="shared" ca="1" si="4"/>
        <v/>
      </c>
      <c r="H47" s="4" t="str">
        <f t="shared" si="5"/>
        <v/>
      </c>
      <c r="I47" s="4" t="str">
        <f t="shared" si="6"/>
        <v/>
      </c>
      <c r="J47" s="4" t="str">
        <f t="shared" si="7"/>
        <v/>
      </c>
      <c r="K47" s="25" t="str">
        <f t="shared" ca="1" si="8"/>
        <v/>
      </c>
      <c r="L47" s="21" t="str">
        <f t="shared" ca="1" si="9"/>
        <v/>
      </c>
      <c r="M47" s="21" t="str">
        <f>IF(SUMIFS('Input Sheet'!$F$3:$F$1001,'Input Sheet'!$B$3:$B$1001,$H47,'Input Sheet'!$E$3:$E$1001,M$4)=0,"",SUMIFS('Input Sheet'!$F$3:$F$1001,'Input Sheet'!$B$3:$B$1001,$H47,'Input Sheet'!$E$3:$E$1001,M$4))</f>
        <v/>
      </c>
      <c r="N47" s="21" t="str">
        <f>IF(SUMIFS('Input Sheet'!$F$3:$F$1001,'Input Sheet'!$B$3:$B$1001,$H47,'Input Sheet'!$E$3:$E$1001,N$4)=0,"",SUMIFS('Input Sheet'!$F$3:$F$1001,'Input Sheet'!$B$3:$B$1001,$H47,'Input Sheet'!$E$3:$E$1001,N$4))</f>
        <v/>
      </c>
      <c r="O47" s="21" t="str">
        <f>IF(SUMIFS('Input Sheet'!$F$3:$F$1001,'Input Sheet'!$B$3:$B$1001,$H47,'Input Sheet'!$E$3:$E$1001,O$4)=0,"",SUMIFS('Input Sheet'!$F$3:$F$1001,'Input Sheet'!$B$3:$B$1001,$H47,'Input Sheet'!$E$3:$E$1001,O$4))</f>
        <v/>
      </c>
      <c r="P47" s="21" t="str">
        <f>IF(SUMIFS('Input Sheet'!$F$3:$F$1001,'Input Sheet'!$B$3:$B$1001,$H47,'Input Sheet'!$E$3:$E$1001,P$4)=0,"",SUMIFS('Input Sheet'!$F$3:$F$1001,'Input Sheet'!$B$3:$B$1001,$H47,'Input Sheet'!$E$3:$E$1001,P$4))</f>
        <v/>
      </c>
      <c r="Q47" s="21" t="str">
        <f>IF(SUMIFS('Input Sheet'!$F$3:$F$1001,'Input Sheet'!$B$3:$B$1001,$H47,'Input Sheet'!$E$3:$E$1001,Q$4)=0,"",SUMIFS('Input Sheet'!$F$3:$F$1001,'Input Sheet'!$B$3:$B$1001,$H47,'Input Sheet'!$E$3:$E$1001,Q$4))</f>
        <v/>
      </c>
      <c r="R47" s="21" t="str">
        <f>IF(SUMIFS('Input Sheet'!$F$3:$F$1001,'Input Sheet'!$B$3:$B$1001,$H47,'Input Sheet'!$E$3:$E$1001,R$4)=0,"",SUMIFS('Input Sheet'!$F$3:$F$1001,'Input Sheet'!$B$3:$B$1001,$H47,'Input Sheet'!$E$3:$E$1001,R$4))</f>
        <v/>
      </c>
      <c r="S47" s="21" t="str">
        <f>IF(SUMIFS('Input Sheet'!$F$3:$F$1001,'Input Sheet'!$B$3:$B$1001,$H47,'Input Sheet'!$E$3:$E$1001,S$4)=0,"",SUMIFS('Input Sheet'!$F$3:$F$1001,'Input Sheet'!$B$3:$B$1001,$H47,'Input Sheet'!$E$3:$E$1001,S$4))</f>
        <v/>
      </c>
      <c r="T47" s="22">
        <v>42</v>
      </c>
    </row>
    <row r="48" spans="1:20" ht="14.25" customHeight="1" x14ac:dyDescent="0.3">
      <c r="A48" s="4" t="str">
        <f>IF('Input Sheet'!B45=0,"",'Input Sheet'!B45)</f>
        <v/>
      </c>
      <c r="B48" s="24" t="b">
        <f t="shared" si="2"/>
        <v>0</v>
      </c>
      <c r="C48" s="4">
        <f>SUMIF('Input Sheet'!B$3:B$1000,A48,'Input Sheet'!C$3:C$1000)</f>
        <v>0</v>
      </c>
      <c r="D48" s="4">
        <f>SUMIF('Input Sheet'!B$3:B$1000,A48,'Input Sheet'!D$3:D$1000)</f>
        <v>0</v>
      </c>
      <c r="E48" s="4" t="str">
        <f t="shared" ref="E48:F48" ca="1" si="51">IFERROR(RANK(K48,K$6:K$1004,1),"")</f>
        <v/>
      </c>
      <c r="F48" s="4" t="str">
        <f t="shared" ca="1" si="51"/>
        <v/>
      </c>
      <c r="G48" s="4" t="str">
        <f t="shared" ca="1" si="4"/>
        <v/>
      </c>
      <c r="H48" s="4" t="str">
        <f t="shared" si="5"/>
        <v/>
      </c>
      <c r="I48" s="4" t="str">
        <f t="shared" si="6"/>
        <v/>
      </c>
      <c r="J48" s="4" t="str">
        <f t="shared" si="7"/>
        <v/>
      </c>
      <c r="K48" s="25" t="str">
        <f t="shared" ca="1" si="8"/>
        <v/>
      </c>
      <c r="L48" s="21" t="str">
        <f t="shared" ca="1" si="9"/>
        <v/>
      </c>
      <c r="M48" s="21" t="str">
        <f>IF(SUMIFS('Input Sheet'!$F$3:$F$1001,'Input Sheet'!$B$3:$B$1001,$H48,'Input Sheet'!$E$3:$E$1001,M$4)=0,"",SUMIFS('Input Sheet'!$F$3:$F$1001,'Input Sheet'!$B$3:$B$1001,$H48,'Input Sheet'!$E$3:$E$1001,M$4))</f>
        <v/>
      </c>
      <c r="N48" s="21" t="str">
        <f>IF(SUMIFS('Input Sheet'!$F$3:$F$1001,'Input Sheet'!$B$3:$B$1001,$H48,'Input Sheet'!$E$3:$E$1001,N$4)=0,"",SUMIFS('Input Sheet'!$F$3:$F$1001,'Input Sheet'!$B$3:$B$1001,$H48,'Input Sheet'!$E$3:$E$1001,N$4))</f>
        <v/>
      </c>
      <c r="O48" s="21" t="str">
        <f>IF(SUMIFS('Input Sheet'!$F$3:$F$1001,'Input Sheet'!$B$3:$B$1001,$H48,'Input Sheet'!$E$3:$E$1001,O$4)=0,"",SUMIFS('Input Sheet'!$F$3:$F$1001,'Input Sheet'!$B$3:$B$1001,$H48,'Input Sheet'!$E$3:$E$1001,O$4))</f>
        <v/>
      </c>
      <c r="P48" s="21" t="str">
        <f>IF(SUMIFS('Input Sheet'!$F$3:$F$1001,'Input Sheet'!$B$3:$B$1001,$H48,'Input Sheet'!$E$3:$E$1001,P$4)=0,"",SUMIFS('Input Sheet'!$F$3:$F$1001,'Input Sheet'!$B$3:$B$1001,$H48,'Input Sheet'!$E$3:$E$1001,P$4))</f>
        <v/>
      </c>
      <c r="Q48" s="21" t="str">
        <f>IF(SUMIFS('Input Sheet'!$F$3:$F$1001,'Input Sheet'!$B$3:$B$1001,$H48,'Input Sheet'!$E$3:$E$1001,Q$4)=0,"",SUMIFS('Input Sheet'!$F$3:$F$1001,'Input Sheet'!$B$3:$B$1001,$H48,'Input Sheet'!$E$3:$E$1001,Q$4))</f>
        <v/>
      </c>
      <c r="R48" s="21" t="str">
        <f>IF(SUMIFS('Input Sheet'!$F$3:$F$1001,'Input Sheet'!$B$3:$B$1001,$H48,'Input Sheet'!$E$3:$E$1001,R$4)=0,"",SUMIFS('Input Sheet'!$F$3:$F$1001,'Input Sheet'!$B$3:$B$1001,$H48,'Input Sheet'!$E$3:$E$1001,R$4))</f>
        <v/>
      </c>
      <c r="S48" s="21" t="str">
        <f>IF(SUMIFS('Input Sheet'!$F$3:$F$1001,'Input Sheet'!$B$3:$B$1001,$H48,'Input Sheet'!$E$3:$E$1001,S$4)=0,"",SUMIFS('Input Sheet'!$F$3:$F$1001,'Input Sheet'!$B$3:$B$1001,$H48,'Input Sheet'!$E$3:$E$1001,S$4))</f>
        <v/>
      </c>
      <c r="T48" s="22">
        <v>43</v>
      </c>
    </row>
    <row r="49" spans="1:20" ht="14.25" customHeight="1" x14ac:dyDescent="0.3">
      <c r="A49" s="4" t="str">
        <f>IF('Input Sheet'!B46=0,"",'Input Sheet'!B46)</f>
        <v/>
      </c>
      <c r="B49" s="24" t="b">
        <f t="shared" si="2"/>
        <v>0</v>
      </c>
      <c r="C49" s="4">
        <f>SUMIF('Input Sheet'!B$3:B$1000,A49,'Input Sheet'!C$3:C$1000)</f>
        <v>0</v>
      </c>
      <c r="D49" s="4">
        <f>SUMIF('Input Sheet'!B$3:B$1000,A49,'Input Sheet'!D$3:D$1000)</f>
        <v>0</v>
      </c>
      <c r="E49" s="4" t="str">
        <f t="shared" ref="E49:F49" ca="1" si="52">IFERROR(RANK(K49,K$6:K$1004,1),"")</f>
        <v/>
      </c>
      <c r="F49" s="4" t="str">
        <f t="shared" ca="1" si="52"/>
        <v/>
      </c>
      <c r="G49" s="4" t="str">
        <f t="shared" ca="1" si="4"/>
        <v/>
      </c>
      <c r="H49" s="4" t="str">
        <f t="shared" si="5"/>
        <v/>
      </c>
      <c r="I49" s="4" t="str">
        <f t="shared" si="6"/>
        <v/>
      </c>
      <c r="J49" s="4" t="str">
        <f t="shared" si="7"/>
        <v/>
      </c>
      <c r="K49" s="25" t="str">
        <f t="shared" ca="1" si="8"/>
        <v/>
      </c>
      <c r="L49" s="21" t="str">
        <f t="shared" ca="1" si="9"/>
        <v/>
      </c>
      <c r="M49" s="21" t="str">
        <f>IF(SUMIFS('Input Sheet'!$F$3:$F$1001,'Input Sheet'!$B$3:$B$1001,$H49,'Input Sheet'!$E$3:$E$1001,M$4)=0,"",SUMIFS('Input Sheet'!$F$3:$F$1001,'Input Sheet'!$B$3:$B$1001,$H49,'Input Sheet'!$E$3:$E$1001,M$4))</f>
        <v/>
      </c>
      <c r="N49" s="21" t="str">
        <f>IF(SUMIFS('Input Sheet'!$F$3:$F$1001,'Input Sheet'!$B$3:$B$1001,$H49,'Input Sheet'!$E$3:$E$1001,N$4)=0,"",SUMIFS('Input Sheet'!$F$3:$F$1001,'Input Sheet'!$B$3:$B$1001,$H49,'Input Sheet'!$E$3:$E$1001,N$4))</f>
        <v/>
      </c>
      <c r="O49" s="21" t="str">
        <f>IF(SUMIFS('Input Sheet'!$F$3:$F$1001,'Input Sheet'!$B$3:$B$1001,$H49,'Input Sheet'!$E$3:$E$1001,O$4)=0,"",SUMIFS('Input Sheet'!$F$3:$F$1001,'Input Sheet'!$B$3:$B$1001,$H49,'Input Sheet'!$E$3:$E$1001,O$4))</f>
        <v/>
      </c>
      <c r="P49" s="21" t="str">
        <f>IF(SUMIFS('Input Sheet'!$F$3:$F$1001,'Input Sheet'!$B$3:$B$1001,$H49,'Input Sheet'!$E$3:$E$1001,P$4)=0,"",SUMIFS('Input Sheet'!$F$3:$F$1001,'Input Sheet'!$B$3:$B$1001,$H49,'Input Sheet'!$E$3:$E$1001,P$4))</f>
        <v/>
      </c>
      <c r="Q49" s="21" t="str">
        <f>IF(SUMIFS('Input Sheet'!$F$3:$F$1001,'Input Sheet'!$B$3:$B$1001,$H49,'Input Sheet'!$E$3:$E$1001,Q$4)=0,"",SUMIFS('Input Sheet'!$F$3:$F$1001,'Input Sheet'!$B$3:$B$1001,$H49,'Input Sheet'!$E$3:$E$1001,Q$4))</f>
        <v/>
      </c>
      <c r="R49" s="21" t="str">
        <f>IF(SUMIFS('Input Sheet'!$F$3:$F$1001,'Input Sheet'!$B$3:$B$1001,$H49,'Input Sheet'!$E$3:$E$1001,R$4)=0,"",SUMIFS('Input Sheet'!$F$3:$F$1001,'Input Sheet'!$B$3:$B$1001,$H49,'Input Sheet'!$E$3:$E$1001,R$4))</f>
        <v/>
      </c>
      <c r="S49" s="21" t="str">
        <f>IF(SUMIFS('Input Sheet'!$F$3:$F$1001,'Input Sheet'!$B$3:$B$1001,$H49,'Input Sheet'!$E$3:$E$1001,S$4)=0,"",SUMIFS('Input Sheet'!$F$3:$F$1001,'Input Sheet'!$B$3:$B$1001,$H49,'Input Sheet'!$E$3:$E$1001,S$4))</f>
        <v/>
      </c>
      <c r="T49" s="22">
        <v>44</v>
      </c>
    </row>
    <row r="50" spans="1:20" ht="14.25" customHeight="1" x14ac:dyDescent="0.3">
      <c r="A50" s="4" t="str">
        <f>IF('Input Sheet'!B47=0,"",'Input Sheet'!B47)</f>
        <v/>
      </c>
      <c r="B50" s="24" t="b">
        <f t="shared" si="2"/>
        <v>0</v>
      </c>
      <c r="C50" s="4">
        <f>SUMIF('Input Sheet'!B$3:B$1000,A50,'Input Sheet'!C$3:C$1000)</f>
        <v>0</v>
      </c>
      <c r="D50" s="4">
        <f>SUMIF('Input Sheet'!B$3:B$1000,A50,'Input Sheet'!D$3:D$1000)</f>
        <v>0</v>
      </c>
      <c r="E50" s="4" t="str">
        <f t="shared" ref="E50:F50" ca="1" si="53">IFERROR(RANK(K50,K$6:K$1004,1),"")</f>
        <v/>
      </c>
      <c r="F50" s="4" t="str">
        <f t="shared" ca="1" si="53"/>
        <v/>
      </c>
      <c r="G50" s="4" t="str">
        <f t="shared" ca="1" si="4"/>
        <v/>
      </c>
      <c r="H50" s="4" t="str">
        <f t="shared" si="5"/>
        <v/>
      </c>
      <c r="I50" s="4" t="str">
        <f t="shared" si="6"/>
        <v/>
      </c>
      <c r="J50" s="4" t="str">
        <f t="shared" si="7"/>
        <v/>
      </c>
      <c r="K50" s="25" t="str">
        <f t="shared" ca="1" si="8"/>
        <v/>
      </c>
      <c r="L50" s="21" t="str">
        <f t="shared" ca="1" si="9"/>
        <v/>
      </c>
      <c r="M50" s="21" t="str">
        <f>IF(SUMIFS('Input Sheet'!$F$3:$F$1001,'Input Sheet'!$B$3:$B$1001,$H50,'Input Sheet'!$E$3:$E$1001,M$4)=0,"",SUMIFS('Input Sheet'!$F$3:$F$1001,'Input Sheet'!$B$3:$B$1001,$H50,'Input Sheet'!$E$3:$E$1001,M$4))</f>
        <v/>
      </c>
      <c r="N50" s="21" t="str">
        <f>IF(SUMIFS('Input Sheet'!$F$3:$F$1001,'Input Sheet'!$B$3:$B$1001,$H50,'Input Sheet'!$E$3:$E$1001,N$4)=0,"",SUMIFS('Input Sheet'!$F$3:$F$1001,'Input Sheet'!$B$3:$B$1001,$H50,'Input Sheet'!$E$3:$E$1001,N$4))</f>
        <v/>
      </c>
      <c r="O50" s="21" t="str">
        <f>IF(SUMIFS('Input Sheet'!$F$3:$F$1001,'Input Sheet'!$B$3:$B$1001,$H50,'Input Sheet'!$E$3:$E$1001,O$4)=0,"",SUMIFS('Input Sheet'!$F$3:$F$1001,'Input Sheet'!$B$3:$B$1001,$H50,'Input Sheet'!$E$3:$E$1001,O$4))</f>
        <v/>
      </c>
      <c r="P50" s="21" t="str">
        <f>IF(SUMIFS('Input Sheet'!$F$3:$F$1001,'Input Sheet'!$B$3:$B$1001,$H50,'Input Sheet'!$E$3:$E$1001,P$4)=0,"",SUMIFS('Input Sheet'!$F$3:$F$1001,'Input Sheet'!$B$3:$B$1001,$H50,'Input Sheet'!$E$3:$E$1001,P$4))</f>
        <v/>
      </c>
      <c r="Q50" s="21" t="str">
        <f>IF(SUMIFS('Input Sheet'!$F$3:$F$1001,'Input Sheet'!$B$3:$B$1001,$H50,'Input Sheet'!$E$3:$E$1001,Q$4)=0,"",SUMIFS('Input Sheet'!$F$3:$F$1001,'Input Sheet'!$B$3:$B$1001,$H50,'Input Sheet'!$E$3:$E$1001,Q$4))</f>
        <v/>
      </c>
      <c r="R50" s="21" t="str">
        <f>IF(SUMIFS('Input Sheet'!$F$3:$F$1001,'Input Sheet'!$B$3:$B$1001,$H50,'Input Sheet'!$E$3:$E$1001,R$4)=0,"",SUMIFS('Input Sheet'!$F$3:$F$1001,'Input Sheet'!$B$3:$B$1001,$H50,'Input Sheet'!$E$3:$E$1001,R$4))</f>
        <v/>
      </c>
      <c r="S50" s="21" t="str">
        <f>IF(SUMIFS('Input Sheet'!$F$3:$F$1001,'Input Sheet'!$B$3:$B$1001,$H50,'Input Sheet'!$E$3:$E$1001,S$4)=0,"",SUMIFS('Input Sheet'!$F$3:$F$1001,'Input Sheet'!$B$3:$B$1001,$H50,'Input Sheet'!$E$3:$E$1001,S$4))</f>
        <v/>
      </c>
      <c r="T50" s="22">
        <v>45</v>
      </c>
    </row>
    <row r="51" spans="1:20" ht="14.25" customHeight="1" x14ac:dyDescent="0.3">
      <c r="A51" s="4" t="str">
        <f>IF('Input Sheet'!B48=0,"",'Input Sheet'!B48)</f>
        <v/>
      </c>
      <c r="B51" s="24" t="b">
        <f t="shared" si="2"/>
        <v>0</v>
      </c>
      <c r="C51" s="4">
        <f>SUMIF('Input Sheet'!B$3:B$1000,A51,'Input Sheet'!C$3:C$1000)</f>
        <v>0</v>
      </c>
      <c r="D51" s="4">
        <f>SUMIF('Input Sheet'!B$3:B$1000,A51,'Input Sheet'!D$3:D$1000)</f>
        <v>0</v>
      </c>
      <c r="E51" s="4" t="str">
        <f t="shared" ref="E51:F51" ca="1" si="54">IFERROR(RANK(K51,K$6:K$1004,1),"")</f>
        <v/>
      </c>
      <c r="F51" s="4" t="str">
        <f t="shared" ca="1" si="54"/>
        <v/>
      </c>
      <c r="G51" s="4" t="str">
        <f t="shared" ca="1" si="4"/>
        <v/>
      </c>
      <c r="H51" s="4" t="str">
        <f t="shared" si="5"/>
        <v/>
      </c>
      <c r="I51" s="4" t="str">
        <f t="shared" si="6"/>
        <v/>
      </c>
      <c r="J51" s="4" t="str">
        <f t="shared" si="7"/>
        <v/>
      </c>
      <c r="K51" s="25" t="str">
        <f t="shared" ca="1" si="8"/>
        <v/>
      </c>
      <c r="L51" s="21" t="str">
        <f t="shared" ca="1" si="9"/>
        <v/>
      </c>
      <c r="M51" s="21" t="str">
        <f>IF(SUMIFS('Input Sheet'!$F$3:$F$1001,'Input Sheet'!$B$3:$B$1001,$H51,'Input Sheet'!$E$3:$E$1001,M$4)=0,"",SUMIFS('Input Sheet'!$F$3:$F$1001,'Input Sheet'!$B$3:$B$1001,$H51,'Input Sheet'!$E$3:$E$1001,M$4))</f>
        <v/>
      </c>
      <c r="N51" s="21" t="str">
        <f>IF(SUMIFS('Input Sheet'!$F$3:$F$1001,'Input Sheet'!$B$3:$B$1001,$H51,'Input Sheet'!$E$3:$E$1001,N$4)=0,"",SUMIFS('Input Sheet'!$F$3:$F$1001,'Input Sheet'!$B$3:$B$1001,$H51,'Input Sheet'!$E$3:$E$1001,N$4))</f>
        <v/>
      </c>
      <c r="O51" s="21" t="str">
        <f>IF(SUMIFS('Input Sheet'!$F$3:$F$1001,'Input Sheet'!$B$3:$B$1001,$H51,'Input Sheet'!$E$3:$E$1001,O$4)=0,"",SUMIFS('Input Sheet'!$F$3:$F$1001,'Input Sheet'!$B$3:$B$1001,$H51,'Input Sheet'!$E$3:$E$1001,O$4))</f>
        <v/>
      </c>
      <c r="P51" s="21" t="str">
        <f>IF(SUMIFS('Input Sheet'!$F$3:$F$1001,'Input Sheet'!$B$3:$B$1001,$H51,'Input Sheet'!$E$3:$E$1001,P$4)=0,"",SUMIFS('Input Sheet'!$F$3:$F$1001,'Input Sheet'!$B$3:$B$1001,$H51,'Input Sheet'!$E$3:$E$1001,P$4))</f>
        <v/>
      </c>
      <c r="Q51" s="21" t="str">
        <f>IF(SUMIFS('Input Sheet'!$F$3:$F$1001,'Input Sheet'!$B$3:$B$1001,$H51,'Input Sheet'!$E$3:$E$1001,Q$4)=0,"",SUMIFS('Input Sheet'!$F$3:$F$1001,'Input Sheet'!$B$3:$B$1001,$H51,'Input Sheet'!$E$3:$E$1001,Q$4))</f>
        <v/>
      </c>
      <c r="R51" s="21" t="str">
        <f>IF(SUMIFS('Input Sheet'!$F$3:$F$1001,'Input Sheet'!$B$3:$B$1001,$H51,'Input Sheet'!$E$3:$E$1001,R$4)=0,"",SUMIFS('Input Sheet'!$F$3:$F$1001,'Input Sheet'!$B$3:$B$1001,$H51,'Input Sheet'!$E$3:$E$1001,R$4))</f>
        <v/>
      </c>
      <c r="S51" s="21" t="str">
        <f>IF(SUMIFS('Input Sheet'!$F$3:$F$1001,'Input Sheet'!$B$3:$B$1001,$H51,'Input Sheet'!$E$3:$E$1001,S$4)=0,"",SUMIFS('Input Sheet'!$F$3:$F$1001,'Input Sheet'!$B$3:$B$1001,$H51,'Input Sheet'!$E$3:$E$1001,S$4))</f>
        <v/>
      </c>
      <c r="T51" s="22">
        <v>46</v>
      </c>
    </row>
    <row r="52" spans="1:20" ht="14.25" customHeight="1" x14ac:dyDescent="0.3">
      <c r="A52" s="4" t="str">
        <f>IF('Input Sheet'!B49=0,"",'Input Sheet'!B49)</f>
        <v/>
      </c>
      <c r="B52" s="24" t="b">
        <f t="shared" si="2"/>
        <v>0</v>
      </c>
      <c r="C52" s="4">
        <f>SUMIF('Input Sheet'!B$3:B$1000,A52,'Input Sheet'!C$3:C$1000)</f>
        <v>0</v>
      </c>
      <c r="D52" s="4">
        <f>SUMIF('Input Sheet'!B$3:B$1000,A52,'Input Sheet'!D$3:D$1000)</f>
        <v>0</v>
      </c>
      <c r="E52" s="4" t="str">
        <f t="shared" ref="E52:F52" ca="1" si="55">IFERROR(RANK(K52,K$6:K$1004,1),"")</f>
        <v/>
      </c>
      <c r="F52" s="4" t="str">
        <f t="shared" ca="1" si="55"/>
        <v/>
      </c>
      <c r="G52" s="4" t="str">
        <f t="shared" ca="1" si="4"/>
        <v/>
      </c>
      <c r="H52" s="4" t="str">
        <f t="shared" si="5"/>
        <v/>
      </c>
      <c r="I52" s="4" t="str">
        <f t="shared" si="6"/>
        <v/>
      </c>
      <c r="J52" s="4" t="str">
        <f t="shared" si="7"/>
        <v/>
      </c>
      <c r="K52" s="25" t="str">
        <f t="shared" ca="1" si="8"/>
        <v/>
      </c>
      <c r="L52" s="21" t="str">
        <f t="shared" ca="1" si="9"/>
        <v/>
      </c>
      <c r="M52" s="21" t="str">
        <f>IF(SUMIFS('Input Sheet'!$F$3:$F$1001,'Input Sheet'!$B$3:$B$1001,$H52,'Input Sheet'!$E$3:$E$1001,M$4)=0,"",SUMIFS('Input Sheet'!$F$3:$F$1001,'Input Sheet'!$B$3:$B$1001,$H52,'Input Sheet'!$E$3:$E$1001,M$4))</f>
        <v/>
      </c>
      <c r="N52" s="21" t="str">
        <f>IF(SUMIFS('Input Sheet'!$F$3:$F$1001,'Input Sheet'!$B$3:$B$1001,$H52,'Input Sheet'!$E$3:$E$1001,N$4)=0,"",SUMIFS('Input Sheet'!$F$3:$F$1001,'Input Sheet'!$B$3:$B$1001,$H52,'Input Sheet'!$E$3:$E$1001,N$4))</f>
        <v/>
      </c>
      <c r="O52" s="21" t="str">
        <f>IF(SUMIFS('Input Sheet'!$F$3:$F$1001,'Input Sheet'!$B$3:$B$1001,$H52,'Input Sheet'!$E$3:$E$1001,O$4)=0,"",SUMIFS('Input Sheet'!$F$3:$F$1001,'Input Sheet'!$B$3:$B$1001,$H52,'Input Sheet'!$E$3:$E$1001,O$4))</f>
        <v/>
      </c>
      <c r="P52" s="21" t="str">
        <f>IF(SUMIFS('Input Sheet'!$F$3:$F$1001,'Input Sheet'!$B$3:$B$1001,$H52,'Input Sheet'!$E$3:$E$1001,P$4)=0,"",SUMIFS('Input Sheet'!$F$3:$F$1001,'Input Sheet'!$B$3:$B$1001,$H52,'Input Sheet'!$E$3:$E$1001,P$4))</f>
        <v/>
      </c>
      <c r="Q52" s="21" t="str">
        <f>IF(SUMIFS('Input Sheet'!$F$3:$F$1001,'Input Sheet'!$B$3:$B$1001,$H52,'Input Sheet'!$E$3:$E$1001,Q$4)=0,"",SUMIFS('Input Sheet'!$F$3:$F$1001,'Input Sheet'!$B$3:$B$1001,$H52,'Input Sheet'!$E$3:$E$1001,Q$4))</f>
        <v/>
      </c>
      <c r="R52" s="21" t="str">
        <f>IF(SUMIFS('Input Sheet'!$F$3:$F$1001,'Input Sheet'!$B$3:$B$1001,$H52,'Input Sheet'!$E$3:$E$1001,R$4)=0,"",SUMIFS('Input Sheet'!$F$3:$F$1001,'Input Sheet'!$B$3:$B$1001,$H52,'Input Sheet'!$E$3:$E$1001,R$4))</f>
        <v/>
      </c>
      <c r="S52" s="21" t="str">
        <f>IF(SUMIFS('Input Sheet'!$F$3:$F$1001,'Input Sheet'!$B$3:$B$1001,$H52,'Input Sheet'!$E$3:$E$1001,S$4)=0,"",SUMIFS('Input Sheet'!$F$3:$F$1001,'Input Sheet'!$B$3:$B$1001,$H52,'Input Sheet'!$E$3:$E$1001,S$4))</f>
        <v/>
      </c>
      <c r="T52" s="22">
        <v>47</v>
      </c>
    </row>
    <row r="53" spans="1:20" ht="14.25" customHeight="1" x14ac:dyDescent="0.3">
      <c r="A53" s="4" t="str">
        <f>IF('Input Sheet'!B50=0,"",'Input Sheet'!B50)</f>
        <v/>
      </c>
      <c r="B53" s="24" t="b">
        <f t="shared" si="2"/>
        <v>0</v>
      </c>
      <c r="C53" s="4">
        <f>SUMIF('Input Sheet'!B$3:B$1000,A53,'Input Sheet'!C$3:C$1000)</f>
        <v>0</v>
      </c>
      <c r="D53" s="4">
        <f>SUMIF('Input Sheet'!B$3:B$1000,A53,'Input Sheet'!D$3:D$1000)</f>
        <v>0</v>
      </c>
      <c r="E53" s="4" t="str">
        <f t="shared" ref="E53:F53" ca="1" si="56">IFERROR(RANK(K53,K$6:K$1004,1),"")</f>
        <v/>
      </c>
      <c r="F53" s="4" t="str">
        <f t="shared" ca="1" si="56"/>
        <v/>
      </c>
      <c r="G53" s="4" t="str">
        <f t="shared" ca="1" si="4"/>
        <v/>
      </c>
      <c r="H53" s="4" t="str">
        <f t="shared" si="5"/>
        <v/>
      </c>
      <c r="I53" s="4" t="str">
        <f t="shared" si="6"/>
        <v/>
      </c>
      <c r="J53" s="4" t="str">
        <f t="shared" si="7"/>
        <v/>
      </c>
      <c r="K53" s="25" t="str">
        <f t="shared" ca="1" si="8"/>
        <v/>
      </c>
      <c r="L53" s="21" t="str">
        <f t="shared" ca="1" si="9"/>
        <v/>
      </c>
      <c r="M53" s="21" t="str">
        <f>IF(SUMIFS('Input Sheet'!$F$3:$F$1001,'Input Sheet'!$B$3:$B$1001,$H53,'Input Sheet'!$E$3:$E$1001,M$4)=0,"",SUMIFS('Input Sheet'!$F$3:$F$1001,'Input Sheet'!$B$3:$B$1001,$H53,'Input Sheet'!$E$3:$E$1001,M$4))</f>
        <v/>
      </c>
      <c r="N53" s="21" t="str">
        <f>IF(SUMIFS('Input Sheet'!$F$3:$F$1001,'Input Sheet'!$B$3:$B$1001,$H53,'Input Sheet'!$E$3:$E$1001,N$4)=0,"",SUMIFS('Input Sheet'!$F$3:$F$1001,'Input Sheet'!$B$3:$B$1001,$H53,'Input Sheet'!$E$3:$E$1001,N$4))</f>
        <v/>
      </c>
      <c r="O53" s="21" t="str">
        <f>IF(SUMIFS('Input Sheet'!$F$3:$F$1001,'Input Sheet'!$B$3:$B$1001,$H53,'Input Sheet'!$E$3:$E$1001,O$4)=0,"",SUMIFS('Input Sheet'!$F$3:$F$1001,'Input Sheet'!$B$3:$B$1001,$H53,'Input Sheet'!$E$3:$E$1001,O$4))</f>
        <v/>
      </c>
      <c r="P53" s="21" t="str">
        <f>IF(SUMIFS('Input Sheet'!$F$3:$F$1001,'Input Sheet'!$B$3:$B$1001,$H53,'Input Sheet'!$E$3:$E$1001,P$4)=0,"",SUMIFS('Input Sheet'!$F$3:$F$1001,'Input Sheet'!$B$3:$B$1001,$H53,'Input Sheet'!$E$3:$E$1001,P$4))</f>
        <v/>
      </c>
      <c r="Q53" s="21" t="str">
        <f>IF(SUMIFS('Input Sheet'!$F$3:$F$1001,'Input Sheet'!$B$3:$B$1001,$H53,'Input Sheet'!$E$3:$E$1001,Q$4)=0,"",SUMIFS('Input Sheet'!$F$3:$F$1001,'Input Sheet'!$B$3:$B$1001,$H53,'Input Sheet'!$E$3:$E$1001,Q$4))</f>
        <v/>
      </c>
      <c r="R53" s="21" t="str">
        <f>IF(SUMIFS('Input Sheet'!$F$3:$F$1001,'Input Sheet'!$B$3:$B$1001,$H53,'Input Sheet'!$E$3:$E$1001,R$4)=0,"",SUMIFS('Input Sheet'!$F$3:$F$1001,'Input Sheet'!$B$3:$B$1001,$H53,'Input Sheet'!$E$3:$E$1001,R$4))</f>
        <v/>
      </c>
      <c r="S53" s="21" t="str">
        <f>IF(SUMIFS('Input Sheet'!$F$3:$F$1001,'Input Sheet'!$B$3:$B$1001,$H53,'Input Sheet'!$E$3:$E$1001,S$4)=0,"",SUMIFS('Input Sheet'!$F$3:$F$1001,'Input Sheet'!$B$3:$B$1001,$H53,'Input Sheet'!$E$3:$E$1001,S$4))</f>
        <v/>
      </c>
      <c r="T53" s="22">
        <v>48</v>
      </c>
    </row>
    <row r="54" spans="1:20" ht="14.25" customHeight="1" x14ac:dyDescent="0.3">
      <c r="A54" s="4" t="str">
        <f>IF('Input Sheet'!B51=0,"",'Input Sheet'!B51)</f>
        <v/>
      </c>
      <c r="B54" s="24" t="b">
        <f t="shared" si="2"/>
        <v>0</v>
      </c>
      <c r="C54" s="4">
        <f>SUMIF('Input Sheet'!B$3:B$1000,A54,'Input Sheet'!C$3:C$1000)</f>
        <v>0</v>
      </c>
      <c r="D54" s="4">
        <f>SUMIF('Input Sheet'!B$3:B$1000,A54,'Input Sheet'!D$3:D$1000)</f>
        <v>0</v>
      </c>
      <c r="E54" s="4" t="str">
        <f t="shared" ref="E54:F54" ca="1" si="57">IFERROR(RANK(K54,K$6:K$1004,1),"")</f>
        <v/>
      </c>
      <c r="F54" s="4" t="str">
        <f t="shared" ca="1" si="57"/>
        <v/>
      </c>
      <c r="G54" s="4" t="str">
        <f t="shared" ca="1" si="4"/>
        <v/>
      </c>
      <c r="H54" s="4" t="str">
        <f t="shared" si="5"/>
        <v/>
      </c>
      <c r="I54" s="4" t="str">
        <f t="shared" si="6"/>
        <v/>
      </c>
      <c r="J54" s="4" t="str">
        <f t="shared" si="7"/>
        <v/>
      </c>
      <c r="K54" s="25" t="str">
        <f t="shared" ca="1" si="8"/>
        <v/>
      </c>
      <c r="L54" s="21" t="str">
        <f t="shared" ca="1" si="9"/>
        <v/>
      </c>
      <c r="M54" s="21" t="str">
        <f>IF(SUMIFS('Input Sheet'!$F$3:$F$1001,'Input Sheet'!$B$3:$B$1001,$H54,'Input Sheet'!$E$3:$E$1001,M$4)=0,"",SUMIFS('Input Sheet'!$F$3:$F$1001,'Input Sheet'!$B$3:$B$1001,$H54,'Input Sheet'!$E$3:$E$1001,M$4))</f>
        <v/>
      </c>
      <c r="N54" s="21" t="str">
        <f>IF(SUMIFS('Input Sheet'!$F$3:$F$1001,'Input Sheet'!$B$3:$B$1001,$H54,'Input Sheet'!$E$3:$E$1001,N$4)=0,"",SUMIFS('Input Sheet'!$F$3:$F$1001,'Input Sheet'!$B$3:$B$1001,$H54,'Input Sheet'!$E$3:$E$1001,N$4))</f>
        <v/>
      </c>
      <c r="O54" s="21" t="str">
        <f>IF(SUMIFS('Input Sheet'!$F$3:$F$1001,'Input Sheet'!$B$3:$B$1001,$H54,'Input Sheet'!$E$3:$E$1001,O$4)=0,"",SUMIFS('Input Sheet'!$F$3:$F$1001,'Input Sheet'!$B$3:$B$1001,$H54,'Input Sheet'!$E$3:$E$1001,O$4))</f>
        <v/>
      </c>
      <c r="P54" s="21" t="str">
        <f>IF(SUMIFS('Input Sheet'!$F$3:$F$1001,'Input Sheet'!$B$3:$B$1001,$H54,'Input Sheet'!$E$3:$E$1001,P$4)=0,"",SUMIFS('Input Sheet'!$F$3:$F$1001,'Input Sheet'!$B$3:$B$1001,$H54,'Input Sheet'!$E$3:$E$1001,P$4))</f>
        <v/>
      </c>
      <c r="Q54" s="21" t="str">
        <f>IF(SUMIFS('Input Sheet'!$F$3:$F$1001,'Input Sheet'!$B$3:$B$1001,$H54,'Input Sheet'!$E$3:$E$1001,Q$4)=0,"",SUMIFS('Input Sheet'!$F$3:$F$1001,'Input Sheet'!$B$3:$B$1001,$H54,'Input Sheet'!$E$3:$E$1001,Q$4))</f>
        <v/>
      </c>
      <c r="R54" s="21" t="str">
        <f>IF(SUMIFS('Input Sheet'!$F$3:$F$1001,'Input Sheet'!$B$3:$B$1001,$H54,'Input Sheet'!$E$3:$E$1001,R$4)=0,"",SUMIFS('Input Sheet'!$F$3:$F$1001,'Input Sheet'!$B$3:$B$1001,$H54,'Input Sheet'!$E$3:$E$1001,R$4))</f>
        <v/>
      </c>
      <c r="S54" s="21" t="str">
        <f>IF(SUMIFS('Input Sheet'!$F$3:$F$1001,'Input Sheet'!$B$3:$B$1001,$H54,'Input Sheet'!$E$3:$E$1001,S$4)=0,"",SUMIFS('Input Sheet'!$F$3:$F$1001,'Input Sheet'!$B$3:$B$1001,$H54,'Input Sheet'!$E$3:$E$1001,S$4))</f>
        <v/>
      </c>
      <c r="T54" s="22">
        <v>49</v>
      </c>
    </row>
    <row r="55" spans="1:20" ht="14.25" customHeight="1" x14ac:dyDescent="0.3">
      <c r="A55" s="4" t="str">
        <f>IF('Input Sheet'!B52=0,"",'Input Sheet'!B52)</f>
        <v/>
      </c>
      <c r="B55" s="24" t="b">
        <f t="shared" si="2"/>
        <v>0</v>
      </c>
      <c r="C55" s="4">
        <f>SUMIF('Input Sheet'!B$3:B$1000,A55,'Input Sheet'!C$3:C$1000)</f>
        <v>0</v>
      </c>
      <c r="D55" s="4">
        <f>SUMIF('Input Sheet'!B$3:B$1000,A55,'Input Sheet'!D$3:D$1000)</f>
        <v>0</v>
      </c>
      <c r="E55" s="4" t="str">
        <f t="shared" ref="E55:F55" ca="1" si="58">IFERROR(RANK(K55,K$6:K$1004,1),"")</f>
        <v/>
      </c>
      <c r="F55" s="4" t="str">
        <f t="shared" ca="1" si="58"/>
        <v/>
      </c>
      <c r="G55" s="4" t="str">
        <f t="shared" ca="1" si="4"/>
        <v/>
      </c>
      <c r="H55" s="4" t="str">
        <f t="shared" si="5"/>
        <v/>
      </c>
      <c r="I55" s="4" t="str">
        <f t="shared" si="6"/>
        <v/>
      </c>
      <c r="J55" s="4" t="str">
        <f t="shared" si="7"/>
        <v/>
      </c>
      <c r="K55" s="25" t="str">
        <f t="shared" ca="1" si="8"/>
        <v/>
      </c>
      <c r="L55" s="21" t="str">
        <f t="shared" ca="1" si="9"/>
        <v/>
      </c>
      <c r="M55" s="21" t="str">
        <f>IF(SUMIFS('Input Sheet'!$F$3:$F$1001,'Input Sheet'!$B$3:$B$1001,$H55,'Input Sheet'!$E$3:$E$1001,M$4)=0,"",SUMIFS('Input Sheet'!$F$3:$F$1001,'Input Sheet'!$B$3:$B$1001,$H55,'Input Sheet'!$E$3:$E$1001,M$4))</f>
        <v/>
      </c>
      <c r="N55" s="21" t="str">
        <f>IF(SUMIFS('Input Sheet'!$F$3:$F$1001,'Input Sheet'!$B$3:$B$1001,$H55,'Input Sheet'!$E$3:$E$1001,N$4)=0,"",SUMIFS('Input Sheet'!$F$3:$F$1001,'Input Sheet'!$B$3:$B$1001,$H55,'Input Sheet'!$E$3:$E$1001,N$4))</f>
        <v/>
      </c>
      <c r="O55" s="21" t="str">
        <f>IF(SUMIFS('Input Sheet'!$F$3:$F$1001,'Input Sheet'!$B$3:$B$1001,$H55,'Input Sheet'!$E$3:$E$1001,O$4)=0,"",SUMIFS('Input Sheet'!$F$3:$F$1001,'Input Sheet'!$B$3:$B$1001,$H55,'Input Sheet'!$E$3:$E$1001,O$4))</f>
        <v/>
      </c>
      <c r="P55" s="21" t="str">
        <f>IF(SUMIFS('Input Sheet'!$F$3:$F$1001,'Input Sheet'!$B$3:$B$1001,$H55,'Input Sheet'!$E$3:$E$1001,P$4)=0,"",SUMIFS('Input Sheet'!$F$3:$F$1001,'Input Sheet'!$B$3:$B$1001,$H55,'Input Sheet'!$E$3:$E$1001,P$4))</f>
        <v/>
      </c>
      <c r="Q55" s="21" t="str">
        <f>IF(SUMIFS('Input Sheet'!$F$3:$F$1001,'Input Sheet'!$B$3:$B$1001,$H55,'Input Sheet'!$E$3:$E$1001,Q$4)=0,"",SUMIFS('Input Sheet'!$F$3:$F$1001,'Input Sheet'!$B$3:$B$1001,$H55,'Input Sheet'!$E$3:$E$1001,Q$4))</f>
        <v/>
      </c>
      <c r="R55" s="21" t="str">
        <f>IF(SUMIFS('Input Sheet'!$F$3:$F$1001,'Input Sheet'!$B$3:$B$1001,$H55,'Input Sheet'!$E$3:$E$1001,R$4)=0,"",SUMIFS('Input Sheet'!$F$3:$F$1001,'Input Sheet'!$B$3:$B$1001,$H55,'Input Sheet'!$E$3:$E$1001,R$4))</f>
        <v/>
      </c>
      <c r="S55" s="21" t="str">
        <f>IF(SUMIFS('Input Sheet'!$F$3:$F$1001,'Input Sheet'!$B$3:$B$1001,$H55,'Input Sheet'!$E$3:$E$1001,S$4)=0,"",SUMIFS('Input Sheet'!$F$3:$F$1001,'Input Sheet'!$B$3:$B$1001,$H55,'Input Sheet'!$E$3:$E$1001,S$4))</f>
        <v/>
      </c>
      <c r="T55" s="22">
        <v>50</v>
      </c>
    </row>
    <row r="56" spans="1:20" ht="14.25" customHeight="1" x14ac:dyDescent="0.3">
      <c r="A56" s="4" t="str">
        <f>IF('Input Sheet'!B53=0,"",'Input Sheet'!B53)</f>
        <v/>
      </c>
      <c r="B56" s="24" t="b">
        <f t="shared" si="2"/>
        <v>0</v>
      </c>
      <c r="C56" s="4">
        <f>SUMIF('Input Sheet'!B$3:B$1000,A56,'Input Sheet'!C$3:C$1000)</f>
        <v>0</v>
      </c>
      <c r="D56" s="4">
        <f>SUMIF('Input Sheet'!B$3:B$1000,A56,'Input Sheet'!D$3:D$1000)</f>
        <v>0</v>
      </c>
      <c r="E56" s="4" t="str">
        <f t="shared" ref="E56:F56" ca="1" si="59">IFERROR(RANK(K56,K$6:K$1004,1),"")</f>
        <v/>
      </c>
      <c r="F56" s="4" t="str">
        <f t="shared" ca="1" si="59"/>
        <v/>
      </c>
      <c r="G56" s="4" t="str">
        <f t="shared" ca="1" si="4"/>
        <v/>
      </c>
      <c r="H56" s="4" t="str">
        <f t="shared" si="5"/>
        <v/>
      </c>
      <c r="I56" s="4" t="str">
        <f t="shared" si="6"/>
        <v/>
      </c>
      <c r="J56" s="4" t="str">
        <f t="shared" si="7"/>
        <v/>
      </c>
      <c r="K56" s="25" t="str">
        <f t="shared" ca="1" si="8"/>
        <v/>
      </c>
      <c r="L56" s="21" t="str">
        <f t="shared" ca="1" si="9"/>
        <v/>
      </c>
      <c r="M56" s="21" t="str">
        <f>IF(SUMIFS('Input Sheet'!$F$3:$F$1001,'Input Sheet'!$B$3:$B$1001,$H56,'Input Sheet'!$E$3:$E$1001,M$4)=0,"",SUMIFS('Input Sheet'!$F$3:$F$1001,'Input Sheet'!$B$3:$B$1001,$H56,'Input Sheet'!$E$3:$E$1001,M$4))</f>
        <v/>
      </c>
      <c r="N56" s="21" t="str">
        <f>IF(SUMIFS('Input Sheet'!$F$3:$F$1001,'Input Sheet'!$B$3:$B$1001,$H56,'Input Sheet'!$E$3:$E$1001,N$4)=0,"",SUMIFS('Input Sheet'!$F$3:$F$1001,'Input Sheet'!$B$3:$B$1001,$H56,'Input Sheet'!$E$3:$E$1001,N$4))</f>
        <v/>
      </c>
      <c r="O56" s="21" t="str">
        <f>IF(SUMIFS('Input Sheet'!$F$3:$F$1001,'Input Sheet'!$B$3:$B$1001,$H56,'Input Sheet'!$E$3:$E$1001,O$4)=0,"",SUMIFS('Input Sheet'!$F$3:$F$1001,'Input Sheet'!$B$3:$B$1001,$H56,'Input Sheet'!$E$3:$E$1001,O$4))</f>
        <v/>
      </c>
      <c r="P56" s="21" t="str">
        <f>IF(SUMIFS('Input Sheet'!$F$3:$F$1001,'Input Sheet'!$B$3:$B$1001,$H56,'Input Sheet'!$E$3:$E$1001,P$4)=0,"",SUMIFS('Input Sheet'!$F$3:$F$1001,'Input Sheet'!$B$3:$B$1001,$H56,'Input Sheet'!$E$3:$E$1001,P$4))</f>
        <v/>
      </c>
      <c r="Q56" s="21" t="str">
        <f>IF(SUMIFS('Input Sheet'!$F$3:$F$1001,'Input Sheet'!$B$3:$B$1001,$H56,'Input Sheet'!$E$3:$E$1001,Q$4)=0,"",SUMIFS('Input Sheet'!$F$3:$F$1001,'Input Sheet'!$B$3:$B$1001,$H56,'Input Sheet'!$E$3:$E$1001,Q$4))</f>
        <v/>
      </c>
      <c r="R56" s="21" t="str">
        <f>IF(SUMIFS('Input Sheet'!$F$3:$F$1001,'Input Sheet'!$B$3:$B$1001,$H56,'Input Sheet'!$E$3:$E$1001,R$4)=0,"",SUMIFS('Input Sheet'!$F$3:$F$1001,'Input Sheet'!$B$3:$B$1001,$H56,'Input Sheet'!$E$3:$E$1001,R$4))</f>
        <v/>
      </c>
      <c r="S56" s="21" t="str">
        <f>IF(SUMIFS('Input Sheet'!$F$3:$F$1001,'Input Sheet'!$B$3:$B$1001,$H56,'Input Sheet'!$E$3:$E$1001,S$4)=0,"",SUMIFS('Input Sheet'!$F$3:$F$1001,'Input Sheet'!$B$3:$B$1001,$H56,'Input Sheet'!$E$3:$E$1001,S$4))</f>
        <v/>
      </c>
      <c r="T56" s="22">
        <v>51</v>
      </c>
    </row>
    <row r="57" spans="1:20" ht="14.25" customHeight="1" x14ac:dyDescent="0.3">
      <c r="A57" s="4" t="str">
        <f>IF('Input Sheet'!B54=0,"",'Input Sheet'!B54)</f>
        <v/>
      </c>
      <c r="B57" s="24" t="b">
        <f t="shared" si="2"/>
        <v>0</v>
      </c>
      <c r="C57" s="4">
        <f>SUMIF('Input Sheet'!B$3:B$1000,A57,'Input Sheet'!C$3:C$1000)</f>
        <v>0</v>
      </c>
      <c r="D57" s="4">
        <f>SUMIF('Input Sheet'!B$3:B$1000,A57,'Input Sheet'!D$3:D$1000)</f>
        <v>0</v>
      </c>
      <c r="E57" s="4" t="str">
        <f t="shared" ref="E57:F57" ca="1" si="60">IFERROR(RANK(K57,K$6:K$1004,1),"")</f>
        <v/>
      </c>
      <c r="F57" s="4" t="str">
        <f t="shared" ca="1" si="60"/>
        <v/>
      </c>
      <c r="G57" s="4" t="str">
        <f t="shared" ca="1" si="4"/>
        <v/>
      </c>
      <c r="H57" s="4" t="str">
        <f t="shared" si="5"/>
        <v/>
      </c>
      <c r="I57" s="4" t="str">
        <f t="shared" si="6"/>
        <v/>
      </c>
      <c r="J57" s="4" t="str">
        <f t="shared" si="7"/>
        <v/>
      </c>
      <c r="K57" s="25" t="str">
        <f t="shared" ca="1" si="8"/>
        <v/>
      </c>
      <c r="L57" s="21" t="str">
        <f t="shared" ca="1" si="9"/>
        <v/>
      </c>
      <c r="M57" s="21" t="str">
        <f>IF(SUMIFS('Input Sheet'!$F$3:$F$1001,'Input Sheet'!$B$3:$B$1001,$H57,'Input Sheet'!$E$3:$E$1001,M$4)=0,"",SUMIFS('Input Sheet'!$F$3:$F$1001,'Input Sheet'!$B$3:$B$1001,$H57,'Input Sheet'!$E$3:$E$1001,M$4))</f>
        <v/>
      </c>
      <c r="N57" s="21" t="str">
        <f>IF(SUMIFS('Input Sheet'!$F$3:$F$1001,'Input Sheet'!$B$3:$B$1001,$H57,'Input Sheet'!$E$3:$E$1001,N$4)=0,"",SUMIFS('Input Sheet'!$F$3:$F$1001,'Input Sheet'!$B$3:$B$1001,$H57,'Input Sheet'!$E$3:$E$1001,N$4))</f>
        <v/>
      </c>
      <c r="O57" s="21" t="str">
        <f>IF(SUMIFS('Input Sheet'!$F$3:$F$1001,'Input Sheet'!$B$3:$B$1001,$H57,'Input Sheet'!$E$3:$E$1001,O$4)=0,"",SUMIFS('Input Sheet'!$F$3:$F$1001,'Input Sheet'!$B$3:$B$1001,$H57,'Input Sheet'!$E$3:$E$1001,O$4))</f>
        <v/>
      </c>
      <c r="P57" s="21" t="str">
        <f>IF(SUMIFS('Input Sheet'!$F$3:$F$1001,'Input Sheet'!$B$3:$B$1001,$H57,'Input Sheet'!$E$3:$E$1001,P$4)=0,"",SUMIFS('Input Sheet'!$F$3:$F$1001,'Input Sheet'!$B$3:$B$1001,$H57,'Input Sheet'!$E$3:$E$1001,P$4))</f>
        <v/>
      </c>
      <c r="Q57" s="21" t="str">
        <f>IF(SUMIFS('Input Sheet'!$F$3:$F$1001,'Input Sheet'!$B$3:$B$1001,$H57,'Input Sheet'!$E$3:$E$1001,Q$4)=0,"",SUMIFS('Input Sheet'!$F$3:$F$1001,'Input Sheet'!$B$3:$B$1001,$H57,'Input Sheet'!$E$3:$E$1001,Q$4))</f>
        <v/>
      </c>
      <c r="R57" s="21" t="str">
        <f>IF(SUMIFS('Input Sheet'!$F$3:$F$1001,'Input Sheet'!$B$3:$B$1001,$H57,'Input Sheet'!$E$3:$E$1001,R$4)=0,"",SUMIFS('Input Sheet'!$F$3:$F$1001,'Input Sheet'!$B$3:$B$1001,$H57,'Input Sheet'!$E$3:$E$1001,R$4))</f>
        <v/>
      </c>
      <c r="S57" s="21" t="str">
        <f>IF(SUMIFS('Input Sheet'!$F$3:$F$1001,'Input Sheet'!$B$3:$B$1001,$H57,'Input Sheet'!$E$3:$E$1001,S$4)=0,"",SUMIFS('Input Sheet'!$F$3:$F$1001,'Input Sheet'!$B$3:$B$1001,$H57,'Input Sheet'!$E$3:$E$1001,S$4))</f>
        <v/>
      </c>
      <c r="T57" s="22">
        <v>52</v>
      </c>
    </row>
    <row r="58" spans="1:20" ht="14.25" customHeight="1" x14ac:dyDescent="0.3">
      <c r="A58" s="4" t="str">
        <f>IF('Input Sheet'!B55=0,"",'Input Sheet'!B55)</f>
        <v/>
      </c>
      <c r="B58" s="24" t="b">
        <f t="shared" si="2"/>
        <v>0</v>
      </c>
      <c r="C58" s="4">
        <f>SUMIF('Input Sheet'!B$3:B$1000,A58,'Input Sheet'!C$3:C$1000)</f>
        <v>0</v>
      </c>
      <c r="D58" s="4">
        <f>SUMIF('Input Sheet'!B$3:B$1000,A58,'Input Sheet'!D$3:D$1000)</f>
        <v>0</v>
      </c>
      <c r="E58" s="4" t="str">
        <f t="shared" ref="E58:F58" ca="1" si="61">IFERROR(RANK(K58,K$6:K$1004,1),"")</f>
        <v/>
      </c>
      <c r="F58" s="4" t="str">
        <f t="shared" ca="1" si="61"/>
        <v/>
      </c>
      <c r="G58" s="4" t="str">
        <f t="shared" ca="1" si="4"/>
        <v/>
      </c>
      <c r="H58" s="4" t="str">
        <f t="shared" si="5"/>
        <v/>
      </c>
      <c r="I58" s="4" t="str">
        <f t="shared" si="6"/>
        <v/>
      </c>
      <c r="J58" s="4" t="str">
        <f t="shared" si="7"/>
        <v/>
      </c>
      <c r="K58" s="25" t="str">
        <f t="shared" ca="1" si="8"/>
        <v/>
      </c>
      <c r="L58" s="21" t="str">
        <f t="shared" ca="1" si="9"/>
        <v/>
      </c>
      <c r="M58" s="21" t="str">
        <f>IF(SUMIFS('Input Sheet'!$F$3:$F$1001,'Input Sheet'!$B$3:$B$1001,$H58,'Input Sheet'!$E$3:$E$1001,M$4)=0,"",SUMIFS('Input Sheet'!$F$3:$F$1001,'Input Sheet'!$B$3:$B$1001,$H58,'Input Sheet'!$E$3:$E$1001,M$4))</f>
        <v/>
      </c>
      <c r="N58" s="21" t="str">
        <f>IF(SUMIFS('Input Sheet'!$F$3:$F$1001,'Input Sheet'!$B$3:$B$1001,$H58,'Input Sheet'!$E$3:$E$1001,N$4)=0,"",SUMIFS('Input Sheet'!$F$3:$F$1001,'Input Sheet'!$B$3:$B$1001,$H58,'Input Sheet'!$E$3:$E$1001,N$4))</f>
        <v/>
      </c>
      <c r="O58" s="21" t="str">
        <f>IF(SUMIFS('Input Sheet'!$F$3:$F$1001,'Input Sheet'!$B$3:$B$1001,$H58,'Input Sheet'!$E$3:$E$1001,O$4)=0,"",SUMIFS('Input Sheet'!$F$3:$F$1001,'Input Sheet'!$B$3:$B$1001,$H58,'Input Sheet'!$E$3:$E$1001,O$4))</f>
        <v/>
      </c>
      <c r="P58" s="21" t="str">
        <f>IF(SUMIFS('Input Sheet'!$F$3:$F$1001,'Input Sheet'!$B$3:$B$1001,$H58,'Input Sheet'!$E$3:$E$1001,P$4)=0,"",SUMIFS('Input Sheet'!$F$3:$F$1001,'Input Sheet'!$B$3:$B$1001,$H58,'Input Sheet'!$E$3:$E$1001,P$4))</f>
        <v/>
      </c>
      <c r="Q58" s="21" t="str">
        <f>IF(SUMIFS('Input Sheet'!$F$3:$F$1001,'Input Sheet'!$B$3:$B$1001,$H58,'Input Sheet'!$E$3:$E$1001,Q$4)=0,"",SUMIFS('Input Sheet'!$F$3:$F$1001,'Input Sheet'!$B$3:$B$1001,$H58,'Input Sheet'!$E$3:$E$1001,Q$4))</f>
        <v/>
      </c>
      <c r="R58" s="21" t="str">
        <f>IF(SUMIFS('Input Sheet'!$F$3:$F$1001,'Input Sheet'!$B$3:$B$1001,$H58,'Input Sheet'!$E$3:$E$1001,R$4)=0,"",SUMIFS('Input Sheet'!$F$3:$F$1001,'Input Sheet'!$B$3:$B$1001,$H58,'Input Sheet'!$E$3:$E$1001,R$4))</f>
        <v/>
      </c>
      <c r="S58" s="21" t="str">
        <f>IF(SUMIFS('Input Sheet'!$F$3:$F$1001,'Input Sheet'!$B$3:$B$1001,$H58,'Input Sheet'!$E$3:$E$1001,S$4)=0,"",SUMIFS('Input Sheet'!$F$3:$F$1001,'Input Sheet'!$B$3:$B$1001,$H58,'Input Sheet'!$E$3:$E$1001,S$4))</f>
        <v/>
      </c>
      <c r="T58" s="22">
        <v>53</v>
      </c>
    </row>
    <row r="59" spans="1:20" ht="14.25" customHeight="1" x14ac:dyDescent="0.3">
      <c r="A59" s="4" t="str">
        <f>IF('Input Sheet'!B56=0,"",'Input Sheet'!B56)</f>
        <v/>
      </c>
      <c r="B59" s="24" t="b">
        <f t="shared" si="2"/>
        <v>0</v>
      </c>
      <c r="C59" s="4">
        <f>SUMIF('Input Sheet'!B$3:B$1000,A59,'Input Sheet'!C$3:C$1000)</f>
        <v>0</v>
      </c>
      <c r="D59" s="4">
        <f>SUMIF('Input Sheet'!B$3:B$1000,A59,'Input Sheet'!D$3:D$1000)</f>
        <v>0</v>
      </c>
      <c r="E59" s="4" t="str">
        <f t="shared" ref="E59:F59" ca="1" si="62">IFERROR(RANK(K59,K$6:K$1004,1),"")</f>
        <v/>
      </c>
      <c r="F59" s="4" t="str">
        <f t="shared" ca="1" si="62"/>
        <v/>
      </c>
      <c r="G59" s="4" t="str">
        <f t="shared" ca="1" si="4"/>
        <v/>
      </c>
      <c r="H59" s="4" t="str">
        <f t="shared" si="5"/>
        <v/>
      </c>
      <c r="I59" s="4" t="str">
        <f t="shared" si="6"/>
        <v/>
      </c>
      <c r="J59" s="4" t="str">
        <f t="shared" si="7"/>
        <v/>
      </c>
      <c r="K59" s="25" t="str">
        <f t="shared" ca="1" si="8"/>
        <v/>
      </c>
      <c r="L59" s="21" t="str">
        <f t="shared" ca="1" si="9"/>
        <v/>
      </c>
      <c r="M59" s="21" t="str">
        <f>IF(SUMIFS('Input Sheet'!$F$3:$F$1001,'Input Sheet'!$B$3:$B$1001,$H59,'Input Sheet'!$E$3:$E$1001,M$4)=0,"",SUMIFS('Input Sheet'!$F$3:$F$1001,'Input Sheet'!$B$3:$B$1001,$H59,'Input Sheet'!$E$3:$E$1001,M$4))</f>
        <v/>
      </c>
      <c r="N59" s="21" t="str">
        <f>IF(SUMIFS('Input Sheet'!$F$3:$F$1001,'Input Sheet'!$B$3:$B$1001,$H59,'Input Sheet'!$E$3:$E$1001,N$4)=0,"",SUMIFS('Input Sheet'!$F$3:$F$1001,'Input Sheet'!$B$3:$B$1001,$H59,'Input Sheet'!$E$3:$E$1001,N$4))</f>
        <v/>
      </c>
      <c r="O59" s="21" t="str">
        <f>IF(SUMIFS('Input Sheet'!$F$3:$F$1001,'Input Sheet'!$B$3:$B$1001,$H59,'Input Sheet'!$E$3:$E$1001,O$4)=0,"",SUMIFS('Input Sheet'!$F$3:$F$1001,'Input Sheet'!$B$3:$B$1001,$H59,'Input Sheet'!$E$3:$E$1001,O$4))</f>
        <v/>
      </c>
      <c r="P59" s="21" t="str">
        <f>IF(SUMIFS('Input Sheet'!$F$3:$F$1001,'Input Sheet'!$B$3:$B$1001,$H59,'Input Sheet'!$E$3:$E$1001,P$4)=0,"",SUMIFS('Input Sheet'!$F$3:$F$1001,'Input Sheet'!$B$3:$B$1001,$H59,'Input Sheet'!$E$3:$E$1001,P$4))</f>
        <v/>
      </c>
      <c r="Q59" s="21" t="str">
        <f>IF(SUMIFS('Input Sheet'!$F$3:$F$1001,'Input Sheet'!$B$3:$B$1001,$H59,'Input Sheet'!$E$3:$E$1001,Q$4)=0,"",SUMIFS('Input Sheet'!$F$3:$F$1001,'Input Sheet'!$B$3:$B$1001,$H59,'Input Sheet'!$E$3:$E$1001,Q$4))</f>
        <v/>
      </c>
      <c r="R59" s="21" t="str">
        <f>IF(SUMIFS('Input Sheet'!$F$3:$F$1001,'Input Sheet'!$B$3:$B$1001,$H59,'Input Sheet'!$E$3:$E$1001,R$4)=0,"",SUMIFS('Input Sheet'!$F$3:$F$1001,'Input Sheet'!$B$3:$B$1001,$H59,'Input Sheet'!$E$3:$E$1001,R$4))</f>
        <v/>
      </c>
      <c r="S59" s="21" t="str">
        <f>IF(SUMIFS('Input Sheet'!$F$3:$F$1001,'Input Sheet'!$B$3:$B$1001,$H59,'Input Sheet'!$E$3:$E$1001,S$4)=0,"",SUMIFS('Input Sheet'!$F$3:$F$1001,'Input Sheet'!$B$3:$B$1001,$H59,'Input Sheet'!$E$3:$E$1001,S$4))</f>
        <v/>
      </c>
      <c r="T59" s="22">
        <v>54</v>
      </c>
    </row>
    <row r="60" spans="1:20" ht="14.25" customHeight="1" x14ac:dyDescent="0.3">
      <c r="A60" s="4" t="str">
        <f>IF('Input Sheet'!B57=0,"",'Input Sheet'!B57)</f>
        <v/>
      </c>
      <c r="B60" s="24" t="b">
        <f t="shared" si="2"/>
        <v>0</v>
      </c>
      <c r="C60" s="4">
        <f>SUMIF('Input Sheet'!B$3:B$1000,A60,'Input Sheet'!C$3:C$1000)</f>
        <v>0</v>
      </c>
      <c r="D60" s="4">
        <f>SUMIF('Input Sheet'!B$3:B$1000,A60,'Input Sheet'!D$3:D$1000)</f>
        <v>0</v>
      </c>
      <c r="E60" s="4" t="str">
        <f t="shared" ref="E60:F60" ca="1" si="63">IFERROR(RANK(K60,K$6:K$1004,1),"")</f>
        <v/>
      </c>
      <c r="F60" s="4" t="str">
        <f t="shared" ca="1" si="63"/>
        <v/>
      </c>
      <c r="G60" s="4" t="str">
        <f t="shared" ca="1" si="4"/>
        <v/>
      </c>
      <c r="H60" s="4" t="str">
        <f t="shared" si="5"/>
        <v/>
      </c>
      <c r="I60" s="4" t="str">
        <f t="shared" si="6"/>
        <v/>
      </c>
      <c r="J60" s="4" t="str">
        <f t="shared" si="7"/>
        <v/>
      </c>
      <c r="K60" s="25" t="str">
        <f t="shared" ca="1" si="8"/>
        <v/>
      </c>
      <c r="L60" s="21" t="str">
        <f t="shared" ca="1" si="9"/>
        <v/>
      </c>
      <c r="M60" s="21" t="str">
        <f>IF(SUMIFS('Input Sheet'!$F$3:$F$1001,'Input Sheet'!$B$3:$B$1001,$H60,'Input Sheet'!$E$3:$E$1001,M$4)=0,"",SUMIFS('Input Sheet'!$F$3:$F$1001,'Input Sheet'!$B$3:$B$1001,$H60,'Input Sheet'!$E$3:$E$1001,M$4))</f>
        <v/>
      </c>
      <c r="N60" s="21" t="str">
        <f>IF(SUMIFS('Input Sheet'!$F$3:$F$1001,'Input Sheet'!$B$3:$B$1001,$H60,'Input Sheet'!$E$3:$E$1001,N$4)=0,"",SUMIFS('Input Sheet'!$F$3:$F$1001,'Input Sheet'!$B$3:$B$1001,$H60,'Input Sheet'!$E$3:$E$1001,N$4))</f>
        <v/>
      </c>
      <c r="O60" s="21" t="str">
        <f>IF(SUMIFS('Input Sheet'!$F$3:$F$1001,'Input Sheet'!$B$3:$B$1001,$H60,'Input Sheet'!$E$3:$E$1001,O$4)=0,"",SUMIFS('Input Sheet'!$F$3:$F$1001,'Input Sheet'!$B$3:$B$1001,$H60,'Input Sheet'!$E$3:$E$1001,O$4))</f>
        <v/>
      </c>
      <c r="P60" s="21" t="str">
        <f>IF(SUMIFS('Input Sheet'!$F$3:$F$1001,'Input Sheet'!$B$3:$B$1001,$H60,'Input Sheet'!$E$3:$E$1001,P$4)=0,"",SUMIFS('Input Sheet'!$F$3:$F$1001,'Input Sheet'!$B$3:$B$1001,$H60,'Input Sheet'!$E$3:$E$1001,P$4))</f>
        <v/>
      </c>
      <c r="Q60" s="21" t="str">
        <f>IF(SUMIFS('Input Sheet'!$F$3:$F$1001,'Input Sheet'!$B$3:$B$1001,$H60,'Input Sheet'!$E$3:$E$1001,Q$4)=0,"",SUMIFS('Input Sheet'!$F$3:$F$1001,'Input Sheet'!$B$3:$B$1001,$H60,'Input Sheet'!$E$3:$E$1001,Q$4))</f>
        <v/>
      </c>
      <c r="R60" s="21" t="str">
        <f>IF(SUMIFS('Input Sheet'!$F$3:$F$1001,'Input Sheet'!$B$3:$B$1001,$H60,'Input Sheet'!$E$3:$E$1001,R$4)=0,"",SUMIFS('Input Sheet'!$F$3:$F$1001,'Input Sheet'!$B$3:$B$1001,$H60,'Input Sheet'!$E$3:$E$1001,R$4))</f>
        <v/>
      </c>
      <c r="S60" s="21" t="str">
        <f>IF(SUMIFS('Input Sheet'!$F$3:$F$1001,'Input Sheet'!$B$3:$B$1001,$H60,'Input Sheet'!$E$3:$E$1001,S$4)=0,"",SUMIFS('Input Sheet'!$F$3:$F$1001,'Input Sheet'!$B$3:$B$1001,$H60,'Input Sheet'!$E$3:$E$1001,S$4))</f>
        <v/>
      </c>
      <c r="T60" s="22">
        <v>55</v>
      </c>
    </row>
    <row r="61" spans="1:20" ht="14.25" customHeight="1" x14ac:dyDescent="0.3">
      <c r="A61" s="4" t="str">
        <f>IF('Input Sheet'!B58=0,"",'Input Sheet'!B58)</f>
        <v/>
      </c>
      <c r="B61" s="24" t="b">
        <f t="shared" si="2"/>
        <v>0</v>
      </c>
      <c r="C61" s="4">
        <f>SUMIF('Input Sheet'!B$3:B$1000,A61,'Input Sheet'!C$3:C$1000)</f>
        <v>0</v>
      </c>
      <c r="D61" s="4">
        <f>SUMIF('Input Sheet'!B$3:B$1000,A61,'Input Sheet'!D$3:D$1000)</f>
        <v>0</v>
      </c>
      <c r="E61" s="4" t="str">
        <f t="shared" ref="E61:F61" ca="1" si="64">IFERROR(RANK(K61,K$6:K$1004,1),"")</f>
        <v/>
      </c>
      <c r="F61" s="4" t="str">
        <f t="shared" ca="1" si="64"/>
        <v/>
      </c>
      <c r="G61" s="4" t="str">
        <f t="shared" ca="1" si="4"/>
        <v/>
      </c>
      <c r="H61" s="4" t="str">
        <f t="shared" si="5"/>
        <v/>
      </c>
      <c r="I61" s="4" t="str">
        <f t="shared" si="6"/>
        <v/>
      </c>
      <c r="J61" s="4" t="str">
        <f t="shared" si="7"/>
        <v/>
      </c>
      <c r="K61" s="25" t="str">
        <f t="shared" ca="1" si="8"/>
        <v/>
      </c>
      <c r="L61" s="21" t="str">
        <f t="shared" ca="1" si="9"/>
        <v/>
      </c>
      <c r="M61" s="21" t="str">
        <f>IF(SUMIFS('Input Sheet'!$F$3:$F$1001,'Input Sheet'!$B$3:$B$1001,$H61,'Input Sheet'!$E$3:$E$1001,M$4)=0,"",SUMIFS('Input Sheet'!$F$3:$F$1001,'Input Sheet'!$B$3:$B$1001,$H61,'Input Sheet'!$E$3:$E$1001,M$4))</f>
        <v/>
      </c>
      <c r="N61" s="21" t="str">
        <f>IF(SUMIFS('Input Sheet'!$F$3:$F$1001,'Input Sheet'!$B$3:$B$1001,$H61,'Input Sheet'!$E$3:$E$1001,N$4)=0,"",SUMIFS('Input Sheet'!$F$3:$F$1001,'Input Sheet'!$B$3:$B$1001,$H61,'Input Sheet'!$E$3:$E$1001,N$4))</f>
        <v/>
      </c>
      <c r="O61" s="21" t="str">
        <f>IF(SUMIFS('Input Sheet'!$F$3:$F$1001,'Input Sheet'!$B$3:$B$1001,$H61,'Input Sheet'!$E$3:$E$1001,O$4)=0,"",SUMIFS('Input Sheet'!$F$3:$F$1001,'Input Sheet'!$B$3:$B$1001,$H61,'Input Sheet'!$E$3:$E$1001,O$4))</f>
        <v/>
      </c>
      <c r="P61" s="21" t="str">
        <f>IF(SUMIFS('Input Sheet'!$F$3:$F$1001,'Input Sheet'!$B$3:$B$1001,$H61,'Input Sheet'!$E$3:$E$1001,P$4)=0,"",SUMIFS('Input Sheet'!$F$3:$F$1001,'Input Sheet'!$B$3:$B$1001,$H61,'Input Sheet'!$E$3:$E$1001,P$4))</f>
        <v/>
      </c>
      <c r="Q61" s="21" t="str">
        <f>IF(SUMIFS('Input Sheet'!$F$3:$F$1001,'Input Sheet'!$B$3:$B$1001,$H61,'Input Sheet'!$E$3:$E$1001,Q$4)=0,"",SUMIFS('Input Sheet'!$F$3:$F$1001,'Input Sheet'!$B$3:$B$1001,$H61,'Input Sheet'!$E$3:$E$1001,Q$4))</f>
        <v/>
      </c>
      <c r="R61" s="21" t="str">
        <f>IF(SUMIFS('Input Sheet'!$F$3:$F$1001,'Input Sheet'!$B$3:$B$1001,$H61,'Input Sheet'!$E$3:$E$1001,R$4)=0,"",SUMIFS('Input Sheet'!$F$3:$F$1001,'Input Sheet'!$B$3:$B$1001,$H61,'Input Sheet'!$E$3:$E$1001,R$4))</f>
        <v/>
      </c>
      <c r="S61" s="21" t="str">
        <f>IF(SUMIFS('Input Sheet'!$F$3:$F$1001,'Input Sheet'!$B$3:$B$1001,$H61,'Input Sheet'!$E$3:$E$1001,S$4)=0,"",SUMIFS('Input Sheet'!$F$3:$F$1001,'Input Sheet'!$B$3:$B$1001,$H61,'Input Sheet'!$E$3:$E$1001,S$4))</f>
        <v/>
      </c>
      <c r="T61" s="22">
        <v>56</v>
      </c>
    </row>
    <row r="62" spans="1:20" ht="14.25" customHeight="1" x14ac:dyDescent="0.3">
      <c r="A62" s="4" t="str">
        <f>IF('Input Sheet'!B59=0,"",'Input Sheet'!B59)</f>
        <v/>
      </c>
      <c r="B62" s="24" t="b">
        <f t="shared" si="2"/>
        <v>0</v>
      </c>
      <c r="C62" s="4">
        <f>SUMIF('Input Sheet'!B$3:B$1000,A62,'Input Sheet'!C$3:C$1000)</f>
        <v>0</v>
      </c>
      <c r="D62" s="4">
        <f>SUMIF('Input Sheet'!B$3:B$1000,A62,'Input Sheet'!D$3:D$1000)</f>
        <v>0</v>
      </c>
      <c r="E62" s="4" t="str">
        <f t="shared" ref="E62:F62" ca="1" si="65">IFERROR(RANK(K62,K$6:K$1004,1),"")</f>
        <v/>
      </c>
      <c r="F62" s="4" t="str">
        <f t="shared" ca="1" si="65"/>
        <v/>
      </c>
      <c r="G62" s="4" t="str">
        <f t="shared" ca="1" si="4"/>
        <v/>
      </c>
      <c r="H62" s="4" t="str">
        <f t="shared" si="5"/>
        <v/>
      </c>
      <c r="I62" s="4" t="str">
        <f t="shared" si="6"/>
        <v/>
      </c>
      <c r="J62" s="4" t="str">
        <f t="shared" si="7"/>
        <v/>
      </c>
      <c r="K62" s="25" t="str">
        <f t="shared" ca="1" si="8"/>
        <v/>
      </c>
      <c r="L62" s="21" t="str">
        <f t="shared" ca="1" si="9"/>
        <v/>
      </c>
      <c r="M62" s="21" t="str">
        <f>IF(SUMIFS('Input Sheet'!$F$3:$F$1001,'Input Sheet'!$B$3:$B$1001,$H62,'Input Sheet'!$E$3:$E$1001,M$4)=0,"",SUMIFS('Input Sheet'!$F$3:$F$1001,'Input Sheet'!$B$3:$B$1001,$H62,'Input Sheet'!$E$3:$E$1001,M$4))</f>
        <v/>
      </c>
      <c r="N62" s="21" t="str">
        <f>IF(SUMIFS('Input Sheet'!$F$3:$F$1001,'Input Sheet'!$B$3:$B$1001,$H62,'Input Sheet'!$E$3:$E$1001,N$4)=0,"",SUMIFS('Input Sheet'!$F$3:$F$1001,'Input Sheet'!$B$3:$B$1001,$H62,'Input Sheet'!$E$3:$E$1001,N$4))</f>
        <v/>
      </c>
      <c r="O62" s="21" t="str">
        <f>IF(SUMIFS('Input Sheet'!$F$3:$F$1001,'Input Sheet'!$B$3:$B$1001,$H62,'Input Sheet'!$E$3:$E$1001,O$4)=0,"",SUMIFS('Input Sheet'!$F$3:$F$1001,'Input Sheet'!$B$3:$B$1001,$H62,'Input Sheet'!$E$3:$E$1001,O$4))</f>
        <v/>
      </c>
      <c r="P62" s="21" t="str">
        <f>IF(SUMIFS('Input Sheet'!$F$3:$F$1001,'Input Sheet'!$B$3:$B$1001,$H62,'Input Sheet'!$E$3:$E$1001,P$4)=0,"",SUMIFS('Input Sheet'!$F$3:$F$1001,'Input Sheet'!$B$3:$B$1001,$H62,'Input Sheet'!$E$3:$E$1001,P$4))</f>
        <v/>
      </c>
      <c r="Q62" s="21" t="str">
        <f>IF(SUMIFS('Input Sheet'!$F$3:$F$1001,'Input Sheet'!$B$3:$B$1001,$H62,'Input Sheet'!$E$3:$E$1001,Q$4)=0,"",SUMIFS('Input Sheet'!$F$3:$F$1001,'Input Sheet'!$B$3:$B$1001,$H62,'Input Sheet'!$E$3:$E$1001,Q$4))</f>
        <v/>
      </c>
      <c r="R62" s="21" t="str">
        <f>IF(SUMIFS('Input Sheet'!$F$3:$F$1001,'Input Sheet'!$B$3:$B$1001,$H62,'Input Sheet'!$E$3:$E$1001,R$4)=0,"",SUMIFS('Input Sheet'!$F$3:$F$1001,'Input Sheet'!$B$3:$B$1001,$H62,'Input Sheet'!$E$3:$E$1001,R$4))</f>
        <v/>
      </c>
      <c r="S62" s="21" t="str">
        <f>IF(SUMIFS('Input Sheet'!$F$3:$F$1001,'Input Sheet'!$B$3:$B$1001,$H62,'Input Sheet'!$E$3:$E$1001,S$4)=0,"",SUMIFS('Input Sheet'!$F$3:$F$1001,'Input Sheet'!$B$3:$B$1001,$H62,'Input Sheet'!$E$3:$E$1001,S$4))</f>
        <v/>
      </c>
      <c r="T62" s="22">
        <v>57</v>
      </c>
    </row>
    <row r="63" spans="1:20" ht="14.25" customHeight="1" x14ac:dyDescent="0.3">
      <c r="A63" s="4" t="str">
        <f>IF('Input Sheet'!B60=0,"",'Input Sheet'!B60)</f>
        <v/>
      </c>
      <c r="B63" s="24" t="b">
        <f t="shared" si="2"/>
        <v>0</v>
      </c>
      <c r="C63" s="4">
        <f>SUMIF('Input Sheet'!B$3:B$1000,A63,'Input Sheet'!C$3:C$1000)</f>
        <v>0</v>
      </c>
      <c r="D63" s="4">
        <f>SUMIF('Input Sheet'!B$3:B$1000,A63,'Input Sheet'!D$3:D$1000)</f>
        <v>0</v>
      </c>
      <c r="E63" s="4" t="str">
        <f t="shared" ref="E63:F63" ca="1" si="66">IFERROR(RANK(K63,K$6:K$1004,1),"")</f>
        <v/>
      </c>
      <c r="F63" s="4" t="str">
        <f t="shared" ca="1" si="66"/>
        <v/>
      </c>
      <c r="G63" s="4" t="str">
        <f t="shared" ca="1" si="4"/>
        <v/>
      </c>
      <c r="H63" s="4" t="str">
        <f t="shared" si="5"/>
        <v/>
      </c>
      <c r="I63" s="4" t="str">
        <f t="shared" si="6"/>
        <v/>
      </c>
      <c r="J63" s="4" t="str">
        <f t="shared" si="7"/>
        <v/>
      </c>
      <c r="K63" s="25" t="str">
        <f t="shared" ca="1" si="8"/>
        <v/>
      </c>
      <c r="L63" s="21" t="str">
        <f t="shared" ca="1" si="9"/>
        <v/>
      </c>
      <c r="M63" s="21" t="str">
        <f>IF(SUMIFS('Input Sheet'!$F$3:$F$1001,'Input Sheet'!$B$3:$B$1001,$H63,'Input Sheet'!$E$3:$E$1001,M$4)=0,"",SUMIFS('Input Sheet'!$F$3:$F$1001,'Input Sheet'!$B$3:$B$1001,$H63,'Input Sheet'!$E$3:$E$1001,M$4))</f>
        <v/>
      </c>
      <c r="N63" s="21" t="str">
        <f>IF(SUMIFS('Input Sheet'!$F$3:$F$1001,'Input Sheet'!$B$3:$B$1001,$H63,'Input Sheet'!$E$3:$E$1001,N$4)=0,"",SUMIFS('Input Sheet'!$F$3:$F$1001,'Input Sheet'!$B$3:$B$1001,$H63,'Input Sheet'!$E$3:$E$1001,N$4))</f>
        <v/>
      </c>
      <c r="O63" s="21" t="str">
        <f>IF(SUMIFS('Input Sheet'!$F$3:$F$1001,'Input Sheet'!$B$3:$B$1001,$H63,'Input Sheet'!$E$3:$E$1001,O$4)=0,"",SUMIFS('Input Sheet'!$F$3:$F$1001,'Input Sheet'!$B$3:$B$1001,$H63,'Input Sheet'!$E$3:$E$1001,O$4))</f>
        <v/>
      </c>
      <c r="P63" s="21" t="str">
        <f>IF(SUMIFS('Input Sheet'!$F$3:$F$1001,'Input Sheet'!$B$3:$B$1001,$H63,'Input Sheet'!$E$3:$E$1001,P$4)=0,"",SUMIFS('Input Sheet'!$F$3:$F$1001,'Input Sheet'!$B$3:$B$1001,$H63,'Input Sheet'!$E$3:$E$1001,P$4))</f>
        <v/>
      </c>
      <c r="Q63" s="21" t="str">
        <f>IF(SUMIFS('Input Sheet'!$F$3:$F$1001,'Input Sheet'!$B$3:$B$1001,$H63,'Input Sheet'!$E$3:$E$1001,Q$4)=0,"",SUMIFS('Input Sheet'!$F$3:$F$1001,'Input Sheet'!$B$3:$B$1001,$H63,'Input Sheet'!$E$3:$E$1001,Q$4))</f>
        <v/>
      </c>
      <c r="R63" s="21" t="str">
        <f>IF(SUMIFS('Input Sheet'!$F$3:$F$1001,'Input Sheet'!$B$3:$B$1001,$H63,'Input Sheet'!$E$3:$E$1001,R$4)=0,"",SUMIFS('Input Sheet'!$F$3:$F$1001,'Input Sheet'!$B$3:$B$1001,$H63,'Input Sheet'!$E$3:$E$1001,R$4))</f>
        <v/>
      </c>
      <c r="S63" s="21" t="str">
        <f>IF(SUMIFS('Input Sheet'!$F$3:$F$1001,'Input Sheet'!$B$3:$B$1001,$H63,'Input Sheet'!$E$3:$E$1001,S$4)=0,"",SUMIFS('Input Sheet'!$F$3:$F$1001,'Input Sheet'!$B$3:$B$1001,$H63,'Input Sheet'!$E$3:$E$1001,S$4))</f>
        <v/>
      </c>
      <c r="T63" s="22">
        <v>58</v>
      </c>
    </row>
    <row r="64" spans="1:20" ht="14.25" customHeight="1" x14ac:dyDescent="0.3">
      <c r="A64" s="4" t="str">
        <f>IF('Input Sheet'!B61=0,"",'Input Sheet'!B61)</f>
        <v/>
      </c>
      <c r="B64" s="24" t="b">
        <f t="shared" si="2"/>
        <v>0</v>
      </c>
      <c r="C64" s="4">
        <f>SUMIF('Input Sheet'!B$3:B$1000,A64,'Input Sheet'!C$3:C$1000)</f>
        <v>0</v>
      </c>
      <c r="D64" s="4">
        <f>SUMIF('Input Sheet'!B$3:B$1000,A64,'Input Sheet'!D$3:D$1000)</f>
        <v>0</v>
      </c>
      <c r="E64" s="4" t="str">
        <f t="shared" ref="E64:F64" ca="1" si="67">IFERROR(RANK(K64,K$6:K$1004,1),"")</f>
        <v/>
      </c>
      <c r="F64" s="4" t="str">
        <f t="shared" ca="1" si="67"/>
        <v/>
      </c>
      <c r="G64" s="4" t="str">
        <f t="shared" ca="1" si="4"/>
        <v/>
      </c>
      <c r="H64" s="4" t="str">
        <f t="shared" si="5"/>
        <v/>
      </c>
      <c r="I64" s="4" t="str">
        <f t="shared" si="6"/>
        <v/>
      </c>
      <c r="J64" s="4" t="str">
        <f t="shared" si="7"/>
        <v/>
      </c>
      <c r="K64" s="25" t="str">
        <f t="shared" ca="1" si="8"/>
        <v/>
      </c>
      <c r="L64" s="21" t="str">
        <f t="shared" ca="1" si="9"/>
        <v/>
      </c>
      <c r="M64" s="21" t="str">
        <f>IF(SUMIFS('Input Sheet'!$F$3:$F$1001,'Input Sheet'!$B$3:$B$1001,$H64,'Input Sheet'!$E$3:$E$1001,M$4)=0,"",SUMIFS('Input Sheet'!$F$3:$F$1001,'Input Sheet'!$B$3:$B$1001,$H64,'Input Sheet'!$E$3:$E$1001,M$4))</f>
        <v/>
      </c>
      <c r="N64" s="21" t="str">
        <f>IF(SUMIFS('Input Sheet'!$F$3:$F$1001,'Input Sheet'!$B$3:$B$1001,$H64,'Input Sheet'!$E$3:$E$1001,N$4)=0,"",SUMIFS('Input Sheet'!$F$3:$F$1001,'Input Sheet'!$B$3:$B$1001,$H64,'Input Sheet'!$E$3:$E$1001,N$4))</f>
        <v/>
      </c>
      <c r="O64" s="21" t="str">
        <f>IF(SUMIFS('Input Sheet'!$F$3:$F$1001,'Input Sheet'!$B$3:$B$1001,$H64,'Input Sheet'!$E$3:$E$1001,O$4)=0,"",SUMIFS('Input Sheet'!$F$3:$F$1001,'Input Sheet'!$B$3:$B$1001,$H64,'Input Sheet'!$E$3:$E$1001,O$4))</f>
        <v/>
      </c>
      <c r="P64" s="21" t="str">
        <f>IF(SUMIFS('Input Sheet'!$F$3:$F$1001,'Input Sheet'!$B$3:$B$1001,$H64,'Input Sheet'!$E$3:$E$1001,P$4)=0,"",SUMIFS('Input Sheet'!$F$3:$F$1001,'Input Sheet'!$B$3:$B$1001,$H64,'Input Sheet'!$E$3:$E$1001,P$4))</f>
        <v/>
      </c>
      <c r="Q64" s="21" t="str">
        <f>IF(SUMIFS('Input Sheet'!$F$3:$F$1001,'Input Sheet'!$B$3:$B$1001,$H64,'Input Sheet'!$E$3:$E$1001,Q$4)=0,"",SUMIFS('Input Sheet'!$F$3:$F$1001,'Input Sheet'!$B$3:$B$1001,$H64,'Input Sheet'!$E$3:$E$1001,Q$4))</f>
        <v/>
      </c>
      <c r="R64" s="21" t="str">
        <f>IF(SUMIFS('Input Sheet'!$F$3:$F$1001,'Input Sheet'!$B$3:$B$1001,$H64,'Input Sheet'!$E$3:$E$1001,R$4)=0,"",SUMIFS('Input Sheet'!$F$3:$F$1001,'Input Sheet'!$B$3:$B$1001,$H64,'Input Sheet'!$E$3:$E$1001,R$4))</f>
        <v/>
      </c>
      <c r="S64" s="21" t="str">
        <f>IF(SUMIFS('Input Sheet'!$F$3:$F$1001,'Input Sheet'!$B$3:$B$1001,$H64,'Input Sheet'!$E$3:$E$1001,S$4)=0,"",SUMIFS('Input Sheet'!$F$3:$F$1001,'Input Sheet'!$B$3:$B$1001,$H64,'Input Sheet'!$E$3:$E$1001,S$4))</f>
        <v/>
      </c>
      <c r="T64" s="22">
        <v>59</v>
      </c>
    </row>
    <row r="65" spans="1:20" ht="14.25" customHeight="1" x14ac:dyDescent="0.3">
      <c r="A65" s="4" t="str">
        <f>IF('Input Sheet'!B62=0,"",'Input Sheet'!B62)</f>
        <v/>
      </c>
      <c r="B65" s="24" t="b">
        <f t="shared" si="2"/>
        <v>0</v>
      </c>
      <c r="C65" s="4">
        <f>SUMIF('Input Sheet'!B$3:B$1000,A65,'Input Sheet'!C$3:C$1000)</f>
        <v>0</v>
      </c>
      <c r="D65" s="4">
        <f>SUMIF('Input Sheet'!B$3:B$1000,A65,'Input Sheet'!D$3:D$1000)</f>
        <v>0</v>
      </c>
      <c r="E65" s="4" t="str">
        <f t="shared" ref="E65:F65" ca="1" si="68">IFERROR(RANK(K65,K$6:K$1004,1),"")</f>
        <v/>
      </c>
      <c r="F65" s="4" t="str">
        <f t="shared" ca="1" si="68"/>
        <v/>
      </c>
      <c r="G65" s="4" t="str">
        <f t="shared" ca="1" si="4"/>
        <v/>
      </c>
      <c r="H65" s="4" t="str">
        <f t="shared" si="5"/>
        <v/>
      </c>
      <c r="I65" s="4" t="str">
        <f t="shared" si="6"/>
        <v/>
      </c>
      <c r="J65" s="4" t="str">
        <f t="shared" si="7"/>
        <v/>
      </c>
      <c r="K65" s="25" t="str">
        <f t="shared" ca="1" si="8"/>
        <v/>
      </c>
      <c r="L65" s="21" t="str">
        <f t="shared" ca="1" si="9"/>
        <v/>
      </c>
      <c r="M65" s="21" t="str">
        <f>IF(SUMIFS('Input Sheet'!$F$3:$F$1001,'Input Sheet'!$B$3:$B$1001,$H65,'Input Sheet'!$E$3:$E$1001,M$4)=0,"",SUMIFS('Input Sheet'!$F$3:$F$1001,'Input Sheet'!$B$3:$B$1001,$H65,'Input Sheet'!$E$3:$E$1001,M$4))</f>
        <v/>
      </c>
      <c r="N65" s="21" t="str">
        <f>IF(SUMIFS('Input Sheet'!$F$3:$F$1001,'Input Sheet'!$B$3:$B$1001,$H65,'Input Sheet'!$E$3:$E$1001,N$4)=0,"",SUMIFS('Input Sheet'!$F$3:$F$1001,'Input Sheet'!$B$3:$B$1001,$H65,'Input Sheet'!$E$3:$E$1001,N$4))</f>
        <v/>
      </c>
      <c r="O65" s="21" t="str">
        <f>IF(SUMIFS('Input Sheet'!$F$3:$F$1001,'Input Sheet'!$B$3:$B$1001,$H65,'Input Sheet'!$E$3:$E$1001,O$4)=0,"",SUMIFS('Input Sheet'!$F$3:$F$1001,'Input Sheet'!$B$3:$B$1001,$H65,'Input Sheet'!$E$3:$E$1001,O$4))</f>
        <v/>
      </c>
      <c r="P65" s="21" t="str">
        <f>IF(SUMIFS('Input Sheet'!$F$3:$F$1001,'Input Sheet'!$B$3:$B$1001,$H65,'Input Sheet'!$E$3:$E$1001,P$4)=0,"",SUMIFS('Input Sheet'!$F$3:$F$1001,'Input Sheet'!$B$3:$B$1001,$H65,'Input Sheet'!$E$3:$E$1001,P$4))</f>
        <v/>
      </c>
      <c r="Q65" s="21" t="str">
        <f>IF(SUMIFS('Input Sheet'!$F$3:$F$1001,'Input Sheet'!$B$3:$B$1001,$H65,'Input Sheet'!$E$3:$E$1001,Q$4)=0,"",SUMIFS('Input Sheet'!$F$3:$F$1001,'Input Sheet'!$B$3:$B$1001,$H65,'Input Sheet'!$E$3:$E$1001,Q$4))</f>
        <v/>
      </c>
      <c r="R65" s="21" t="str">
        <f>IF(SUMIFS('Input Sheet'!$F$3:$F$1001,'Input Sheet'!$B$3:$B$1001,$H65,'Input Sheet'!$E$3:$E$1001,R$4)=0,"",SUMIFS('Input Sheet'!$F$3:$F$1001,'Input Sheet'!$B$3:$B$1001,$H65,'Input Sheet'!$E$3:$E$1001,R$4))</f>
        <v/>
      </c>
      <c r="S65" s="21" t="str">
        <f>IF(SUMIFS('Input Sheet'!$F$3:$F$1001,'Input Sheet'!$B$3:$B$1001,$H65,'Input Sheet'!$E$3:$E$1001,S$4)=0,"",SUMIFS('Input Sheet'!$F$3:$F$1001,'Input Sheet'!$B$3:$B$1001,$H65,'Input Sheet'!$E$3:$E$1001,S$4))</f>
        <v/>
      </c>
      <c r="T65" s="22">
        <v>60</v>
      </c>
    </row>
    <row r="66" spans="1:20" ht="14.25" customHeight="1" x14ac:dyDescent="0.3">
      <c r="A66" s="4" t="str">
        <f>IF('Input Sheet'!B63=0,"",'Input Sheet'!B63)</f>
        <v/>
      </c>
      <c r="B66" s="24" t="b">
        <f t="shared" si="2"/>
        <v>0</v>
      </c>
      <c r="C66" s="4">
        <f>SUMIF('Input Sheet'!B$3:B$1000,A66,'Input Sheet'!C$3:C$1000)</f>
        <v>0</v>
      </c>
      <c r="D66" s="4">
        <f>SUMIF('Input Sheet'!B$3:B$1000,A66,'Input Sheet'!D$3:D$1000)</f>
        <v>0</v>
      </c>
      <c r="E66" s="4" t="str">
        <f t="shared" ref="E66:F66" ca="1" si="69">IFERROR(RANK(K66,K$6:K$1004,1),"")</f>
        <v/>
      </c>
      <c r="F66" s="4" t="str">
        <f t="shared" ca="1" si="69"/>
        <v/>
      </c>
      <c r="G66" s="4" t="str">
        <f t="shared" ca="1" si="4"/>
        <v/>
      </c>
      <c r="H66" s="4" t="str">
        <f t="shared" si="5"/>
        <v/>
      </c>
      <c r="I66" s="4" t="str">
        <f t="shared" si="6"/>
        <v/>
      </c>
      <c r="J66" s="4" t="str">
        <f t="shared" si="7"/>
        <v/>
      </c>
      <c r="K66" s="25" t="str">
        <f t="shared" ca="1" si="8"/>
        <v/>
      </c>
      <c r="L66" s="21" t="str">
        <f t="shared" ca="1" si="9"/>
        <v/>
      </c>
      <c r="M66" s="21" t="str">
        <f>IF(SUMIFS('Input Sheet'!$F$3:$F$1001,'Input Sheet'!$B$3:$B$1001,$H66,'Input Sheet'!$E$3:$E$1001,M$4)=0,"",SUMIFS('Input Sheet'!$F$3:$F$1001,'Input Sheet'!$B$3:$B$1001,$H66,'Input Sheet'!$E$3:$E$1001,M$4))</f>
        <v/>
      </c>
      <c r="N66" s="21" t="str">
        <f>IF(SUMIFS('Input Sheet'!$F$3:$F$1001,'Input Sheet'!$B$3:$B$1001,$H66,'Input Sheet'!$E$3:$E$1001,N$4)=0,"",SUMIFS('Input Sheet'!$F$3:$F$1001,'Input Sheet'!$B$3:$B$1001,$H66,'Input Sheet'!$E$3:$E$1001,N$4))</f>
        <v/>
      </c>
      <c r="O66" s="21" t="str">
        <f>IF(SUMIFS('Input Sheet'!$F$3:$F$1001,'Input Sheet'!$B$3:$B$1001,$H66,'Input Sheet'!$E$3:$E$1001,O$4)=0,"",SUMIFS('Input Sheet'!$F$3:$F$1001,'Input Sheet'!$B$3:$B$1001,$H66,'Input Sheet'!$E$3:$E$1001,O$4))</f>
        <v/>
      </c>
      <c r="P66" s="21" t="str">
        <f>IF(SUMIFS('Input Sheet'!$F$3:$F$1001,'Input Sheet'!$B$3:$B$1001,$H66,'Input Sheet'!$E$3:$E$1001,P$4)=0,"",SUMIFS('Input Sheet'!$F$3:$F$1001,'Input Sheet'!$B$3:$B$1001,$H66,'Input Sheet'!$E$3:$E$1001,P$4))</f>
        <v/>
      </c>
      <c r="Q66" s="21" t="str">
        <f>IF(SUMIFS('Input Sheet'!$F$3:$F$1001,'Input Sheet'!$B$3:$B$1001,$H66,'Input Sheet'!$E$3:$E$1001,Q$4)=0,"",SUMIFS('Input Sheet'!$F$3:$F$1001,'Input Sheet'!$B$3:$B$1001,$H66,'Input Sheet'!$E$3:$E$1001,Q$4))</f>
        <v/>
      </c>
      <c r="R66" s="21" t="str">
        <f>IF(SUMIFS('Input Sheet'!$F$3:$F$1001,'Input Sheet'!$B$3:$B$1001,$H66,'Input Sheet'!$E$3:$E$1001,R$4)=0,"",SUMIFS('Input Sheet'!$F$3:$F$1001,'Input Sheet'!$B$3:$B$1001,$H66,'Input Sheet'!$E$3:$E$1001,R$4))</f>
        <v/>
      </c>
      <c r="S66" s="21" t="str">
        <f>IF(SUMIFS('Input Sheet'!$F$3:$F$1001,'Input Sheet'!$B$3:$B$1001,$H66,'Input Sheet'!$E$3:$E$1001,S$4)=0,"",SUMIFS('Input Sheet'!$F$3:$F$1001,'Input Sheet'!$B$3:$B$1001,$H66,'Input Sheet'!$E$3:$E$1001,S$4))</f>
        <v/>
      </c>
      <c r="T66" s="22">
        <v>61</v>
      </c>
    </row>
    <row r="67" spans="1:20" ht="14.25" customHeight="1" x14ac:dyDescent="0.3">
      <c r="A67" s="4" t="str">
        <f>IF('Input Sheet'!B64=0,"",'Input Sheet'!B64)</f>
        <v/>
      </c>
      <c r="B67" s="24" t="b">
        <f t="shared" si="2"/>
        <v>0</v>
      </c>
      <c r="C67" s="4">
        <f>SUMIF('Input Sheet'!B$3:B$1000,A67,'Input Sheet'!C$3:C$1000)</f>
        <v>0</v>
      </c>
      <c r="D67" s="4">
        <f>SUMIF('Input Sheet'!B$3:B$1000,A67,'Input Sheet'!D$3:D$1000)</f>
        <v>0</v>
      </c>
      <c r="E67" s="4" t="str">
        <f t="shared" ref="E67:F67" ca="1" si="70">IFERROR(RANK(K67,K$6:K$1004,1),"")</f>
        <v/>
      </c>
      <c r="F67" s="4" t="str">
        <f t="shared" ca="1" si="70"/>
        <v/>
      </c>
      <c r="G67" s="4" t="str">
        <f t="shared" ca="1" si="4"/>
        <v/>
      </c>
      <c r="H67" s="4" t="str">
        <f t="shared" si="5"/>
        <v/>
      </c>
      <c r="I67" s="4" t="str">
        <f t="shared" si="6"/>
        <v/>
      </c>
      <c r="J67" s="4" t="str">
        <f t="shared" si="7"/>
        <v/>
      </c>
      <c r="K67" s="25" t="str">
        <f t="shared" ca="1" si="8"/>
        <v/>
      </c>
      <c r="L67" s="21" t="str">
        <f t="shared" ca="1" si="9"/>
        <v/>
      </c>
      <c r="M67" s="21" t="str">
        <f>IF(SUMIFS('Input Sheet'!$F$3:$F$1001,'Input Sheet'!$B$3:$B$1001,$H67,'Input Sheet'!$E$3:$E$1001,M$4)=0,"",SUMIFS('Input Sheet'!$F$3:$F$1001,'Input Sheet'!$B$3:$B$1001,$H67,'Input Sheet'!$E$3:$E$1001,M$4))</f>
        <v/>
      </c>
      <c r="N67" s="21" t="str">
        <f>IF(SUMIFS('Input Sheet'!$F$3:$F$1001,'Input Sheet'!$B$3:$B$1001,$H67,'Input Sheet'!$E$3:$E$1001,N$4)=0,"",SUMIFS('Input Sheet'!$F$3:$F$1001,'Input Sheet'!$B$3:$B$1001,$H67,'Input Sheet'!$E$3:$E$1001,N$4))</f>
        <v/>
      </c>
      <c r="O67" s="21" t="str">
        <f>IF(SUMIFS('Input Sheet'!$F$3:$F$1001,'Input Sheet'!$B$3:$B$1001,$H67,'Input Sheet'!$E$3:$E$1001,O$4)=0,"",SUMIFS('Input Sheet'!$F$3:$F$1001,'Input Sheet'!$B$3:$B$1001,$H67,'Input Sheet'!$E$3:$E$1001,O$4))</f>
        <v/>
      </c>
      <c r="P67" s="21" t="str">
        <f>IF(SUMIFS('Input Sheet'!$F$3:$F$1001,'Input Sheet'!$B$3:$B$1001,$H67,'Input Sheet'!$E$3:$E$1001,P$4)=0,"",SUMIFS('Input Sheet'!$F$3:$F$1001,'Input Sheet'!$B$3:$B$1001,$H67,'Input Sheet'!$E$3:$E$1001,P$4))</f>
        <v/>
      </c>
      <c r="Q67" s="21" t="str">
        <f>IF(SUMIFS('Input Sheet'!$F$3:$F$1001,'Input Sheet'!$B$3:$B$1001,$H67,'Input Sheet'!$E$3:$E$1001,Q$4)=0,"",SUMIFS('Input Sheet'!$F$3:$F$1001,'Input Sheet'!$B$3:$B$1001,$H67,'Input Sheet'!$E$3:$E$1001,Q$4))</f>
        <v/>
      </c>
      <c r="R67" s="21" t="str">
        <f>IF(SUMIFS('Input Sheet'!$F$3:$F$1001,'Input Sheet'!$B$3:$B$1001,$H67,'Input Sheet'!$E$3:$E$1001,R$4)=0,"",SUMIFS('Input Sheet'!$F$3:$F$1001,'Input Sheet'!$B$3:$B$1001,$H67,'Input Sheet'!$E$3:$E$1001,R$4))</f>
        <v/>
      </c>
      <c r="S67" s="21" t="str">
        <f>IF(SUMIFS('Input Sheet'!$F$3:$F$1001,'Input Sheet'!$B$3:$B$1001,$H67,'Input Sheet'!$E$3:$E$1001,S$4)=0,"",SUMIFS('Input Sheet'!$F$3:$F$1001,'Input Sheet'!$B$3:$B$1001,$H67,'Input Sheet'!$E$3:$E$1001,S$4))</f>
        <v/>
      </c>
      <c r="T67" s="22">
        <v>62</v>
      </c>
    </row>
    <row r="68" spans="1:20" ht="14.25" customHeight="1" x14ac:dyDescent="0.3">
      <c r="A68" s="4" t="str">
        <f>IF('Input Sheet'!B65=0,"",'Input Sheet'!B65)</f>
        <v/>
      </c>
      <c r="B68" s="24" t="b">
        <f t="shared" si="2"/>
        <v>0</v>
      </c>
      <c r="C68" s="4">
        <f>SUMIF('Input Sheet'!B$3:B$1000,A68,'Input Sheet'!C$3:C$1000)</f>
        <v>0</v>
      </c>
      <c r="D68" s="4">
        <f>SUMIF('Input Sheet'!B$3:B$1000,A68,'Input Sheet'!D$3:D$1000)</f>
        <v>0</v>
      </c>
      <c r="E68" s="4" t="str">
        <f t="shared" ref="E68:F68" ca="1" si="71">IFERROR(RANK(K68,K$6:K$1004,1),"")</f>
        <v/>
      </c>
      <c r="F68" s="4" t="str">
        <f t="shared" ca="1" si="71"/>
        <v/>
      </c>
      <c r="G68" s="4" t="str">
        <f t="shared" ca="1" si="4"/>
        <v/>
      </c>
      <c r="H68" s="4" t="str">
        <f t="shared" si="5"/>
        <v/>
      </c>
      <c r="I68" s="4" t="str">
        <f t="shared" si="6"/>
        <v/>
      </c>
      <c r="J68" s="4" t="str">
        <f t="shared" si="7"/>
        <v/>
      </c>
      <c r="K68" s="25" t="str">
        <f t="shared" ca="1" si="8"/>
        <v/>
      </c>
      <c r="L68" s="21" t="str">
        <f t="shared" ca="1" si="9"/>
        <v/>
      </c>
      <c r="M68" s="21" t="str">
        <f>IF(SUMIFS('Input Sheet'!$F$3:$F$1001,'Input Sheet'!$B$3:$B$1001,$H68,'Input Sheet'!$E$3:$E$1001,M$4)=0,"",SUMIFS('Input Sheet'!$F$3:$F$1001,'Input Sheet'!$B$3:$B$1001,$H68,'Input Sheet'!$E$3:$E$1001,M$4))</f>
        <v/>
      </c>
      <c r="N68" s="21" t="str">
        <f>IF(SUMIFS('Input Sheet'!$F$3:$F$1001,'Input Sheet'!$B$3:$B$1001,$H68,'Input Sheet'!$E$3:$E$1001,N$4)=0,"",SUMIFS('Input Sheet'!$F$3:$F$1001,'Input Sheet'!$B$3:$B$1001,$H68,'Input Sheet'!$E$3:$E$1001,N$4))</f>
        <v/>
      </c>
      <c r="O68" s="21" t="str">
        <f>IF(SUMIFS('Input Sheet'!$F$3:$F$1001,'Input Sheet'!$B$3:$B$1001,$H68,'Input Sheet'!$E$3:$E$1001,O$4)=0,"",SUMIFS('Input Sheet'!$F$3:$F$1001,'Input Sheet'!$B$3:$B$1001,$H68,'Input Sheet'!$E$3:$E$1001,O$4))</f>
        <v/>
      </c>
      <c r="P68" s="21" t="str">
        <f>IF(SUMIFS('Input Sheet'!$F$3:$F$1001,'Input Sheet'!$B$3:$B$1001,$H68,'Input Sheet'!$E$3:$E$1001,P$4)=0,"",SUMIFS('Input Sheet'!$F$3:$F$1001,'Input Sheet'!$B$3:$B$1001,$H68,'Input Sheet'!$E$3:$E$1001,P$4))</f>
        <v/>
      </c>
      <c r="Q68" s="21" t="str">
        <f>IF(SUMIFS('Input Sheet'!$F$3:$F$1001,'Input Sheet'!$B$3:$B$1001,$H68,'Input Sheet'!$E$3:$E$1001,Q$4)=0,"",SUMIFS('Input Sheet'!$F$3:$F$1001,'Input Sheet'!$B$3:$B$1001,$H68,'Input Sheet'!$E$3:$E$1001,Q$4))</f>
        <v/>
      </c>
      <c r="R68" s="21" t="str">
        <f>IF(SUMIFS('Input Sheet'!$F$3:$F$1001,'Input Sheet'!$B$3:$B$1001,$H68,'Input Sheet'!$E$3:$E$1001,R$4)=0,"",SUMIFS('Input Sheet'!$F$3:$F$1001,'Input Sheet'!$B$3:$B$1001,$H68,'Input Sheet'!$E$3:$E$1001,R$4))</f>
        <v/>
      </c>
      <c r="S68" s="21" t="str">
        <f>IF(SUMIFS('Input Sheet'!$F$3:$F$1001,'Input Sheet'!$B$3:$B$1001,$H68,'Input Sheet'!$E$3:$E$1001,S$4)=0,"",SUMIFS('Input Sheet'!$F$3:$F$1001,'Input Sheet'!$B$3:$B$1001,$H68,'Input Sheet'!$E$3:$E$1001,S$4))</f>
        <v/>
      </c>
      <c r="T68" s="22">
        <v>63</v>
      </c>
    </row>
    <row r="69" spans="1:20" ht="14.25" customHeight="1" x14ac:dyDescent="0.3">
      <c r="A69" s="4" t="str">
        <f>IF('Input Sheet'!B66=0,"",'Input Sheet'!B66)</f>
        <v/>
      </c>
      <c r="B69" s="24" t="b">
        <f t="shared" si="2"/>
        <v>0</v>
      </c>
      <c r="C69" s="4">
        <f>SUMIF('Input Sheet'!B$3:B$1000,A69,'Input Sheet'!C$3:C$1000)</f>
        <v>0</v>
      </c>
      <c r="D69" s="4">
        <f>SUMIF('Input Sheet'!B$3:B$1000,A69,'Input Sheet'!D$3:D$1000)</f>
        <v>0</v>
      </c>
      <c r="E69" s="4" t="str">
        <f t="shared" ref="E69:F69" ca="1" si="72">IFERROR(RANK(K69,K$6:K$1004,1),"")</f>
        <v/>
      </c>
      <c r="F69" s="4" t="str">
        <f t="shared" ca="1" si="72"/>
        <v/>
      </c>
      <c r="G69" s="4" t="str">
        <f t="shared" ca="1" si="4"/>
        <v/>
      </c>
      <c r="H69" s="4" t="str">
        <f t="shared" si="5"/>
        <v/>
      </c>
      <c r="I69" s="4" t="str">
        <f t="shared" si="6"/>
        <v/>
      </c>
      <c r="J69" s="4" t="str">
        <f t="shared" si="7"/>
        <v/>
      </c>
      <c r="K69" s="25" t="str">
        <f t="shared" ca="1" si="8"/>
        <v/>
      </c>
      <c r="L69" s="21" t="str">
        <f t="shared" ca="1" si="9"/>
        <v/>
      </c>
      <c r="M69" s="21" t="str">
        <f>IF(SUMIFS('Input Sheet'!$F$3:$F$1001,'Input Sheet'!$B$3:$B$1001,$H69,'Input Sheet'!$E$3:$E$1001,M$4)=0,"",SUMIFS('Input Sheet'!$F$3:$F$1001,'Input Sheet'!$B$3:$B$1001,$H69,'Input Sheet'!$E$3:$E$1001,M$4))</f>
        <v/>
      </c>
      <c r="N69" s="21" t="str">
        <f>IF(SUMIFS('Input Sheet'!$F$3:$F$1001,'Input Sheet'!$B$3:$B$1001,$H69,'Input Sheet'!$E$3:$E$1001,N$4)=0,"",SUMIFS('Input Sheet'!$F$3:$F$1001,'Input Sheet'!$B$3:$B$1001,$H69,'Input Sheet'!$E$3:$E$1001,N$4))</f>
        <v/>
      </c>
      <c r="O69" s="21" t="str">
        <f>IF(SUMIFS('Input Sheet'!$F$3:$F$1001,'Input Sheet'!$B$3:$B$1001,$H69,'Input Sheet'!$E$3:$E$1001,O$4)=0,"",SUMIFS('Input Sheet'!$F$3:$F$1001,'Input Sheet'!$B$3:$B$1001,$H69,'Input Sheet'!$E$3:$E$1001,O$4))</f>
        <v/>
      </c>
      <c r="P69" s="21" t="str">
        <f>IF(SUMIFS('Input Sheet'!$F$3:$F$1001,'Input Sheet'!$B$3:$B$1001,$H69,'Input Sheet'!$E$3:$E$1001,P$4)=0,"",SUMIFS('Input Sheet'!$F$3:$F$1001,'Input Sheet'!$B$3:$B$1001,$H69,'Input Sheet'!$E$3:$E$1001,P$4))</f>
        <v/>
      </c>
      <c r="Q69" s="21" t="str">
        <f>IF(SUMIFS('Input Sheet'!$F$3:$F$1001,'Input Sheet'!$B$3:$B$1001,$H69,'Input Sheet'!$E$3:$E$1001,Q$4)=0,"",SUMIFS('Input Sheet'!$F$3:$F$1001,'Input Sheet'!$B$3:$B$1001,$H69,'Input Sheet'!$E$3:$E$1001,Q$4))</f>
        <v/>
      </c>
      <c r="R69" s="21" t="str">
        <f>IF(SUMIFS('Input Sheet'!$F$3:$F$1001,'Input Sheet'!$B$3:$B$1001,$H69,'Input Sheet'!$E$3:$E$1001,R$4)=0,"",SUMIFS('Input Sheet'!$F$3:$F$1001,'Input Sheet'!$B$3:$B$1001,$H69,'Input Sheet'!$E$3:$E$1001,R$4))</f>
        <v/>
      </c>
      <c r="S69" s="21" t="str">
        <f>IF(SUMIFS('Input Sheet'!$F$3:$F$1001,'Input Sheet'!$B$3:$B$1001,$H69,'Input Sheet'!$E$3:$E$1001,S$4)=0,"",SUMIFS('Input Sheet'!$F$3:$F$1001,'Input Sheet'!$B$3:$B$1001,$H69,'Input Sheet'!$E$3:$E$1001,S$4))</f>
        <v/>
      </c>
      <c r="T69" s="22">
        <v>64</v>
      </c>
    </row>
    <row r="70" spans="1:20" ht="14.25" customHeight="1" x14ac:dyDescent="0.3">
      <c r="A70" s="4" t="str">
        <f>IF('Input Sheet'!B67=0,"",'Input Sheet'!B67)</f>
        <v/>
      </c>
      <c r="B70" s="24" t="b">
        <f t="shared" si="2"/>
        <v>0</v>
      </c>
      <c r="C70" s="4">
        <f>SUMIF('Input Sheet'!B$3:B$1000,A70,'Input Sheet'!C$3:C$1000)</f>
        <v>0</v>
      </c>
      <c r="D70" s="4">
        <f>SUMIF('Input Sheet'!B$3:B$1000,A70,'Input Sheet'!D$3:D$1000)</f>
        <v>0</v>
      </c>
      <c r="E70" s="4" t="str">
        <f t="shared" ref="E70:F70" ca="1" si="73">IFERROR(RANK(K70,K$6:K$1004,1),"")</f>
        <v/>
      </c>
      <c r="F70" s="4" t="str">
        <f t="shared" ca="1" si="73"/>
        <v/>
      </c>
      <c r="G70" s="4" t="str">
        <f t="shared" ca="1" si="4"/>
        <v/>
      </c>
      <c r="H70" s="4" t="str">
        <f t="shared" si="5"/>
        <v/>
      </c>
      <c r="I70" s="4" t="str">
        <f t="shared" si="6"/>
        <v/>
      </c>
      <c r="J70" s="4" t="str">
        <f t="shared" si="7"/>
        <v/>
      </c>
      <c r="K70" s="25" t="str">
        <f t="shared" ca="1" si="8"/>
        <v/>
      </c>
      <c r="L70" s="21" t="str">
        <f t="shared" ca="1" si="9"/>
        <v/>
      </c>
      <c r="M70" s="21" t="str">
        <f>IF(SUMIFS('Input Sheet'!$F$3:$F$1001,'Input Sheet'!$B$3:$B$1001,$H70,'Input Sheet'!$E$3:$E$1001,M$4)=0,"",SUMIFS('Input Sheet'!$F$3:$F$1001,'Input Sheet'!$B$3:$B$1001,$H70,'Input Sheet'!$E$3:$E$1001,M$4))</f>
        <v/>
      </c>
      <c r="N70" s="21" t="str">
        <f>IF(SUMIFS('Input Sheet'!$F$3:$F$1001,'Input Sheet'!$B$3:$B$1001,$H70,'Input Sheet'!$E$3:$E$1001,N$4)=0,"",SUMIFS('Input Sheet'!$F$3:$F$1001,'Input Sheet'!$B$3:$B$1001,$H70,'Input Sheet'!$E$3:$E$1001,N$4))</f>
        <v/>
      </c>
      <c r="O70" s="21" t="str">
        <f>IF(SUMIFS('Input Sheet'!$F$3:$F$1001,'Input Sheet'!$B$3:$B$1001,$H70,'Input Sheet'!$E$3:$E$1001,O$4)=0,"",SUMIFS('Input Sheet'!$F$3:$F$1001,'Input Sheet'!$B$3:$B$1001,$H70,'Input Sheet'!$E$3:$E$1001,O$4))</f>
        <v/>
      </c>
      <c r="P70" s="21" t="str">
        <f>IF(SUMIFS('Input Sheet'!$F$3:$F$1001,'Input Sheet'!$B$3:$B$1001,$H70,'Input Sheet'!$E$3:$E$1001,P$4)=0,"",SUMIFS('Input Sheet'!$F$3:$F$1001,'Input Sheet'!$B$3:$B$1001,$H70,'Input Sheet'!$E$3:$E$1001,P$4))</f>
        <v/>
      </c>
      <c r="Q70" s="21" t="str">
        <f>IF(SUMIFS('Input Sheet'!$F$3:$F$1001,'Input Sheet'!$B$3:$B$1001,$H70,'Input Sheet'!$E$3:$E$1001,Q$4)=0,"",SUMIFS('Input Sheet'!$F$3:$F$1001,'Input Sheet'!$B$3:$B$1001,$H70,'Input Sheet'!$E$3:$E$1001,Q$4))</f>
        <v/>
      </c>
      <c r="R70" s="21" t="str">
        <f>IF(SUMIFS('Input Sheet'!$F$3:$F$1001,'Input Sheet'!$B$3:$B$1001,$H70,'Input Sheet'!$E$3:$E$1001,R$4)=0,"",SUMIFS('Input Sheet'!$F$3:$F$1001,'Input Sheet'!$B$3:$B$1001,$H70,'Input Sheet'!$E$3:$E$1001,R$4))</f>
        <v/>
      </c>
      <c r="S70" s="21" t="str">
        <f>IF(SUMIFS('Input Sheet'!$F$3:$F$1001,'Input Sheet'!$B$3:$B$1001,$H70,'Input Sheet'!$E$3:$E$1001,S$4)=0,"",SUMIFS('Input Sheet'!$F$3:$F$1001,'Input Sheet'!$B$3:$B$1001,$H70,'Input Sheet'!$E$3:$E$1001,S$4))</f>
        <v/>
      </c>
      <c r="T70" s="22">
        <v>65</v>
      </c>
    </row>
    <row r="71" spans="1:20" ht="14.25" customHeight="1" x14ac:dyDescent="0.3">
      <c r="A71" s="4" t="str">
        <f>IF('Input Sheet'!B68=0,"",'Input Sheet'!B68)</f>
        <v/>
      </c>
      <c r="B71" s="24" t="b">
        <f t="shared" si="2"/>
        <v>0</v>
      </c>
      <c r="C71" s="4">
        <f>SUMIF('Input Sheet'!B$3:B$1000,A71,'Input Sheet'!C$3:C$1000)</f>
        <v>0</v>
      </c>
      <c r="D71" s="4">
        <f>SUMIF('Input Sheet'!B$3:B$1000,A71,'Input Sheet'!D$3:D$1000)</f>
        <v>0</v>
      </c>
      <c r="E71" s="4" t="str">
        <f t="shared" ref="E71:F71" ca="1" si="74">IFERROR(RANK(K71,K$6:K$1004,1),"")</f>
        <v/>
      </c>
      <c r="F71" s="4" t="str">
        <f t="shared" ca="1" si="74"/>
        <v/>
      </c>
      <c r="G71" s="4" t="str">
        <f t="shared" ca="1" si="4"/>
        <v/>
      </c>
      <c r="H71" s="4" t="str">
        <f t="shared" si="5"/>
        <v/>
      </c>
      <c r="I71" s="4" t="str">
        <f t="shared" si="6"/>
        <v/>
      </c>
      <c r="J71" s="4" t="str">
        <f t="shared" si="7"/>
        <v/>
      </c>
      <c r="K71" s="25" t="str">
        <f t="shared" ca="1" si="8"/>
        <v/>
      </c>
      <c r="L71" s="21" t="str">
        <f t="shared" ca="1" si="9"/>
        <v/>
      </c>
      <c r="M71" s="21" t="str">
        <f>IF(SUMIFS('Input Sheet'!$F$3:$F$1001,'Input Sheet'!$B$3:$B$1001,$H71,'Input Sheet'!$E$3:$E$1001,M$4)=0,"",SUMIFS('Input Sheet'!$F$3:$F$1001,'Input Sheet'!$B$3:$B$1001,$H71,'Input Sheet'!$E$3:$E$1001,M$4))</f>
        <v/>
      </c>
      <c r="N71" s="21" t="str">
        <f>IF(SUMIFS('Input Sheet'!$F$3:$F$1001,'Input Sheet'!$B$3:$B$1001,$H71,'Input Sheet'!$E$3:$E$1001,N$4)=0,"",SUMIFS('Input Sheet'!$F$3:$F$1001,'Input Sheet'!$B$3:$B$1001,$H71,'Input Sheet'!$E$3:$E$1001,N$4))</f>
        <v/>
      </c>
      <c r="O71" s="21" t="str">
        <f>IF(SUMIFS('Input Sheet'!$F$3:$F$1001,'Input Sheet'!$B$3:$B$1001,$H71,'Input Sheet'!$E$3:$E$1001,O$4)=0,"",SUMIFS('Input Sheet'!$F$3:$F$1001,'Input Sheet'!$B$3:$B$1001,$H71,'Input Sheet'!$E$3:$E$1001,O$4))</f>
        <v/>
      </c>
      <c r="P71" s="21" t="str">
        <f>IF(SUMIFS('Input Sheet'!$F$3:$F$1001,'Input Sheet'!$B$3:$B$1001,$H71,'Input Sheet'!$E$3:$E$1001,P$4)=0,"",SUMIFS('Input Sheet'!$F$3:$F$1001,'Input Sheet'!$B$3:$B$1001,$H71,'Input Sheet'!$E$3:$E$1001,P$4))</f>
        <v/>
      </c>
      <c r="Q71" s="21" t="str">
        <f>IF(SUMIFS('Input Sheet'!$F$3:$F$1001,'Input Sheet'!$B$3:$B$1001,$H71,'Input Sheet'!$E$3:$E$1001,Q$4)=0,"",SUMIFS('Input Sheet'!$F$3:$F$1001,'Input Sheet'!$B$3:$B$1001,$H71,'Input Sheet'!$E$3:$E$1001,Q$4))</f>
        <v/>
      </c>
      <c r="R71" s="21" t="str">
        <f>IF(SUMIFS('Input Sheet'!$F$3:$F$1001,'Input Sheet'!$B$3:$B$1001,$H71,'Input Sheet'!$E$3:$E$1001,R$4)=0,"",SUMIFS('Input Sheet'!$F$3:$F$1001,'Input Sheet'!$B$3:$B$1001,$H71,'Input Sheet'!$E$3:$E$1001,R$4))</f>
        <v/>
      </c>
      <c r="S71" s="21" t="str">
        <f>IF(SUMIFS('Input Sheet'!$F$3:$F$1001,'Input Sheet'!$B$3:$B$1001,$H71,'Input Sheet'!$E$3:$E$1001,S$4)=0,"",SUMIFS('Input Sheet'!$F$3:$F$1001,'Input Sheet'!$B$3:$B$1001,$H71,'Input Sheet'!$E$3:$E$1001,S$4))</f>
        <v/>
      </c>
      <c r="T71" s="22">
        <v>66</v>
      </c>
    </row>
    <row r="72" spans="1:20" ht="14.25" customHeight="1" x14ac:dyDescent="0.3">
      <c r="A72" s="4" t="str">
        <f>IF('Input Sheet'!B69=0,"",'Input Sheet'!B69)</f>
        <v/>
      </c>
      <c r="B72" s="24" t="b">
        <f t="shared" si="2"/>
        <v>0</v>
      </c>
      <c r="C72" s="4">
        <f>SUMIF('Input Sheet'!B$3:B$1000,A72,'Input Sheet'!C$3:C$1000)</f>
        <v>0</v>
      </c>
      <c r="D72" s="4">
        <f>SUMIF('Input Sheet'!B$3:B$1000,A72,'Input Sheet'!D$3:D$1000)</f>
        <v>0</v>
      </c>
      <c r="E72" s="4" t="str">
        <f t="shared" ref="E72:F72" ca="1" si="75">IFERROR(RANK(K72,K$6:K$1004,1),"")</f>
        <v/>
      </c>
      <c r="F72" s="4" t="str">
        <f t="shared" ca="1" si="75"/>
        <v/>
      </c>
      <c r="G72" s="4" t="str">
        <f t="shared" ca="1" si="4"/>
        <v/>
      </c>
      <c r="H72" s="4" t="str">
        <f t="shared" si="5"/>
        <v/>
      </c>
      <c r="I72" s="4" t="str">
        <f t="shared" si="6"/>
        <v/>
      </c>
      <c r="J72" s="4" t="str">
        <f t="shared" si="7"/>
        <v/>
      </c>
      <c r="K72" s="25" t="str">
        <f t="shared" ca="1" si="8"/>
        <v/>
      </c>
      <c r="L72" s="21" t="str">
        <f t="shared" ca="1" si="9"/>
        <v/>
      </c>
      <c r="M72" s="21" t="str">
        <f>IF(SUMIFS('Input Sheet'!$F$3:$F$1001,'Input Sheet'!$B$3:$B$1001,$H72,'Input Sheet'!$E$3:$E$1001,M$4)=0,"",SUMIFS('Input Sheet'!$F$3:$F$1001,'Input Sheet'!$B$3:$B$1001,$H72,'Input Sheet'!$E$3:$E$1001,M$4))</f>
        <v/>
      </c>
      <c r="N72" s="21" t="str">
        <f>IF(SUMIFS('Input Sheet'!$F$3:$F$1001,'Input Sheet'!$B$3:$B$1001,$H72,'Input Sheet'!$E$3:$E$1001,N$4)=0,"",SUMIFS('Input Sheet'!$F$3:$F$1001,'Input Sheet'!$B$3:$B$1001,$H72,'Input Sheet'!$E$3:$E$1001,N$4))</f>
        <v/>
      </c>
      <c r="O72" s="21" t="str">
        <f>IF(SUMIFS('Input Sheet'!$F$3:$F$1001,'Input Sheet'!$B$3:$B$1001,$H72,'Input Sheet'!$E$3:$E$1001,O$4)=0,"",SUMIFS('Input Sheet'!$F$3:$F$1001,'Input Sheet'!$B$3:$B$1001,$H72,'Input Sheet'!$E$3:$E$1001,O$4))</f>
        <v/>
      </c>
      <c r="P72" s="21" t="str">
        <f>IF(SUMIFS('Input Sheet'!$F$3:$F$1001,'Input Sheet'!$B$3:$B$1001,$H72,'Input Sheet'!$E$3:$E$1001,P$4)=0,"",SUMIFS('Input Sheet'!$F$3:$F$1001,'Input Sheet'!$B$3:$B$1001,$H72,'Input Sheet'!$E$3:$E$1001,P$4))</f>
        <v/>
      </c>
      <c r="Q72" s="21" t="str">
        <f>IF(SUMIFS('Input Sheet'!$F$3:$F$1001,'Input Sheet'!$B$3:$B$1001,$H72,'Input Sheet'!$E$3:$E$1001,Q$4)=0,"",SUMIFS('Input Sheet'!$F$3:$F$1001,'Input Sheet'!$B$3:$B$1001,$H72,'Input Sheet'!$E$3:$E$1001,Q$4))</f>
        <v/>
      </c>
      <c r="R72" s="21" t="str">
        <f>IF(SUMIFS('Input Sheet'!$F$3:$F$1001,'Input Sheet'!$B$3:$B$1001,$H72,'Input Sheet'!$E$3:$E$1001,R$4)=0,"",SUMIFS('Input Sheet'!$F$3:$F$1001,'Input Sheet'!$B$3:$B$1001,$H72,'Input Sheet'!$E$3:$E$1001,R$4))</f>
        <v/>
      </c>
      <c r="S72" s="21" t="str">
        <f>IF(SUMIFS('Input Sheet'!$F$3:$F$1001,'Input Sheet'!$B$3:$B$1001,$H72,'Input Sheet'!$E$3:$E$1001,S$4)=0,"",SUMIFS('Input Sheet'!$F$3:$F$1001,'Input Sheet'!$B$3:$B$1001,$H72,'Input Sheet'!$E$3:$E$1001,S$4))</f>
        <v/>
      </c>
      <c r="T72" s="22">
        <v>67</v>
      </c>
    </row>
    <row r="73" spans="1:20" ht="14.25" customHeight="1" x14ac:dyDescent="0.3">
      <c r="A73" s="4" t="str">
        <f>IF('Input Sheet'!B70=0,"",'Input Sheet'!B70)</f>
        <v/>
      </c>
      <c r="B73" s="24" t="b">
        <f t="shared" si="2"/>
        <v>0</v>
      </c>
      <c r="C73" s="4">
        <f>SUMIF('Input Sheet'!B$3:B$1000,A73,'Input Sheet'!C$3:C$1000)</f>
        <v>0</v>
      </c>
      <c r="D73" s="4">
        <f>SUMIF('Input Sheet'!B$3:B$1000,A73,'Input Sheet'!D$3:D$1000)</f>
        <v>0</v>
      </c>
      <c r="E73" s="4" t="str">
        <f t="shared" ref="E73:F73" ca="1" si="76">IFERROR(RANK(K73,K$6:K$1004,1),"")</f>
        <v/>
      </c>
      <c r="F73" s="4" t="str">
        <f t="shared" ca="1" si="76"/>
        <v/>
      </c>
      <c r="G73" s="4" t="str">
        <f t="shared" ca="1" si="4"/>
        <v/>
      </c>
      <c r="H73" s="4" t="str">
        <f t="shared" si="5"/>
        <v/>
      </c>
      <c r="I73" s="4" t="str">
        <f t="shared" si="6"/>
        <v/>
      </c>
      <c r="J73" s="4" t="str">
        <f t="shared" si="7"/>
        <v/>
      </c>
      <c r="K73" s="25" t="str">
        <f t="shared" ca="1" si="8"/>
        <v/>
      </c>
      <c r="L73" s="21" t="str">
        <f t="shared" ca="1" si="9"/>
        <v/>
      </c>
      <c r="M73" s="21" t="str">
        <f>IF(SUMIFS('Input Sheet'!$F$3:$F$1001,'Input Sheet'!$B$3:$B$1001,$H73,'Input Sheet'!$E$3:$E$1001,M$4)=0,"",SUMIFS('Input Sheet'!$F$3:$F$1001,'Input Sheet'!$B$3:$B$1001,$H73,'Input Sheet'!$E$3:$E$1001,M$4))</f>
        <v/>
      </c>
      <c r="N73" s="21" t="str">
        <f>IF(SUMIFS('Input Sheet'!$F$3:$F$1001,'Input Sheet'!$B$3:$B$1001,$H73,'Input Sheet'!$E$3:$E$1001,N$4)=0,"",SUMIFS('Input Sheet'!$F$3:$F$1001,'Input Sheet'!$B$3:$B$1001,$H73,'Input Sheet'!$E$3:$E$1001,N$4))</f>
        <v/>
      </c>
      <c r="O73" s="21" t="str">
        <f>IF(SUMIFS('Input Sheet'!$F$3:$F$1001,'Input Sheet'!$B$3:$B$1001,$H73,'Input Sheet'!$E$3:$E$1001,O$4)=0,"",SUMIFS('Input Sheet'!$F$3:$F$1001,'Input Sheet'!$B$3:$B$1001,$H73,'Input Sheet'!$E$3:$E$1001,O$4))</f>
        <v/>
      </c>
      <c r="P73" s="21" t="str">
        <f>IF(SUMIFS('Input Sheet'!$F$3:$F$1001,'Input Sheet'!$B$3:$B$1001,$H73,'Input Sheet'!$E$3:$E$1001,P$4)=0,"",SUMIFS('Input Sheet'!$F$3:$F$1001,'Input Sheet'!$B$3:$B$1001,$H73,'Input Sheet'!$E$3:$E$1001,P$4))</f>
        <v/>
      </c>
      <c r="Q73" s="21" t="str">
        <f>IF(SUMIFS('Input Sheet'!$F$3:$F$1001,'Input Sheet'!$B$3:$B$1001,$H73,'Input Sheet'!$E$3:$E$1001,Q$4)=0,"",SUMIFS('Input Sheet'!$F$3:$F$1001,'Input Sheet'!$B$3:$B$1001,$H73,'Input Sheet'!$E$3:$E$1001,Q$4))</f>
        <v/>
      </c>
      <c r="R73" s="21" t="str">
        <f>IF(SUMIFS('Input Sheet'!$F$3:$F$1001,'Input Sheet'!$B$3:$B$1001,$H73,'Input Sheet'!$E$3:$E$1001,R$4)=0,"",SUMIFS('Input Sheet'!$F$3:$F$1001,'Input Sheet'!$B$3:$B$1001,$H73,'Input Sheet'!$E$3:$E$1001,R$4))</f>
        <v/>
      </c>
      <c r="S73" s="21" t="str">
        <f>IF(SUMIFS('Input Sheet'!$F$3:$F$1001,'Input Sheet'!$B$3:$B$1001,$H73,'Input Sheet'!$E$3:$E$1001,S$4)=0,"",SUMIFS('Input Sheet'!$F$3:$F$1001,'Input Sheet'!$B$3:$B$1001,$H73,'Input Sheet'!$E$3:$E$1001,S$4))</f>
        <v/>
      </c>
      <c r="T73" s="22">
        <v>68</v>
      </c>
    </row>
    <row r="74" spans="1:20" ht="14.25" customHeight="1" x14ac:dyDescent="0.3">
      <c r="A74" s="4" t="str">
        <f>IF('Input Sheet'!B71=0,"",'Input Sheet'!B71)</f>
        <v/>
      </c>
      <c r="B74" s="24" t="b">
        <f t="shared" si="2"/>
        <v>0</v>
      </c>
      <c r="C74" s="4">
        <f>SUMIF('Input Sheet'!B$3:B$1000,A74,'Input Sheet'!C$3:C$1000)</f>
        <v>0</v>
      </c>
      <c r="D74" s="4">
        <f>SUMIF('Input Sheet'!B$3:B$1000,A74,'Input Sheet'!D$3:D$1000)</f>
        <v>0</v>
      </c>
      <c r="E74" s="4" t="str">
        <f t="shared" ref="E74:F74" ca="1" si="77">IFERROR(RANK(K74,K$6:K$1004,1),"")</f>
        <v/>
      </c>
      <c r="F74" s="4" t="str">
        <f t="shared" ca="1" si="77"/>
        <v/>
      </c>
      <c r="G74" s="4" t="str">
        <f t="shared" ca="1" si="4"/>
        <v/>
      </c>
      <c r="H74" s="4" t="str">
        <f t="shared" si="5"/>
        <v/>
      </c>
      <c r="I74" s="4" t="str">
        <f t="shared" si="6"/>
        <v/>
      </c>
      <c r="J74" s="4" t="str">
        <f t="shared" si="7"/>
        <v/>
      </c>
      <c r="K74" s="25" t="str">
        <f t="shared" ca="1" si="8"/>
        <v/>
      </c>
      <c r="L74" s="21" t="str">
        <f t="shared" ca="1" si="9"/>
        <v/>
      </c>
      <c r="M74" s="21" t="str">
        <f>IF(SUMIFS('Input Sheet'!$F$3:$F$1001,'Input Sheet'!$B$3:$B$1001,$H74,'Input Sheet'!$E$3:$E$1001,M$4)=0,"",SUMIFS('Input Sheet'!$F$3:$F$1001,'Input Sheet'!$B$3:$B$1001,$H74,'Input Sheet'!$E$3:$E$1001,M$4))</f>
        <v/>
      </c>
      <c r="N74" s="21" t="str">
        <f>IF(SUMIFS('Input Sheet'!$F$3:$F$1001,'Input Sheet'!$B$3:$B$1001,$H74,'Input Sheet'!$E$3:$E$1001,N$4)=0,"",SUMIFS('Input Sheet'!$F$3:$F$1001,'Input Sheet'!$B$3:$B$1001,$H74,'Input Sheet'!$E$3:$E$1001,N$4))</f>
        <v/>
      </c>
      <c r="O74" s="21" t="str">
        <f>IF(SUMIFS('Input Sheet'!$F$3:$F$1001,'Input Sheet'!$B$3:$B$1001,$H74,'Input Sheet'!$E$3:$E$1001,O$4)=0,"",SUMIFS('Input Sheet'!$F$3:$F$1001,'Input Sheet'!$B$3:$B$1001,$H74,'Input Sheet'!$E$3:$E$1001,O$4))</f>
        <v/>
      </c>
      <c r="P74" s="21" t="str">
        <f>IF(SUMIFS('Input Sheet'!$F$3:$F$1001,'Input Sheet'!$B$3:$B$1001,$H74,'Input Sheet'!$E$3:$E$1001,P$4)=0,"",SUMIFS('Input Sheet'!$F$3:$F$1001,'Input Sheet'!$B$3:$B$1001,$H74,'Input Sheet'!$E$3:$E$1001,P$4))</f>
        <v/>
      </c>
      <c r="Q74" s="21" t="str">
        <f>IF(SUMIFS('Input Sheet'!$F$3:$F$1001,'Input Sheet'!$B$3:$B$1001,$H74,'Input Sheet'!$E$3:$E$1001,Q$4)=0,"",SUMIFS('Input Sheet'!$F$3:$F$1001,'Input Sheet'!$B$3:$B$1001,$H74,'Input Sheet'!$E$3:$E$1001,Q$4))</f>
        <v/>
      </c>
      <c r="R74" s="21" t="str">
        <f>IF(SUMIFS('Input Sheet'!$F$3:$F$1001,'Input Sheet'!$B$3:$B$1001,$H74,'Input Sheet'!$E$3:$E$1001,R$4)=0,"",SUMIFS('Input Sheet'!$F$3:$F$1001,'Input Sheet'!$B$3:$B$1001,$H74,'Input Sheet'!$E$3:$E$1001,R$4))</f>
        <v/>
      </c>
      <c r="S74" s="21" t="str">
        <f>IF(SUMIFS('Input Sheet'!$F$3:$F$1001,'Input Sheet'!$B$3:$B$1001,$H74,'Input Sheet'!$E$3:$E$1001,S$4)=0,"",SUMIFS('Input Sheet'!$F$3:$F$1001,'Input Sheet'!$B$3:$B$1001,$H74,'Input Sheet'!$E$3:$E$1001,S$4))</f>
        <v/>
      </c>
      <c r="T74" s="22">
        <v>69</v>
      </c>
    </row>
    <row r="75" spans="1:20" ht="14.25" customHeight="1" x14ac:dyDescent="0.3">
      <c r="A75" s="4" t="str">
        <f>IF('Input Sheet'!B72=0,"",'Input Sheet'!B72)</f>
        <v/>
      </c>
      <c r="B75" s="24" t="b">
        <f t="shared" si="2"/>
        <v>0</v>
      </c>
      <c r="C75" s="4">
        <f>SUMIF('Input Sheet'!B$3:B$1000,A75,'Input Sheet'!C$3:C$1000)</f>
        <v>0</v>
      </c>
      <c r="D75" s="4">
        <f>SUMIF('Input Sheet'!B$3:B$1000,A75,'Input Sheet'!D$3:D$1000)</f>
        <v>0</v>
      </c>
      <c r="E75" s="4" t="str">
        <f t="shared" ref="E75:F75" ca="1" si="78">IFERROR(RANK(K75,K$6:K$1004,1),"")</f>
        <v/>
      </c>
      <c r="F75" s="4" t="str">
        <f t="shared" ca="1" si="78"/>
        <v/>
      </c>
      <c r="G75" s="4" t="str">
        <f t="shared" ca="1" si="4"/>
        <v/>
      </c>
      <c r="H75" s="4" t="str">
        <f t="shared" si="5"/>
        <v/>
      </c>
      <c r="I75" s="4" t="str">
        <f t="shared" si="6"/>
        <v/>
      </c>
      <c r="J75" s="4" t="str">
        <f t="shared" si="7"/>
        <v/>
      </c>
      <c r="K75" s="25" t="str">
        <f t="shared" ca="1" si="8"/>
        <v/>
      </c>
      <c r="L75" s="21" t="str">
        <f t="shared" ca="1" si="9"/>
        <v/>
      </c>
      <c r="M75" s="21" t="str">
        <f>IF(SUMIFS('Input Sheet'!$F$3:$F$1001,'Input Sheet'!$B$3:$B$1001,$H75,'Input Sheet'!$E$3:$E$1001,M$4)=0,"",SUMIFS('Input Sheet'!$F$3:$F$1001,'Input Sheet'!$B$3:$B$1001,$H75,'Input Sheet'!$E$3:$E$1001,M$4))</f>
        <v/>
      </c>
      <c r="N75" s="21" t="str">
        <f>IF(SUMIFS('Input Sheet'!$F$3:$F$1001,'Input Sheet'!$B$3:$B$1001,$H75,'Input Sheet'!$E$3:$E$1001,N$4)=0,"",SUMIFS('Input Sheet'!$F$3:$F$1001,'Input Sheet'!$B$3:$B$1001,$H75,'Input Sheet'!$E$3:$E$1001,N$4))</f>
        <v/>
      </c>
      <c r="O75" s="21" t="str">
        <f>IF(SUMIFS('Input Sheet'!$F$3:$F$1001,'Input Sheet'!$B$3:$B$1001,$H75,'Input Sheet'!$E$3:$E$1001,O$4)=0,"",SUMIFS('Input Sheet'!$F$3:$F$1001,'Input Sheet'!$B$3:$B$1001,$H75,'Input Sheet'!$E$3:$E$1001,O$4))</f>
        <v/>
      </c>
      <c r="P75" s="21" t="str">
        <f>IF(SUMIFS('Input Sheet'!$F$3:$F$1001,'Input Sheet'!$B$3:$B$1001,$H75,'Input Sheet'!$E$3:$E$1001,P$4)=0,"",SUMIFS('Input Sheet'!$F$3:$F$1001,'Input Sheet'!$B$3:$B$1001,$H75,'Input Sheet'!$E$3:$E$1001,P$4))</f>
        <v/>
      </c>
      <c r="Q75" s="21" t="str">
        <f>IF(SUMIFS('Input Sheet'!$F$3:$F$1001,'Input Sheet'!$B$3:$B$1001,$H75,'Input Sheet'!$E$3:$E$1001,Q$4)=0,"",SUMIFS('Input Sheet'!$F$3:$F$1001,'Input Sheet'!$B$3:$B$1001,$H75,'Input Sheet'!$E$3:$E$1001,Q$4))</f>
        <v/>
      </c>
      <c r="R75" s="21" t="str">
        <f>IF(SUMIFS('Input Sheet'!$F$3:$F$1001,'Input Sheet'!$B$3:$B$1001,$H75,'Input Sheet'!$E$3:$E$1001,R$4)=0,"",SUMIFS('Input Sheet'!$F$3:$F$1001,'Input Sheet'!$B$3:$B$1001,$H75,'Input Sheet'!$E$3:$E$1001,R$4))</f>
        <v/>
      </c>
      <c r="S75" s="21" t="str">
        <f>IF(SUMIFS('Input Sheet'!$F$3:$F$1001,'Input Sheet'!$B$3:$B$1001,$H75,'Input Sheet'!$E$3:$E$1001,S$4)=0,"",SUMIFS('Input Sheet'!$F$3:$F$1001,'Input Sheet'!$B$3:$B$1001,$H75,'Input Sheet'!$E$3:$E$1001,S$4))</f>
        <v/>
      </c>
      <c r="T75" s="22">
        <v>70</v>
      </c>
    </row>
    <row r="76" spans="1:20" ht="14.25" customHeight="1" x14ac:dyDescent="0.3">
      <c r="A76" s="4" t="str">
        <f>IF('Input Sheet'!B73=0,"",'Input Sheet'!B73)</f>
        <v/>
      </c>
      <c r="B76" s="24" t="b">
        <f t="shared" si="2"/>
        <v>0</v>
      </c>
      <c r="C76" s="4">
        <f>SUMIF('Input Sheet'!B$3:B$1000,A76,'Input Sheet'!C$3:C$1000)</f>
        <v>0</v>
      </c>
      <c r="D76" s="4">
        <f>SUMIF('Input Sheet'!B$3:B$1000,A76,'Input Sheet'!D$3:D$1000)</f>
        <v>0</v>
      </c>
      <c r="E76" s="4" t="str">
        <f t="shared" ref="E76:F76" ca="1" si="79">IFERROR(RANK(K76,K$6:K$1004,1),"")</f>
        <v/>
      </c>
      <c r="F76" s="4" t="str">
        <f t="shared" ca="1" si="79"/>
        <v/>
      </c>
      <c r="G76" s="4" t="str">
        <f t="shared" ca="1" si="4"/>
        <v/>
      </c>
      <c r="H76" s="4" t="str">
        <f t="shared" si="5"/>
        <v/>
      </c>
      <c r="I76" s="4" t="str">
        <f t="shared" si="6"/>
        <v/>
      </c>
      <c r="J76" s="4" t="str">
        <f t="shared" si="7"/>
        <v/>
      </c>
      <c r="K76" s="25" t="str">
        <f t="shared" ca="1" si="8"/>
        <v/>
      </c>
      <c r="L76" s="21" t="str">
        <f t="shared" ca="1" si="9"/>
        <v/>
      </c>
      <c r="M76" s="21" t="str">
        <f>IF(SUMIFS('Input Sheet'!$F$3:$F$1001,'Input Sheet'!$B$3:$B$1001,$H76,'Input Sheet'!$E$3:$E$1001,M$4)=0,"",SUMIFS('Input Sheet'!$F$3:$F$1001,'Input Sheet'!$B$3:$B$1001,$H76,'Input Sheet'!$E$3:$E$1001,M$4))</f>
        <v/>
      </c>
      <c r="N76" s="21" t="str">
        <f>IF(SUMIFS('Input Sheet'!$F$3:$F$1001,'Input Sheet'!$B$3:$B$1001,$H76,'Input Sheet'!$E$3:$E$1001,N$4)=0,"",SUMIFS('Input Sheet'!$F$3:$F$1001,'Input Sheet'!$B$3:$B$1001,$H76,'Input Sheet'!$E$3:$E$1001,N$4))</f>
        <v/>
      </c>
      <c r="O76" s="21" t="str">
        <f>IF(SUMIFS('Input Sheet'!$F$3:$F$1001,'Input Sheet'!$B$3:$B$1001,$H76,'Input Sheet'!$E$3:$E$1001,O$4)=0,"",SUMIFS('Input Sheet'!$F$3:$F$1001,'Input Sheet'!$B$3:$B$1001,$H76,'Input Sheet'!$E$3:$E$1001,O$4))</f>
        <v/>
      </c>
      <c r="P76" s="21" t="str">
        <f>IF(SUMIFS('Input Sheet'!$F$3:$F$1001,'Input Sheet'!$B$3:$B$1001,$H76,'Input Sheet'!$E$3:$E$1001,P$4)=0,"",SUMIFS('Input Sheet'!$F$3:$F$1001,'Input Sheet'!$B$3:$B$1001,$H76,'Input Sheet'!$E$3:$E$1001,P$4))</f>
        <v/>
      </c>
      <c r="Q76" s="21" t="str">
        <f>IF(SUMIFS('Input Sheet'!$F$3:$F$1001,'Input Sheet'!$B$3:$B$1001,$H76,'Input Sheet'!$E$3:$E$1001,Q$4)=0,"",SUMIFS('Input Sheet'!$F$3:$F$1001,'Input Sheet'!$B$3:$B$1001,$H76,'Input Sheet'!$E$3:$E$1001,Q$4))</f>
        <v/>
      </c>
      <c r="R76" s="21" t="str">
        <f>IF(SUMIFS('Input Sheet'!$F$3:$F$1001,'Input Sheet'!$B$3:$B$1001,$H76,'Input Sheet'!$E$3:$E$1001,R$4)=0,"",SUMIFS('Input Sheet'!$F$3:$F$1001,'Input Sheet'!$B$3:$B$1001,$H76,'Input Sheet'!$E$3:$E$1001,R$4))</f>
        <v/>
      </c>
      <c r="S76" s="21" t="str">
        <f>IF(SUMIFS('Input Sheet'!$F$3:$F$1001,'Input Sheet'!$B$3:$B$1001,$H76,'Input Sheet'!$E$3:$E$1001,S$4)=0,"",SUMIFS('Input Sheet'!$F$3:$F$1001,'Input Sheet'!$B$3:$B$1001,$H76,'Input Sheet'!$E$3:$E$1001,S$4))</f>
        <v/>
      </c>
      <c r="T76" s="22">
        <v>71</v>
      </c>
    </row>
    <row r="77" spans="1:20" ht="14.25" customHeight="1" x14ac:dyDescent="0.3">
      <c r="A77" s="4" t="str">
        <f>IF('Input Sheet'!B74=0,"",'Input Sheet'!B74)</f>
        <v/>
      </c>
      <c r="B77" s="24" t="b">
        <f t="shared" si="2"/>
        <v>0</v>
      </c>
      <c r="C77" s="4">
        <f>SUMIF('Input Sheet'!B$3:B$1000,A77,'Input Sheet'!C$3:C$1000)</f>
        <v>0</v>
      </c>
      <c r="D77" s="4">
        <f>SUMIF('Input Sheet'!B$3:B$1000,A77,'Input Sheet'!D$3:D$1000)</f>
        <v>0</v>
      </c>
      <c r="E77" s="4" t="str">
        <f t="shared" ref="E77:F77" ca="1" si="80">IFERROR(RANK(K77,K$6:K$1004,1),"")</f>
        <v/>
      </c>
      <c r="F77" s="4" t="str">
        <f t="shared" ca="1" si="80"/>
        <v/>
      </c>
      <c r="G77" s="4" t="str">
        <f t="shared" ca="1" si="4"/>
        <v/>
      </c>
      <c r="H77" s="4" t="str">
        <f t="shared" si="5"/>
        <v/>
      </c>
      <c r="I77" s="4" t="str">
        <f t="shared" si="6"/>
        <v/>
      </c>
      <c r="J77" s="4" t="str">
        <f t="shared" si="7"/>
        <v/>
      </c>
      <c r="K77" s="25" t="str">
        <f t="shared" ca="1" si="8"/>
        <v/>
      </c>
      <c r="L77" s="21" t="str">
        <f t="shared" ca="1" si="9"/>
        <v/>
      </c>
      <c r="M77" s="21" t="str">
        <f>IF(SUMIFS('Input Sheet'!$F$3:$F$1001,'Input Sheet'!$B$3:$B$1001,$H77,'Input Sheet'!$E$3:$E$1001,M$4)=0,"",SUMIFS('Input Sheet'!$F$3:$F$1001,'Input Sheet'!$B$3:$B$1001,$H77,'Input Sheet'!$E$3:$E$1001,M$4))</f>
        <v/>
      </c>
      <c r="N77" s="21" t="str">
        <f>IF(SUMIFS('Input Sheet'!$F$3:$F$1001,'Input Sheet'!$B$3:$B$1001,$H77,'Input Sheet'!$E$3:$E$1001,N$4)=0,"",SUMIFS('Input Sheet'!$F$3:$F$1001,'Input Sheet'!$B$3:$B$1001,$H77,'Input Sheet'!$E$3:$E$1001,N$4))</f>
        <v/>
      </c>
      <c r="O77" s="21" t="str">
        <f>IF(SUMIFS('Input Sheet'!$F$3:$F$1001,'Input Sheet'!$B$3:$B$1001,$H77,'Input Sheet'!$E$3:$E$1001,O$4)=0,"",SUMIFS('Input Sheet'!$F$3:$F$1001,'Input Sheet'!$B$3:$B$1001,$H77,'Input Sheet'!$E$3:$E$1001,O$4))</f>
        <v/>
      </c>
      <c r="P77" s="21" t="str">
        <f>IF(SUMIFS('Input Sheet'!$F$3:$F$1001,'Input Sheet'!$B$3:$B$1001,$H77,'Input Sheet'!$E$3:$E$1001,P$4)=0,"",SUMIFS('Input Sheet'!$F$3:$F$1001,'Input Sheet'!$B$3:$B$1001,$H77,'Input Sheet'!$E$3:$E$1001,P$4))</f>
        <v/>
      </c>
      <c r="Q77" s="21" t="str">
        <f>IF(SUMIFS('Input Sheet'!$F$3:$F$1001,'Input Sheet'!$B$3:$B$1001,$H77,'Input Sheet'!$E$3:$E$1001,Q$4)=0,"",SUMIFS('Input Sheet'!$F$3:$F$1001,'Input Sheet'!$B$3:$B$1001,$H77,'Input Sheet'!$E$3:$E$1001,Q$4))</f>
        <v/>
      </c>
      <c r="R77" s="21" t="str">
        <f>IF(SUMIFS('Input Sheet'!$F$3:$F$1001,'Input Sheet'!$B$3:$B$1001,$H77,'Input Sheet'!$E$3:$E$1001,R$4)=0,"",SUMIFS('Input Sheet'!$F$3:$F$1001,'Input Sheet'!$B$3:$B$1001,$H77,'Input Sheet'!$E$3:$E$1001,R$4))</f>
        <v/>
      </c>
      <c r="S77" s="21" t="str">
        <f>IF(SUMIFS('Input Sheet'!$F$3:$F$1001,'Input Sheet'!$B$3:$B$1001,$H77,'Input Sheet'!$E$3:$E$1001,S$4)=0,"",SUMIFS('Input Sheet'!$F$3:$F$1001,'Input Sheet'!$B$3:$B$1001,$H77,'Input Sheet'!$E$3:$E$1001,S$4))</f>
        <v/>
      </c>
      <c r="T77" s="22">
        <v>72</v>
      </c>
    </row>
    <row r="78" spans="1:20" ht="14.25" customHeight="1" x14ac:dyDescent="0.3">
      <c r="A78" s="4" t="str">
        <f>IF('Input Sheet'!B75=0,"",'Input Sheet'!B75)</f>
        <v/>
      </c>
      <c r="B78" s="24" t="b">
        <f t="shared" si="2"/>
        <v>0</v>
      </c>
      <c r="C78" s="4">
        <f>SUMIF('Input Sheet'!B$3:B$1000,A78,'Input Sheet'!C$3:C$1000)</f>
        <v>0</v>
      </c>
      <c r="D78" s="4">
        <f>SUMIF('Input Sheet'!B$3:B$1000,A78,'Input Sheet'!D$3:D$1000)</f>
        <v>0</v>
      </c>
      <c r="E78" s="4" t="str">
        <f t="shared" ref="E78:F78" ca="1" si="81">IFERROR(RANK(K78,K$6:K$1004,1),"")</f>
        <v/>
      </c>
      <c r="F78" s="4" t="str">
        <f t="shared" ca="1" si="81"/>
        <v/>
      </c>
      <c r="G78" s="4" t="str">
        <f t="shared" ca="1" si="4"/>
        <v/>
      </c>
      <c r="H78" s="4" t="str">
        <f t="shared" si="5"/>
        <v/>
      </c>
      <c r="I78" s="4" t="str">
        <f t="shared" si="6"/>
        <v/>
      </c>
      <c r="J78" s="4" t="str">
        <f t="shared" si="7"/>
        <v/>
      </c>
      <c r="K78" s="25" t="str">
        <f t="shared" ca="1" si="8"/>
        <v/>
      </c>
      <c r="L78" s="21" t="str">
        <f t="shared" ca="1" si="9"/>
        <v/>
      </c>
      <c r="M78" s="21" t="str">
        <f>IF(SUMIFS('Input Sheet'!$F$3:$F$1001,'Input Sheet'!$B$3:$B$1001,$H78,'Input Sheet'!$E$3:$E$1001,M$4)=0,"",SUMIFS('Input Sheet'!$F$3:$F$1001,'Input Sheet'!$B$3:$B$1001,$H78,'Input Sheet'!$E$3:$E$1001,M$4))</f>
        <v/>
      </c>
      <c r="N78" s="21" t="str">
        <f>IF(SUMIFS('Input Sheet'!$F$3:$F$1001,'Input Sheet'!$B$3:$B$1001,$H78,'Input Sheet'!$E$3:$E$1001,N$4)=0,"",SUMIFS('Input Sheet'!$F$3:$F$1001,'Input Sheet'!$B$3:$B$1001,$H78,'Input Sheet'!$E$3:$E$1001,N$4))</f>
        <v/>
      </c>
      <c r="O78" s="21" t="str">
        <f>IF(SUMIFS('Input Sheet'!$F$3:$F$1001,'Input Sheet'!$B$3:$B$1001,$H78,'Input Sheet'!$E$3:$E$1001,O$4)=0,"",SUMIFS('Input Sheet'!$F$3:$F$1001,'Input Sheet'!$B$3:$B$1001,$H78,'Input Sheet'!$E$3:$E$1001,O$4))</f>
        <v/>
      </c>
      <c r="P78" s="21" t="str">
        <f>IF(SUMIFS('Input Sheet'!$F$3:$F$1001,'Input Sheet'!$B$3:$B$1001,$H78,'Input Sheet'!$E$3:$E$1001,P$4)=0,"",SUMIFS('Input Sheet'!$F$3:$F$1001,'Input Sheet'!$B$3:$B$1001,$H78,'Input Sheet'!$E$3:$E$1001,P$4))</f>
        <v/>
      </c>
      <c r="Q78" s="21" t="str">
        <f>IF(SUMIFS('Input Sheet'!$F$3:$F$1001,'Input Sheet'!$B$3:$B$1001,$H78,'Input Sheet'!$E$3:$E$1001,Q$4)=0,"",SUMIFS('Input Sheet'!$F$3:$F$1001,'Input Sheet'!$B$3:$B$1001,$H78,'Input Sheet'!$E$3:$E$1001,Q$4))</f>
        <v/>
      </c>
      <c r="R78" s="21" t="str">
        <f>IF(SUMIFS('Input Sheet'!$F$3:$F$1001,'Input Sheet'!$B$3:$B$1001,$H78,'Input Sheet'!$E$3:$E$1001,R$4)=0,"",SUMIFS('Input Sheet'!$F$3:$F$1001,'Input Sheet'!$B$3:$B$1001,$H78,'Input Sheet'!$E$3:$E$1001,R$4))</f>
        <v/>
      </c>
      <c r="S78" s="21" t="str">
        <f>IF(SUMIFS('Input Sheet'!$F$3:$F$1001,'Input Sheet'!$B$3:$B$1001,$H78,'Input Sheet'!$E$3:$E$1001,S$4)=0,"",SUMIFS('Input Sheet'!$F$3:$F$1001,'Input Sheet'!$B$3:$B$1001,$H78,'Input Sheet'!$E$3:$E$1001,S$4))</f>
        <v/>
      </c>
      <c r="T78" s="22">
        <v>73</v>
      </c>
    </row>
    <row r="79" spans="1:20" ht="14.25" customHeight="1" x14ac:dyDescent="0.3">
      <c r="A79" s="4" t="str">
        <f>IF('Input Sheet'!B76=0,"",'Input Sheet'!B76)</f>
        <v/>
      </c>
      <c r="B79" s="24" t="b">
        <f t="shared" si="2"/>
        <v>0</v>
      </c>
      <c r="C79" s="4">
        <f>SUMIF('Input Sheet'!B$3:B$1000,A79,'Input Sheet'!C$3:C$1000)</f>
        <v>0</v>
      </c>
      <c r="D79" s="4">
        <f>SUMIF('Input Sheet'!B$3:B$1000,A79,'Input Sheet'!D$3:D$1000)</f>
        <v>0</v>
      </c>
      <c r="E79" s="4" t="str">
        <f t="shared" ref="E79:F79" ca="1" si="82">IFERROR(RANK(K79,K$6:K$1004,1),"")</f>
        <v/>
      </c>
      <c r="F79" s="4" t="str">
        <f t="shared" ca="1" si="82"/>
        <v/>
      </c>
      <c r="G79" s="4" t="str">
        <f t="shared" ca="1" si="4"/>
        <v/>
      </c>
      <c r="H79" s="4" t="str">
        <f t="shared" si="5"/>
        <v/>
      </c>
      <c r="I79" s="4" t="str">
        <f t="shared" si="6"/>
        <v/>
      </c>
      <c r="J79" s="4" t="str">
        <f t="shared" si="7"/>
        <v/>
      </c>
      <c r="K79" s="25" t="str">
        <f t="shared" ca="1" si="8"/>
        <v/>
      </c>
      <c r="L79" s="21" t="str">
        <f t="shared" ca="1" si="9"/>
        <v/>
      </c>
      <c r="M79" s="21" t="str">
        <f>IF(SUMIFS('Input Sheet'!$F$3:$F$1001,'Input Sheet'!$B$3:$B$1001,$H79,'Input Sheet'!$E$3:$E$1001,M$4)=0,"",SUMIFS('Input Sheet'!$F$3:$F$1001,'Input Sheet'!$B$3:$B$1001,$H79,'Input Sheet'!$E$3:$E$1001,M$4))</f>
        <v/>
      </c>
      <c r="N79" s="21" t="str">
        <f>IF(SUMIFS('Input Sheet'!$F$3:$F$1001,'Input Sheet'!$B$3:$B$1001,$H79,'Input Sheet'!$E$3:$E$1001,N$4)=0,"",SUMIFS('Input Sheet'!$F$3:$F$1001,'Input Sheet'!$B$3:$B$1001,$H79,'Input Sheet'!$E$3:$E$1001,N$4))</f>
        <v/>
      </c>
      <c r="O79" s="21" t="str">
        <f>IF(SUMIFS('Input Sheet'!$F$3:$F$1001,'Input Sheet'!$B$3:$B$1001,$H79,'Input Sheet'!$E$3:$E$1001,O$4)=0,"",SUMIFS('Input Sheet'!$F$3:$F$1001,'Input Sheet'!$B$3:$B$1001,$H79,'Input Sheet'!$E$3:$E$1001,O$4))</f>
        <v/>
      </c>
      <c r="P79" s="21" t="str">
        <f>IF(SUMIFS('Input Sheet'!$F$3:$F$1001,'Input Sheet'!$B$3:$B$1001,$H79,'Input Sheet'!$E$3:$E$1001,P$4)=0,"",SUMIFS('Input Sheet'!$F$3:$F$1001,'Input Sheet'!$B$3:$B$1001,$H79,'Input Sheet'!$E$3:$E$1001,P$4))</f>
        <v/>
      </c>
      <c r="Q79" s="21" t="str">
        <f>IF(SUMIFS('Input Sheet'!$F$3:$F$1001,'Input Sheet'!$B$3:$B$1001,$H79,'Input Sheet'!$E$3:$E$1001,Q$4)=0,"",SUMIFS('Input Sheet'!$F$3:$F$1001,'Input Sheet'!$B$3:$B$1001,$H79,'Input Sheet'!$E$3:$E$1001,Q$4))</f>
        <v/>
      </c>
      <c r="R79" s="21" t="str">
        <f>IF(SUMIFS('Input Sheet'!$F$3:$F$1001,'Input Sheet'!$B$3:$B$1001,$H79,'Input Sheet'!$E$3:$E$1001,R$4)=0,"",SUMIFS('Input Sheet'!$F$3:$F$1001,'Input Sheet'!$B$3:$B$1001,$H79,'Input Sheet'!$E$3:$E$1001,R$4))</f>
        <v/>
      </c>
      <c r="S79" s="21" t="str">
        <f>IF(SUMIFS('Input Sheet'!$F$3:$F$1001,'Input Sheet'!$B$3:$B$1001,$H79,'Input Sheet'!$E$3:$E$1001,S$4)=0,"",SUMIFS('Input Sheet'!$F$3:$F$1001,'Input Sheet'!$B$3:$B$1001,$H79,'Input Sheet'!$E$3:$E$1001,S$4))</f>
        <v/>
      </c>
      <c r="T79" s="22">
        <v>74</v>
      </c>
    </row>
    <row r="80" spans="1:20" ht="14.25" customHeight="1" x14ac:dyDescent="0.3">
      <c r="A80" s="4" t="str">
        <f>IF('Input Sheet'!B77=0,"",'Input Sheet'!B77)</f>
        <v/>
      </c>
      <c r="B80" s="24" t="b">
        <f t="shared" si="2"/>
        <v>0</v>
      </c>
      <c r="C80" s="4">
        <f>SUMIF('Input Sheet'!B$3:B$1000,A80,'Input Sheet'!C$3:C$1000)</f>
        <v>0</v>
      </c>
      <c r="D80" s="4">
        <f>SUMIF('Input Sheet'!B$3:B$1000,A80,'Input Sheet'!D$3:D$1000)</f>
        <v>0</v>
      </c>
      <c r="E80" s="4" t="str">
        <f t="shared" ref="E80:F80" ca="1" si="83">IFERROR(RANK(K80,K$6:K$1004,1),"")</f>
        <v/>
      </c>
      <c r="F80" s="4" t="str">
        <f t="shared" ca="1" si="83"/>
        <v/>
      </c>
      <c r="G80" s="4" t="str">
        <f t="shared" ca="1" si="4"/>
        <v/>
      </c>
      <c r="H80" s="4" t="str">
        <f t="shared" si="5"/>
        <v/>
      </c>
      <c r="I80" s="4" t="str">
        <f t="shared" si="6"/>
        <v/>
      </c>
      <c r="J80" s="4" t="str">
        <f t="shared" si="7"/>
        <v/>
      </c>
      <c r="K80" s="25" t="str">
        <f t="shared" ca="1" si="8"/>
        <v/>
      </c>
      <c r="L80" s="21" t="str">
        <f t="shared" ca="1" si="9"/>
        <v/>
      </c>
      <c r="M80" s="21" t="str">
        <f>IF(SUMIFS('Input Sheet'!$F$3:$F$1001,'Input Sheet'!$B$3:$B$1001,$H80,'Input Sheet'!$E$3:$E$1001,M$4)=0,"",SUMIFS('Input Sheet'!$F$3:$F$1001,'Input Sheet'!$B$3:$B$1001,$H80,'Input Sheet'!$E$3:$E$1001,M$4))</f>
        <v/>
      </c>
      <c r="N80" s="21" t="str">
        <f>IF(SUMIFS('Input Sheet'!$F$3:$F$1001,'Input Sheet'!$B$3:$B$1001,$H80,'Input Sheet'!$E$3:$E$1001,N$4)=0,"",SUMIFS('Input Sheet'!$F$3:$F$1001,'Input Sheet'!$B$3:$B$1001,$H80,'Input Sheet'!$E$3:$E$1001,N$4))</f>
        <v/>
      </c>
      <c r="O80" s="21" t="str">
        <f>IF(SUMIFS('Input Sheet'!$F$3:$F$1001,'Input Sheet'!$B$3:$B$1001,$H80,'Input Sheet'!$E$3:$E$1001,O$4)=0,"",SUMIFS('Input Sheet'!$F$3:$F$1001,'Input Sheet'!$B$3:$B$1001,$H80,'Input Sheet'!$E$3:$E$1001,O$4))</f>
        <v/>
      </c>
      <c r="P80" s="21" t="str">
        <f>IF(SUMIFS('Input Sheet'!$F$3:$F$1001,'Input Sheet'!$B$3:$B$1001,$H80,'Input Sheet'!$E$3:$E$1001,P$4)=0,"",SUMIFS('Input Sheet'!$F$3:$F$1001,'Input Sheet'!$B$3:$B$1001,$H80,'Input Sheet'!$E$3:$E$1001,P$4))</f>
        <v/>
      </c>
      <c r="Q80" s="21" t="str">
        <f>IF(SUMIFS('Input Sheet'!$F$3:$F$1001,'Input Sheet'!$B$3:$B$1001,$H80,'Input Sheet'!$E$3:$E$1001,Q$4)=0,"",SUMIFS('Input Sheet'!$F$3:$F$1001,'Input Sheet'!$B$3:$B$1001,$H80,'Input Sheet'!$E$3:$E$1001,Q$4))</f>
        <v/>
      </c>
      <c r="R80" s="21" t="str">
        <f>IF(SUMIFS('Input Sheet'!$F$3:$F$1001,'Input Sheet'!$B$3:$B$1001,$H80,'Input Sheet'!$E$3:$E$1001,R$4)=0,"",SUMIFS('Input Sheet'!$F$3:$F$1001,'Input Sheet'!$B$3:$B$1001,$H80,'Input Sheet'!$E$3:$E$1001,R$4))</f>
        <v/>
      </c>
      <c r="S80" s="21" t="str">
        <f>IF(SUMIFS('Input Sheet'!$F$3:$F$1001,'Input Sheet'!$B$3:$B$1001,$H80,'Input Sheet'!$E$3:$E$1001,S$4)=0,"",SUMIFS('Input Sheet'!$F$3:$F$1001,'Input Sheet'!$B$3:$B$1001,$H80,'Input Sheet'!$E$3:$E$1001,S$4))</f>
        <v/>
      </c>
      <c r="T80" s="22">
        <v>75</v>
      </c>
    </row>
    <row r="81" spans="1:20" ht="14.25" customHeight="1" x14ac:dyDescent="0.3">
      <c r="A81" s="4" t="str">
        <f>IF('Input Sheet'!B78=0,"",'Input Sheet'!B78)</f>
        <v/>
      </c>
      <c r="B81" s="24" t="b">
        <f t="shared" si="2"/>
        <v>0</v>
      </c>
      <c r="C81" s="4">
        <f>SUMIF('Input Sheet'!B$3:B$1000,A81,'Input Sheet'!C$3:C$1000)</f>
        <v>0</v>
      </c>
      <c r="D81" s="4">
        <f>SUMIF('Input Sheet'!B$3:B$1000,A81,'Input Sheet'!D$3:D$1000)</f>
        <v>0</v>
      </c>
      <c r="E81" s="4" t="str">
        <f t="shared" ref="E81:F81" ca="1" si="84">IFERROR(RANK(K81,K$6:K$1004,1),"")</f>
        <v/>
      </c>
      <c r="F81" s="4" t="str">
        <f t="shared" ca="1" si="84"/>
        <v/>
      </c>
      <c r="G81" s="4" t="str">
        <f t="shared" ca="1" si="4"/>
        <v/>
      </c>
      <c r="H81" s="4" t="str">
        <f t="shared" si="5"/>
        <v/>
      </c>
      <c r="I81" s="4" t="str">
        <f t="shared" si="6"/>
        <v/>
      </c>
      <c r="J81" s="4" t="str">
        <f t="shared" si="7"/>
        <v/>
      </c>
      <c r="K81" s="25" t="str">
        <f t="shared" ca="1" si="8"/>
        <v/>
      </c>
      <c r="L81" s="21" t="str">
        <f t="shared" ca="1" si="9"/>
        <v/>
      </c>
      <c r="M81" s="21" t="str">
        <f>IF(SUMIFS('Input Sheet'!$F$3:$F$1001,'Input Sheet'!$B$3:$B$1001,$H81,'Input Sheet'!$E$3:$E$1001,M$4)=0,"",SUMIFS('Input Sheet'!$F$3:$F$1001,'Input Sheet'!$B$3:$B$1001,$H81,'Input Sheet'!$E$3:$E$1001,M$4))</f>
        <v/>
      </c>
      <c r="N81" s="21" t="str">
        <f>IF(SUMIFS('Input Sheet'!$F$3:$F$1001,'Input Sheet'!$B$3:$B$1001,$H81,'Input Sheet'!$E$3:$E$1001,N$4)=0,"",SUMIFS('Input Sheet'!$F$3:$F$1001,'Input Sheet'!$B$3:$B$1001,$H81,'Input Sheet'!$E$3:$E$1001,N$4))</f>
        <v/>
      </c>
      <c r="O81" s="21" t="str">
        <f>IF(SUMIFS('Input Sheet'!$F$3:$F$1001,'Input Sheet'!$B$3:$B$1001,$H81,'Input Sheet'!$E$3:$E$1001,O$4)=0,"",SUMIFS('Input Sheet'!$F$3:$F$1001,'Input Sheet'!$B$3:$B$1001,$H81,'Input Sheet'!$E$3:$E$1001,O$4))</f>
        <v/>
      </c>
      <c r="P81" s="21" t="str">
        <f>IF(SUMIFS('Input Sheet'!$F$3:$F$1001,'Input Sheet'!$B$3:$B$1001,$H81,'Input Sheet'!$E$3:$E$1001,P$4)=0,"",SUMIFS('Input Sheet'!$F$3:$F$1001,'Input Sheet'!$B$3:$B$1001,$H81,'Input Sheet'!$E$3:$E$1001,P$4))</f>
        <v/>
      </c>
      <c r="Q81" s="21" t="str">
        <f>IF(SUMIFS('Input Sheet'!$F$3:$F$1001,'Input Sheet'!$B$3:$B$1001,$H81,'Input Sheet'!$E$3:$E$1001,Q$4)=0,"",SUMIFS('Input Sheet'!$F$3:$F$1001,'Input Sheet'!$B$3:$B$1001,$H81,'Input Sheet'!$E$3:$E$1001,Q$4))</f>
        <v/>
      </c>
      <c r="R81" s="21" t="str">
        <f>IF(SUMIFS('Input Sheet'!$F$3:$F$1001,'Input Sheet'!$B$3:$B$1001,$H81,'Input Sheet'!$E$3:$E$1001,R$4)=0,"",SUMIFS('Input Sheet'!$F$3:$F$1001,'Input Sheet'!$B$3:$B$1001,$H81,'Input Sheet'!$E$3:$E$1001,R$4))</f>
        <v/>
      </c>
      <c r="S81" s="21" t="str">
        <f>IF(SUMIFS('Input Sheet'!$F$3:$F$1001,'Input Sheet'!$B$3:$B$1001,$H81,'Input Sheet'!$E$3:$E$1001,S$4)=0,"",SUMIFS('Input Sheet'!$F$3:$F$1001,'Input Sheet'!$B$3:$B$1001,$H81,'Input Sheet'!$E$3:$E$1001,S$4))</f>
        <v/>
      </c>
      <c r="T81" s="22">
        <v>76</v>
      </c>
    </row>
    <row r="82" spans="1:20" ht="14.25" customHeight="1" x14ac:dyDescent="0.3">
      <c r="A82" s="4" t="str">
        <f>IF('Input Sheet'!B79=0,"",'Input Sheet'!B79)</f>
        <v/>
      </c>
      <c r="B82" s="24" t="b">
        <f t="shared" si="2"/>
        <v>0</v>
      </c>
      <c r="C82" s="4">
        <f>SUMIF('Input Sheet'!B$3:B$1000,A82,'Input Sheet'!C$3:C$1000)</f>
        <v>0</v>
      </c>
      <c r="D82" s="4">
        <f>SUMIF('Input Sheet'!B$3:B$1000,A82,'Input Sheet'!D$3:D$1000)</f>
        <v>0</v>
      </c>
      <c r="E82" s="4" t="str">
        <f t="shared" ref="E82:F82" ca="1" si="85">IFERROR(RANK(K82,K$6:K$1004,1),"")</f>
        <v/>
      </c>
      <c r="F82" s="4" t="str">
        <f t="shared" ca="1" si="85"/>
        <v/>
      </c>
      <c r="G82" s="4" t="str">
        <f t="shared" ca="1" si="4"/>
        <v/>
      </c>
      <c r="H82" s="4" t="str">
        <f t="shared" si="5"/>
        <v/>
      </c>
      <c r="I82" s="4" t="str">
        <f t="shared" si="6"/>
        <v/>
      </c>
      <c r="J82" s="4" t="str">
        <f t="shared" si="7"/>
        <v/>
      </c>
      <c r="K82" s="25" t="str">
        <f t="shared" ca="1" si="8"/>
        <v/>
      </c>
      <c r="L82" s="21" t="str">
        <f t="shared" ca="1" si="9"/>
        <v/>
      </c>
      <c r="M82" s="21" t="str">
        <f>IF(SUMIFS('Input Sheet'!$F$3:$F$1001,'Input Sheet'!$B$3:$B$1001,$H82,'Input Sheet'!$E$3:$E$1001,M$4)=0,"",SUMIFS('Input Sheet'!$F$3:$F$1001,'Input Sheet'!$B$3:$B$1001,$H82,'Input Sheet'!$E$3:$E$1001,M$4))</f>
        <v/>
      </c>
      <c r="N82" s="21" t="str">
        <f>IF(SUMIFS('Input Sheet'!$F$3:$F$1001,'Input Sheet'!$B$3:$B$1001,$H82,'Input Sheet'!$E$3:$E$1001,N$4)=0,"",SUMIFS('Input Sheet'!$F$3:$F$1001,'Input Sheet'!$B$3:$B$1001,$H82,'Input Sheet'!$E$3:$E$1001,N$4))</f>
        <v/>
      </c>
      <c r="O82" s="21" t="str">
        <f>IF(SUMIFS('Input Sheet'!$F$3:$F$1001,'Input Sheet'!$B$3:$B$1001,$H82,'Input Sheet'!$E$3:$E$1001,O$4)=0,"",SUMIFS('Input Sheet'!$F$3:$F$1001,'Input Sheet'!$B$3:$B$1001,$H82,'Input Sheet'!$E$3:$E$1001,O$4))</f>
        <v/>
      </c>
      <c r="P82" s="21" t="str">
        <f>IF(SUMIFS('Input Sheet'!$F$3:$F$1001,'Input Sheet'!$B$3:$B$1001,$H82,'Input Sheet'!$E$3:$E$1001,P$4)=0,"",SUMIFS('Input Sheet'!$F$3:$F$1001,'Input Sheet'!$B$3:$B$1001,$H82,'Input Sheet'!$E$3:$E$1001,P$4))</f>
        <v/>
      </c>
      <c r="Q82" s="21" t="str">
        <f>IF(SUMIFS('Input Sheet'!$F$3:$F$1001,'Input Sheet'!$B$3:$B$1001,$H82,'Input Sheet'!$E$3:$E$1001,Q$4)=0,"",SUMIFS('Input Sheet'!$F$3:$F$1001,'Input Sheet'!$B$3:$B$1001,$H82,'Input Sheet'!$E$3:$E$1001,Q$4))</f>
        <v/>
      </c>
      <c r="R82" s="21" t="str">
        <f>IF(SUMIFS('Input Sheet'!$F$3:$F$1001,'Input Sheet'!$B$3:$B$1001,$H82,'Input Sheet'!$E$3:$E$1001,R$4)=0,"",SUMIFS('Input Sheet'!$F$3:$F$1001,'Input Sheet'!$B$3:$B$1001,$H82,'Input Sheet'!$E$3:$E$1001,R$4))</f>
        <v/>
      </c>
      <c r="S82" s="21" t="str">
        <f>IF(SUMIFS('Input Sheet'!$F$3:$F$1001,'Input Sheet'!$B$3:$B$1001,$H82,'Input Sheet'!$E$3:$E$1001,S$4)=0,"",SUMIFS('Input Sheet'!$F$3:$F$1001,'Input Sheet'!$B$3:$B$1001,$H82,'Input Sheet'!$E$3:$E$1001,S$4))</f>
        <v/>
      </c>
      <c r="T82" s="22">
        <v>77</v>
      </c>
    </row>
    <row r="83" spans="1:20" ht="14.25" customHeight="1" x14ac:dyDescent="0.3">
      <c r="A83" s="4" t="str">
        <f>IF('Input Sheet'!B80=0,"",'Input Sheet'!B80)</f>
        <v/>
      </c>
      <c r="B83" s="24" t="b">
        <f t="shared" si="2"/>
        <v>0</v>
      </c>
      <c r="C83" s="4">
        <f>SUMIF('Input Sheet'!B$3:B$1000,A83,'Input Sheet'!C$3:C$1000)</f>
        <v>0</v>
      </c>
      <c r="D83" s="4">
        <f>SUMIF('Input Sheet'!B$3:B$1000,A83,'Input Sheet'!D$3:D$1000)</f>
        <v>0</v>
      </c>
      <c r="E83" s="4" t="str">
        <f t="shared" ref="E83:F83" ca="1" si="86">IFERROR(RANK(K83,K$6:K$1004,1),"")</f>
        <v/>
      </c>
      <c r="F83" s="4" t="str">
        <f t="shared" ca="1" si="86"/>
        <v/>
      </c>
      <c r="G83" s="4" t="str">
        <f t="shared" ca="1" si="4"/>
        <v/>
      </c>
      <c r="H83" s="4" t="str">
        <f t="shared" si="5"/>
        <v/>
      </c>
      <c r="I83" s="4" t="str">
        <f t="shared" si="6"/>
        <v/>
      </c>
      <c r="J83" s="4" t="str">
        <f t="shared" si="7"/>
        <v/>
      </c>
      <c r="K83" s="25" t="str">
        <f t="shared" ca="1" si="8"/>
        <v/>
      </c>
      <c r="L83" s="21" t="str">
        <f t="shared" ca="1" si="9"/>
        <v/>
      </c>
      <c r="M83" s="21" t="str">
        <f>IF(SUMIFS('Input Sheet'!$F$3:$F$1001,'Input Sheet'!$B$3:$B$1001,$H83,'Input Sheet'!$E$3:$E$1001,M$4)=0,"",SUMIFS('Input Sheet'!$F$3:$F$1001,'Input Sheet'!$B$3:$B$1001,$H83,'Input Sheet'!$E$3:$E$1001,M$4))</f>
        <v/>
      </c>
      <c r="N83" s="21" t="str">
        <f>IF(SUMIFS('Input Sheet'!$F$3:$F$1001,'Input Sheet'!$B$3:$B$1001,$H83,'Input Sheet'!$E$3:$E$1001,N$4)=0,"",SUMIFS('Input Sheet'!$F$3:$F$1001,'Input Sheet'!$B$3:$B$1001,$H83,'Input Sheet'!$E$3:$E$1001,N$4))</f>
        <v/>
      </c>
      <c r="O83" s="21" t="str">
        <f>IF(SUMIFS('Input Sheet'!$F$3:$F$1001,'Input Sheet'!$B$3:$B$1001,$H83,'Input Sheet'!$E$3:$E$1001,O$4)=0,"",SUMIFS('Input Sheet'!$F$3:$F$1001,'Input Sheet'!$B$3:$B$1001,$H83,'Input Sheet'!$E$3:$E$1001,O$4))</f>
        <v/>
      </c>
      <c r="P83" s="21" t="str">
        <f>IF(SUMIFS('Input Sheet'!$F$3:$F$1001,'Input Sheet'!$B$3:$B$1001,$H83,'Input Sheet'!$E$3:$E$1001,P$4)=0,"",SUMIFS('Input Sheet'!$F$3:$F$1001,'Input Sheet'!$B$3:$B$1001,$H83,'Input Sheet'!$E$3:$E$1001,P$4))</f>
        <v/>
      </c>
      <c r="Q83" s="21" t="str">
        <f>IF(SUMIFS('Input Sheet'!$F$3:$F$1001,'Input Sheet'!$B$3:$B$1001,$H83,'Input Sheet'!$E$3:$E$1001,Q$4)=0,"",SUMIFS('Input Sheet'!$F$3:$F$1001,'Input Sheet'!$B$3:$B$1001,$H83,'Input Sheet'!$E$3:$E$1001,Q$4))</f>
        <v/>
      </c>
      <c r="R83" s="21" t="str">
        <f>IF(SUMIFS('Input Sheet'!$F$3:$F$1001,'Input Sheet'!$B$3:$B$1001,$H83,'Input Sheet'!$E$3:$E$1001,R$4)=0,"",SUMIFS('Input Sheet'!$F$3:$F$1001,'Input Sheet'!$B$3:$B$1001,$H83,'Input Sheet'!$E$3:$E$1001,R$4))</f>
        <v/>
      </c>
      <c r="S83" s="21" t="str">
        <f>IF(SUMIFS('Input Sheet'!$F$3:$F$1001,'Input Sheet'!$B$3:$B$1001,$H83,'Input Sheet'!$E$3:$E$1001,S$4)=0,"",SUMIFS('Input Sheet'!$F$3:$F$1001,'Input Sheet'!$B$3:$B$1001,$H83,'Input Sheet'!$E$3:$E$1001,S$4))</f>
        <v/>
      </c>
      <c r="T83" s="22">
        <v>78</v>
      </c>
    </row>
    <row r="84" spans="1:20" ht="14.25" customHeight="1" x14ac:dyDescent="0.3">
      <c r="A84" s="4" t="str">
        <f>IF('Input Sheet'!B81=0,"",'Input Sheet'!B81)</f>
        <v/>
      </c>
      <c r="B84" s="24" t="b">
        <f t="shared" si="2"/>
        <v>0</v>
      </c>
      <c r="C84" s="4">
        <f>SUMIF('Input Sheet'!B$3:B$1000,A84,'Input Sheet'!C$3:C$1000)</f>
        <v>0</v>
      </c>
      <c r="D84" s="4">
        <f>SUMIF('Input Sheet'!B$3:B$1000,A84,'Input Sheet'!D$3:D$1000)</f>
        <v>0</v>
      </c>
      <c r="E84" s="4" t="str">
        <f t="shared" ref="E84:F84" ca="1" si="87">IFERROR(RANK(K84,K$6:K$1004,1),"")</f>
        <v/>
      </c>
      <c r="F84" s="4" t="str">
        <f t="shared" ca="1" si="87"/>
        <v/>
      </c>
      <c r="G84" s="4" t="str">
        <f t="shared" ca="1" si="4"/>
        <v/>
      </c>
      <c r="H84" s="4" t="str">
        <f t="shared" si="5"/>
        <v/>
      </c>
      <c r="I84" s="4" t="str">
        <f t="shared" si="6"/>
        <v/>
      </c>
      <c r="J84" s="4" t="str">
        <f t="shared" si="7"/>
        <v/>
      </c>
      <c r="K84" s="25" t="str">
        <f t="shared" ca="1" si="8"/>
        <v/>
      </c>
      <c r="L84" s="21" t="str">
        <f t="shared" ca="1" si="9"/>
        <v/>
      </c>
      <c r="M84" s="21" t="str">
        <f>IF(SUMIFS('Input Sheet'!$F$3:$F$1001,'Input Sheet'!$B$3:$B$1001,$H84,'Input Sheet'!$E$3:$E$1001,M$4)=0,"",SUMIFS('Input Sheet'!$F$3:$F$1001,'Input Sheet'!$B$3:$B$1001,$H84,'Input Sheet'!$E$3:$E$1001,M$4))</f>
        <v/>
      </c>
      <c r="N84" s="21" t="str">
        <f>IF(SUMIFS('Input Sheet'!$F$3:$F$1001,'Input Sheet'!$B$3:$B$1001,$H84,'Input Sheet'!$E$3:$E$1001,N$4)=0,"",SUMIFS('Input Sheet'!$F$3:$F$1001,'Input Sheet'!$B$3:$B$1001,$H84,'Input Sheet'!$E$3:$E$1001,N$4))</f>
        <v/>
      </c>
      <c r="O84" s="21" t="str">
        <f>IF(SUMIFS('Input Sheet'!$F$3:$F$1001,'Input Sheet'!$B$3:$B$1001,$H84,'Input Sheet'!$E$3:$E$1001,O$4)=0,"",SUMIFS('Input Sheet'!$F$3:$F$1001,'Input Sheet'!$B$3:$B$1001,$H84,'Input Sheet'!$E$3:$E$1001,O$4))</f>
        <v/>
      </c>
      <c r="P84" s="21" t="str">
        <f>IF(SUMIFS('Input Sheet'!$F$3:$F$1001,'Input Sheet'!$B$3:$B$1001,$H84,'Input Sheet'!$E$3:$E$1001,P$4)=0,"",SUMIFS('Input Sheet'!$F$3:$F$1001,'Input Sheet'!$B$3:$B$1001,$H84,'Input Sheet'!$E$3:$E$1001,P$4))</f>
        <v/>
      </c>
      <c r="Q84" s="21" t="str">
        <f>IF(SUMIFS('Input Sheet'!$F$3:$F$1001,'Input Sheet'!$B$3:$B$1001,$H84,'Input Sheet'!$E$3:$E$1001,Q$4)=0,"",SUMIFS('Input Sheet'!$F$3:$F$1001,'Input Sheet'!$B$3:$B$1001,$H84,'Input Sheet'!$E$3:$E$1001,Q$4))</f>
        <v/>
      </c>
      <c r="R84" s="21" t="str">
        <f>IF(SUMIFS('Input Sheet'!$F$3:$F$1001,'Input Sheet'!$B$3:$B$1001,$H84,'Input Sheet'!$E$3:$E$1001,R$4)=0,"",SUMIFS('Input Sheet'!$F$3:$F$1001,'Input Sheet'!$B$3:$B$1001,$H84,'Input Sheet'!$E$3:$E$1001,R$4))</f>
        <v/>
      </c>
      <c r="S84" s="21" t="str">
        <f>IF(SUMIFS('Input Sheet'!$F$3:$F$1001,'Input Sheet'!$B$3:$B$1001,$H84,'Input Sheet'!$E$3:$E$1001,S$4)=0,"",SUMIFS('Input Sheet'!$F$3:$F$1001,'Input Sheet'!$B$3:$B$1001,$H84,'Input Sheet'!$E$3:$E$1001,S$4))</f>
        <v/>
      </c>
      <c r="T84" s="22">
        <v>79</v>
      </c>
    </row>
    <row r="85" spans="1:20" ht="14.25" customHeight="1" x14ac:dyDescent="0.3">
      <c r="A85" s="4" t="str">
        <f>IF('Input Sheet'!B82=0,"",'Input Sheet'!B82)</f>
        <v/>
      </c>
      <c r="B85" s="24" t="b">
        <f t="shared" si="2"/>
        <v>0</v>
      </c>
      <c r="C85" s="4">
        <f>SUMIF('Input Sheet'!B$3:B$1000,A85,'Input Sheet'!C$3:C$1000)</f>
        <v>0</v>
      </c>
      <c r="D85" s="4">
        <f>SUMIF('Input Sheet'!B$3:B$1000,A85,'Input Sheet'!D$3:D$1000)</f>
        <v>0</v>
      </c>
      <c r="E85" s="4" t="str">
        <f t="shared" ref="E85:F85" ca="1" si="88">IFERROR(RANK(K85,K$6:K$1004,1),"")</f>
        <v/>
      </c>
      <c r="F85" s="4" t="str">
        <f t="shared" ca="1" si="88"/>
        <v/>
      </c>
      <c r="G85" s="4" t="str">
        <f t="shared" ca="1" si="4"/>
        <v/>
      </c>
      <c r="H85" s="4" t="str">
        <f t="shared" si="5"/>
        <v/>
      </c>
      <c r="I85" s="4" t="str">
        <f t="shared" si="6"/>
        <v/>
      </c>
      <c r="J85" s="4" t="str">
        <f t="shared" si="7"/>
        <v/>
      </c>
      <c r="K85" s="25" t="str">
        <f t="shared" ca="1" si="8"/>
        <v/>
      </c>
      <c r="L85" s="21" t="str">
        <f t="shared" ca="1" si="9"/>
        <v/>
      </c>
      <c r="M85" s="21" t="str">
        <f>IF(SUMIFS('Input Sheet'!$F$3:$F$1001,'Input Sheet'!$B$3:$B$1001,$H85,'Input Sheet'!$E$3:$E$1001,M$4)=0,"",SUMIFS('Input Sheet'!$F$3:$F$1001,'Input Sheet'!$B$3:$B$1001,$H85,'Input Sheet'!$E$3:$E$1001,M$4))</f>
        <v/>
      </c>
      <c r="N85" s="21" t="str">
        <f>IF(SUMIFS('Input Sheet'!$F$3:$F$1001,'Input Sheet'!$B$3:$B$1001,$H85,'Input Sheet'!$E$3:$E$1001,N$4)=0,"",SUMIFS('Input Sheet'!$F$3:$F$1001,'Input Sheet'!$B$3:$B$1001,$H85,'Input Sheet'!$E$3:$E$1001,N$4))</f>
        <v/>
      </c>
      <c r="O85" s="21" t="str">
        <f>IF(SUMIFS('Input Sheet'!$F$3:$F$1001,'Input Sheet'!$B$3:$B$1001,$H85,'Input Sheet'!$E$3:$E$1001,O$4)=0,"",SUMIFS('Input Sheet'!$F$3:$F$1001,'Input Sheet'!$B$3:$B$1001,$H85,'Input Sheet'!$E$3:$E$1001,O$4))</f>
        <v/>
      </c>
      <c r="P85" s="21" t="str">
        <f>IF(SUMIFS('Input Sheet'!$F$3:$F$1001,'Input Sheet'!$B$3:$B$1001,$H85,'Input Sheet'!$E$3:$E$1001,P$4)=0,"",SUMIFS('Input Sheet'!$F$3:$F$1001,'Input Sheet'!$B$3:$B$1001,$H85,'Input Sheet'!$E$3:$E$1001,P$4))</f>
        <v/>
      </c>
      <c r="Q85" s="21" t="str">
        <f>IF(SUMIFS('Input Sheet'!$F$3:$F$1001,'Input Sheet'!$B$3:$B$1001,$H85,'Input Sheet'!$E$3:$E$1001,Q$4)=0,"",SUMIFS('Input Sheet'!$F$3:$F$1001,'Input Sheet'!$B$3:$B$1001,$H85,'Input Sheet'!$E$3:$E$1001,Q$4))</f>
        <v/>
      </c>
      <c r="R85" s="21" t="str">
        <f>IF(SUMIFS('Input Sheet'!$F$3:$F$1001,'Input Sheet'!$B$3:$B$1001,$H85,'Input Sheet'!$E$3:$E$1001,R$4)=0,"",SUMIFS('Input Sheet'!$F$3:$F$1001,'Input Sheet'!$B$3:$B$1001,$H85,'Input Sheet'!$E$3:$E$1001,R$4))</f>
        <v/>
      </c>
      <c r="S85" s="21" t="str">
        <f>IF(SUMIFS('Input Sheet'!$F$3:$F$1001,'Input Sheet'!$B$3:$B$1001,$H85,'Input Sheet'!$E$3:$E$1001,S$4)=0,"",SUMIFS('Input Sheet'!$F$3:$F$1001,'Input Sheet'!$B$3:$B$1001,$H85,'Input Sheet'!$E$3:$E$1001,S$4))</f>
        <v/>
      </c>
      <c r="T85" s="22">
        <v>80</v>
      </c>
    </row>
    <row r="86" spans="1:20" ht="14.25" customHeight="1" x14ac:dyDescent="0.3">
      <c r="A86" s="4" t="str">
        <f>IF('Input Sheet'!B83=0,"",'Input Sheet'!B83)</f>
        <v/>
      </c>
      <c r="B86" s="24" t="b">
        <f t="shared" si="2"/>
        <v>0</v>
      </c>
      <c r="C86" s="4">
        <f>SUMIF('Input Sheet'!B$3:B$1000,A86,'Input Sheet'!C$3:C$1000)</f>
        <v>0</v>
      </c>
      <c r="D86" s="4">
        <f>SUMIF('Input Sheet'!B$3:B$1000,A86,'Input Sheet'!D$3:D$1000)</f>
        <v>0</v>
      </c>
      <c r="E86" s="4" t="str">
        <f t="shared" ref="E86:F86" ca="1" si="89">IFERROR(RANK(K86,K$6:K$1004,1),"")</f>
        <v/>
      </c>
      <c r="F86" s="4" t="str">
        <f t="shared" ca="1" si="89"/>
        <v/>
      </c>
      <c r="G86" s="4" t="str">
        <f t="shared" ca="1" si="4"/>
        <v/>
      </c>
      <c r="H86" s="4" t="str">
        <f t="shared" si="5"/>
        <v/>
      </c>
      <c r="I86" s="4" t="str">
        <f t="shared" si="6"/>
        <v/>
      </c>
      <c r="J86" s="4" t="str">
        <f t="shared" si="7"/>
        <v/>
      </c>
      <c r="K86" s="25" t="str">
        <f t="shared" ca="1" si="8"/>
        <v/>
      </c>
      <c r="L86" s="21" t="str">
        <f t="shared" ca="1" si="9"/>
        <v/>
      </c>
      <c r="M86" s="21" t="str">
        <f>IF(SUMIFS('Input Sheet'!$F$3:$F$1001,'Input Sheet'!$B$3:$B$1001,$H86,'Input Sheet'!$E$3:$E$1001,M$4)=0,"",SUMIFS('Input Sheet'!$F$3:$F$1001,'Input Sheet'!$B$3:$B$1001,$H86,'Input Sheet'!$E$3:$E$1001,M$4))</f>
        <v/>
      </c>
      <c r="N86" s="21" t="str">
        <f>IF(SUMIFS('Input Sheet'!$F$3:$F$1001,'Input Sheet'!$B$3:$B$1001,$H86,'Input Sheet'!$E$3:$E$1001,N$4)=0,"",SUMIFS('Input Sheet'!$F$3:$F$1001,'Input Sheet'!$B$3:$B$1001,$H86,'Input Sheet'!$E$3:$E$1001,N$4))</f>
        <v/>
      </c>
      <c r="O86" s="21" t="str">
        <f>IF(SUMIFS('Input Sheet'!$F$3:$F$1001,'Input Sheet'!$B$3:$B$1001,$H86,'Input Sheet'!$E$3:$E$1001,O$4)=0,"",SUMIFS('Input Sheet'!$F$3:$F$1001,'Input Sheet'!$B$3:$B$1001,$H86,'Input Sheet'!$E$3:$E$1001,O$4))</f>
        <v/>
      </c>
      <c r="P86" s="21" t="str">
        <f>IF(SUMIFS('Input Sheet'!$F$3:$F$1001,'Input Sheet'!$B$3:$B$1001,$H86,'Input Sheet'!$E$3:$E$1001,P$4)=0,"",SUMIFS('Input Sheet'!$F$3:$F$1001,'Input Sheet'!$B$3:$B$1001,$H86,'Input Sheet'!$E$3:$E$1001,P$4))</f>
        <v/>
      </c>
      <c r="Q86" s="21" t="str">
        <f>IF(SUMIFS('Input Sheet'!$F$3:$F$1001,'Input Sheet'!$B$3:$B$1001,$H86,'Input Sheet'!$E$3:$E$1001,Q$4)=0,"",SUMIFS('Input Sheet'!$F$3:$F$1001,'Input Sheet'!$B$3:$B$1001,$H86,'Input Sheet'!$E$3:$E$1001,Q$4))</f>
        <v/>
      </c>
      <c r="R86" s="21" t="str">
        <f>IF(SUMIFS('Input Sheet'!$F$3:$F$1001,'Input Sheet'!$B$3:$B$1001,$H86,'Input Sheet'!$E$3:$E$1001,R$4)=0,"",SUMIFS('Input Sheet'!$F$3:$F$1001,'Input Sheet'!$B$3:$B$1001,$H86,'Input Sheet'!$E$3:$E$1001,R$4))</f>
        <v/>
      </c>
      <c r="S86" s="21" t="str">
        <f>IF(SUMIFS('Input Sheet'!$F$3:$F$1001,'Input Sheet'!$B$3:$B$1001,$H86,'Input Sheet'!$E$3:$E$1001,S$4)=0,"",SUMIFS('Input Sheet'!$F$3:$F$1001,'Input Sheet'!$B$3:$B$1001,$H86,'Input Sheet'!$E$3:$E$1001,S$4))</f>
        <v/>
      </c>
      <c r="T86" s="22">
        <v>81</v>
      </c>
    </row>
    <row r="87" spans="1:20" ht="14.25" customHeight="1" x14ac:dyDescent="0.3">
      <c r="A87" s="4" t="str">
        <f>IF('Input Sheet'!B84=0,"",'Input Sheet'!B84)</f>
        <v/>
      </c>
      <c r="B87" s="24" t="b">
        <f t="shared" si="2"/>
        <v>0</v>
      </c>
      <c r="C87" s="4">
        <f>SUMIF('Input Sheet'!B$3:B$1000,A87,'Input Sheet'!C$3:C$1000)</f>
        <v>0</v>
      </c>
      <c r="D87" s="4">
        <f>SUMIF('Input Sheet'!B$3:B$1000,A87,'Input Sheet'!D$3:D$1000)</f>
        <v>0</v>
      </c>
      <c r="E87" s="4" t="str">
        <f t="shared" ref="E87:F87" ca="1" si="90">IFERROR(RANK(K87,K$6:K$1004,1),"")</f>
        <v/>
      </c>
      <c r="F87" s="4" t="str">
        <f t="shared" ca="1" si="90"/>
        <v/>
      </c>
      <c r="G87" s="4" t="str">
        <f t="shared" ca="1" si="4"/>
        <v/>
      </c>
      <c r="H87" s="4" t="str">
        <f t="shared" si="5"/>
        <v/>
      </c>
      <c r="I87" s="4" t="str">
        <f t="shared" si="6"/>
        <v/>
      </c>
      <c r="J87" s="4" t="str">
        <f t="shared" si="7"/>
        <v/>
      </c>
      <c r="K87" s="25" t="str">
        <f t="shared" ca="1" si="8"/>
        <v/>
      </c>
      <c r="L87" s="21" t="str">
        <f t="shared" ca="1" si="9"/>
        <v/>
      </c>
      <c r="M87" s="21" t="str">
        <f>IF(SUMIFS('Input Sheet'!$F$3:$F$1001,'Input Sheet'!$B$3:$B$1001,$H87,'Input Sheet'!$E$3:$E$1001,M$4)=0,"",SUMIFS('Input Sheet'!$F$3:$F$1001,'Input Sheet'!$B$3:$B$1001,$H87,'Input Sheet'!$E$3:$E$1001,M$4))</f>
        <v/>
      </c>
      <c r="N87" s="21" t="str">
        <f>IF(SUMIFS('Input Sheet'!$F$3:$F$1001,'Input Sheet'!$B$3:$B$1001,$H87,'Input Sheet'!$E$3:$E$1001,N$4)=0,"",SUMIFS('Input Sheet'!$F$3:$F$1001,'Input Sheet'!$B$3:$B$1001,$H87,'Input Sheet'!$E$3:$E$1001,N$4))</f>
        <v/>
      </c>
      <c r="O87" s="21" t="str">
        <f>IF(SUMIFS('Input Sheet'!$F$3:$F$1001,'Input Sheet'!$B$3:$B$1001,$H87,'Input Sheet'!$E$3:$E$1001,O$4)=0,"",SUMIFS('Input Sheet'!$F$3:$F$1001,'Input Sheet'!$B$3:$B$1001,$H87,'Input Sheet'!$E$3:$E$1001,O$4))</f>
        <v/>
      </c>
      <c r="P87" s="21" t="str">
        <f>IF(SUMIFS('Input Sheet'!$F$3:$F$1001,'Input Sheet'!$B$3:$B$1001,$H87,'Input Sheet'!$E$3:$E$1001,P$4)=0,"",SUMIFS('Input Sheet'!$F$3:$F$1001,'Input Sheet'!$B$3:$B$1001,$H87,'Input Sheet'!$E$3:$E$1001,P$4))</f>
        <v/>
      </c>
      <c r="Q87" s="21" t="str">
        <f>IF(SUMIFS('Input Sheet'!$F$3:$F$1001,'Input Sheet'!$B$3:$B$1001,$H87,'Input Sheet'!$E$3:$E$1001,Q$4)=0,"",SUMIFS('Input Sheet'!$F$3:$F$1001,'Input Sheet'!$B$3:$B$1001,$H87,'Input Sheet'!$E$3:$E$1001,Q$4))</f>
        <v/>
      </c>
      <c r="R87" s="21" t="str">
        <f>IF(SUMIFS('Input Sheet'!$F$3:$F$1001,'Input Sheet'!$B$3:$B$1001,$H87,'Input Sheet'!$E$3:$E$1001,R$4)=0,"",SUMIFS('Input Sheet'!$F$3:$F$1001,'Input Sheet'!$B$3:$B$1001,$H87,'Input Sheet'!$E$3:$E$1001,R$4))</f>
        <v/>
      </c>
      <c r="S87" s="21" t="str">
        <f>IF(SUMIFS('Input Sheet'!$F$3:$F$1001,'Input Sheet'!$B$3:$B$1001,$H87,'Input Sheet'!$E$3:$E$1001,S$4)=0,"",SUMIFS('Input Sheet'!$F$3:$F$1001,'Input Sheet'!$B$3:$B$1001,$H87,'Input Sheet'!$E$3:$E$1001,S$4))</f>
        <v/>
      </c>
      <c r="T87" s="22">
        <v>82</v>
      </c>
    </row>
    <row r="88" spans="1:20" ht="14.25" customHeight="1" x14ac:dyDescent="0.3">
      <c r="A88" s="4" t="str">
        <f>IF('Input Sheet'!B85=0,"",'Input Sheet'!B85)</f>
        <v/>
      </c>
      <c r="B88" s="24" t="b">
        <f t="shared" si="2"/>
        <v>0</v>
      </c>
      <c r="C88" s="4">
        <f>SUMIF('Input Sheet'!B$3:B$1000,A88,'Input Sheet'!C$3:C$1000)</f>
        <v>0</v>
      </c>
      <c r="D88" s="4">
        <f>SUMIF('Input Sheet'!B$3:B$1000,A88,'Input Sheet'!D$3:D$1000)</f>
        <v>0</v>
      </c>
      <c r="E88" s="4" t="str">
        <f t="shared" ref="E88:F88" ca="1" si="91">IFERROR(RANK(K88,K$6:K$1004,1),"")</f>
        <v/>
      </c>
      <c r="F88" s="4" t="str">
        <f t="shared" ca="1" si="91"/>
        <v/>
      </c>
      <c r="G88" s="4" t="str">
        <f t="shared" ca="1" si="4"/>
        <v/>
      </c>
      <c r="H88" s="4" t="str">
        <f t="shared" si="5"/>
        <v/>
      </c>
      <c r="I88" s="4" t="str">
        <f t="shared" si="6"/>
        <v/>
      </c>
      <c r="J88" s="4" t="str">
        <f t="shared" si="7"/>
        <v/>
      </c>
      <c r="K88" s="25" t="str">
        <f t="shared" ca="1" si="8"/>
        <v/>
      </c>
      <c r="L88" s="21" t="str">
        <f t="shared" ca="1" si="9"/>
        <v/>
      </c>
      <c r="M88" s="21" t="str">
        <f>IF(SUMIFS('Input Sheet'!$F$3:$F$1001,'Input Sheet'!$B$3:$B$1001,$H88,'Input Sheet'!$E$3:$E$1001,M$4)=0,"",SUMIFS('Input Sheet'!$F$3:$F$1001,'Input Sheet'!$B$3:$B$1001,$H88,'Input Sheet'!$E$3:$E$1001,M$4))</f>
        <v/>
      </c>
      <c r="N88" s="21" t="str">
        <f>IF(SUMIFS('Input Sheet'!$F$3:$F$1001,'Input Sheet'!$B$3:$B$1001,$H88,'Input Sheet'!$E$3:$E$1001,N$4)=0,"",SUMIFS('Input Sheet'!$F$3:$F$1001,'Input Sheet'!$B$3:$B$1001,$H88,'Input Sheet'!$E$3:$E$1001,N$4))</f>
        <v/>
      </c>
      <c r="O88" s="21" t="str">
        <f>IF(SUMIFS('Input Sheet'!$F$3:$F$1001,'Input Sheet'!$B$3:$B$1001,$H88,'Input Sheet'!$E$3:$E$1001,O$4)=0,"",SUMIFS('Input Sheet'!$F$3:$F$1001,'Input Sheet'!$B$3:$B$1001,$H88,'Input Sheet'!$E$3:$E$1001,O$4))</f>
        <v/>
      </c>
      <c r="P88" s="21" t="str">
        <f>IF(SUMIFS('Input Sheet'!$F$3:$F$1001,'Input Sheet'!$B$3:$B$1001,$H88,'Input Sheet'!$E$3:$E$1001,P$4)=0,"",SUMIFS('Input Sheet'!$F$3:$F$1001,'Input Sheet'!$B$3:$B$1001,$H88,'Input Sheet'!$E$3:$E$1001,P$4))</f>
        <v/>
      </c>
      <c r="Q88" s="21" t="str">
        <f>IF(SUMIFS('Input Sheet'!$F$3:$F$1001,'Input Sheet'!$B$3:$B$1001,$H88,'Input Sheet'!$E$3:$E$1001,Q$4)=0,"",SUMIFS('Input Sheet'!$F$3:$F$1001,'Input Sheet'!$B$3:$B$1001,$H88,'Input Sheet'!$E$3:$E$1001,Q$4))</f>
        <v/>
      </c>
      <c r="R88" s="21" t="str">
        <f>IF(SUMIFS('Input Sheet'!$F$3:$F$1001,'Input Sheet'!$B$3:$B$1001,$H88,'Input Sheet'!$E$3:$E$1001,R$4)=0,"",SUMIFS('Input Sheet'!$F$3:$F$1001,'Input Sheet'!$B$3:$B$1001,$H88,'Input Sheet'!$E$3:$E$1001,R$4))</f>
        <v/>
      </c>
      <c r="S88" s="21" t="str">
        <f>IF(SUMIFS('Input Sheet'!$F$3:$F$1001,'Input Sheet'!$B$3:$B$1001,$H88,'Input Sheet'!$E$3:$E$1001,S$4)=0,"",SUMIFS('Input Sheet'!$F$3:$F$1001,'Input Sheet'!$B$3:$B$1001,$H88,'Input Sheet'!$E$3:$E$1001,S$4))</f>
        <v/>
      </c>
      <c r="T88" s="22">
        <v>83</v>
      </c>
    </row>
    <row r="89" spans="1:20" ht="14.25" customHeight="1" x14ac:dyDescent="0.3">
      <c r="A89" s="4" t="str">
        <f>IF('Input Sheet'!B86=0,"",'Input Sheet'!B86)</f>
        <v/>
      </c>
      <c r="B89" s="24" t="b">
        <f t="shared" si="2"/>
        <v>0</v>
      </c>
      <c r="C89" s="4">
        <f>SUMIF('Input Sheet'!B$3:B$1000,A89,'Input Sheet'!C$3:C$1000)</f>
        <v>0</v>
      </c>
      <c r="D89" s="4">
        <f>SUMIF('Input Sheet'!B$3:B$1000,A89,'Input Sheet'!D$3:D$1000)</f>
        <v>0</v>
      </c>
      <c r="E89" s="4" t="str">
        <f t="shared" ref="E89:F89" ca="1" si="92">IFERROR(RANK(K89,K$6:K$1004,1),"")</f>
        <v/>
      </c>
      <c r="F89" s="4" t="str">
        <f t="shared" ca="1" si="92"/>
        <v/>
      </c>
      <c r="G89" s="4" t="str">
        <f t="shared" ca="1" si="4"/>
        <v/>
      </c>
      <c r="H89" s="4" t="str">
        <f t="shared" si="5"/>
        <v/>
      </c>
      <c r="I89" s="4" t="str">
        <f t="shared" si="6"/>
        <v/>
      </c>
      <c r="J89" s="4" t="str">
        <f t="shared" si="7"/>
        <v/>
      </c>
      <c r="K89" s="25" t="str">
        <f t="shared" ca="1" si="8"/>
        <v/>
      </c>
      <c r="L89" s="21" t="str">
        <f t="shared" ca="1" si="9"/>
        <v/>
      </c>
      <c r="M89" s="21" t="str">
        <f>IF(SUMIFS('Input Sheet'!$F$3:$F$1001,'Input Sheet'!$B$3:$B$1001,$H89,'Input Sheet'!$E$3:$E$1001,M$4)=0,"",SUMIFS('Input Sheet'!$F$3:$F$1001,'Input Sheet'!$B$3:$B$1001,$H89,'Input Sheet'!$E$3:$E$1001,M$4))</f>
        <v/>
      </c>
      <c r="N89" s="21" t="str">
        <f>IF(SUMIFS('Input Sheet'!$F$3:$F$1001,'Input Sheet'!$B$3:$B$1001,$H89,'Input Sheet'!$E$3:$E$1001,N$4)=0,"",SUMIFS('Input Sheet'!$F$3:$F$1001,'Input Sheet'!$B$3:$B$1001,$H89,'Input Sheet'!$E$3:$E$1001,N$4))</f>
        <v/>
      </c>
      <c r="O89" s="21" t="str">
        <f>IF(SUMIFS('Input Sheet'!$F$3:$F$1001,'Input Sheet'!$B$3:$B$1001,$H89,'Input Sheet'!$E$3:$E$1001,O$4)=0,"",SUMIFS('Input Sheet'!$F$3:$F$1001,'Input Sheet'!$B$3:$B$1001,$H89,'Input Sheet'!$E$3:$E$1001,O$4))</f>
        <v/>
      </c>
      <c r="P89" s="21" t="str">
        <f>IF(SUMIFS('Input Sheet'!$F$3:$F$1001,'Input Sheet'!$B$3:$B$1001,$H89,'Input Sheet'!$E$3:$E$1001,P$4)=0,"",SUMIFS('Input Sheet'!$F$3:$F$1001,'Input Sheet'!$B$3:$B$1001,$H89,'Input Sheet'!$E$3:$E$1001,P$4))</f>
        <v/>
      </c>
      <c r="Q89" s="21" t="str">
        <f>IF(SUMIFS('Input Sheet'!$F$3:$F$1001,'Input Sheet'!$B$3:$B$1001,$H89,'Input Sheet'!$E$3:$E$1001,Q$4)=0,"",SUMIFS('Input Sheet'!$F$3:$F$1001,'Input Sheet'!$B$3:$B$1001,$H89,'Input Sheet'!$E$3:$E$1001,Q$4))</f>
        <v/>
      </c>
      <c r="R89" s="21" t="str">
        <f>IF(SUMIFS('Input Sheet'!$F$3:$F$1001,'Input Sheet'!$B$3:$B$1001,$H89,'Input Sheet'!$E$3:$E$1001,R$4)=0,"",SUMIFS('Input Sheet'!$F$3:$F$1001,'Input Sheet'!$B$3:$B$1001,$H89,'Input Sheet'!$E$3:$E$1001,R$4))</f>
        <v/>
      </c>
      <c r="S89" s="21" t="str">
        <f>IF(SUMIFS('Input Sheet'!$F$3:$F$1001,'Input Sheet'!$B$3:$B$1001,$H89,'Input Sheet'!$E$3:$E$1001,S$4)=0,"",SUMIFS('Input Sheet'!$F$3:$F$1001,'Input Sheet'!$B$3:$B$1001,$H89,'Input Sheet'!$E$3:$E$1001,S$4))</f>
        <v/>
      </c>
      <c r="T89" s="22">
        <v>84</v>
      </c>
    </row>
    <row r="90" spans="1:20" ht="14.25" customHeight="1" x14ac:dyDescent="0.3">
      <c r="A90" s="4" t="str">
        <f>IF('Input Sheet'!B87=0,"",'Input Sheet'!B87)</f>
        <v/>
      </c>
      <c r="B90" s="24" t="b">
        <f t="shared" si="2"/>
        <v>0</v>
      </c>
      <c r="C90" s="4">
        <f>SUMIF('Input Sheet'!B$3:B$1000,A90,'Input Sheet'!C$3:C$1000)</f>
        <v>0</v>
      </c>
      <c r="D90" s="4">
        <f>SUMIF('Input Sheet'!B$3:B$1000,A90,'Input Sheet'!D$3:D$1000)</f>
        <v>0</v>
      </c>
      <c r="E90" s="4" t="str">
        <f t="shared" ref="E90:F90" ca="1" si="93">IFERROR(RANK(K90,K$6:K$1004,1),"")</f>
        <v/>
      </c>
      <c r="F90" s="4" t="str">
        <f t="shared" ca="1" si="93"/>
        <v/>
      </c>
      <c r="G90" s="4" t="str">
        <f t="shared" ca="1" si="4"/>
        <v/>
      </c>
      <c r="H90" s="4" t="str">
        <f t="shared" si="5"/>
        <v/>
      </c>
      <c r="I90" s="4" t="str">
        <f t="shared" si="6"/>
        <v/>
      </c>
      <c r="J90" s="4" t="str">
        <f t="shared" si="7"/>
        <v/>
      </c>
      <c r="K90" s="25" t="str">
        <f t="shared" ca="1" si="8"/>
        <v/>
      </c>
      <c r="L90" s="21" t="str">
        <f t="shared" ca="1" si="9"/>
        <v/>
      </c>
      <c r="M90" s="21" t="str">
        <f>IF(SUMIFS('Input Sheet'!$F$3:$F$1001,'Input Sheet'!$B$3:$B$1001,$H90,'Input Sheet'!$E$3:$E$1001,M$4)=0,"",SUMIFS('Input Sheet'!$F$3:$F$1001,'Input Sheet'!$B$3:$B$1001,$H90,'Input Sheet'!$E$3:$E$1001,M$4))</f>
        <v/>
      </c>
      <c r="N90" s="21" t="str">
        <f>IF(SUMIFS('Input Sheet'!$F$3:$F$1001,'Input Sheet'!$B$3:$B$1001,$H90,'Input Sheet'!$E$3:$E$1001,N$4)=0,"",SUMIFS('Input Sheet'!$F$3:$F$1001,'Input Sheet'!$B$3:$B$1001,$H90,'Input Sheet'!$E$3:$E$1001,N$4))</f>
        <v/>
      </c>
      <c r="O90" s="21" t="str">
        <f>IF(SUMIFS('Input Sheet'!$F$3:$F$1001,'Input Sheet'!$B$3:$B$1001,$H90,'Input Sheet'!$E$3:$E$1001,O$4)=0,"",SUMIFS('Input Sheet'!$F$3:$F$1001,'Input Sheet'!$B$3:$B$1001,$H90,'Input Sheet'!$E$3:$E$1001,O$4))</f>
        <v/>
      </c>
      <c r="P90" s="21" t="str">
        <f>IF(SUMIFS('Input Sheet'!$F$3:$F$1001,'Input Sheet'!$B$3:$B$1001,$H90,'Input Sheet'!$E$3:$E$1001,P$4)=0,"",SUMIFS('Input Sheet'!$F$3:$F$1001,'Input Sheet'!$B$3:$B$1001,$H90,'Input Sheet'!$E$3:$E$1001,P$4))</f>
        <v/>
      </c>
      <c r="Q90" s="21" t="str">
        <f>IF(SUMIFS('Input Sheet'!$F$3:$F$1001,'Input Sheet'!$B$3:$B$1001,$H90,'Input Sheet'!$E$3:$E$1001,Q$4)=0,"",SUMIFS('Input Sheet'!$F$3:$F$1001,'Input Sheet'!$B$3:$B$1001,$H90,'Input Sheet'!$E$3:$E$1001,Q$4))</f>
        <v/>
      </c>
      <c r="R90" s="21" t="str">
        <f>IF(SUMIFS('Input Sheet'!$F$3:$F$1001,'Input Sheet'!$B$3:$B$1001,$H90,'Input Sheet'!$E$3:$E$1001,R$4)=0,"",SUMIFS('Input Sheet'!$F$3:$F$1001,'Input Sheet'!$B$3:$B$1001,$H90,'Input Sheet'!$E$3:$E$1001,R$4))</f>
        <v/>
      </c>
      <c r="S90" s="21" t="str">
        <f>IF(SUMIFS('Input Sheet'!$F$3:$F$1001,'Input Sheet'!$B$3:$B$1001,$H90,'Input Sheet'!$E$3:$E$1001,S$4)=0,"",SUMIFS('Input Sheet'!$F$3:$F$1001,'Input Sheet'!$B$3:$B$1001,$H90,'Input Sheet'!$E$3:$E$1001,S$4))</f>
        <v/>
      </c>
      <c r="T90" s="22">
        <v>85</v>
      </c>
    </row>
    <row r="91" spans="1:20" ht="14.25" customHeight="1" x14ac:dyDescent="0.3">
      <c r="A91" s="4" t="str">
        <f>IF('Input Sheet'!B88=0,"",'Input Sheet'!B88)</f>
        <v/>
      </c>
      <c r="B91" s="24" t="b">
        <f t="shared" si="2"/>
        <v>0</v>
      </c>
      <c r="C91" s="4">
        <f>SUMIF('Input Sheet'!B$3:B$1000,A91,'Input Sheet'!C$3:C$1000)</f>
        <v>0</v>
      </c>
      <c r="D91" s="4">
        <f>SUMIF('Input Sheet'!B$3:B$1000,A91,'Input Sheet'!D$3:D$1000)</f>
        <v>0</v>
      </c>
      <c r="E91" s="4" t="str">
        <f t="shared" ref="E91:F91" ca="1" si="94">IFERROR(RANK(K91,K$6:K$1004,1),"")</f>
        <v/>
      </c>
      <c r="F91" s="4" t="str">
        <f t="shared" ca="1" si="94"/>
        <v/>
      </c>
      <c r="G91" s="4" t="str">
        <f t="shared" ca="1" si="4"/>
        <v/>
      </c>
      <c r="H91" s="4" t="str">
        <f t="shared" si="5"/>
        <v/>
      </c>
      <c r="I91" s="4" t="str">
        <f t="shared" si="6"/>
        <v/>
      </c>
      <c r="J91" s="4" t="str">
        <f t="shared" si="7"/>
        <v/>
      </c>
      <c r="K91" s="25" t="str">
        <f t="shared" ca="1" si="8"/>
        <v/>
      </c>
      <c r="L91" s="21" t="str">
        <f t="shared" ca="1" si="9"/>
        <v/>
      </c>
      <c r="M91" s="21" t="str">
        <f>IF(SUMIFS('Input Sheet'!$F$3:$F$1001,'Input Sheet'!$B$3:$B$1001,$H91,'Input Sheet'!$E$3:$E$1001,M$4)=0,"",SUMIFS('Input Sheet'!$F$3:$F$1001,'Input Sheet'!$B$3:$B$1001,$H91,'Input Sheet'!$E$3:$E$1001,M$4))</f>
        <v/>
      </c>
      <c r="N91" s="21" t="str">
        <f>IF(SUMIFS('Input Sheet'!$F$3:$F$1001,'Input Sheet'!$B$3:$B$1001,$H91,'Input Sheet'!$E$3:$E$1001,N$4)=0,"",SUMIFS('Input Sheet'!$F$3:$F$1001,'Input Sheet'!$B$3:$B$1001,$H91,'Input Sheet'!$E$3:$E$1001,N$4))</f>
        <v/>
      </c>
      <c r="O91" s="21" t="str">
        <f>IF(SUMIFS('Input Sheet'!$F$3:$F$1001,'Input Sheet'!$B$3:$B$1001,$H91,'Input Sheet'!$E$3:$E$1001,O$4)=0,"",SUMIFS('Input Sheet'!$F$3:$F$1001,'Input Sheet'!$B$3:$B$1001,$H91,'Input Sheet'!$E$3:$E$1001,O$4))</f>
        <v/>
      </c>
      <c r="P91" s="21" t="str">
        <f>IF(SUMIFS('Input Sheet'!$F$3:$F$1001,'Input Sheet'!$B$3:$B$1001,$H91,'Input Sheet'!$E$3:$E$1001,P$4)=0,"",SUMIFS('Input Sheet'!$F$3:$F$1001,'Input Sheet'!$B$3:$B$1001,$H91,'Input Sheet'!$E$3:$E$1001,P$4))</f>
        <v/>
      </c>
      <c r="Q91" s="21" t="str">
        <f>IF(SUMIFS('Input Sheet'!$F$3:$F$1001,'Input Sheet'!$B$3:$B$1001,$H91,'Input Sheet'!$E$3:$E$1001,Q$4)=0,"",SUMIFS('Input Sheet'!$F$3:$F$1001,'Input Sheet'!$B$3:$B$1001,$H91,'Input Sheet'!$E$3:$E$1001,Q$4))</f>
        <v/>
      </c>
      <c r="R91" s="21" t="str">
        <f>IF(SUMIFS('Input Sheet'!$F$3:$F$1001,'Input Sheet'!$B$3:$B$1001,$H91,'Input Sheet'!$E$3:$E$1001,R$4)=0,"",SUMIFS('Input Sheet'!$F$3:$F$1001,'Input Sheet'!$B$3:$B$1001,$H91,'Input Sheet'!$E$3:$E$1001,R$4))</f>
        <v/>
      </c>
      <c r="S91" s="21" t="str">
        <f>IF(SUMIFS('Input Sheet'!$F$3:$F$1001,'Input Sheet'!$B$3:$B$1001,$H91,'Input Sheet'!$E$3:$E$1001,S$4)=0,"",SUMIFS('Input Sheet'!$F$3:$F$1001,'Input Sheet'!$B$3:$B$1001,$H91,'Input Sheet'!$E$3:$E$1001,S$4))</f>
        <v/>
      </c>
      <c r="T91" s="22">
        <v>86</v>
      </c>
    </row>
    <row r="92" spans="1:20" ht="14.25" customHeight="1" x14ac:dyDescent="0.3">
      <c r="A92" s="4" t="str">
        <f>IF('Input Sheet'!B89=0,"",'Input Sheet'!B89)</f>
        <v/>
      </c>
      <c r="B92" s="24" t="b">
        <f t="shared" si="2"/>
        <v>0</v>
      </c>
      <c r="C92" s="4">
        <f>SUMIF('Input Sheet'!B$3:B$1000,A92,'Input Sheet'!C$3:C$1000)</f>
        <v>0</v>
      </c>
      <c r="D92" s="4">
        <f>SUMIF('Input Sheet'!B$3:B$1000,A92,'Input Sheet'!D$3:D$1000)</f>
        <v>0</v>
      </c>
      <c r="E92" s="4" t="str">
        <f t="shared" ref="E92:F92" ca="1" si="95">IFERROR(RANK(K92,K$6:K$1004,1),"")</f>
        <v/>
      </c>
      <c r="F92" s="4" t="str">
        <f t="shared" ca="1" si="95"/>
        <v/>
      </c>
      <c r="G92" s="4" t="str">
        <f t="shared" ca="1" si="4"/>
        <v/>
      </c>
      <c r="H92" s="4" t="str">
        <f t="shared" si="5"/>
        <v/>
      </c>
      <c r="I92" s="4" t="str">
        <f t="shared" si="6"/>
        <v/>
      </c>
      <c r="J92" s="4" t="str">
        <f t="shared" si="7"/>
        <v/>
      </c>
      <c r="K92" s="25" t="str">
        <f t="shared" ca="1" si="8"/>
        <v/>
      </c>
      <c r="L92" s="21" t="str">
        <f t="shared" ca="1" si="9"/>
        <v/>
      </c>
      <c r="M92" s="21" t="str">
        <f>IF(SUMIFS('Input Sheet'!$F$3:$F$1001,'Input Sheet'!$B$3:$B$1001,$H92,'Input Sheet'!$E$3:$E$1001,M$4)=0,"",SUMIFS('Input Sheet'!$F$3:$F$1001,'Input Sheet'!$B$3:$B$1001,$H92,'Input Sheet'!$E$3:$E$1001,M$4))</f>
        <v/>
      </c>
      <c r="N92" s="21" t="str">
        <f>IF(SUMIFS('Input Sheet'!$F$3:$F$1001,'Input Sheet'!$B$3:$B$1001,$H92,'Input Sheet'!$E$3:$E$1001,N$4)=0,"",SUMIFS('Input Sheet'!$F$3:$F$1001,'Input Sheet'!$B$3:$B$1001,$H92,'Input Sheet'!$E$3:$E$1001,N$4))</f>
        <v/>
      </c>
      <c r="O92" s="21" t="str">
        <f>IF(SUMIFS('Input Sheet'!$F$3:$F$1001,'Input Sheet'!$B$3:$B$1001,$H92,'Input Sheet'!$E$3:$E$1001,O$4)=0,"",SUMIFS('Input Sheet'!$F$3:$F$1001,'Input Sheet'!$B$3:$B$1001,$H92,'Input Sheet'!$E$3:$E$1001,O$4))</f>
        <v/>
      </c>
      <c r="P92" s="21" t="str">
        <f>IF(SUMIFS('Input Sheet'!$F$3:$F$1001,'Input Sheet'!$B$3:$B$1001,$H92,'Input Sheet'!$E$3:$E$1001,P$4)=0,"",SUMIFS('Input Sheet'!$F$3:$F$1001,'Input Sheet'!$B$3:$B$1001,$H92,'Input Sheet'!$E$3:$E$1001,P$4))</f>
        <v/>
      </c>
      <c r="Q92" s="21" t="str">
        <f>IF(SUMIFS('Input Sheet'!$F$3:$F$1001,'Input Sheet'!$B$3:$B$1001,$H92,'Input Sheet'!$E$3:$E$1001,Q$4)=0,"",SUMIFS('Input Sheet'!$F$3:$F$1001,'Input Sheet'!$B$3:$B$1001,$H92,'Input Sheet'!$E$3:$E$1001,Q$4))</f>
        <v/>
      </c>
      <c r="R92" s="21" t="str">
        <f>IF(SUMIFS('Input Sheet'!$F$3:$F$1001,'Input Sheet'!$B$3:$B$1001,$H92,'Input Sheet'!$E$3:$E$1001,R$4)=0,"",SUMIFS('Input Sheet'!$F$3:$F$1001,'Input Sheet'!$B$3:$B$1001,$H92,'Input Sheet'!$E$3:$E$1001,R$4))</f>
        <v/>
      </c>
      <c r="S92" s="21" t="str">
        <f>IF(SUMIFS('Input Sheet'!$F$3:$F$1001,'Input Sheet'!$B$3:$B$1001,$H92,'Input Sheet'!$E$3:$E$1001,S$4)=0,"",SUMIFS('Input Sheet'!$F$3:$F$1001,'Input Sheet'!$B$3:$B$1001,$H92,'Input Sheet'!$E$3:$E$1001,S$4))</f>
        <v/>
      </c>
      <c r="T92" s="22">
        <v>87</v>
      </c>
    </row>
    <row r="93" spans="1:20" ht="14.25" customHeight="1" x14ac:dyDescent="0.3">
      <c r="A93" s="4" t="str">
        <f>IF('Input Sheet'!B90=0,"",'Input Sheet'!B90)</f>
        <v/>
      </c>
      <c r="B93" s="24" t="b">
        <f t="shared" si="2"/>
        <v>0</v>
      </c>
      <c r="C93" s="4">
        <f>SUMIF('Input Sheet'!B$3:B$1000,A93,'Input Sheet'!C$3:C$1000)</f>
        <v>0</v>
      </c>
      <c r="D93" s="4">
        <f>SUMIF('Input Sheet'!B$3:B$1000,A93,'Input Sheet'!D$3:D$1000)</f>
        <v>0</v>
      </c>
      <c r="E93" s="4" t="str">
        <f t="shared" ref="E93:F93" ca="1" si="96">IFERROR(RANK(K93,K$6:K$1004,1),"")</f>
        <v/>
      </c>
      <c r="F93" s="4" t="str">
        <f t="shared" ca="1" si="96"/>
        <v/>
      </c>
      <c r="G93" s="4" t="str">
        <f t="shared" ca="1" si="4"/>
        <v/>
      </c>
      <c r="H93" s="4" t="str">
        <f t="shared" si="5"/>
        <v/>
      </c>
      <c r="I93" s="4" t="str">
        <f t="shared" si="6"/>
        <v/>
      </c>
      <c r="J93" s="4" t="str">
        <f t="shared" si="7"/>
        <v/>
      </c>
      <c r="K93" s="25" t="str">
        <f t="shared" ca="1" si="8"/>
        <v/>
      </c>
      <c r="L93" s="21" t="str">
        <f t="shared" ca="1" si="9"/>
        <v/>
      </c>
      <c r="M93" s="21" t="str">
        <f>IF(SUMIFS('Input Sheet'!$F$3:$F$1001,'Input Sheet'!$B$3:$B$1001,$H93,'Input Sheet'!$E$3:$E$1001,M$4)=0,"",SUMIFS('Input Sheet'!$F$3:$F$1001,'Input Sheet'!$B$3:$B$1001,$H93,'Input Sheet'!$E$3:$E$1001,M$4))</f>
        <v/>
      </c>
      <c r="N93" s="21" t="str">
        <f>IF(SUMIFS('Input Sheet'!$F$3:$F$1001,'Input Sheet'!$B$3:$B$1001,$H93,'Input Sheet'!$E$3:$E$1001,N$4)=0,"",SUMIFS('Input Sheet'!$F$3:$F$1001,'Input Sheet'!$B$3:$B$1001,$H93,'Input Sheet'!$E$3:$E$1001,N$4))</f>
        <v/>
      </c>
      <c r="O93" s="21" t="str">
        <f>IF(SUMIFS('Input Sheet'!$F$3:$F$1001,'Input Sheet'!$B$3:$B$1001,$H93,'Input Sheet'!$E$3:$E$1001,O$4)=0,"",SUMIFS('Input Sheet'!$F$3:$F$1001,'Input Sheet'!$B$3:$B$1001,$H93,'Input Sheet'!$E$3:$E$1001,O$4))</f>
        <v/>
      </c>
      <c r="P93" s="21" t="str">
        <f>IF(SUMIFS('Input Sheet'!$F$3:$F$1001,'Input Sheet'!$B$3:$B$1001,$H93,'Input Sheet'!$E$3:$E$1001,P$4)=0,"",SUMIFS('Input Sheet'!$F$3:$F$1001,'Input Sheet'!$B$3:$B$1001,$H93,'Input Sheet'!$E$3:$E$1001,P$4))</f>
        <v/>
      </c>
      <c r="Q93" s="21" t="str">
        <f>IF(SUMIFS('Input Sheet'!$F$3:$F$1001,'Input Sheet'!$B$3:$B$1001,$H93,'Input Sheet'!$E$3:$E$1001,Q$4)=0,"",SUMIFS('Input Sheet'!$F$3:$F$1001,'Input Sheet'!$B$3:$B$1001,$H93,'Input Sheet'!$E$3:$E$1001,Q$4))</f>
        <v/>
      </c>
      <c r="R93" s="21" t="str">
        <f>IF(SUMIFS('Input Sheet'!$F$3:$F$1001,'Input Sheet'!$B$3:$B$1001,$H93,'Input Sheet'!$E$3:$E$1001,R$4)=0,"",SUMIFS('Input Sheet'!$F$3:$F$1001,'Input Sheet'!$B$3:$B$1001,$H93,'Input Sheet'!$E$3:$E$1001,R$4))</f>
        <v/>
      </c>
      <c r="S93" s="21" t="str">
        <f>IF(SUMIFS('Input Sheet'!$F$3:$F$1001,'Input Sheet'!$B$3:$B$1001,$H93,'Input Sheet'!$E$3:$E$1001,S$4)=0,"",SUMIFS('Input Sheet'!$F$3:$F$1001,'Input Sheet'!$B$3:$B$1001,$H93,'Input Sheet'!$E$3:$E$1001,S$4))</f>
        <v/>
      </c>
      <c r="T93" s="22">
        <v>88</v>
      </c>
    </row>
    <row r="94" spans="1:20" ht="14.25" customHeight="1" x14ac:dyDescent="0.3">
      <c r="A94" s="4" t="str">
        <f>IF('Input Sheet'!B91=0,"",'Input Sheet'!B91)</f>
        <v/>
      </c>
      <c r="B94" s="24" t="b">
        <f t="shared" si="2"/>
        <v>0</v>
      </c>
      <c r="C94" s="4">
        <f>SUMIF('Input Sheet'!B$3:B$1000,A94,'Input Sheet'!C$3:C$1000)</f>
        <v>0</v>
      </c>
      <c r="D94" s="4">
        <f>SUMIF('Input Sheet'!B$3:B$1000,A94,'Input Sheet'!D$3:D$1000)</f>
        <v>0</v>
      </c>
      <c r="E94" s="4" t="str">
        <f t="shared" ref="E94:F94" ca="1" si="97">IFERROR(RANK(K94,K$6:K$1004,1),"")</f>
        <v/>
      </c>
      <c r="F94" s="4" t="str">
        <f t="shared" ca="1" si="97"/>
        <v/>
      </c>
      <c r="G94" s="4" t="str">
        <f t="shared" ca="1" si="4"/>
        <v/>
      </c>
      <c r="H94" s="4" t="str">
        <f t="shared" si="5"/>
        <v/>
      </c>
      <c r="I94" s="4" t="str">
        <f t="shared" si="6"/>
        <v/>
      </c>
      <c r="J94" s="4" t="str">
        <f t="shared" si="7"/>
        <v/>
      </c>
      <c r="K94" s="25" t="str">
        <f t="shared" ca="1" si="8"/>
        <v/>
      </c>
      <c r="L94" s="21" t="str">
        <f t="shared" ca="1" si="9"/>
        <v/>
      </c>
      <c r="M94" s="21" t="str">
        <f>IF(SUMIFS('Input Sheet'!$F$3:$F$1001,'Input Sheet'!$B$3:$B$1001,$H94,'Input Sheet'!$E$3:$E$1001,M$4)=0,"",SUMIFS('Input Sheet'!$F$3:$F$1001,'Input Sheet'!$B$3:$B$1001,$H94,'Input Sheet'!$E$3:$E$1001,M$4))</f>
        <v/>
      </c>
      <c r="N94" s="21" t="str">
        <f>IF(SUMIFS('Input Sheet'!$F$3:$F$1001,'Input Sheet'!$B$3:$B$1001,$H94,'Input Sheet'!$E$3:$E$1001,N$4)=0,"",SUMIFS('Input Sheet'!$F$3:$F$1001,'Input Sheet'!$B$3:$B$1001,$H94,'Input Sheet'!$E$3:$E$1001,N$4))</f>
        <v/>
      </c>
      <c r="O94" s="21" t="str">
        <f>IF(SUMIFS('Input Sheet'!$F$3:$F$1001,'Input Sheet'!$B$3:$B$1001,$H94,'Input Sheet'!$E$3:$E$1001,O$4)=0,"",SUMIFS('Input Sheet'!$F$3:$F$1001,'Input Sheet'!$B$3:$B$1001,$H94,'Input Sheet'!$E$3:$E$1001,O$4))</f>
        <v/>
      </c>
      <c r="P94" s="21" t="str">
        <f>IF(SUMIFS('Input Sheet'!$F$3:$F$1001,'Input Sheet'!$B$3:$B$1001,$H94,'Input Sheet'!$E$3:$E$1001,P$4)=0,"",SUMIFS('Input Sheet'!$F$3:$F$1001,'Input Sheet'!$B$3:$B$1001,$H94,'Input Sheet'!$E$3:$E$1001,P$4))</f>
        <v/>
      </c>
      <c r="Q94" s="21" t="str">
        <f>IF(SUMIFS('Input Sheet'!$F$3:$F$1001,'Input Sheet'!$B$3:$B$1001,$H94,'Input Sheet'!$E$3:$E$1001,Q$4)=0,"",SUMIFS('Input Sheet'!$F$3:$F$1001,'Input Sheet'!$B$3:$B$1001,$H94,'Input Sheet'!$E$3:$E$1001,Q$4))</f>
        <v/>
      </c>
      <c r="R94" s="21" t="str">
        <f>IF(SUMIFS('Input Sheet'!$F$3:$F$1001,'Input Sheet'!$B$3:$B$1001,$H94,'Input Sheet'!$E$3:$E$1001,R$4)=0,"",SUMIFS('Input Sheet'!$F$3:$F$1001,'Input Sheet'!$B$3:$B$1001,$H94,'Input Sheet'!$E$3:$E$1001,R$4))</f>
        <v/>
      </c>
      <c r="S94" s="21" t="str">
        <f>IF(SUMIFS('Input Sheet'!$F$3:$F$1001,'Input Sheet'!$B$3:$B$1001,$H94,'Input Sheet'!$E$3:$E$1001,S$4)=0,"",SUMIFS('Input Sheet'!$F$3:$F$1001,'Input Sheet'!$B$3:$B$1001,$H94,'Input Sheet'!$E$3:$E$1001,S$4))</f>
        <v/>
      </c>
      <c r="T94" s="22">
        <v>89</v>
      </c>
    </row>
    <row r="95" spans="1:20" ht="14.25" customHeight="1" x14ac:dyDescent="0.3">
      <c r="A95" s="4" t="str">
        <f>IF('Input Sheet'!B92=0,"",'Input Sheet'!B92)</f>
        <v/>
      </c>
      <c r="B95" s="24" t="b">
        <f t="shared" si="2"/>
        <v>0</v>
      </c>
      <c r="C95" s="4">
        <f>SUMIF('Input Sheet'!B$3:B$1000,A95,'Input Sheet'!C$3:C$1000)</f>
        <v>0</v>
      </c>
      <c r="D95" s="4">
        <f>SUMIF('Input Sheet'!B$3:B$1000,A95,'Input Sheet'!D$3:D$1000)</f>
        <v>0</v>
      </c>
      <c r="E95" s="4" t="str">
        <f t="shared" ref="E95:F95" ca="1" si="98">IFERROR(RANK(K95,K$6:K$1004,1),"")</f>
        <v/>
      </c>
      <c r="F95" s="4" t="str">
        <f t="shared" ca="1" si="98"/>
        <v/>
      </c>
      <c r="G95" s="4" t="str">
        <f t="shared" ca="1" si="4"/>
        <v/>
      </c>
      <c r="H95" s="4" t="str">
        <f t="shared" si="5"/>
        <v/>
      </c>
      <c r="I95" s="4" t="str">
        <f t="shared" si="6"/>
        <v/>
      </c>
      <c r="J95" s="4" t="str">
        <f t="shared" si="7"/>
        <v/>
      </c>
      <c r="K95" s="25" t="str">
        <f t="shared" ca="1" si="8"/>
        <v/>
      </c>
      <c r="L95" s="21" t="str">
        <f t="shared" ca="1" si="9"/>
        <v/>
      </c>
      <c r="M95" s="21" t="str">
        <f>IF(SUMIFS('Input Sheet'!$F$3:$F$1001,'Input Sheet'!$B$3:$B$1001,$H95,'Input Sheet'!$E$3:$E$1001,M$4)=0,"",SUMIFS('Input Sheet'!$F$3:$F$1001,'Input Sheet'!$B$3:$B$1001,$H95,'Input Sheet'!$E$3:$E$1001,M$4))</f>
        <v/>
      </c>
      <c r="N95" s="21" t="str">
        <f>IF(SUMIFS('Input Sheet'!$F$3:$F$1001,'Input Sheet'!$B$3:$B$1001,$H95,'Input Sheet'!$E$3:$E$1001,N$4)=0,"",SUMIFS('Input Sheet'!$F$3:$F$1001,'Input Sheet'!$B$3:$B$1001,$H95,'Input Sheet'!$E$3:$E$1001,N$4))</f>
        <v/>
      </c>
      <c r="O95" s="21" t="str">
        <f>IF(SUMIFS('Input Sheet'!$F$3:$F$1001,'Input Sheet'!$B$3:$B$1001,$H95,'Input Sheet'!$E$3:$E$1001,O$4)=0,"",SUMIFS('Input Sheet'!$F$3:$F$1001,'Input Sheet'!$B$3:$B$1001,$H95,'Input Sheet'!$E$3:$E$1001,O$4))</f>
        <v/>
      </c>
      <c r="P95" s="21" t="str">
        <f>IF(SUMIFS('Input Sheet'!$F$3:$F$1001,'Input Sheet'!$B$3:$B$1001,$H95,'Input Sheet'!$E$3:$E$1001,P$4)=0,"",SUMIFS('Input Sheet'!$F$3:$F$1001,'Input Sheet'!$B$3:$B$1001,$H95,'Input Sheet'!$E$3:$E$1001,P$4))</f>
        <v/>
      </c>
      <c r="Q95" s="21" t="str">
        <f>IF(SUMIFS('Input Sheet'!$F$3:$F$1001,'Input Sheet'!$B$3:$B$1001,$H95,'Input Sheet'!$E$3:$E$1001,Q$4)=0,"",SUMIFS('Input Sheet'!$F$3:$F$1001,'Input Sheet'!$B$3:$B$1001,$H95,'Input Sheet'!$E$3:$E$1001,Q$4))</f>
        <v/>
      </c>
      <c r="R95" s="21" t="str">
        <f>IF(SUMIFS('Input Sheet'!$F$3:$F$1001,'Input Sheet'!$B$3:$B$1001,$H95,'Input Sheet'!$E$3:$E$1001,R$4)=0,"",SUMIFS('Input Sheet'!$F$3:$F$1001,'Input Sheet'!$B$3:$B$1001,$H95,'Input Sheet'!$E$3:$E$1001,R$4))</f>
        <v/>
      </c>
      <c r="S95" s="21" t="str">
        <f>IF(SUMIFS('Input Sheet'!$F$3:$F$1001,'Input Sheet'!$B$3:$B$1001,$H95,'Input Sheet'!$E$3:$E$1001,S$4)=0,"",SUMIFS('Input Sheet'!$F$3:$F$1001,'Input Sheet'!$B$3:$B$1001,$H95,'Input Sheet'!$E$3:$E$1001,S$4))</f>
        <v/>
      </c>
      <c r="T95" s="22">
        <v>90</v>
      </c>
    </row>
    <row r="96" spans="1:20" ht="14.25" customHeight="1" x14ac:dyDescent="0.3">
      <c r="A96" s="4" t="str">
        <f>IF('Input Sheet'!B93=0,"",'Input Sheet'!B93)</f>
        <v/>
      </c>
      <c r="B96" s="24" t="b">
        <f t="shared" si="2"/>
        <v>0</v>
      </c>
      <c r="C96" s="4">
        <f>SUMIF('Input Sheet'!B$3:B$1000,A96,'Input Sheet'!C$3:C$1000)</f>
        <v>0</v>
      </c>
      <c r="D96" s="4">
        <f>SUMIF('Input Sheet'!B$3:B$1000,A96,'Input Sheet'!D$3:D$1000)</f>
        <v>0</v>
      </c>
      <c r="E96" s="4" t="str">
        <f t="shared" ref="E96:F96" ca="1" si="99">IFERROR(RANK(K96,K$6:K$1004,1),"")</f>
        <v/>
      </c>
      <c r="F96" s="4" t="str">
        <f t="shared" ca="1" si="99"/>
        <v/>
      </c>
      <c r="G96" s="4" t="str">
        <f t="shared" ca="1" si="4"/>
        <v/>
      </c>
      <c r="H96" s="4" t="str">
        <f t="shared" si="5"/>
        <v/>
      </c>
      <c r="I96" s="4" t="str">
        <f t="shared" si="6"/>
        <v/>
      </c>
      <c r="J96" s="4" t="str">
        <f t="shared" si="7"/>
        <v/>
      </c>
      <c r="K96" s="25" t="str">
        <f t="shared" ca="1" si="8"/>
        <v/>
      </c>
      <c r="L96" s="21" t="str">
        <f t="shared" ca="1" si="9"/>
        <v/>
      </c>
      <c r="M96" s="21" t="str">
        <f>IF(SUMIFS('Input Sheet'!$F$3:$F$1001,'Input Sheet'!$B$3:$B$1001,$H96,'Input Sheet'!$E$3:$E$1001,M$4)=0,"",SUMIFS('Input Sheet'!$F$3:$F$1001,'Input Sheet'!$B$3:$B$1001,$H96,'Input Sheet'!$E$3:$E$1001,M$4))</f>
        <v/>
      </c>
      <c r="N96" s="21" t="str">
        <f>IF(SUMIFS('Input Sheet'!$F$3:$F$1001,'Input Sheet'!$B$3:$B$1001,$H96,'Input Sheet'!$E$3:$E$1001,N$4)=0,"",SUMIFS('Input Sheet'!$F$3:$F$1001,'Input Sheet'!$B$3:$B$1001,$H96,'Input Sheet'!$E$3:$E$1001,N$4))</f>
        <v/>
      </c>
      <c r="O96" s="21" t="str">
        <f>IF(SUMIFS('Input Sheet'!$F$3:$F$1001,'Input Sheet'!$B$3:$B$1001,$H96,'Input Sheet'!$E$3:$E$1001,O$4)=0,"",SUMIFS('Input Sheet'!$F$3:$F$1001,'Input Sheet'!$B$3:$B$1001,$H96,'Input Sheet'!$E$3:$E$1001,O$4))</f>
        <v/>
      </c>
      <c r="P96" s="21" t="str">
        <f>IF(SUMIFS('Input Sheet'!$F$3:$F$1001,'Input Sheet'!$B$3:$B$1001,$H96,'Input Sheet'!$E$3:$E$1001,P$4)=0,"",SUMIFS('Input Sheet'!$F$3:$F$1001,'Input Sheet'!$B$3:$B$1001,$H96,'Input Sheet'!$E$3:$E$1001,P$4))</f>
        <v/>
      </c>
      <c r="Q96" s="21" t="str">
        <f>IF(SUMIFS('Input Sheet'!$F$3:$F$1001,'Input Sheet'!$B$3:$B$1001,$H96,'Input Sheet'!$E$3:$E$1001,Q$4)=0,"",SUMIFS('Input Sheet'!$F$3:$F$1001,'Input Sheet'!$B$3:$B$1001,$H96,'Input Sheet'!$E$3:$E$1001,Q$4))</f>
        <v/>
      </c>
      <c r="R96" s="21" t="str">
        <f>IF(SUMIFS('Input Sheet'!$F$3:$F$1001,'Input Sheet'!$B$3:$B$1001,$H96,'Input Sheet'!$E$3:$E$1001,R$4)=0,"",SUMIFS('Input Sheet'!$F$3:$F$1001,'Input Sheet'!$B$3:$B$1001,$H96,'Input Sheet'!$E$3:$E$1001,R$4))</f>
        <v/>
      </c>
      <c r="S96" s="21" t="str">
        <f>IF(SUMIFS('Input Sheet'!$F$3:$F$1001,'Input Sheet'!$B$3:$B$1001,$H96,'Input Sheet'!$E$3:$E$1001,S$4)=0,"",SUMIFS('Input Sheet'!$F$3:$F$1001,'Input Sheet'!$B$3:$B$1001,$H96,'Input Sheet'!$E$3:$E$1001,S$4))</f>
        <v/>
      </c>
      <c r="T96" s="22">
        <v>91</v>
      </c>
    </row>
    <row r="97" spans="1:20" ht="14.25" customHeight="1" x14ac:dyDescent="0.3">
      <c r="A97" s="4" t="str">
        <f>IF('Input Sheet'!B94=0,"",'Input Sheet'!B94)</f>
        <v/>
      </c>
      <c r="B97" s="24" t="b">
        <f t="shared" si="2"/>
        <v>0</v>
      </c>
      <c r="C97" s="4">
        <f>SUMIF('Input Sheet'!B$3:B$1000,A97,'Input Sheet'!C$3:C$1000)</f>
        <v>0</v>
      </c>
      <c r="D97" s="4">
        <f>SUMIF('Input Sheet'!B$3:B$1000,A97,'Input Sheet'!D$3:D$1000)</f>
        <v>0</v>
      </c>
      <c r="E97" s="4" t="str">
        <f t="shared" ref="E97:F97" ca="1" si="100">IFERROR(RANK(K97,K$6:K$1004,1),"")</f>
        <v/>
      </c>
      <c r="F97" s="4" t="str">
        <f t="shared" ca="1" si="100"/>
        <v/>
      </c>
      <c r="G97" s="4" t="str">
        <f t="shared" ca="1" si="4"/>
        <v/>
      </c>
      <c r="H97" s="4" t="str">
        <f t="shared" si="5"/>
        <v/>
      </c>
      <c r="I97" s="4" t="str">
        <f t="shared" si="6"/>
        <v/>
      </c>
      <c r="J97" s="4" t="str">
        <f t="shared" si="7"/>
        <v/>
      </c>
      <c r="K97" s="25" t="str">
        <f t="shared" ca="1" si="8"/>
        <v/>
      </c>
      <c r="L97" s="21" t="str">
        <f t="shared" ca="1" si="9"/>
        <v/>
      </c>
      <c r="M97" s="21" t="str">
        <f>IF(SUMIFS('Input Sheet'!$F$3:$F$1001,'Input Sheet'!$B$3:$B$1001,$H97,'Input Sheet'!$E$3:$E$1001,M$4)=0,"",SUMIFS('Input Sheet'!$F$3:$F$1001,'Input Sheet'!$B$3:$B$1001,$H97,'Input Sheet'!$E$3:$E$1001,M$4))</f>
        <v/>
      </c>
      <c r="N97" s="21" t="str">
        <f>IF(SUMIFS('Input Sheet'!$F$3:$F$1001,'Input Sheet'!$B$3:$B$1001,$H97,'Input Sheet'!$E$3:$E$1001,N$4)=0,"",SUMIFS('Input Sheet'!$F$3:$F$1001,'Input Sheet'!$B$3:$B$1001,$H97,'Input Sheet'!$E$3:$E$1001,N$4))</f>
        <v/>
      </c>
      <c r="O97" s="21" t="str">
        <f>IF(SUMIFS('Input Sheet'!$F$3:$F$1001,'Input Sheet'!$B$3:$B$1001,$H97,'Input Sheet'!$E$3:$E$1001,O$4)=0,"",SUMIFS('Input Sheet'!$F$3:$F$1001,'Input Sheet'!$B$3:$B$1001,$H97,'Input Sheet'!$E$3:$E$1001,O$4))</f>
        <v/>
      </c>
      <c r="P97" s="21" t="str">
        <f>IF(SUMIFS('Input Sheet'!$F$3:$F$1001,'Input Sheet'!$B$3:$B$1001,$H97,'Input Sheet'!$E$3:$E$1001,P$4)=0,"",SUMIFS('Input Sheet'!$F$3:$F$1001,'Input Sheet'!$B$3:$B$1001,$H97,'Input Sheet'!$E$3:$E$1001,P$4))</f>
        <v/>
      </c>
      <c r="Q97" s="21" t="str">
        <f>IF(SUMIFS('Input Sheet'!$F$3:$F$1001,'Input Sheet'!$B$3:$B$1001,$H97,'Input Sheet'!$E$3:$E$1001,Q$4)=0,"",SUMIFS('Input Sheet'!$F$3:$F$1001,'Input Sheet'!$B$3:$B$1001,$H97,'Input Sheet'!$E$3:$E$1001,Q$4))</f>
        <v/>
      </c>
      <c r="R97" s="21" t="str">
        <f>IF(SUMIFS('Input Sheet'!$F$3:$F$1001,'Input Sheet'!$B$3:$B$1001,$H97,'Input Sheet'!$E$3:$E$1001,R$4)=0,"",SUMIFS('Input Sheet'!$F$3:$F$1001,'Input Sheet'!$B$3:$B$1001,$H97,'Input Sheet'!$E$3:$E$1001,R$4))</f>
        <v/>
      </c>
      <c r="S97" s="21" t="str">
        <f>IF(SUMIFS('Input Sheet'!$F$3:$F$1001,'Input Sheet'!$B$3:$B$1001,$H97,'Input Sheet'!$E$3:$E$1001,S$4)=0,"",SUMIFS('Input Sheet'!$F$3:$F$1001,'Input Sheet'!$B$3:$B$1001,$H97,'Input Sheet'!$E$3:$E$1001,S$4))</f>
        <v/>
      </c>
      <c r="T97" s="22">
        <v>92</v>
      </c>
    </row>
    <row r="98" spans="1:20" ht="14.25" customHeight="1" x14ac:dyDescent="0.3">
      <c r="A98" s="4" t="str">
        <f>IF('Input Sheet'!B95=0,"",'Input Sheet'!B95)</f>
        <v/>
      </c>
      <c r="B98" s="24" t="b">
        <f t="shared" si="2"/>
        <v>0</v>
      </c>
      <c r="C98" s="4">
        <f>SUMIF('Input Sheet'!B$3:B$1000,A98,'Input Sheet'!C$3:C$1000)</f>
        <v>0</v>
      </c>
      <c r="D98" s="4">
        <f>SUMIF('Input Sheet'!B$3:B$1000,A98,'Input Sheet'!D$3:D$1000)</f>
        <v>0</v>
      </c>
      <c r="E98" s="4" t="str">
        <f t="shared" ref="E98:F98" ca="1" si="101">IFERROR(RANK(K98,K$6:K$1004,1),"")</f>
        <v/>
      </c>
      <c r="F98" s="4" t="str">
        <f t="shared" ca="1" si="101"/>
        <v/>
      </c>
      <c r="G98" s="4" t="str">
        <f t="shared" ca="1" si="4"/>
        <v/>
      </c>
      <c r="H98" s="4" t="str">
        <f t="shared" si="5"/>
        <v/>
      </c>
      <c r="I98" s="4" t="str">
        <f t="shared" si="6"/>
        <v/>
      </c>
      <c r="J98" s="4" t="str">
        <f t="shared" si="7"/>
        <v/>
      </c>
      <c r="K98" s="25" t="str">
        <f t="shared" ca="1" si="8"/>
        <v/>
      </c>
      <c r="L98" s="21" t="str">
        <f t="shared" ca="1" si="9"/>
        <v/>
      </c>
      <c r="M98" s="21" t="str">
        <f>IF(SUMIFS('Input Sheet'!$F$3:$F$1001,'Input Sheet'!$B$3:$B$1001,$H98,'Input Sheet'!$E$3:$E$1001,M$4)=0,"",SUMIFS('Input Sheet'!$F$3:$F$1001,'Input Sheet'!$B$3:$B$1001,$H98,'Input Sheet'!$E$3:$E$1001,M$4))</f>
        <v/>
      </c>
      <c r="N98" s="21" t="str">
        <f>IF(SUMIFS('Input Sheet'!$F$3:$F$1001,'Input Sheet'!$B$3:$B$1001,$H98,'Input Sheet'!$E$3:$E$1001,N$4)=0,"",SUMIFS('Input Sheet'!$F$3:$F$1001,'Input Sheet'!$B$3:$B$1001,$H98,'Input Sheet'!$E$3:$E$1001,N$4))</f>
        <v/>
      </c>
      <c r="O98" s="21" t="str">
        <f>IF(SUMIFS('Input Sheet'!$F$3:$F$1001,'Input Sheet'!$B$3:$B$1001,$H98,'Input Sheet'!$E$3:$E$1001,O$4)=0,"",SUMIFS('Input Sheet'!$F$3:$F$1001,'Input Sheet'!$B$3:$B$1001,$H98,'Input Sheet'!$E$3:$E$1001,O$4))</f>
        <v/>
      </c>
      <c r="P98" s="21" t="str">
        <f>IF(SUMIFS('Input Sheet'!$F$3:$F$1001,'Input Sheet'!$B$3:$B$1001,$H98,'Input Sheet'!$E$3:$E$1001,P$4)=0,"",SUMIFS('Input Sheet'!$F$3:$F$1001,'Input Sheet'!$B$3:$B$1001,$H98,'Input Sheet'!$E$3:$E$1001,P$4))</f>
        <v/>
      </c>
      <c r="Q98" s="21" t="str">
        <f>IF(SUMIFS('Input Sheet'!$F$3:$F$1001,'Input Sheet'!$B$3:$B$1001,$H98,'Input Sheet'!$E$3:$E$1001,Q$4)=0,"",SUMIFS('Input Sheet'!$F$3:$F$1001,'Input Sheet'!$B$3:$B$1001,$H98,'Input Sheet'!$E$3:$E$1001,Q$4))</f>
        <v/>
      </c>
      <c r="R98" s="21" t="str">
        <f>IF(SUMIFS('Input Sheet'!$F$3:$F$1001,'Input Sheet'!$B$3:$B$1001,$H98,'Input Sheet'!$E$3:$E$1001,R$4)=0,"",SUMIFS('Input Sheet'!$F$3:$F$1001,'Input Sheet'!$B$3:$B$1001,$H98,'Input Sheet'!$E$3:$E$1001,R$4))</f>
        <v/>
      </c>
      <c r="S98" s="21" t="str">
        <f>IF(SUMIFS('Input Sheet'!$F$3:$F$1001,'Input Sheet'!$B$3:$B$1001,$H98,'Input Sheet'!$E$3:$E$1001,S$4)=0,"",SUMIFS('Input Sheet'!$F$3:$F$1001,'Input Sheet'!$B$3:$B$1001,$H98,'Input Sheet'!$E$3:$E$1001,S$4))</f>
        <v/>
      </c>
      <c r="T98" s="22">
        <v>93</v>
      </c>
    </row>
    <row r="99" spans="1:20" ht="14.25" customHeight="1" x14ac:dyDescent="0.3">
      <c r="A99" s="4" t="str">
        <f>IF('Input Sheet'!B96=0,"",'Input Sheet'!B96)</f>
        <v/>
      </c>
      <c r="B99" s="24" t="b">
        <f t="shared" si="2"/>
        <v>0</v>
      </c>
      <c r="C99" s="4">
        <f>SUMIF('Input Sheet'!B$3:B$1000,A99,'Input Sheet'!C$3:C$1000)</f>
        <v>0</v>
      </c>
      <c r="D99" s="4">
        <f>SUMIF('Input Sheet'!B$3:B$1000,A99,'Input Sheet'!D$3:D$1000)</f>
        <v>0</v>
      </c>
      <c r="E99" s="4" t="str">
        <f t="shared" ref="E99:F99" ca="1" si="102">IFERROR(RANK(K99,K$6:K$1004,1),"")</f>
        <v/>
      </c>
      <c r="F99" s="4" t="str">
        <f t="shared" ca="1" si="102"/>
        <v/>
      </c>
      <c r="G99" s="4" t="str">
        <f t="shared" ca="1" si="4"/>
        <v/>
      </c>
      <c r="H99" s="4" t="str">
        <f t="shared" si="5"/>
        <v/>
      </c>
      <c r="I99" s="4" t="str">
        <f t="shared" si="6"/>
        <v/>
      </c>
      <c r="J99" s="4" t="str">
        <f t="shared" si="7"/>
        <v/>
      </c>
      <c r="K99" s="25" t="str">
        <f t="shared" ca="1" si="8"/>
        <v/>
      </c>
      <c r="L99" s="21" t="str">
        <f t="shared" ca="1" si="9"/>
        <v/>
      </c>
      <c r="M99" s="21" t="str">
        <f>IF(SUMIFS('Input Sheet'!$F$3:$F$1001,'Input Sheet'!$B$3:$B$1001,$H99,'Input Sheet'!$E$3:$E$1001,M$4)=0,"",SUMIFS('Input Sheet'!$F$3:$F$1001,'Input Sheet'!$B$3:$B$1001,$H99,'Input Sheet'!$E$3:$E$1001,M$4))</f>
        <v/>
      </c>
      <c r="N99" s="21" t="str">
        <f>IF(SUMIFS('Input Sheet'!$F$3:$F$1001,'Input Sheet'!$B$3:$B$1001,$H99,'Input Sheet'!$E$3:$E$1001,N$4)=0,"",SUMIFS('Input Sheet'!$F$3:$F$1001,'Input Sheet'!$B$3:$B$1001,$H99,'Input Sheet'!$E$3:$E$1001,N$4))</f>
        <v/>
      </c>
      <c r="O99" s="21" t="str">
        <f>IF(SUMIFS('Input Sheet'!$F$3:$F$1001,'Input Sheet'!$B$3:$B$1001,$H99,'Input Sheet'!$E$3:$E$1001,O$4)=0,"",SUMIFS('Input Sheet'!$F$3:$F$1001,'Input Sheet'!$B$3:$B$1001,$H99,'Input Sheet'!$E$3:$E$1001,O$4))</f>
        <v/>
      </c>
      <c r="P99" s="21" t="str">
        <f>IF(SUMIFS('Input Sheet'!$F$3:$F$1001,'Input Sheet'!$B$3:$B$1001,$H99,'Input Sheet'!$E$3:$E$1001,P$4)=0,"",SUMIFS('Input Sheet'!$F$3:$F$1001,'Input Sheet'!$B$3:$B$1001,$H99,'Input Sheet'!$E$3:$E$1001,P$4))</f>
        <v/>
      </c>
      <c r="Q99" s="21" t="str">
        <f>IF(SUMIFS('Input Sheet'!$F$3:$F$1001,'Input Sheet'!$B$3:$B$1001,$H99,'Input Sheet'!$E$3:$E$1001,Q$4)=0,"",SUMIFS('Input Sheet'!$F$3:$F$1001,'Input Sheet'!$B$3:$B$1001,$H99,'Input Sheet'!$E$3:$E$1001,Q$4))</f>
        <v/>
      </c>
      <c r="R99" s="21" t="str">
        <f>IF(SUMIFS('Input Sheet'!$F$3:$F$1001,'Input Sheet'!$B$3:$B$1001,$H99,'Input Sheet'!$E$3:$E$1001,R$4)=0,"",SUMIFS('Input Sheet'!$F$3:$F$1001,'Input Sheet'!$B$3:$B$1001,$H99,'Input Sheet'!$E$3:$E$1001,R$4))</f>
        <v/>
      </c>
      <c r="S99" s="21" t="str">
        <f>IF(SUMIFS('Input Sheet'!$F$3:$F$1001,'Input Sheet'!$B$3:$B$1001,$H99,'Input Sheet'!$E$3:$E$1001,S$4)=0,"",SUMIFS('Input Sheet'!$F$3:$F$1001,'Input Sheet'!$B$3:$B$1001,$H99,'Input Sheet'!$E$3:$E$1001,S$4))</f>
        <v/>
      </c>
      <c r="T99" s="22">
        <v>94</v>
      </c>
    </row>
    <row r="100" spans="1:20" ht="14.25" customHeight="1" x14ac:dyDescent="0.3">
      <c r="A100" s="4" t="str">
        <f>IF('Input Sheet'!B97=0,"",'Input Sheet'!B97)</f>
        <v/>
      </c>
      <c r="B100" s="24" t="b">
        <f t="shared" si="2"/>
        <v>0</v>
      </c>
      <c r="C100" s="4">
        <f>SUMIF('Input Sheet'!B$3:B$1000,A100,'Input Sheet'!C$3:C$1000)</f>
        <v>0</v>
      </c>
      <c r="D100" s="4">
        <f>SUMIF('Input Sheet'!B$3:B$1000,A100,'Input Sheet'!D$3:D$1000)</f>
        <v>0</v>
      </c>
      <c r="E100" s="4" t="str">
        <f t="shared" ref="E100:F100" ca="1" si="103">IFERROR(RANK(K100,K$6:K$1004,1),"")</f>
        <v/>
      </c>
      <c r="F100" s="4" t="str">
        <f t="shared" ca="1" si="103"/>
        <v/>
      </c>
      <c r="G100" s="4" t="str">
        <f t="shared" ca="1" si="4"/>
        <v/>
      </c>
      <c r="H100" s="4" t="str">
        <f t="shared" si="5"/>
        <v/>
      </c>
      <c r="I100" s="4" t="str">
        <f t="shared" si="6"/>
        <v/>
      </c>
      <c r="J100" s="4" t="str">
        <f t="shared" si="7"/>
        <v/>
      </c>
      <c r="K100" s="25" t="str">
        <f t="shared" ca="1" si="8"/>
        <v/>
      </c>
      <c r="L100" s="21" t="str">
        <f t="shared" ca="1" si="9"/>
        <v/>
      </c>
      <c r="M100" s="21" t="str">
        <f>IF(SUMIFS('Input Sheet'!$F$3:$F$1001,'Input Sheet'!$B$3:$B$1001,$H100,'Input Sheet'!$E$3:$E$1001,M$4)=0,"",SUMIFS('Input Sheet'!$F$3:$F$1001,'Input Sheet'!$B$3:$B$1001,$H100,'Input Sheet'!$E$3:$E$1001,M$4))</f>
        <v/>
      </c>
      <c r="N100" s="21" t="str">
        <f>IF(SUMIFS('Input Sheet'!$F$3:$F$1001,'Input Sheet'!$B$3:$B$1001,$H100,'Input Sheet'!$E$3:$E$1001,N$4)=0,"",SUMIFS('Input Sheet'!$F$3:$F$1001,'Input Sheet'!$B$3:$B$1001,$H100,'Input Sheet'!$E$3:$E$1001,N$4))</f>
        <v/>
      </c>
      <c r="O100" s="21" t="str">
        <f>IF(SUMIFS('Input Sheet'!$F$3:$F$1001,'Input Sheet'!$B$3:$B$1001,$H100,'Input Sheet'!$E$3:$E$1001,O$4)=0,"",SUMIFS('Input Sheet'!$F$3:$F$1001,'Input Sheet'!$B$3:$B$1001,$H100,'Input Sheet'!$E$3:$E$1001,O$4))</f>
        <v/>
      </c>
      <c r="P100" s="21" t="str">
        <f>IF(SUMIFS('Input Sheet'!$F$3:$F$1001,'Input Sheet'!$B$3:$B$1001,$H100,'Input Sheet'!$E$3:$E$1001,P$4)=0,"",SUMIFS('Input Sheet'!$F$3:$F$1001,'Input Sheet'!$B$3:$B$1001,$H100,'Input Sheet'!$E$3:$E$1001,P$4))</f>
        <v/>
      </c>
      <c r="Q100" s="21" t="str">
        <f>IF(SUMIFS('Input Sheet'!$F$3:$F$1001,'Input Sheet'!$B$3:$B$1001,$H100,'Input Sheet'!$E$3:$E$1001,Q$4)=0,"",SUMIFS('Input Sheet'!$F$3:$F$1001,'Input Sheet'!$B$3:$B$1001,$H100,'Input Sheet'!$E$3:$E$1001,Q$4))</f>
        <v/>
      </c>
      <c r="R100" s="21" t="str">
        <f>IF(SUMIFS('Input Sheet'!$F$3:$F$1001,'Input Sheet'!$B$3:$B$1001,$H100,'Input Sheet'!$E$3:$E$1001,R$4)=0,"",SUMIFS('Input Sheet'!$F$3:$F$1001,'Input Sheet'!$B$3:$B$1001,$H100,'Input Sheet'!$E$3:$E$1001,R$4))</f>
        <v/>
      </c>
      <c r="S100" s="21" t="str">
        <f>IF(SUMIFS('Input Sheet'!$F$3:$F$1001,'Input Sheet'!$B$3:$B$1001,$H100,'Input Sheet'!$E$3:$E$1001,S$4)=0,"",SUMIFS('Input Sheet'!$F$3:$F$1001,'Input Sheet'!$B$3:$B$1001,$H100,'Input Sheet'!$E$3:$E$1001,S$4))</f>
        <v/>
      </c>
      <c r="T100" s="22">
        <v>95</v>
      </c>
    </row>
    <row r="101" spans="1:20" ht="14.25" customHeight="1" x14ac:dyDescent="0.3">
      <c r="A101" s="4" t="str">
        <f>IF('Input Sheet'!B98=0,"",'Input Sheet'!B98)</f>
        <v/>
      </c>
      <c r="B101" s="24" t="b">
        <f t="shared" si="2"/>
        <v>0</v>
      </c>
      <c r="C101" s="4">
        <f>SUMIF('Input Sheet'!B$3:B$1000,A101,'Input Sheet'!C$3:C$1000)</f>
        <v>0</v>
      </c>
      <c r="D101" s="4">
        <f>SUMIF('Input Sheet'!B$3:B$1000,A101,'Input Sheet'!D$3:D$1000)</f>
        <v>0</v>
      </c>
      <c r="E101" s="4" t="str">
        <f t="shared" ref="E101:F101" ca="1" si="104">IFERROR(RANK(K101,K$6:K$1004,1),"")</f>
        <v/>
      </c>
      <c r="F101" s="4" t="str">
        <f t="shared" ca="1" si="104"/>
        <v/>
      </c>
      <c r="G101" s="4" t="str">
        <f t="shared" ca="1" si="4"/>
        <v/>
      </c>
      <c r="H101" s="4" t="str">
        <f t="shared" si="5"/>
        <v/>
      </c>
      <c r="I101" s="4" t="str">
        <f t="shared" si="6"/>
        <v/>
      </c>
      <c r="J101" s="4" t="str">
        <f t="shared" si="7"/>
        <v/>
      </c>
      <c r="K101" s="25" t="str">
        <f t="shared" ca="1" si="8"/>
        <v/>
      </c>
      <c r="L101" s="21" t="str">
        <f t="shared" ca="1" si="9"/>
        <v/>
      </c>
      <c r="M101" s="21" t="str">
        <f>IF(SUMIFS('Input Sheet'!$F$3:$F$1001,'Input Sheet'!$B$3:$B$1001,$H101,'Input Sheet'!$E$3:$E$1001,M$4)=0,"",SUMIFS('Input Sheet'!$F$3:$F$1001,'Input Sheet'!$B$3:$B$1001,$H101,'Input Sheet'!$E$3:$E$1001,M$4))</f>
        <v/>
      </c>
      <c r="N101" s="21" t="str">
        <f>IF(SUMIFS('Input Sheet'!$F$3:$F$1001,'Input Sheet'!$B$3:$B$1001,$H101,'Input Sheet'!$E$3:$E$1001,N$4)=0,"",SUMIFS('Input Sheet'!$F$3:$F$1001,'Input Sheet'!$B$3:$B$1001,$H101,'Input Sheet'!$E$3:$E$1001,N$4))</f>
        <v/>
      </c>
      <c r="O101" s="21" t="str">
        <f>IF(SUMIFS('Input Sheet'!$F$3:$F$1001,'Input Sheet'!$B$3:$B$1001,$H101,'Input Sheet'!$E$3:$E$1001,O$4)=0,"",SUMIFS('Input Sheet'!$F$3:$F$1001,'Input Sheet'!$B$3:$B$1001,$H101,'Input Sheet'!$E$3:$E$1001,O$4))</f>
        <v/>
      </c>
      <c r="P101" s="21" t="str">
        <f>IF(SUMIFS('Input Sheet'!$F$3:$F$1001,'Input Sheet'!$B$3:$B$1001,$H101,'Input Sheet'!$E$3:$E$1001,P$4)=0,"",SUMIFS('Input Sheet'!$F$3:$F$1001,'Input Sheet'!$B$3:$B$1001,$H101,'Input Sheet'!$E$3:$E$1001,P$4))</f>
        <v/>
      </c>
      <c r="Q101" s="21" t="str">
        <f>IF(SUMIFS('Input Sheet'!$F$3:$F$1001,'Input Sheet'!$B$3:$B$1001,$H101,'Input Sheet'!$E$3:$E$1001,Q$4)=0,"",SUMIFS('Input Sheet'!$F$3:$F$1001,'Input Sheet'!$B$3:$B$1001,$H101,'Input Sheet'!$E$3:$E$1001,Q$4))</f>
        <v/>
      </c>
      <c r="R101" s="21" t="str">
        <f>IF(SUMIFS('Input Sheet'!$F$3:$F$1001,'Input Sheet'!$B$3:$B$1001,$H101,'Input Sheet'!$E$3:$E$1001,R$4)=0,"",SUMIFS('Input Sheet'!$F$3:$F$1001,'Input Sheet'!$B$3:$B$1001,$H101,'Input Sheet'!$E$3:$E$1001,R$4))</f>
        <v/>
      </c>
      <c r="S101" s="21" t="str">
        <f>IF(SUMIFS('Input Sheet'!$F$3:$F$1001,'Input Sheet'!$B$3:$B$1001,$H101,'Input Sheet'!$E$3:$E$1001,S$4)=0,"",SUMIFS('Input Sheet'!$F$3:$F$1001,'Input Sheet'!$B$3:$B$1001,$H101,'Input Sheet'!$E$3:$E$1001,S$4))</f>
        <v/>
      </c>
      <c r="T101" s="22">
        <v>96</v>
      </c>
    </row>
    <row r="102" spans="1:20" ht="14.25" customHeight="1" x14ac:dyDescent="0.3">
      <c r="A102" s="4" t="str">
        <f>IF('Input Sheet'!B99=0,"",'Input Sheet'!B99)</f>
        <v/>
      </c>
      <c r="B102" s="24" t="b">
        <f t="shared" si="2"/>
        <v>0</v>
      </c>
      <c r="C102" s="4">
        <f>SUMIF('Input Sheet'!B$3:B$1000,A102,'Input Sheet'!C$3:C$1000)</f>
        <v>0</v>
      </c>
      <c r="D102" s="4">
        <f>SUMIF('Input Sheet'!B$3:B$1000,A102,'Input Sheet'!D$3:D$1000)</f>
        <v>0</v>
      </c>
      <c r="E102" s="4" t="str">
        <f t="shared" ref="E102:F102" ca="1" si="105">IFERROR(RANK(K102,K$6:K$1004,1),"")</f>
        <v/>
      </c>
      <c r="F102" s="4" t="str">
        <f t="shared" ca="1" si="105"/>
        <v/>
      </c>
      <c r="G102" s="4" t="str">
        <f t="shared" ca="1" si="4"/>
        <v/>
      </c>
      <c r="H102" s="4" t="str">
        <f t="shared" si="5"/>
        <v/>
      </c>
      <c r="I102" s="4" t="str">
        <f t="shared" si="6"/>
        <v/>
      </c>
      <c r="J102" s="4" t="str">
        <f t="shared" si="7"/>
        <v/>
      </c>
      <c r="K102" s="25" t="str">
        <f t="shared" ca="1" si="8"/>
        <v/>
      </c>
      <c r="L102" s="21" t="str">
        <f t="shared" ca="1" si="9"/>
        <v/>
      </c>
      <c r="M102" s="21" t="str">
        <f>IF(SUMIFS('Input Sheet'!$F$3:$F$1001,'Input Sheet'!$B$3:$B$1001,$H102,'Input Sheet'!$E$3:$E$1001,M$4)=0,"",SUMIFS('Input Sheet'!$F$3:$F$1001,'Input Sheet'!$B$3:$B$1001,$H102,'Input Sheet'!$E$3:$E$1001,M$4))</f>
        <v/>
      </c>
      <c r="N102" s="21" t="str">
        <f>IF(SUMIFS('Input Sheet'!$F$3:$F$1001,'Input Sheet'!$B$3:$B$1001,$H102,'Input Sheet'!$E$3:$E$1001,N$4)=0,"",SUMIFS('Input Sheet'!$F$3:$F$1001,'Input Sheet'!$B$3:$B$1001,$H102,'Input Sheet'!$E$3:$E$1001,N$4))</f>
        <v/>
      </c>
      <c r="O102" s="21" t="str">
        <f>IF(SUMIFS('Input Sheet'!$F$3:$F$1001,'Input Sheet'!$B$3:$B$1001,$H102,'Input Sheet'!$E$3:$E$1001,O$4)=0,"",SUMIFS('Input Sheet'!$F$3:$F$1001,'Input Sheet'!$B$3:$B$1001,$H102,'Input Sheet'!$E$3:$E$1001,O$4))</f>
        <v/>
      </c>
      <c r="P102" s="21" t="str">
        <f>IF(SUMIFS('Input Sheet'!$F$3:$F$1001,'Input Sheet'!$B$3:$B$1001,$H102,'Input Sheet'!$E$3:$E$1001,P$4)=0,"",SUMIFS('Input Sheet'!$F$3:$F$1001,'Input Sheet'!$B$3:$B$1001,$H102,'Input Sheet'!$E$3:$E$1001,P$4))</f>
        <v/>
      </c>
      <c r="Q102" s="21" t="str">
        <f>IF(SUMIFS('Input Sheet'!$F$3:$F$1001,'Input Sheet'!$B$3:$B$1001,$H102,'Input Sheet'!$E$3:$E$1001,Q$4)=0,"",SUMIFS('Input Sheet'!$F$3:$F$1001,'Input Sheet'!$B$3:$B$1001,$H102,'Input Sheet'!$E$3:$E$1001,Q$4))</f>
        <v/>
      </c>
      <c r="R102" s="21" t="str">
        <f>IF(SUMIFS('Input Sheet'!$F$3:$F$1001,'Input Sheet'!$B$3:$B$1001,$H102,'Input Sheet'!$E$3:$E$1001,R$4)=0,"",SUMIFS('Input Sheet'!$F$3:$F$1001,'Input Sheet'!$B$3:$B$1001,$H102,'Input Sheet'!$E$3:$E$1001,R$4))</f>
        <v/>
      </c>
      <c r="S102" s="21" t="str">
        <f>IF(SUMIFS('Input Sheet'!$F$3:$F$1001,'Input Sheet'!$B$3:$B$1001,$H102,'Input Sheet'!$E$3:$E$1001,S$4)=0,"",SUMIFS('Input Sheet'!$F$3:$F$1001,'Input Sheet'!$B$3:$B$1001,$H102,'Input Sheet'!$E$3:$E$1001,S$4))</f>
        <v/>
      </c>
      <c r="T102" s="22">
        <v>97</v>
      </c>
    </row>
    <row r="103" spans="1:20" ht="14.25" customHeight="1" x14ac:dyDescent="0.3">
      <c r="A103" s="4" t="str">
        <f>IF('Input Sheet'!B100=0,"",'Input Sheet'!B100)</f>
        <v/>
      </c>
      <c r="B103" s="24" t="b">
        <f t="shared" si="2"/>
        <v>0</v>
      </c>
      <c r="C103" s="4">
        <f>SUMIF('Input Sheet'!B$3:B$1000,A103,'Input Sheet'!C$3:C$1000)</f>
        <v>0</v>
      </c>
      <c r="D103" s="4">
        <f>SUMIF('Input Sheet'!B$3:B$1000,A103,'Input Sheet'!D$3:D$1000)</f>
        <v>0</v>
      </c>
      <c r="E103" s="4" t="str">
        <f t="shared" ref="E103:F103" ca="1" si="106">IFERROR(RANK(K103,K$6:K$1004,1),"")</f>
        <v/>
      </c>
      <c r="F103" s="4" t="str">
        <f t="shared" ca="1" si="106"/>
        <v/>
      </c>
      <c r="G103" s="4" t="str">
        <f t="shared" ca="1" si="4"/>
        <v/>
      </c>
      <c r="H103" s="4" t="str">
        <f t="shared" si="5"/>
        <v/>
      </c>
      <c r="I103" s="4" t="str">
        <f t="shared" si="6"/>
        <v/>
      </c>
      <c r="J103" s="4" t="str">
        <f t="shared" si="7"/>
        <v/>
      </c>
      <c r="K103" s="25" t="str">
        <f t="shared" ca="1" si="8"/>
        <v/>
      </c>
      <c r="L103" s="21" t="str">
        <f t="shared" ca="1" si="9"/>
        <v/>
      </c>
      <c r="M103" s="21" t="str">
        <f>IF(SUMIFS('Input Sheet'!$F$3:$F$1001,'Input Sheet'!$B$3:$B$1001,$H103,'Input Sheet'!$E$3:$E$1001,M$4)=0,"",SUMIFS('Input Sheet'!$F$3:$F$1001,'Input Sheet'!$B$3:$B$1001,$H103,'Input Sheet'!$E$3:$E$1001,M$4))</f>
        <v/>
      </c>
      <c r="N103" s="21" t="str">
        <f>IF(SUMIFS('Input Sheet'!$F$3:$F$1001,'Input Sheet'!$B$3:$B$1001,$H103,'Input Sheet'!$E$3:$E$1001,N$4)=0,"",SUMIFS('Input Sheet'!$F$3:$F$1001,'Input Sheet'!$B$3:$B$1001,$H103,'Input Sheet'!$E$3:$E$1001,N$4))</f>
        <v/>
      </c>
      <c r="O103" s="21" t="str">
        <f>IF(SUMIFS('Input Sheet'!$F$3:$F$1001,'Input Sheet'!$B$3:$B$1001,$H103,'Input Sheet'!$E$3:$E$1001,O$4)=0,"",SUMIFS('Input Sheet'!$F$3:$F$1001,'Input Sheet'!$B$3:$B$1001,$H103,'Input Sheet'!$E$3:$E$1001,O$4))</f>
        <v/>
      </c>
      <c r="P103" s="21" t="str">
        <f>IF(SUMIFS('Input Sheet'!$F$3:$F$1001,'Input Sheet'!$B$3:$B$1001,$H103,'Input Sheet'!$E$3:$E$1001,P$4)=0,"",SUMIFS('Input Sheet'!$F$3:$F$1001,'Input Sheet'!$B$3:$B$1001,$H103,'Input Sheet'!$E$3:$E$1001,P$4))</f>
        <v/>
      </c>
      <c r="Q103" s="21" t="str">
        <f>IF(SUMIFS('Input Sheet'!$F$3:$F$1001,'Input Sheet'!$B$3:$B$1001,$H103,'Input Sheet'!$E$3:$E$1001,Q$4)=0,"",SUMIFS('Input Sheet'!$F$3:$F$1001,'Input Sheet'!$B$3:$B$1001,$H103,'Input Sheet'!$E$3:$E$1001,Q$4))</f>
        <v/>
      </c>
      <c r="R103" s="21" t="str">
        <f>IF(SUMIFS('Input Sheet'!$F$3:$F$1001,'Input Sheet'!$B$3:$B$1001,$H103,'Input Sheet'!$E$3:$E$1001,R$4)=0,"",SUMIFS('Input Sheet'!$F$3:$F$1001,'Input Sheet'!$B$3:$B$1001,$H103,'Input Sheet'!$E$3:$E$1001,R$4))</f>
        <v/>
      </c>
      <c r="S103" s="21" t="str">
        <f>IF(SUMIFS('Input Sheet'!$F$3:$F$1001,'Input Sheet'!$B$3:$B$1001,$H103,'Input Sheet'!$E$3:$E$1001,S$4)=0,"",SUMIFS('Input Sheet'!$F$3:$F$1001,'Input Sheet'!$B$3:$B$1001,$H103,'Input Sheet'!$E$3:$E$1001,S$4))</f>
        <v/>
      </c>
      <c r="T103" s="22">
        <v>98</v>
      </c>
    </row>
    <row r="104" spans="1:20" ht="14.25" customHeight="1" x14ac:dyDescent="0.3">
      <c r="A104" s="4" t="str">
        <f>IF('Input Sheet'!B101=0,"",'Input Sheet'!B101)</f>
        <v/>
      </c>
      <c r="B104" s="24" t="b">
        <f t="shared" si="2"/>
        <v>0</v>
      </c>
      <c r="C104" s="4">
        <f>SUMIF('Input Sheet'!B$3:B$1000,A104,'Input Sheet'!C$3:C$1000)</f>
        <v>0</v>
      </c>
      <c r="D104" s="4">
        <f>SUMIF('Input Sheet'!B$3:B$1000,A104,'Input Sheet'!D$3:D$1000)</f>
        <v>0</v>
      </c>
      <c r="E104" s="4" t="str">
        <f t="shared" ref="E104:F104" ca="1" si="107">IFERROR(RANK(K104,K$6:K$1004,1),"")</f>
        <v/>
      </c>
      <c r="F104" s="4" t="str">
        <f t="shared" ca="1" si="107"/>
        <v/>
      </c>
      <c r="G104" s="4" t="str">
        <f t="shared" ca="1" si="4"/>
        <v/>
      </c>
      <c r="H104" s="4" t="str">
        <f t="shared" si="5"/>
        <v/>
      </c>
      <c r="I104" s="4" t="str">
        <f t="shared" si="6"/>
        <v/>
      </c>
      <c r="J104" s="4" t="str">
        <f t="shared" si="7"/>
        <v/>
      </c>
      <c r="K104" s="25" t="str">
        <f t="shared" ca="1" si="8"/>
        <v/>
      </c>
      <c r="L104" s="21" t="str">
        <f t="shared" ca="1" si="9"/>
        <v/>
      </c>
      <c r="M104" s="21" t="str">
        <f>IF(SUMIFS('Input Sheet'!$F$3:$F$1001,'Input Sheet'!$B$3:$B$1001,$H104,'Input Sheet'!$E$3:$E$1001,M$4)=0,"",SUMIFS('Input Sheet'!$F$3:$F$1001,'Input Sheet'!$B$3:$B$1001,$H104,'Input Sheet'!$E$3:$E$1001,M$4))</f>
        <v/>
      </c>
      <c r="N104" s="21" t="str">
        <f>IF(SUMIFS('Input Sheet'!$F$3:$F$1001,'Input Sheet'!$B$3:$B$1001,$H104,'Input Sheet'!$E$3:$E$1001,N$4)=0,"",SUMIFS('Input Sheet'!$F$3:$F$1001,'Input Sheet'!$B$3:$B$1001,$H104,'Input Sheet'!$E$3:$E$1001,N$4))</f>
        <v/>
      </c>
      <c r="O104" s="21" t="str">
        <f>IF(SUMIFS('Input Sheet'!$F$3:$F$1001,'Input Sheet'!$B$3:$B$1001,$H104,'Input Sheet'!$E$3:$E$1001,O$4)=0,"",SUMIFS('Input Sheet'!$F$3:$F$1001,'Input Sheet'!$B$3:$B$1001,$H104,'Input Sheet'!$E$3:$E$1001,O$4))</f>
        <v/>
      </c>
      <c r="P104" s="21" t="str">
        <f>IF(SUMIFS('Input Sheet'!$F$3:$F$1001,'Input Sheet'!$B$3:$B$1001,$H104,'Input Sheet'!$E$3:$E$1001,P$4)=0,"",SUMIFS('Input Sheet'!$F$3:$F$1001,'Input Sheet'!$B$3:$B$1001,$H104,'Input Sheet'!$E$3:$E$1001,P$4))</f>
        <v/>
      </c>
      <c r="Q104" s="21" t="str">
        <f>IF(SUMIFS('Input Sheet'!$F$3:$F$1001,'Input Sheet'!$B$3:$B$1001,$H104,'Input Sheet'!$E$3:$E$1001,Q$4)=0,"",SUMIFS('Input Sheet'!$F$3:$F$1001,'Input Sheet'!$B$3:$B$1001,$H104,'Input Sheet'!$E$3:$E$1001,Q$4))</f>
        <v/>
      </c>
      <c r="R104" s="21" t="str">
        <f>IF(SUMIFS('Input Sheet'!$F$3:$F$1001,'Input Sheet'!$B$3:$B$1001,$H104,'Input Sheet'!$E$3:$E$1001,R$4)=0,"",SUMIFS('Input Sheet'!$F$3:$F$1001,'Input Sheet'!$B$3:$B$1001,$H104,'Input Sheet'!$E$3:$E$1001,R$4))</f>
        <v/>
      </c>
      <c r="S104" s="21" t="str">
        <f>IF(SUMIFS('Input Sheet'!$F$3:$F$1001,'Input Sheet'!$B$3:$B$1001,$H104,'Input Sheet'!$E$3:$E$1001,S$4)=0,"",SUMIFS('Input Sheet'!$F$3:$F$1001,'Input Sheet'!$B$3:$B$1001,$H104,'Input Sheet'!$E$3:$E$1001,S$4))</f>
        <v/>
      </c>
      <c r="T104" s="22">
        <v>99</v>
      </c>
    </row>
    <row r="105" spans="1:20" ht="14.25" customHeight="1" x14ac:dyDescent="0.3">
      <c r="A105" s="4" t="str">
        <f>IF('Input Sheet'!B102=0,"",'Input Sheet'!B102)</f>
        <v/>
      </c>
      <c r="B105" s="24" t="b">
        <f t="shared" si="2"/>
        <v>0</v>
      </c>
      <c r="C105" s="4">
        <f>SUMIF('Input Sheet'!B$3:B$1000,A105,'Input Sheet'!C$3:C$1000)</f>
        <v>0</v>
      </c>
      <c r="D105" s="4">
        <f>SUMIF('Input Sheet'!B$3:B$1000,A105,'Input Sheet'!D$3:D$1000)</f>
        <v>0</v>
      </c>
      <c r="E105" s="4" t="str">
        <f t="shared" ref="E105:F105" ca="1" si="108">IFERROR(RANK(K105,K$6:K$1004,1),"")</f>
        <v/>
      </c>
      <c r="F105" s="4" t="str">
        <f t="shared" ca="1" si="108"/>
        <v/>
      </c>
      <c r="G105" s="4" t="str">
        <f t="shared" ca="1" si="4"/>
        <v/>
      </c>
      <c r="H105" s="4" t="str">
        <f t="shared" si="5"/>
        <v/>
      </c>
      <c r="I105" s="4" t="str">
        <f t="shared" si="6"/>
        <v/>
      </c>
      <c r="J105" s="4" t="str">
        <f t="shared" si="7"/>
        <v/>
      </c>
      <c r="K105" s="25" t="str">
        <f t="shared" ca="1" si="8"/>
        <v/>
      </c>
      <c r="L105" s="21" t="str">
        <f t="shared" ca="1" si="9"/>
        <v/>
      </c>
      <c r="M105" s="21" t="str">
        <f>IF(SUMIFS('Input Sheet'!$F$3:$F$1001,'Input Sheet'!$B$3:$B$1001,$H105,'Input Sheet'!$E$3:$E$1001,M$4)=0,"",SUMIFS('Input Sheet'!$F$3:$F$1001,'Input Sheet'!$B$3:$B$1001,$H105,'Input Sheet'!$E$3:$E$1001,M$4))</f>
        <v/>
      </c>
      <c r="N105" s="21" t="str">
        <f>IF(SUMIFS('Input Sheet'!$F$3:$F$1001,'Input Sheet'!$B$3:$B$1001,$H105,'Input Sheet'!$E$3:$E$1001,N$4)=0,"",SUMIFS('Input Sheet'!$F$3:$F$1001,'Input Sheet'!$B$3:$B$1001,$H105,'Input Sheet'!$E$3:$E$1001,N$4))</f>
        <v/>
      </c>
      <c r="O105" s="21" t="str">
        <f>IF(SUMIFS('Input Sheet'!$F$3:$F$1001,'Input Sheet'!$B$3:$B$1001,$H105,'Input Sheet'!$E$3:$E$1001,O$4)=0,"",SUMIFS('Input Sheet'!$F$3:$F$1001,'Input Sheet'!$B$3:$B$1001,$H105,'Input Sheet'!$E$3:$E$1001,O$4))</f>
        <v/>
      </c>
      <c r="P105" s="21" t="str">
        <f>IF(SUMIFS('Input Sheet'!$F$3:$F$1001,'Input Sheet'!$B$3:$B$1001,$H105,'Input Sheet'!$E$3:$E$1001,P$4)=0,"",SUMIFS('Input Sheet'!$F$3:$F$1001,'Input Sheet'!$B$3:$B$1001,$H105,'Input Sheet'!$E$3:$E$1001,P$4))</f>
        <v/>
      </c>
      <c r="Q105" s="21" t="str">
        <f>IF(SUMIFS('Input Sheet'!$F$3:$F$1001,'Input Sheet'!$B$3:$B$1001,$H105,'Input Sheet'!$E$3:$E$1001,Q$4)=0,"",SUMIFS('Input Sheet'!$F$3:$F$1001,'Input Sheet'!$B$3:$B$1001,$H105,'Input Sheet'!$E$3:$E$1001,Q$4))</f>
        <v/>
      </c>
      <c r="R105" s="21" t="str">
        <f>IF(SUMIFS('Input Sheet'!$F$3:$F$1001,'Input Sheet'!$B$3:$B$1001,$H105,'Input Sheet'!$E$3:$E$1001,R$4)=0,"",SUMIFS('Input Sheet'!$F$3:$F$1001,'Input Sheet'!$B$3:$B$1001,$H105,'Input Sheet'!$E$3:$E$1001,R$4))</f>
        <v/>
      </c>
      <c r="S105" s="21" t="str">
        <f>IF(SUMIFS('Input Sheet'!$F$3:$F$1001,'Input Sheet'!$B$3:$B$1001,$H105,'Input Sheet'!$E$3:$E$1001,S$4)=0,"",SUMIFS('Input Sheet'!$F$3:$F$1001,'Input Sheet'!$B$3:$B$1001,$H105,'Input Sheet'!$E$3:$E$1001,S$4))</f>
        <v/>
      </c>
      <c r="T105" s="22">
        <v>100</v>
      </c>
    </row>
    <row r="106" spans="1:20" ht="14.25" customHeight="1" x14ac:dyDescent="0.3">
      <c r="A106" s="4" t="str">
        <f>IF('Input Sheet'!B103=0,"",'Input Sheet'!B103)</f>
        <v/>
      </c>
      <c r="B106" s="24" t="b">
        <f t="shared" si="2"/>
        <v>0</v>
      </c>
      <c r="C106" s="4">
        <f>SUMIF('Input Sheet'!B$3:B$1000,A106,'Input Sheet'!C$3:C$1000)</f>
        <v>0</v>
      </c>
      <c r="D106" s="4">
        <f>SUMIF('Input Sheet'!B$3:B$1000,A106,'Input Sheet'!D$3:D$1000)</f>
        <v>0</v>
      </c>
      <c r="E106" s="4" t="str">
        <f t="shared" ref="E106:F106" ca="1" si="109">IFERROR(RANK(K106,K$6:K$1004,1),"")</f>
        <v/>
      </c>
      <c r="F106" s="4" t="str">
        <f t="shared" ca="1" si="109"/>
        <v/>
      </c>
      <c r="G106" s="4" t="str">
        <f t="shared" ca="1" si="4"/>
        <v/>
      </c>
      <c r="H106" s="4" t="str">
        <f t="shared" si="5"/>
        <v/>
      </c>
      <c r="I106" s="4" t="str">
        <f t="shared" si="6"/>
        <v/>
      </c>
      <c r="J106" s="4" t="str">
        <f t="shared" si="7"/>
        <v/>
      </c>
      <c r="K106" s="25" t="str">
        <f t="shared" ca="1" si="8"/>
        <v/>
      </c>
      <c r="L106" s="21" t="str">
        <f t="shared" ca="1" si="9"/>
        <v/>
      </c>
      <c r="M106" s="21" t="str">
        <f>IF(SUMIFS('Input Sheet'!$F$3:$F$1001,'Input Sheet'!$B$3:$B$1001,$H106,'Input Sheet'!$E$3:$E$1001,M$4)=0,"",SUMIFS('Input Sheet'!$F$3:$F$1001,'Input Sheet'!$B$3:$B$1001,$H106,'Input Sheet'!$E$3:$E$1001,M$4))</f>
        <v/>
      </c>
      <c r="N106" s="21" t="str">
        <f>IF(SUMIFS('Input Sheet'!$F$3:$F$1001,'Input Sheet'!$B$3:$B$1001,$H106,'Input Sheet'!$E$3:$E$1001,N$4)=0,"",SUMIFS('Input Sheet'!$F$3:$F$1001,'Input Sheet'!$B$3:$B$1001,$H106,'Input Sheet'!$E$3:$E$1001,N$4))</f>
        <v/>
      </c>
      <c r="O106" s="21" t="str">
        <f>IF(SUMIFS('Input Sheet'!$F$3:$F$1001,'Input Sheet'!$B$3:$B$1001,$H106,'Input Sheet'!$E$3:$E$1001,O$4)=0,"",SUMIFS('Input Sheet'!$F$3:$F$1001,'Input Sheet'!$B$3:$B$1001,$H106,'Input Sheet'!$E$3:$E$1001,O$4))</f>
        <v/>
      </c>
      <c r="P106" s="21" t="str">
        <f>IF(SUMIFS('Input Sheet'!$F$3:$F$1001,'Input Sheet'!$B$3:$B$1001,$H106,'Input Sheet'!$E$3:$E$1001,P$4)=0,"",SUMIFS('Input Sheet'!$F$3:$F$1001,'Input Sheet'!$B$3:$B$1001,$H106,'Input Sheet'!$E$3:$E$1001,P$4))</f>
        <v/>
      </c>
      <c r="Q106" s="21" t="str">
        <f>IF(SUMIFS('Input Sheet'!$F$3:$F$1001,'Input Sheet'!$B$3:$B$1001,$H106,'Input Sheet'!$E$3:$E$1001,Q$4)=0,"",SUMIFS('Input Sheet'!$F$3:$F$1001,'Input Sheet'!$B$3:$B$1001,$H106,'Input Sheet'!$E$3:$E$1001,Q$4))</f>
        <v/>
      </c>
      <c r="R106" s="21" t="str">
        <f>IF(SUMIFS('Input Sheet'!$F$3:$F$1001,'Input Sheet'!$B$3:$B$1001,$H106,'Input Sheet'!$E$3:$E$1001,R$4)=0,"",SUMIFS('Input Sheet'!$F$3:$F$1001,'Input Sheet'!$B$3:$B$1001,$H106,'Input Sheet'!$E$3:$E$1001,R$4))</f>
        <v/>
      </c>
      <c r="S106" s="21" t="str">
        <f>IF(SUMIFS('Input Sheet'!$F$3:$F$1001,'Input Sheet'!$B$3:$B$1001,$H106,'Input Sheet'!$E$3:$E$1001,S$4)=0,"",SUMIFS('Input Sheet'!$F$3:$F$1001,'Input Sheet'!$B$3:$B$1001,$H106,'Input Sheet'!$E$3:$E$1001,S$4))</f>
        <v/>
      </c>
      <c r="T106" s="22">
        <v>101</v>
      </c>
    </row>
    <row r="107" spans="1:20" ht="14.25" customHeight="1" x14ac:dyDescent="0.3">
      <c r="A107" s="4" t="str">
        <f>IF('Input Sheet'!B104=0,"",'Input Sheet'!B104)</f>
        <v/>
      </c>
      <c r="B107" s="24" t="b">
        <f t="shared" si="2"/>
        <v>0</v>
      </c>
      <c r="C107" s="4">
        <f>SUMIF('Input Sheet'!B$3:B$1000,A107,'Input Sheet'!C$3:C$1000)</f>
        <v>0</v>
      </c>
      <c r="D107" s="4">
        <f>SUMIF('Input Sheet'!B$3:B$1000,A107,'Input Sheet'!D$3:D$1000)</f>
        <v>0</v>
      </c>
      <c r="E107" s="4" t="str">
        <f t="shared" ref="E107:F107" ca="1" si="110">IFERROR(RANK(K107,K$6:K$1004,1),"")</f>
        <v/>
      </c>
      <c r="F107" s="4" t="str">
        <f t="shared" ca="1" si="110"/>
        <v/>
      </c>
      <c r="G107" s="4" t="str">
        <f t="shared" ca="1" si="4"/>
        <v/>
      </c>
      <c r="H107" s="4" t="str">
        <f t="shared" si="5"/>
        <v/>
      </c>
      <c r="I107" s="4" t="str">
        <f t="shared" si="6"/>
        <v/>
      </c>
      <c r="J107" s="4" t="str">
        <f t="shared" si="7"/>
        <v/>
      </c>
      <c r="K107" s="25" t="str">
        <f t="shared" ca="1" si="8"/>
        <v/>
      </c>
      <c r="L107" s="21" t="str">
        <f t="shared" ca="1" si="9"/>
        <v/>
      </c>
      <c r="M107" s="21" t="str">
        <f>IF(SUMIFS('Input Sheet'!$F$3:$F$1001,'Input Sheet'!$B$3:$B$1001,$H107,'Input Sheet'!$E$3:$E$1001,M$4)=0,"",SUMIFS('Input Sheet'!$F$3:$F$1001,'Input Sheet'!$B$3:$B$1001,$H107,'Input Sheet'!$E$3:$E$1001,M$4))</f>
        <v/>
      </c>
      <c r="N107" s="21" t="str">
        <f>IF(SUMIFS('Input Sheet'!$F$3:$F$1001,'Input Sheet'!$B$3:$B$1001,$H107,'Input Sheet'!$E$3:$E$1001,N$4)=0,"",SUMIFS('Input Sheet'!$F$3:$F$1001,'Input Sheet'!$B$3:$B$1001,$H107,'Input Sheet'!$E$3:$E$1001,N$4))</f>
        <v/>
      </c>
      <c r="O107" s="21" t="str">
        <f>IF(SUMIFS('Input Sheet'!$F$3:$F$1001,'Input Sheet'!$B$3:$B$1001,$H107,'Input Sheet'!$E$3:$E$1001,O$4)=0,"",SUMIFS('Input Sheet'!$F$3:$F$1001,'Input Sheet'!$B$3:$B$1001,$H107,'Input Sheet'!$E$3:$E$1001,O$4))</f>
        <v/>
      </c>
      <c r="P107" s="21" t="str">
        <f>IF(SUMIFS('Input Sheet'!$F$3:$F$1001,'Input Sheet'!$B$3:$B$1001,$H107,'Input Sheet'!$E$3:$E$1001,P$4)=0,"",SUMIFS('Input Sheet'!$F$3:$F$1001,'Input Sheet'!$B$3:$B$1001,$H107,'Input Sheet'!$E$3:$E$1001,P$4))</f>
        <v/>
      </c>
      <c r="Q107" s="21" t="str">
        <f>IF(SUMIFS('Input Sheet'!$F$3:$F$1001,'Input Sheet'!$B$3:$B$1001,$H107,'Input Sheet'!$E$3:$E$1001,Q$4)=0,"",SUMIFS('Input Sheet'!$F$3:$F$1001,'Input Sheet'!$B$3:$B$1001,$H107,'Input Sheet'!$E$3:$E$1001,Q$4))</f>
        <v/>
      </c>
      <c r="R107" s="21" t="str">
        <f>IF(SUMIFS('Input Sheet'!$F$3:$F$1001,'Input Sheet'!$B$3:$B$1001,$H107,'Input Sheet'!$E$3:$E$1001,R$4)=0,"",SUMIFS('Input Sheet'!$F$3:$F$1001,'Input Sheet'!$B$3:$B$1001,$H107,'Input Sheet'!$E$3:$E$1001,R$4))</f>
        <v/>
      </c>
      <c r="S107" s="21" t="str">
        <f>IF(SUMIFS('Input Sheet'!$F$3:$F$1001,'Input Sheet'!$B$3:$B$1001,$H107,'Input Sheet'!$E$3:$E$1001,S$4)=0,"",SUMIFS('Input Sheet'!$F$3:$F$1001,'Input Sheet'!$B$3:$B$1001,$H107,'Input Sheet'!$E$3:$E$1001,S$4))</f>
        <v/>
      </c>
      <c r="T107" s="22">
        <v>102</v>
      </c>
    </row>
    <row r="108" spans="1:20" ht="14.25" customHeight="1" x14ac:dyDescent="0.3">
      <c r="A108" s="4" t="str">
        <f>IF('Input Sheet'!B105=0,"",'Input Sheet'!B105)</f>
        <v/>
      </c>
      <c r="B108" s="24" t="b">
        <f t="shared" si="2"/>
        <v>0</v>
      </c>
      <c r="C108" s="4">
        <f>SUMIF('Input Sheet'!B$3:B$1000,A108,'Input Sheet'!C$3:C$1000)</f>
        <v>0</v>
      </c>
      <c r="D108" s="4">
        <f>SUMIF('Input Sheet'!B$3:B$1000,A108,'Input Sheet'!D$3:D$1000)</f>
        <v>0</v>
      </c>
      <c r="E108" s="4" t="str">
        <f t="shared" ref="E108:F108" ca="1" si="111">IFERROR(RANK(K108,K$6:K$1004,1),"")</f>
        <v/>
      </c>
      <c r="F108" s="4" t="str">
        <f t="shared" ca="1" si="111"/>
        <v/>
      </c>
      <c r="G108" s="4" t="str">
        <f t="shared" ca="1" si="4"/>
        <v/>
      </c>
      <c r="H108" s="4" t="str">
        <f t="shared" si="5"/>
        <v/>
      </c>
      <c r="I108" s="4" t="str">
        <f t="shared" si="6"/>
        <v/>
      </c>
      <c r="J108" s="4" t="str">
        <f t="shared" si="7"/>
        <v/>
      </c>
      <c r="K108" s="25" t="str">
        <f t="shared" ca="1" si="8"/>
        <v/>
      </c>
      <c r="L108" s="21" t="str">
        <f t="shared" ca="1" si="9"/>
        <v/>
      </c>
      <c r="M108" s="21" t="str">
        <f>IF(SUMIFS('Input Sheet'!$F$3:$F$1001,'Input Sheet'!$B$3:$B$1001,$H108,'Input Sheet'!$E$3:$E$1001,M$4)=0,"",SUMIFS('Input Sheet'!$F$3:$F$1001,'Input Sheet'!$B$3:$B$1001,$H108,'Input Sheet'!$E$3:$E$1001,M$4))</f>
        <v/>
      </c>
      <c r="N108" s="21" t="str">
        <f>IF(SUMIFS('Input Sheet'!$F$3:$F$1001,'Input Sheet'!$B$3:$B$1001,$H108,'Input Sheet'!$E$3:$E$1001,N$4)=0,"",SUMIFS('Input Sheet'!$F$3:$F$1001,'Input Sheet'!$B$3:$B$1001,$H108,'Input Sheet'!$E$3:$E$1001,N$4))</f>
        <v/>
      </c>
      <c r="O108" s="21" t="str">
        <f>IF(SUMIFS('Input Sheet'!$F$3:$F$1001,'Input Sheet'!$B$3:$B$1001,$H108,'Input Sheet'!$E$3:$E$1001,O$4)=0,"",SUMIFS('Input Sheet'!$F$3:$F$1001,'Input Sheet'!$B$3:$B$1001,$H108,'Input Sheet'!$E$3:$E$1001,O$4))</f>
        <v/>
      </c>
      <c r="P108" s="21" t="str">
        <f>IF(SUMIFS('Input Sheet'!$F$3:$F$1001,'Input Sheet'!$B$3:$B$1001,$H108,'Input Sheet'!$E$3:$E$1001,P$4)=0,"",SUMIFS('Input Sheet'!$F$3:$F$1001,'Input Sheet'!$B$3:$B$1001,$H108,'Input Sheet'!$E$3:$E$1001,P$4))</f>
        <v/>
      </c>
      <c r="Q108" s="21" t="str">
        <f>IF(SUMIFS('Input Sheet'!$F$3:$F$1001,'Input Sheet'!$B$3:$B$1001,$H108,'Input Sheet'!$E$3:$E$1001,Q$4)=0,"",SUMIFS('Input Sheet'!$F$3:$F$1001,'Input Sheet'!$B$3:$B$1001,$H108,'Input Sheet'!$E$3:$E$1001,Q$4))</f>
        <v/>
      </c>
      <c r="R108" s="21" t="str">
        <f>IF(SUMIFS('Input Sheet'!$F$3:$F$1001,'Input Sheet'!$B$3:$B$1001,$H108,'Input Sheet'!$E$3:$E$1001,R$4)=0,"",SUMIFS('Input Sheet'!$F$3:$F$1001,'Input Sheet'!$B$3:$B$1001,$H108,'Input Sheet'!$E$3:$E$1001,R$4))</f>
        <v/>
      </c>
      <c r="S108" s="21" t="str">
        <f>IF(SUMIFS('Input Sheet'!$F$3:$F$1001,'Input Sheet'!$B$3:$B$1001,$H108,'Input Sheet'!$E$3:$E$1001,S$4)=0,"",SUMIFS('Input Sheet'!$F$3:$F$1001,'Input Sheet'!$B$3:$B$1001,$H108,'Input Sheet'!$E$3:$E$1001,S$4))</f>
        <v/>
      </c>
      <c r="T108" s="22">
        <v>103</v>
      </c>
    </row>
    <row r="109" spans="1:20" ht="14.25" customHeight="1" x14ac:dyDescent="0.3">
      <c r="A109" s="4" t="str">
        <f>IF('Input Sheet'!B106=0,"",'Input Sheet'!B106)</f>
        <v/>
      </c>
      <c r="B109" s="24" t="b">
        <f t="shared" si="2"/>
        <v>0</v>
      </c>
      <c r="C109" s="4">
        <f>SUMIF('Input Sheet'!B$3:B$1000,A109,'Input Sheet'!C$3:C$1000)</f>
        <v>0</v>
      </c>
      <c r="D109" s="4">
        <f>SUMIF('Input Sheet'!B$3:B$1000,A109,'Input Sheet'!D$3:D$1000)</f>
        <v>0</v>
      </c>
      <c r="E109" s="4" t="str">
        <f t="shared" ref="E109:F109" ca="1" si="112">IFERROR(RANK(K109,K$6:K$1004,1),"")</f>
        <v/>
      </c>
      <c r="F109" s="4" t="str">
        <f t="shared" ca="1" si="112"/>
        <v/>
      </c>
      <c r="G109" s="4" t="str">
        <f t="shared" ca="1" si="4"/>
        <v/>
      </c>
      <c r="H109" s="4" t="str">
        <f t="shared" si="5"/>
        <v/>
      </c>
      <c r="I109" s="4" t="str">
        <f t="shared" si="6"/>
        <v/>
      </c>
      <c r="J109" s="4" t="str">
        <f t="shared" si="7"/>
        <v/>
      </c>
      <c r="K109" s="25" t="str">
        <f t="shared" ca="1" si="8"/>
        <v/>
      </c>
      <c r="L109" s="21" t="str">
        <f t="shared" ca="1" si="9"/>
        <v/>
      </c>
      <c r="M109" s="21" t="str">
        <f>IF(SUMIFS('Input Sheet'!$F$3:$F$1001,'Input Sheet'!$B$3:$B$1001,$H109,'Input Sheet'!$E$3:$E$1001,M$4)=0,"",SUMIFS('Input Sheet'!$F$3:$F$1001,'Input Sheet'!$B$3:$B$1001,$H109,'Input Sheet'!$E$3:$E$1001,M$4))</f>
        <v/>
      </c>
      <c r="N109" s="21" t="str">
        <f>IF(SUMIFS('Input Sheet'!$F$3:$F$1001,'Input Sheet'!$B$3:$B$1001,$H109,'Input Sheet'!$E$3:$E$1001,N$4)=0,"",SUMIFS('Input Sheet'!$F$3:$F$1001,'Input Sheet'!$B$3:$B$1001,$H109,'Input Sheet'!$E$3:$E$1001,N$4))</f>
        <v/>
      </c>
      <c r="O109" s="21" t="str">
        <f>IF(SUMIFS('Input Sheet'!$F$3:$F$1001,'Input Sheet'!$B$3:$B$1001,$H109,'Input Sheet'!$E$3:$E$1001,O$4)=0,"",SUMIFS('Input Sheet'!$F$3:$F$1001,'Input Sheet'!$B$3:$B$1001,$H109,'Input Sheet'!$E$3:$E$1001,O$4))</f>
        <v/>
      </c>
      <c r="P109" s="21" t="str">
        <f>IF(SUMIFS('Input Sheet'!$F$3:$F$1001,'Input Sheet'!$B$3:$B$1001,$H109,'Input Sheet'!$E$3:$E$1001,P$4)=0,"",SUMIFS('Input Sheet'!$F$3:$F$1001,'Input Sheet'!$B$3:$B$1001,$H109,'Input Sheet'!$E$3:$E$1001,P$4))</f>
        <v/>
      </c>
      <c r="Q109" s="21" t="str">
        <f>IF(SUMIFS('Input Sheet'!$F$3:$F$1001,'Input Sheet'!$B$3:$B$1001,$H109,'Input Sheet'!$E$3:$E$1001,Q$4)=0,"",SUMIFS('Input Sheet'!$F$3:$F$1001,'Input Sheet'!$B$3:$B$1001,$H109,'Input Sheet'!$E$3:$E$1001,Q$4))</f>
        <v/>
      </c>
      <c r="R109" s="21" t="str">
        <f>IF(SUMIFS('Input Sheet'!$F$3:$F$1001,'Input Sheet'!$B$3:$B$1001,$H109,'Input Sheet'!$E$3:$E$1001,R$4)=0,"",SUMIFS('Input Sheet'!$F$3:$F$1001,'Input Sheet'!$B$3:$B$1001,$H109,'Input Sheet'!$E$3:$E$1001,R$4))</f>
        <v/>
      </c>
      <c r="S109" s="21" t="str">
        <f>IF(SUMIFS('Input Sheet'!$F$3:$F$1001,'Input Sheet'!$B$3:$B$1001,$H109,'Input Sheet'!$E$3:$E$1001,S$4)=0,"",SUMIFS('Input Sheet'!$F$3:$F$1001,'Input Sheet'!$B$3:$B$1001,$H109,'Input Sheet'!$E$3:$E$1001,S$4))</f>
        <v/>
      </c>
      <c r="T109" s="22">
        <v>104</v>
      </c>
    </row>
    <row r="110" spans="1:20" ht="14.25" customHeight="1" x14ac:dyDescent="0.3">
      <c r="A110" s="4" t="str">
        <f>IF('Input Sheet'!B107=0,"",'Input Sheet'!B107)</f>
        <v/>
      </c>
      <c r="B110" s="24" t="b">
        <f t="shared" si="2"/>
        <v>0</v>
      </c>
      <c r="C110" s="4">
        <f>SUMIF('Input Sheet'!B$3:B$1000,A110,'Input Sheet'!C$3:C$1000)</f>
        <v>0</v>
      </c>
      <c r="D110" s="4">
        <f>SUMIF('Input Sheet'!B$3:B$1000,A110,'Input Sheet'!D$3:D$1000)</f>
        <v>0</v>
      </c>
      <c r="E110" s="4" t="str">
        <f t="shared" ref="E110:F110" ca="1" si="113">IFERROR(RANK(K110,K$6:K$1004,1),"")</f>
        <v/>
      </c>
      <c r="F110" s="4" t="str">
        <f t="shared" ca="1" si="113"/>
        <v/>
      </c>
      <c r="G110" s="4" t="str">
        <f t="shared" ca="1" si="4"/>
        <v/>
      </c>
      <c r="H110" s="4" t="str">
        <f t="shared" si="5"/>
        <v/>
      </c>
      <c r="I110" s="4" t="str">
        <f t="shared" si="6"/>
        <v/>
      </c>
      <c r="J110" s="4" t="str">
        <f t="shared" si="7"/>
        <v/>
      </c>
      <c r="K110" s="25" t="str">
        <f t="shared" ca="1" si="8"/>
        <v/>
      </c>
      <c r="L110" s="21" t="str">
        <f t="shared" ca="1" si="9"/>
        <v/>
      </c>
      <c r="M110" s="21" t="str">
        <f>IF(SUMIFS('Input Sheet'!$F$3:$F$1001,'Input Sheet'!$B$3:$B$1001,$H110,'Input Sheet'!$E$3:$E$1001,M$4)=0,"",SUMIFS('Input Sheet'!$F$3:$F$1001,'Input Sheet'!$B$3:$B$1001,$H110,'Input Sheet'!$E$3:$E$1001,M$4))</f>
        <v/>
      </c>
      <c r="N110" s="21" t="str">
        <f>IF(SUMIFS('Input Sheet'!$F$3:$F$1001,'Input Sheet'!$B$3:$B$1001,$H110,'Input Sheet'!$E$3:$E$1001,N$4)=0,"",SUMIFS('Input Sheet'!$F$3:$F$1001,'Input Sheet'!$B$3:$B$1001,$H110,'Input Sheet'!$E$3:$E$1001,N$4))</f>
        <v/>
      </c>
      <c r="O110" s="21" t="str">
        <f>IF(SUMIFS('Input Sheet'!$F$3:$F$1001,'Input Sheet'!$B$3:$B$1001,$H110,'Input Sheet'!$E$3:$E$1001,O$4)=0,"",SUMIFS('Input Sheet'!$F$3:$F$1001,'Input Sheet'!$B$3:$B$1001,$H110,'Input Sheet'!$E$3:$E$1001,O$4))</f>
        <v/>
      </c>
      <c r="P110" s="21" t="str">
        <f>IF(SUMIFS('Input Sheet'!$F$3:$F$1001,'Input Sheet'!$B$3:$B$1001,$H110,'Input Sheet'!$E$3:$E$1001,P$4)=0,"",SUMIFS('Input Sheet'!$F$3:$F$1001,'Input Sheet'!$B$3:$B$1001,$H110,'Input Sheet'!$E$3:$E$1001,P$4))</f>
        <v/>
      </c>
      <c r="Q110" s="21" t="str">
        <f>IF(SUMIFS('Input Sheet'!$F$3:$F$1001,'Input Sheet'!$B$3:$B$1001,$H110,'Input Sheet'!$E$3:$E$1001,Q$4)=0,"",SUMIFS('Input Sheet'!$F$3:$F$1001,'Input Sheet'!$B$3:$B$1001,$H110,'Input Sheet'!$E$3:$E$1001,Q$4))</f>
        <v/>
      </c>
      <c r="R110" s="21" t="str">
        <f>IF(SUMIFS('Input Sheet'!$F$3:$F$1001,'Input Sheet'!$B$3:$B$1001,$H110,'Input Sheet'!$E$3:$E$1001,R$4)=0,"",SUMIFS('Input Sheet'!$F$3:$F$1001,'Input Sheet'!$B$3:$B$1001,$H110,'Input Sheet'!$E$3:$E$1001,R$4))</f>
        <v/>
      </c>
      <c r="S110" s="21" t="str">
        <f>IF(SUMIFS('Input Sheet'!$F$3:$F$1001,'Input Sheet'!$B$3:$B$1001,$H110,'Input Sheet'!$E$3:$E$1001,S$4)=0,"",SUMIFS('Input Sheet'!$F$3:$F$1001,'Input Sheet'!$B$3:$B$1001,$H110,'Input Sheet'!$E$3:$E$1001,S$4))</f>
        <v/>
      </c>
      <c r="T110" s="22">
        <v>105</v>
      </c>
    </row>
    <row r="111" spans="1:20" ht="14.25" customHeight="1" x14ac:dyDescent="0.3">
      <c r="A111" s="4" t="str">
        <f>IF('Input Sheet'!B108=0,"",'Input Sheet'!B108)</f>
        <v/>
      </c>
      <c r="B111" s="24" t="b">
        <f t="shared" si="2"/>
        <v>0</v>
      </c>
      <c r="C111" s="4">
        <f>SUMIF('Input Sheet'!B$3:B$1000,A111,'Input Sheet'!C$3:C$1000)</f>
        <v>0</v>
      </c>
      <c r="D111" s="4">
        <f>SUMIF('Input Sheet'!B$3:B$1000,A111,'Input Sheet'!D$3:D$1000)</f>
        <v>0</v>
      </c>
      <c r="E111" s="4" t="str">
        <f t="shared" ref="E111:F111" ca="1" si="114">IFERROR(RANK(K111,K$6:K$1004,1),"")</f>
        <v/>
      </c>
      <c r="F111" s="4" t="str">
        <f t="shared" ca="1" si="114"/>
        <v/>
      </c>
      <c r="G111" s="4" t="str">
        <f t="shared" ca="1" si="4"/>
        <v/>
      </c>
      <c r="H111" s="4" t="str">
        <f t="shared" si="5"/>
        <v/>
      </c>
      <c r="I111" s="4" t="str">
        <f t="shared" si="6"/>
        <v/>
      </c>
      <c r="J111" s="4" t="str">
        <f t="shared" si="7"/>
        <v/>
      </c>
      <c r="K111" s="25" t="str">
        <f t="shared" ca="1" si="8"/>
        <v/>
      </c>
      <c r="L111" s="21" t="str">
        <f t="shared" ca="1" si="9"/>
        <v/>
      </c>
      <c r="M111" s="21" t="str">
        <f>IF(SUMIFS('Input Sheet'!$F$3:$F$1001,'Input Sheet'!$B$3:$B$1001,$H111,'Input Sheet'!$E$3:$E$1001,M$4)=0,"",SUMIFS('Input Sheet'!$F$3:$F$1001,'Input Sheet'!$B$3:$B$1001,$H111,'Input Sheet'!$E$3:$E$1001,M$4))</f>
        <v/>
      </c>
      <c r="N111" s="21" t="str">
        <f>IF(SUMIFS('Input Sheet'!$F$3:$F$1001,'Input Sheet'!$B$3:$B$1001,$H111,'Input Sheet'!$E$3:$E$1001,N$4)=0,"",SUMIFS('Input Sheet'!$F$3:$F$1001,'Input Sheet'!$B$3:$B$1001,$H111,'Input Sheet'!$E$3:$E$1001,N$4))</f>
        <v/>
      </c>
      <c r="O111" s="21" t="str">
        <f>IF(SUMIFS('Input Sheet'!$F$3:$F$1001,'Input Sheet'!$B$3:$B$1001,$H111,'Input Sheet'!$E$3:$E$1001,O$4)=0,"",SUMIFS('Input Sheet'!$F$3:$F$1001,'Input Sheet'!$B$3:$B$1001,$H111,'Input Sheet'!$E$3:$E$1001,O$4))</f>
        <v/>
      </c>
      <c r="P111" s="21" t="str">
        <f>IF(SUMIFS('Input Sheet'!$F$3:$F$1001,'Input Sheet'!$B$3:$B$1001,$H111,'Input Sheet'!$E$3:$E$1001,P$4)=0,"",SUMIFS('Input Sheet'!$F$3:$F$1001,'Input Sheet'!$B$3:$B$1001,$H111,'Input Sheet'!$E$3:$E$1001,P$4))</f>
        <v/>
      </c>
      <c r="Q111" s="21" t="str">
        <f>IF(SUMIFS('Input Sheet'!$F$3:$F$1001,'Input Sheet'!$B$3:$B$1001,$H111,'Input Sheet'!$E$3:$E$1001,Q$4)=0,"",SUMIFS('Input Sheet'!$F$3:$F$1001,'Input Sheet'!$B$3:$B$1001,$H111,'Input Sheet'!$E$3:$E$1001,Q$4))</f>
        <v/>
      </c>
      <c r="R111" s="21" t="str">
        <f>IF(SUMIFS('Input Sheet'!$F$3:$F$1001,'Input Sheet'!$B$3:$B$1001,$H111,'Input Sheet'!$E$3:$E$1001,R$4)=0,"",SUMIFS('Input Sheet'!$F$3:$F$1001,'Input Sheet'!$B$3:$B$1001,$H111,'Input Sheet'!$E$3:$E$1001,R$4))</f>
        <v/>
      </c>
      <c r="S111" s="21" t="str">
        <f>IF(SUMIFS('Input Sheet'!$F$3:$F$1001,'Input Sheet'!$B$3:$B$1001,$H111,'Input Sheet'!$E$3:$E$1001,S$4)=0,"",SUMIFS('Input Sheet'!$F$3:$F$1001,'Input Sheet'!$B$3:$B$1001,$H111,'Input Sheet'!$E$3:$E$1001,S$4))</f>
        <v/>
      </c>
      <c r="T111" s="22">
        <v>106</v>
      </c>
    </row>
    <row r="112" spans="1:20" ht="14.25" customHeight="1" x14ac:dyDescent="0.3">
      <c r="A112" s="4" t="str">
        <f>IF('Input Sheet'!B109=0,"",'Input Sheet'!B109)</f>
        <v/>
      </c>
      <c r="B112" s="24" t="b">
        <f t="shared" si="2"/>
        <v>0</v>
      </c>
      <c r="C112" s="4">
        <f>SUMIF('Input Sheet'!B$3:B$1000,A112,'Input Sheet'!C$3:C$1000)</f>
        <v>0</v>
      </c>
      <c r="D112" s="4">
        <f>SUMIF('Input Sheet'!B$3:B$1000,A112,'Input Sheet'!D$3:D$1000)</f>
        <v>0</v>
      </c>
      <c r="E112" s="4" t="str">
        <f t="shared" ref="E112:F112" ca="1" si="115">IFERROR(RANK(K112,K$6:K$1004,1),"")</f>
        <v/>
      </c>
      <c r="F112" s="4" t="str">
        <f t="shared" ca="1" si="115"/>
        <v/>
      </c>
      <c r="G112" s="4" t="str">
        <f t="shared" ca="1" si="4"/>
        <v/>
      </c>
      <c r="H112" s="4" t="str">
        <f t="shared" si="5"/>
        <v/>
      </c>
      <c r="I112" s="4" t="str">
        <f t="shared" si="6"/>
        <v/>
      </c>
      <c r="J112" s="4" t="str">
        <f t="shared" si="7"/>
        <v/>
      </c>
      <c r="K112" s="25" t="str">
        <f t="shared" ca="1" si="8"/>
        <v/>
      </c>
      <c r="L112" s="21" t="str">
        <f t="shared" ca="1" si="9"/>
        <v/>
      </c>
      <c r="M112" s="21" t="str">
        <f>IF(SUMIFS('Input Sheet'!$F$3:$F$1001,'Input Sheet'!$B$3:$B$1001,$H112,'Input Sheet'!$E$3:$E$1001,M$4)=0,"",SUMIFS('Input Sheet'!$F$3:$F$1001,'Input Sheet'!$B$3:$B$1001,$H112,'Input Sheet'!$E$3:$E$1001,M$4))</f>
        <v/>
      </c>
      <c r="N112" s="21" t="str">
        <f>IF(SUMIFS('Input Sheet'!$F$3:$F$1001,'Input Sheet'!$B$3:$B$1001,$H112,'Input Sheet'!$E$3:$E$1001,N$4)=0,"",SUMIFS('Input Sheet'!$F$3:$F$1001,'Input Sheet'!$B$3:$B$1001,$H112,'Input Sheet'!$E$3:$E$1001,N$4))</f>
        <v/>
      </c>
      <c r="O112" s="21" t="str">
        <f>IF(SUMIFS('Input Sheet'!$F$3:$F$1001,'Input Sheet'!$B$3:$B$1001,$H112,'Input Sheet'!$E$3:$E$1001,O$4)=0,"",SUMIFS('Input Sheet'!$F$3:$F$1001,'Input Sheet'!$B$3:$B$1001,$H112,'Input Sheet'!$E$3:$E$1001,O$4))</f>
        <v/>
      </c>
      <c r="P112" s="21" t="str">
        <f>IF(SUMIFS('Input Sheet'!$F$3:$F$1001,'Input Sheet'!$B$3:$B$1001,$H112,'Input Sheet'!$E$3:$E$1001,P$4)=0,"",SUMIFS('Input Sheet'!$F$3:$F$1001,'Input Sheet'!$B$3:$B$1001,$H112,'Input Sheet'!$E$3:$E$1001,P$4))</f>
        <v/>
      </c>
      <c r="Q112" s="21" t="str">
        <f>IF(SUMIFS('Input Sheet'!$F$3:$F$1001,'Input Sheet'!$B$3:$B$1001,$H112,'Input Sheet'!$E$3:$E$1001,Q$4)=0,"",SUMIFS('Input Sheet'!$F$3:$F$1001,'Input Sheet'!$B$3:$B$1001,$H112,'Input Sheet'!$E$3:$E$1001,Q$4))</f>
        <v/>
      </c>
      <c r="R112" s="21" t="str">
        <f>IF(SUMIFS('Input Sheet'!$F$3:$F$1001,'Input Sheet'!$B$3:$B$1001,$H112,'Input Sheet'!$E$3:$E$1001,R$4)=0,"",SUMIFS('Input Sheet'!$F$3:$F$1001,'Input Sheet'!$B$3:$B$1001,$H112,'Input Sheet'!$E$3:$E$1001,R$4))</f>
        <v/>
      </c>
      <c r="S112" s="21" t="str">
        <f>IF(SUMIFS('Input Sheet'!$F$3:$F$1001,'Input Sheet'!$B$3:$B$1001,$H112,'Input Sheet'!$E$3:$E$1001,S$4)=0,"",SUMIFS('Input Sheet'!$F$3:$F$1001,'Input Sheet'!$B$3:$B$1001,$H112,'Input Sheet'!$E$3:$E$1001,S$4))</f>
        <v/>
      </c>
      <c r="T112" s="22">
        <v>107</v>
      </c>
    </row>
    <row r="113" spans="1:20" ht="14.25" customHeight="1" x14ac:dyDescent="0.3">
      <c r="A113" s="4" t="str">
        <f>IF('Input Sheet'!B110=0,"",'Input Sheet'!B110)</f>
        <v/>
      </c>
      <c r="B113" s="24" t="b">
        <f t="shared" si="2"/>
        <v>0</v>
      </c>
      <c r="C113" s="4">
        <f>SUMIF('Input Sheet'!B$3:B$1000,A113,'Input Sheet'!C$3:C$1000)</f>
        <v>0</v>
      </c>
      <c r="D113" s="4">
        <f>SUMIF('Input Sheet'!B$3:B$1000,A113,'Input Sheet'!D$3:D$1000)</f>
        <v>0</v>
      </c>
      <c r="E113" s="4" t="str">
        <f t="shared" ref="E113:F113" ca="1" si="116">IFERROR(RANK(K113,K$6:K$1004,1),"")</f>
        <v/>
      </c>
      <c r="F113" s="4" t="str">
        <f t="shared" ca="1" si="116"/>
        <v/>
      </c>
      <c r="G113" s="4" t="str">
        <f t="shared" ca="1" si="4"/>
        <v/>
      </c>
      <c r="H113" s="4" t="str">
        <f t="shared" si="5"/>
        <v/>
      </c>
      <c r="I113" s="4" t="str">
        <f t="shared" si="6"/>
        <v/>
      </c>
      <c r="J113" s="4" t="str">
        <f t="shared" si="7"/>
        <v/>
      </c>
      <c r="K113" s="25" t="str">
        <f t="shared" ca="1" si="8"/>
        <v/>
      </c>
      <c r="L113" s="21" t="str">
        <f t="shared" ca="1" si="9"/>
        <v/>
      </c>
      <c r="M113" s="21" t="str">
        <f>IF(SUMIFS('Input Sheet'!$F$3:$F$1001,'Input Sheet'!$B$3:$B$1001,$H113,'Input Sheet'!$E$3:$E$1001,M$4)=0,"",SUMIFS('Input Sheet'!$F$3:$F$1001,'Input Sheet'!$B$3:$B$1001,$H113,'Input Sheet'!$E$3:$E$1001,M$4))</f>
        <v/>
      </c>
      <c r="N113" s="21" t="str">
        <f>IF(SUMIFS('Input Sheet'!$F$3:$F$1001,'Input Sheet'!$B$3:$B$1001,$H113,'Input Sheet'!$E$3:$E$1001,N$4)=0,"",SUMIFS('Input Sheet'!$F$3:$F$1001,'Input Sheet'!$B$3:$B$1001,$H113,'Input Sheet'!$E$3:$E$1001,N$4))</f>
        <v/>
      </c>
      <c r="O113" s="21" t="str">
        <f>IF(SUMIFS('Input Sheet'!$F$3:$F$1001,'Input Sheet'!$B$3:$B$1001,$H113,'Input Sheet'!$E$3:$E$1001,O$4)=0,"",SUMIFS('Input Sheet'!$F$3:$F$1001,'Input Sheet'!$B$3:$B$1001,$H113,'Input Sheet'!$E$3:$E$1001,O$4))</f>
        <v/>
      </c>
      <c r="P113" s="21" t="str">
        <f>IF(SUMIFS('Input Sheet'!$F$3:$F$1001,'Input Sheet'!$B$3:$B$1001,$H113,'Input Sheet'!$E$3:$E$1001,P$4)=0,"",SUMIFS('Input Sheet'!$F$3:$F$1001,'Input Sheet'!$B$3:$B$1001,$H113,'Input Sheet'!$E$3:$E$1001,P$4))</f>
        <v/>
      </c>
      <c r="Q113" s="21" t="str">
        <f>IF(SUMIFS('Input Sheet'!$F$3:$F$1001,'Input Sheet'!$B$3:$B$1001,$H113,'Input Sheet'!$E$3:$E$1001,Q$4)=0,"",SUMIFS('Input Sheet'!$F$3:$F$1001,'Input Sheet'!$B$3:$B$1001,$H113,'Input Sheet'!$E$3:$E$1001,Q$4))</f>
        <v/>
      </c>
      <c r="R113" s="21" t="str">
        <f>IF(SUMIFS('Input Sheet'!$F$3:$F$1001,'Input Sheet'!$B$3:$B$1001,$H113,'Input Sheet'!$E$3:$E$1001,R$4)=0,"",SUMIFS('Input Sheet'!$F$3:$F$1001,'Input Sheet'!$B$3:$B$1001,$H113,'Input Sheet'!$E$3:$E$1001,R$4))</f>
        <v/>
      </c>
      <c r="S113" s="21" t="str">
        <f>IF(SUMIFS('Input Sheet'!$F$3:$F$1001,'Input Sheet'!$B$3:$B$1001,$H113,'Input Sheet'!$E$3:$E$1001,S$4)=0,"",SUMIFS('Input Sheet'!$F$3:$F$1001,'Input Sheet'!$B$3:$B$1001,$H113,'Input Sheet'!$E$3:$E$1001,S$4))</f>
        <v/>
      </c>
      <c r="T113" s="22">
        <v>108</v>
      </c>
    </row>
    <row r="114" spans="1:20" ht="14.25" customHeight="1" x14ac:dyDescent="0.3">
      <c r="A114" s="4" t="str">
        <f>IF('Input Sheet'!B111=0,"",'Input Sheet'!B111)</f>
        <v/>
      </c>
      <c r="B114" s="24" t="b">
        <f t="shared" si="2"/>
        <v>0</v>
      </c>
      <c r="C114" s="4">
        <f>SUMIF('Input Sheet'!B$3:B$1000,A114,'Input Sheet'!C$3:C$1000)</f>
        <v>0</v>
      </c>
      <c r="D114" s="4">
        <f>SUMIF('Input Sheet'!B$3:B$1000,A114,'Input Sheet'!D$3:D$1000)</f>
        <v>0</v>
      </c>
      <c r="E114" s="4" t="str">
        <f t="shared" ref="E114:F114" ca="1" si="117">IFERROR(RANK(K114,K$6:K$1004,1),"")</f>
        <v/>
      </c>
      <c r="F114" s="4" t="str">
        <f t="shared" ca="1" si="117"/>
        <v/>
      </c>
      <c r="G114" s="4" t="str">
        <f t="shared" ca="1" si="4"/>
        <v/>
      </c>
      <c r="H114" s="4" t="str">
        <f t="shared" si="5"/>
        <v/>
      </c>
      <c r="I114" s="4" t="str">
        <f t="shared" si="6"/>
        <v/>
      </c>
      <c r="J114" s="4" t="str">
        <f t="shared" si="7"/>
        <v/>
      </c>
      <c r="K114" s="25" t="str">
        <f t="shared" ca="1" si="8"/>
        <v/>
      </c>
      <c r="L114" s="21" t="str">
        <f t="shared" ca="1" si="9"/>
        <v/>
      </c>
      <c r="M114" s="21" t="str">
        <f>IF(SUMIFS('Input Sheet'!$F$3:$F$1001,'Input Sheet'!$B$3:$B$1001,$H114,'Input Sheet'!$E$3:$E$1001,M$4)=0,"",SUMIFS('Input Sheet'!$F$3:$F$1001,'Input Sheet'!$B$3:$B$1001,$H114,'Input Sheet'!$E$3:$E$1001,M$4))</f>
        <v/>
      </c>
      <c r="N114" s="21" t="str">
        <f>IF(SUMIFS('Input Sheet'!$F$3:$F$1001,'Input Sheet'!$B$3:$B$1001,$H114,'Input Sheet'!$E$3:$E$1001,N$4)=0,"",SUMIFS('Input Sheet'!$F$3:$F$1001,'Input Sheet'!$B$3:$B$1001,$H114,'Input Sheet'!$E$3:$E$1001,N$4))</f>
        <v/>
      </c>
      <c r="O114" s="21" t="str">
        <f>IF(SUMIFS('Input Sheet'!$F$3:$F$1001,'Input Sheet'!$B$3:$B$1001,$H114,'Input Sheet'!$E$3:$E$1001,O$4)=0,"",SUMIFS('Input Sheet'!$F$3:$F$1001,'Input Sheet'!$B$3:$B$1001,$H114,'Input Sheet'!$E$3:$E$1001,O$4))</f>
        <v/>
      </c>
      <c r="P114" s="21" t="str">
        <f>IF(SUMIFS('Input Sheet'!$F$3:$F$1001,'Input Sheet'!$B$3:$B$1001,$H114,'Input Sheet'!$E$3:$E$1001,P$4)=0,"",SUMIFS('Input Sheet'!$F$3:$F$1001,'Input Sheet'!$B$3:$B$1001,$H114,'Input Sheet'!$E$3:$E$1001,P$4))</f>
        <v/>
      </c>
      <c r="Q114" s="21" t="str">
        <f>IF(SUMIFS('Input Sheet'!$F$3:$F$1001,'Input Sheet'!$B$3:$B$1001,$H114,'Input Sheet'!$E$3:$E$1001,Q$4)=0,"",SUMIFS('Input Sheet'!$F$3:$F$1001,'Input Sheet'!$B$3:$B$1001,$H114,'Input Sheet'!$E$3:$E$1001,Q$4))</f>
        <v/>
      </c>
      <c r="R114" s="21" t="str">
        <f>IF(SUMIFS('Input Sheet'!$F$3:$F$1001,'Input Sheet'!$B$3:$B$1001,$H114,'Input Sheet'!$E$3:$E$1001,R$4)=0,"",SUMIFS('Input Sheet'!$F$3:$F$1001,'Input Sheet'!$B$3:$B$1001,$H114,'Input Sheet'!$E$3:$E$1001,R$4))</f>
        <v/>
      </c>
      <c r="S114" s="21" t="str">
        <f>IF(SUMIFS('Input Sheet'!$F$3:$F$1001,'Input Sheet'!$B$3:$B$1001,$H114,'Input Sheet'!$E$3:$E$1001,S$4)=0,"",SUMIFS('Input Sheet'!$F$3:$F$1001,'Input Sheet'!$B$3:$B$1001,$H114,'Input Sheet'!$E$3:$E$1001,S$4))</f>
        <v/>
      </c>
      <c r="T114" s="22">
        <v>109</v>
      </c>
    </row>
    <row r="115" spans="1:20" ht="14.25" customHeight="1" x14ac:dyDescent="0.3">
      <c r="A115" s="4" t="str">
        <f>IF('Input Sheet'!B112=0,"",'Input Sheet'!B112)</f>
        <v/>
      </c>
      <c r="B115" s="24" t="b">
        <f t="shared" si="2"/>
        <v>0</v>
      </c>
      <c r="C115" s="4">
        <f>SUMIF('Input Sheet'!B$3:B$1000,A115,'Input Sheet'!C$3:C$1000)</f>
        <v>0</v>
      </c>
      <c r="D115" s="4">
        <f>SUMIF('Input Sheet'!B$3:B$1000,A115,'Input Sheet'!D$3:D$1000)</f>
        <v>0</v>
      </c>
      <c r="E115" s="4" t="str">
        <f t="shared" ref="E115:F115" ca="1" si="118">IFERROR(RANK(K115,K$6:K$1004,1),"")</f>
        <v/>
      </c>
      <c r="F115" s="4" t="str">
        <f t="shared" ca="1" si="118"/>
        <v/>
      </c>
      <c r="G115" s="4" t="str">
        <f t="shared" ca="1" si="4"/>
        <v/>
      </c>
      <c r="H115" s="4" t="str">
        <f t="shared" si="5"/>
        <v/>
      </c>
      <c r="I115" s="4" t="str">
        <f t="shared" si="6"/>
        <v/>
      </c>
      <c r="J115" s="4" t="str">
        <f t="shared" si="7"/>
        <v/>
      </c>
      <c r="K115" s="25" t="str">
        <f t="shared" ca="1" si="8"/>
        <v/>
      </c>
      <c r="L115" s="21" t="str">
        <f t="shared" ca="1" si="9"/>
        <v/>
      </c>
      <c r="M115" s="21" t="str">
        <f>IF(SUMIFS('Input Sheet'!$F$3:$F$1001,'Input Sheet'!$B$3:$B$1001,$H115,'Input Sheet'!$E$3:$E$1001,M$4)=0,"",SUMIFS('Input Sheet'!$F$3:$F$1001,'Input Sheet'!$B$3:$B$1001,$H115,'Input Sheet'!$E$3:$E$1001,M$4))</f>
        <v/>
      </c>
      <c r="N115" s="21" t="str">
        <f>IF(SUMIFS('Input Sheet'!$F$3:$F$1001,'Input Sheet'!$B$3:$B$1001,$H115,'Input Sheet'!$E$3:$E$1001,N$4)=0,"",SUMIFS('Input Sheet'!$F$3:$F$1001,'Input Sheet'!$B$3:$B$1001,$H115,'Input Sheet'!$E$3:$E$1001,N$4))</f>
        <v/>
      </c>
      <c r="O115" s="21" t="str">
        <f>IF(SUMIFS('Input Sheet'!$F$3:$F$1001,'Input Sheet'!$B$3:$B$1001,$H115,'Input Sheet'!$E$3:$E$1001,O$4)=0,"",SUMIFS('Input Sheet'!$F$3:$F$1001,'Input Sheet'!$B$3:$B$1001,$H115,'Input Sheet'!$E$3:$E$1001,O$4))</f>
        <v/>
      </c>
      <c r="P115" s="21" t="str">
        <f>IF(SUMIFS('Input Sheet'!$F$3:$F$1001,'Input Sheet'!$B$3:$B$1001,$H115,'Input Sheet'!$E$3:$E$1001,P$4)=0,"",SUMIFS('Input Sheet'!$F$3:$F$1001,'Input Sheet'!$B$3:$B$1001,$H115,'Input Sheet'!$E$3:$E$1001,P$4))</f>
        <v/>
      </c>
      <c r="Q115" s="21" t="str">
        <f>IF(SUMIFS('Input Sheet'!$F$3:$F$1001,'Input Sheet'!$B$3:$B$1001,$H115,'Input Sheet'!$E$3:$E$1001,Q$4)=0,"",SUMIFS('Input Sheet'!$F$3:$F$1001,'Input Sheet'!$B$3:$B$1001,$H115,'Input Sheet'!$E$3:$E$1001,Q$4))</f>
        <v/>
      </c>
      <c r="R115" s="21" t="str">
        <f>IF(SUMIFS('Input Sheet'!$F$3:$F$1001,'Input Sheet'!$B$3:$B$1001,$H115,'Input Sheet'!$E$3:$E$1001,R$4)=0,"",SUMIFS('Input Sheet'!$F$3:$F$1001,'Input Sheet'!$B$3:$B$1001,$H115,'Input Sheet'!$E$3:$E$1001,R$4))</f>
        <v/>
      </c>
      <c r="S115" s="21" t="str">
        <f>IF(SUMIFS('Input Sheet'!$F$3:$F$1001,'Input Sheet'!$B$3:$B$1001,$H115,'Input Sheet'!$E$3:$E$1001,S$4)=0,"",SUMIFS('Input Sheet'!$F$3:$F$1001,'Input Sheet'!$B$3:$B$1001,$H115,'Input Sheet'!$E$3:$E$1001,S$4))</f>
        <v/>
      </c>
      <c r="T115" s="22">
        <v>110</v>
      </c>
    </row>
    <row r="116" spans="1:20" ht="14.25" customHeight="1" x14ac:dyDescent="0.3">
      <c r="A116" s="4" t="str">
        <f>IF('Input Sheet'!B113=0,"",'Input Sheet'!B113)</f>
        <v/>
      </c>
      <c r="B116" s="24" t="b">
        <f t="shared" si="2"/>
        <v>0</v>
      </c>
      <c r="C116" s="4">
        <f>SUMIF('Input Sheet'!B$3:B$1000,A116,'Input Sheet'!C$3:C$1000)</f>
        <v>0</v>
      </c>
      <c r="D116" s="4">
        <f>SUMIF('Input Sheet'!B$3:B$1000,A116,'Input Sheet'!D$3:D$1000)</f>
        <v>0</v>
      </c>
      <c r="E116" s="4" t="str">
        <f t="shared" ref="E116:F116" ca="1" si="119">IFERROR(RANK(K116,K$6:K$1004,1),"")</f>
        <v/>
      </c>
      <c r="F116" s="4" t="str">
        <f t="shared" ca="1" si="119"/>
        <v/>
      </c>
      <c r="G116" s="4" t="str">
        <f t="shared" ca="1" si="4"/>
        <v/>
      </c>
      <c r="H116" s="4" t="str">
        <f t="shared" si="5"/>
        <v/>
      </c>
      <c r="I116" s="4" t="str">
        <f t="shared" si="6"/>
        <v/>
      </c>
      <c r="J116" s="4" t="str">
        <f t="shared" si="7"/>
        <v/>
      </c>
      <c r="K116" s="25" t="str">
        <f t="shared" ca="1" si="8"/>
        <v/>
      </c>
      <c r="L116" s="21" t="str">
        <f t="shared" ca="1" si="9"/>
        <v/>
      </c>
      <c r="M116" s="21" t="str">
        <f>IF(SUMIFS('Input Sheet'!$F$3:$F$1001,'Input Sheet'!$B$3:$B$1001,$H116,'Input Sheet'!$E$3:$E$1001,M$4)=0,"",SUMIFS('Input Sheet'!$F$3:$F$1001,'Input Sheet'!$B$3:$B$1001,$H116,'Input Sheet'!$E$3:$E$1001,M$4))</f>
        <v/>
      </c>
      <c r="N116" s="21" t="str">
        <f>IF(SUMIFS('Input Sheet'!$F$3:$F$1001,'Input Sheet'!$B$3:$B$1001,$H116,'Input Sheet'!$E$3:$E$1001,N$4)=0,"",SUMIFS('Input Sheet'!$F$3:$F$1001,'Input Sheet'!$B$3:$B$1001,$H116,'Input Sheet'!$E$3:$E$1001,N$4))</f>
        <v/>
      </c>
      <c r="O116" s="21" t="str">
        <f>IF(SUMIFS('Input Sheet'!$F$3:$F$1001,'Input Sheet'!$B$3:$B$1001,$H116,'Input Sheet'!$E$3:$E$1001,O$4)=0,"",SUMIFS('Input Sheet'!$F$3:$F$1001,'Input Sheet'!$B$3:$B$1001,$H116,'Input Sheet'!$E$3:$E$1001,O$4))</f>
        <v/>
      </c>
      <c r="P116" s="21" t="str">
        <f>IF(SUMIFS('Input Sheet'!$F$3:$F$1001,'Input Sheet'!$B$3:$B$1001,$H116,'Input Sheet'!$E$3:$E$1001,P$4)=0,"",SUMIFS('Input Sheet'!$F$3:$F$1001,'Input Sheet'!$B$3:$B$1001,$H116,'Input Sheet'!$E$3:$E$1001,P$4))</f>
        <v/>
      </c>
      <c r="Q116" s="21" t="str">
        <f>IF(SUMIFS('Input Sheet'!$F$3:$F$1001,'Input Sheet'!$B$3:$B$1001,$H116,'Input Sheet'!$E$3:$E$1001,Q$4)=0,"",SUMIFS('Input Sheet'!$F$3:$F$1001,'Input Sheet'!$B$3:$B$1001,$H116,'Input Sheet'!$E$3:$E$1001,Q$4))</f>
        <v/>
      </c>
      <c r="R116" s="21" t="str">
        <f>IF(SUMIFS('Input Sheet'!$F$3:$F$1001,'Input Sheet'!$B$3:$B$1001,$H116,'Input Sheet'!$E$3:$E$1001,R$4)=0,"",SUMIFS('Input Sheet'!$F$3:$F$1001,'Input Sheet'!$B$3:$B$1001,$H116,'Input Sheet'!$E$3:$E$1001,R$4))</f>
        <v/>
      </c>
      <c r="S116" s="21" t="str">
        <f>IF(SUMIFS('Input Sheet'!$F$3:$F$1001,'Input Sheet'!$B$3:$B$1001,$H116,'Input Sheet'!$E$3:$E$1001,S$4)=0,"",SUMIFS('Input Sheet'!$F$3:$F$1001,'Input Sheet'!$B$3:$B$1001,$H116,'Input Sheet'!$E$3:$E$1001,S$4))</f>
        <v/>
      </c>
      <c r="T116" s="22">
        <v>111</v>
      </c>
    </row>
    <row r="117" spans="1:20" ht="14.25" customHeight="1" x14ac:dyDescent="0.3">
      <c r="A117" s="4" t="str">
        <f>IF('Input Sheet'!B114=0,"",'Input Sheet'!B114)</f>
        <v/>
      </c>
      <c r="B117" s="24" t="b">
        <f t="shared" si="2"/>
        <v>0</v>
      </c>
      <c r="C117" s="4">
        <f>SUMIF('Input Sheet'!B$3:B$1000,A117,'Input Sheet'!C$3:C$1000)</f>
        <v>0</v>
      </c>
      <c r="D117" s="4">
        <f>SUMIF('Input Sheet'!B$3:B$1000,A117,'Input Sheet'!D$3:D$1000)</f>
        <v>0</v>
      </c>
      <c r="E117" s="4" t="str">
        <f t="shared" ref="E117:F117" ca="1" si="120">IFERROR(RANK(K117,K$6:K$1004,1),"")</f>
        <v/>
      </c>
      <c r="F117" s="4" t="str">
        <f t="shared" ca="1" si="120"/>
        <v/>
      </c>
      <c r="G117" s="4" t="str">
        <f t="shared" ca="1" si="4"/>
        <v/>
      </c>
      <c r="H117" s="4" t="str">
        <f t="shared" si="5"/>
        <v/>
      </c>
      <c r="I117" s="4" t="str">
        <f t="shared" si="6"/>
        <v/>
      </c>
      <c r="J117" s="4" t="str">
        <f t="shared" si="7"/>
        <v/>
      </c>
      <c r="K117" s="25" t="str">
        <f t="shared" ca="1" si="8"/>
        <v/>
      </c>
      <c r="L117" s="21" t="str">
        <f t="shared" ca="1" si="9"/>
        <v/>
      </c>
      <c r="M117" s="21" t="str">
        <f>IF(SUMIFS('Input Sheet'!$F$3:$F$1001,'Input Sheet'!$B$3:$B$1001,$H117,'Input Sheet'!$E$3:$E$1001,M$4)=0,"",SUMIFS('Input Sheet'!$F$3:$F$1001,'Input Sheet'!$B$3:$B$1001,$H117,'Input Sheet'!$E$3:$E$1001,M$4))</f>
        <v/>
      </c>
      <c r="N117" s="21" t="str">
        <f>IF(SUMIFS('Input Sheet'!$F$3:$F$1001,'Input Sheet'!$B$3:$B$1001,$H117,'Input Sheet'!$E$3:$E$1001,N$4)=0,"",SUMIFS('Input Sheet'!$F$3:$F$1001,'Input Sheet'!$B$3:$B$1001,$H117,'Input Sheet'!$E$3:$E$1001,N$4))</f>
        <v/>
      </c>
      <c r="O117" s="21" t="str">
        <f>IF(SUMIFS('Input Sheet'!$F$3:$F$1001,'Input Sheet'!$B$3:$B$1001,$H117,'Input Sheet'!$E$3:$E$1001,O$4)=0,"",SUMIFS('Input Sheet'!$F$3:$F$1001,'Input Sheet'!$B$3:$B$1001,$H117,'Input Sheet'!$E$3:$E$1001,O$4))</f>
        <v/>
      </c>
      <c r="P117" s="21" t="str">
        <f>IF(SUMIFS('Input Sheet'!$F$3:$F$1001,'Input Sheet'!$B$3:$B$1001,$H117,'Input Sheet'!$E$3:$E$1001,P$4)=0,"",SUMIFS('Input Sheet'!$F$3:$F$1001,'Input Sheet'!$B$3:$B$1001,$H117,'Input Sheet'!$E$3:$E$1001,P$4))</f>
        <v/>
      </c>
      <c r="Q117" s="21" t="str">
        <f>IF(SUMIFS('Input Sheet'!$F$3:$F$1001,'Input Sheet'!$B$3:$B$1001,$H117,'Input Sheet'!$E$3:$E$1001,Q$4)=0,"",SUMIFS('Input Sheet'!$F$3:$F$1001,'Input Sheet'!$B$3:$B$1001,$H117,'Input Sheet'!$E$3:$E$1001,Q$4))</f>
        <v/>
      </c>
      <c r="R117" s="21" t="str">
        <f>IF(SUMIFS('Input Sheet'!$F$3:$F$1001,'Input Sheet'!$B$3:$B$1001,$H117,'Input Sheet'!$E$3:$E$1001,R$4)=0,"",SUMIFS('Input Sheet'!$F$3:$F$1001,'Input Sheet'!$B$3:$B$1001,$H117,'Input Sheet'!$E$3:$E$1001,R$4))</f>
        <v/>
      </c>
      <c r="S117" s="21" t="str">
        <f>IF(SUMIFS('Input Sheet'!$F$3:$F$1001,'Input Sheet'!$B$3:$B$1001,$H117,'Input Sheet'!$E$3:$E$1001,S$4)=0,"",SUMIFS('Input Sheet'!$F$3:$F$1001,'Input Sheet'!$B$3:$B$1001,$H117,'Input Sheet'!$E$3:$E$1001,S$4))</f>
        <v/>
      </c>
      <c r="T117" s="22">
        <v>112</v>
      </c>
    </row>
    <row r="118" spans="1:20" ht="14.25" customHeight="1" x14ac:dyDescent="0.3">
      <c r="A118" s="4" t="str">
        <f>IF('Input Sheet'!B115=0,"",'Input Sheet'!B115)</f>
        <v/>
      </c>
      <c r="B118" s="24" t="b">
        <f t="shared" si="2"/>
        <v>0</v>
      </c>
      <c r="C118" s="4">
        <f>SUMIF('Input Sheet'!B$3:B$1000,A118,'Input Sheet'!C$3:C$1000)</f>
        <v>0</v>
      </c>
      <c r="D118" s="4">
        <f>SUMIF('Input Sheet'!B$3:B$1000,A118,'Input Sheet'!D$3:D$1000)</f>
        <v>0</v>
      </c>
      <c r="E118" s="4" t="str">
        <f t="shared" ref="E118:F118" ca="1" si="121">IFERROR(RANK(K118,K$6:K$1004,1),"")</f>
        <v/>
      </c>
      <c r="F118" s="4" t="str">
        <f t="shared" ca="1" si="121"/>
        <v/>
      </c>
      <c r="G118" s="4" t="str">
        <f t="shared" ca="1" si="4"/>
        <v/>
      </c>
      <c r="H118" s="4" t="str">
        <f t="shared" si="5"/>
        <v/>
      </c>
      <c r="I118" s="4" t="str">
        <f t="shared" si="6"/>
        <v/>
      </c>
      <c r="J118" s="4" t="str">
        <f t="shared" si="7"/>
        <v/>
      </c>
      <c r="K118" s="25" t="str">
        <f t="shared" ca="1" si="8"/>
        <v/>
      </c>
      <c r="L118" s="21" t="str">
        <f t="shared" ca="1" si="9"/>
        <v/>
      </c>
      <c r="M118" s="21" t="str">
        <f>IF(SUMIFS('Input Sheet'!$F$3:$F$1001,'Input Sheet'!$B$3:$B$1001,$H118,'Input Sheet'!$E$3:$E$1001,M$4)=0,"",SUMIFS('Input Sheet'!$F$3:$F$1001,'Input Sheet'!$B$3:$B$1001,$H118,'Input Sheet'!$E$3:$E$1001,M$4))</f>
        <v/>
      </c>
      <c r="N118" s="21" t="str">
        <f>IF(SUMIFS('Input Sheet'!$F$3:$F$1001,'Input Sheet'!$B$3:$B$1001,$H118,'Input Sheet'!$E$3:$E$1001,N$4)=0,"",SUMIFS('Input Sheet'!$F$3:$F$1001,'Input Sheet'!$B$3:$B$1001,$H118,'Input Sheet'!$E$3:$E$1001,N$4))</f>
        <v/>
      </c>
      <c r="O118" s="21" t="str">
        <f>IF(SUMIFS('Input Sheet'!$F$3:$F$1001,'Input Sheet'!$B$3:$B$1001,$H118,'Input Sheet'!$E$3:$E$1001,O$4)=0,"",SUMIFS('Input Sheet'!$F$3:$F$1001,'Input Sheet'!$B$3:$B$1001,$H118,'Input Sheet'!$E$3:$E$1001,O$4))</f>
        <v/>
      </c>
      <c r="P118" s="21" t="str">
        <f>IF(SUMIFS('Input Sheet'!$F$3:$F$1001,'Input Sheet'!$B$3:$B$1001,$H118,'Input Sheet'!$E$3:$E$1001,P$4)=0,"",SUMIFS('Input Sheet'!$F$3:$F$1001,'Input Sheet'!$B$3:$B$1001,$H118,'Input Sheet'!$E$3:$E$1001,P$4))</f>
        <v/>
      </c>
      <c r="Q118" s="21" t="str">
        <f>IF(SUMIFS('Input Sheet'!$F$3:$F$1001,'Input Sheet'!$B$3:$B$1001,$H118,'Input Sheet'!$E$3:$E$1001,Q$4)=0,"",SUMIFS('Input Sheet'!$F$3:$F$1001,'Input Sheet'!$B$3:$B$1001,$H118,'Input Sheet'!$E$3:$E$1001,Q$4))</f>
        <v/>
      </c>
      <c r="R118" s="21" t="str">
        <f>IF(SUMIFS('Input Sheet'!$F$3:$F$1001,'Input Sheet'!$B$3:$B$1001,$H118,'Input Sheet'!$E$3:$E$1001,R$4)=0,"",SUMIFS('Input Sheet'!$F$3:$F$1001,'Input Sheet'!$B$3:$B$1001,$H118,'Input Sheet'!$E$3:$E$1001,R$4))</f>
        <v/>
      </c>
      <c r="S118" s="21" t="str">
        <f>IF(SUMIFS('Input Sheet'!$F$3:$F$1001,'Input Sheet'!$B$3:$B$1001,$H118,'Input Sheet'!$E$3:$E$1001,S$4)=0,"",SUMIFS('Input Sheet'!$F$3:$F$1001,'Input Sheet'!$B$3:$B$1001,$H118,'Input Sheet'!$E$3:$E$1001,S$4))</f>
        <v/>
      </c>
      <c r="T118" s="22">
        <v>113</v>
      </c>
    </row>
    <row r="119" spans="1:20" ht="14.25" customHeight="1" x14ac:dyDescent="0.3">
      <c r="A119" s="4" t="str">
        <f>IF('Input Sheet'!B116=0,"",'Input Sheet'!B116)</f>
        <v/>
      </c>
      <c r="B119" s="24" t="b">
        <f t="shared" si="2"/>
        <v>0</v>
      </c>
      <c r="C119" s="4">
        <f>SUMIF('Input Sheet'!B$3:B$1000,A119,'Input Sheet'!C$3:C$1000)</f>
        <v>0</v>
      </c>
      <c r="D119" s="4">
        <f>SUMIF('Input Sheet'!B$3:B$1000,A119,'Input Sheet'!D$3:D$1000)</f>
        <v>0</v>
      </c>
      <c r="E119" s="4" t="str">
        <f t="shared" ref="E119:F119" ca="1" si="122">IFERROR(RANK(K119,K$6:K$1004,1),"")</f>
        <v/>
      </c>
      <c r="F119" s="4" t="str">
        <f t="shared" ca="1" si="122"/>
        <v/>
      </c>
      <c r="G119" s="4" t="str">
        <f t="shared" ca="1" si="4"/>
        <v/>
      </c>
      <c r="H119" s="4" t="str">
        <f t="shared" si="5"/>
        <v/>
      </c>
      <c r="I119" s="4" t="str">
        <f t="shared" si="6"/>
        <v/>
      </c>
      <c r="J119" s="4" t="str">
        <f t="shared" si="7"/>
        <v/>
      </c>
      <c r="K119" s="25" t="str">
        <f t="shared" ca="1" si="8"/>
        <v/>
      </c>
      <c r="L119" s="21" t="str">
        <f t="shared" ca="1" si="9"/>
        <v/>
      </c>
      <c r="M119" s="21" t="str">
        <f>IF(SUMIFS('Input Sheet'!$F$3:$F$1001,'Input Sheet'!$B$3:$B$1001,$H119,'Input Sheet'!$E$3:$E$1001,M$4)=0,"",SUMIFS('Input Sheet'!$F$3:$F$1001,'Input Sheet'!$B$3:$B$1001,$H119,'Input Sheet'!$E$3:$E$1001,M$4))</f>
        <v/>
      </c>
      <c r="N119" s="21" t="str">
        <f>IF(SUMIFS('Input Sheet'!$F$3:$F$1001,'Input Sheet'!$B$3:$B$1001,$H119,'Input Sheet'!$E$3:$E$1001,N$4)=0,"",SUMIFS('Input Sheet'!$F$3:$F$1001,'Input Sheet'!$B$3:$B$1001,$H119,'Input Sheet'!$E$3:$E$1001,N$4))</f>
        <v/>
      </c>
      <c r="O119" s="21" t="str">
        <f>IF(SUMIFS('Input Sheet'!$F$3:$F$1001,'Input Sheet'!$B$3:$B$1001,$H119,'Input Sheet'!$E$3:$E$1001,O$4)=0,"",SUMIFS('Input Sheet'!$F$3:$F$1001,'Input Sheet'!$B$3:$B$1001,$H119,'Input Sheet'!$E$3:$E$1001,O$4))</f>
        <v/>
      </c>
      <c r="P119" s="21" t="str">
        <f>IF(SUMIFS('Input Sheet'!$F$3:$F$1001,'Input Sheet'!$B$3:$B$1001,$H119,'Input Sheet'!$E$3:$E$1001,P$4)=0,"",SUMIFS('Input Sheet'!$F$3:$F$1001,'Input Sheet'!$B$3:$B$1001,$H119,'Input Sheet'!$E$3:$E$1001,P$4))</f>
        <v/>
      </c>
      <c r="Q119" s="21" t="str">
        <f>IF(SUMIFS('Input Sheet'!$F$3:$F$1001,'Input Sheet'!$B$3:$B$1001,$H119,'Input Sheet'!$E$3:$E$1001,Q$4)=0,"",SUMIFS('Input Sheet'!$F$3:$F$1001,'Input Sheet'!$B$3:$B$1001,$H119,'Input Sheet'!$E$3:$E$1001,Q$4))</f>
        <v/>
      </c>
      <c r="R119" s="21" t="str">
        <f>IF(SUMIFS('Input Sheet'!$F$3:$F$1001,'Input Sheet'!$B$3:$B$1001,$H119,'Input Sheet'!$E$3:$E$1001,R$4)=0,"",SUMIFS('Input Sheet'!$F$3:$F$1001,'Input Sheet'!$B$3:$B$1001,$H119,'Input Sheet'!$E$3:$E$1001,R$4))</f>
        <v/>
      </c>
      <c r="S119" s="21" t="str">
        <f>IF(SUMIFS('Input Sheet'!$F$3:$F$1001,'Input Sheet'!$B$3:$B$1001,$H119,'Input Sheet'!$E$3:$E$1001,S$4)=0,"",SUMIFS('Input Sheet'!$F$3:$F$1001,'Input Sheet'!$B$3:$B$1001,$H119,'Input Sheet'!$E$3:$E$1001,S$4))</f>
        <v/>
      </c>
      <c r="T119" s="22">
        <v>114</v>
      </c>
    </row>
    <row r="120" spans="1:20" ht="14.25" customHeight="1" x14ac:dyDescent="0.3">
      <c r="A120" s="4" t="str">
        <f>IF('Input Sheet'!B117=0,"",'Input Sheet'!B117)</f>
        <v/>
      </c>
      <c r="B120" s="24" t="b">
        <f t="shared" si="2"/>
        <v>0</v>
      </c>
      <c r="C120" s="4">
        <f>SUMIF('Input Sheet'!B$3:B$1000,A120,'Input Sheet'!C$3:C$1000)</f>
        <v>0</v>
      </c>
      <c r="D120" s="4">
        <f>SUMIF('Input Sheet'!B$3:B$1000,A120,'Input Sheet'!D$3:D$1000)</f>
        <v>0</v>
      </c>
      <c r="E120" s="4" t="str">
        <f t="shared" ref="E120:F120" ca="1" si="123">IFERROR(RANK(K120,K$6:K$1004,1),"")</f>
        <v/>
      </c>
      <c r="F120" s="4" t="str">
        <f t="shared" ca="1" si="123"/>
        <v/>
      </c>
      <c r="G120" s="4" t="str">
        <f t="shared" ca="1" si="4"/>
        <v/>
      </c>
      <c r="H120" s="4" t="str">
        <f t="shared" si="5"/>
        <v/>
      </c>
      <c r="I120" s="4" t="str">
        <f t="shared" si="6"/>
        <v/>
      </c>
      <c r="J120" s="4" t="str">
        <f t="shared" si="7"/>
        <v/>
      </c>
      <c r="K120" s="25" t="str">
        <f t="shared" ca="1" si="8"/>
        <v/>
      </c>
      <c r="L120" s="21" t="str">
        <f t="shared" ca="1" si="9"/>
        <v/>
      </c>
      <c r="M120" s="21" t="str">
        <f>IF(SUMIFS('Input Sheet'!$F$3:$F$1001,'Input Sheet'!$B$3:$B$1001,$H120,'Input Sheet'!$E$3:$E$1001,M$4)=0,"",SUMIFS('Input Sheet'!$F$3:$F$1001,'Input Sheet'!$B$3:$B$1001,$H120,'Input Sheet'!$E$3:$E$1001,M$4))</f>
        <v/>
      </c>
      <c r="N120" s="21" t="str">
        <f>IF(SUMIFS('Input Sheet'!$F$3:$F$1001,'Input Sheet'!$B$3:$B$1001,$H120,'Input Sheet'!$E$3:$E$1001,N$4)=0,"",SUMIFS('Input Sheet'!$F$3:$F$1001,'Input Sheet'!$B$3:$B$1001,$H120,'Input Sheet'!$E$3:$E$1001,N$4))</f>
        <v/>
      </c>
      <c r="O120" s="21" t="str">
        <f>IF(SUMIFS('Input Sheet'!$F$3:$F$1001,'Input Sheet'!$B$3:$B$1001,$H120,'Input Sheet'!$E$3:$E$1001,O$4)=0,"",SUMIFS('Input Sheet'!$F$3:$F$1001,'Input Sheet'!$B$3:$B$1001,$H120,'Input Sheet'!$E$3:$E$1001,O$4))</f>
        <v/>
      </c>
      <c r="P120" s="21" t="str">
        <f>IF(SUMIFS('Input Sheet'!$F$3:$F$1001,'Input Sheet'!$B$3:$B$1001,$H120,'Input Sheet'!$E$3:$E$1001,P$4)=0,"",SUMIFS('Input Sheet'!$F$3:$F$1001,'Input Sheet'!$B$3:$B$1001,$H120,'Input Sheet'!$E$3:$E$1001,P$4))</f>
        <v/>
      </c>
      <c r="Q120" s="21" t="str">
        <f>IF(SUMIFS('Input Sheet'!$F$3:$F$1001,'Input Sheet'!$B$3:$B$1001,$H120,'Input Sheet'!$E$3:$E$1001,Q$4)=0,"",SUMIFS('Input Sheet'!$F$3:$F$1001,'Input Sheet'!$B$3:$B$1001,$H120,'Input Sheet'!$E$3:$E$1001,Q$4))</f>
        <v/>
      </c>
      <c r="R120" s="21" t="str">
        <f>IF(SUMIFS('Input Sheet'!$F$3:$F$1001,'Input Sheet'!$B$3:$B$1001,$H120,'Input Sheet'!$E$3:$E$1001,R$4)=0,"",SUMIFS('Input Sheet'!$F$3:$F$1001,'Input Sheet'!$B$3:$B$1001,$H120,'Input Sheet'!$E$3:$E$1001,R$4))</f>
        <v/>
      </c>
      <c r="S120" s="21" t="str">
        <f>IF(SUMIFS('Input Sheet'!$F$3:$F$1001,'Input Sheet'!$B$3:$B$1001,$H120,'Input Sheet'!$E$3:$E$1001,S$4)=0,"",SUMIFS('Input Sheet'!$F$3:$F$1001,'Input Sheet'!$B$3:$B$1001,$H120,'Input Sheet'!$E$3:$E$1001,S$4))</f>
        <v/>
      </c>
      <c r="T120" s="22">
        <v>115</v>
      </c>
    </row>
    <row r="121" spans="1:20" ht="14.25" customHeight="1" x14ac:dyDescent="0.3">
      <c r="A121" s="4" t="str">
        <f>IF('Input Sheet'!B118=0,"",'Input Sheet'!B118)</f>
        <v/>
      </c>
      <c r="B121" s="24" t="b">
        <f t="shared" si="2"/>
        <v>0</v>
      </c>
      <c r="C121" s="4">
        <f>SUMIF('Input Sheet'!B$3:B$1000,A121,'Input Sheet'!C$3:C$1000)</f>
        <v>0</v>
      </c>
      <c r="D121" s="4">
        <f>SUMIF('Input Sheet'!B$3:B$1000,A121,'Input Sheet'!D$3:D$1000)</f>
        <v>0</v>
      </c>
      <c r="E121" s="4" t="str">
        <f t="shared" ref="E121:F121" ca="1" si="124">IFERROR(RANK(K121,K$6:K$1004,1),"")</f>
        <v/>
      </c>
      <c r="F121" s="4" t="str">
        <f t="shared" ca="1" si="124"/>
        <v/>
      </c>
      <c r="G121" s="4" t="str">
        <f t="shared" ca="1" si="4"/>
        <v/>
      </c>
      <c r="H121" s="4" t="str">
        <f t="shared" si="5"/>
        <v/>
      </c>
      <c r="I121" s="4" t="str">
        <f t="shared" si="6"/>
        <v/>
      </c>
      <c r="J121" s="4" t="str">
        <f t="shared" si="7"/>
        <v/>
      </c>
      <c r="K121" s="25" t="str">
        <f t="shared" ca="1" si="8"/>
        <v/>
      </c>
      <c r="L121" s="21" t="str">
        <f t="shared" ca="1" si="9"/>
        <v/>
      </c>
      <c r="M121" s="21" t="str">
        <f>IF(SUMIFS('Input Sheet'!$F$3:$F$1001,'Input Sheet'!$B$3:$B$1001,$H121,'Input Sheet'!$E$3:$E$1001,M$4)=0,"",SUMIFS('Input Sheet'!$F$3:$F$1001,'Input Sheet'!$B$3:$B$1001,$H121,'Input Sheet'!$E$3:$E$1001,M$4))</f>
        <v/>
      </c>
      <c r="N121" s="21" t="str">
        <f>IF(SUMIFS('Input Sheet'!$F$3:$F$1001,'Input Sheet'!$B$3:$B$1001,$H121,'Input Sheet'!$E$3:$E$1001,N$4)=0,"",SUMIFS('Input Sheet'!$F$3:$F$1001,'Input Sheet'!$B$3:$B$1001,$H121,'Input Sheet'!$E$3:$E$1001,N$4))</f>
        <v/>
      </c>
      <c r="O121" s="21" t="str">
        <f>IF(SUMIFS('Input Sheet'!$F$3:$F$1001,'Input Sheet'!$B$3:$B$1001,$H121,'Input Sheet'!$E$3:$E$1001,O$4)=0,"",SUMIFS('Input Sheet'!$F$3:$F$1001,'Input Sheet'!$B$3:$B$1001,$H121,'Input Sheet'!$E$3:$E$1001,O$4))</f>
        <v/>
      </c>
      <c r="P121" s="21" t="str">
        <f>IF(SUMIFS('Input Sheet'!$F$3:$F$1001,'Input Sheet'!$B$3:$B$1001,$H121,'Input Sheet'!$E$3:$E$1001,P$4)=0,"",SUMIFS('Input Sheet'!$F$3:$F$1001,'Input Sheet'!$B$3:$B$1001,$H121,'Input Sheet'!$E$3:$E$1001,P$4))</f>
        <v/>
      </c>
      <c r="Q121" s="21" t="str">
        <f>IF(SUMIFS('Input Sheet'!$F$3:$F$1001,'Input Sheet'!$B$3:$B$1001,$H121,'Input Sheet'!$E$3:$E$1001,Q$4)=0,"",SUMIFS('Input Sheet'!$F$3:$F$1001,'Input Sheet'!$B$3:$B$1001,$H121,'Input Sheet'!$E$3:$E$1001,Q$4))</f>
        <v/>
      </c>
      <c r="R121" s="21" t="str">
        <f>IF(SUMIFS('Input Sheet'!$F$3:$F$1001,'Input Sheet'!$B$3:$B$1001,$H121,'Input Sheet'!$E$3:$E$1001,R$4)=0,"",SUMIFS('Input Sheet'!$F$3:$F$1001,'Input Sheet'!$B$3:$B$1001,$H121,'Input Sheet'!$E$3:$E$1001,R$4))</f>
        <v/>
      </c>
      <c r="S121" s="21" t="str">
        <f>IF(SUMIFS('Input Sheet'!$F$3:$F$1001,'Input Sheet'!$B$3:$B$1001,$H121,'Input Sheet'!$E$3:$E$1001,S$4)=0,"",SUMIFS('Input Sheet'!$F$3:$F$1001,'Input Sheet'!$B$3:$B$1001,$H121,'Input Sheet'!$E$3:$E$1001,S$4))</f>
        <v/>
      </c>
      <c r="T121" s="22">
        <v>116</v>
      </c>
    </row>
    <row r="122" spans="1:20" ht="14.25" customHeight="1" x14ac:dyDescent="0.3">
      <c r="A122" s="4" t="str">
        <f>IF('Input Sheet'!B119=0,"",'Input Sheet'!B119)</f>
        <v/>
      </c>
      <c r="B122" s="24" t="b">
        <f t="shared" si="2"/>
        <v>0</v>
      </c>
      <c r="C122" s="4">
        <f>SUMIF('Input Sheet'!B$3:B$1000,A122,'Input Sheet'!C$3:C$1000)</f>
        <v>0</v>
      </c>
      <c r="D122" s="4">
        <f>SUMIF('Input Sheet'!B$3:B$1000,A122,'Input Sheet'!D$3:D$1000)</f>
        <v>0</v>
      </c>
      <c r="E122" s="4" t="str">
        <f t="shared" ref="E122:F122" ca="1" si="125">IFERROR(RANK(K122,K$6:K$1004,1),"")</f>
        <v/>
      </c>
      <c r="F122" s="4" t="str">
        <f t="shared" ca="1" si="125"/>
        <v/>
      </c>
      <c r="G122" s="4" t="str">
        <f t="shared" ca="1" si="4"/>
        <v/>
      </c>
      <c r="H122" s="4" t="str">
        <f t="shared" si="5"/>
        <v/>
      </c>
      <c r="I122" s="4" t="str">
        <f t="shared" si="6"/>
        <v/>
      </c>
      <c r="J122" s="4" t="str">
        <f t="shared" si="7"/>
        <v/>
      </c>
      <c r="K122" s="25" t="str">
        <f t="shared" ca="1" si="8"/>
        <v/>
      </c>
      <c r="L122" s="21" t="str">
        <f t="shared" ca="1" si="9"/>
        <v/>
      </c>
      <c r="M122" s="21" t="str">
        <f>IF(SUMIFS('Input Sheet'!$F$3:$F$1001,'Input Sheet'!$B$3:$B$1001,$H122,'Input Sheet'!$E$3:$E$1001,M$4)=0,"",SUMIFS('Input Sheet'!$F$3:$F$1001,'Input Sheet'!$B$3:$B$1001,$H122,'Input Sheet'!$E$3:$E$1001,M$4))</f>
        <v/>
      </c>
      <c r="N122" s="21" t="str">
        <f>IF(SUMIFS('Input Sheet'!$F$3:$F$1001,'Input Sheet'!$B$3:$B$1001,$H122,'Input Sheet'!$E$3:$E$1001,N$4)=0,"",SUMIFS('Input Sheet'!$F$3:$F$1001,'Input Sheet'!$B$3:$B$1001,$H122,'Input Sheet'!$E$3:$E$1001,N$4))</f>
        <v/>
      </c>
      <c r="O122" s="21" t="str">
        <f>IF(SUMIFS('Input Sheet'!$F$3:$F$1001,'Input Sheet'!$B$3:$B$1001,$H122,'Input Sheet'!$E$3:$E$1001,O$4)=0,"",SUMIFS('Input Sheet'!$F$3:$F$1001,'Input Sheet'!$B$3:$B$1001,$H122,'Input Sheet'!$E$3:$E$1001,O$4))</f>
        <v/>
      </c>
      <c r="P122" s="21" t="str">
        <f>IF(SUMIFS('Input Sheet'!$F$3:$F$1001,'Input Sheet'!$B$3:$B$1001,$H122,'Input Sheet'!$E$3:$E$1001,P$4)=0,"",SUMIFS('Input Sheet'!$F$3:$F$1001,'Input Sheet'!$B$3:$B$1001,$H122,'Input Sheet'!$E$3:$E$1001,P$4))</f>
        <v/>
      </c>
      <c r="Q122" s="21" t="str">
        <f>IF(SUMIFS('Input Sheet'!$F$3:$F$1001,'Input Sheet'!$B$3:$B$1001,$H122,'Input Sheet'!$E$3:$E$1001,Q$4)=0,"",SUMIFS('Input Sheet'!$F$3:$F$1001,'Input Sheet'!$B$3:$B$1001,$H122,'Input Sheet'!$E$3:$E$1001,Q$4))</f>
        <v/>
      </c>
      <c r="R122" s="21" t="str">
        <f>IF(SUMIFS('Input Sheet'!$F$3:$F$1001,'Input Sheet'!$B$3:$B$1001,$H122,'Input Sheet'!$E$3:$E$1001,R$4)=0,"",SUMIFS('Input Sheet'!$F$3:$F$1001,'Input Sheet'!$B$3:$B$1001,$H122,'Input Sheet'!$E$3:$E$1001,R$4))</f>
        <v/>
      </c>
      <c r="S122" s="21" t="str">
        <f>IF(SUMIFS('Input Sheet'!$F$3:$F$1001,'Input Sheet'!$B$3:$B$1001,$H122,'Input Sheet'!$E$3:$E$1001,S$4)=0,"",SUMIFS('Input Sheet'!$F$3:$F$1001,'Input Sheet'!$B$3:$B$1001,$H122,'Input Sheet'!$E$3:$E$1001,S$4))</f>
        <v/>
      </c>
      <c r="T122" s="22">
        <v>117</v>
      </c>
    </row>
    <row r="123" spans="1:20" ht="14.25" customHeight="1" x14ac:dyDescent="0.3">
      <c r="A123" s="4" t="str">
        <f>IF('Input Sheet'!B120=0,"",'Input Sheet'!B120)</f>
        <v/>
      </c>
      <c r="B123" s="24" t="b">
        <f t="shared" si="2"/>
        <v>0</v>
      </c>
      <c r="C123" s="4">
        <f>SUMIF('Input Sheet'!B$3:B$1000,A123,'Input Sheet'!C$3:C$1000)</f>
        <v>0</v>
      </c>
      <c r="D123" s="4">
        <f>SUMIF('Input Sheet'!B$3:B$1000,A123,'Input Sheet'!D$3:D$1000)</f>
        <v>0</v>
      </c>
      <c r="E123" s="4" t="str">
        <f t="shared" ref="E123:F123" ca="1" si="126">IFERROR(RANK(K123,K$6:K$1004,1),"")</f>
        <v/>
      </c>
      <c r="F123" s="4" t="str">
        <f t="shared" ca="1" si="126"/>
        <v/>
      </c>
      <c r="G123" s="4" t="str">
        <f t="shared" ca="1" si="4"/>
        <v/>
      </c>
      <c r="H123" s="4" t="str">
        <f t="shared" si="5"/>
        <v/>
      </c>
      <c r="I123" s="4" t="str">
        <f t="shared" si="6"/>
        <v/>
      </c>
      <c r="J123" s="4" t="str">
        <f t="shared" si="7"/>
        <v/>
      </c>
      <c r="K123" s="25" t="str">
        <f t="shared" ca="1" si="8"/>
        <v/>
      </c>
      <c r="L123" s="21" t="str">
        <f t="shared" ca="1" si="9"/>
        <v/>
      </c>
      <c r="M123" s="21" t="str">
        <f>IF(SUMIFS('Input Sheet'!$F$3:$F$1001,'Input Sheet'!$B$3:$B$1001,$H123,'Input Sheet'!$E$3:$E$1001,M$4)=0,"",SUMIFS('Input Sheet'!$F$3:$F$1001,'Input Sheet'!$B$3:$B$1001,$H123,'Input Sheet'!$E$3:$E$1001,M$4))</f>
        <v/>
      </c>
      <c r="N123" s="21" t="str">
        <f>IF(SUMIFS('Input Sheet'!$F$3:$F$1001,'Input Sheet'!$B$3:$B$1001,$H123,'Input Sheet'!$E$3:$E$1001,N$4)=0,"",SUMIFS('Input Sheet'!$F$3:$F$1001,'Input Sheet'!$B$3:$B$1001,$H123,'Input Sheet'!$E$3:$E$1001,N$4))</f>
        <v/>
      </c>
      <c r="O123" s="21" t="str">
        <f>IF(SUMIFS('Input Sheet'!$F$3:$F$1001,'Input Sheet'!$B$3:$B$1001,$H123,'Input Sheet'!$E$3:$E$1001,O$4)=0,"",SUMIFS('Input Sheet'!$F$3:$F$1001,'Input Sheet'!$B$3:$B$1001,$H123,'Input Sheet'!$E$3:$E$1001,O$4))</f>
        <v/>
      </c>
      <c r="P123" s="21" t="str">
        <f>IF(SUMIFS('Input Sheet'!$F$3:$F$1001,'Input Sheet'!$B$3:$B$1001,$H123,'Input Sheet'!$E$3:$E$1001,P$4)=0,"",SUMIFS('Input Sheet'!$F$3:$F$1001,'Input Sheet'!$B$3:$B$1001,$H123,'Input Sheet'!$E$3:$E$1001,P$4))</f>
        <v/>
      </c>
      <c r="Q123" s="21" t="str">
        <f>IF(SUMIFS('Input Sheet'!$F$3:$F$1001,'Input Sheet'!$B$3:$B$1001,$H123,'Input Sheet'!$E$3:$E$1001,Q$4)=0,"",SUMIFS('Input Sheet'!$F$3:$F$1001,'Input Sheet'!$B$3:$B$1001,$H123,'Input Sheet'!$E$3:$E$1001,Q$4))</f>
        <v/>
      </c>
      <c r="R123" s="21" t="str">
        <f>IF(SUMIFS('Input Sheet'!$F$3:$F$1001,'Input Sheet'!$B$3:$B$1001,$H123,'Input Sheet'!$E$3:$E$1001,R$4)=0,"",SUMIFS('Input Sheet'!$F$3:$F$1001,'Input Sheet'!$B$3:$B$1001,$H123,'Input Sheet'!$E$3:$E$1001,R$4))</f>
        <v/>
      </c>
      <c r="S123" s="21" t="str">
        <f>IF(SUMIFS('Input Sheet'!$F$3:$F$1001,'Input Sheet'!$B$3:$B$1001,$H123,'Input Sheet'!$E$3:$E$1001,S$4)=0,"",SUMIFS('Input Sheet'!$F$3:$F$1001,'Input Sheet'!$B$3:$B$1001,$H123,'Input Sheet'!$E$3:$E$1001,S$4))</f>
        <v/>
      </c>
      <c r="T123" s="22">
        <v>118</v>
      </c>
    </row>
    <row r="124" spans="1:20" ht="14.25" customHeight="1" x14ac:dyDescent="0.3">
      <c r="A124" s="4" t="str">
        <f>IF('Input Sheet'!B121=0,"",'Input Sheet'!B121)</f>
        <v/>
      </c>
      <c r="B124" s="24" t="b">
        <f t="shared" si="2"/>
        <v>0</v>
      </c>
      <c r="C124" s="4">
        <f>SUMIF('Input Sheet'!B$3:B$1000,A124,'Input Sheet'!C$3:C$1000)</f>
        <v>0</v>
      </c>
      <c r="D124" s="4">
        <f>SUMIF('Input Sheet'!B$3:B$1000,A124,'Input Sheet'!D$3:D$1000)</f>
        <v>0</v>
      </c>
      <c r="E124" s="4" t="str">
        <f t="shared" ref="E124:F124" ca="1" si="127">IFERROR(RANK(K124,K$6:K$1004,1),"")</f>
        <v/>
      </c>
      <c r="F124" s="4" t="str">
        <f t="shared" ca="1" si="127"/>
        <v/>
      </c>
      <c r="G124" s="4" t="str">
        <f t="shared" ca="1" si="4"/>
        <v/>
      </c>
      <c r="H124" s="4" t="str">
        <f t="shared" si="5"/>
        <v/>
      </c>
      <c r="I124" s="4" t="str">
        <f t="shared" si="6"/>
        <v/>
      </c>
      <c r="J124" s="4" t="str">
        <f t="shared" si="7"/>
        <v/>
      </c>
      <c r="K124" s="25" t="str">
        <f t="shared" ca="1" si="8"/>
        <v/>
      </c>
      <c r="L124" s="21" t="str">
        <f t="shared" ca="1" si="9"/>
        <v/>
      </c>
      <c r="M124" s="21" t="str">
        <f>IF(SUMIFS('Input Sheet'!$F$3:$F$1001,'Input Sheet'!$B$3:$B$1001,$H124,'Input Sheet'!$E$3:$E$1001,M$4)=0,"",SUMIFS('Input Sheet'!$F$3:$F$1001,'Input Sheet'!$B$3:$B$1001,$H124,'Input Sheet'!$E$3:$E$1001,M$4))</f>
        <v/>
      </c>
      <c r="N124" s="21" t="str">
        <f>IF(SUMIFS('Input Sheet'!$F$3:$F$1001,'Input Sheet'!$B$3:$B$1001,$H124,'Input Sheet'!$E$3:$E$1001,N$4)=0,"",SUMIFS('Input Sheet'!$F$3:$F$1001,'Input Sheet'!$B$3:$B$1001,$H124,'Input Sheet'!$E$3:$E$1001,N$4))</f>
        <v/>
      </c>
      <c r="O124" s="21" t="str">
        <f>IF(SUMIFS('Input Sheet'!$F$3:$F$1001,'Input Sheet'!$B$3:$B$1001,$H124,'Input Sheet'!$E$3:$E$1001,O$4)=0,"",SUMIFS('Input Sheet'!$F$3:$F$1001,'Input Sheet'!$B$3:$B$1001,$H124,'Input Sheet'!$E$3:$E$1001,O$4))</f>
        <v/>
      </c>
      <c r="P124" s="21" t="str">
        <f>IF(SUMIFS('Input Sheet'!$F$3:$F$1001,'Input Sheet'!$B$3:$B$1001,$H124,'Input Sheet'!$E$3:$E$1001,P$4)=0,"",SUMIFS('Input Sheet'!$F$3:$F$1001,'Input Sheet'!$B$3:$B$1001,$H124,'Input Sheet'!$E$3:$E$1001,P$4))</f>
        <v/>
      </c>
      <c r="Q124" s="21" t="str">
        <f>IF(SUMIFS('Input Sheet'!$F$3:$F$1001,'Input Sheet'!$B$3:$B$1001,$H124,'Input Sheet'!$E$3:$E$1001,Q$4)=0,"",SUMIFS('Input Sheet'!$F$3:$F$1001,'Input Sheet'!$B$3:$B$1001,$H124,'Input Sheet'!$E$3:$E$1001,Q$4))</f>
        <v/>
      </c>
      <c r="R124" s="21" t="str">
        <f>IF(SUMIFS('Input Sheet'!$F$3:$F$1001,'Input Sheet'!$B$3:$B$1001,$H124,'Input Sheet'!$E$3:$E$1001,R$4)=0,"",SUMIFS('Input Sheet'!$F$3:$F$1001,'Input Sheet'!$B$3:$B$1001,$H124,'Input Sheet'!$E$3:$E$1001,R$4))</f>
        <v/>
      </c>
      <c r="S124" s="21" t="str">
        <f>IF(SUMIFS('Input Sheet'!$F$3:$F$1001,'Input Sheet'!$B$3:$B$1001,$H124,'Input Sheet'!$E$3:$E$1001,S$4)=0,"",SUMIFS('Input Sheet'!$F$3:$F$1001,'Input Sheet'!$B$3:$B$1001,$H124,'Input Sheet'!$E$3:$E$1001,S$4))</f>
        <v/>
      </c>
      <c r="T124" s="22">
        <v>119</v>
      </c>
    </row>
    <row r="125" spans="1:20" ht="14.25" customHeight="1" x14ac:dyDescent="0.3">
      <c r="A125" s="4" t="str">
        <f>IF('Input Sheet'!B122=0,"",'Input Sheet'!B122)</f>
        <v/>
      </c>
      <c r="B125" s="24" t="b">
        <f t="shared" si="2"/>
        <v>0</v>
      </c>
      <c r="C125" s="4">
        <f>SUMIF('Input Sheet'!B$3:B$1000,A125,'Input Sheet'!C$3:C$1000)</f>
        <v>0</v>
      </c>
      <c r="D125" s="4">
        <f>SUMIF('Input Sheet'!B$3:B$1000,A125,'Input Sheet'!D$3:D$1000)</f>
        <v>0</v>
      </c>
      <c r="E125" s="4" t="str">
        <f t="shared" ref="E125:F125" ca="1" si="128">IFERROR(RANK(K125,K$6:K$1004,1),"")</f>
        <v/>
      </c>
      <c r="F125" s="4" t="str">
        <f t="shared" ca="1" si="128"/>
        <v/>
      </c>
      <c r="G125" s="4" t="str">
        <f t="shared" ca="1" si="4"/>
        <v/>
      </c>
      <c r="H125" s="4" t="str">
        <f t="shared" si="5"/>
        <v/>
      </c>
      <c r="I125" s="4" t="str">
        <f t="shared" si="6"/>
        <v/>
      </c>
      <c r="J125" s="4" t="str">
        <f t="shared" si="7"/>
        <v/>
      </c>
      <c r="K125" s="25" t="str">
        <f t="shared" ca="1" si="8"/>
        <v/>
      </c>
      <c r="L125" s="21" t="str">
        <f t="shared" ca="1" si="9"/>
        <v/>
      </c>
      <c r="M125" s="21" t="str">
        <f>IF(SUMIFS('Input Sheet'!$F$3:$F$1001,'Input Sheet'!$B$3:$B$1001,$H125,'Input Sheet'!$E$3:$E$1001,M$4)=0,"",SUMIFS('Input Sheet'!$F$3:$F$1001,'Input Sheet'!$B$3:$B$1001,$H125,'Input Sheet'!$E$3:$E$1001,M$4))</f>
        <v/>
      </c>
      <c r="N125" s="21" t="str">
        <f>IF(SUMIFS('Input Sheet'!$F$3:$F$1001,'Input Sheet'!$B$3:$B$1001,$H125,'Input Sheet'!$E$3:$E$1001,N$4)=0,"",SUMIFS('Input Sheet'!$F$3:$F$1001,'Input Sheet'!$B$3:$B$1001,$H125,'Input Sheet'!$E$3:$E$1001,N$4))</f>
        <v/>
      </c>
      <c r="O125" s="21" t="str">
        <f>IF(SUMIFS('Input Sheet'!$F$3:$F$1001,'Input Sheet'!$B$3:$B$1001,$H125,'Input Sheet'!$E$3:$E$1001,O$4)=0,"",SUMIFS('Input Sheet'!$F$3:$F$1001,'Input Sheet'!$B$3:$B$1001,$H125,'Input Sheet'!$E$3:$E$1001,O$4))</f>
        <v/>
      </c>
      <c r="P125" s="21" t="str">
        <f>IF(SUMIFS('Input Sheet'!$F$3:$F$1001,'Input Sheet'!$B$3:$B$1001,$H125,'Input Sheet'!$E$3:$E$1001,P$4)=0,"",SUMIFS('Input Sheet'!$F$3:$F$1001,'Input Sheet'!$B$3:$B$1001,$H125,'Input Sheet'!$E$3:$E$1001,P$4))</f>
        <v/>
      </c>
      <c r="Q125" s="21" t="str">
        <f>IF(SUMIFS('Input Sheet'!$F$3:$F$1001,'Input Sheet'!$B$3:$B$1001,$H125,'Input Sheet'!$E$3:$E$1001,Q$4)=0,"",SUMIFS('Input Sheet'!$F$3:$F$1001,'Input Sheet'!$B$3:$B$1001,$H125,'Input Sheet'!$E$3:$E$1001,Q$4))</f>
        <v/>
      </c>
      <c r="R125" s="21" t="str">
        <f>IF(SUMIFS('Input Sheet'!$F$3:$F$1001,'Input Sheet'!$B$3:$B$1001,$H125,'Input Sheet'!$E$3:$E$1001,R$4)=0,"",SUMIFS('Input Sheet'!$F$3:$F$1001,'Input Sheet'!$B$3:$B$1001,$H125,'Input Sheet'!$E$3:$E$1001,R$4))</f>
        <v/>
      </c>
      <c r="S125" s="21" t="str">
        <f>IF(SUMIFS('Input Sheet'!$F$3:$F$1001,'Input Sheet'!$B$3:$B$1001,$H125,'Input Sheet'!$E$3:$E$1001,S$4)=0,"",SUMIFS('Input Sheet'!$F$3:$F$1001,'Input Sheet'!$B$3:$B$1001,$H125,'Input Sheet'!$E$3:$E$1001,S$4))</f>
        <v/>
      </c>
      <c r="T125" s="22">
        <v>120</v>
      </c>
    </row>
    <row r="126" spans="1:20" ht="14.25" customHeight="1" x14ac:dyDescent="0.3">
      <c r="A126" s="4" t="str">
        <f>IF('Input Sheet'!B123=0,"",'Input Sheet'!B123)</f>
        <v/>
      </c>
      <c r="B126" s="24" t="b">
        <f t="shared" si="2"/>
        <v>0</v>
      </c>
      <c r="C126" s="4">
        <f>SUMIF('Input Sheet'!B$3:B$1000,A126,'Input Sheet'!C$3:C$1000)</f>
        <v>0</v>
      </c>
      <c r="D126" s="4">
        <f>SUMIF('Input Sheet'!B$3:B$1000,A126,'Input Sheet'!D$3:D$1000)</f>
        <v>0</v>
      </c>
      <c r="E126" s="4" t="str">
        <f t="shared" ref="E126:F126" ca="1" si="129">IFERROR(RANK(K126,K$6:K$1004,1),"")</f>
        <v/>
      </c>
      <c r="F126" s="4" t="str">
        <f t="shared" ca="1" si="129"/>
        <v/>
      </c>
      <c r="G126" s="4" t="str">
        <f t="shared" ca="1" si="4"/>
        <v/>
      </c>
      <c r="H126" s="4" t="str">
        <f t="shared" si="5"/>
        <v/>
      </c>
      <c r="I126" s="4" t="str">
        <f t="shared" si="6"/>
        <v/>
      </c>
      <c r="J126" s="4" t="str">
        <f t="shared" si="7"/>
        <v/>
      </c>
      <c r="K126" s="25" t="str">
        <f t="shared" ca="1" si="8"/>
        <v/>
      </c>
      <c r="L126" s="21" t="str">
        <f t="shared" ca="1" si="9"/>
        <v/>
      </c>
      <c r="M126" s="21" t="str">
        <f>IF(SUMIFS('Input Sheet'!$F$3:$F$1001,'Input Sheet'!$B$3:$B$1001,$H126,'Input Sheet'!$E$3:$E$1001,M$4)=0,"",SUMIFS('Input Sheet'!$F$3:$F$1001,'Input Sheet'!$B$3:$B$1001,$H126,'Input Sheet'!$E$3:$E$1001,M$4))</f>
        <v/>
      </c>
      <c r="N126" s="21" t="str">
        <f>IF(SUMIFS('Input Sheet'!$F$3:$F$1001,'Input Sheet'!$B$3:$B$1001,$H126,'Input Sheet'!$E$3:$E$1001,N$4)=0,"",SUMIFS('Input Sheet'!$F$3:$F$1001,'Input Sheet'!$B$3:$B$1001,$H126,'Input Sheet'!$E$3:$E$1001,N$4))</f>
        <v/>
      </c>
      <c r="O126" s="21" t="str">
        <f>IF(SUMIFS('Input Sheet'!$F$3:$F$1001,'Input Sheet'!$B$3:$B$1001,$H126,'Input Sheet'!$E$3:$E$1001,O$4)=0,"",SUMIFS('Input Sheet'!$F$3:$F$1001,'Input Sheet'!$B$3:$B$1001,$H126,'Input Sheet'!$E$3:$E$1001,O$4))</f>
        <v/>
      </c>
      <c r="P126" s="21" t="str">
        <f>IF(SUMIFS('Input Sheet'!$F$3:$F$1001,'Input Sheet'!$B$3:$B$1001,$H126,'Input Sheet'!$E$3:$E$1001,P$4)=0,"",SUMIFS('Input Sheet'!$F$3:$F$1001,'Input Sheet'!$B$3:$B$1001,$H126,'Input Sheet'!$E$3:$E$1001,P$4))</f>
        <v/>
      </c>
      <c r="Q126" s="21" t="str">
        <f>IF(SUMIFS('Input Sheet'!$F$3:$F$1001,'Input Sheet'!$B$3:$B$1001,$H126,'Input Sheet'!$E$3:$E$1001,Q$4)=0,"",SUMIFS('Input Sheet'!$F$3:$F$1001,'Input Sheet'!$B$3:$B$1001,$H126,'Input Sheet'!$E$3:$E$1001,Q$4))</f>
        <v/>
      </c>
      <c r="R126" s="21" t="str">
        <f>IF(SUMIFS('Input Sheet'!$F$3:$F$1001,'Input Sheet'!$B$3:$B$1001,$H126,'Input Sheet'!$E$3:$E$1001,R$4)=0,"",SUMIFS('Input Sheet'!$F$3:$F$1001,'Input Sheet'!$B$3:$B$1001,$H126,'Input Sheet'!$E$3:$E$1001,R$4))</f>
        <v/>
      </c>
      <c r="S126" s="21" t="str">
        <f>IF(SUMIFS('Input Sheet'!$F$3:$F$1001,'Input Sheet'!$B$3:$B$1001,$H126,'Input Sheet'!$E$3:$E$1001,S$4)=0,"",SUMIFS('Input Sheet'!$F$3:$F$1001,'Input Sheet'!$B$3:$B$1001,$H126,'Input Sheet'!$E$3:$E$1001,S$4))</f>
        <v/>
      </c>
      <c r="T126" s="22">
        <v>121</v>
      </c>
    </row>
    <row r="127" spans="1:20" ht="14.25" customHeight="1" x14ac:dyDescent="0.3">
      <c r="A127" s="4" t="str">
        <f>IF('Input Sheet'!B124=0,"",'Input Sheet'!B124)</f>
        <v/>
      </c>
      <c r="B127" s="24" t="b">
        <f t="shared" si="2"/>
        <v>0</v>
      </c>
      <c r="C127" s="4">
        <f>SUMIF('Input Sheet'!B$3:B$1000,A127,'Input Sheet'!C$3:C$1000)</f>
        <v>0</v>
      </c>
      <c r="D127" s="4">
        <f>SUMIF('Input Sheet'!B$3:B$1000,A127,'Input Sheet'!D$3:D$1000)</f>
        <v>0</v>
      </c>
      <c r="E127" s="4" t="str">
        <f t="shared" ref="E127:F127" ca="1" si="130">IFERROR(RANK(K127,K$6:K$1004,1),"")</f>
        <v/>
      </c>
      <c r="F127" s="4" t="str">
        <f t="shared" ca="1" si="130"/>
        <v/>
      </c>
      <c r="G127" s="4" t="str">
        <f t="shared" ca="1" si="4"/>
        <v/>
      </c>
      <c r="H127" s="4" t="str">
        <f t="shared" si="5"/>
        <v/>
      </c>
      <c r="I127" s="4" t="str">
        <f t="shared" si="6"/>
        <v/>
      </c>
      <c r="J127" s="4" t="str">
        <f t="shared" si="7"/>
        <v/>
      </c>
      <c r="K127" s="25" t="str">
        <f t="shared" ca="1" si="8"/>
        <v/>
      </c>
      <c r="L127" s="21" t="str">
        <f t="shared" ca="1" si="9"/>
        <v/>
      </c>
      <c r="M127" s="21" t="str">
        <f>IF(SUMIFS('Input Sheet'!$F$3:$F$1001,'Input Sheet'!$B$3:$B$1001,$H127,'Input Sheet'!$E$3:$E$1001,M$4)=0,"",SUMIFS('Input Sheet'!$F$3:$F$1001,'Input Sheet'!$B$3:$B$1001,$H127,'Input Sheet'!$E$3:$E$1001,M$4))</f>
        <v/>
      </c>
      <c r="N127" s="21" t="str">
        <f>IF(SUMIFS('Input Sheet'!$F$3:$F$1001,'Input Sheet'!$B$3:$B$1001,$H127,'Input Sheet'!$E$3:$E$1001,N$4)=0,"",SUMIFS('Input Sheet'!$F$3:$F$1001,'Input Sheet'!$B$3:$B$1001,$H127,'Input Sheet'!$E$3:$E$1001,N$4))</f>
        <v/>
      </c>
      <c r="O127" s="21" t="str">
        <f>IF(SUMIFS('Input Sheet'!$F$3:$F$1001,'Input Sheet'!$B$3:$B$1001,$H127,'Input Sheet'!$E$3:$E$1001,O$4)=0,"",SUMIFS('Input Sheet'!$F$3:$F$1001,'Input Sheet'!$B$3:$B$1001,$H127,'Input Sheet'!$E$3:$E$1001,O$4))</f>
        <v/>
      </c>
      <c r="P127" s="21" t="str">
        <f>IF(SUMIFS('Input Sheet'!$F$3:$F$1001,'Input Sheet'!$B$3:$B$1001,$H127,'Input Sheet'!$E$3:$E$1001,P$4)=0,"",SUMIFS('Input Sheet'!$F$3:$F$1001,'Input Sheet'!$B$3:$B$1001,$H127,'Input Sheet'!$E$3:$E$1001,P$4))</f>
        <v/>
      </c>
      <c r="Q127" s="21" t="str">
        <f>IF(SUMIFS('Input Sheet'!$F$3:$F$1001,'Input Sheet'!$B$3:$B$1001,$H127,'Input Sheet'!$E$3:$E$1001,Q$4)=0,"",SUMIFS('Input Sheet'!$F$3:$F$1001,'Input Sheet'!$B$3:$B$1001,$H127,'Input Sheet'!$E$3:$E$1001,Q$4))</f>
        <v/>
      </c>
      <c r="R127" s="21" t="str">
        <f>IF(SUMIFS('Input Sheet'!$F$3:$F$1001,'Input Sheet'!$B$3:$B$1001,$H127,'Input Sheet'!$E$3:$E$1001,R$4)=0,"",SUMIFS('Input Sheet'!$F$3:$F$1001,'Input Sheet'!$B$3:$B$1001,$H127,'Input Sheet'!$E$3:$E$1001,R$4))</f>
        <v/>
      </c>
      <c r="S127" s="21" t="str">
        <f>IF(SUMIFS('Input Sheet'!$F$3:$F$1001,'Input Sheet'!$B$3:$B$1001,$H127,'Input Sheet'!$E$3:$E$1001,S$4)=0,"",SUMIFS('Input Sheet'!$F$3:$F$1001,'Input Sheet'!$B$3:$B$1001,$H127,'Input Sheet'!$E$3:$E$1001,S$4))</f>
        <v/>
      </c>
      <c r="T127" s="22">
        <v>122</v>
      </c>
    </row>
    <row r="128" spans="1:20" ht="14.25" customHeight="1" x14ac:dyDescent="0.3">
      <c r="A128" s="4" t="str">
        <f>IF('Input Sheet'!B125=0,"",'Input Sheet'!B125)</f>
        <v/>
      </c>
      <c r="B128" s="24" t="b">
        <f t="shared" si="2"/>
        <v>0</v>
      </c>
      <c r="C128" s="4">
        <f>SUMIF('Input Sheet'!B$3:B$1000,A128,'Input Sheet'!C$3:C$1000)</f>
        <v>0</v>
      </c>
      <c r="D128" s="4">
        <f>SUMIF('Input Sheet'!B$3:B$1000,A128,'Input Sheet'!D$3:D$1000)</f>
        <v>0</v>
      </c>
      <c r="E128" s="4" t="str">
        <f t="shared" ref="E128:F128" ca="1" si="131">IFERROR(RANK(K128,K$6:K$1004,1),"")</f>
        <v/>
      </c>
      <c r="F128" s="4" t="str">
        <f t="shared" ca="1" si="131"/>
        <v/>
      </c>
      <c r="G128" s="4" t="str">
        <f t="shared" ca="1" si="4"/>
        <v/>
      </c>
      <c r="H128" s="4" t="str">
        <f t="shared" si="5"/>
        <v/>
      </c>
      <c r="I128" s="4" t="str">
        <f t="shared" si="6"/>
        <v/>
      </c>
      <c r="J128" s="4" t="str">
        <f t="shared" si="7"/>
        <v/>
      </c>
      <c r="K128" s="25" t="str">
        <f t="shared" ca="1" si="8"/>
        <v/>
      </c>
      <c r="L128" s="21" t="str">
        <f t="shared" ca="1" si="9"/>
        <v/>
      </c>
      <c r="M128" s="21" t="str">
        <f>IF(SUMIFS('Input Sheet'!$F$3:$F$1001,'Input Sheet'!$B$3:$B$1001,$H128,'Input Sheet'!$E$3:$E$1001,M$4)=0,"",SUMIFS('Input Sheet'!$F$3:$F$1001,'Input Sheet'!$B$3:$B$1001,$H128,'Input Sheet'!$E$3:$E$1001,M$4))</f>
        <v/>
      </c>
      <c r="N128" s="21" t="str">
        <f>IF(SUMIFS('Input Sheet'!$F$3:$F$1001,'Input Sheet'!$B$3:$B$1001,$H128,'Input Sheet'!$E$3:$E$1001,N$4)=0,"",SUMIFS('Input Sheet'!$F$3:$F$1001,'Input Sheet'!$B$3:$B$1001,$H128,'Input Sheet'!$E$3:$E$1001,N$4))</f>
        <v/>
      </c>
      <c r="O128" s="21" t="str">
        <f>IF(SUMIFS('Input Sheet'!$F$3:$F$1001,'Input Sheet'!$B$3:$B$1001,$H128,'Input Sheet'!$E$3:$E$1001,O$4)=0,"",SUMIFS('Input Sheet'!$F$3:$F$1001,'Input Sheet'!$B$3:$B$1001,$H128,'Input Sheet'!$E$3:$E$1001,O$4))</f>
        <v/>
      </c>
      <c r="P128" s="21" t="str">
        <f>IF(SUMIFS('Input Sheet'!$F$3:$F$1001,'Input Sheet'!$B$3:$B$1001,$H128,'Input Sheet'!$E$3:$E$1001,P$4)=0,"",SUMIFS('Input Sheet'!$F$3:$F$1001,'Input Sheet'!$B$3:$B$1001,$H128,'Input Sheet'!$E$3:$E$1001,P$4))</f>
        <v/>
      </c>
      <c r="Q128" s="21" t="str">
        <f>IF(SUMIFS('Input Sheet'!$F$3:$F$1001,'Input Sheet'!$B$3:$B$1001,$H128,'Input Sheet'!$E$3:$E$1001,Q$4)=0,"",SUMIFS('Input Sheet'!$F$3:$F$1001,'Input Sheet'!$B$3:$B$1001,$H128,'Input Sheet'!$E$3:$E$1001,Q$4))</f>
        <v/>
      </c>
      <c r="R128" s="21" t="str">
        <f>IF(SUMIFS('Input Sheet'!$F$3:$F$1001,'Input Sheet'!$B$3:$B$1001,$H128,'Input Sheet'!$E$3:$E$1001,R$4)=0,"",SUMIFS('Input Sheet'!$F$3:$F$1001,'Input Sheet'!$B$3:$B$1001,$H128,'Input Sheet'!$E$3:$E$1001,R$4))</f>
        <v/>
      </c>
      <c r="S128" s="21" t="str">
        <f>IF(SUMIFS('Input Sheet'!$F$3:$F$1001,'Input Sheet'!$B$3:$B$1001,$H128,'Input Sheet'!$E$3:$E$1001,S$4)=0,"",SUMIFS('Input Sheet'!$F$3:$F$1001,'Input Sheet'!$B$3:$B$1001,$H128,'Input Sheet'!$E$3:$E$1001,S$4))</f>
        <v/>
      </c>
      <c r="T128" s="22">
        <v>123</v>
      </c>
    </row>
    <row r="129" spans="1:20" ht="14.25" customHeight="1" x14ac:dyDescent="0.3">
      <c r="A129" s="4" t="str">
        <f>IF('Input Sheet'!B126=0,"",'Input Sheet'!B126)</f>
        <v/>
      </c>
      <c r="B129" s="24" t="b">
        <f t="shared" si="2"/>
        <v>0</v>
      </c>
      <c r="C129" s="4">
        <f>SUMIF('Input Sheet'!B$3:B$1000,A129,'Input Sheet'!C$3:C$1000)</f>
        <v>0</v>
      </c>
      <c r="D129" s="4">
        <f>SUMIF('Input Sheet'!B$3:B$1000,A129,'Input Sheet'!D$3:D$1000)</f>
        <v>0</v>
      </c>
      <c r="E129" s="4" t="str">
        <f t="shared" ref="E129:F129" ca="1" si="132">IFERROR(RANK(K129,K$6:K$1004,1),"")</f>
        <v/>
      </c>
      <c r="F129" s="4" t="str">
        <f t="shared" ca="1" si="132"/>
        <v/>
      </c>
      <c r="G129" s="4" t="str">
        <f t="shared" ca="1" si="4"/>
        <v/>
      </c>
      <c r="H129" s="4" t="str">
        <f t="shared" si="5"/>
        <v/>
      </c>
      <c r="I129" s="4" t="str">
        <f t="shared" si="6"/>
        <v/>
      </c>
      <c r="J129" s="4" t="str">
        <f t="shared" si="7"/>
        <v/>
      </c>
      <c r="K129" s="25" t="str">
        <f t="shared" ca="1" si="8"/>
        <v/>
      </c>
      <c r="L129" s="21" t="str">
        <f t="shared" ca="1" si="9"/>
        <v/>
      </c>
      <c r="M129" s="21" t="str">
        <f>IF(SUMIFS('Input Sheet'!$F$3:$F$1001,'Input Sheet'!$B$3:$B$1001,$H129,'Input Sheet'!$E$3:$E$1001,M$4)=0,"",SUMIFS('Input Sheet'!$F$3:$F$1001,'Input Sheet'!$B$3:$B$1001,$H129,'Input Sheet'!$E$3:$E$1001,M$4))</f>
        <v/>
      </c>
      <c r="N129" s="21" t="str">
        <f>IF(SUMIFS('Input Sheet'!$F$3:$F$1001,'Input Sheet'!$B$3:$B$1001,$H129,'Input Sheet'!$E$3:$E$1001,N$4)=0,"",SUMIFS('Input Sheet'!$F$3:$F$1001,'Input Sheet'!$B$3:$B$1001,$H129,'Input Sheet'!$E$3:$E$1001,N$4))</f>
        <v/>
      </c>
      <c r="O129" s="21" t="str">
        <f>IF(SUMIFS('Input Sheet'!$F$3:$F$1001,'Input Sheet'!$B$3:$B$1001,$H129,'Input Sheet'!$E$3:$E$1001,O$4)=0,"",SUMIFS('Input Sheet'!$F$3:$F$1001,'Input Sheet'!$B$3:$B$1001,$H129,'Input Sheet'!$E$3:$E$1001,O$4))</f>
        <v/>
      </c>
      <c r="P129" s="21" t="str">
        <f>IF(SUMIFS('Input Sheet'!$F$3:$F$1001,'Input Sheet'!$B$3:$B$1001,$H129,'Input Sheet'!$E$3:$E$1001,P$4)=0,"",SUMIFS('Input Sheet'!$F$3:$F$1001,'Input Sheet'!$B$3:$B$1001,$H129,'Input Sheet'!$E$3:$E$1001,P$4))</f>
        <v/>
      </c>
      <c r="Q129" s="21" t="str">
        <f>IF(SUMIFS('Input Sheet'!$F$3:$F$1001,'Input Sheet'!$B$3:$B$1001,$H129,'Input Sheet'!$E$3:$E$1001,Q$4)=0,"",SUMIFS('Input Sheet'!$F$3:$F$1001,'Input Sheet'!$B$3:$B$1001,$H129,'Input Sheet'!$E$3:$E$1001,Q$4))</f>
        <v/>
      </c>
      <c r="R129" s="21" t="str">
        <f>IF(SUMIFS('Input Sheet'!$F$3:$F$1001,'Input Sheet'!$B$3:$B$1001,$H129,'Input Sheet'!$E$3:$E$1001,R$4)=0,"",SUMIFS('Input Sheet'!$F$3:$F$1001,'Input Sheet'!$B$3:$B$1001,$H129,'Input Sheet'!$E$3:$E$1001,R$4))</f>
        <v/>
      </c>
      <c r="S129" s="21" t="str">
        <f>IF(SUMIFS('Input Sheet'!$F$3:$F$1001,'Input Sheet'!$B$3:$B$1001,$H129,'Input Sheet'!$E$3:$E$1001,S$4)=0,"",SUMIFS('Input Sheet'!$F$3:$F$1001,'Input Sheet'!$B$3:$B$1001,$H129,'Input Sheet'!$E$3:$E$1001,S$4))</f>
        <v/>
      </c>
      <c r="T129" s="22">
        <v>124</v>
      </c>
    </row>
    <row r="130" spans="1:20" ht="14.25" customHeight="1" x14ac:dyDescent="0.3">
      <c r="A130" s="4" t="str">
        <f>IF('Input Sheet'!B127=0,"",'Input Sheet'!B127)</f>
        <v/>
      </c>
      <c r="B130" s="24" t="b">
        <f t="shared" si="2"/>
        <v>0</v>
      </c>
      <c r="C130" s="4">
        <f>SUMIF('Input Sheet'!B$3:B$1000,A130,'Input Sheet'!C$3:C$1000)</f>
        <v>0</v>
      </c>
      <c r="D130" s="4">
        <f>SUMIF('Input Sheet'!B$3:B$1000,A130,'Input Sheet'!D$3:D$1000)</f>
        <v>0</v>
      </c>
      <c r="E130" s="4" t="str">
        <f t="shared" ref="E130:F130" ca="1" si="133">IFERROR(RANK(K130,K$6:K$1004,1),"")</f>
        <v/>
      </c>
      <c r="F130" s="4" t="str">
        <f t="shared" ca="1" si="133"/>
        <v/>
      </c>
      <c r="G130" s="4" t="str">
        <f t="shared" ca="1" si="4"/>
        <v/>
      </c>
      <c r="H130" s="4" t="str">
        <f t="shared" si="5"/>
        <v/>
      </c>
      <c r="I130" s="4" t="str">
        <f t="shared" si="6"/>
        <v/>
      </c>
      <c r="J130" s="4" t="str">
        <f t="shared" si="7"/>
        <v/>
      </c>
      <c r="K130" s="25" t="str">
        <f t="shared" ca="1" si="8"/>
        <v/>
      </c>
      <c r="L130" s="21" t="str">
        <f t="shared" ca="1" si="9"/>
        <v/>
      </c>
      <c r="M130" s="21" t="str">
        <f>IF(SUMIFS('Input Sheet'!$F$3:$F$1001,'Input Sheet'!$B$3:$B$1001,$H130,'Input Sheet'!$E$3:$E$1001,M$4)=0,"",SUMIFS('Input Sheet'!$F$3:$F$1001,'Input Sheet'!$B$3:$B$1001,$H130,'Input Sheet'!$E$3:$E$1001,M$4))</f>
        <v/>
      </c>
      <c r="N130" s="21" t="str">
        <f>IF(SUMIFS('Input Sheet'!$F$3:$F$1001,'Input Sheet'!$B$3:$B$1001,$H130,'Input Sheet'!$E$3:$E$1001,N$4)=0,"",SUMIFS('Input Sheet'!$F$3:$F$1001,'Input Sheet'!$B$3:$B$1001,$H130,'Input Sheet'!$E$3:$E$1001,N$4))</f>
        <v/>
      </c>
      <c r="O130" s="21" t="str">
        <f>IF(SUMIFS('Input Sheet'!$F$3:$F$1001,'Input Sheet'!$B$3:$B$1001,$H130,'Input Sheet'!$E$3:$E$1001,O$4)=0,"",SUMIFS('Input Sheet'!$F$3:$F$1001,'Input Sheet'!$B$3:$B$1001,$H130,'Input Sheet'!$E$3:$E$1001,O$4))</f>
        <v/>
      </c>
      <c r="P130" s="21" t="str">
        <f>IF(SUMIFS('Input Sheet'!$F$3:$F$1001,'Input Sheet'!$B$3:$B$1001,$H130,'Input Sheet'!$E$3:$E$1001,P$4)=0,"",SUMIFS('Input Sheet'!$F$3:$F$1001,'Input Sheet'!$B$3:$B$1001,$H130,'Input Sheet'!$E$3:$E$1001,P$4))</f>
        <v/>
      </c>
      <c r="Q130" s="21" t="str">
        <f>IF(SUMIFS('Input Sheet'!$F$3:$F$1001,'Input Sheet'!$B$3:$B$1001,$H130,'Input Sheet'!$E$3:$E$1001,Q$4)=0,"",SUMIFS('Input Sheet'!$F$3:$F$1001,'Input Sheet'!$B$3:$B$1001,$H130,'Input Sheet'!$E$3:$E$1001,Q$4))</f>
        <v/>
      </c>
      <c r="R130" s="21" t="str">
        <f>IF(SUMIFS('Input Sheet'!$F$3:$F$1001,'Input Sheet'!$B$3:$B$1001,$H130,'Input Sheet'!$E$3:$E$1001,R$4)=0,"",SUMIFS('Input Sheet'!$F$3:$F$1001,'Input Sheet'!$B$3:$B$1001,$H130,'Input Sheet'!$E$3:$E$1001,R$4))</f>
        <v/>
      </c>
      <c r="S130" s="21" t="str">
        <f>IF(SUMIFS('Input Sheet'!$F$3:$F$1001,'Input Sheet'!$B$3:$B$1001,$H130,'Input Sheet'!$E$3:$E$1001,S$4)=0,"",SUMIFS('Input Sheet'!$F$3:$F$1001,'Input Sheet'!$B$3:$B$1001,$H130,'Input Sheet'!$E$3:$E$1001,S$4))</f>
        <v/>
      </c>
      <c r="T130" s="22">
        <v>125</v>
      </c>
    </row>
    <row r="131" spans="1:20" ht="14.25" customHeight="1" x14ac:dyDescent="0.3">
      <c r="A131" s="4" t="str">
        <f>IF('Input Sheet'!B128=0,"",'Input Sheet'!B128)</f>
        <v/>
      </c>
      <c r="B131" s="24" t="b">
        <f t="shared" si="2"/>
        <v>0</v>
      </c>
      <c r="C131" s="4">
        <f>SUMIF('Input Sheet'!B$3:B$1000,A131,'Input Sheet'!C$3:C$1000)</f>
        <v>0</v>
      </c>
      <c r="D131" s="4">
        <f>SUMIF('Input Sheet'!B$3:B$1000,A131,'Input Sheet'!D$3:D$1000)</f>
        <v>0</v>
      </c>
      <c r="E131" s="4" t="str">
        <f t="shared" ref="E131:F131" ca="1" si="134">IFERROR(RANK(K131,K$6:K$1004,1),"")</f>
        <v/>
      </c>
      <c r="F131" s="4" t="str">
        <f t="shared" ca="1" si="134"/>
        <v/>
      </c>
      <c r="G131" s="4" t="str">
        <f t="shared" ca="1" si="4"/>
        <v/>
      </c>
      <c r="H131" s="4" t="str">
        <f t="shared" si="5"/>
        <v/>
      </c>
      <c r="I131" s="4" t="str">
        <f t="shared" si="6"/>
        <v/>
      </c>
      <c r="J131" s="4" t="str">
        <f t="shared" si="7"/>
        <v/>
      </c>
      <c r="K131" s="25" t="str">
        <f t="shared" ca="1" si="8"/>
        <v/>
      </c>
      <c r="L131" s="21" t="str">
        <f t="shared" ca="1" si="9"/>
        <v/>
      </c>
      <c r="M131" s="21" t="str">
        <f>IF(SUMIFS('Input Sheet'!$F$3:$F$1001,'Input Sheet'!$B$3:$B$1001,$H131,'Input Sheet'!$E$3:$E$1001,M$4)=0,"",SUMIFS('Input Sheet'!$F$3:$F$1001,'Input Sheet'!$B$3:$B$1001,$H131,'Input Sheet'!$E$3:$E$1001,M$4))</f>
        <v/>
      </c>
      <c r="N131" s="21" t="str">
        <f>IF(SUMIFS('Input Sheet'!$F$3:$F$1001,'Input Sheet'!$B$3:$B$1001,$H131,'Input Sheet'!$E$3:$E$1001,N$4)=0,"",SUMIFS('Input Sheet'!$F$3:$F$1001,'Input Sheet'!$B$3:$B$1001,$H131,'Input Sheet'!$E$3:$E$1001,N$4))</f>
        <v/>
      </c>
      <c r="O131" s="21" t="str">
        <f>IF(SUMIFS('Input Sheet'!$F$3:$F$1001,'Input Sheet'!$B$3:$B$1001,$H131,'Input Sheet'!$E$3:$E$1001,O$4)=0,"",SUMIFS('Input Sheet'!$F$3:$F$1001,'Input Sheet'!$B$3:$B$1001,$H131,'Input Sheet'!$E$3:$E$1001,O$4))</f>
        <v/>
      </c>
      <c r="P131" s="21" t="str">
        <f>IF(SUMIFS('Input Sheet'!$F$3:$F$1001,'Input Sheet'!$B$3:$B$1001,$H131,'Input Sheet'!$E$3:$E$1001,P$4)=0,"",SUMIFS('Input Sheet'!$F$3:$F$1001,'Input Sheet'!$B$3:$B$1001,$H131,'Input Sheet'!$E$3:$E$1001,P$4))</f>
        <v/>
      </c>
      <c r="Q131" s="21" t="str">
        <f>IF(SUMIFS('Input Sheet'!$F$3:$F$1001,'Input Sheet'!$B$3:$B$1001,$H131,'Input Sheet'!$E$3:$E$1001,Q$4)=0,"",SUMIFS('Input Sheet'!$F$3:$F$1001,'Input Sheet'!$B$3:$B$1001,$H131,'Input Sheet'!$E$3:$E$1001,Q$4))</f>
        <v/>
      </c>
      <c r="R131" s="21" t="str">
        <f>IF(SUMIFS('Input Sheet'!$F$3:$F$1001,'Input Sheet'!$B$3:$B$1001,$H131,'Input Sheet'!$E$3:$E$1001,R$4)=0,"",SUMIFS('Input Sheet'!$F$3:$F$1001,'Input Sheet'!$B$3:$B$1001,$H131,'Input Sheet'!$E$3:$E$1001,R$4))</f>
        <v/>
      </c>
      <c r="S131" s="21" t="str">
        <f>IF(SUMIFS('Input Sheet'!$F$3:$F$1001,'Input Sheet'!$B$3:$B$1001,$H131,'Input Sheet'!$E$3:$E$1001,S$4)=0,"",SUMIFS('Input Sheet'!$F$3:$F$1001,'Input Sheet'!$B$3:$B$1001,$H131,'Input Sheet'!$E$3:$E$1001,S$4))</f>
        <v/>
      </c>
      <c r="T131" s="22">
        <v>126</v>
      </c>
    </row>
    <row r="132" spans="1:20" ht="14.25" customHeight="1" x14ac:dyDescent="0.3">
      <c r="A132" s="4" t="str">
        <f>IF('Input Sheet'!B129=0,"",'Input Sheet'!B129)</f>
        <v/>
      </c>
      <c r="B132" s="24" t="b">
        <f t="shared" si="2"/>
        <v>0</v>
      </c>
      <c r="C132" s="4">
        <f>SUMIF('Input Sheet'!B$3:B$1000,A132,'Input Sheet'!C$3:C$1000)</f>
        <v>0</v>
      </c>
      <c r="D132" s="4">
        <f>SUMIF('Input Sheet'!B$3:B$1000,A132,'Input Sheet'!D$3:D$1000)</f>
        <v>0</v>
      </c>
      <c r="E132" s="4" t="str">
        <f t="shared" ref="E132:F132" ca="1" si="135">IFERROR(RANK(K132,K$6:K$1004,1),"")</f>
        <v/>
      </c>
      <c r="F132" s="4" t="str">
        <f t="shared" ca="1" si="135"/>
        <v/>
      </c>
      <c r="G132" s="4" t="str">
        <f t="shared" ca="1" si="4"/>
        <v/>
      </c>
      <c r="H132" s="4" t="str">
        <f t="shared" si="5"/>
        <v/>
      </c>
      <c r="I132" s="4" t="str">
        <f t="shared" si="6"/>
        <v/>
      </c>
      <c r="J132" s="4" t="str">
        <f t="shared" si="7"/>
        <v/>
      </c>
      <c r="K132" s="25" t="str">
        <f t="shared" ca="1" si="8"/>
        <v/>
      </c>
      <c r="L132" s="21" t="str">
        <f t="shared" ca="1" si="9"/>
        <v/>
      </c>
      <c r="M132" s="21" t="str">
        <f>IF(SUMIFS('Input Sheet'!$F$3:$F$1001,'Input Sheet'!$B$3:$B$1001,$H132,'Input Sheet'!$E$3:$E$1001,M$4)=0,"",SUMIFS('Input Sheet'!$F$3:$F$1001,'Input Sheet'!$B$3:$B$1001,$H132,'Input Sheet'!$E$3:$E$1001,M$4))</f>
        <v/>
      </c>
      <c r="N132" s="21" t="str">
        <f>IF(SUMIFS('Input Sheet'!$F$3:$F$1001,'Input Sheet'!$B$3:$B$1001,$H132,'Input Sheet'!$E$3:$E$1001,N$4)=0,"",SUMIFS('Input Sheet'!$F$3:$F$1001,'Input Sheet'!$B$3:$B$1001,$H132,'Input Sheet'!$E$3:$E$1001,N$4))</f>
        <v/>
      </c>
      <c r="O132" s="21" t="str">
        <f>IF(SUMIFS('Input Sheet'!$F$3:$F$1001,'Input Sheet'!$B$3:$B$1001,$H132,'Input Sheet'!$E$3:$E$1001,O$4)=0,"",SUMIFS('Input Sheet'!$F$3:$F$1001,'Input Sheet'!$B$3:$B$1001,$H132,'Input Sheet'!$E$3:$E$1001,O$4))</f>
        <v/>
      </c>
      <c r="P132" s="21" t="str">
        <f>IF(SUMIFS('Input Sheet'!$F$3:$F$1001,'Input Sheet'!$B$3:$B$1001,$H132,'Input Sheet'!$E$3:$E$1001,P$4)=0,"",SUMIFS('Input Sheet'!$F$3:$F$1001,'Input Sheet'!$B$3:$B$1001,$H132,'Input Sheet'!$E$3:$E$1001,P$4))</f>
        <v/>
      </c>
      <c r="Q132" s="21" t="str">
        <f>IF(SUMIFS('Input Sheet'!$F$3:$F$1001,'Input Sheet'!$B$3:$B$1001,$H132,'Input Sheet'!$E$3:$E$1001,Q$4)=0,"",SUMIFS('Input Sheet'!$F$3:$F$1001,'Input Sheet'!$B$3:$B$1001,$H132,'Input Sheet'!$E$3:$E$1001,Q$4))</f>
        <v/>
      </c>
      <c r="R132" s="21" t="str">
        <f>IF(SUMIFS('Input Sheet'!$F$3:$F$1001,'Input Sheet'!$B$3:$B$1001,$H132,'Input Sheet'!$E$3:$E$1001,R$4)=0,"",SUMIFS('Input Sheet'!$F$3:$F$1001,'Input Sheet'!$B$3:$B$1001,$H132,'Input Sheet'!$E$3:$E$1001,R$4))</f>
        <v/>
      </c>
      <c r="S132" s="21" t="str">
        <f>IF(SUMIFS('Input Sheet'!$F$3:$F$1001,'Input Sheet'!$B$3:$B$1001,$H132,'Input Sheet'!$E$3:$E$1001,S$4)=0,"",SUMIFS('Input Sheet'!$F$3:$F$1001,'Input Sheet'!$B$3:$B$1001,$H132,'Input Sheet'!$E$3:$E$1001,S$4))</f>
        <v/>
      </c>
      <c r="T132" s="22">
        <v>127</v>
      </c>
    </row>
    <row r="133" spans="1:20" ht="14.25" customHeight="1" x14ac:dyDescent="0.3">
      <c r="A133" s="4" t="str">
        <f>IF('Input Sheet'!B130=0,"",'Input Sheet'!B130)</f>
        <v/>
      </c>
      <c r="B133" s="24" t="b">
        <f t="shared" si="2"/>
        <v>0</v>
      </c>
      <c r="C133" s="4">
        <f>SUMIF('Input Sheet'!B$3:B$1000,A133,'Input Sheet'!C$3:C$1000)</f>
        <v>0</v>
      </c>
      <c r="D133" s="4">
        <f>SUMIF('Input Sheet'!B$3:B$1000,A133,'Input Sheet'!D$3:D$1000)</f>
        <v>0</v>
      </c>
      <c r="E133" s="4" t="str">
        <f t="shared" ref="E133:F133" ca="1" si="136">IFERROR(RANK(K133,K$6:K$1004,1),"")</f>
        <v/>
      </c>
      <c r="F133" s="4" t="str">
        <f t="shared" ca="1" si="136"/>
        <v/>
      </c>
      <c r="G133" s="4" t="str">
        <f t="shared" ca="1" si="4"/>
        <v/>
      </c>
      <c r="H133" s="4" t="str">
        <f t="shared" si="5"/>
        <v/>
      </c>
      <c r="I133" s="4" t="str">
        <f t="shared" si="6"/>
        <v/>
      </c>
      <c r="J133" s="4" t="str">
        <f t="shared" si="7"/>
        <v/>
      </c>
      <c r="K133" s="25" t="str">
        <f t="shared" ca="1" si="8"/>
        <v/>
      </c>
      <c r="L133" s="21" t="str">
        <f t="shared" ca="1" si="9"/>
        <v/>
      </c>
      <c r="M133" s="21" t="str">
        <f>IF(SUMIFS('Input Sheet'!$F$3:$F$1001,'Input Sheet'!$B$3:$B$1001,$H133,'Input Sheet'!$E$3:$E$1001,M$4)=0,"",SUMIFS('Input Sheet'!$F$3:$F$1001,'Input Sheet'!$B$3:$B$1001,$H133,'Input Sheet'!$E$3:$E$1001,M$4))</f>
        <v/>
      </c>
      <c r="N133" s="21" t="str">
        <f>IF(SUMIFS('Input Sheet'!$F$3:$F$1001,'Input Sheet'!$B$3:$B$1001,$H133,'Input Sheet'!$E$3:$E$1001,N$4)=0,"",SUMIFS('Input Sheet'!$F$3:$F$1001,'Input Sheet'!$B$3:$B$1001,$H133,'Input Sheet'!$E$3:$E$1001,N$4))</f>
        <v/>
      </c>
      <c r="O133" s="21" t="str">
        <f>IF(SUMIFS('Input Sheet'!$F$3:$F$1001,'Input Sheet'!$B$3:$B$1001,$H133,'Input Sheet'!$E$3:$E$1001,O$4)=0,"",SUMIFS('Input Sheet'!$F$3:$F$1001,'Input Sheet'!$B$3:$B$1001,$H133,'Input Sheet'!$E$3:$E$1001,O$4))</f>
        <v/>
      </c>
      <c r="P133" s="21" t="str">
        <f>IF(SUMIFS('Input Sheet'!$F$3:$F$1001,'Input Sheet'!$B$3:$B$1001,$H133,'Input Sheet'!$E$3:$E$1001,P$4)=0,"",SUMIFS('Input Sheet'!$F$3:$F$1001,'Input Sheet'!$B$3:$B$1001,$H133,'Input Sheet'!$E$3:$E$1001,P$4))</f>
        <v/>
      </c>
      <c r="Q133" s="21" t="str">
        <f>IF(SUMIFS('Input Sheet'!$F$3:$F$1001,'Input Sheet'!$B$3:$B$1001,$H133,'Input Sheet'!$E$3:$E$1001,Q$4)=0,"",SUMIFS('Input Sheet'!$F$3:$F$1001,'Input Sheet'!$B$3:$B$1001,$H133,'Input Sheet'!$E$3:$E$1001,Q$4))</f>
        <v/>
      </c>
      <c r="R133" s="21" t="str">
        <f>IF(SUMIFS('Input Sheet'!$F$3:$F$1001,'Input Sheet'!$B$3:$B$1001,$H133,'Input Sheet'!$E$3:$E$1001,R$4)=0,"",SUMIFS('Input Sheet'!$F$3:$F$1001,'Input Sheet'!$B$3:$B$1001,$H133,'Input Sheet'!$E$3:$E$1001,R$4))</f>
        <v/>
      </c>
      <c r="S133" s="21" t="str">
        <f>IF(SUMIFS('Input Sheet'!$F$3:$F$1001,'Input Sheet'!$B$3:$B$1001,$H133,'Input Sheet'!$E$3:$E$1001,S$4)=0,"",SUMIFS('Input Sheet'!$F$3:$F$1001,'Input Sheet'!$B$3:$B$1001,$H133,'Input Sheet'!$E$3:$E$1001,S$4))</f>
        <v/>
      </c>
      <c r="T133" s="22">
        <v>128</v>
      </c>
    </row>
    <row r="134" spans="1:20" ht="14.25" customHeight="1" x14ac:dyDescent="0.3">
      <c r="A134" s="4" t="str">
        <f>IF('Input Sheet'!B131=0,"",'Input Sheet'!B131)</f>
        <v/>
      </c>
      <c r="B134" s="24" t="b">
        <f t="shared" si="2"/>
        <v>0</v>
      </c>
      <c r="C134" s="4">
        <f>SUMIF('Input Sheet'!B$3:B$1000,A134,'Input Sheet'!C$3:C$1000)</f>
        <v>0</v>
      </c>
      <c r="D134" s="4">
        <f>SUMIF('Input Sheet'!B$3:B$1000,A134,'Input Sheet'!D$3:D$1000)</f>
        <v>0</v>
      </c>
      <c r="E134" s="4" t="str">
        <f t="shared" ref="E134:F134" ca="1" si="137">IFERROR(RANK(K134,K$6:K$1004,1),"")</f>
        <v/>
      </c>
      <c r="F134" s="4" t="str">
        <f t="shared" ca="1" si="137"/>
        <v/>
      </c>
      <c r="G134" s="4" t="str">
        <f t="shared" ca="1" si="4"/>
        <v/>
      </c>
      <c r="H134" s="4" t="str">
        <f t="shared" si="5"/>
        <v/>
      </c>
      <c r="I134" s="4" t="str">
        <f t="shared" si="6"/>
        <v/>
      </c>
      <c r="J134" s="4" t="str">
        <f t="shared" si="7"/>
        <v/>
      </c>
      <c r="K134" s="25" t="str">
        <f t="shared" ca="1" si="8"/>
        <v/>
      </c>
      <c r="L134" s="21" t="str">
        <f t="shared" ca="1" si="9"/>
        <v/>
      </c>
      <c r="M134" s="21" t="str">
        <f>IF(SUMIFS('Input Sheet'!$F$3:$F$1001,'Input Sheet'!$B$3:$B$1001,$H134,'Input Sheet'!$E$3:$E$1001,M$4)=0,"",SUMIFS('Input Sheet'!$F$3:$F$1001,'Input Sheet'!$B$3:$B$1001,$H134,'Input Sheet'!$E$3:$E$1001,M$4))</f>
        <v/>
      </c>
      <c r="N134" s="21" t="str">
        <f>IF(SUMIFS('Input Sheet'!$F$3:$F$1001,'Input Sheet'!$B$3:$B$1001,$H134,'Input Sheet'!$E$3:$E$1001,N$4)=0,"",SUMIFS('Input Sheet'!$F$3:$F$1001,'Input Sheet'!$B$3:$B$1001,$H134,'Input Sheet'!$E$3:$E$1001,N$4))</f>
        <v/>
      </c>
      <c r="O134" s="21" t="str">
        <f>IF(SUMIFS('Input Sheet'!$F$3:$F$1001,'Input Sheet'!$B$3:$B$1001,$H134,'Input Sheet'!$E$3:$E$1001,O$4)=0,"",SUMIFS('Input Sheet'!$F$3:$F$1001,'Input Sheet'!$B$3:$B$1001,$H134,'Input Sheet'!$E$3:$E$1001,O$4))</f>
        <v/>
      </c>
      <c r="P134" s="21" t="str">
        <f>IF(SUMIFS('Input Sheet'!$F$3:$F$1001,'Input Sheet'!$B$3:$B$1001,$H134,'Input Sheet'!$E$3:$E$1001,P$4)=0,"",SUMIFS('Input Sheet'!$F$3:$F$1001,'Input Sheet'!$B$3:$B$1001,$H134,'Input Sheet'!$E$3:$E$1001,P$4))</f>
        <v/>
      </c>
      <c r="Q134" s="21" t="str">
        <f>IF(SUMIFS('Input Sheet'!$F$3:$F$1001,'Input Sheet'!$B$3:$B$1001,$H134,'Input Sheet'!$E$3:$E$1001,Q$4)=0,"",SUMIFS('Input Sheet'!$F$3:$F$1001,'Input Sheet'!$B$3:$B$1001,$H134,'Input Sheet'!$E$3:$E$1001,Q$4))</f>
        <v/>
      </c>
      <c r="R134" s="21" t="str">
        <f>IF(SUMIFS('Input Sheet'!$F$3:$F$1001,'Input Sheet'!$B$3:$B$1001,$H134,'Input Sheet'!$E$3:$E$1001,R$4)=0,"",SUMIFS('Input Sheet'!$F$3:$F$1001,'Input Sheet'!$B$3:$B$1001,$H134,'Input Sheet'!$E$3:$E$1001,R$4))</f>
        <v/>
      </c>
      <c r="S134" s="21" t="str">
        <f>IF(SUMIFS('Input Sheet'!$F$3:$F$1001,'Input Sheet'!$B$3:$B$1001,$H134,'Input Sheet'!$E$3:$E$1001,S$4)=0,"",SUMIFS('Input Sheet'!$F$3:$F$1001,'Input Sheet'!$B$3:$B$1001,$H134,'Input Sheet'!$E$3:$E$1001,S$4))</f>
        <v/>
      </c>
      <c r="T134" s="22">
        <v>129</v>
      </c>
    </row>
    <row r="135" spans="1:20" ht="14.25" customHeight="1" x14ac:dyDescent="0.3">
      <c r="A135" s="4" t="str">
        <f>IF('Input Sheet'!B132=0,"",'Input Sheet'!B132)</f>
        <v/>
      </c>
      <c r="B135" s="24" t="b">
        <f t="shared" si="2"/>
        <v>0</v>
      </c>
      <c r="C135" s="4">
        <f>SUMIF('Input Sheet'!B$3:B$1000,A135,'Input Sheet'!C$3:C$1000)</f>
        <v>0</v>
      </c>
      <c r="D135" s="4">
        <f>SUMIF('Input Sheet'!B$3:B$1000,A135,'Input Sheet'!D$3:D$1000)</f>
        <v>0</v>
      </c>
      <c r="E135" s="4" t="str">
        <f t="shared" ref="E135:F135" ca="1" si="138">IFERROR(RANK(K135,K$6:K$1004,1),"")</f>
        <v/>
      </c>
      <c r="F135" s="4" t="str">
        <f t="shared" ca="1" si="138"/>
        <v/>
      </c>
      <c r="G135" s="4" t="str">
        <f t="shared" ca="1" si="4"/>
        <v/>
      </c>
      <c r="H135" s="4" t="str">
        <f t="shared" si="5"/>
        <v/>
      </c>
      <c r="I135" s="4" t="str">
        <f t="shared" si="6"/>
        <v/>
      </c>
      <c r="J135" s="4" t="str">
        <f t="shared" si="7"/>
        <v/>
      </c>
      <c r="K135" s="25" t="str">
        <f t="shared" ca="1" si="8"/>
        <v/>
      </c>
      <c r="L135" s="21" t="str">
        <f t="shared" ca="1" si="9"/>
        <v/>
      </c>
      <c r="M135" s="21" t="str">
        <f>IF(SUMIFS('Input Sheet'!$F$3:$F$1001,'Input Sheet'!$B$3:$B$1001,$H135,'Input Sheet'!$E$3:$E$1001,M$4)=0,"",SUMIFS('Input Sheet'!$F$3:$F$1001,'Input Sheet'!$B$3:$B$1001,$H135,'Input Sheet'!$E$3:$E$1001,M$4))</f>
        <v/>
      </c>
      <c r="N135" s="21" t="str">
        <f>IF(SUMIFS('Input Sheet'!$F$3:$F$1001,'Input Sheet'!$B$3:$B$1001,$H135,'Input Sheet'!$E$3:$E$1001,N$4)=0,"",SUMIFS('Input Sheet'!$F$3:$F$1001,'Input Sheet'!$B$3:$B$1001,$H135,'Input Sheet'!$E$3:$E$1001,N$4))</f>
        <v/>
      </c>
      <c r="O135" s="21" t="str">
        <f>IF(SUMIFS('Input Sheet'!$F$3:$F$1001,'Input Sheet'!$B$3:$B$1001,$H135,'Input Sheet'!$E$3:$E$1001,O$4)=0,"",SUMIFS('Input Sheet'!$F$3:$F$1001,'Input Sheet'!$B$3:$B$1001,$H135,'Input Sheet'!$E$3:$E$1001,O$4))</f>
        <v/>
      </c>
      <c r="P135" s="21" t="str">
        <f>IF(SUMIFS('Input Sheet'!$F$3:$F$1001,'Input Sheet'!$B$3:$B$1001,$H135,'Input Sheet'!$E$3:$E$1001,P$4)=0,"",SUMIFS('Input Sheet'!$F$3:$F$1001,'Input Sheet'!$B$3:$B$1001,$H135,'Input Sheet'!$E$3:$E$1001,P$4))</f>
        <v/>
      </c>
      <c r="Q135" s="21" t="str">
        <f>IF(SUMIFS('Input Sheet'!$F$3:$F$1001,'Input Sheet'!$B$3:$B$1001,$H135,'Input Sheet'!$E$3:$E$1001,Q$4)=0,"",SUMIFS('Input Sheet'!$F$3:$F$1001,'Input Sheet'!$B$3:$B$1001,$H135,'Input Sheet'!$E$3:$E$1001,Q$4))</f>
        <v/>
      </c>
      <c r="R135" s="21" t="str">
        <f>IF(SUMIFS('Input Sheet'!$F$3:$F$1001,'Input Sheet'!$B$3:$B$1001,$H135,'Input Sheet'!$E$3:$E$1001,R$4)=0,"",SUMIFS('Input Sheet'!$F$3:$F$1001,'Input Sheet'!$B$3:$B$1001,$H135,'Input Sheet'!$E$3:$E$1001,R$4))</f>
        <v/>
      </c>
      <c r="S135" s="21" t="str">
        <f>IF(SUMIFS('Input Sheet'!$F$3:$F$1001,'Input Sheet'!$B$3:$B$1001,$H135,'Input Sheet'!$E$3:$E$1001,S$4)=0,"",SUMIFS('Input Sheet'!$F$3:$F$1001,'Input Sheet'!$B$3:$B$1001,$H135,'Input Sheet'!$E$3:$E$1001,S$4))</f>
        <v/>
      </c>
      <c r="T135" s="22">
        <v>130</v>
      </c>
    </row>
    <row r="136" spans="1:20" ht="14.25" customHeight="1" x14ac:dyDescent="0.3">
      <c r="A136" s="4" t="str">
        <f>IF('Input Sheet'!B133=0,"",'Input Sheet'!B133)</f>
        <v/>
      </c>
      <c r="B136" s="24" t="b">
        <f t="shared" si="2"/>
        <v>0</v>
      </c>
      <c r="C136" s="4">
        <f>SUMIF('Input Sheet'!B$3:B$1000,A136,'Input Sheet'!C$3:C$1000)</f>
        <v>0</v>
      </c>
      <c r="D136" s="4">
        <f>SUMIF('Input Sheet'!B$3:B$1000,A136,'Input Sheet'!D$3:D$1000)</f>
        <v>0</v>
      </c>
      <c r="E136" s="4" t="str">
        <f t="shared" ref="E136:F136" ca="1" si="139">IFERROR(RANK(K136,K$6:K$1004,1),"")</f>
        <v/>
      </c>
      <c r="F136" s="4" t="str">
        <f t="shared" ca="1" si="139"/>
        <v/>
      </c>
      <c r="G136" s="4" t="str">
        <f t="shared" ca="1" si="4"/>
        <v/>
      </c>
      <c r="H136" s="4" t="str">
        <f t="shared" si="5"/>
        <v/>
      </c>
      <c r="I136" s="4" t="str">
        <f t="shared" si="6"/>
        <v/>
      </c>
      <c r="J136" s="4" t="str">
        <f t="shared" si="7"/>
        <v/>
      </c>
      <c r="K136" s="25" t="str">
        <f t="shared" ca="1" si="8"/>
        <v/>
      </c>
      <c r="L136" s="21" t="str">
        <f t="shared" ca="1" si="9"/>
        <v/>
      </c>
      <c r="M136" s="21" t="str">
        <f>IF(SUMIFS('Input Sheet'!$F$3:$F$1001,'Input Sheet'!$B$3:$B$1001,$H136,'Input Sheet'!$E$3:$E$1001,M$4)=0,"",SUMIFS('Input Sheet'!$F$3:$F$1001,'Input Sheet'!$B$3:$B$1001,$H136,'Input Sheet'!$E$3:$E$1001,M$4))</f>
        <v/>
      </c>
      <c r="N136" s="21" t="str">
        <f>IF(SUMIFS('Input Sheet'!$F$3:$F$1001,'Input Sheet'!$B$3:$B$1001,$H136,'Input Sheet'!$E$3:$E$1001,N$4)=0,"",SUMIFS('Input Sheet'!$F$3:$F$1001,'Input Sheet'!$B$3:$B$1001,$H136,'Input Sheet'!$E$3:$E$1001,N$4))</f>
        <v/>
      </c>
      <c r="O136" s="21" t="str">
        <f>IF(SUMIFS('Input Sheet'!$F$3:$F$1001,'Input Sheet'!$B$3:$B$1001,$H136,'Input Sheet'!$E$3:$E$1001,O$4)=0,"",SUMIFS('Input Sheet'!$F$3:$F$1001,'Input Sheet'!$B$3:$B$1001,$H136,'Input Sheet'!$E$3:$E$1001,O$4))</f>
        <v/>
      </c>
      <c r="P136" s="21" t="str">
        <f>IF(SUMIFS('Input Sheet'!$F$3:$F$1001,'Input Sheet'!$B$3:$B$1001,$H136,'Input Sheet'!$E$3:$E$1001,P$4)=0,"",SUMIFS('Input Sheet'!$F$3:$F$1001,'Input Sheet'!$B$3:$B$1001,$H136,'Input Sheet'!$E$3:$E$1001,P$4))</f>
        <v/>
      </c>
      <c r="Q136" s="21" t="str">
        <f>IF(SUMIFS('Input Sheet'!$F$3:$F$1001,'Input Sheet'!$B$3:$B$1001,$H136,'Input Sheet'!$E$3:$E$1001,Q$4)=0,"",SUMIFS('Input Sheet'!$F$3:$F$1001,'Input Sheet'!$B$3:$B$1001,$H136,'Input Sheet'!$E$3:$E$1001,Q$4))</f>
        <v/>
      </c>
      <c r="R136" s="21" t="str">
        <f>IF(SUMIFS('Input Sheet'!$F$3:$F$1001,'Input Sheet'!$B$3:$B$1001,$H136,'Input Sheet'!$E$3:$E$1001,R$4)=0,"",SUMIFS('Input Sheet'!$F$3:$F$1001,'Input Sheet'!$B$3:$B$1001,$H136,'Input Sheet'!$E$3:$E$1001,R$4))</f>
        <v/>
      </c>
      <c r="S136" s="21" t="str">
        <f>IF(SUMIFS('Input Sheet'!$F$3:$F$1001,'Input Sheet'!$B$3:$B$1001,$H136,'Input Sheet'!$E$3:$E$1001,S$4)=0,"",SUMIFS('Input Sheet'!$F$3:$F$1001,'Input Sheet'!$B$3:$B$1001,$H136,'Input Sheet'!$E$3:$E$1001,S$4))</f>
        <v/>
      </c>
      <c r="T136" s="22">
        <v>131</v>
      </c>
    </row>
    <row r="137" spans="1:20" ht="14.25" customHeight="1" x14ac:dyDescent="0.3">
      <c r="A137" s="4" t="str">
        <f>IF('Input Sheet'!B134=0,"",'Input Sheet'!B134)</f>
        <v/>
      </c>
      <c r="B137" s="24" t="b">
        <f t="shared" si="2"/>
        <v>0</v>
      </c>
      <c r="C137" s="4">
        <f>SUMIF('Input Sheet'!B$3:B$1000,A137,'Input Sheet'!C$3:C$1000)</f>
        <v>0</v>
      </c>
      <c r="D137" s="4">
        <f>SUMIF('Input Sheet'!B$3:B$1000,A137,'Input Sheet'!D$3:D$1000)</f>
        <v>0</v>
      </c>
      <c r="E137" s="4" t="str">
        <f t="shared" ref="E137:F137" ca="1" si="140">IFERROR(RANK(K137,K$6:K$1004,1),"")</f>
        <v/>
      </c>
      <c r="F137" s="4" t="str">
        <f t="shared" ca="1" si="140"/>
        <v/>
      </c>
      <c r="G137" s="4" t="str">
        <f t="shared" ca="1" si="4"/>
        <v/>
      </c>
      <c r="H137" s="4" t="str">
        <f t="shared" si="5"/>
        <v/>
      </c>
      <c r="I137" s="4" t="str">
        <f t="shared" si="6"/>
        <v/>
      </c>
      <c r="J137" s="4" t="str">
        <f t="shared" si="7"/>
        <v/>
      </c>
      <c r="K137" s="25" t="str">
        <f t="shared" ca="1" si="8"/>
        <v/>
      </c>
      <c r="L137" s="21" t="str">
        <f t="shared" ca="1" si="9"/>
        <v/>
      </c>
      <c r="M137" s="21" t="str">
        <f>IF(SUMIFS('Input Sheet'!$F$3:$F$1001,'Input Sheet'!$B$3:$B$1001,$H137,'Input Sheet'!$E$3:$E$1001,M$4)=0,"",SUMIFS('Input Sheet'!$F$3:$F$1001,'Input Sheet'!$B$3:$B$1001,$H137,'Input Sheet'!$E$3:$E$1001,M$4))</f>
        <v/>
      </c>
      <c r="N137" s="21" t="str">
        <f>IF(SUMIFS('Input Sheet'!$F$3:$F$1001,'Input Sheet'!$B$3:$B$1001,$H137,'Input Sheet'!$E$3:$E$1001,N$4)=0,"",SUMIFS('Input Sheet'!$F$3:$F$1001,'Input Sheet'!$B$3:$B$1001,$H137,'Input Sheet'!$E$3:$E$1001,N$4))</f>
        <v/>
      </c>
      <c r="O137" s="21" t="str">
        <f>IF(SUMIFS('Input Sheet'!$F$3:$F$1001,'Input Sheet'!$B$3:$B$1001,$H137,'Input Sheet'!$E$3:$E$1001,O$4)=0,"",SUMIFS('Input Sheet'!$F$3:$F$1001,'Input Sheet'!$B$3:$B$1001,$H137,'Input Sheet'!$E$3:$E$1001,O$4))</f>
        <v/>
      </c>
      <c r="P137" s="21" t="str">
        <f>IF(SUMIFS('Input Sheet'!$F$3:$F$1001,'Input Sheet'!$B$3:$B$1001,$H137,'Input Sheet'!$E$3:$E$1001,P$4)=0,"",SUMIFS('Input Sheet'!$F$3:$F$1001,'Input Sheet'!$B$3:$B$1001,$H137,'Input Sheet'!$E$3:$E$1001,P$4))</f>
        <v/>
      </c>
      <c r="Q137" s="21" t="str">
        <f>IF(SUMIFS('Input Sheet'!$F$3:$F$1001,'Input Sheet'!$B$3:$B$1001,$H137,'Input Sheet'!$E$3:$E$1001,Q$4)=0,"",SUMIFS('Input Sheet'!$F$3:$F$1001,'Input Sheet'!$B$3:$B$1001,$H137,'Input Sheet'!$E$3:$E$1001,Q$4))</f>
        <v/>
      </c>
      <c r="R137" s="21" t="str">
        <f>IF(SUMIFS('Input Sheet'!$F$3:$F$1001,'Input Sheet'!$B$3:$B$1001,$H137,'Input Sheet'!$E$3:$E$1001,R$4)=0,"",SUMIFS('Input Sheet'!$F$3:$F$1001,'Input Sheet'!$B$3:$B$1001,$H137,'Input Sheet'!$E$3:$E$1001,R$4))</f>
        <v/>
      </c>
      <c r="S137" s="21" t="str">
        <f>IF(SUMIFS('Input Sheet'!$F$3:$F$1001,'Input Sheet'!$B$3:$B$1001,$H137,'Input Sheet'!$E$3:$E$1001,S$4)=0,"",SUMIFS('Input Sheet'!$F$3:$F$1001,'Input Sheet'!$B$3:$B$1001,$H137,'Input Sheet'!$E$3:$E$1001,S$4))</f>
        <v/>
      </c>
      <c r="T137" s="22">
        <v>132</v>
      </c>
    </row>
    <row r="138" spans="1:20" ht="14.25" customHeight="1" x14ac:dyDescent="0.3">
      <c r="A138" s="4" t="str">
        <f>IF('Input Sheet'!B135=0,"",'Input Sheet'!B135)</f>
        <v/>
      </c>
      <c r="B138" s="24" t="b">
        <f t="shared" si="2"/>
        <v>0</v>
      </c>
      <c r="C138" s="4">
        <f>SUMIF('Input Sheet'!B$3:B$1000,A138,'Input Sheet'!C$3:C$1000)</f>
        <v>0</v>
      </c>
      <c r="D138" s="4">
        <f>SUMIF('Input Sheet'!B$3:B$1000,A138,'Input Sheet'!D$3:D$1000)</f>
        <v>0</v>
      </c>
      <c r="E138" s="4" t="str">
        <f t="shared" ref="E138:F138" ca="1" si="141">IFERROR(RANK(K138,K$6:K$1004,1),"")</f>
        <v/>
      </c>
      <c r="F138" s="4" t="str">
        <f t="shared" ca="1" si="141"/>
        <v/>
      </c>
      <c r="G138" s="4" t="str">
        <f t="shared" ca="1" si="4"/>
        <v/>
      </c>
      <c r="H138" s="4" t="str">
        <f t="shared" si="5"/>
        <v/>
      </c>
      <c r="I138" s="4" t="str">
        <f t="shared" si="6"/>
        <v/>
      </c>
      <c r="J138" s="4" t="str">
        <f t="shared" si="7"/>
        <v/>
      </c>
      <c r="K138" s="25" t="str">
        <f t="shared" ca="1" si="8"/>
        <v/>
      </c>
      <c r="L138" s="21" t="str">
        <f t="shared" ca="1" si="9"/>
        <v/>
      </c>
      <c r="M138" s="21" t="str">
        <f>IF(SUMIFS('Input Sheet'!$F$3:$F$1001,'Input Sheet'!$B$3:$B$1001,$H138,'Input Sheet'!$E$3:$E$1001,M$4)=0,"",SUMIFS('Input Sheet'!$F$3:$F$1001,'Input Sheet'!$B$3:$B$1001,$H138,'Input Sheet'!$E$3:$E$1001,M$4))</f>
        <v/>
      </c>
      <c r="N138" s="21" t="str">
        <f>IF(SUMIFS('Input Sheet'!$F$3:$F$1001,'Input Sheet'!$B$3:$B$1001,$H138,'Input Sheet'!$E$3:$E$1001,N$4)=0,"",SUMIFS('Input Sheet'!$F$3:$F$1001,'Input Sheet'!$B$3:$B$1001,$H138,'Input Sheet'!$E$3:$E$1001,N$4))</f>
        <v/>
      </c>
      <c r="O138" s="21" t="str">
        <f>IF(SUMIFS('Input Sheet'!$F$3:$F$1001,'Input Sheet'!$B$3:$B$1001,$H138,'Input Sheet'!$E$3:$E$1001,O$4)=0,"",SUMIFS('Input Sheet'!$F$3:$F$1001,'Input Sheet'!$B$3:$B$1001,$H138,'Input Sheet'!$E$3:$E$1001,O$4))</f>
        <v/>
      </c>
      <c r="P138" s="21" t="str">
        <f>IF(SUMIFS('Input Sheet'!$F$3:$F$1001,'Input Sheet'!$B$3:$B$1001,$H138,'Input Sheet'!$E$3:$E$1001,P$4)=0,"",SUMIFS('Input Sheet'!$F$3:$F$1001,'Input Sheet'!$B$3:$B$1001,$H138,'Input Sheet'!$E$3:$E$1001,P$4))</f>
        <v/>
      </c>
      <c r="Q138" s="21" t="str">
        <f>IF(SUMIFS('Input Sheet'!$F$3:$F$1001,'Input Sheet'!$B$3:$B$1001,$H138,'Input Sheet'!$E$3:$E$1001,Q$4)=0,"",SUMIFS('Input Sheet'!$F$3:$F$1001,'Input Sheet'!$B$3:$B$1001,$H138,'Input Sheet'!$E$3:$E$1001,Q$4))</f>
        <v/>
      </c>
      <c r="R138" s="21" t="str">
        <f>IF(SUMIFS('Input Sheet'!$F$3:$F$1001,'Input Sheet'!$B$3:$B$1001,$H138,'Input Sheet'!$E$3:$E$1001,R$4)=0,"",SUMIFS('Input Sheet'!$F$3:$F$1001,'Input Sheet'!$B$3:$B$1001,$H138,'Input Sheet'!$E$3:$E$1001,R$4))</f>
        <v/>
      </c>
      <c r="S138" s="21" t="str">
        <f>IF(SUMIFS('Input Sheet'!$F$3:$F$1001,'Input Sheet'!$B$3:$B$1001,$H138,'Input Sheet'!$E$3:$E$1001,S$4)=0,"",SUMIFS('Input Sheet'!$F$3:$F$1001,'Input Sheet'!$B$3:$B$1001,$H138,'Input Sheet'!$E$3:$E$1001,S$4))</f>
        <v/>
      </c>
      <c r="T138" s="22">
        <v>133</v>
      </c>
    </row>
    <row r="139" spans="1:20" ht="14.25" customHeight="1" x14ac:dyDescent="0.3">
      <c r="A139" s="4" t="str">
        <f>IF('Input Sheet'!B136=0,"",'Input Sheet'!B136)</f>
        <v/>
      </c>
      <c r="B139" s="24" t="b">
        <f t="shared" si="2"/>
        <v>0</v>
      </c>
      <c r="C139" s="4">
        <f>SUMIF('Input Sheet'!B$3:B$1000,A139,'Input Sheet'!C$3:C$1000)</f>
        <v>0</v>
      </c>
      <c r="D139" s="4">
        <f>SUMIF('Input Sheet'!B$3:B$1000,A139,'Input Sheet'!D$3:D$1000)</f>
        <v>0</v>
      </c>
      <c r="E139" s="4" t="str">
        <f t="shared" ref="E139:F139" ca="1" si="142">IFERROR(RANK(K139,K$6:K$1004,1),"")</f>
        <v/>
      </c>
      <c r="F139" s="4" t="str">
        <f t="shared" ca="1" si="142"/>
        <v/>
      </c>
      <c r="G139" s="4" t="str">
        <f t="shared" ca="1" si="4"/>
        <v/>
      </c>
      <c r="H139" s="4" t="str">
        <f t="shared" si="5"/>
        <v/>
      </c>
      <c r="I139" s="4" t="str">
        <f t="shared" si="6"/>
        <v/>
      </c>
      <c r="J139" s="4" t="str">
        <f t="shared" si="7"/>
        <v/>
      </c>
      <c r="K139" s="25" t="str">
        <f t="shared" ca="1" si="8"/>
        <v/>
      </c>
      <c r="L139" s="21" t="str">
        <f t="shared" ca="1" si="9"/>
        <v/>
      </c>
      <c r="M139" s="21" t="str">
        <f>IF(SUMIFS('Input Sheet'!$F$3:$F$1001,'Input Sheet'!$B$3:$B$1001,$H139,'Input Sheet'!$E$3:$E$1001,M$4)=0,"",SUMIFS('Input Sheet'!$F$3:$F$1001,'Input Sheet'!$B$3:$B$1001,$H139,'Input Sheet'!$E$3:$E$1001,M$4))</f>
        <v/>
      </c>
      <c r="N139" s="21" t="str">
        <f>IF(SUMIFS('Input Sheet'!$F$3:$F$1001,'Input Sheet'!$B$3:$B$1001,$H139,'Input Sheet'!$E$3:$E$1001,N$4)=0,"",SUMIFS('Input Sheet'!$F$3:$F$1001,'Input Sheet'!$B$3:$B$1001,$H139,'Input Sheet'!$E$3:$E$1001,N$4))</f>
        <v/>
      </c>
      <c r="O139" s="21" t="str">
        <f>IF(SUMIFS('Input Sheet'!$F$3:$F$1001,'Input Sheet'!$B$3:$B$1001,$H139,'Input Sheet'!$E$3:$E$1001,O$4)=0,"",SUMIFS('Input Sheet'!$F$3:$F$1001,'Input Sheet'!$B$3:$B$1001,$H139,'Input Sheet'!$E$3:$E$1001,O$4))</f>
        <v/>
      </c>
      <c r="P139" s="21" t="str">
        <f>IF(SUMIFS('Input Sheet'!$F$3:$F$1001,'Input Sheet'!$B$3:$B$1001,$H139,'Input Sheet'!$E$3:$E$1001,P$4)=0,"",SUMIFS('Input Sheet'!$F$3:$F$1001,'Input Sheet'!$B$3:$B$1001,$H139,'Input Sheet'!$E$3:$E$1001,P$4))</f>
        <v/>
      </c>
      <c r="Q139" s="21" t="str">
        <f>IF(SUMIFS('Input Sheet'!$F$3:$F$1001,'Input Sheet'!$B$3:$B$1001,$H139,'Input Sheet'!$E$3:$E$1001,Q$4)=0,"",SUMIFS('Input Sheet'!$F$3:$F$1001,'Input Sheet'!$B$3:$B$1001,$H139,'Input Sheet'!$E$3:$E$1001,Q$4))</f>
        <v/>
      </c>
      <c r="R139" s="21" t="str">
        <f>IF(SUMIFS('Input Sheet'!$F$3:$F$1001,'Input Sheet'!$B$3:$B$1001,$H139,'Input Sheet'!$E$3:$E$1001,R$4)=0,"",SUMIFS('Input Sheet'!$F$3:$F$1001,'Input Sheet'!$B$3:$B$1001,$H139,'Input Sheet'!$E$3:$E$1001,R$4))</f>
        <v/>
      </c>
      <c r="S139" s="21" t="str">
        <f>IF(SUMIFS('Input Sheet'!$F$3:$F$1001,'Input Sheet'!$B$3:$B$1001,$H139,'Input Sheet'!$E$3:$E$1001,S$4)=0,"",SUMIFS('Input Sheet'!$F$3:$F$1001,'Input Sheet'!$B$3:$B$1001,$H139,'Input Sheet'!$E$3:$E$1001,S$4))</f>
        <v/>
      </c>
      <c r="T139" s="22">
        <v>134</v>
      </c>
    </row>
    <row r="140" spans="1:20" ht="14.25" customHeight="1" x14ac:dyDescent="0.3">
      <c r="A140" s="4" t="str">
        <f>IF('Input Sheet'!B137=0,"",'Input Sheet'!B137)</f>
        <v/>
      </c>
      <c r="B140" s="24" t="b">
        <f t="shared" si="2"/>
        <v>0</v>
      </c>
      <c r="C140" s="4">
        <f>SUMIF('Input Sheet'!B$3:B$1000,A140,'Input Sheet'!C$3:C$1000)</f>
        <v>0</v>
      </c>
      <c r="D140" s="4">
        <f>SUMIF('Input Sheet'!B$3:B$1000,A140,'Input Sheet'!D$3:D$1000)</f>
        <v>0</v>
      </c>
      <c r="E140" s="4" t="str">
        <f t="shared" ref="E140:F140" ca="1" si="143">IFERROR(RANK(K140,K$6:K$1004,1),"")</f>
        <v/>
      </c>
      <c r="F140" s="4" t="str">
        <f t="shared" ca="1" si="143"/>
        <v/>
      </c>
      <c r="G140" s="4" t="str">
        <f t="shared" ca="1" si="4"/>
        <v/>
      </c>
      <c r="H140" s="4" t="str">
        <f t="shared" si="5"/>
        <v/>
      </c>
      <c r="I140" s="4" t="str">
        <f t="shared" si="6"/>
        <v/>
      </c>
      <c r="J140" s="4" t="str">
        <f t="shared" si="7"/>
        <v/>
      </c>
      <c r="K140" s="25" t="str">
        <f t="shared" ca="1" si="8"/>
        <v/>
      </c>
      <c r="L140" s="21" t="str">
        <f t="shared" ca="1" si="9"/>
        <v/>
      </c>
      <c r="M140" s="21" t="str">
        <f>IF(SUMIFS('Input Sheet'!$F$3:$F$1001,'Input Sheet'!$B$3:$B$1001,$H140,'Input Sheet'!$E$3:$E$1001,M$4)=0,"",SUMIFS('Input Sheet'!$F$3:$F$1001,'Input Sheet'!$B$3:$B$1001,$H140,'Input Sheet'!$E$3:$E$1001,M$4))</f>
        <v/>
      </c>
      <c r="N140" s="21" t="str">
        <f>IF(SUMIFS('Input Sheet'!$F$3:$F$1001,'Input Sheet'!$B$3:$B$1001,$H140,'Input Sheet'!$E$3:$E$1001,N$4)=0,"",SUMIFS('Input Sheet'!$F$3:$F$1001,'Input Sheet'!$B$3:$B$1001,$H140,'Input Sheet'!$E$3:$E$1001,N$4))</f>
        <v/>
      </c>
      <c r="O140" s="21" t="str">
        <f>IF(SUMIFS('Input Sheet'!$F$3:$F$1001,'Input Sheet'!$B$3:$B$1001,$H140,'Input Sheet'!$E$3:$E$1001,O$4)=0,"",SUMIFS('Input Sheet'!$F$3:$F$1001,'Input Sheet'!$B$3:$B$1001,$H140,'Input Sheet'!$E$3:$E$1001,O$4))</f>
        <v/>
      </c>
      <c r="P140" s="21" t="str">
        <f>IF(SUMIFS('Input Sheet'!$F$3:$F$1001,'Input Sheet'!$B$3:$B$1001,$H140,'Input Sheet'!$E$3:$E$1001,P$4)=0,"",SUMIFS('Input Sheet'!$F$3:$F$1001,'Input Sheet'!$B$3:$B$1001,$H140,'Input Sheet'!$E$3:$E$1001,P$4))</f>
        <v/>
      </c>
      <c r="Q140" s="21" t="str">
        <f>IF(SUMIFS('Input Sheet'!$F$3:$F$1001,'Input Sheet'!$B$3:$B$1001,$H140,'Input Sheet'!$E$3:$E$1001,Q$4)=0,"",SUMIFS('Input Sheet'!$F$3:$F$1001,'Input Sheet'!$B$3:$B$1001,$H140,'Input Sheet'!$E$3:$E$1001,Q$4))</f>
        <v/>
      </c>
      <c r="R140" s="21" t="str">
        <f>IF(SUMIFS('Input Sheet'!$F$3:$F$1001,'Input Sheet'!$B$3:$B$1001,$H140,'Input Sheet'!$E$3:$E$1001,R$4)=0,"",SUMIFS('Input Sheet'!$F$3:$F$1001,'Input Sheet'!$B$3:$B$1001,$H140,'Input Sheet'!$E$3:$E$1001,R$4))</f>
        <v/>
      </c>
      <c r="S140" s="21" t="str">
        <f>IF(SUMIFS('Input Sheet'!$F$3:$F$1001,'Input Sheet'!$B$3:$B$1001,$H140,'Input Sheet'!$E$3:$E$1001,S$4)=0,"",SUMIFS('Input Sheet'!$F$3:$F$1001,'Input Sheet'!$B$3:$B$1001,$H140,'Input Sheet'!$E$3:$E$1001,S$4))</f>
        <v/>
      </c>
      <c r="T140" s="22">
        <v>135</v>
      </c>
    </row>
    <row r="141" spans="1:20" ht="14.25" customHeight="1" x14ac:dyDescent="0.3">
      <c r="A141" s="4" t="str">
        <f>IF('Input Sheet'!B138=0,"",'Input Sheet'!B138)</f>
        <v/>
      </c>
      <c r="B141" s="24" t="b">
        <f t="shared" si="2"/>
        <v>0</v>
      </c>
      <c r="C141" s="4">
        <f>SUMIF('Input Sheet'!B$3:B$1000,A141,'Input Sheet'!C$3:C$1000)</f>
        <v>0</v>
      </c>
      <c r="D141" s="4">
        <f>SUMIF('Input Sheet'!B$3:B$1000,A141,'Input Sheet'!D$3:D$1000)</f>
        <v>0</v>
      </c>
      <c r="E141" s="4" t="str">
        <f t="shared" ref="E141:F141" ca="1" si="144">IFERROR(RANK(K141,K$6:K$1004,1),"")</f>
        <v/>
      </c>
      <c r="F141" s="4" t="str">
        <f t="shared" ca="1" si="144"/>
        <v/>
      </c>
      <c r="G141" s="4" t="str">
        <f t="shared" ca="1" si="4"/>
        <v/>
      </c>
      <c r="H141" s="4" t="str">
        <f t="shared" si="5"/>
        <v/>
      </c>
      <c r="I141" s="4" t="str">
        <f t="shared" si="6"/>
        <v/>
      </c>
      <c r="J141" s="4" t="str">
        <f t="shared" si="7"/>
        <v/>
      </c>
      <c r="K141" s="25" t="str">
        <f t="shared" ca="1" si="8"/>
        <v/>
      </c>
      <c r="L141" s="21" t="str">
        <f t="shared" ca="1" si="9"/>
        <v/>
      </c>
      <c r="M141" s="21" t="str">
        <f>IF(SUMIFS('Input Sheet'!$F$3:$F$1001,'Input Sheet'!$B$3:$B$1001,$H141,'Input Sheet'!$E$3:$E$1001,M$4)=0,"",SUMIFS('Input Sheet'!$F$3:$F$1001,'Input Sheet'!$B$3:$B$1001,$H141,'Input Sheet'!$E$3:$E$1001,M$4))</f>
        <v/>
      </c>
      <c r="N141" s="21" t="str">
        <f>IF(SUMIFS('Input Sheet'!$F$3:$F$1001,'Input Sheet'!$B$3:$B$1001,$H141,'Input Sheet'!$E$3:$E$1001,N$4)=0,"",SUMIFS('Input Sheet'!$F$3:$F$1001,'Input Sheet'!$B$3:$B$1001,$H141,'Input Sheet'!$E$3:$E$1001,N$4))</f>
        <v/>
      </c>
      <c r="O141" s="21" t="str">
        <f>IF(SUMIFS('Input Sheet'!$F$3:$F$1001,'Input Sheet'!$B$3:$B$1001,$H141,'Input Sheet'!$E$3:$E$1001,O$4)=0,"",SUMIFS('Input Sheet'!$F$3:$F$1001,'Input Sheet'!$B$3:$B$1001,$H141,'Input Sheet'!$E$3:$E$1001,O$4))</f>
        <v/>
      </c>
      <c r="P141" s="21" t="str">
        <f>IF(SUMIFS('Input Sheet'!$F$3:$F$1001,'Input Sheet'!$B$3:$B$1001,$H141,'Input Sheet'!$E$3:$E$1001,P$4)=0,"",SUMIFS('Input Sheet'!$F$3:$F$1001,'Input Sheet'!$B$3:$B$1001,$H141,'Input Sheet'!$E$3:$E$1001,P$4))</f>
        <v/>
      </c>
      <c r="Q141" s="21" t="str">
        <f>IF(SUMIFS('Input Sheet'!$F$3:$F$1001,'Input Sheet'!$B$3:$B$1001,$H141,'Input Sheet'!$E$3:$E$1001,Q$4)=0,"",SUMIFS('Input Sheet'!$F$3:$F$1001,'Input Sheet'!$B$3:$B$1001,$H141,'Input Sheet'!$E$3:$E$1001,Q$4))</f>
        <v/>
      </c>
      <c r="R141" s="21" t="str">
        <f>IF(SUMIFS('Input Sheet'!$F$3:$F$1001,'Input Sheet'!$B$3:$B$1001,$H141,'Input Sheet'!$E$3:$E$1001,R$4)=0,"",SUMIFS('Input Sheet'!$F$3:$F$1001,'Input Sheet'!$B$3:$B$1001,$H141,'Input Sheet'!$E$3:$E$1001,R$4))</f>
        <v/>
      </c>
      <c r="S141" s="21" t="str">
        <f>IF(SUMIFS('Input Sheet'!$F$3:$F$1001,'Input Sheet'!$B$3:$B$1001,$H141,'Input Sheet'!$E$3:$E$1001,S$4)=0,"",SUMIFS('Input Sheet'!$F$3:$F$1001,'Input Sheet'!$B$3:$B$1001,$H141,'Input Sheet'!$E$3:$E$1001,S$4))</f>
        <v/>
      </c>
      <c r="T141" s="22">
        <v>136</v>
      </c>
    </row>
    <row r="142" spans="1:20" ht="14.25" customHeight="1" x14ac:dyDescent="0.3">
      <c r="A142" s="4" t="str">
        <f>IF('Input Sheet'!B139=0,"",'Input Sheet'!B139)</f>
        <v/>
      </c>
      <c r="B142" s="24" t="b">
        <f t="shared" si="2"/>
        <v>0</v>
      </c>
      <c r="C142" s="4">
        <f>SUMIF('Input Sheet'!B$3:B$1000,A142,'Input Sheet'!C$3:C$1000)</f>
        <v>0</v>
      </c>
      <c r="D142" s="4">
        <f>SUMIF('Input Sheet'!B$3:B$1000,A142,'Input Sheet'!D$3:D$1000)</f>
        <v>0</v>
      </c>
      <c r="E142" s="4" t="str">
        <f t="shared" ref="E142:F142" ca="1" si="145">IFERROR(RANK(K142,K$6:K$1004,1),"")</f>
        <v/>
      </c>
      <c r="F142" s="4" t="str">
        <f t="shared" ca="1" si="145"/>
        <v/>
      </c>
      <c r="G142" s="4" t="str">
        <f t="shared" ca="1" si="4"/>
        <v/>
      </c>
      <c r="H142" s="4" t="str">
        <f t="shared" si="5"/>
        <v/>
      </c>
      <c r="I142" s="4" t="str">
        <f t="shared" si="6"/>
        <v/>
      </c>
      <c r="J142" s="4" t="str">
        <f t="shared" si="7"/>
        <v/>
      </c>
      <c r="K142" s="25" t="str">
        <f t="shared" ca="1" si="8"/>
        <v/>
      </c>
      <c r="L142" s="21" t="str">
        <f t="shared" ca="1" si="9"/>
        <v/>
      </c>
      <c r="M142" s="21" t="str">
        <f>IF(SUMIFS('Input Sheet'!$F$3:$F$1001,'Input Sheet'!$B$3:$B$1001,$H142,'Input Sheet'!$E$3:$E$1001,M$4)=0,"",SUMIFS('Input Sheet'!$F$3:$F$1001,'Input Sheet'!$B$3:$B$1001,$H142,'Input Sheet'!$E$3:$E$1001,M$4))</f>
        <v/>
      </c>
      <c r="N142" s="21" t="str">
        <f>IF(SUMIFS('Input Sheet'!$F$3:$F$1001,'Input Sheet'!$B$3:$B$1001,$H142,'Input Sheet'!$E$3:$E$1001,N$4)=0,"",SUMIFS('Input Sheet'!$F$3:$F$1001,'Input Sheet'!$B$3:$B$1001,$H142,'Input Sheet'!$E$3:$E$1001,N$4))</f>
        <v/>
      </c>
      <c r="O142" s="21" t="str">
        <f>IF(SUMIFS('Input Sheet'!$F$3:$F$1001,'Input Sheet'!$B$3:$B$1001,$H142,'Input Sheet'!$E$3:$E$1001,O$4)=0,"",SUMIFS('Input Sheet'!$F$3:$F$1001,'Input Sheet'!$B$3:$B$1001,$H142,'Input Sheet'!$E$3:$E$1001,O$4))</f>
        <v/>
      </c>
      <c r="P142" s="21" t="str">
        <f>IF(SUMIFS('Input Sheet'!$F$3:$F$1001,'Input Sheet'!$B$3:$B$1001,$H142,'Input Sheet'!$E$3:$E$1001,P$4)=0,"",SUMIFS('Input Sheet'!$F$3:$F$1001,'Input Sheet'!$B$3:$B$1001,$H142,'Input Sheet'!$E$3:$E$1001,P$4))</f>
        <v/>
      </c>
      <c r="Q142" s="21" t="str">
        <f>IF(SUMIFS('Input Sheet'!$F$3:$F$1001,'Input Sheet'!$B$3:$B$1001,$H142,'Input Sheet'!$E$3:$E$1001,Q$4)=0,"",SUMIFS('Input Sheet'!$F$3:$F$1001,'Input Sheet'!$B$3:$B$1001,$H142,'Input Sheet'!$E$3:$E$1001,Q$4))</f>
        <v/>
      </c>
      <c r="R142" s="21" t="str">
        <f>IF(SUMIFS('Input Sheet'!$F$3:$F$1001,'Input Sheet'!$B$3:$B$1001,$H142,'Input Sheet'!$E$3:$E$1001,R$4)=0,"",SUMIFS('Input Sheet'!$F$3:$F$1001,'Input Sheet'!$B$3:$B$1001,$H142,'Input Sheet'!$E$3:$E$1001,R$4))</f>
        <v/>
      </c>
      <c r="S142" s="21" t="str">
        <f>IF(SUMIFS('Input Sheet'!$F$3:$F$1001,'Input Sheet'!$B$3:$B$1001,$H142,'Input Sheet'!$E$3:$E$1001,S$4)=0,"",SUMIFS('Input Sheet'!$F$3:$F$1001,'Input Sheet'!$B$3:$B$1001,$H142,'Input Sheet'!$E$3:$E$1001,S$4))</f>
        <v/>
      </c>
      <c r="T142" s="22">
        <v>137</v>
      </c>
    </row>
    <row r="143" spans="1:20" ht="14.25" customHeight="1" x14ac:dyDescent="0.3">
      <c r="A143" s="4" t="str">
        <f>IF('Input Sheet'!B140=0,"",'Input Sheet'!B140)</f>
        <v/>
      </c>
      <c r="B143" s="24" t="b">
        <f t="shared" si="2"/>
        <v>0</v>
      </c>
      <c r="C143" s="4">
        <f>SUMIF('Input Sheet'!B$3:B$1000,A143,'Input Sheet'!C$3:C$1000)</f>
        <v>0</v>
      </c>
      <c r="D143" s="4">
        <f>SUMIF('Input Sheet'!B$3:B$1000,A143,'Input Sheet'!D$3:D$1000)</f>
        <v>0</v>
      </c>
      <c r="E143" s="4" t="str">
        <f t="shared" ref="E143:F143" ca="1" si="146">IFERROR(RANK(K143,K$6:K$1004,1),"")</f>
        <v/>
      </c>
      <c r="F143" s="4" t="str">
        <f t="shared" ca="1" si="146"/>
        <v/>
      </c>
      <c r="G143" s="4" t="str">
        <f t="shared" ca="1" si="4"/>
        <v/>
      </c>
      <c r="H143" s="4" t="str">
        <f t="shared" si="5"/>
        <v/>
      </c>
      <c r="I143" s="4" t="str">
        <f t="shared" si="6"/>
        <v/>
      </c>
      <c r="J143" s="4" t="str">
        <f t="shared" si="7"/>
        <v/>
      </c>
      <c r="K143" s="25" t="str">
        <f t="shared" ca="1" si="8"/>
        <v/>
      </c>
      <c r="L143" s="21" t="str">
        <f t="shared" ca="1" si="9"/>
        <v/>
      </c>
      <c r="M143" s="21" t="str">
        <f>IF(SUMIFS('Input Sheet'!$F$3:$F$1001,'Input Sheet'!$B$3:$B$1001,$H143,'Input Sheet'!$E$3:$E$1001,M$4)=0,"",SUMIFS('Input Sheet'!$F$3:$F$1001,'Input Sheet'!$B$3:$B$1001,$H143,'Input Sheet'!$E$3:$E$1001,M$4))</f>
        <v/>
      </c>
      <c r="N143" s="21" t="str">
        <f>IF(SUMIFS('Input Sheet'!$F$3:$F$1001,'Input Sheet'!$B$3:$B$1001,$H143,'Input Sheet'!$E$3:$E$1001,N$4)=0,"",SUMIFS('Input Sheet'!$F$3:$F$1001,'Input Sheet'!$B$3:$B$1001,$H143,'Input Sheet'!$E$3:$E$1001,N$4))</f>
        <v/>
      </c>
      <c r="O143" s="21" t="str">
        <f>IF(SUMIFS('Input Sheet'!$F$3:$F$1001,'Input Sheet'!$B$3:$B$1001,$H143,'Input Sheet'!$E$3:$E$1001,O$4)=0,"",SUMIFS('Input Sheet'!$F$3:$F$1001,'Input Sheet'!$B$3:$B$1001,$H143,'Input Sheet'!$E$3:$E$1001,O$4))</f>
        <v/>
      </c>
      <c r="P143" s="21" t="str">
        <f>IF(SUMIFS('Input Sheet'!$F$3:$F$1001,'Input Sheet'!$B$3:$B$1001,$H143,'Input Sheet'!$E$3:$E$1001,P$4)=0,"",SUMIFS('Input Sheet'!$F$3:$F$1001,'Input Sheet'!$B$3:$B$1001,$H143,'Input Sheet'!$E$3:$E$1001,P$4))</f>
        <v/>
      </c>
      <c r="Q143" s="21" t="str">
        <f>IF(SUMIFS('Input Sheet'!$F$3:$F$1001,'Input Sheet'!$B$3:$B$1001,$H143,'Input Sheet'!$E$3:$E$1001,Q$4)=0,"",SUMIFS('Input Sheet'!$F$3:$F$1001,'Input Sheet'!$B$3:$B$1001,$H143,'Input Sheet'!$E$3:$E$1001,Q$4))</f>
        <v/>
      </c>
      <c r="R143" s="21" t="str">
        <f>IF(SUMIFS('Input Sheet'!$F$3:$F$1001,'Input Sheet'!$B$3:$B$1001,$H143,'Input Sheet'!$E$3:$E$1001,R$4)=0,"",SUMIFS('Input Sheet'!$F$3:$F$1001,'Input Sheet'!$B$3:$B$1001,$H143,'Input Sheet'!$E$3:$E$1001,R$4))</f>
        <v/>
      </c>
      <c r="S143" s="21" t="str">
        <f>IF(SUMIFS('Input Sheet'!$F$3:$F$1001,'Input Sheet'!$B$3:$B$1001,$H143,'Input Sheet'!$E$3:$E$1001,S$4)=0,"",SUMIFS('Input Sheet'!$F$3:$F$1001,'Input Sheet'!$B$3:$B$1001,$H143,'Input Sheet'!$E$3:$E$1001,S$4))</f>
        <v/>
      </c>
      <c r="T143" s="22">
        <v>138</v>
      </c>
    </row>
    <row r="144" spans="1:20" ht="14.25" customHeight="1" x14ac:dyDescent="0.3">
      <c r="A144" s="4" t="str">
        <f>IF('Input Sheet'!B141=0,"",'Input Sheet'!B141)</f>
        <v/>
      </c>
      <c r="B144" s="24" t="b">
        <f t="shared" si="2"/>
        <v>0</v>
      </c>
      <c r="C144" s="4">
        <f>SUMIF('Input Sheet'!B$3:B$1000,A144,'Input Sheet'!C$3:C$1000)</f>
        <v>0</v>
      </c>
      <c r="D144" s="4">
        <f>SUMIF('Input Sheet'!B$3:B$1000,A144,'Input Sheet'!D$3:D$1000)</f>
        <v>0</v>
      </c>
      <c r="E144" s="4" t="str">
        <f t="shared" ref="E144:F144" ca="1" si="147">IFERROR(RANK(K144,K$6:K$1004,1),"")</f>
        <v/>
      </c>
      <c r="F144" s="4" t="str">
        <f t="shared" ca="1" si="147"/>
        <v/>
      </c>
      <c r="G144" s="4" t="str">
        <f t="shared" ca="1" si="4"/>
        <v/>
      </c>
      <c r="H144" s="4" t="str">
        <f t="shared" si="5"/>
        <v/>
      </c>
      <c r="I144" s="4" t="str">
        <f t="shared" si="6"/>
        <v/>
      </c>
      <c r="J144" s="4" t="str">
        <f t="shared" si="7"/>
        <v/>
      </c>
      <c r="K144" s="25" t="str">
        <f t="shared" ca="1" si="8"/>
        <v/>
      </c>
      <c r="L144" s="21" t="str">
        <f t="shared" ca="1" si="9"/>
        <v/>
      </c>
      <c r="M144" s="21" t="str">
        <f>IF(SUMIFS('Input Sheet'!$F$3:$F$1001,'Input Sheet'!$B$3:$B$1001,$H144,'Input Sheet'!$E$3:$E$1001,M$4)=0,"",SUMIFS('Input Sheet'!$F$3:$F$1001,'Input Sheet'!$B$3:$B$1001,$H144,'Input Sheet'!$E$3:$E$1001,M$4))</f>
        <v/>
      </c>
      <c r="N144" s="21" t="str">
        <f>IF(SUMIFS('Input Sheet'!$F$3:$F$1001,'Input Sheet'!$B$3:$B$1001,$H144,'Input Sheet'!$E$3:$E$1001,N$4)=0,"",SUMIFS('Input Sheet'!$F$3:$F$1001,'Input Sheet'!$B$3:$B$1001,$H144,'Input Sheet'!$E$3:$E$1001,N$4))</f>
        <v/>
      </c>
      <c r="O144" s="21" t="str">
        <f>IF(SUMIFS('Input Sheet'!$F$3:$F$1001,'Input Sheet'!$B$3:$B$1001,$H144,'Input Sheet'!$E$3:$E$1001,O$4)=0,"",SUMIFS('Input Sheet'!$F$3:$F$1001,'Input Sheet'!$B$3:$B$1001,$H144,'Input Sheet'!$E$3:$E$1001,O$4))</f>
        <v/>
      </c>
      <c r="P144" s="21" t="str">
        <f>IF(SUMIFS('Input Sheet'!$F$3:$F$1001,'Input Sheet'!$B$3:$B$1001,$H144,'Input Sheet'!$E$3:$E$1001,P$4)=0,"",SUMIFS('Input Sheet'!$F$3:$F$1001,'Input Sheet'!$B$3:$B$1001,$H144,'Input Sheet'!$E$3:$E$1001,P$4))</f>
        <v/>
      </c>
      <c r="Q144" s="21" t="str">
        <f>IF(SUMIFS('Input Sheet'!$F$3:$F$1001,'Input Sheet'!$B$3:$B$1001,$H144,'Input Sheet'!$E$3:$E$1001,Q$4)=0,"",SUMIFS('Input Sheet'!$F$3:$F$1001,'Input Sheet'!$B$3:$B$1001,$H144,'Input Sheet'!$E$3:$E$1001,Q$4))</f>
        <v/>
      </c>
      <c r="R144" s="21" t="str">
        <f>IF(SUMIFS('Input Sheet'!$F$3:$F$1001,'Input Sheet'!$B$3:$B$1001,$H144,'Input Sheet'!$E$3:$E$1001,R$4)=0,"",SUMIFS('Input Sheet'!$F$3:$F$1001,'Input Sheet'!$B$3:$B$1001,$H144,'Input Sheet'!$E$3:$E$1001,R$4))</f>
        <v/>
      </c>
      <c r="S144" s="21" t="str">
        <f>IF(SUMIFS('Input Sheet'!$F$3:$F$1001,'Input Sheet'!$B$3:$B$1001,$H144,'Input Sheet'!$E$3:$E$1001,S$4)=0,"",SUMIFS('Input Sheet'!$F$3:$F$1001,'Input Sheet'!$B$3:$B$1001,$H144,'Input Sheet'!$E$3:$E$1001,S$4))</f>
        <v/>
      </c>
      <c r="T144" s="22">
        <v>139</v>
      </c>
    </row>
    <row r="145" spans="1:20" ht="14.25" customHeight="1" x14ac:dyDescent="0.3">
      <c r="A145" s="4" t="str">
        <f>IF('Input Sheet'!B142=0,"",'Input Sheet'!B142)</f>
        <v/>
      </c>
      <c r="B145" s="24" t="b">
        <f t="shared" si="2"/>
        <v>0</v>
      </c>
      <c r="C145" s="4">
        <f>SUMIF('Input Sheet'!B$3:B$1000,A145,'Input Sheet'!C$3:C$1000)</f>
        <v>0</v>
      </c>
      <c r="D145" s="4">
        <f>SUMIF('Input Sheet'!B$3:B$1000,A145,'Input Sheet'!D$3:D$1000)</f>
        <v>0</v>
      </c>
      <c r="E145" s="4" t="str">
        <f t="shared" ref="E145:F145" ca="1" si="148">IFERROR(RANK(K145,K$6:K$1004,1),"")</f>
        <v/>
      </c>
      <c r="F145" s="4" t="str">
        <f t="shared" ca="1" si="148"/>
        <v/>
      </c>
      <c r="G145" s="4" t="str">
        <f t="shared" ca="1" si="4"/>
        <v/>
      </c>
      <c r="H145" s="4" t="str">
        <f t="shared" si="5"/>
        <v/>
      </c>
      <c r="I145" s="4" t="str">
        <f t="shared" si="6"/>
        <v/>
      </c>
      <c r="J145" s="4" t="str">
        <f t="shared" si="7"/>
        <v/>
      </c>
      <c r="K145" s="25" t="str">
        <f t="shared" ca="1" si="8"/>
        <v/>
      </c>
      <c r="L145" s="21" t="str">
        <f t="shared" ca="1" si="9"/>
        <v/>
      </c>
      <c r="M145" s="21" t="str">
        <f>IF(SUMIFS('Input Sheet'!$F$3:$F$1001,'Input Sheet'!$B$3:$B$1001,$H145,'Input Sheet'!$E$3:$E$1001,M$4)=0,"",SUMIFS('Input Sheet'!$F$3:$F$1001,'Input Sheet'!$B$3:$B$1001,$H145,'Input Sheet'!$E$3:$E$1001,M$4))</f>
        <v/>
      </c>
      <c r="N145" s="21" t="str">
        <f>IF(SUMIFS('Input Sheet'!$F$3:$F$1001,'Input Sheet'!$B$3:$B$1001,$H145,'Input Sheet'!$E$3:$E$1001,N$4)=0,"",SUMIFS('Input Sheet'!$F$3:$F$1001,'Input Sheet'!$B$3:$B$1001,$H145,'Input Sheet'!$E$3:$E$1001,N$4))</f>
        <v/>
      </c>
      <c r="O145" s="21" t="str">
        <f>IF(SUMIFS('Input Sheet'!$F$3:$F$1001,'Input Sheet'!$B$3:$B$1001,$H145,'Input Sheet'!$E$3:$E$1001,O$4)=0,"",SUMIFS('Input Sheet'!$F$3:$F$1001,'Input Sheet'!$B$3:$B$1001,$H145,'Input Sheet'!$E$3:$E$1001,O$4))</f>
        <v/>
      </c>
      <c r="P145" s="21" t="str">
        <f>IF(SUMIFS('Input Sheet'!$F$3:$F$1001,'Input Sheet'!$B$3:$B$1001,$H145,'Input Sheet'!$E$3:$E$1001,P$4)=0,"",SUMIFS('Input Sheet'!$F$3:$F$1001,'Input Sheet'!$B$3:$B$1001,$H145,'Input Sheet'!$E$3:$E$1001,P$4))</f>
        <v/>
      </c>
      <c r="Q145" s="21" t="str">
        <f>IF(SUMIFS('Input Sheet'!$F$3:$F$1001,'Input Sheet'!$B$3:$B$1001,$H145,'Input Sheet'!$E$3:$E$1001,Q$4)=0,"",SUMIFS('Input Sheet'!$F$3:$F$1001,'Input Sheet'!$B$3:$B$1001,$H145,'Input Sheet'!$E$3:$E$1001,Q$4))</f>
        <v/>
      </c>
      <c r="R145" s="21" t="str">
        <f>IF(SUMIFS('Input Sheet'!$F$3:$F$1001,'Input Sheet'!$B$3:$B$1001,$H145,'Input Sheet'!$E$3:$E$1001,R$4)=0,"",SUMIFS('Input Sheet'!$F$3:$F$1001,'Input Sheet'!$B$3:$B$1001,$H145,'Input Sheet'!$E$3:$E$1001,R$4))</f>
        <v/>
      </c>
      <c r="S145" s="21" t="str">
        <f>IF(SUMIFS('Input Sheet'!$F$3:$F$1001,'Input Sheet'!$B$3:$B$1001,$H145,'Input Sheet'!$E$3:$E$1001,S$4)=0,"",SUMIFS('Input Sheet'!$F$3:$F$1001,'Input Sheet'!$B$3:$B$1001,$H145,'Input Sheet'!$E$3:$E$1001,S$4))</f>
        <v/>
      </c>
      <c r="T145" s="22">
        <v>140</v>
      </c>
    </row>
    <row r="146" spans="1:20" ht="14.25" customHeight="1" x14ac:dyDescent="0.3">
      <c r="A146" s="4" t="str">
        <f>IF('Input Sheet'!B143=0,"",'Input Sheet'!B143)</f>
        <v/>
      </c>
      <c r="B146" s="24" t="b">
        <f t="shared" si="2"/>
        <v>0</v>
      </c>
      <c r="C146" s="4">
        <f>SUMIF('Input Sheet'!B$3:B$1000,A146,'Input Sheet'!C$3:C$1000)</f>
        <v>0</v>
      </c>
      <c r="D146" s="4">
        <f>SUMIF('Input Sheet'!B$3:B$1000,A146,'Input Sheet'!D$3:D$1000)</f>
        <v>0</v>
      </c>
      <c r="E146" s="4" t="str">
        <f t="shared" ref="E146:F146" ca="1" si="149">IFERROR(RANK(K146,K$6:K$1004,1),"")</f>
        <v/>
      </c>
      <c r="F146" s="4" t="str">
        <f t="shared" ca="1" si="149"/>
        <v/>
      </c>
      <c r="G146" s="4" t="str">
        <f t="shared" ca="1" si="4"/>
        <v/>
      </c>
      <c r="H146" s="4" t="str">
        <f t="shared" si="5"/>
        <v/>
      </c>
      <c r="I146" s="4" t="str">
        <f t="shared" si="6"/>
        <v/>
      </c>
      <c r="J146" s="4" t="str">
        <f t="shared" si="7"/>
        <v/>
      </c>
      <c r="K146" s="25" t="str">
        <f t="shared" ca="1" si="8"/>
        <v/>
      </c>
      <c r="L146" s="21" t="str">
        <f t="shared" ca="1" si="9"/>
        <v/>
      </c>
      <c r="M146" s="21" t="str">
        <f>IF(SUMIFS('Input Sheet'!$F$3:$F$1001,'Input Sheet'!$B$3:$B$1001,$H146,'Input Sheet'!$E$3:$E$1001,M$4)=0,"",SUMIFS('Input Sheet'!$F$3:$F$1001,'Input Sheet'!$B$3:$B$1001,$H146,'Input Sheet'!$E$3:$E$1001,M$4))</f>
        <v/>
      </c>
      <c r="N146" s="21" t="str">
        <f>IF(SUMIFS('Input Sheet'!$F$3:$F$1001,'Input Sheet'!$B$3:$B$1001,$H146,'Input Sheet'!$E$3:$E$1001,N$4)=0,"",SUMIFS('Input Sheet'!$F$3:$F$1001,'Input Sheet'!$B$3:$B$1001,$H146,'Input Sheet'!$E$3:$E$1001,N$4))</f>
        <v/>
      </c>
      <c r="O146" s="21" t="str">
        <f>IF(SUMIFS('Input Sheet'!$F$3:$F$1001,'Input Sheet'!$B$3:$B$1001,$H146,'Input Sheet'!$E$3:$E$1001,O$4)=0,"",SUMIFS('Input Sheet'!$F$3:$F$1001,'Input Sheet'!$B$3:$B$1001,$H146,'Input Sheet'!$E$3:$E$1001,O$4))</f>
        <v/>
      </c>
      <c r="P146" s="21" t="str">
        <f>IF(SUMIFS('Input Sheet'!$F$3:$F$1001,'Input Sheet'!$B$3:$B$1001,$H146,'Input Sheet'!$E$3:$E$1001,P$4)=0,"",SUMIFS('Input Sheet'!$F$3:$F$1001,'Input Sheet'!$B$3:$B$1001,$H146,'Input Sheet'!$E$3:$E$1001,P$4))</f>
        <v/>
      </c>
      <c r="Q146" s="21" t="str">
        <f>IF(SUMIFS('Input Sheet'!$F$3:$F$1001,'Input Sheet'!$B$3:$B$1001,$H146,'Input Sheet'!$E$3:$E$1001,Q$4)=0,"",SUMIFS('Input Sheet'!$F$3:$F$1001,'Input Sheet'!$B$3:$B$1001,$H146,'Input Sheet'!$E$3:$E$1001,Q$4))</f>
        <v/>
      </c>
      <c r="R146" s="21" t="str">
        <f>IF(SUMIFS('Input Sheet'!$F$3:$F$1001,'Input Sheet'!$B$3:$B$1001,$H146,'Input Sheet'!$E$3:$E$1001,R$4)=0,"",SUMIFS('Input Sheet'!$F$3:$F$1001,'Input Sheet'!$B$3:$B$1001,$H146,'Input Sheet'!$E$3:$E$1001,R$4))</f>
        <v/>
      </c>
      <c r="S146" s="21" t="str">
        <f>IF(SUMIFS('Input Sheet'!$F$3:$F$1001,'Input Sheet'!$B$3:$B$1001,$H146,'Input Sheet'!$E$3:$E$1001,S$4)=0,"",SUMIFS('Input Sheet'!$F$3:$F$1001,'Input Sheet'!$B$3:$B$1001,$H146,'Input Sheet'!$E$3:$E$1001,S$4))</f>
        <v/>
      </c>
      <c r="T146" s="22">
        <v>141</v>
      </c>
    </row>
    <row r="147" spans="1:20" ht="14.25" customHeight="1" x14ac:dyDescent="0.3">
      <c r="A147" s="4" t="str">
        <f>IF('Input Sheet'!B144=0,"",'Input Sheet'!B144)</f>
        <v/>
      </c>
      <c r="B147" s="24" t="b">
        <f t="shared" si="2"/>
        <v>0</v>
      </c>
      <c r="C147" s="4">
        <f>SUMIF('Input Sheet'!B$3:B$1000,A147,'Input Sheet'!C$3:C$1000)</f>
        <v>0</v>
      </c>
      <c r="D147" s="4">
        <f>SUMIF('Input Sheet'!B$3:B$1000,A147,'Input Sheet'!D$3:D$1000)</f>
        <v>0</v>
      </c>
      <c r="E147" s="4" t="str">
        <f t="shared" ref="E147:F147" ca="1" si="150">IFERROR(RANK(K147,K$6:K$1004,1),"")</f>
        <v/>
      </c>
      <c r="F147" s="4" t="str">
        <f t="shared" ca="1" si="150"/>
        <v/>
      </c>
      <c r="G147" s="4" t="str">
        <f t="shared" ca="1" si="4"/>
        <v/>
      </c>
      <c r="H147" s="4" t="str">
        <f t="shared" si="5"/>
        <v/>
      </c>
      <c r="I147" s="4" t="str">
        <f t="shared" si="6"/>
        <v/>
      </c>
      <c r="J147" s="4" t="str">
        <f t="shared" si="7"/>
        <v/>
      </c>
      <c r="K147" s="25" t="str">
        <f t="shared" ca="1" si="8"/>
        <v/>
      </c>
      <c r="L147" s="21" t="str">
        <f t="shared" ca="1" si="9"/>
        <v/>
      </c>
      <c r="M147" s="21" t="str">
        <f>IF(SUMIFS('Input Sheet'!$F$3:$F$1001,'Input Sheet'!$B$3:$B$1001,$H147,'Input Sheet'!$E$3:$E$1001,M$4)=0,"",SUMIFS('Input Sheet'!$F$3:$F$1001,'Input Sheet'!$B$3:$B$1001,$H147,'Input Sheet'!$E$3:$E$1001,M$4))</f>
        <v/>
      </c>
      <c r="N147" s="21" t="str">
        <f>IF(SUMIFS('Input Sheet'!$F$3:$F$1001,'Input Sheet'!$B$3:$B$1001,$H147,'Input Sheet'!$E$3:$E$1001,N$4)=0,"",SUMIFS('Input Sheet'!$F$3:$F$1001,'Input Sheet'!$B$3:$B$1001,$H147,'Input Sheet'!$E$3:$E$1001,N$4))</f>
        <v/>
      </c>
      <c r="O147" s="21" t="str">
        <f>IF(SUMIFS('Input Sheet'!$F$3:$F$1001,'Input Sheet'!$B$3:$B$1001,$H147,'Input Sheet'!$E$3:$E$1001,O$4)=0,"",SUMIFS('Input Sheet'!$F$3:$F$1001,'Input Sheet'!$B$3:$B$1001,$H147,'Input Sheet'!$E$3:$E$1001,O$4))</f>
        <v/>
      </c>
      <c r="P147" s="21" t="str">
        <f>IF(SUMIFS('Input Sheet'!$F$3:$F$1001,'Input Sheet'!$B$3:$B$1001,$H147,'Input Sheet'!$E$3:$E$1001,P$4)=0,"",SUMIFS('Input Sheet'!$F$3:$F$1001,'Input Sheet'!$B$3:$B$1001,$H147,'Input Sheet'!$E$3:$E$1001,P$4))</f>
        <v/>
      </c>
      <c r="Q147" s="21" t="str">
        <f>IF(SUMIFS('Input Sheet'!$F$3:$F$1001,'Input Sheet'!$B$3:$B$1001,$H147,'Input Sheet'!$E$3:$E$1001,Q$4)=0,"",SUMIFS('Input Sheet'!$F$3:$F$1001,'Input Sheet'!$B$3:$B$1001,$H147,'Input Sheet'!$E$3:$E$1001,Q$4))</f>
        <v/>
      </c>
      <c r="R147" s="21" t="str">
        <f>IF(SUMIFS('Input Sheet'!$F$3:$F$1001,'Input Sheet'!$B$3:$B$1001,$H147,'Input Sheet'!$E$3:$E$1001,R$4)=0,"",SUMIFS('Input Sheet'!$F$3:$F$1001,'Input Sheet'!$B$3:$B$1001,$H147,'Input Sheet'!$E$3:$E$1001,R$4))</f>
        <v/>
      </c>
      <c r="S147" s="21" t="str">
        <f>IF(SUMIFS('Input Sheet'!$F$3:$F$1001,'Input Sheet'!$B$3:$B$1001,$H147,'Input Sheet'!$E$3:$E$1001,S$4)=0,"",SUMIFS('Input Sheet'!$F$3:$F$1001,'Input Sheet'!$B$3:$B$1001,$H147,'Input Sheet'!$E$3:$E$1001,S$4))</f>
        <v/>
      </c>
      <c r="T147" s="22">
        <v>142</v>
      </c>
    </row>
    <row r="148" spans="1:20" ht="14.25" customHeight="1" x14ac:dyDescent="0.3">
      <c r="A148" s="4" t="str">
        <f>IF('Input Sheet'!B145=0,"",'Input Sheet'!B145)</f>
        <v/>
      </c>
      <c r="B148" s="24" t="b">
        <f t="shared" si="2"/>
        <v>0</v>
      </c>
      <c r="C148" s="4">
        <f>SUMIF('Input Sheet'!B$3:B$1000,A148,'Input Sheet'!C$3:C$1000)</f>
        <v>0</v>
      </c>
      <c r="D148" s="4">
        <f>SUMIF('Input Sheet'!B$3:B$1000,A148,'Input Sheet'!D$3:D$1000)</f>
        <v>0</v>
      </c>
      <c r="E148" s="4" t="str">
        <f t="shared" ref="E148:F148" ca="1" si="151">IFERROR(RANK(K148,K$6:K$1004,1),"")</f>
        <v/>
      </c>
      <c r="F148" s="4" t="str">
        <f t="shared" ca="1" si="151"/>
        <v/>
      </c>
      <c r="G148" s="4" t="str">
        <f t="shared" ca="1" si="4"/>
        <v/>
      </c>
      <c r="H148" s="4" t="str">
        <f t="shared" si="5"/>
        <v/>
      </c>
      <c r="I148" s="4" t="str">
        <f t="shared" si="6"/>
        <v/>
      </c>
      <c r="J148" s="4" t="str">
        <f t="shared" si="7"/>
        <v/>
      </c>
      <c r="K148" s="25" t="str">
        <f t="shared" ca="1" si="8"/>
        <v/>
      </c>
      <c r="L148" s="21" t="str">
        <f t="shared" ca="1" si="9"/>
        <v/>
      </c>
      <c r="M148" s="21" t="str">
        <f>IF(SUMIFS('Input Sheet'!$F$3:$F$1001,'Input Sheet'!$B$3:$B$1001,$H148,'Input Sheet'!$E$3:$E$1001,M$4)=0,"",SUMIFS('Input Sheet'!$F$3:$F$1001,'Input Sheet'!$B$3:$B$1001,$H148,'Input Sheet'!$E$3:$E$1001,M$4))</f>
        <v/>
      </c>
      <c r="N148" s="21" t="str">
        <f>IF(SUMIFS('Input Sheet'!$F$3:$F$1001,'Input Sheet'!$B$3:$B$1001,$H148,'Input Sheet'!$E$3:$E$1001,N$4)=0,"",SUMIFS('Input Sheet'!$F$3:$F$1001,'Input Sheet'!$B$3:$B$1001,$H148,'Input Sheet'!$E$3:$E$1001,N$4))</f>
        <v/>
      </c>
      <c r="O148" s="21" t="str">
        <f>IF(SUMIFS('Input Sheet'!$F$3:$F$1001,'Input Sheet'!$B$3:$B$1001,$H148,'Input Sheet'!$E$3:$E$1001,O$4)=0,"",SUMIFS('Input Sheet'!$F$3:$F$1001,'Input Sheet'!$B$3:$B$1001,$H148,'Input Sheet'!$E$3:$E$1001,O$4))</f>
        <v/>
      </c>
      <c r="P148" s="21" t="str">
        <f>IF(SUMIFS('Input Sheet'!$F$3:$F$1001,'Input Sheet'!$B$3:$B$1001,$H148,'Input Sheet'!$E$3:$E$1001,P$4)=0,"",SUMIFS('Input Sheet'!$F$3:$F$1001,'Input Sheet'!$B$3:$B$1001,$H148,'Input Sheet'!$E$3:$E$1001,P$4))</f>
        <v/>
      </c>
      <c r="Q148" s="21" t="str">
        <f>IF(SUMIFS('Input Sheet'!$F$3:$F$1001,'Input Sheet'!$B$3:$B$1001,$H148,'Input Sheet'!$E$3:$E$1001,Q$4)=0,"",SUMIFS('Input Sheet'!$F$3:$F$1001,'Input Sheet'!$B$3:$B$1001,$H148,'Input Sheet'!$E$3:$E$1001,Q$4))</f>
        <v/>
      </c>
      <c r="R148" s="21" t="str">
        <f>IF(SUMIFS('Input Sheet'!$F$3:$F$1001,'Input Sheet'!$B$3:$B$1001,$H148,'Input Sheet'!$E$3:$E$1001,R$4)=0,"",SUMIFS('Input Sheet'!$F$3:$F$1001,'Input Sheet'!$B$3:$B$1001,$H148,'Input Sheet'!$E$3:$E$1001,R$4))</f>
        <v/>
      </c>
      <c r="S148" s="21" t="str">
        <f>IF(SUMIFS('Input Sheet'!$F$3:$F$1001,'Input Sheet'!$B$3:$B$1001,$H148,'Input Sheet'!$E$3:$E$1001,S$4)=0,"",SUMIFS('Input Sheet'!$F$3:$F$1001,'Input Sheet'!$B$3:$B$1001,$H148,'Input Sheet'!$E$3:$E$1001,S$4))</f>
        <v/>
      </c>
      <c r="T148" s="22">
        <v>143</v>
      </c>
    </row>
    <row r="149" spans="1:20" ht="14.25" customHeight="1" x14ac:dyDescent="0.3">
      <c r="A149" s="4" t="str">
        <f>IF('Input Sheet'!B146=0,"",'Input Sheet'!B146)</f>
        <v/>
      </c>
      <c r="B149" s="24" t="b">
        <f t="shared" si="2"/>
        <v>0</v>
      </c>
      <c r="C149" s="4">
        <f>SUMIF('Input Sheet'!B$3:B$1000,A149,'Input Sheet'!C$3:C$1000)</f>
        <v>0</v>
      </c>
      <c r="D149" s="4">
        <f>SUMIF('Input Sheet'!B$3:B$1000,A149,'Input Sheet'!D$3:D$1000)</f>
        <v>0</v>
      </c>
      <c r="E149" s="4" t="str">
        <f t="shared" ref="E149:F149" ca="1" si="152">IFERROR(RANK(K149,K$6:K$1004,1),"")</f>
        <v/>
      </c>
      <c r="F149" s="4" t="str">
        <f t="shared" ca="1" si="152"/>
        <v/>
      </c>
      <c r="G149" s="4" t="str">
        <f t="shared" ca="1" si="4"/>
        <v/>
      </c>
      <c r="H149" s="4" t="str">
        <f t="shared" si="5"/>
        <v/>
      </c>
      <c r="I149" s="4" t="str">
        <f t="shared" si="6"/>
        <v/>
      </c>
      <c r="J149" s="4" t="str">
        <f t="shared" si="7"/>
        <v/>
      </c>
      <c r="K149" s="25" t="str">
        <f t="shared" ca="1" si="8"/>
        <v/>
      </c>
      <c r="L149" s="21" t="str">
        <f t="shared" ca="1" si="9"/>
        <v/>
      </c>
      <c r="M149" s="21" t="str">
        <f>IF(SUMIFS('Input Sheet'!$F$3:$F$1001,'Input Sheet'!$B$3:$B$1001,$H149,'Input Sheet'!$E$3:$E$1001,M$4)=0,"",SUMIFS('Input Sheet'!$F$3:$F$1001,'Input Sheet'!$B$3:$B$1001,$H149,'Input Sheet'!$E$3:$E$1001,M$4))</f>
        <v/>
      </c>
      <c r="N149" s="21" t="str">
        <f>IF(SUMIFS('Input Sheet'!$F$3:$F$1001,'Input Sheet'!$B$3:$B$1001,$H149,'Input Sheet'!$E$3:$E$1001,N$4)=0,"",SUMIFS('Input Sheet'!$F$3:$F$1001,'Input Sheet'!$B$3:$B$1001,$H149,'Input Sheet'!$E$3:$E$1001,N$4))</f>
        <v/>
      </c>
      <c r="O149" s="21" t="str">
        <f>IF(SUMIFS('Input Sheet'!$F$3:$F$1001,'Input Sheet'!$B$3:$B$1001,$H149,'Input Sheet'!$E$3:$E$1001,O$4)=0,"",SUMIFS('Input Sheet'!$F$3:$F$1001,'Input Sheet'!$B$3:$B$1001,$H149,'Input Sheet'!$E$3:$E$1001,O$4))</f>
        <v/>
      </c>
      <c r="P149" s="21" t="str">
        <f>IF(SUMIFS('Input Sheet'!$F$3:$F$1001,'Input Sheet'!$B$3:$B$1001,$H149,'Input Sheet'!$E$3:$E$1001,P$4)=0,"",SUMIFS('Input Sheet'!$F$3:$F$1001,'Input Sheet'!$B$3:$B$1001,$H149,'Input Sheet'!$E$3:$E$1001,P$4))</f>
        <v/>
      </c>
      <c r="Q149" s="21" t="str">
        <f>IF(SUMIFS('Input Sheet'!$F$3:$F$1001,'Input Sheet'!$B$3:$B$1001,$H149,'Input Sheet'!$E$3:$E$1001,Q$4)=0,"",SUMIFS('Input Sheet'!$F$3:$F$1001,'Input Sheet'!$B$3:$B$1001,$H149,'Input Sheet'!$E$3:$E$1001,Q$4))</f>
        <v/>
      </c>
      <c r="R149" s="21" t="str">
        <f>IF(SUMIFS('Input Sheet'!$F$3:$F$1001,'Input Sheet'!$B$3:$B$1001,$H149,'Input Sheet'!$E$3:$E$1001,R$4)=0,"",SUMIFS('Input Sheet'!$F$3:$F$1001,'Input Sheet'!$B$3:$B$1001,$H149,'Input Sheet'!$E$3:$E$1001,R$4))</f>
        <v/>
      </c>
      <c r="S149" s="21" t="str">
        <f>IF(SUMIFS('Input Sheet'!$F$3:$F$1001,'Input Sheet'!$B$3:$B$1001,$H149,'Input Sheet'!$E$3:$E$1001,S$4)=0,"",SUMIFS('Input Sheet'!$F$3:$F$1001,'Input Sheet'!$B$3:$B$1001,$H149,'Input Sheet'!$E$3:$E$1001,S$4))</f>
        <v/>
      </c>
      <c r="T149" s="22">
        <v>144</v>
      </c>
    </row>
    <row r="150" spans="1:20" ht="14.25" customHeight="1" x14ac:dyDescent="0.3">
      <c r="A150" s="4" t="str">
        <f>IF('Input Sheet'!B147=0,"",'Input Sheet'!B147)</f>
        <v/>
      </c>
      <c r="B150" s="24" t="b">
        <f t="shared" si="2"/>
        <v>0</v>
      </c>
      <c r="C150" s="4">
        <f>SUMIF('Input Sheet'!B$3:B$1000,A150,'Input Sheet'!C$3:C$1000)</f>
        <v>0</v>
      </c>
      <c r="D150" s="4">
        <f>SUMIF('Input Sheet'!B$3:B$1000,A150,'Input Sheet'!D$3:D$1000)</f>
        <v>0</v>
      </c>
      <c r="E150" s="4" t="str">
        <f t="shared" ref="E150:F150" ca="1" si="153">IFERROR(RANK(K150,K$6:K$1004,1),"")</f>
        <v/>
      </c>
      <c r="F150" s="4" t="str">
        <f t="shared" ca="1" si="153"/>
        <v/>
      </c>
      <c r="G150" s="4" t="str">
        <f t="shared" ca="1" si="4"/>
        <v/>
      </c>
      <c r="H150" s="4" t="str">
        <f t="shared" si="5"/>
        <v/>
      </c>
      <c r="I150" s="4" t="str">
        <f t="shared" si="6"/>
        <v/>
      </c>
      <c r="J150" s="4" t="str">
        <f t="shared" si="7"/>
        <v/>
      </c>
      <c r="K150" s="25" t="str">
        <f t="shared" ca="1" si="8"/>
        <v/>
      </c>
      <c r="L150" s="21" t="str">
        <f t="shared" ca="1" si="9"/>
        <v/>
      </c>
      <c r="M150" s="21" t="str">
        <f>IF(SUMIFS('Input Sheet'!$F$3:$F$1001,'Input Sheet'!$B$3:$B$1001,$H150,'Input Sheet'!$E$3:$E$1001,M$4)=0,"",SUMIFS('Input Sheet'!$F$3:$F$1001,'Input Sheet'!$B$3:$B$1001,$H150,'Input Sheet'!$E$3:$E$1001,M$4))</f>
        <v/>
      </c>
      <c r="N150" s="21" t="str">
        <f>IF(SUMIFS('Input Sheet'!$F$3:$F$1001,'Input Sheet'!$B$3:$B$1001,$H150,'Input Sheet'!$E$3:$E$1001,N$4)=0,"",SUMIFS('Input Sheet'!$F$3:$F$1001,'Input Sheet'!$B$3:$B$1001,$H150,'Input Sheet'!$E$3:$E$1001,N$4))</f>
        <v/>
      </c>
      <c r="O150" s="21" t="str">
        <f>IF(SUMIFS('Input Sheet'!$F$3:$F$1001,'Input Sheet'!$B$3:$B$1001,$H150,'Input Sheet'!$E$3:$E$1001,O$4)=0,"",SUMIFS('Input Sheet'!$F$3:$F$1001,'Input Sheet'!$B$3:$B$1001,$H150,'Input Sheet'!$E$3:$E$1001,O$4))</f>
        <v/>
      </c>
      <c r="P150" s="21" t="str">
        <f>IF(SUMIFS('Input Sheet'!$F$3:$F$1001,'Input Sheet'!$B$3:$B$1001,$H150,'Input Sheet'!$E$3:$E$1001,P$4)=0,"",SUMIFS('Input Sheet'!$F$3:$F$1001,'Input Sheet'!$B$3:$B$1001,$H150,'Input Sheet'!$E$3:$E$1001,P$4))</f>
        <v/>
      </c>
      <c r="Q150" s="21" t="str">
        <f>IF(SUMIFS('Input Sheet'!$F$3:$F$1001,'Input Sheet'!$B$3:$B$1001,$H150,'Input Sheet'!$E$3:$E$1001,Q$4)=0,"",SUMIFS('Input Sheet'!$F$3:$F$1001,'Input Sheet'!$B$3:$B$1001,$H150,'Input Sheet'!$E$3:$E$1001,Q$4))</f>
        <v/>
      </c>
      <c r="R150" s="21" t="str">
        <f>IF(SUMIFS('Input Sheet'!$F$3:$F$1001,'Input Sheet'!$B$3:$B$1001,$H150,'Input Sheet'!$E$3:$E$1001,R$4)=0,"",SUMIFS('Input Sheet'!$F$3:$F$1001,'Input Sheet'!$B$3:$B$1001,$H150,'Input Sheet'!$E$3:$E$1001,R$4))</f>
        <v/>
      </c>
      <c r="S150" s="21" t="str">
        <f>IF(SUMIFS('Input Sheet'!$F$3:$F$1001,'Input Sheet'!$B$3:$B$1001,$H150,'Input Sheet'!$E$3:$E$1001,S$4)=0,"",SUMIFS('Input Sheet'!$F$3:$F$1001,'Input Sheet'!$B$3:$B$1001,$H150,'Input Sheet'!$E$3:$E$1001,S$4))</f>
        <v/>
      </c>
      <c r="T150" s="22">
        <v>145</v>
      </c>
    </row>
    <row r="151" spans="1:20" ht="14.25" customHeight="1" x14ac:dyDescent="0.3">
      <c r="A151" s="4" t="str">
        <f>IF('Input Sheet'!B148=0,"",'Input Sheet'!B148)</f>
        <v/>
      </c>
      <c r="B151" s="24" t="b">
        <f t="shared" si="2"/>
        <v>0</v>
      </c>
      <c r="C151" s="4">
        <f>SUMIF('Input Sheet'!B$3:B$1000,A151,'Input Sheet'!C$3:C$1000)</f>
        <v>0</v>
      </c>
      <c r="D151" s="4">
        <f>SUMIF('Input Sheet'!B$3:B$1000,A151,'Input Sheet'!D$3:D$1000)</f>
        <v>0</v>
      </c>
      <c r="E151" s="4" t="str">
        <f t="shared" ref="E151:F151" ca="1" si="154">IFERROR(RANK(K151,K$6:K$1004,1),"")</f>
        <v/>
      </c>
      <c r="F151" s="4" t="str">
        <f t="shared" ca="1" si="154"/>
        <v/>
      </c>
      <c r="G151" s="4" t="str">
        <f t="shared" ca="1" si="4"/>
        <v/>
      </c>
      <c r="H151" s="4" t="str">
        <f t="shared" si="5"/>
        <v/>
      </c>
      <c r="I151" s="4" t="str">
        <f t="shared" si="6"/>
        <v/>
      </c>
      <c r="J151" s="4" t="str">
        <f t="shared" si="7"/>
        <v/>
      </c>
      <c r="K151" s="25" t="str">
        <f t="shared" ca="1" si="8"/>
        <v/>
      </c>
      <c r="L151" s="21" t="str">
        <f t="shared" ca="1" si="9"/>
        <v/>
      </c>
      <c r="M151" s="21" t="str">
        <f>IF(SUMIFS('Input Sheet'!$F$3:$F$1001,'Input Sheet'!$B$3:$B$1001,$H151,'Input Sheet'!$E$3:$E$1001,M$4)=0,"",SUMIFS('Input Sheet'!$F$3:$F$1001,'Input Sheet'!$B$3:$B$1001,$H151,'Input Sheet'!$E$3:$E$1001,M$4))</f>
        <v/>
      </c>
      <c r="N151" s="21" t="str">
        <f>IF(SUMIFS('Input Sheet'!$F$3:$F$1001,'Input Sheet'!$B$3:$B$1001,$H151,'Input Sheet'!$E$3:$E$1001,N$4)=0,"",SUMIFS('Input Sheet'!$F$3:$F$1001,'Input Sheet'!$B$3:$B$1001,$H151,'Input Sheet'!$E$3:$E$1001,N$4))</f>
        <v/>
      </c>
      <c r="O151" s="21" t="str">
        <f>IF(SUMIFS('Input Sheet'!$F$3:$F$1001,'Input Sheet'!$B$3:$B$1001,$H151,'Input Sheet'!$E$3:$E$1001,O$4)=0,"",SUMIFS('Input Sheet'!$F$3:$F$1001,'Input Sheet'!$B$3:$B$1001,$H151,'Input Sheet'!$E$3:$E$1001,O$4))</f>
        <v/>
      </c>
      <c r="P151" s="21" t="str">
        <f>IF(SUMIFS('Input Sheet'!$F$3:$F$1001,'Input Sheet'!$B$3:$B$1001,$H151,'Input Sheet'!$E$3:$E$1001,P$4)=0,"",SUMIFS('Input Sheet'!$F$3:$F$1001,'Input Sheet'!$B$3:$B$1001,$H151,'Input Sheet'!$E$3:$E$1001,P$4))</f>
        <v/>
      </c>
      <c r="Q151" s="21" t="str">
        <f>IF(SUMIFS('Input Sheet'!$F$3:$F$1001,'Input Sheet'!$B$3:$B$1001,$H151,'Input Sheet'!$E$3:$E$1001,Q$4)=0,"",SUMIFS('Input Sheet'!$F$3:$F$1001,'Input Sheet'!$B$3:$B$1001,$H151,'Input Sheet'!$E$3:$E$1001,Q$4))</f>
        <v/>
      </c>
      <c r="R151" s="21" t="str">
        <f>IF(SUMIFS('Input Sheet'!$F$3:$F$1001,'Input Sheet'!$B$3:$B$1001,$H151,'Input Sheet'!$E$3:$E$1001,R$4)=0,"",SUMIFS('Input Sheet'!$F$3:$F$1001,'Input Sheet'!$B$3:$B$1001,$H151,'Input Sheet'!$E$3:$E$1001,R$4))</f>
        <v/>
      </c>
      <c r="S151" s="21" t="str">
        <f>IF(SUMIFS('Input Sheet'!$F$3:$F$1001,'Input Sheet'!$B$3:$B$1001,$H151,'Input Sheet'!$E$3:$E$1001,S$4)=0,"",SUMIFS('Input Sheet'!$F$3:$F$1001,'Input Sheet'!$B$3:$B$1001,$H151,'Input Sheet'!$E$3:$E$1001,S$4))</f>
        <v/>
      </c>
      <c r="T151" s="22">
        <v>146</v>
      </c>
    </row>
    <row r="152" spans="1:20" ht="14.25" customHeight="1" x14ac:dyDescent="0.3">
      <c r="A152" s="4" t="str">
        <f>IF('Input Sheet'!B149=0,"",'Input Sheet'!B149)</f>
        <v/>
      </c>
      <c r="B152" s="24" t="b">
        <f t="shared" si="2"/>
        <v>0</v>
      </c>
      <c r="C152" s="4">
        <f>SUMIF('Input Sheet'!B$3:B$1000,A152,'Input Sheet'!C$3:C$1000)</f>
        <v>0</v>
      </c>
      <c r="D152" s="4">
        <f>SUMIF('Input Sheet'!B$3:B$1000,A152,'Input Sheet'!D$3:D$1000)</f>
        <v>0</v>
      </c>
      <c r="E152" s="4" t="str">
        <f t="shared" ref="E152:F152" ca="1" si="155">IFERROR(RANK(K152,K$6:K$1004,1),"")</f>
        <v/>
      </c>
      <c r="F152" s="4" t="str">
        <f t="shared" ca="1" si="155"/>
        <v/>
      </c>
      <c r="G152" s="4" t="str">
        <f t="shared" ca="1" si="4"/>
        <v/>
      </c>
      <c r="H152" s="4" t="str">
        <f t="shared" si="5"/>
        <v/>
      </c>
      <c r="I152" s="4" t="str">
        <f t="shared" si="6"/>
        <v/>
      </c>
      <c r="J152" s="4" t="str">
        <f t="shared" si="7"/>
        <v/>
      </c>
      <c r="K152" s="25" t="str">
        <f t="shared" ca="1" si="8"/>
        <v/>
      </c>
      <c r="L152" s="21" t="str">
        <f t="shared" ca="1" si="9"/>
        <v/>
      </c>
      <c r="M152" s="21" t="str">
        <f>IF(SUMIFS('Input Sheet'!$F$3:$F$1001,'Input Sheet'!$B$3:$B$1001,$H152,'Input Sheet'!$E$3:$E$1001,M$4)=0,"",SUMIFS('Input Sheet'!$F$3:$F$1001,'Input Sheet'!$B$3:$B$1001,$H152,'Input Sheet'!$E$3:$E$1001,M$4))</f>
        <v/>
      </c>
      <c r="N152" s="21" t="str">
        <f>IF(SUMIFS('Input Sheet'!$F$3:$F$1001,'Input Sheet'!$B$3:$B$1001,$H152,'Input Sheet'!$E$3:$E$1001,N$4)=0,"",SUMIFS('Input Sheet'!$F$3:$F$1001,'Input Sheet'!$B$3:$B$1001,$H152,'Input Sheet'!$E$3:$E$1001,N$4))</f>
        <v/>
      </c>
      <c r="O152" s="21" t="str">
        <f>IF(SUMIFS('Input Sheet'!$F$3:$F$1001,'Input Sheet'!$B$3:$B$1001,$H152,'Input Sheet'!$E$3:$E$1001,O$4)=0,"",SUMIFS('Input Sheet'!$F$3:$F$1001,'Input Sheet'!$B$3:$B$1001,$H152,'Input Sheet'!$E$3:$E$1001,O$4))</f>
        <v/>
      </c>
      <c r="P152" s="21" t="str">
        <f>IF(SUMIFS('Input Sheet'!$F$3:$F$1001,'Input Sheet'!$B$3:$B$1001,$H152,'Input Sheet'!$E$3:$E$1001,P$4)=0,"",SUMIFS('Input Sheet'!$F$3:$F$1001,'Input Sheet'!$B$3:$B$1001,$H152,'Input Sheet'!$E$3:$E$1001,P$4))</f>
        <v/>
      </c>
      <c r="Q152" s="21" t="str">
        <f>IF(SUMIFS('Input Sheet'!$F$3:$F$1001,'Input Sheet'!$B$3:$B$1001,$H152,'Input Sheet'!$E$3:$E$1001,Q$4)=0,"",SUMIFS('Input Sheet'!$F$3:$F$1001,'Input Sheet'!$B$3:$B$1001,$H152,'Input Sheet'!$E$3:$E$1001,Q$4))</f>
        <v/>
      </c>
      <c r="R152" s="21" t="str">
        <f>IF(SUMIFS('Input Sheet'!$F$3:$F$1001,'Input Sheet'!$B$3:$B$1001,$H152,'Input Sheet'!$E$3:$E$1001,R$4)=0,"",SUMIFS('Input Sheet'!$F$3:$F$1001,'Input Sheet'!$B$3:$B$1001,$H152,'Input Sheet'!$E$3:$E$1001,R$4))</f>
        <v/>
      </c>
      <c r="S152" s="21" t="str">
        <f>IF(SUMIFS('Input Sheet'!$F$3:$F$1001,'Input Sheet'!$B$3:$B$1001,$H152,'Input Sheet'!$E$3:$E$1001,S$4)=0,"",SUMIFS('Input Sheet'!$F$3:$F$1001,'Input Sheet'!$B$3:$B$1001,$H152,'Input Sheet'!$E$3:$E$1001,S$4))</f>
        <v/>
      </c>
      <c r="T152" s="22">
        <v>147</v>
      </c>
    </row>
    <row r="153" spans="1:20" ht="14.25" customHeight="1" x14ac:dyDescent="0.3">
      <c r="A153" s="4" t="str">
        <f>IF('Input Sheet'!B150=0,"",'Input Sheet'!B150)</f>
        <v/>
      </c>
      <c r="B153" s="24" t="b">
        <f t="shared" si="2"/>
        <v>0</v>
      </c>
      <c r="C153" s="4">
        <f>SUMIF('Input Sheet'!B$3:B$1000,A153,'Input Sheet'!C$3:C$1000)</f>
        <v>0</v>
      </c>
      <c r="D153" s="4">
        <f>SUMIF('Input Sheet'!B$3:B$1000,A153,'Input Sheet'!D$3:D$1000)</f>
        <v>0</v>
      </c>
      <c r="E153" s="4" t="str">
        <f t="shared" ref="E153:F153" ca="1" si="156">IFERROR(RANK(K153,K$6:K$1004,1),"")</f>
        <v/>
      </c>
      <c r="F153" s="4" t="str">
        <f t="shared" ca="1" si="156"/>
        <v/>
      </c>
      <c r="G153" s="4" t="str">
        <f t="shared" ca="1" si="4"/>
        <v/>
      </c>
      <c r="H153" s="4" t="str">
        <f t="shared" si="5"/>
        <v/>
      </c>
      <c r="I153" s="4" t="str">
        <f t="shared" si="6"/>
        <v/>
      </c>
      <c r="J153" s="4" t="str">
        <f t="shared" si="7"/>
        <v/>
      </c>
      <c r="K153" s="25" t="str">
        <f t="shared" ca="1" si="8"/>
        <v/>
      </c>
      <c r="L153" s="21" t="str">
        <f t="shared" ca="1" si="9"/>
        <v/>
      </c>
      <c r="M153" s="21" t="str">
        <f>IF(SUMIFS('Input Sheet'!$F$3:$F$1001,'Input Sheet'!$B$3:$B$1001,$H153,'Input Sheet'!$E$3:$E$1001,M$4)=0,"",SUMIFS('Input Sheet'!$F$3:$F$1001,'Input Sheet'!$B$3:$B$1001,$H153,'Input Sheet'!$E$3:$E$1001,M$4))</f>
        <v/>
      </c>
      <c r="N153" s="21" t="str">
        <f>IF(SUMIFS('Input Sheet'!$F$3:$F$1001,'Input Sheet'!$B$3:$B$1001,$H153,'Input Sheet'!$E$3:$E$1001,N$4)=0,"",SUMIFS('Input Sheet'!$F$3:$F$1001,'Input Sheet'!$B$3:$B$1001,$H153,'Input Sheet'!$E$3:$E$1001,N$4))</f>
        <v/>
      </c>
      <c r="O153" s="21" t="str">
        <f>IF(SUMIFS('Input Sheet'!$F$3:$F$1001,'Input Sheet'!$B$3:$B$1001,$H153,'Input Sheet'!$E$3:$E$1001,O$4)=0,"",SUMIFS('Input Sheet'!$F$3:$F$1001,'Input Sheet'!$B$3:$B$1001,$H153,'Input Sheet'!$E$3:$E$1001,O$4))</f>
        <v/>
      </c>
      <c r="P153" s="21" t="str">
        <f>IF(SUMIFS('Input Sheet'!$F$3:$F$1001,'Input Sheet'!$B$3:$B$1001,$H153,'Input Sheet'!$E$3:$E$1001,P$4)=0,"",SUMIFS('Input Sheet'!$F$3:$F$1001,'Input Sheet'!$B$3:$B$1001,$H153,'Input Sheet'!$E$3:$E$1001,P$4))</f>
        <v/>
      </c>
      <c r="Q153" s="21" t="str">
        <f>IF(SUMIFS('Input Sheet'!$F$3:$F$1001,'Input Sheet'!$B$3:$B$1001,$H153,'Input Sheet'!$E$3:$E$1001,Q$4)=0,"",SUMIFS('Input Sheet'!$F$3:$F$1001,'Input Sheet'!$B$3:$B$1001,$H153,'Input Sheet'!$E$3:$E$1001,Q$4))</f>
        <v/>
      </c>
      <c r="R153" s="21" t="str">
        <f>IF(SUMIFS('Input Sheet'!$F$3:$F$1001,'Input Sheet'!$B$3:$B$1001,$H153,'Input Sheet'!$E$3:$E$1001,R$4)=0,"",SUMIFS('Input Sheet'!$F$3:$F$1001,'Input Sheet'!$B$3:$B$1001,$H153,'Input Sheet'!$E$3:$E$1001,R$4))</f>
        <v/>
      </c>
      <c r="S153" s="21" t="str">
        <f>IF(SUMIFS('Input Sheet'!$F$3:$F$1001,'Input Sheet'!$B$3:$B$1001,$H153,'Input Sheet'!$E$3:$E$1001,S$4)=0,"",SUMIFS('Input Sheet'!$F$3:$F$1001,'Input Sheet'!$B$3:$B$1001,$H153,'Input Sheet'!$E$3:$E$1001,S$4))</f>
        <v/>
      </c>
      <c r="T153" s="22">
        <v>148</v>
      </c>
    </row>
    <row r="154" spans="1:20" ht="14.25" customHeight="1" x14ac:dyDescent="0.3">
      <c r="A154" s="4" t="str">
        <f>IF('Input Sheet'!B151=0,"",'Input Sheet'!B151)</f>
        <v/>
      </c>
      <c r="B154" s="24" t="b">
        <f t="shared" si="2"/>
        <v>0</v>
      </c>
      <c r="C154" s="4">
        <f>SUMIF('Input Sheet'!B$3:B$1000,A154,'Input Sheet'!C$3:C$1000)</f>
        <v>0</v>
      </c>
      <c r="D154" s="4">
        <f>SUMIF('Input Sheet'!B$3:B$1000,A154,'Input Sheet'!D$3:D$1000)</f>
        <v>0</v>
      </c>
      <c r="E154" s="4" t="str">
        <f t="shared" ref="E154:F154" ca="1" si="157">IFERROR(RANK(K154,K$6:K$1004,1),"")</f>
        <v/>
      </c>
      <c r="F154" s="4" t="str">
        <f t="shared" ca="1" si="157"/>
        <v/>
      </c>
      <c r="G154" s="4" t="str">
        <f t="shared" ca="1" si="4"/>
        <v/>
      </c>
      <c r="H154" s="4" t="str">
        <f t="shared" si="5"/>
        <v/>
      </c>
      <c r="I154" s="4" t="str">
        <f t="shared" si="6"/>
        <v/>
      </c>
      <c r="J154" s="4" t="str">
        <f t="shared" si="7"/>
        <v/>
      </c>
      <c r="K154" s="25" t="str">
        <f t="shared" ca="1" si="8"/>
        <v/>
      </c>
      <c r="L154" s="21" t="str">
        <f t="shared" ca="1" si="9"/>
        <v/>
      </c>
      <c r="M154" s="21" t="str">
        <f>IF(SUMIFS('Input Sheet'!$F$3:$F$1001,'Input Sheet'!$B$3:$B$1001,$H154,'Input Sheet'!$E$3:$E$1001,M$4)=0,"",SUMIFS('Input Sheet'!$F$3:$F$1001,'Input Sheet'!$B$3:$B$1001,$H154,'Input Sheet'!$E$3:$E$1001,M$4))</f>
        <v/>
      </c>
      <c r="N154" s="21" t="str">
        <f>IF(SUMIFS('Input Sheet'!$F$3:$F$1001,'Input Sheet'!$B$3:$B$1001,$H154,'Input Sheet'!$E$3:$E$1001,N$4)=0,"",SUMIFS('Input Sheet'!$F$3:$F$1001,'Input Sheet'!$B$3:$B$1001,$H154,'Input Sheet'!$E$3:$E$1001,N$4))</f>
        <v/>
      </c>
      <c r="O154" s="21" t="str">
        <f>IF(SUMIFS('Input Sheet'!$F$3:$F$1001,'Input Sheet'!$B$3:$B$1001,$H154,'Input Sheet'!$E$3:$E$1001,O$4)=0,"",SUMIFS('Input Sheet'!$F$3:$F$1001,'Input Sheet'!$B$3:$B$1001,$H154,'Input Sheet'!$E$3:$E$1001,O$4))</f>
        <v/>
      </c>
      <c r="P154" s="21" t="str">
        <f>IF(SUMIFS('Input Sheet'!$F$3:$F$1001,'Input Sheet'!$B$3:$B$1001,$H154,'Input Sheet'!$E$3:$E$1001,P$4)=0,"",SUMIFS('Input Sheet'!$F$3:$F$1001,'Input Sheet'!$B$3:$B$1001,$H154,'Input Sheet'!$E$3:$E$1001,P$4))</f>
        <v/>
      </c>
      <c r="Q154" s="21" t="str">
        <f>IF(SUMIFS('Input Sheet'!$F$3:$F$1001,'Input Sheet'!$B$3:$B$1001,$H154,'Input Sheet'!$E$3:$E$1001,Q$4)=0,"",SUMIFS('Input Sheet'!$F$3:$F$1001,'Input Sheet'!$B$3:$B$1001,$H154,'Input Sheet'!$E$3:$E$1001,Q$4))</f>
        <v/>
      </c>
      <c r="R154" s="21" t="str">
        <f>IF(SUMIFS('Input Sheet'!$F$3:$F$1001,'Input Sheet'!$B$3:$B$1001,$H154,'Input Sheet'!$E$3:$E$1001,R$4)=0,"",SUMIFS('Input Sheet'!$F$3:$F$1001,'Input Sheet'!$B$3:$B$1001,$H154,'Input Sheet'!$E$3:$E$1001,R$4))</f>
        <v/>
      </c>
      <c r="S154" s="21" t="str">
        <f>IF(SUMIFS('Input Sheet'!$F$3:$F$1001,'Input Sheet'!$B$3:$B$1001,$H154,'Input Sheet'!$E$3:$E$1001,S$4)=0,"",SUMIFS('Input Sheet'!$F$3:$F$1001,'Input Sheet'!$B$3:$B$1001,$H154,'Input Sheet'!$E$3:$E$1001,S$4))</f>
        <v/>
      </c>
      <c r="T154" s="22">
        <v>149</v>
      </c>
    </row>
    <row r="155" spans="1:20" ht="14.25" customHeight="1" x14ac:dyDescent="0.3">
      <c r="A155" s="4" t="str">
        <f>IF('Input Sheet'!B152=0,"",'Input Sheet'!B152)</f>
        <v/>
      </c>
      <c r="B155" s="24" t="b">
        <f t="shared" si="2"/>
        <v>0</v>
      </c>
      <c r="C155" s="4">
        <f>SUMIF('Input Sheet'!B$3:B$1000,A155,'Input Sheet'!C$3:C$1000)</f>
        <v>0</v>
      </c>
      <c r="D155" s="4">
        <f>SUMIF('Input Sheet'!B$3:B$1000,A155,'Input Sheet'!D$3:D$1000)</f>
        <v>0</v>
      </c>
      <c r="E155" s="4" t="str">
        <f t="shared" ref="E155:F155" ca="1" si="158">IFERROR(RANK(K155,K$6:K$1004,1),"")</f>
        <v/>
      </c>
      <c r="F155" s="4" t="str">
        <f t="shared" ca="1" si="158"/>
        <v/>
      </c>
      <c r="G155" s="4" t="str">
        <f t="shared" ca="1" si="4"/>
        <v/>
      </c>
      <c r="H155" s="4" t="str">
        <f t="shared" si="5"/>
        <v/>
      </c>
      <c r="I155" s="4" t="str">
        <f t="shared" si="6"/>
        <v/>
      </c>
      <c r="J155" s="4" t="str">
        <f t="shared" si="7"/>
        <v/>
      </c>
      <c r="K155" s="25" t="str">
        <f t="shared" ca="1" si="8"/>
        <v/>
      </c>
      <c r="L155" s="21" t="str">
        <f t="shared" ca="1" si="9"/>
        <v/>
      </c>
      <c r="M155" s="21" t="str">
        <f>IF(SUMIFS('Input Sheet'!$F$3:$F$1001,'Input Sheet'!$B$3:$B$1001,$H155,'Input Sheet'!$E$3:$E$1001,M$4)=0,"",SUMIFS('Input Sheet'!$F$3:$F$1001,'Input Sheet'!$B$3:$B$1001,$H155,'Input Sheet'!$E$3:$E$1001,M$4))</f>
        <v/>
      </c>
      <c r="N155" s="21" t="str">
        <f>IF(SUMIFS('Input Sheet'!$F$3:$F$1001,'Input Sheet'!$B$3:$B$1001,$H155,'Input Sheet'!$E$3:$E$1001,N$4)=0,"",SUMIFS('Input Sheet'!$F$3:$F$1001,'Input Sheet'!$B$3:$B$1001,$H155,'Input Sheet'!$E$3:$E$1001,N$4))</f>
        <v/>
      </c>
      <c r="O155" s="21" t="str">
        <f>IF(SUMIFS('Input Sheet'!$F$3:$F$1001,'Input Sheet'!$B$3:$B$1001,$H155,'Input Sheet'!$E$3:$E$1001,O$4)=0,"",SUMIFS('Input Sheet'!$F$3:$F$1001,'Input Sheet'!$B$3:$B$1001,$H155,'Input Sheet'!$E$3:$E$1001,O$4))</f>
        <v/>
      </c>
      <c r="P155" s="21" t="str">
        <f>IF(SUMIFS('Input Sheet'!$F$3:$F$1001,'Input Sheet'!$B$3:$B$1001,$H155,'Input Sheet'!$E$3:$E$1001,P$4)=0,"",SUMIFS('Input Sheet'!$F$3:$F$1001,'Input Sheet'!$B$3:$B$1001,$H155,'Input Sheet'!$E$3:$E$1001,P$4))</f>
        <v/>
      </c>
      <c r="Q155" s="21" t="str">
        <f>IF(SUMIFS('Input Sheet'!$F$3:$F$1001,'Input Sheet'!$B$3:$B$1001,$H155,'Input Sheet'!$E$3:$E$1001,Q$4)=0,"",SUMIFS('Input Sheet'!$F$3:$F$1001,'Input Sheet'!$B$3:$B$1001,$H155,'Input Sheet'!$E$3:$E$1001,Q$4))</f>
        <v/>
      </c>
      <c r="R155" s="21" t="str">
        <f>IF(SUMIFS('Input Sheet'!$F$3:$F$1001,'Input Sheet'!$B$3:$B$1001,$H155,'Input Sheet'!$E$3:$E$1001,R$4)=0,"",SUMIFS('Input Sheet'!$F$3:$F$1001,'Input Sheet'!$B$3:$B$1001,$H155,'Input Sheet'!$E$3:$E$1001,R$4))</f>
        <v/>
      </c>
      <c r="S155" s="21" t="str">
        <f>IF(SUMIFS('Input Sheet'!$F$3:$F$1001,'Input Sheet'!$B$3:$B$1001,$H155,'Input Sheet'!$E$3:$E$1001,S$4)=0,"",SUMIFS('Input Sheet'!$F$3:$F$1001,'Input Sheet'!$B$3:$B$1001,$H155,'Input Sheet'!$E$3:$E$1001,S$4))</f>
        <v/>
      </c>
      <c r="T155" s="22">
        <v>150</v>
      </c>
    </row>
    <row r="156" spans="1:20" ht="14.25" customHeight="1" x14ac:dyDescent="0.3">
      <c r="A156" s="4" t="str">
        <f>IF('Input Sheet'!B153=0,"",'Input Sheet'!B153)</f>
        <v/>
      </c>
      <c r="B156" s="24" t="b">
        <f t="shared" si="2"/>
        <v>0</v>
      </c>
      <c r="C156" s="4">
        <f>SUMIF('Input Sheet'!B$3:B$1000,A156,'Input Sheet'!C$3:C$1000)</f>
        <v>0</v>
      </c>
      <c r="D156" s="4">
        <f>SUMIF('Input Sheet'!B$3:B$1000,A156,'Input Sheet'!D$3:D$1000)</f>
        <v>0</v>
      </c>
      <c r="E156" s="4" t="str">
        <f t="shared" ref="E156:F156" ca="1" si="159">IFERROR(RANK(K156,K$6:K$1004,1),"")</f>
        <v/>
      </c>
      <c r="F156" s="4" t="str">
        <f t="shared" ca="1" si="159"/>
        <v/>
      </c>
      <c r="G156" s="4" t="str">
        <f t="shared" ca="1" si="4"/>
        <v/>
      </c>
      <c r="H156" s="4" t="str">
        <f t="shared" si="5"/>
        <v/>
      </c>
      <c r="I156" s="4" t="str">
        <f t="shared" si="6"/>
        <v/>
      </c>
      <c r="J156" s="4" t="str">
        <f t="shared" si="7"/>
        <v/>
      </c>
      <c r="K156" s="25" t="str">
        <f t="shared" ca="1" si="8"/>
        <v/>
      </c>
      <c r="L156" s="21" t="str">
        <f t="shared" ca="1" si="9"/>
        <v/>
      </c>
      <c r="M156" s="21" t="str">
        <f>IF(SUMIFS('Input Sheet'!$F$3:$F$1001,'Input Sheet'!$B$3:$B$1001,$H156,'Input Sheet'!$E$3:$E$1001,M$4)=0,"",SUMIFS('Input Sheet'!$F$3:$F$1001,'Input Sheet'!$B$3:$B$1001,$H156,'Input Sheet'!$E$3:$E$1001,M$4))</f>
        <v/>
      </c>
      <c r="N156" s="21" t="str">
        <f>IF(SUMIFS('Input Sheet'!$F$3:$F$1001,'Input Sheet'!$B$3:$B$1001,$H156,'Input Sheet'!$E$3:$E$1001,N$4)=0,"",SUMIFS('Input Sheet'!$F$3:$F$1001,'Input Sheet'!$B$3:$B$1001,$H156,'Input Sheet'!$E$3:$E$1001,N$4))</f>
        <v/>
      </c>
      <c r="O156" s="21" t="str">
        <f>IF(SUMIFS('Input Sheet'!$F$3:$F$1001,'Input Sheet'!$B$3:$B$1001,$H156,'Input Sheet'!$E$3:$E$1001,O$4)=0,"",SUMIFS('Input Sheet'!$F$3:$F$1001,'Input Sheet'!$B$3:$B$1001,$H156,'Input Sheet'!$E$3:$E$1001,O$4))</f>
        <v/>
      </c>
      <c r="P156" s="21" t="str">
        <f>IF(SUMIFS('Input Sheet'!$F$3:$F$1001,'Input Sheet'!$B$3:$B$1001,$H156,'Input Sheet'!$E$3:$E$1001,P$4)=0,"",SUMIFS('Input Sheet'!$F$3:$F$1001,'Input Sheet'!$B$3:$B$1001,$H156,'Input Sheet'!$E$3:$E$1001,P$4))</f>
        <v/>
      </c>
      <c r="Q156" s="21" t="str">
        <f>IF(SUMIFS('Input Sheet'!$F$3:$F$1001,'Input Sheet'!$B$3:$B$1001,$H156,'Input Sheet'!$E$3:$E$1001,Q$4)=0,"",SUMIFS('Input Sheet'!$F$3:$F$1001,'Input Sheet'!$B$3:$B$1001,$H156,'Input Sheet'!$E$3:$E$1001,Q$4))</f>
        <v/>
      </c>
      <c r="R156" s="21" t="str">
        <f>IF(SUMIFS('Input Sheet'!$F$3:$F$1001,'Input Sheet'!$B$3:$B$1001,$H156,'Input Sheet'!$E$3:$E$1001,R$4)=0,"",SUMIFS('Input Sheet'!$F$3:$F$1001,'Input Sheet'!$B$3:$B$1001,$H156,'Input Sheet'!$E$3:$E$1001,R$4))</f>
        <v/>
      </c>
      <c r="S156" s="21" t="str">
        <f>IF(SUMIFS('Input Sheet'!$F$3:$F$1001,'Input Sheet'!$B$3:$B$1001,$H156,'Input Sheet'!$E$3:$E$1001,S$4)=0,"",SUMIFS('Input Sheet'!$F$3:$F$1001,'Input Sheet'!$B$3:$B$1001,$H156,'Input Sheet'!$E$3:$E$1001,S$4))</f>
        <v/>
      </c>
      <c r="T156" s="22">
        <v>151</v>
      </c>
    </row>
    <row r="157" spans="1:20" ht="14.25" customHeight="1" x14ac:dyDescent="0.3">
      <c r="A157" s="4" t="str">
        <f>IF('Input Sheet'!B154=0,"",'Input Sheet'!B154)</f>
        <v/>
      </c>
      <c r="B157" s="24" t="b">
        <f t="shared" si="2"/>
        <v>0</v>
      </c>
      <c r="C157" s="4">
        <f>SUMIF('Input Sheet'!B$3:B$1000,A157,'Input Sheet'!C$3:C$1000)</f>
        <v>0</v>
      </c>
      <c r="D157" s="4">
        <f>SUMIF('Input Sheet'!B$3:B$1000,A157,'Input Sheet'!D$3:D$1000)</f>
        <v>0</v>
      </c>
      <c r="E157" s="4" t="str">
        <f t="shared" ref="E157:F157" ca="1" si="160">IFERROR(RANK(K157,K$6:K$1004,1),"")</f>
        <v/>
      </c>
      <c r="F157" s="4" t="str">
        <f t="shared" ca="1" si="160"/>
        <v/>
      </c>
      <c r="G157" s="4" t="str">
        <f t="shared" ca="1" si="4"/>
        <v/>
      </c>
      <c r="H157" s="4" t="str">
        <f t="shared" si="5"/>
        <v/>
      </c>
      <c r="I157" s="4" t="str">
        <f t="shared" si="6"/>
        <v/>
      </c>
      <c r="J157" s="4" t="str">
        <f t="shared" si="7"/>
        <v/>
      </c>
      <c r="K157" s="25" t="str">
        <f t="shared" ca="1" si="8"/>
        <v/>
      </c>
      <c r="L157" s="21" t="str">
        <f t="shared" ca="1" si="9"/>
        <v/>
      </c>
      <c r="M157" s="21" t="str">
        <f>IF(SUMIFS('Input Sheet'!$F$3:$F$1001,'Input Sheet'!$B$3:$B$1001,$H157,'Input Sheet'!$E$3:$E$1001,M$4)=0,"",SUMIFS('Input Sheet'!$F$3:$F$1001,'Input Sheet'!$B$3:$B$1001,$H157,'Input Sheet'!$E$3:$E$1001,M$4))</f>
        <v/>
      </c>
      <c r="N157" s="21" t="str">
        <f>IF(SUMIFS('Input Sheet'!$F$3:$F$1001,'Input Sheet'!$B$3:$B$1001,$H157,'Input Sheet'!$E$3:$E$1001,N$4)=0,"",SUMIFS('Input Sheet'!$F$3:$F$1001,'Input Sheet'!$B$3:$B$1001,$H157,'Input Sheet'!$E$3:$E$1001,N$4))</f>
        <v/>
      </c>
      <c r="O157" s="21" t="str">
        <f>IF(SUMIFS('Input Sheet'!$F$3:$F$1001,'Input Sheet'!$B$3:$B$1001,$H157,'Input Sheet'!$E$3:$E$1001,O$4)=0,"",SUMIFS('Input Sheet'!$F$3:$F$1001,'Input Sheet'!$B$3:$B$1001,$H157,'Input Sheet'!$E$3:$E$1001,O$4))</f>
        <v/>
      </c>
      <c r="P157" s="21" t="str">
        <f>IF(SUMIFS('Input Sheet'!$F$3:$F$1001,'Input Sheet'!$B$3:$B$1001,$H157,'Input Sheet'!$E$3:$E$1001,P$4)=0,"",SUMIFS('Input Sheet'!$F$3:$F$1001,'Input Sheet'!$B$3:$B$1001,$H157,'Input Sheet'!$E$3:$E$1001,P$4))</f>
        <v/>
      </c>
      <c r="Q157" s="21" t="str">
        <f>IF(SUMIFS('Input Sheet'!$F$3:$F$1001,'Input Sheet'!$B$3:$B$1001,$H157,'Input Sheet'!$E$3:$E$1001,Q$4)=0,"",SUMIFS('Input Sheet'!$F$3:$F$1001,'Input Sheet'!$B$3:$B$1001,$H157,'Input Sheet'!$E$3:$E$1001,Q$4))</f>
        <v/>
      </c>
      <c r="R157" s="21" t="str">
        <f>IF(SUMIFS('Input Sheet'!$F$3:$F$1001,'Input Sheet'!$B$3:$B$1001,$H157,'Input Sheet'!$E$3:$E$1001,R$4)=0,"",SUMIFS('Input Sheet'!$F$3:$F$1001,'Input Sheet'!$B$3:$B$1001,$H157,'Input Sheet'!$E$3:$E$1001,R$4))</f>
        <v/>
      </c>
      <c r="S157" s="21" t="str">
        <f>IF(SUMIFS('Input Sheet'!$F$3:$F$1001,'Input Sheet'!$B$3:$B$1001,$H157,'Input Sheet'!$E$3:$E$1001,S$4)=0,"",SUMIFS('Input Sheet'!$F$3:$F$1001,'Input Sheet'!$B$3:$B$1001,$H157,'Input Sheet'!$E$3:$E$1001,S$4))</f>
        <v/>
      </c>
      <c r="T157" s="22">
        <v>152</v>
      </c>
    </row>
    <row r="158" spans="1:20" ht="14.25" customHeight="1" x14ac:dyDescent="0.3">
      <c r="A158" s="4" t="str">
        <f>IF('Input Sheet'!B155=0,"",'Input Sheet'!B155)</f>
        <v/>
      </c>
      <c r="B158" s="24" t="b">
        <f t="shared" si="2"/>
        <v>0</v>
      </c>
      <c r="C158" s="4">
        <f>SUMIF('Input Sheet'!B$3:B$1000,A158,'Input Sheet'!C$3:C$1000)</f>
        <v>0</v>
      </c>
      <c r="D158" s="4">
        <f>SUMIF('Input Sheet'!B$3:B$1000,A158,'Input Sheet'!D$3:D$1000)</f>
        <v>0</v>
      </c>
      <c r="E158" s="4" t="str">
        <f t="shared" ref="E158:F158" ca="1" si="161">IFERROR(RANK(K158,K$6:K$1004,1),"")</f>
        <v/>
      </c>
      <c r="F158" s="4" t="str">
        <f t="shared" ca="1" si="161"/>
        <v/>
      </c>
      <c r="G158" s="4" t="str">
        <f t="shared" ca="1" si="4"/>
        <v/>
      </c>
      <c r="H158" s="4" t="str">
        <f t="shared" si="5"/>
        <v/>
      </c>
      <c r="I158" s="4" t="str">
        <f t="shared" si="6"/>
        <v/>
      </c>
      <c r="J158" s="4" t="str">
        <f t="shared" si="7"/>
        <v/>
      </c>
      <c r="K158" s="25" t="str">
        <f t="shared" ca="1" si="8"/>
        <v/>
      </c>
      <c r="L158" s="21" t="str">
        <f t="shared" ca="1" si="9"/>
        <v/>
      </c>
      <c r="M158" s="21" t="str">
        <f>IF(SUMIFS('Input Sheet'!$F$3:$F$1001,'Input Sheet'!$B$3:$B$1001,$H158,'Input Sheet'!$E$3:$E$1001,M$4)=0,"",SUMIFS('Input Sheet'!$F$3:$F$1001,'Input Sheet'!$B$3:$B$1001,$H158,'Input Sheet'!$E$3:$E$1001,M$4))</f>
        <v/>
      </c>
      <c r="N158" s="21" t="str">
        <f>IF(SUMIFS('Input Sheet'!$F$3:$F$1001,'Input Sheet'!$B$3:$B$1001,$H158,'Input Sheet'!$E$3:$E$1001,N$4)=0,"",SUMIFS('Input Sheet'!$F$3:$F$1001,'Input Sheet'!$B$3:$B$1001,$H158,'Input Sheet'!$E$3:$E$1001,N$4))</f>
        <v/>
      </c>
      <c r="O158" s="21" t="str">
        <f>IF(SUMIFS('Input Sheet'!$F$3:$F$1001,'Input Sheet'!$B$3:$B$1001,$H158,'Input Sheet'!$E$3:$E$1001,O$4)=0,"",SUMIFS('Input Sheet'!$F$3:$F$1001,'Input Sheet'!$B$3:$B$1001,$H158,'Input Sheet'!$E$3:$E$1001,O$4))</f>
        <v/>
      </c>
      <c r="P158" s="21" t="str">
        <f>IF(SUMIFS('Input Sheet'!$F$3:$F$1001,'Input Sheet'!$B$3:$B$1001,$H158,'Input Sheet'!$E$3:$E$1001,P$4)=0,"",SUMIFS('Input Sheet'!$F$3:$F$1001,'Input Sheet'!$B$3:$B$1001,$H158,'Input Sheet'!$E$3:$E$1001,P$4))</f>
        <v/>
      </c>
      <c r="Q158" s="21" t="str">
        <f>IF(SUMIFS('Input Sheet'!$F$3:$F$1001,'Input Sheet'!$B$3:$B$1001,$H158,'Input Sheet'!$E$3:$E$1001,Q$4)=0,"",SUMIFS('Input Sheet'!$F$3:$F$1001,'Input Sheet'!$B$3:$B$1001,$H158,'Input Sheet'!$E$3:$E$1001,Q$4))</f>
        <v/>
      </c>
      <c r="R158" s="21" t="str">
        <f>IF(SUMIFS('Input Sheet'!$F$3:$F$1001,'Input Sheet'!$B$3:$B$1001,$H158,'Input Sheet'!$E$3:$E$1001,R$4)=0,"",SUMIFS('Input Sheet'!$F$3:$F$1001,'Input Sheet'!$B$3:$B$1001,$H158,'Input Sheet'!$E$3:$E$1001,R$4))</f>
        <v/>
      </c>
      <c r="S158" s="21" t="str">
        <f>IF(SUMIFS('Input Sheet'!$F$3:$F$1001,'Input Sheet'!$B$3:$B$1001,$H158,'Input Sheet'!$E$3:$E$1001,S$4)=0,"",SUMIFS('Input Sheet'!$F$3:$F$1001,'Input Sheet'!$B$3:$B$1001,$H158,'Input Sheet'!$E$3:$E$1001,S$4))</f>
        <v/>
      </c>
      <c r="T158" s="22">
        <v>153</v>
      </c>
    </row>
    <row r="159" spans="1:20" ht="14.25" customHeight="1" x14ac:dyDescent="0.3">
      <c r="A159" s="4" t="str">
        <f>IF('Input Sheet'!B156=0,"",'Input Sheet'!B156)</f>
        <v/>
      </c>
      <c r="B159" s="24" t="b">
        <f t="shared" si="2"/>
        <v>0</v>
      </c>
      <c r="C159" s="4">
        <f>SUMIF('Input Sheet'!B$3:B$1000,A159,'Input Sheet'!C$3:C$1000)</f>
        <v>0</v>
      </c>
      <c r="D159" s="4">
        <f>SUMIF('Input Sheet'!B$3:B$1000,A159,'Input Sheet'!D$3:D$1000)</f>
        <v>0</v>
      </c>
      <c r="E159" s="4" t="str">
        <f t="shared" ref="E159:F159" ca="1" si="162">IFERROR(RANK(K159,K$6:K$1004,1),"")</f>
        <v/>
      </c>
      <c r="F159" s="4" t="str">
        <f t="shared" ca="1" si="162"/>
        <v/>
      </c>
      <c r="G159" s="4" t="str">
        <f t="shared" ca="1" si="4"/>
        <v/>
      </c>
      <c r="H159" s="4" t="str">
        <f t="shared" si="5"/>
        <v/>
      </c>
      <c r="I159" s="4" t="str">
        <f t="shared" si="6"/>
        <v/>
      </c>
      <c r="J159" s="4" t="str">
        <f t="shared" si="7"/>
        <v/>
      </c>
      <c r="K159" s="25" t="str">
        <f t="shared" ca="1" si="8"/>
        <v/>
      </c>
      <c r="L159" s="21" t="str">
        <f t="shared" ca="1" si="9"/>
        <v/>
      </c>
      <c r="M159" s="21" t="str">
        <f>IF(SUMIFS('Input Sheet'!$F$3:$F$1001,'Input Sheet'!$B$3:$B$1001,$H159,'Input Sheet'!$E$3:$E$1001,M$4)=0,"",SUMIFS('Input Sheet'!$F$3:$F$1001,'Input Sheet'!$B$3:$B$1001,$H159,'Input Sheet'!$E$3:$E$1001,M$4))</f>
        <v/>
      </c>
      <c r="N159" s="21" t="str">
        <f>IF(SUMIFS('Input Sheet'!$F$3:$F$1001,'Input Sheet'!$B$3:$B$1001,$H159,'Input Sheet'!$E$3:$E$1001,N$4)=0,"",SUMIFS('Input Sheet'!$F$3:$F$1001,'Input Sheet'!$B$3:$B$1001,$H159,'Input Sheet'!$E$3:$E$1001,N$4))</f>
        <v/>
      </c>
      <c r="O159" s="21" t="str">
        <f>IF(SUMIFS('Input Sheet'!$F$3:$F$1001,'Input Sheet'!$B$3:$B$1001,$H159,'Input Sheet'!$E$3:$E$1001,O$4)=0,"",SUMIFS('Input Sheet'!$F$3:$F$1001,'Input Sheet'!$B$3:$B$1001,$H159,'Input Sheet'!$E$3:$E$1001,O$4))</f>
        <v/>
      </c>
      <c r="P159" s="21" t="str">
        <f>IF(SUMIFS('Input Sheet'!$F$3:$F$1001,'Input Sheet'!$B$3:$B$1001,$H159,'Input Sheet'!$E$3:$E$1001,P$4)=0,"",SUMIFS('Input Sheet'!$F$3:$F$1001,'Input Sheet'!$B$3:$B$1001,$H159,'Input Sheet'!$E$3:$E$1001,P$4))</f>
        <v/>
      </c>
      <c r="Q159" s="21" t="str">
        <f>IF(SUMIFS('Input Sheet'!$F$3:$F$1001,'Input Sheet'!$B$3:$B$1001,$H159,'Input Sheet'!$E$3:$E$1001,Q$4)=0,"",SUMIFS('Input Sheet'!$F$3:$F$1001,'Input Sheet'!$B$3:$B$1001,$H159,'Input Sheet'!$E$3:$E$1001,Q$4))</f>
        <v/>
      </c>
      <c r="R159" s="21" t="str">
        <f>IF(SUMIFS('Input Sheet'!$F$3:$F$1001,'Input Sheet'!$B$3:$B$1001,$H159,'Input Sheet'!$E$3:$E$1001,R$4)=0,"",SUMIFS('Input Sheet'!$F$3:$F$1001,'Input Sheet'!$B$3:$B$1001,$H159,'Input Sheet'!$E$3:$E$1001,R$4))</f>
        <v/>
      </c>
      <c r="S159" s="21" t="str">
        <f>IF(SUMIFS('Input Sheet'!$F$3:$F$1001,'Input Sheet'!$B$3:$B$1001,$H159,'Input Sheet'!$E$3:$E$1001,S$4)=0,"",SUMIFS('Input Sheet'!$F$3:$F$1001,'Input Sheet'!$B$3:$B$1001,$H159,'Input Sheet'!$E$3:$E$1001,S$4))</f>
        <v/>
      </c>
      <c r="T159" s="22">
        <v>154</v>
      </c>
    </row>
    <row r="160" spans="1:20" ht="14.25" customHeight="1" x14ac:dyDescent="0.3">
      <c r="A160" s="4" t="str">
        <f>IF('Input Sheet'!B157=0,"",'Input Sheet'!B157)</f>
        <v/>
      </c>
      <c r="B160" s="24" t="b">
        <f t="shared" si="2"/>
        <v>0</v>
      </c>
      <c r="C160" s="4">
        <f>SUMIF('Input Sheet'!B$3:B$1000,A160,'Input Sheet'!C$3:C$1000)</f>
        <v>0</v>
      </c>
      <c r="D160" s="4">
        <f>SUMIF('Input Sheet'!B$3:B$1000,A160,'Input Sheet'!D$3:D$1000)</f>
        <v>0</v>
      </c>
      <c r="E160" s="4" t="str">
        <f t="shared" ref="E160:F160" ca="1" si="163">IFERROR(RANK(K160,K$6:K$1004,1),"")</f>
        <v/>
      </c>
      <c r="F160" s="4" t="str">
        <f t="shared" ca="1" si="163"/>
        <v/>
      </c>
      <c r="G160" s="4" t="str">
        <f t="shared" ca="1" si="4"/>
        <v/>
      </c>
      <c r="H160" s="4" t="str">
        <f t="shared" si="5"/>
        <v/>
      </c>
      <c r="I160" s="4" t="str">
        <f t="shared" si="6"/>
        <v/>
      </c>
      <c r="J160" s="4" t="str">
        <f t="shared" si="7"/>
        <v/>
      </c>
      <c r="K160" s="25" t="str">
        <f t="shared" ca="1" si="8"/>
        <v/>
      </c>
      <c r="L160" s="21" t="str">
        <f t="shared" ca="1" si="9"/>
        <v/>
      </c>
      <c r="M160" s="21" t="str">
        <f>IF(SUMIFS('Input Sheet'!$F$3:$F$1001,'Input Sheet'!$B$3:$B$1001,$H160,'Input Sheet'!$E$3:$E$1001,M$4)=0,"",SUMIFS('Input Sheet'!$F$3:$F$1001,'Input Sheet'!$B$3:$B$1001,$H160,'Input Sheet'!$E$3:$E$1001,M$4))</f>
        <v/>
      </c>
      <c r="N160" s="21" t="str">
        <f>IF(SUMIFS('Input Sheet'!$F$3:$F$1001,'Input Sheet'!$B$3:$B$1001,$H160,'Input Sheet'!$E$3:$E$1001,N$4)=0,"",SUMIFS('Input Sheet'!$F$3:$F$1001,'Input Sheet'!$B$3:$B$1001,$H160,'Input Sheet'!$E$3:$E$1001,N$4))</f>
        <v/>
      </c>
      <c r="O160" s="21" t="str">
        <f>IF(SUMIFS('Input Sheet'!$F$3:$F$1001,'Input Sheet'!$B$3:$B$1001,$H160,'Input Sheet'!$E$3:$E$1001,O$4)=0,"",SUMIFS('Input Sheet'!$F$3:$F$1001,'Input Sheet'!$B$3:$B$1001,$H160,'Input Sheet'!$E$3:$E$1001,O$4))</f>
        <v/>
      </c>
      <c r="P160" s="21" t="str">
        <f>IF(SUMIFS('Input Sheet'!$F$3:$F$1001,'Input Sheet'!$B$3:$B$1001,$H160,'Input Sheet'!$E$3:$E$1001,P$4)=0,"",SUMIFS('Input Sheet'!$F$3:$F$1001,'Input Sheet'!$B$3:$B$1001,$H160,'Input Sheet'!$E$3:$E$1001,P$4))</f>
        <v/>
      </c>
      <c r="Q160" s="21" t="str">
        <f>IF(SUMIFS('Input Sheet'!$F$3:$F$1001,'Input Sheet'!$B$3:$B$1001,$H160,'Input Sheet'!$E$3:$E$1001,Q$4)=0,"",SUMIFS('Input Sheet'!$F$3:$F$1001,'Input Sheet'!$B$3:$B$1001,$H160,'Input Sheet'!$E$3:$E$1001,Q$4))</f>
        <v/>
      </c>
      <c r="R160" s="21" t="str">
        <f>IF(SUMIFS('Input Sheet'!$F$3:$F$1001,'Input Sheet'!$B$3:$B$1001,$H160,'Input Sheet'!$E$3:$E$1001,R$4)=0,"",SUMIFS('Input Sheet'!$F$3:$F$1001,'Input Sheet'!$B$3:$B$1001,$H160,'Input Sheet'!$E$3:$E$1001,R$4))</f>
        <v/>
      </c>
      <c r="S160" s="21" t="str">
        <f>IF(SUMIFS('Input Sheet'!$F$3:$F$1001,'Input Sheet'!$B$3:$B$1001,$H160,'Input Sheet'!$E$3:$E$1001,S$4)=0,"",SUMIFS('Input Sheet'!$F$3:$F$1001,'Input Sheet'!$B$3:$B$1001,$H160,'Input Sheet'!$E$3:$E$1001,S$4))</f>
        <v/>
      </c>
      <c r="T160" s="22">
        <v>155</v>
      </c>
    </row>
    <row r="161" spans="1:20" ht="14.25" customHeight="1" x14ac:dyDescent="0.3">
      <c r="A161" s="4" t="str">
        <f>IF('Input Sheet'!B158=0,"",'Input Sheet'!B158)</f>
        <v/>
      </c>
      <c r="B161" s="24" t="b">
        <f t="shared" si="2"/>
        <v>0</v>
      </c>
      <c r="C161" s="4">
        <f>SUMIF('Input Sheet'!B$3:B$1000,A161,'Input Sheet'!C$3:C$1000)</f>
        <v>0</v>
      </c>
      <c r="D161" s="4">
        <f>SUMIF('Input Sheet'!B$3:B$1000,A161,'Input Sheet'!D$3:D$1000)</f>
        <v>0</v>
      </c>
      <c r="E161" s="4" t="str">
        <f t="shared" ref="E161:F161" ca="1" si="164">IFERROR(RANK(K161,K$6:K$1004,1),"")</f>
        <v/>
      </c>
      <c r="F161" s="4" t="str">
        <f t="shared" ca="1" si="164"/>
        <v/>
      </c>
      <c r="G161" s="4" t="str">
        <f t="shared" ca="1" si="4"/>
        <v/>
      </c>
      <c r="H161" s="4" t="str">
        <f t="shared" si="5"/>
        <v/>
      </c>
      <c r="I161" s="4" t="str">
        <f t="shared" si="6"/>
        <v/>
      </c>
      <c r="J161" s="4" t="str">
        <f t="shared" si="7"/>
        <v/>
      </c>
      <c r="K161" s="25" t="str">
        <f t="shared" ca="1" si="8"/>
        <v/>
      </c>
      <c r="L161" s="21" t="str">
        <f t="shared" ca="1" si="9"/>
        <v/>
      </c>
      <c r="M161" s="21" t="str">
        <f>IF(SUMIFS('Input Sheet'!$F$3:$F$1001,'Input Sheet'!$B$3:$B$1001,$H161,'Input Sheet'!$E$3:$E$1001,M$4)=0,"",SUMIFS('Input Sheet'!$F$3:$F$1001,'Input Sheet'!$B$3:$B$1001,$H161,'Input Sheet'!$E$3:$E$1001,M$4))</f>
        <v/>
      </c>
      <c r="N161" s="21" t="str">
        <f>IF(SUMIFS('Input Sheet'!$F$3:$F$1001,'Input Sheet'!$B$3:$B$1001,$H161,'Input Sheet'!$E$3:$E$1001,N$4)=0,"",SUMIFS('Input Sheet'!$F$3:$F$1001,'Input Sheet'!$B$3:$B$1001,$H161,'Input Sheet'!$E$3:$E$1001,N$4))</f>
        <v/>
      </c>
      <c r="O161" s="21" t="str">
        <f>IF(SUMIFS('Input Sheet'!$F$3:$F$1001,'Input Sheet'!$B$3:$B$1001,$H161,'Input Sheet'!$E$3:$E$1001,O$4)=0,"",SUMIFS('Input Sheet'!$F$3:$F$1001,'Input Sheet'!$B$3:$B$1001,$H161,'Input Sheet'!$E$3:$E$1001,O$4))</f>
        <v/>
      </c>
      <c r="P161" s="21" t="str">
        <f>IF(SUMIFS('Input Sheet'!$F$3:$F$1001,'Input Sheet'!$B$3:$B$1001,$H161,'Input Sheet'!$E$3:$E$1001,P$4)=0,"",SUMIFS('Input Sheet'!$F$3:$F$1001,'Input Sheet'!$B$3:$B$1001,$H161,'Input Sheet'!$E$3:$E$1001,P$4))</f>
        <v/>
      </c>
      <c r="Q161" s="21" t="str">
        <f>IF(SUMIFS('Input Sheet'!$F$3:$F$1001,'Input Sheet'!$B$3:$B$1001,$H161,'Input Sheet'!$E$3:$E$1001,Q$4)=0,"",SUMIFS('Input Sheet'!$F$3:$F$1001,'Input Sheet'!$B$3:$B$1001,$H161,'Input Sheet'!$E$3:$E$1001,Q$4))</f>
        <v/>
      </c>
      <c r="R161" s="21" t="str">
        <f>IF(SUMIFS('Input Sheet'!$F$3:$F$1001,'Input Sheet'!$B$3:$B$1001,$H161,'Input Sheet'!$E$3:$E$1001,R$4)=0,"",SUMIFS('Input Sheet'!$F$3:$F$1001,'Input Sheet'!$B$3:$B$1001,$H161,'Input Sheet'!$E$3:$E$1001,R$4))</f>
        <v/>
      </c>
      <c r="S161" s="21" t="str">
        <f>IF(SUMIFS('Input Sheet'!$F$3:$F$1001,'Input Sheet'!$B$3:$B$1001,$H161,'Input Sheet'!$E$3:$E$1001,S$4)=0,"",SUMIFS('Input Sheet'!$F$3:$F$1001,'Input Sheet'!$B$3:$B$1001,$H161,'Input Sheet'!$E$3:$E$1001,S$4))</f>
        <v/>
      </c>
      <c r="T161" s="22">
        <v>156</v>
      </c>
    </row>
    <row r="162" spans="1:20" ht="14.25" customHeight="1" x14ac:dyDescent="0.3">
      <c r="A162" s="4" t="str">
        <f>IF('Input Sheet'!B159=0,"",'Input Sheet'!B159)</f>
        <v/>
      </c>
      <c r="B162" s="24" t="b">
        <f t="shared" si="2"/>
        <v>0</v>
      </c>
      <c r="C162" s="4">
        <f>SUMIF('Input Sheet'!B$3:B$1000,A162,'Input Sheet'!C$3:C$1000)</f>
        <v>0</v>
      </c>
      <c r="D162" s="4">
        <f>SUMIF('Input Sheet'!B$3:B$1000,A162,'Input Sheet'!D$3:D$1000)</f>
        <v>0</v>
      </c>
      <c r="E162" s="4" t="str">
        <f t="shared" ref="E162:F162" ca="1" si="165">IFERROR(RANK(K162,K$6:K$1004,1),"")</f>
        <v/>
      </c>
      <c r="F162" s="4" t="str">
        <f t="shared" ca="1" si="165"/>
        <v/>
      </c>
      <c r="G162" s="4" t="str">
        <f t="shared" ca="1" si="4"/>
        <v/>
      </c>
      <c r="H162" s="4" t="str">
        <f t="shared" si="5"/>
        <v/>
      </c>
      <c r="I162" s="4" t="str">
        <f t="shared" si="6"/>
        <v/>
      </c>
      <c r="J162" s="4" t="str">
        <f t="shared" si="7"/>
        <v/>
      </c>
      <c r="K162" s="25" t="str">
        <f t="shared" ca="1" si="8"/>
        <v/>
      </c>
      <c r="L162" s="21" t="str">
        <f t="shared" ca="1" si="9"/>
        <v/>
      </c>
      <c r="M162" s="21" t="str">
        <f>IF(SUMIFS('Input Sheet'!$F$3:$F$1001,'Input Sheet'!$B$3:$B$1001,$H162,'Input Sheet'!$E$3:$E$1001,M$4)=0,"",SUMIFS('Input Sheet'!$F$3:$F$1001,'Input Sheet'!$B$3:$B$1001,$H162,'Input Sheet'!$E$3:$E$1001,M$4))</f>
        <v/>
      </c>
      <c r="N162" s="21" t="str">
        <f>IF(SUMIFS('Input Sheet'!$F$3:$F$1001,'Input Sheet'!$B$3:$B$1001,$H162,'Input Sheet'!$E$3:$E$1001,N$4)=0,"",SUMIFS('Input Sheet'!$F$3:$F$1001,'Input Sheet'!$B$3:$B$1001,$H162,'Input Sheet'!$E$3:$E$1001,N$4))</f>
        <v/>
      </c>
      <c r="O162" s="21" t="str">
        <f>IF(SUMIFS('Input Sheet'!$F$3:$F$1001,'Input Sheet'!$B$3:$B$1001,$H162,'Input Sheet'!$E$3:$E$1001,O$4)=0,"",SUMIFS('Input Sheet'!$F$3:$F$1001,'Input Sheet'!$B$3:$B$1001,$H162,'Input Sheet'!$E$3:$E$1001,O$4))</f>
        <v/>
      </c>
      <c r="P162" s="21" t="str">
        <f>IF(SUMIFS('Input Sheet'!$F$3:$F$1001,'Input Sheet'!$B$3:$B$1001,$H162,'Input Sheet'!$E$3:$E$1001,P$4)=0,"",SUMIFS('Input Sheet'!$F$3:$F$1001,'Input Sheet'!$B$3:$B$1001,$H162,'Input Sheet'!$E$3:$E$1001,P$4))</f>
        <v/>
      </c>
      <c r="Q162" s="21" t="str">
        <f>IF(SUMIFS('Input Sheet'!$F$3:$F$1001,'Input Sheet'!$B$3:$B$1001,$H162,'Input Sheet'!$E$3:$E$1001,Q$4)=0,"",SUMIFS('Input Sheet'!$F$3:$F$1001,'Input Sheet'!$B$3:$B$1001,$H162,'Input Sheet'!$E$3:$E$1001,Q$4))</f>
        <v/>
      </c>
      <c r="R162" s="21" t="str">
        <f>IF(SUMIFS('Input Sheet'!$F$3:$F$1001,'Input Sheet'!$B$3:$B$1001,$H162,'Input Sheet'!$E$3:$E$1001,R$4)=0,"",SUMIFS('Input Sheet'!$F$3:$F$1001,'Input Sheet'!$B$3:$B$1001,$H162,'Input Sheet'!$E$3:$E$1001,R$4))</f>
        <v/>
      </c>
      <c r="S162" s="21" t="str">
        <f>IF(SUMIFS('Input Sheet'!$F$3:$F$1001,'Input Sheet'!$B$3:$B$1001,$H162,'Input Sheet'!$E$3:$E$1001,S$4)=0,"",SUMIFS('Input Sheet'!$F$3:$F$1001,'Input Sheet'!$B$3:$B$1001,$H162,'Input Sheet'!$E$3:$E$1001,S$4))</f>
        <v/>
      </c>
      <c r="T162" s="22">
        <v>157</v>
      </c>
    </row>
    <row r="163" spans="1:20" ht="14.25" customHeight="1" x14ac:dyDescent="0.3">
      <c r="A163" s="4" t="str">
        <f>IF('Input Sheet'!B160=0,"",'Input Sheet'!B160)</f>
        <v/>
      </c>
      <c r="B163" s="24" t="b">
        <f t="shared" si="2"/>
        <v>0</v>
      </c>
      <c r="C163" s="4">
        <f>SUMIF('Input Sheet'!B$3:B$1000,A163,'Input Sheet'!C$3:C$1000)</f>
        <v>0</v>
      </c>
      <c r="D163" s="4">
        <f>SUMIF('Input Sheet'!B$3:B$1000,A163,'Input Sheet'!D$3:D$1000)</f>
        <v>0</v>
      </c>
      <c r="E163" s="4" t="str">
        <f t="shared" ref="E163:F163" ca="1" si="166">IFERROR(RANK(K163,K$6:K$1004,1),"")</f>
        <v/>
      </c>
      <c r="F163" s="4" t="str">
        <f t="shared" ca="1" si="166"/>
        <v/>
      </c>
      <c r="G163" s="4" t="str">
        <f t="shared" ca="1" si="4"/>
        <v/>
      </c>
      <c r="H163" s="4" t="str">
        <f t="shared" si="5"/>
        <v/>
      </c>
      <c r="I163" s="4" t="str">
        <f t="shared" si="6"/>
        <v/>
      </c>
      <c r="J163" s="4" t="str">
        <f t="shared" si="7"/>
        <v/>
      </c>
      <c r="K163" s="25" t="str">
        <f t="shared" ca="1" si="8"/>
        <v/>
      </c>
      <c r="L163" s="21" t="str">
        <f t="shared" ca="1" si="9"/>
        <v/>
      </c>
      <c r="M163" s="21" t="str">
        <f>IF(SUMIFS('Input Sheet'!$F$3:$F$1001,'Input Sheet'!$B$3:$B$1001,$H163,'Input Sheet'!$E$3:$E$1001,M$4)=0,"",SUMIFS('Input Sheet'!$F$3:$F$1001,'Input Sheet'!$B$3:$B$1001,$H163,'Input Sheet'!$E$3:$E$1001,M$4))</f>
        <v/>
      </c>
      <c r="N163" s="21" t="str">
        <f>IF(SUMIFS('Input Sheet'!$F$3:$F$1001,'Input Sheet'!$B$3:$B$1001,$H163,'Input Sheet'!$E$3:$E$1001,N$4)=0,"",SUMIFS('Input Sheet'!$F$3:$F$1001,'Input Sheet'!$B$3:$B$1001,$H163,'Input Sheet'!$E$3:$E$1001,N$4))</f>
        <v/>
      </c>
      <c r="O163" s="21" t="str">
        <f>IF(SUMIFS('Input Sheet'!$F$3:$F$1001,'Input Sheet'!$B$3:$B$1001,$H163,'Input Sheet'!$E$3:$E$1001,O$4)=0,"",SUMIFS('Input Sheet'!$F$3:$F$1001,'Input Sheet'!$B$3:$B$1001,$H163,'Input Sheet'!$E$3:$E$1001,O$4))</f>
        <v/>
      </c>
      <c r="P163" s="21" t="str">
        <f>IF(SUMIFS('Input Sheet'!$F$3:$F$1001,'Input Sheet'!$B$3:$B$1001,$H163,'Input Sheet'!$E$3:$E$1001,P$4)=0,"",SUMIFS('Input Sheet'!$F$3:$F$1001,'Input Sheet'!$B$3:$B$1001,$H163,'Input Sheet'!$E$3:$E$1001,P$4))</f>
        <v/>
      </c>
      <c r="Q163" s="21" t="str">
        <f>IF(SUMIFS('Input Sheet'!$F$3:$F$1001,'Input Sheet'!$B$3:$B$1001,$H163,'Input Sheet'!$E$3:$E$1001,Q$4)=0,"",SUMIFS('Input Sheet'!$F$3:$F$1001,'Input Sheet'!$B$3:$B$1001,$H163,'Input Sheet'!$E$3:$E$1001,Q$4))</f>
        <v/>
      </c>
      <c r="R163" s="21" t="str">
        <f>IF(SUMIFS('Input Sheet'!$F$3:$F$1001,'Input Sheet'!$B$3:$B$1001,$H163,'Input Sheet'!$E$3:$E$1001,R$4)=0,"",SUMIFS('Input Sheet'!$F$3:$F$1001,'Input Sheet'!$B$3:$B$1001,$H163,'Input Sheet'!$E$3:$E$1001,R$4))</f>
        <v/>
      </c>
      <c r="S163" s="21" t="str">
        <f>IF(SUMIFS('Input Sheet'!$F$3:$F$1001,'Input Sheet'!$B$3:$B$1001,$H163,'Input Sheet'!$E$3:$E$1001,S$4)=0,"",SUMIFS('Input Sheet'!$F$3:$F$1001,'Input Sheet'!$B$3:$B$1001,$H163,'Input Sheet'!$E$3:$E$1001,S$4))</f>
        <v/>
      </c>
      <c r="T163" s="22">
        <v>158</v>
      </c>
    </row>
    <row r="164" spans="1:20" ht="14.25" customHeight="1" x14ac:dyDescent="0.3">
      <c r="A164" s="4" t="str">
        <f>IF('Input Sheet'!B161=0,"",'Input Sheet'!B161)</f>
        <v/>
      </c>
      <c r="B164" s="24" t="b">
        <f t="shared" si="2"/>
        <v>0</v>
      </c>
      <c r="C164" s="4">
        <f>SUMIF('Input Sheet'!B$3:B$1000,A164,'Input Sheet'!C$3:C$1000)</f>
        <v>0</v>
      </c>
      <c r="D164" s="4">
        <f>SUMIF('Input Sheet'!B$3:B$1000,A164,'Input Sheet'!D$3:D$1000)</f>
        <v>0</v>
      </c>
      <c r="E164" s="4" t="str">
        <f t="shared" ref="E164:F164" ca="1" si="167">IFERROR(RANK(K164,K$6:K$1004,1),"")</f>
        <v/>
      </c>
      <c r="F164" s="4" t="str">
        <f t="shared" ca="1" si="167"/>
        <v/>
      </c>
      <c r="G164" s="4" t="str">
        <f t="shared" ca="1" si="4"/>
        <v/>
      </c>
      <c r="H164" s="4" t="str">
        <f t="shared" si="5"/>
        <v/>
      </c>
      <c r="I164" s="4" t="str">
        <f t="shared" si="6"/>
        <v/>
      </c>
      <c r="J164" s="4" t="str">
        <f t="shared" si="7"/>
        <v/>
      </c>
      <c r="K164" s="25" t="str">
        <f t="shared" ca="1" si="8"/>
        <v/>
      </c>
      <c r="L164" s="21" t="str">
        <f t="shared" ca="1" si="9"/>
        <v/>
      </c>
      <c r="M164" s="21" t="str">
        <f>IF(SUMIFS('Input Sheet'!$F$3:$F$1001,'Input Sheet'!$B$3:$B$1001,$H164,'Input Sheet'!$E$3:$E$1001,M$4)=0,"",SUMIFS('Input Sheet'!$F$3:$F$1001,'Input Sheet'!$B$3:$B$1001,$H164,'Input Sheet'!$E$3:$E$1001,M$4))</f>
        <v/>
      </c>
      <c r="N164" s="21" t="str">
        <f>IF(SUMIFS('Input Sheet'!$F$3:$F$1001,'Input Sheet'!$B$3:$B$1001,$H164,'Input Sheet'!$E$3:$E$1001,N$4)=0,"",SUMIFS('Input Sheet'!$F$3:$F$1001,'Input Sheet'!$B$3:$B$1001,$H164,'Input Sheet'!$E$3:$E$1001,N$4))</f>
        <v/>
      </c>
      <c r="O164" s="21" t="str">
        <f>IF(SUMIFS('Input Sheet'!$F$3:$F$1001,'Input Sheet'!$B$3:$B$1001,$H164,'Input Sheet'!$E$3:$E$1001,O$4)=0,"",SUMIFS('Input Sheet'!$F$3:$F$1001,'Input Sheet'!$B$3:$B$1001,$H164,'Input Sheet'!$E$3:$E$1001,O$4))</f>
        <v/>
      </c>
      <c r="P164" s="21" t="str">
        <f>IF(SUMIFS('Input Sheet'!$F$3:$F$1001,'Input Sheet'!$B$3:$B$1001,$H164,'Input Sheet'!$E$3:$E$1001,P$4)=0,"",SUMIFS('Input Sheet'!$F$3:$F$1001,'Input Sheet'!$B$3:$B$1001,$H164,'Input Sheet'!$E$3:$E$1001,P$4))</f>
        <v/>
      </c>
      <c r="Q164" s="21" t="str">
        <f>IF(SUMIFS('Input Sheet'!$F$3:$F$1001,'Input Sheet'!$B$3:$B$1001,$H164,'Input Sheet'!$E$3:$E$1001,Q$4)=0,"",SUMIFS('Input Sheet'!$F$3:$F$1001,'Input Sheet'!$B$3:$B$1001,$H164,'Input Sheet'!$E$3:$E$1001,Q$4))</f>
        <v/>
      </c>
      <c r="R164" s="21" t="str">
        <f>IF(SUMIFS('Input Sheet'!$F$3:$F$1001,'Input Sheet'!$B$3:$B$1001,$H164,'Input Sheet'!$E$3:$E$1001,R$4)=0,"",SUMIFS('Input Sheet'!$F$3:$F$1001,'Input Sheet'!$B$3:$B$1001,$H164,'Input Sheet'!$E$3:$E$1001,R$4))</f>
        <v/>
      </c>
      <c r="S164" s="21" t="str">
        <f>IF(SUMIFS('Input Sheet'!$F$3:$F$1001,'Input Sheet'!$B$3:$B$1001,$H164,'Input Sheet'!$E$3:$E$1001,S$4)=0,"",SUMIFS('Input Sheet'!$F$3:$F$1001,'Input Sheet'!$B$3:$B$1001,$H164,'Input Sheet'!$E$3:$E$1001,S$4))</f>
        <v/>
      </c>
      <c r="T164" s="22">
        <v>159</v>
      </c>
    </row>
    <row r="165" spans="1:20" ht="14.25" customHeight="1" x14ac:dyDescent="0.3">
      <c r="A165" s="4" t="str">
        <f>IF('Input Sheet'!B162=0,"",'Input Sheet'!B162)</f>
        <v/>
      </c>
      <c r="B165" s="24" t="b">
        <f t="shared" si="2"/>
        <v>0</v>
      </c>
      <c r="C165" s="4">
        <f>SUMIF('Input Sheet'!B$3:B$1000,A165,'Input Sheet'!C$3:C$1000)</f>
        <v>0</v>
      </c>
      <c r="D165" s="4">
        <f>SUMIF('Input Sheet'!B$3:B$1000,A165,'Input Sheet'!D$3:D$1000)</f>
        <v>0</v>
      </c>
      <c r="E165" s="4" t="str">
        <f t="shared" ref="E165:F165" ca="1" si="168">IFERROR(RANK(K165,K$6:K$1004,1),"")</f>
        <v/>
      </c>
      <c r="F165" s="4" t="str">
        <f t="shared" ca="1" si="168"/>
        <v/>
      </c>
      <c r="G165" s="4" t="str">
        <f t="shared" ca="1" si="4"/>
        <v/>
      </c>
      <c r="H165" s="4" t="str">
        <f t="shared" si="5"/>
        <v/>
      </c>
      <c r="I165" s="4" t="str">
        <f t="shared" si="6"/>
        <v/>
      </c>
      <c r="J165" s="4" t="str">
        <f t="shared" si="7"/>
        <v/>
      </c>
      <c r="K165" s="25" t="str">
        <f t="shared" ca="1" si="8"/>
        <v/>
      </c>
      <c r="L165" s="21" t="str">
        <f t="shared" ca="1" si="9"/>
        <v/>
      </c>
      <c r="M165" s="21" t="str">
        <f>IF(SUMIFS('Input Sheet'!$F$3:$F$1001,'Input Sheet'!$B$3:$B$1001,$H165,'Input Sheet'!$E$3:$E$1001,M$4)=0,"",SUMIFS('Input Sheet'!$F$3:$F$1001,'Input Sheet'!$B$3:$B$1001,$H165,'Input Sheet'!$E$3:$E$1001,M$4))</f>
        <v/>
      </c>
      <c r="N165" s="21" t="str">
        <f>IF(SUMIFS('Input Sheet'!$F$3:$F$1001,'Input Sheet'!$B$3:$B$1001,$H165,'Input Sheet'!$E$3:$E$1001,N$4)=0,"",SUMIFS('Input Sheet'!$F$3:$F$1001,'Input Sheet'!$B$3:$B$1001,$H165,'Input Sheet'!$E$3:$E$1001,N$4))</f>
        <v/>
      </c>
      <c r="O165" s="21" t="str">
        <f>IF(SUMIFS('Input Sheet'!$F$3:$F$1001,'Input Sheet'!$B$3:$B$1001,$H165,'Input Sheet'!$E$3:$E$1001,O$4)=0,"",SUMIFS('Input Sheet'!$F$3:$F$1001,'Input Sheet'!$B$3:$B$1001,$H165,'Input Sheet'!$E$3:$E$1001,O$4))</f>
        <v/>
      </c>
      <c r="P165" s="21" t="str">
        <f>IF(SUMIFS('Input Sheet'!$F$3:$F$1001,'Input Sheet'!$B$3:$B$1001,$H165,'Input Sheet'!$E$3:$E$1001,P$4)=0,"",SUMIFS('Input Sheet'!$F$3:$F$1001,'Input Sheet'!$B$3:$B$1001,$H165,'Input Sheet'!$E$3:$E$1001,P$4))</f>
        <v/>
      </c>
      <c r="Q165" s="21" t="str">
        <f>IF(SUMIFS('Input Sheet'!$F$3:$F$1001,'Input Sheet'!$B$3:$B$1001,$H165,'Input Sheet'!$E$3:$E$1001,Q$4)=0,"",SUMIFS('Input Sheet'!$F$3:$F$1001,'Input Sheet'!$B$3:$B$1001,$H165,'Input Sheet'!$E$3:$E$1001,Q$4))</f>
        <v/>
      </c>
      <c r="R165" s="21" t="str">
        <f>IF(SUMIFS('Input Sheet'!$F$3:$F$1001,'Input Sheet'!$B$3:$B$1001,$H165,'Input Sheet'!$E$3:$E$1001,R$4)=0,"",SUMIFS('Input Sheet'!$F$3:$F$1001,'Input Sheet'!$B$3:$B$1001,$H165,'Input Sheet'!$E$3:$E$1001,R$4))</f>
        <v/>
      </c>
      <c r="S165" s="21" t="str">
        <f>IF(SUMIFS('Input Sheet'!$F$3:$F$1001,'Input Sheet'!$B$3:$B$1001,$H165,'Input Sheet'!$E$3:$E$1001,S$4)=0,"",SUMIFS('Input Sheet'!$F$3:$F$1001,'Input Sheet'!$B$3:$B$1001,$H165,'Input Sheet'!$E$3:$E$1001,S$4))</f>
        <v/>
      </c>
      <c r="T165" s="22">
        <v>160</v>
      </c>
    </row>
    <row r="166" spans="1:20" ht="14.25" customHeight="1" x14ac:dyDescent="0.3">
      <c r="A166" s="4" t="str">
        <f>IF('Input Sheet'!B163=0,"",'Input Sheet'!B163)</f>
        <v/>
      </c>
      <c r="B166" s="24" t="b">
        <f t="shared" si="2"/>
        <v>0</v>
      </c>
      <c r="C166" s="4">
        <f>SUMIF('Input Sheet'!B$3:B$1000,A166,'Input Sheet'!C$3:C$1000)</f>
        <v>0</v>
      </c>
      <c r="D166" s="4">
        <f>SUMIF('Input Sheet'!B$3:B$1000,A166,'Input Sheet'!D$3:D$1000)</f>
        <v>0</v>
      </c>
      <c r="E166" s="4" t="str">
        <f t="shared" ref="E166:F166" ca="1" si="169">IFERROR(RANK(K166,K$6:K$1004,1),"")</f>
        <v/>
      </c>
      <c r="F166" s="4" t="str">
        <f t="shared" ca="1" si="169"/>
        <v/>
      </c>
      <c r="G166" s="4" t="str">
        <f t="shared" ca="1" si="4"/>
        <v/>
      </c>
      <c r="H166" s="4" t="str">
        <f t="shared" si="5"/>
        <v/>
      </c>
      <c r="I166" s="4" t="str">
        <f t="shared" si="6"/>
        <v/>
      </c>
      <c r="J166" s="4" t="str">
        <f t="shared" si="7"/>
        <v/>
      </c>
      <c r="K166" s="25" t="str">
        <f t="shared" ca="1" si="8"/>
        <v/>
      </c>
      <c r="L166" s="21" t="str">
        <f t="shared" ca="1" si="9"/>
        <v/>
      </c>
      <c r="M166" s="21" t="str">
        <f>IF(SUMIFS('Input Sheet'!$F$3:$F$1001,'Input Sheet'!$B$3:$B$1001,$H166,'Input Sheet'!$E$3:$E$1001,M$4)=0,"",SUMIFS('Input Sheet'!$F$3:$F$1001,'Input Sheet'!$B$3:$B$1001,$H166,'Input Sheet'!$E$3:$E$1001,M$4))</f>
        <v/>
      </c>
      <c r="N166" s="21" t="str">
        <f>IF(SUMIFS('Input Sheet'!$F$3:$F$1001,'Input Sheet'!$B$3:$B$1001,$H166,'Input Sheet'!$E$3:$E$1001,N$4)=0,"",SUMIFS('Input Sheet'!$F$3:$F$1001,'Input Sheet'!$B$3:$B$1001,$H166,'Input Sheet'!$E$3:$E$1001,N$4))</f>
        <v/>
      </c>
      <c r="O166" s="21" t="str">
        <f>IF(SUMIFS('Input Sheet'!$F$3:$F$1001,'Input Sheet'!$B$3:$B$1001,$H166,'Input Sheet'!$E$3:$E$1001,O$4)=0,"",SUMIFS('Input Sheet'!$F$3:$F$1001,'Input Sheet'!$B$3:$B$1001,$H166,'Input Sheet'!$E$3:$E$1001,O$4))</f>
        <v/>
      </c>
      <c r="P166" s="21" t="str">
        <f>IF(SUMIFS('Input Sheet'!$F$3:$F$1001,'Input Sheet'!$B$3:$B$1001,$H166,'Input Sheet'!$E$3:$E$1001,P$4)=0,"",SUMIFS('Input Sheet'!$F$3:$F$1001,'Input Sheet'!$B$3:$B$1001,$H166,'Input Sheet'!$E$3:$E$1001,P$4))</f>
        <v/>
      </c>
      <c r="Q166" s="21" t="str">
        <f>IF(SUMIFS('Input Sheet'!$F$3:$F$1001,'Input Sheet'!$B$3:$B$1001,$H166,'Input Sheet'!$E$3:$E$1001,Q$4)=0,"",SUMIFS('Input Sheet'!$F$3:$F$1001,'Input Sheet'!$B$3:$B$1001,$H166,'Input Sheet'!$E$3:$E$1001,Q$4))</f>
        <v/>
      </c>
      <c r="R166" s="21" t="str">
        <f>IF(SUMIFS('Input Sheet'!$F$3:$F$1001,'Input Sheet'!$B$3:$B$1001,$H166,'Input Sheet'!$E$3:$E$1001,R$4)=0,"",SUMIFS('Input Sheet'!$F$3:$F$1001,'Input Sheet'!$B$3:$B$1001,$H166,'Input Sheet'!$E$3:$E$1001,R$4))</f>
        <v/>
      </c>
      <c r="S166" s="21" t="str">
        <f>IF(SUMIFS('Input Sheet'!$F$3:$F$1001,'Input Sheet'!$B$3:$B$1001,$H166,'Input Sheet'!$E$3:$E$1001,S$4)=0,"",SUMIFS('Input Sheet'!$F$3:$F$1001,'Input Sheet'!$B$3:$B$1001,$H166,'Input Sheet'!$E$3:$E$1001,S$4))</f>
        <v/>
      </c>
      <c r="T166" s="22">
        <v>161</v>
      </c>
    </row>
    <row r="167" spans="1:20" ht="14.25" customHeight="1" x14ac:dyDescent="0.3">
      <c r="A167" s="4" t="str">
        <f>IF('Input Sheet'!B164=0,"",'Input Sheet'!B164)</f>
        <v/>
      </c>
      <c r="B167" s="24" t="b">
        <f t="shared" si="2"/>
        <v>0</v>
      </c>
      <c r="C167" s="4">
        <f>SUMIF('Input Sheet'!B$3:B$1000,A167,'Input Sheet'!C$3:C$1000)</f>
        <v>0</v>
      </c>
      <c r="D167" s="4">
        <f>SUMIF('Input Sheet'!B$3:B$1000,A167,'Input Sheet'!D$3:D$1000)</f>
        <v>0</v>
      </c>
      <c r="E167" s="4" t="str">
        <f t="shared" ref="E167:F167" ca="1" si="170">IFERROR(RANK(K167,K$6:K$1004,1),"")</f>
        <v/>
      </c>
      <c r="F167" s="4" t="str">
        <f t="shared" ca="1" si="170"/>
        <v/>
      </c>
      <c r="G167" s="4" t="str">
        <f t="shared" ca="1" si="4"/>
        <v/>
      </c>
      <c r="H167" s="4" t="str">
        <f t="shared" si="5"/>
        <v/>
      </c>
      <c r="I167" s="4" t="str">
        <f t="shared" si="6"/>
        <v/>
      </c>
      <c r="J167" s="4" t="str">
        <f t="shared" si="7"/>
        <v/>
      </c>
      <c r="K167" s="25" t="str">
        <f t="shared" ca="1" si="8"/>
        <v/>
      </c>
      <c r="L167" s="21" t="str">
        <f t="shared" ca="1" si="9"/>
        <v/>
      </c>
      <c r="M167" s="21" t="str">
        <f>IF(SUMIFS('Input Sheet'!$F$3:$F$1001,'Input Sheet'!$B$3:$B$1001,$H167,'Input Sheet'!$E$3:$E$1001,M$4)=0,"",SUMIFS('Input Sheet'!$F$3:$F$1001,'Input Sheet'!$B$3:$B$1001,$H167,'Input Sheet'!$E$3:$E$1001,M$4))</f>
        <v/>
      </c>
      <c r="N167" s="21" t="str">
        <f>IF(SUMIFS('Input Sheet'!$F$3:$F$1001,'Input Sheet'!$B$3:$B$1001,$H167,'Input Sheet'!$E$3:$E$1001,N$4)=0,"",SUMIFS('Input Sheet'!$F$3:$F$1001,'Input Sheet'!$B$3:$B$1001,$H167,'Input Sheet'!$E$3:$E$1001,N$4))</f>
        <v/>
      </c>
      <c r="O167" s="21" t="str">
        <f>IF(SUMIFS('Input Sheet'!$F$3:$F$1001,'Input Sheet'!$B$3:$B$1001,$H167,'Input Sheet'!$E$3:$E$1001,O$4)=0,"",SUMIFS('Input Sheet'!$F$3:$F$1001,'Input Sheet'!$B$3:$B$1001,$H167,'Input Sheet'!$E$3:$E$1001,O$4))</f>
        <v/>
      </c>
      <c r="P167" s="21" t="str">
        <f>IF(SUMIFS('Input Sheet'!$F$3:$F$1001,'Input Sheet'!$B$3:$B$1001,$H167,'Input Sheet'!$E$3:$E$1001,P$4)=0,"",SUMIFS('Input Sheet'!$F$3:$F$1001,'Input Sheet'!$B$3:$B$1001,$H167,'Input Sheet'!$E$3:$E$1001,P$4))</f>
        <v/>
      </c>
      <c r="Q167" s="21" t="str">
        <f>IF(SUMIFS('Input Sheet'!$F$3:$F$1001,'Input Sheet'!$B$3:$B$1001,$H167,'Input Sheet'!$E$3:$E$1001,Q$4)=0,"",SUMIFS('Input Sheet'!$F$3:$F$1001,'Input Sheet'!$B$3:$B$1001,$H167,'Input Sheet'!$E$3:$E$1001,Q$4))</f>
        <v/>
      </c>
      <c r="R167" s="21" t="str">
        <f>IF(SUMIFS('Input Sheet'!$F$3:$F$1001,'Input Sheet'!$B$3:$B$1001,$H167,'Input Sheet'!$E$3:$E$1001,R$4)=0,"",SUMIFS('Input Sheet'!$F$3:$F$1001,'Input Sheet'!$B$3:$B$1001,$H167,'Input Sheet'!$E$3:$E$1001,R$4))</f>
        <v/>
      </c>
      <c r="S167" s="21" t="str">
        <f>IF(SUMIFS('Input Sheet'!$F$3:$F$1001,'Input Sheet'!$B$3:$B$1001,$H167,'Input Sheet'!$E$3:$E$1001,S$4)=0,"",SUMIFS('Input Sheet'!$F$3:$F$1001,'Input Sheet'!$B$3:$B$1001,$H167,'Input Sheet'!$E$3:$E$1001,S$4))</f>
        <v/>
      </c>
      <c r="T167" s="22">
        <v>162</v>
      </c>
    </row>
    <row r="168" spans="1:20" ht="14.25" customHeight="1" x14ac:dyDescent="0.3">
      <c r="A168" s="4" t="str">
        <f>IF('Input Sheet'!B165=0,"",'Input Sheet'!B165)</f>
        <v/>
      </c>
      <c r="B168" s="24" t="b">
        <f t="shared" si="2"/>
        <v>0</v>
      </c>
      <c r="C168" s="4">
        <f>SUMIF('Input Sheet'!B$3:B$1000,A168,'Input Sheet'!C$3:C$1000)</f>
        <v>0</v>
      </c>
      <c r="D168" s="4">
        <f>SUMIF('Input Sheet'!B$3:B$1000,A168,'Input Sheet'!D$3:D$1000)</f>
        <v>0</v>
      </c>
      <c r="E168" s="4" t="str">
        <f t="shared" ref="E168:F168" ca="1" si="171">IFERROR(RANK(K168,K$6:K$1004,1),"")</f>
        <v/>
      </c>
      <c r="F168" s="4" t="str">
        <f t="shared" ca="1" si="171"/>
        <v/>
      </c>
      <c r="G168" s="4" t="str">
        <f t="shared" ca="1" si="4"/>
        <v/>
      </c>
      <c r="H168" s="4" t="str">
        <f t="shared" si="5"/>
        <v/>
      </c>
      <c r="I168" s="4" t="str">
        <f t="shared" si="6"/>
        <v/>
      </c>
      <c r="J168" s="4" t="str">
        <f t="shared" si="7"/>
        <v/>
      </c>
      <c r="K168" s="25" t="str">
        <f t="shared" ca="1" si="8"/>
        <v/>
      </c>
      <c r="L168" s="21" t="str">
        <f t="shared" ca="1" si="9"/>
        <v/>
      </c>
      <c r="M168" s="21" t="str">
        <f>IF(SUMIFS('Input Sheet'!$F$3:$F$1001,'Input Sheet'!$B$3:$B$1001,$H168,'Input Sheet'!$E$3:$E$1001,M$4)=0,"",SUMIFS('Input Sheet'!$F$3:$F$1001,'Input Sheet'!$B$3:$B$1001,$H168,'Input Sheet'!$E$3:$E$1001,M$4))</f>
        <v/>
      </c>
      <c r="N168" s="21" t="str">
        <f>IF(SUMIFS('Input Sheet'!$F$3:$F$1001,'Input Sheet'!$B$3:$B$1001,$H168,'Input Sheet'!$E$3:$E$1001,N$4)=0,"",SUMIFS('Input Sheet'!$F$3:$F$1001,'Input Sheet'!$B$3:$B$1001,$H168,'Input Sheet'!$E$3:$E$1001,N$4))</f>
        <v/>
      </c>
      <c r="O168" s="21" t="str">
        <f>IF(SUMIFS('Input Sheet'!$F$3:$F$1001,'Input Sheet'!$B$3:$B$1001,$H168,'Input Sheet'!$E$3:$E$1001,O$4)=0,"",SUMIFS('Input Sheet'!$F$3:$F$1001,'Input Sheet'!$B$3:$B$1001,$H168,'Input Sheet'!$E$3:$E$1001,O$4))</f>
        <v/>
      </c>
      <c r="P168" s="21" t="str">
        <f>IF(SUMIFS('Input Sheet'!$F$3:$F$1001,'Input Sheet'!$B$3:$B$1001,$H168,'Input Sheet'!$E$3:$E$1001,P$4)=0,"",SUMIFS('Input Sheet'!$F$3:$F$1001,'Input Sheet'!$B$3:$B$1001,$H168,'Input Sheet'!$E$3:$E$1001,P$4))</f>
        <v/>
      </c>
      <c r="Q168" s="21" t="str">
        <f>IF(SUMIFS('Input Sheet'!$F$3:$F$1001,'Input Sheet'!$B$3:$B$1001,$H168,'Input Sheet'!$E$3:$E$1001,Q$4)=0,"",SUMIFS('Input Sheet'!$F$3:$F$1001,'Input Sheet'!$B$3:$B$1001,$H168,'Input Sheet'!$E$3:$E$1001,Q$4))</f>
        <v/>
      </c>
      <c r="R168" s="21" t="str">
        <f>IF(SUMIFS('Input Sheet'!$F$3:$F$1001,'Input Sheet'!$B$3:$B$1001,$H168,'Input Sheet'!$E$3:$E$1001,R$4)=0,"",SUMIFS('Input Sheet'!$F$3:$F$1001,'Input Sheet'!$B$3:$B$1001,$H168,'Input Sheet'!$E$3:$E$1001,R$4))</f>
        <v/>
      </c>
      <c r="S168" s="21" t="str">
        <f>IF(SUMIFS('Input Sheet'!$F$3:$F$1001,'Input Sheet'!$B$3:$B$1001,$H168,'Input Sheet'!$E$3:$E$1001,S$4)=0,"",SUMIFS('Input Sheet'!$F$3:$F$1001,'Input Sheet'!$B$3:$B$1001,$H168,'Input Sheet'!$E$3:$E$1001,S$4))</f>
        <v/>
      </c>
      <c r="T168" s="22">
        <v>163</v>
      </c>
    </row>
    <row r="169" spans="1:20" ht="14.25" customHeight="1" x14ac:dyDescent="0.3">
      <c r="A169" s="4" t="str">
        <f>IF('Input Sheet'!B166=0,"",'Input Sheet'!B166)</f>
        <v/>
      </c>
      <c r="B169" s="24" t="b">
        <f t="shared" si="2"/>
        <v>0</v>
      </c>
      <c r="C169" s="4">
        <f>SUMIF('Input Sheet'!B$3:B$1000,A169,'Input Sheet'!C$3:C$1000)</f>
        <v>0</v>
      </c>
      <c r="D169" s="4">
        <f>SUMIF('Input Sheet'!B$3:B$1000,A169,'Input Sheet'!D$3:D$1000)</f>
        <v>0</v>
      </c>
      <c r="E169" s="4" t="str">
        <f t="shared" ref="E169:F169" ca="1" si="172">IFERROR(RANK(K169,K$6:K$1004,1),"")</f>
        <v/>
      </c>
      <c r="F169" s="4" t="str">
        <f t="shared" ca="1" si="172"/>
        <v/>
      </c>
      <c r="G169" s="4" t="str">
        <f t="shared" ca="1" si="4"/>
        <v/>
      </c>
      <c r="H169" s="4" t="str">
        <f t="shared" si="5"/>
        <v/>
      </c>
      <c r="I169" s="4" t="str">
        <f t="shared" si="6"/>
        <v/>
      </c>
      <c r="J169" s="4" t="str">
        <f t="shared" si="7"/>
        <v/>
      </c>
      <c r="K169" s="25" t="str">
        <f t="shared" ca="1" si="8"/>
        <v/>
      </c>
      <c r="L169" s="21" t="str">
        <f t="shared" ca="1" si="9"/>
        <v/>
      </c>
      <c r="M169" s="21" t="str">
        <f>IF(SUMIFS('Input Sheet'!$F$3:$F$1001,'Input Sheet'!$B$3:$B$1001,$H169,'Input Sheet'!$E$3:$E$1001,M$4)=0,"",SUMIFS('Input Sheet'!$F$3:$F$1001,'Input Sheet'!$B$3:$B$1001,$H169,'Input Sheet'!$E$3:$E$1001,M$4))</f>
        <v/>
      </c>
      <c r="N169" s="21" t="str">
        <f>IF(SUMIFS('Input Sheet'!$F$3:$F$1001,'Input Sheet'!$B$3:$B$1001,$H169,'Input Sheet'!$E$3:$E$1001,N$4)=0,"",SUMIFS('Input Sheet'!$F$3:$F$1001,'Input Sheet'!$B$3:$B$1001,$H169,'Input Sheet'!$E$3:$E$1001,N$4))</f>
        <v/>
      </c>
      <c r="O169" s="21" t="str">
        <f>IF(SUMIFS('Input Sheet'!$F$3:$F$1001,'Input Sheet'!$B$3:$B$1001,$H169,'Input Sheet'!$E$3:$E$1001,O$4)=0,"",SUMIFS('Input Sheet'!$F$3:$F$1001,'Input Sheet'!$B$3:$B$1001,$H169,'Input Sheet'!$E$3:$E$1001,O$4))</f>
        <v/>
      </c>
      <c r="P169" s="21" t="str">
        <f>IF(SUMIFS('Input Sheet'!$F$3:$F$1001,'Input Sheet'!$B$3:$B$1001,$H169,'Input Sheet'!$E$3:$E$1001,P$4)=0,"",SUMIFS('Input Sheet'!$F$3:$F$1001,'Input Sheet'!$B$3:$B$1001,$H169,'Input Sheet'!$E$3:$E$1001,P$4))</f>
        <v/>
      </c>
      <c r="Q169" s="21" t="str">
        <f>IF(SUMIFS('Input Sheet'!$F$3:$F$1001,'Input Sheet'!$B$3:$B$1001,$H169,'Input Sheet'!$E$3:$E$1001,Q$4)=0,"",SUMIFS('Input Sheet'!$F$3:$F$1001,'Input Sheet'!$B$3:$B$1001,$H169,'Input Sheet'!$E$3:$E$1001,Q$4))</f>
        <v/>
      </c>
      <c r="R169" s="21" t="str">
        <f>IF(SUMIFS('Input Sheet'!$F$3:$F$1001,'Input Sheet'!$B$3:$B$1001,$H169,'Input Sheet'!$E$3:$E$1001,R$4)=0,"",SUMIFS('Input Sheet'!$F$3:$F$1001,'Input Sheet'!$B$3:$B$1001,$H169,'Input Sheet'!$E$3:$E$1001,R$4))</f>
        <v/>
      </c>
      <c r="S169" s="21" t="str">
        <f>IF(SUMIFS('Input Sheet'!$F$3:$F$1001,'Input Sheet'!$B$3:$B$1001,$H169,'Input Sheet'!$E$3:$E$1001,S$4)=0,"",SUMIFS('Input Sheet'!$F$3:$F$1001,'Input Sheet'!$B$3:$B$1001,$H169,'Input Sheet'!$E$3:$E$1001,S$4))</f>
        <v/>
      </c>
      <c r="T169" s="22">
        <v>164</v>
      </c>
    </row>
    <row r="170" spans="1:20" ht="14.25" customHeight="1" x14ac:dyDescent="0.3">
      <c r="A170" s="4" t="str">
        <f>IF('Input Sheet'!B167=0,"",'Input Sheet'!B167)</f>
        <v/>
      </c>
      <c r="B170" s="24" t="b">
        <f t="shared" si="2"/>
        <v>0</v>
      </c>
      <c r="C170" s="4">
        <f>SUMIF('Input Sheet'!B$3:B$1000,A170,'Input Sheet'!C$3:C$1000)</f>
        <v>0</v>
      </c>
      <c r="D170" s="4">
        <f>SUMIF('Input Sheet'!B$3:B$1000,A170,'Input Sheet'!D$3:D$1000)</f>
        <v>0</v>
      </c>
      <c r="E170" s="4" t="str">
        <f t="shared" ref="E170:F170" ca="1" si="173">IFERROR(RANK(K170,K$6:K$1004,1),"")</f>
        <v/>
      </c>
      <c r="F170" s="4" t="str">
        <f t="shared" ca="1" si="173"/>
        <v/>
      </c>
      <c r="G170" s="4" t="str">
        <f t="shared" ca="1" si="4"/>
        <v/>
      </c>
      <c r="H170" s="4" t="str">
        <f t="shared" si="5"/>
        <v/>
      </c>
      <c r="I170" s="4" t="str">
        <f t="shared" si="6"/>
        <v/>
      </c>
      <c r="J170" s="4" t="str">
        <f t="shared" si="7"/>
        <v/>
      </c>
      <c r="K170" s="25" t="str">
        <f t="shared" ca="1" si="8"/>
        <v/>
      </c>
      <c r="L170" s="21" t="str">
        <f t="shared" ca="1" si="9"/>
        <v/>
      </c>
      <c r="M170" s="21" t="str">
        <f>IF(SUMIFS('Input Sheet'!$F$3:$F$1001,'Input Sheet'!$B$3:$B$1001,$H170,'Input Sheet'!$E$3:$E$1001,M$4)=0,"",SUMIFS('Input Sheet'!$F$3:$F$1001,'Input Sheet'!$B$3:$B$1001,$H170,'Input Sheet'!$E$3:$E$1001,M$4))</f>
        <v/>
      </c>
      <c r="N170" s="21" t="str">
        <f>IF(SUMIFS('Input Sheet'!$F$3:$F$1001,'Input Sheet'!$B$3:$B$1001,$H170,'Input Sheet'!$E$3:$E$1001,N$4)=0,"",SUMIFS('Input Sheet'!$F$3:$F$1001,'Input Sheet'!$B$3:$B$1001,$H170,'Input Sheet'!$E$3:$E$1001,N$4))</f>
        <v/>
      </c>
      <c r="O170" s="21" t="str">
        <f>IF(SUMIFS('Input Sheet'!$F$3:$F$1001,'Input Sheet'!$B$3:$B$1001,$H170,'Input Sheet'!$E$3:$E$1001,O$4)=0,"",SUMIFS('Input Sheet'!$F$3:$F$1001,'Input Sheet'!$B$3:$B$1001,$H170,'Input Sheet'!$E$3:$E$1001,O$4))</f>
        <v/>
      </c>
      <c r="P170" s="21" t="str">
        <f>IF(SUMIFS('Input Sheet'!$F$3:$F$1001,'Input Sheet'!$B$3:$B$1001,$H170,'Input Sheet'!$E$3:$E$1001,P$4)=0,"",SUMIFS('Input Sheet'!$F$3:$F$1001,'Input Sheet'!$B$3:$B$1001,$H170,'Input Sheet'!$E$3:$E$1001,P$4))</f>
        <v/>
      </c>
      <c r="Q170" s="21" t="str">
        <f>IF(SUMIFS('Input Sheet'!$F$3:$F$1001,'Input Sheet'!$B$3:$B$1001,$H170,'Input Sheet'!$E$3:$E$1001,Q$4)=0,"",SUMIFS('Input Sheet'!$F$3:$F$1001,'Input Sheet'!$B$3:$B$1001,$H170,'Input Sheet'!$E$3:$E$1001,Q$4))</f>
        <v/>
      </c>
      <c r="R170" s="21" t="str">
        <f>IF(SUMIFS('Input Sheet'!$F$3:$F$1001,'Input Sheet'!$B$3:$B$1001,$H170,'Input Sheet'!$E$3:$E$1001,R$4)=0,"",SUMIFS('Input Sheet'!$F$3:$F$1001,'Input Sheet'!$B$3:$B$1001,$H170,'Input Sheet'!$E$3:$E$1001,R$4))</f>
        <v/>
      </c>
      <c r="S170" s="21" t="str">
        <f>IF(SUMIFS('Input Sheet'!$F$3:$F$1001,'Input Sheet'!$B$3:$B$1001,$H170,'Input Sheet'!$E$3:$E$1001,S$4)=0,"",SUMIFS('Input Sheet'!$F$3:$F$1001,'Input Sheet'!$B$3:$B$1001,$H170,'Input Sheet'!$E$3:$E$1001,S$4))</f>
        <v/>
      </c>
      <c r="T170" s="22">
        <v>165</v>
      </c>
    </row>
    <row r="171" spans="1:20" ht="14.25" customHeight="1" x14ac:dyDescent="0.3">
      <c r="A171" s="4" t="str">
        <f>IF('Input Sheet'!B168=0,"",'Input Sheet'!B168)</f>
        <v/>
      </c>
      <c r="B171" s="24" t="b">
        <f t="shared" si="2"/>
        <v>0</v>
      </c>
      <c r="C171" s="4">
        <f>SUMIF('Input Sheet'!B$3:B$1000,A171,'Input Sheet'!C$3:C$1000)</f>
        <v>0</v>
      </c>
      <c r="D171" s="4">
        <f>SUMIF('Input Sheet'!B$3:B$1000,A171,'Input Sheet'!D$3:D$1000)</f>
        <v>0</v>
      </c>
      <c r="E171" s="4" t="str">
        <f t="shared" ref="E171:F171" ca="1" si="174">IFERROR(RANK(K171,K$6:K$1004,1),"")</f>
        <v/>
      </c>
      <c r="F171" s="4" t="str">
        <f t="shared" ca="1" si="174"/>
        <v/>
      </c>
      <c r="G171" s="4" t="str">
        <f t="shared" ca="1" si="4"/>
        <v/>
      </c>
      <c r="H171" s="4" t="str">
        <f t="shared" si="5"/>
        <v/>
      </c>
      <c r="I171" s="4" t="str">
        <f t="shared" si="6"/>
        <v/>
      </c>
      <c r="J171" s="4" t="str">
        <f t="shared" si="7"/>
        <v/>
      </c>
      <c r="K171" s="25" t="str">
        <f t="shared" ca="1" si="8"/>
        <v/>
      </c>
      <c r="L171" s="21" t="str">
        <f t="shared" ca="1" si="9"/>
        <v/>
      </c>
      <c r="M171" s="21" t="str">
        <f>IF(SUMIFS('Input Sheet'!$F$3:$F$1001,'Input Sheet'!$B$3:$B$1001,$H171,'Input Sheet'!$E$3:$E$1001,M$4)=0,"",SUMIFS('Input Sheet'!$F$3:$F$1001,'Input Sheet'!$B$3:$B$1001,$H171,'Input Sheet'!$E$3:$E$1001,M$4))</f>
        <v/>
      </c>
      <c r="N171" s="21" t="str">
        <f>IF(SUMIFS('Input Sheet'!$F$3:$F$1001,'Input Sheet'!$B$3:$B$1001,$H171,'Input Sheet'!$E$3:$E$1001,N$4)=0,"",SUMIFS('Input Sheet'!$F$3:$F$1001,'Input Sheet'!$B$3:$B$1001,$H171,'Input Sheet'!$E$3:$E$1001,N$4))</f>
        <v/>
      </c>
      <c r="O171" s="21" t="str">
        <f>IF(SUMIFS('Input Sheet'!$F$3:$F$1001,'Input Sheet'!$B$3:$B$1001,$H171,'Input Sheet'!$E$3:$E$1001,O$4)=0,"",SUMIFS('Input Sheet'!$F$3:$F$1001,'Input Sheet'!$B$3:$B$1001,$H171,'Input Sheet'!$E$3:$E$1001,O$4))</f>
        <v/>
      </c>
      <c r="P171" s="21" t="str">
        <f>IF(SUMIFS('Input Sheet'!$F$3:$F$1001,'Input Sheet'!$B$3:$B$1001,$H171,'Input Sheet'!$E$3:$E$1001,P$4)=0,"",SUMIFS('Input Sheet'!$F$3:$F$1001,'Input Sheet'!$B$3:$B$1001,$H171,'Input Sheet'!$E$3:$E$1001,P$4))</f>
        <v/>
      </c>
      <c r="Q171" s="21" t="str">
        <f>IF(SUMIFS('Input Sheet'!$F$3:$F$1001,'Input Sheet'!$B$3:$B$1001,$H171,'Input Sheet'!$E$3:$E$1001,Q$4)=0,"",SUMIFS('Input Sheet'!$F$3:$F$1001,'Input Sheet'!$B$3:$B$1001,$H171,'Input Sheet'!$E$3:$E$1001,Q$4))</f>
        <v/>
      </c>
      <c r="R171" s="21" t="str">
        <f>IF(SUMIFS('Input Sheet'!$F$3:$F$1001,'Input Sheet'!$B$3:$B$1001,$H171,'Input Sheet'!$E$3:$E$1001,R$4)=0,"",SUMIFS('Input Sheet'!$F$3:$F$1001,'Input Sheet'!$B$3:$B$1001,$H171,'Input Sheet'!$E$3:$E$1001,R$4))</f>
        <v/>
      </c>
      <c r="S171" s="21" t="str">
        <f>IF(SUMIFS('Input Sheet'!$F$3:$F$1001,'Input Sheet'!$B$3:$B$1001,$H171,'Input Sheet'!$E$3:$E$1001,S$4)=0,"",SUMIFS('Input Sheet'!$F$3:$F$1001,'Input Sheet'!$B$3:$B$1001,$H171,'Input Sheet'!$E$3:$E$1001,S$4))</f>
        <v/>
      </c>
      <c r="T171" s="22">
        <v>166</v>
      </c>
    </row>
    <row r="172" spans="1:20" ht="14.25" customHeight="1" x14ac:dyDescent="0.3">
      <c r="A172" s="4" t="str">
        <f>IF('Input Sheet'!B169=0,"",'Input Sheet'!B169)</f>
        <v/>
      </c>
      <c r="B172" s="24" t="b">
        <f t="shared" si="2"/>
        <v>0</v>
      </c>
      <c r="C172" s="4">
        <f>SUMIF('Input Sheet'!B$3:B$1000,A172,'Input Sheet'!C$3:C$1000)</f>
        <v>0</v>
      </c>
      <c r="D172" s="4">
        <f>SUMIF('Input Sheet'!B$3:B$1000,A172,'Input Sheet'!D$3:D$1000)</f>
        <v>0</v>
      </c>
      <c r="E172" s="4" t="str">
        <f t="shared" ref="E172:F172" ca="1" si="175">IFERROR(RANK(K172,K$6:K$1004,1),"")</f>
        <v/>
      </c>
      <c r="F172" s="4" t="str">
        <f t="shared" ca="1" si="175"/>
        <v/>
      </c>
      <c r="G172" s="4" t="str">
        <f t="shared" ca="1" si="4"/>
        <v/>
      </c>
      <c r="H172" s="4" t="str">
        <f t="shared" si="5"/>
        <v/>
      </c>
      <c r="I172" s="4" t="str">
        <f t="shared" si="6"/>
        <v/>
      </c>
      <c r="J172" s="4" t="str">
        <f t="shared" si="7"/>
        <v/>
      </c>
      <c r="K172" s="25" t="str">
        <f t="shared" ca="1" si="8"/>
        <v/>
      </c>
      <c r="L172" s="21" t="str">
        <f t="shared" ca="1" si="9"/>
        <v/>
      </c>
      <c r="M172" s="21" t="str">
        <f>IF(SUMIFS('Input Sheet'!$F$3:$F$1001,'Input Sheet'!$B$3:$B$1001,$H172,'Input Sheet'!$E$3:$E$1001,M$4)=0,"",SUMIFS('Input Sheet'!$F$3:$F$1001,'Input Sheet'!$B$3:$B$1001,$H172,'Input Sheet'!$E$3:$E$1001,M$4))</f>
        <v/>
      </c>
      <c r="N172" s="21" t="str">
        <f>IF(SUMIFS('Input Sheet'!$F$3:$F$1001,'Input Sheet'!$B$3:$B$1001,$H172,'Input Sheet'!$E$3:$E$1001,N$4)=0,"",SUMIFS('Input Sheet'!$F$3:$F$1001,'Input Sheet'!$B$3:$B$1001,$H172,'Input Sheet'!$E$3:$E$1001,N$4))</f>
        <v/>
      </c>
      <c r="O172" s="21" t="str">
        <f>IF(SUMIFS('Input Sheet'!$F$3:$F$1001,'Input Sheet'!$B$3:$B$1001,$H172,'Input Sheet'!$E$3:$E$1001,O$4)=0,"",SUMIFS('Input Sheet'!$F$3:$F$1001,'Input Sheet'!$B$3:$B$1001,$H172,'Input Sheet'!$E$3:$E$1001,O$4))</f>
        <v/>
      </c>
      <c r="P172" s="21" t="str">
        <f>IF(SUMIFS('Input Sheet'!$F$3:$F$1001,'Input Sheet'!$B$3:$B$1001,$H172,'Input Sheet'!$E$3:$E$1001,P$4)=0,"",SUMIFS('Input Sheet'!$F$3:$F$1001,'Input Sheet'!$B$3:$B$1001,$H172,'Input Sheet'!$E$3:$E$1001,P$4))</f>
        <v/>
      </c>
      <c r="Q172" s="21" t="str">
        <f>IF(SUMIFS('Input Sheet'!$F$3:$F$1001,'Input Sheet'!$B$3:$B$1001,$H172,'Input Sheet'!$E$3:$E$1001,Q$4)=0,"",SUMIFS('Input Sheet'!$F$3:$F$1001,'Input Sheet'!$B$3:$B$1001,$H172,'Input Sheet'!$E$3:$E$1001,Q$4))</f>
        <v/>
      </c>
      <c r="R172" s="21" t="str">
        <f>IF(SUMIFS('Input Sheet'!$F$3:$F$1001,'Input Sheet'!$B$3:$B$1001,$H172,'Input Sheet'!$E$3:$E$1001,R$4)=0,"",SUMIFS('Input Sheet'!$F$3:$F$1001,'Input Sheet'!$B$3:$B$1001,$H172,'Input Sheet'!$E$3:$E$1001,R$4))</f>
        <v/>
      </c>
      <c r="S172" s="21" t="str">
        <f>IF(SUMIFS('Input Sheet'!$F$3:$F$1001,'Input Sheet'!$B$3:$B$1001,$H172,'Input Sheet'!$E$3:$E$1001,S$4)=0,"",SUMIFS('Input Sheet'!$F$3:$F$1001,'Input Sheet'!$B$3:$B$1001,$H172,'Input Sheet'!$E$3:$E$1001,S$4))</f>
        <v/>
      </c>
      <c r="T172" s="22">
        <v>167</v>
      </c>
    </row>
    <row r="173" spans="1:20" ht="14.25" customHeight="1" x14ac:dyDescent="0.3">
      <c r="A173" s="4" t="str">
        <f>IF('Input Sheet'!B170=0,"",'Input Sheet'!B170)</f>
        <v/>
      </c>
      <c r="B173" s="24" t="b">
        <f t="shared" si="2"/>
        <v>0</v>
      </c>
      <c r="C173" s="4">
        <f>SUMIF('Input Sheet'!B$3:B$1000,A173,'Input Sheet'!C$3:C$1000)</f>
        <v>0</v>
      </c>
      <c r="D173" s="4">
        <f>SUMIF('Input Sheet'!B$3:B$1000,A173,'Input Sheet'!D$3:D$1000)</f>
        <v>0</v>
      </c>
      <c r="E173" s="4" t="str">
        <f t="shared" ref="E173:F173" ca="1" si="176">IFERROR(RANK(K173,K$6:K$1004,1),"")</f>
        <v/>
      </c>
      <c r="F173" s="4" t="str">
        <f t="shared" ca="1" si="176"/>
        <v/>
      </c>
      <c r="G173" s="4" t="str">
        <f t="shared" ca="1" si="4"/>
        <v/>
      </c>
      <c r="H173" s="4" t="str">
        <f t="shared" si="5"/>
        <v/>
      </c>
      <c r="I173" s="4" t="str">
        <f t="shared" si="6"/>
        <v/>
      </c>
      <c r="J173" s="4" t="str">
        <f t="shared" si="7"/>
        <v/>
      </c>
      <c r="K173" s="25" t="str">
        <f t="shared" ca="1" si="8"/>
        <v/>
      </c>
      <c r="L173" s="21" t="str">
        <f t="shared" ca="1" si="9"/>
        <v/>
      </c>
      <c r="M173" s="21" t="str">
        <f>IF(SUMIFS('Input Sheet'!$F$3:$F$1001,'Input Sheet'!$B$3:$B$1001,$H173,'Input Sheet'!$E$3:$E$1001,M$4)=0,"",SUMIFS('Input Sheet'!$F$3:$F$1001,'Input Sheet'!$B$3:$B$1001,$H173,'Input Sheet'!$E$3:$E$1001,M$4))</f>
        <v/>
      </c>
      <c r="N173" s="21" t="str">
        <f>IF(SUMIFS('Input Sheet'!$F$3:$F$1001,'Input Sheet'!$B$3:$B$1001,$H173,'Input Sheet'!$E$3:$E$1001,N$4)=0,"",SUMIFS('Input Sheet'!$F$3:$F$1001,'Input Sheet'!$B$3:$B$1001,$H173,'Input Sheet'!$E$3:$E$1001,N$4))</f>
        <v/>
      </c>
      <c r="O173" s="21" t="str">
        <f>IF(SUMIFS('Input Sheet'!$F$3:$F$1001,'Input Sheet'!$B$3:$B$1001,$H173,'Input Sheet'!$E$3:$E$1001,O$4)=0,"",SUMIFS('Input Sheet'!$F$3:$F$1001,'Input Sheet'!$B$3:$B$1001,$H173,'Input Sheet'!$E$3:$E$1001,O$4))</f>
        <v/>
      </c>
      <c r="P173" s="21" t="str">
        <f>IF(SUMIFS('Input Sheet'!$F$3:$F$1001,'Input Sheet'!$B$3:$B$1001,$H173,'Input Sheet'!$E$3:$E$1001,P$4)=0,"",SUMIFS('Input Sheet'!$F$3:$F$1001,'Input Sheet'!$B$3:$B$1001,$H173,'Input Sheet'!$E$3:$E$1001,P$4))</f>
        <v/>
      </c>
      <c r="Q173" s="21" t="str">
        <f>IF(SUMIFS('Input Sheet'!$F$3:$F$1001,'Input Sheet'!$B$3:$B$1001,$H173,'Input Sheet'!$E$3:$E$1001,Q$4)=0,"",SUMIFS('Input Sheet'!$F$3:$F$1001,'Input Sheet'!$B$3:$B$1001,$H173,'Input Sheet'!$E$3:$E$1001,Q$4))</f>
        <v/>
      </c>
      <c r="R173" s="21" t="str">
        <f>IF(SUMIFS('Input Sheet'!$F$3:$F$1001,'Input Sheet'!$B$3:$B$1001,$H173,'Input Sheet'!$E$3:$E$1001,R$4)=0,"",SUMIFS('Input Sheet'!$F$3:$F$1001,'Input Sheet'!$B$3:$B$1001,$H173,'Input Sheet'!$E$3:$E$1001,R$4))</f>
        <v/>
      </c>
      <c r="S173" s="21" t="str">
        <f>IF(SUMIFS('Input Sheet'!$F$3:$F$1001,'Input Sheet'!$B$3:$B$1001,$H173,'Input Sheet'!$E$3:$E$1001,S$4)=0,"",SUMIFS('Input Sheet'!$F$3:$F$1001,'Input Sheet'!$B$3:$B$1001,$H173,'Input Sheet'!$E$3:$E$1001,S$4))</f>
        <v/>
      </c>
      <c r="T173" s="22">
        <v>168</v>
      </c>
    </row>
    <row r="174" spans="1:20" ht="14.25" customHeight="1" x14ac:dyDescent="0.3">
      <c r="A174" s="4" t="str">
        <f>IF('Input Sheet'!B171=0,"",'Input Sheet'!B171)</f>
        <v/>
      </c>
      <c r="B174" s="24" t="b">
        <f t="shared" si="2"/>
        <v>0</v>
      </c>
      <c r="C174" s="4">
        <f>SUMIF('Input Sheet'!B$3:B$1000,A174,'Input Sheet'!C$3:C$1000)</f>
        <v>0</v>
      </c>
      <c r="D174" s="4">
        <f>SUMIF('Input Sheet'!B$3:B$1000,A174,'Input Sheet'!D$3:D$1000)</f>
        <v>0</v>
      </c>
      <c r="E174" s="4" t="str">
        <f t="shared" ref="E174:F174" ca="1" si="177">IFERROR(RANK(K174,K$6:K$1004,1),"")</f>
        <v/>
      </c>
      <c r="F174" s="4" t="str">
        <f t="shared" ca="1" si="177"/>
        <v/>
      </c>
      <c r="G174" s="4" t="str">
        <f t="shared" ca="1" si="4"/>
        <v/>
      </c>
      <c r="H174" s="4" t="str">
        <f t="shared" si="5"/>
        <v/>
      </c>
      <c r="I174" s="4" t="str">
        <f t="shared" si="6"/>
        <v/>
      </c>
      <c r="J174" s="4" t="str">
        <f t="shared" si="7"/>
        <v/>
      </c>
      <c r="K174" s="25" t="str">
        <f t="shared" ca="1" si="8"/>
        <v/>
      </c>
      <c r="L174" s="21" t="str">
        <f t="shared" ca="1" si="9"/>
        <v/>
      </c>
      <c r="M174" s="21" t="str">
        <f>IF(SUMIFS('Input Sheet'!$F$3:$F$1001,'Input Sheet'!$B$3:$B$1001,$H174,'Input Sheet'!$E$3:$E$1001,M$4)=0,"",SUMIFS('Input Sheet'!$F$3:$F$1001,'Input Sheet'!$B$3:$B$1001,$H174,'Input Sheet'!$E$3:$E$1001,M$4))</f>
        <v/>
      </c>
      <c r="N174" s="21" t="str">
        <f>IF(SUMIFS('Input Sheet'!$F$3:$F$1001,'Input Sheet'!$B$3:$B$1001,$H174,'Input Sheet'!$E$3:$E$1001,N$4)=0,"",SUMIFS('Input Sheet'!$F$3:$F$1001,'Input Sheet'!$B$3:$B$1001,$H174,'Input Sheet'!$E$3:$E$1001,N$4))</f>
        <v/>
      </c>
      <c r="O174" s="21" t="str">
        <f>IF(SUMIFS('Input Sheet'!$F$3:$F$1001,'Input Sheet'!$B$3:$B$1001,$H174,'Input Sheet'!$E$3:$E$1001,O$4)=0,"",SUMIFS('Input Sheet'!$F$3:$F$1001,'Input Sheet'!$B$3:$B$1001,$H174,'Input Sheet'!$E$3:$E$1001,O$4))</f>
        <v/>
      </c>
      <c r="P174" s="21" t="str">
        <f>IF(SUMIFS('Input Sheet'!$F$3:$F$1001,'Input Sheet'!$B$3:$B$1001,$H174,'Input Sheet'!$E$3:$E$1001,P$4)=0,"",SUMIFS('Input Sheet'!$F$3:$F$1001,'Input Sheet'!$B$3:$B$1001,$H174,'Input Sheet'!$E$3:$E$1001,P$4))</f>
        <v/>
      </c>
      <c r="Q174" s="21" t="str">
        <f>IF(SUMIFS('Input Sheet'!$F$3:$F$1001,'Input Sheet'!$B$3:$B$1001,$H174,'Input Sheet'!$E$3:$E$1001,Q$4)=0,"",SUMIFS('Input Sheet'!$F$3:$F$1001,'Input Sheet'!$B$3:$B$1001,$H174,'Input Sheet'!$E$3:$E$1001,Q$4))</f>
        <v/>
      </c>
      <c r="R174" s="21" t="str">
        <f>IF(SUMIFS('Input Sheet'!$F$3:$F$1001,'Input Sheet'!$B$3:$B$1001,$H174,'Input Sheet'!$E$3:$E$1001,R$4)=0,"",SUMIFS('Input Sheet'!$F$3:$F$1001,'Input Sheet'!$B$3:$B$1001,$H174,'Input Sheet'!$E$3:$E$1001,R$4))</f>
        <v/>
      </c>
      <c r="S174" s="21" t="str">
        <f>IF(SUMIFS('Input Sheet'!$F$3:$F$1001,'Input Sheet'!$B$3:$B$1001,$H174,'Input Sheet'!$E$3:$E$1001,S$4)=0,"",SUMIFS('Input Sheet'!$F$3:$F$1001,'Input Sheet'!$B$3:$B$1001,$H174,'Input Sheet'!$E$3:$E$1001,S$4))</f>
        <v/>
      </c>
      <c r="T174" s="22">
        <v>169</v>
      </c>
    </row>
    <row r="175" spans="1:20" ht="14.25" customHeight="1" x14ac:dyDescent="0.3">
      <c r="A175" s="4" t="str">
        <f>IF('Input Sheet'!B172=0,"",'Input Sheet'!B172)</f>
        <v/>
      </c>
      <c r="B175" s="24" t="b">
        <f t="shared" si="2"/>
        <v>0</v>
      </c>
      <c r="C175" s="4">
        <f>SUMIF('Input Sheet'!B$3:B$1000,A175,'Input Sheet'!C$3:C$1000)</f>
        <v>0</v>
      </c>
      <c r="D175" s="4">
        <f>SUMIF('Input Sheet'!B$3:B$1000,A175,'Input Sheet'!D$3:D$1000)</f>
        <v>0</v>
      </c>
      <c r="E175" s="4" t="str">
        <f t="shared" ref="E175:F175" ca="1" si="178">IFERROR(RANK(K175,K$6:K$1004,1),"")</f>
        <v/>
      </c>
      <c r="F175" s="4" t="str">
        <f t="shared" ca="1" si="178"/>
        <v/>
      </c>
      <c r="G175" s="4" t="str">
        <f t="shared" ca="1" si="4"/>
        <v/>
      </c>
      <c r="H175" s="4" t="str">
        <f t="shared" si="5"/>
        <v/>
      </c>
      <c r="I175" s="4" t="str">
        <f t="shared" si="6"/>
        <v/>
      </c>
      <c r="J175" s="4" t="str">
        <f t="shared" si="7"/>
        <v/>
      </c>
      <c r="K175" s="25" t="str">
        <f t="shared" ca="1" si="8"/>
        <v/>
      </c>
      <c r="L175" s="21" t="str">
        <f t="shared" ca="1" si="9"/>
        <v/>
      </c>
      <c r="M175" s="21" t="str">
        <f>IF(SUMIFS('Input Sheet'!$F$3:$F$1001,'Input Sheet'!$B$3:$B$1001,$H175,'Input Sheet'!$E$3:$E$1001,M$4)=0,"",SUMIFS('Input Sheet'!$F$3:$F$1001,'Input Sheet'!$B$3:$B$1001,$H175,'Input Sheet'!$E$3:$E$1001,M$4))</f>
        <v/>
      </c>
      <c r="N175" s="21" t="str">
        <f>IF(SUMIFS('Input Sheet'!$F$3:$F$1001,'Input Sheet'!$B$3:$B$1001,$H175,'Input Sheet'!$E$3:$E$1001,N$4)=0,"",SUMIFS('Input Sheet'!$F$3:$F$1001,'Input Sheet'!$B$3:$B$1001,$H175,'Input Sheet'!$E$3:$E$1001,N$4))</f>
        <v/>
      </c>
      <c r="O175" s="21" t="str">
        <f>IF(SUMIFS('Input Sheet'!$F$3:$F$1001,'Input Sheet'!$B$3:$B$1001,$H175,'Input Sheet'!$E$3:$E$1001,O$4)=0,"",SUMIFS('Input Sheet'!$F$3:$F$1001,'Input Sheet'!$B$3:$B$1001,$H175,'Input Sheet'!$E$3:$E$1001,O$4))</f>
        <v/>
      </c>
      <c r="P175" s="21" t="str">
        <f>IF(SUMIFS('Input Sheet'!$F$3:$F$1001,'Input Sheet'!$B$3:$B$1001,$H175,'Input Sheet'!$E$3:$E$1001,P$4)=0,"",SUMIFS('Input Sheet'!$F$3:$F$1001,'Input Sheet'!$B$3:$B$1001,$H175,'Input Sheet'!$E$3:$E$1001,P$4))</f>
        <v/>
      </c>
      <c r="Q175" s="21" t="str">
        <f>IF(SUMIFS('Input Sheet'!$F$3:$F$1001,'Input Sheet'!$B$3:$B$1001,$H175,'Input Sheet'!$E$3:$E$1001,Q$4)=0,"",SUMIFS('Input Sheet'!$F$3:$F$1001,'Input Sheet'!$B$3:$B$1001,$H175,'Input Sheet'!$E$3:$E$1001,Q$4))</f>
        <v/>
      </c>
      <c r="R175" s="21" t="str">
        <f>IF(SUMIFS('Input Sheet'!$F$3:$F$1001,'Input Sheet'!$B$3:$B$1001,$H175,'Input Sheet'!$E$3:$E$1001,R$4)=0,"",SUMIFS('Input Sheet'!$F$3:$F$1001,'Input Sheet'!$B$3:$B$1001,$H175,'Input Sheet'!$E$3:$E$1001,R$4))</f>
        <v/>
      </c>
      <c r="S175" s="21" t="str">
        <f>IF(SUMIFS('Input Sheet'!$F$3:$F$1001,'Input Sheet'!$B$3:$B$1001,$H175,'Input Sheet'!$E$3:$E$1001,S$4)=0,"",SUMIFS('Input Sheet'!$F$3:$F$1001,'Input Sheet'!$B$3:$B$1001,$H175,'Input Sheet'!$E$3:$E$1001,S$4))</f>
        <v/>
      </c>
      <c r="T175" s="22">
        <v>170</v>
      </c>
    </row>
    <row r="176" spans="1:20" ht="14.25" customHeight="1" x14ac:dyDescent="0.3">
      <c r="A176" s="4" t="str">
        <f>IF('Input Sheet'!B173=0,"",'Input Sheet'!B173)</f>
        <v/>
      </c>
      <c r="B176" s="24" t="b">
        <f t="shared" si="2"/>
        <v>0</v>
      </c>
      <c r="C176" s="4">
        <f>SUMIF('Input Sheet'!B$3:B$1000,A176,'Input Sheet'!C$3:C$1000)</f>
        <v>0</v>
      </c>
      <c r="D176" s="4">
        <f>SUMIF('Input Sheet'!B$3:B$1000,A176,'Input Sheet'!D$3:D$1000)</f>
        <v>0</v>
      </c>
      <c r="E176" s="4" t="str">
        <f t="shared" ref="E176:F176" ca="1" si="179">IFERROR(RANK(K176,K$6:K$1004,1),"")</f>
        <v/>
      </c>
      <c r="F176" s="4" t="str">
        <f t="shared" ca="1" si="179"/>
        <v/>
      </c>
      <c r="G176" s="4" t="str">
        <f t="shared" ca="1" si="4"/>
        <v/>
      </c>
      <c r="H176" s="4" t="str">
        <f t="shared" si="5"/>
        <v/>
      </c>
      <c r="I176" s="4" t="str">
        <f t="shared" si="6"/>
        <v/>
      </c>
      <c r="J176" s="4" t="str">
        <f t="shared" si="7"/>
        <v/>
      </c>
      <c r="K176" s="25" t="str">
        <f t="shared" ca="1" si="8"/>
        <v/>
      </c>
      <c r="L176" s="21" t="str">
        <f t="shared" ca="1" si="9"/>
        <v/>
      </c>
      <c r="M176" s="21" t="str">
        <f>IF(SUMIFS('Input Sheet'!$F$3:$F$1001,'Input Sheet'!$B$3:$B$1001,$H176,'Input Sheet'!$E$3:$E$1001,M$4)=0,"",SUMIFS('Input Sheet'!$F$3:$F$1001,'Input Sheet'!$B$3:$B$1001,$H176,'Input Sheet'!$E$3:$E$1001,M$4))</f>
        <v/>
      </c>
      <c r="N176" s="21" t="str">
        <f>IF(SUMIFS('Input Sheet'!$F$3:$F$1001,'Input Sheet'!$B$3:$B$1001,$H176,'Input Sheet'!$E$3:$E$1001,N$4)=0,"",SUMIFS('Input Sheet'!$F$3:$F$1001,'Input Sheet'!$B$3:$B$1001,$H176,'Input Sheet'!$E$3:$E$1001,N$4))</f>
        <v/>
      </c>
      <c r="O176" s="21" t="str">
        <f>IF(SUMIFS('Input Sheet'!$F$3:$F$1001,'Input Sheet'!$B$3:$B$1001,$H176,'Input Sheet'!$E$3:$E$1001,O$4)=0,"",SUMIFS('Input Sheet'!$F$3:$F$1001,'Input Sheet'!$B$3:$B$1001,$H176,'Input Sheet'!$E$3:$E$1001,O$4))</f>
        <v/>
      </c>
      <c r="P176" s="21" t="str">
        <f>IF(SUMIFS('Input Sheet'!$F$3:$F$1001,'Input Sheet'!$B$3:$B$1001,$H176,'Input Sheet'!$E$3:$E$1001,P$4)=0,"",SUMIFS('Input Sheet'!$F$3:$F$1001,'Input Sheet'!$B$3:$B$1001,$H176,'Input Sheet'!$E$3:$E$1001,P$4))</f>
        <v/>
      </c>
      <c r="Q176" s="21" t="str">
        <f>IF(SUMIFS('Input Sheet'!$F$3:$F$1001,'Input Sheet'!$B$3:$B$1001,$H176,'Input Sheet'!$E$3:$E$1001,Q$4)=0,"",SUMIFS('Input Sheet'!$F$3:$F$1001,'Input Sheet'!$B$3:$B$1001,$H176,'Input Sheet'!$E$3:$E$1001,Q$4))</f>
        <v/>
      </c>
      <c r="R176" s="21" t="str">
        <f>IF(SUMIFS('Input Sheet'!$F$3:$F$1001,'Input Sheet'!$B$3:$B$1001,$H176,'Input Sheet'!$E$3:$E$1001,R$4)=0,"",SUMIFS('Input Sheet'!$F$3:$F$1001,'Input Sheet'!$B$3:$B$1001,$H176,'Input Sheet'!$E$3:$E$1001,R$4))</f>
        <v/>
      </c>
      <c r="S176" s="21" t="str">
        <f>IF(SUMIFS('Input Sheet'!$F$3:$F$1001,'Input Sheet'!$B$3:$B$1001,$H176,'Input Sheet'!$E$3:$E$1001,S$4)=0,"",SUMIFS('Input Sheet'!$F$3:$F$1001,'Input Sheet'!$B$3:$B$1001,$H176,'Input Sheet'!$E$3:$E$1001,S$4))</f>
        <v/>
      </c>
      <c r="T176" s="22">
        <v>171</v>
      </c>
    </row>
    <row r="177" spans="1:20" ht="14.25" customHeight="1" x14ac:dyDescent="0.3">
      <c r="A177" s="4" t="str">
        <f>IF('Input Sheet'!B174=0,"",'Input Sheet'!B174)</f>
        <v/>
      </c>
      <c r="B177" s="24" t="b">
        <f t="shared" si="2"/>
        <v>0</v>
      </c>
      <c r="C177" s="4">
        <f>SUMIF('Input Sheet'!B$3:B$1000,A177,'Input Sheet'!C$3:C$1000)</f>
        <v>0</v>
      </c>
      <c r="D177" s="4">
        <f>SUMIF('Input Sheet'!B$3:B$1000,A177,'Input Sheet'!D$3:D$1000)</f>
        <v>0</v>
      </c>
      <c r="E177" s="4" t="str">
        <f t="shared" ref="E177:F177" ca="1" si="180">IFERROR(RANK(K177,K$6:K$1004,1),"")</f>
        <v/>
      </c>
      <c r="F177" s="4" t="str">
        <f t="shared" ca="1" si="180"/>
        <v/>
      </c>
      <c r="G177" s="4" t="str">
        <f t="shared" ca="1" si="4"/>
        <v/>
      </c>
      <c r="H177" s="4" t="str">
        <f t="shared" si="5"/>
        <v/>
      </c>
      <c r="I177" s="4" t="str">
        <f t="shared" si="6"/>
        <v/>
      </c>
      <c r="J177" s="4" t="str">
        <f t="shared" si="7"/>
        <v/>
      </c>
      <c r="K177" s="25" t="str">
        <f t="shared" ca="1" si="8"/>
        <v/>
      </c>
      <c r="L177" s="21" t="str">
        <f t="shared" ca="1" si="9"/>
        <v/>
      </c>
      <c r="M177" s="21" t="str">
        <f>IF(SUMIFS('Input Sheet'!$F$3:$F$1001,'Input Sheet'!$B$3:$B$1001,$H177,'Input Sheet'!$E$3:$E$1001,M$4)=0,"",SUMIFS('Input Sheet'!$F$3:$F$1001,'Input Sheet'!$B$3:$B$1001,$H177,'Input Sheet'!$E$3:$E$1001,M$4))</f>
        <v/>
      </c>
      <c r="N177" s="21" t="str">
        <f>IF(SUMIFS('Input Sheet'!$F$3:$F$1001,'Input Sheet'!$B$3:$B$1001,$H177,'Input Sheet'!$E$3:$E$1001,N$4)=0,"",SUMIFS('Input Sheet'!$F$3:$F$1001,'Input Sheet'!$B$3:$B$1001,$H177,'Input Sheet'!$E$3:$E$1001,N$4))</f>
        <v/>
      </c>
      <c r="O177" s="21" t="str">
        <f>IF(SUMIFS('Input Sheet'!$F$3:$F$1001,'Input Sheet'!$B$3:$B$1001,$H177,'Input Sheet'!$E$3:$E$1001,O$4)=0,"",SUMIFS('Input Sheet'!$F$3:$F$1001,'Input Sheet'!$B$3:$B$1001,$H177,'Input Sheet'!$E$3:$E$1001,O$4))</f>
        <v/>
      </c>
      <c r="P177" s="21" t="str">
        <f>IF(SUMIFS('Input Sheet'!$F$3:$F$1001,'Input Sheet'!$B$3:$B$1001,$H177,'Input Sheet'!$E$3:$E$1001,P$4)=0,"",SUMIFS('Input Sheet'!$F$3:$F$1001,'Input Sheet'!$B$3:$B$1001,$H177,'Input Sheet'!$E$3:$E$1001,P$4))</f>
        <v/>
      </c>
      <c r="Q177" s="21" t="str">
        <f>IF(SUMIFS('Input Sheet'!$F$3:$F$1001,'Input Sheet'!$B$3:$B$1001,$H177,'Input Sheet'!$E$3:$E$1001,Q$4)=0,"",SUMIFS('Input Sheet'!$F$3:$F$1001,'Input Sheet'!$B$3:$B$1001,$H177,'Input Sheet'!$E$3:$E$1001,Q$4))</f>
        <v/>
      </c>
      <c r="R177" s="21" t="str">
        <f>IF(SUMIFS('Input Sheet'!$F$3:$F$1001,'Input Sheet'!$B$3:$B$1001,$H177,'Input Sheet'!$E$3:$E$1001,R$4)=0,"",SUMIFS('Input Sheet'!$F$3:$F$1001,'Input Sheet'!$B$3:$B$1001,$H177,'Input Sheet'!$E$3:$E$1001,R$4))</f>
        <v/>
      </c>
      <c r="S177" s="21" t="str">
        <f>IF(SUMIFS('Input Sheet'!$F$3:$F$1001,'Input Sheet'!$B$3:$B$1001,$H177,'Input Sheet'!$E$3:$E$1001,S$4)=0,"",SUMIFS('Input Sheet'!$F$3:$F$1001,'Input Sheet'!$B$3:$B$1001,$H177,'Input Sheet'!$E$3:$E$1001,S$4))</f>
        <v/>
      </c>
      <c r="T177" s="22">
        <v>172</v>
      </c>
    </row>
    <row r="178" spans="1:20" ht="14.25" customHeight="1" x14ac:dyDescent="0.3">
      <c r="A178" s="4" t="str">
        <f>IF('Input Sheet'!B175=0,"",'Input Sheet'!B175)</f>
        <v/>
      </c>
      <c r="B178" s="24" t="b">
        <f t="shared" si="2"/>
        <v>0</v>
      </c>
      <c r="C178" s="4">
        <f>SUMIF('Input Sheet'!B$3:B$1000,A178,'Input Sheet'!C$3:C$1000)</f>
        <v>0</v>
      </c>
      <c r="D178" s="4">
        <f>SUMIF('Input Sheet'!B$3:B$1000,A178,'Input Sheet'!D$3:D$1000)</f>
        <v>0</v>
      </c>
      <c r="E178" s="4" t="str">
        <f t="shared" ref="E178:F178" ca="1" si="181">IFERROR(RANK(K178,K$6:K$1004,1),"")</f>
        <v/>
      </c>
      <c r="F178" s="4" t="str">
        <f t="shared" ca="1" si="181"/>
        <v/>
      </c>
      <c r="G178" s="4" t="str">
        <f t="shared" ca="1" si="4"/>
        <v/>
      </c>
      <c r="H178" s="4" t="str">
        <f t="shared" si="5"/>
        <v/>
      </c>
      <c r="I178" s="4" t="str">
        <f t="shared" si="6"/>
        <v/>
      </c>
      <c r="J178" s="4" t="str">
        <f t="shared" si="7"/>
        <v/>
      </c>
      <c r="K178" s="25" t="str">
        <f t="shared" ca="1" si="8"/>
        <v/>
      </c>
      <c r="L178" s="21" t="str">
        <f t="shared" ca="1" si="9"/>
        <v/>
      </c>
      <c r="M178" s="21" t="str">
        <f>IF(SUMIFS('Input Sheet'!$F$3:$F$1001,'Input Sheet'!$B$3:$B$1001,$H178,'Input Sheet'!$E$3:$E$1001,M$4)=0,"",SUMIFS('Input Sheet'!$F$3:$F$1001,'Input Sheet'!$B$3:$B$1001,$H178,'Input Sheet'!$E$3:$E$1001,M$4))</f>
        <v/>
      </c>
      <c r="N178" s="21" t="str">
        <f>IF(SUMIFS('Input Sheet'!$F$3:$F$1001,'Input Sheet'!$B$3:$B$1001,$H178,'Input Sheet'!$E$3:$E$1001,N$4)=0,"",SUMIFS('Input Sheet'!$F$3:$F$1001,'Input Sheet'!$B$3:$B$1001,$H178,'Input Sheet'!$E$3:$E$1001,N$4))</f>
        <v/>
      </c>
      <c r="O178" s="21" t="str">
        <f>IF(SUMIFS('Input Sheet'!$F$3:$F$1001,'Input Sheet'!$B$3:$B$1001,$H178,'Input Sheet'!$E$3:$E$1001,O$4)=0,"",SUMIFS('Input Sheet'!$F$3:$F$1001,'Input Sheet'!$B$3:$B$1001,$H178,'Input Sheet'!$E$3:$E$1001,O$4))</f>
        <v/>
      </c>
      <c r="P178" s="21" t="str">
        <f>IF(SUMIFS('Input Sheet'!$F$3:$F$1001,'Input Sheet'!$B$3:$B$1001,$H178,'Input Sheet'!$E$3:$E$1001,P$4)=0,"",SUMIFS('Input Sheet'!$F$3:$F$1001,'Input Sheet'!$B$3:$B$1001,$H178,'Input Sheet'!$E$3:$E$1001,P$4))</f>
        <v/>
      </c>
      <c r="Q178" s="21" t="str">
        <f>IF(SUMIFS('Input Sheet'!$F$3:$F$1001,'Input Sheet'!$B$3:$B$1001,$H178,'Input Sheet'!$E$3:$E$1001,Q$4)=0,"",SUMIFS('Input Sheet'!$F$3:$F$1001,'Input Sheet'!$B$3:$B$1001,$H178,'Input Sheet'!$E$3:$E$1001,Q$4))</f>
        <v/>
      </c>
      <c r="R178" s="21" t="str">
        <f>IF(SUMIFS('Input Sheet'!$F$3:$F$1001,'Input Sheet'!$B$3:$B$1001,$H178,'Input Sheet'!$E$3:$E$1001,R$4)=0,"",SUMIFS('Input Sheet'!$F$3:$F$1001,'Input Sheet'!$B$3:$B$1001,$H178,'Input Sheet'!$E$3:$E$1001,R$4))</f>
        <v/>
      </c>
      <c r="S178" s="21" t="str">
        <f>IF(SUMIFS('Input Sheet'!$F$3:$F$1001,'Input Sheet'!$B$3:$B$1001,$H178,'Input Sheet'!$E$3:$E$1001,S$4)=0,"",SUMIFS('Input Sheet'!$F$3:$F$1001,'Input Sheet'!$B$3:$B$1001,$H178,'Input Sheet'!$E$3:$E$1001,S$4))</f>
        <v/>
      </c>
      <c r="T178" s="22">
        <v>173</v>
      </c>
    </row>
    <row r="179" spans="1:20" ht="14.25" customHeight="1" x14ac:dyDescent="0.3">
      <c r="A179" s="4" t="str">
        <f>IF('Input Sheet'!B176=0,"",'Input Sheet'!B176)</f>
        <v/>
      </c>
      <c r="B179" s="24" t="b">
        <f t="shared" si="2"/>
        <v>0</v>
      </c>
      <c r="C179" s="4">
        <f>SUMIF('Input Sheet'!B$3:B$1000,A179,'Input Sheet'!C$3:C$1000)</f>
        <v>0</v>
      </c>
      <c r="D179" s="4">
        <f>SUMIF('Input Sheet'!B$3:B$1000,A179,'Input Sheet'!D$3:D$1000)</f>
        <v>0</v>
      </c>
      <c r="E179" s="4" t="str">
        <f t="shared" ref="E179:F179" ca="1" si="182">IFERROR(RANK(K179,K$6:K$1004,1),"")</f>
        <v/>
      </c>
      <c r="F179" s="4" t="str">
        <f t="shared" ca="1" si="182"/>
        <v/>
      </c>
      <c r="G179" s="4" t="str">
        <f t="shared" ca="1" si="4"/>
        <v/>
      </c>
      <c r="H179" s="4" t="str">
        <f t="shared" si="5"/>
        <v/>
      </c>
      <c r="I179" s="4" t="str">
        <f t="shared" si="6"/>
        <v/>
      </c>
      <c r="J179" s="4" t="str">
        <f t="shared" si="7"/>
        <v/>
      </c>
      <c r="K179" s="25" t="str">
        <f t="shared" ca="1" si="8"/>
        <v/>
      </c>
      <c r="L179" s="21" t="str">
        <f t="shared" ca="1" si="9"/>
        <v/>
      </c>
      <c r="M179" s="21" t="str">
        <f>IF(SUMIFS('Input Sheet'!$F$3:$F$1001,'Input Sheet'!$B$3:$B$1001,$H179,'Input Sheet'!$E$3:$E$1001,M$4)=0,"",SUMIFS('Input Sheet'!$F$3:$F$1001,'Input Sheet'!$B$3:$B$1001,$H179,'Input Sheet'!$E$3:$E$1001,M$4))</f>
        <v/>
      </c>
      <c r="N179" s="21" t="str">
        <f>IF(SUMIFS('Input Sheet'!$F$3:$F$1001,'Input Sheet'!$B$3:$B$1001,$H179,'Input Sheet'!$E$3:$E$1001,N$4)=0,"",SUMIFS('Input Sheet'!$F$3:$F$1001,'Input Sheet'!$B$3:$B$1001,$H179,'Input Sheet'!$E$3:$E$1001,N$4))</f>
        <v/>
      </c>
      <c r="O179" s="21" t="str">
        <f>IF(SUMIFS('Input Sheet'!$F$3:$F$1001,'Input Sheet'!$B$3:$B$1001,$H179,'Input Sheet'!$E$3:$E$1001,O$4)=0,"",SUMIFS('Input Sheet'!$F$3:$F$1001,'Input Sheet'!$B$3:$B$1001,$H179,'Input Sheet'!$E$3:$E$1001,O$4))</f>
        <v/>
      </c>
      <c r="P179" s="21" t="str">
        <f>IF(SUMIFS('Input Sheet'!$F$3:$F$1001,'Input Sheet'!$B$3:$B$1001,$H179,'Input Sheet'!$E$3:$E$1001,P$4)=0,"",SUMIFS('Input Sheet'!$F$3:$F$1001,'Input Sheet'!$B$3:$B$1001,$H179,'Input Sheet'!$E$3:$E$1001,P$4))</f>
        <v/>
      </c>
      <c r="Q179" s="21" t="str">
        <f>IF(SUMIFS('Input Sheet'!$F$3:$F$1001,'Input Sheet'!$B$3:$B$1001,$H179,'Input Sheet'!$E$3:$E$1001,Q$4)=0,"",SUMIFS('Input Sheet'!$F$3:$F$1001,'Input Sheet'!$B$3:$B$1001,$H179,'Input Sheet'!$E$3:$E$1001,Q$4))</f>
        <v/>
      </c>
      <c r="R179" s="21" t="str">
        <f>IF(SUMIFS('Input Sheet'!$F$3:$F$1001,'Input Sheet'!$B$3:$B$1001,$H179,'Input Sheet'!$E$3:$E$1001,R$4)=0,"",SUMIFS('Input Sheet'!$F$3:$F$1001,'Input Sheet'!$B$3:$B$1001,$H179,'Input Sheet'!$E$3:$E$1001,R$4))</f>
        <v/>
      </c>
      <c r="S179" s="21" t="str">
        <f>IF(SUMIFS('Input Sheet'!$F$3:$F$1001,'Input Sheet'!$B$3:$B$1001,$H179,'Input Sheet'!$E$3:$E$1001,S$4)=0,"",SUMIFS('Input Sheet'!$F$3:$F$1001,'Input Sheet'!$B$3:$B$1001,$H179,'Input Sheet'!$E$3:$E$1001,S$4))</f>
        <v/>
      </c>
      <c r="T179" s="22">
        <v>174</v>
      </c>
    </row>
    <row r="180" spans="1:20" ht="14.25" customHeight="1" x14ac:dyDescent="0.3">
      <c r="A180" s="4" t="str">
        <f>IF('Input Sheet'!B177=0,"",'Input Sheet'!B177)</f>
        <v/>
      </c>
      <c r="B180" s="24" t="b">
        <f t="shared" si="2"/>
        <v>0</v>
      </c>
      <c r="C180" s="4">
        <f>SUMIF('Input Sheet'!B$3:B$1000,A180,'Input Sheet'!C$3:C$1000)</f>
        <v>0</v>
      </c>
      <c r="D180" s="4">
        <f>SUMIF('Input Sheet'!B$3:B$1000,A180,'Input Sheet'!D$3:D$1000)</f>
        <v>0</v>
      </c>
      <c r="E180" s="4" t="str">
        <f t="shared" ref="E180:F180" ca="1" si="183">IFERROR(RANK(K180,K$6:K$1004,1),"")</f>
        <v/>
      </c>
      <c r="F180" s="4" t="str">
        <f t="shared" ca="1" si="183"/>
        <v/>
      </c>
      <c r="G180" s="4" t="str">
        <f t="shared" ca="1" si="4"/>
        <v/>
      </c>
      <c r="H180" s="4" t="str">
        <f t="shared" si="5"/>
        <v/>
      </c>
      <c r="I180" s="4" t="str">
        <f t="shared" si="6"/>
        <v/>
      </c>
      <c r="J180" s="4" t="str">
        <f t="shared" si="7"/>
        <v/>
      </c>
      <c r="K180" s="25" t="str">
        <f t="shared" ca="1" si="8"/>
        <v/>
      </c>
      <c r="L180" s="21" t="str">
        <f t="shared" ca="1" si="9"/>
        <v/>
      </c>
      <c r="M180" s="21" t="str">
        <f>IF(SUMIFS('Input Sheet'!$F$3:$F$1001,'Input Sheet'!$B$3:$B$1001,$H180,'Input Sheet'!$E$3:$E$1001,M$4)=0,"",SUMIFS('Input Sheet'!$F$3:$F$1001,'Input Sheet'!$B$3:$B$1001,$H180,'Input Sheet'!$E$3:$E$1001,M$4))</f>
        <v/>
      </c>
      <c r="N180" s="21" t="str">
        <f>IF(SUMIFS('Input Sheet'!$F$3:$F$1001,'Input Sheet'!$B$3:$B$1001,$H180,'Input Sheet'!$E$3:$E$1001,N$4)=0,"",SUMIFS('Input Sheet'!$F$3:$F$1001,'Input Sheet'!$B$3:$B$1001,$H180,'Input Sheet'!$E$3:$E$1001,N$4))</f>
        <v/>
      </c>
      <c r="O180" s="21" t="str">
        <f>IF(SUMIFS('Input Sheet'!$F$3:$F$1001,'Input Sheet'!$B$3:$B$1001,$H180,'Input Sheet'!$E$3:$E$1001,O$4)=0,"",SUMIFS('Input Sheet'!$F$3:$F$1001,'Input Sheet'!$B$3:$B$1001,$H180,'Input Sheet'!$E$3:$E$1001,O$4))</f>
        <v/>
      </c>
      <c r="P180" s="21" t="str">
        <f>IF(SUMIFS('Input Sheet'!$F$3:$F$1001,'Input Sheet'!$B$3:$B$1001,$H180,'Input Sheet'!$E$3:$E$1001,P$4)=0,"",SUMIFS('Input Sheet'!$F$3:$F$1001,'Input Sheet'!$B$3:$B$1001,$H180,'Input Sheet'!$E$3:$E$1001,P$4))</f>
        <v/>
      </c>
      <c r="Q180" s="21" t="str">
        <f>IF(SUMIFS('Input Sheet'!$F$3:$F$1001,'Input Sheet'!$B$3:$B$1001,$H180,'Input Sheet'!$E$3:$E$1001,Q$4)=0,"",SUMIFS('Input Sheet'!$F$3:$F$1001,'Input Sheet'!$B$3:$B$1001,$H180,'Input Sheet'!$E$3:$E$1001,Q$4))</f>
        <v/>
      </c>
      <c r="R180" s="21" t="str">
        <f>IF(SUMIFS('Input Sheet'!$F$3:$F$1001,'Input Sheet'!$B$3:$B$1001,$H180,'Input Sheet'!$E$3:$E$1001,R$4)=0,"",SUMIFS('Input Sheet'!$F$3:$F$1001,'Input Sheet'!$B$3:$B$1001,$H180,'Input Sheet'!$E$3:$E$1001,R$4))</f>
        <v/>
      </c>
      <c r="S180" s="21" t="str">
        <f>IF(SUMIFS('Input Sheet'!$F$3:$F$1001,'Input Sheet'!$B$3:$B$1001,$H180,'Input Sheet'!$E$3:$E$1001,S$4)=0,"",SUMIFS('Input Sheet'!$F$3:$F$1001,'Input Sheet'!$B$3:$B$1001,$H180,'Input Sheet'!$E$3:$E$1001,S$4))</f>
        <v/>
      </c>
      <c r="T180" s="22">
        <v>175</v>
      </c>
    </row>
    <row r="181" spans="1:20" ht="14.25" customHeight="1" x14ac:dyDescent="0.3">
      <c r="A181" s="4" t="str">
        <f>IF('Input Sheet'!B178=0,"",'Input Sheet'!B178)</f>
        <v/>
      </c>
      <c r="B181" s="24" t="b">
        <f t="shared" si="2"/>
        <v>0</v>
      </c>
      <c r="C181" s="4">
        <f>SUMIF('Input Sheet'!B$3:B$1000,A181,'Input Sheet'!C$3:C$1000)</f>
        <v>0</v>
      </c>
      <c r="D181" s="4">
        <f>SUMIF('Input Sheet'!B$3:B$1000,A181,'Input Sheet'!D$3:D$1000)</f>
        <v>0</v>
      </c>
      <c r="E181" s="4" t="str">
        <f t="shared" ref="E181:F181" ca="1" si="184">IFERROR(RANK(K181,K$6:K$1004,1),"")</f>
        <v/>
      </c>
      <c r="F181" s="4" t="str">
        <f t="shared" ca="1" si="184"/>
        <v/>
      </c>
      <c r="G181" s="4" t="str">
        <f t="shared" ca="1" si="4"/>
        <v/>
      </c>
      <c r="H181" s="4" t="str">
        <f t="shared" si="5"/>
        <v/>
      </c>
      <c r="I181" s="4" t="str">
        <f t="shared" si="6"/>
        <v/>
      </c>
      <c r="J181" s="4" t="str">
        <f t="shared" si="7"/>
        <v/>
      </c>
      <c r="K181" s="25" t="str">
        <f t="shared" ca="1" si="8"/>
        <v/>
      </c>
      <c r="L181" s="21" t="str">
        <f t="shared" ca="1" si="9"/>
        <v/>
      </c>
      <c r="M181" s="21" t="str">
        <f>IF(SUMIFS('Input Sheet'!$F$3:$F$1001,'Input Sheet'!$B$3:$B$1001,$H181,'Input Sheet'!$E$3:$E$1001,M$4)=0,"",SUMIFS('Input Sheet'!$F$3:$F$1001,'Input Sheet'!$B$3:$B$1001,$H181,'Input Sheet'!$E$3:$E$1001,M$4))</f>
        <v/>
      </c>
      <c r="N181" s="21" t="str">
        <f>IF(SUMIFS('Input Sheet'!$F$3:$F$1001,'Input Sheet'!$B$3:$B$1001,$H181,'Input Sheet'!$E$3:$E$1001,N$4)=0,"",SUMIFS('Input Sheet'!$F$3:$F$1001,'Input Sheet'!$B$3:$B$1001,$H181,'Input Sheet'!$E$3:$E$1001,N$4))</f>
        <v/>
      </c>
      <c r="O181" s="21" t="str">
        <f>IF(SUMIFS('Input Sheet'!$F$3:$F$1001,'Input Sheet'!$B$3:$B$1001,$H181,'Input Sheet'!$E$3:$E$1001,O$4)=0,"",SUMIFS('Input Sheet'!$F$3:$F$1001,'Input Sheet'!$B$3:$B$1001,$H181,'Input Sheet'!$E$3:$E$1001,O$4))</f>
        <v/>
      </c>
      <c r="P181" s="21" t="str">
        <f>IF(SUMIFS('Input Sheet'!$F$3:$F$1001,'Input Sheet'!$B$3:$B$1001,$H181,'Input Sheet'!$E$3:$E$1001,P$4)=0,"",SUMIFS('Input Sheet'!$F$3:$F$1001,'Input Sheet'!$B$3:$B$1001,$H181,'Input Sheet'!$E$3:$E$1001,P$4))</f>
        <v/>
      </c>
      <c r="Q181" s="21" t="str">
        <f>IF(SUMIFS('Input Sheet'!$F$3:$F$1001,'Input Sheet'!$B$3:$B$1001,$H181,'Input Sheet'!$E$3:$E$1001,Q$4)=0,"",SUMIFS('Input Sheet'!$F$3:$F$1001,'Input Sheet'!$B$3:$B$1001,$H181,'Input Sheet'!$E$3:$E$1001,Q$4))</f>
        <v/>
      </c>
      <c r="R181" s="21" t="str">
        <f>IF(SUMIFS('Input Sheet'!$F$3:$F$1001,'Input Sheet'!$B$3:$B$1001,$H181,'Input Sheet'!$E$3:$E$1001,R$4)=0,"",SUMIFS('Input Sheet'!$F$3:$F$1001,'Input Sheet'!$B$3:$B$1001,$H181,'Input Sheet'!$E$3:$E$1001,R$4))</f>
        <v/>
      </c>
      <c r="S181" s="21" t="str">
        <f>IF(SUMIFS('Input Sheet'!$F$3:$F$1001,'Input Sheet'!$B$3:$B$1001,$H181,'Input Sheet'!$E$3:$E$1001,S$4)=0,"",SUMIFS('Input Sheet'!$F$3:$F$1001,'Input Sheet'!$B$3:$B$1001,$H181,'Input Sheet'!$E$3:$E$1001,S$4))</f>
        <v/>
      </c>
      <c r="T181" s="22">
        <v>176</v>
      </c>
    </row>
    <row r="182" spans="1:20" ht="14.25" customHeight="1" x14ac:dyDescent="0.3">
      <c r="A182" s="4" t="str">
        <f>IF('Input Sheet'!B179=0,"",'Input Sheet'!B179)</f>
        <v/>
      </c>
      <c r="B182" s="24" t="b">
        <f t="shared" si="2"/>
        <v>0</v>
      </c>
      <c r="C182" s="4">
        <f>SUMIF('Input Sheet'!B$3:B$1000,A182,'Input Sheet'!C$3:C$1000)</f>
        <v>0</v>
      </c>
      <c r="D182" s="4">
        <f>SUMIF('Input Sheet'!B$3:B$1000,A182,'Input Sheet'!D$3:D$1000)</f>
        <v>0</v>
      </c>
      <c r="E182" s="4" t="str">
        <f t="shared" ref="E182:F182" ca="1" si="185">IFERROR(RANK(K182,K$6:K$1004,1),"")</f>
        <v/>
      </c>
      <c r="F182" s="4" t="str">
        <f t="shared" ca="1" si="185"/>
        <v/>
      </c>
      <c r="G182" s="4" t="str">
        <f t="shared" ca="1" si="4"/>
        <v/>
      </c>
      <c r="H182" s="4" t="str">
        <f t="shared" si="5"/>
        <v/>
      </c>
      <c r="I182" s="4" t="str">
        <f t="shared" si="6"/>
        <v/>
      </c>
      <c r="J182" s="4" t="str">
        <f t="shared" si="7"/>
        <v/>
      </c>
      <c r="K182" s="25" t="str">
        <f t="shared" ca="1" si="8"/>
        <v/>
      </c>
      <c r="L182" s="21" t="str">
        <f t="shared" ca="1" si="9"/>
        <v/>
      </c>
      <c r="M182" s="21" t="str">
        <f>IF(SUMIFS('Input Sheet'!$F$3:$F$1001,'Input Sheet'!$B$3:$B$1001,$H182,'Input Sheet'!$E$3:$E$1001,M$4)=0,"",SUMIFS('Input Sheet'!$F$3:$F$1001,'Input Sheet'!$B$3:$B$1001,$H182,'Input Sheet'!$E$3:$E$1001,M$4))</f>
        <v/>
      </c>
      <c r="N182" s="21" t="str">
        <f>IF(SUMIFS('Input Sheet'!$F$3:$F$1001,'Input Sheet'!$B$3:$B$1001,$H182,'Input Sheet'!$E$3:$E$1001,N$4)=0,"",SUMIFS('Input Sheet'!$F$3:$F$1001,'Input Sheet'!$B$3:$B$1001,$H182,'Input Sheet'!$E$3:$E$1001,N$4))</f>
        <v/>
      </c>
      <c r="O182" s="21" t="str">
        <f>IF(SUMIFS('Input Sheet'!$F$3:$F$1001,'Input Sheet'!$B$3:$B$1001,$H182,'Input Sheet'!$E$3:$E$1001,O$4)=0,"",SUMIFS('Input Sheet'!$F$3:$F$1001,'Input Sheet'!$B$3:$B$1001,$H182,'Input Sheet'!$E$3:$E$1001,O$4))</f>
        <v/>
      </c>
      <c r="P182" s="21" t="str">
        <f>IF(SUMIFS('Input Sheet'!$F$3:$F$1001,'Input Sheet'!$B$3:$B$1001,$H182,'Input Sheet'!$E$3:$E$1001,P$4)=0,"",SUMIFS('Input Sheet'!$F$3:$F$1001,'Input Sheet'!$B$3:$B$1001,$H182,'Input Sheet'!$E$3:$E$1001,P$4))</f>
        <v/>
      </c>
      <c r="Q182" s="21" t="str">
        <f>IF(SUMIFS('Input Sheet'!$F$3:$F$1001,'Input Sheet'!$B$3:$B$1001,$H182,'Input Sheet'!$E$3:$E$1001,Q$4)=0,"",SUMIFS('Input Sheet'!$F$3:$F$1001,'Input Sheet'!$B$3:$B$1001,$H182,'Input Sheet'!$E$3:$E$1001,Q$4))</f>
        <v/>
      </c>
      <c r="R182" s="21" t="str">
        <f>IF(SUMIFS('Input Sheet'!$F$3:$F$1001,'Input Sheet'!$B$3:$B$1001,$H182,'Input Sheet'!$E$3:$E$1001,R$4)=0,"",SUMIFS('Input Sheet'!$F$3:$F$1001,'Input Sheet'!$B$3:$B$1001,$H182,'Input Sheet'!$E$3:$E$1001,R$4))</f>
        <v/>
      </c>
      <c r="S182" s="21" t="str">
        <f>IF(SUMIFS('Input Sheet'!$F$3:$F$1001,'Input Sheet'!$B$3:$B$1001,$H182,'Input Sheet'!$E$3:$E$1001,S$4)=0,"",SUMIFS('Input Sheet'!$F$3:$F$1001,'Input Sheet'!$B$3:$B$1001,$H182,'Input Sheet'!$E$3:$E$1001,S$4))</f>
        <v/>
      </c>
      <c r="T182" s="22">
        <v>177</v>
      </c>
    </row>
    <row r="183" spans="1:20" ht="14.25" customHeight="1" x14ac:dyDescent="0.3">
      <c r="A183" s="4" t="str">
        <f>IF('Input Sheet'!B180=0,"",'Input Sheet'!B180)</f>
        <v/>
      </c>
      <c r="B183" s="24" t="b">
        <f t="shared" si="2"/>
        <v>0</v>
      </c>
      <c r="C183" s="4">
        <f>SUMIF('Input Sheet'!B$3:B$1000,A183,'Input Sheet'!C$3:C$1000)</f>
        <v>0</v>
      </c>
      <c r="D183" s="4">
        <f>SUMIF('Input Sheet'!B$3:B$1000,A183,'Input Sheet'!D$3:D$1000)</f>
        <v>0</v>
      </c>
      <c r="E183" s="4" t="str">
        <f t="shared" ref="E183:F183" ca="1" si="186">IFERROR(RANK(K183,K$6:K$1004,1),"")</f>
        <v/>
      </c>
      <c r="F183" s="4" t="str">
        <f t="shared" ca="1" si="186"/>
        <v/>
      </c>
      <c r="G183" s="4" t="str">
        <f t="shared" ca="1" si="4"/>
        <v/>
      </c>
      <c r="H183" s="4" t="str">
        <f t="shared" si="5"/>
        <v/>
      </c>
      <c r="I183" s="4" t="str">
        <f t="shared" si="6"/>
        <v/>
      </c>
      <c r="J183" s="4" t="str">
        <f t="shared" si="7"/>
        <v/>
      </c>
      <c r="K183" s="25" t="str">
        <f t="shared" ca="1" si="8"/>
        <v/>
      </c>
      <c r="L183" s="21" t="str">
        <f t="shared" ca="1" si="9"/>
        <v/>
      </c>
      <c r="M183" s="21" t="str">
        <f>IF(SUMIFS('Input Sheet'!$F$3:$F$1001,'Input Sheet'!$B$3:$B$1001,$H183,'Input Sheet'!$E$3:$E$1001,M$4)=0,"",SUMIFS('Input Sheet'!$F$3:$F$1001,'Input Sheet'!$B$3:$B$1001,$H183,'Input Sheet'!$E$3:$E$1001,M$4))</f>
        <v/>
      </c>
      <c r="N183" s="21" t="str">
        <f>IF(SUMIFS('Input Sheet'!$F$3:$F$1001,'Input Sheet'!$B$3:$B$1001,$H183,'Input Sheet'!$E$3:$E$1001,N$4)=0,"",SUMIFS('Input Sheet'!$F$3:$F$1001,'Input Sheet'!$B$3:$B$1001,$H183,'Input Sheet'!$E$3:$E$1001,N$4))</f>
        <v/>
      </c>
      <c r="O183" s="21" t="str">
        <f>IF(SUMIFS('Input Sheet'!$F$3:$F$1001,'Input Sheet'!$B$3:$B$1001,$H183,'Input Sheet'!$E$3:$E$1001,O$4)=0,"",SUMIFS('Input Sheet'!$F$3:$F$1001,'Input Sheet'!$B$3:$B$1001,$H183,'Input Sheet'!$E$3:$E$1001,O$4))</f>
        <v/>
      </c>
      <c r="P183" s="21" t="str">
        <f>IF(SUMIFS('Input Sheet'!$F$3:$F$1001,'Input Sheet'!$B$3:$B$1001,$H183,'Input Sheet'!$E$3:$E$1001,P$4)=0,"",SUMIFS('Input Sheet'!$F$3:$F$1001,'Input Sheet'!$B$3:$B$1001,$H183,'Input Sheet'!$E$3:$E$1001,P$4))</f>
        <v/>
      </c>
      <c r="Q183" s="21" t="str">
        <f>IF(SUMIFS('Input Sheet'!$F$3:$F$1001,'Input Sheet'!$B$3:$B$1001,$H183,'Input Sheet'!$E$3:$E$1001,Q$4)=0,"",SUMIFS('Input Sheet'!$F$3:$F$1001,'Input Sheet'!$B$3:$B$1001,$H183,'Input Sheet'!$E$3:$E$1001,Q$4))</f>
        <v/>
      </c>
      <c r="R183" s="21" t="str">
        <f>IF(SUMIFS('Input Sheet'!$F$3:$F$1001,'Input Sheet'!$B$3:$B$1001,$H183,'Input Sheet'!$E$3:$E$1001,R$4)=0,"",SUMIFS('Input Sheet'!$F$3:$F$1001,'Input Sheet'!$B$3:$B$1001,$H183,'Input Sheet'!$E$3:$E$1001,R$4))</f>
        <v/>
      </c>
      <c r="S183" s="21" t="str">
        <f>IF(SUMIFS('Input Sheet'!$F$3:$F$1001,'Input Sheet'!$B$3:$B$1001,$H183,'Input Sheet'!$E$3:$E$1001,S$4)=0,"",SUMIFS('Input Sheet'!$F$3:$F$1001,'Input Sheet'!$B$3:$B$1001,$H183,'Input Sheet'!$E$3:$E$1001,S$4))</f>
        <v/>
      </c>
      <c r="T183" s="22">
        <v>178</v>
      </c>
    </row>
    <row r="184" spans="1:20" ht="14.25" customHeight="1" x14ac:dyDescent="0.3">
      <c r="A184" s="4" t="str">
        <f>IF('Input Sheet'!B181=0,"",'Input Sheet'!B181)</f>
        <v/>
      </c>
      <c r="B184" s="24" t="b">
        <f t="shared" si="2"/>
        <v>0</v>
      </c>
      <c r="C184" s="4">
        <f>SUMIF('Input Sheet'!B$3:B$1000,A184,'Input Sheet'!C$3:C$1000)</f>
        <v>0</v>
      </c>
      <c r="D184" s="4">
        <f>SUMIF('Input Sheet'!B$3:B$1000,A184,'Input Sheet'!D$3:D$1000)</f>
        <v>0</v>
      </c>
      <c r="E184" s="4" t="str">
        <f t="shared" ref="E184:F184" ca="1" si="187">IFERROR(RANK(K184,K$6:K$1004,1),"")</f>
        <v/>
      </c>
      <c r="F184" s="4" t="str">
        <f t="shared" ca="1" si="187"/>
        <v/>
      </c>
      <c r="G184" s="4" t="str">
        <f t="shared" ca="1" si="4"/>
        <v/>
      </c>
      <c r="H184" s="4" t="str">
        <f t="shared" si="5"/>
        <v/>
      </c>
      <c r="I184" s="4" t="str">
        <f t="shared" si="6"/>
        <v/>
      </c>
      <c r="J184" s="4" t="str">
        <f t="shared" si="7"/>
        <v/>
      </c>
      <c r="K184" s="25" t="str">
        <f t="shared" ca="1" si="8"/>
        <v/>
      </c>
      <c r="L184" s="21" t="str">
        <f t="shared" ca="1" si="9"/>
        <v/>
      </c>
      <c r="M184" s="21" t="str">
        <f>IF(SUMIFS('Input Sheet'!$F$3:$F$1001,'Input Sheet'!$B$3:$B$1001,$H184,'Input Sheet'!$E$3:$E$1001,M$4)=0,"",SUMIFS('Input Sheet'!$F$3:$F$1001,'Input Sheet'!$B$3:$B$1001,$H184,'Input Sheet'!$E$3:$E$1001,M$4))</f>
        <v/>
      </c>
      <c r="N184" s="21" t="str">
        <f>IF(SUMIFS('Input Sheet'!$F$3:$F$1001,'Input Sheet'!$B$3:$B$1001,$H184,'Input Sheet'!$E$3:$E$1001,N$4)=0,"",SUMIFS('Input Sheet'!$F$3:$F$1001,'Input Sheet'!$B$3:$B$1001,$H184,'Input Sheet'!$E$3:$E$1001,N$4))</f>
        <v/>
      </c>
      <c r="O184" s="21" t="str">
        <f>IF(SUMIFS('Input Sheet'!$F$3:$F$1001,'Input Sheet'!$B$3:$B$1001,$H184,'Input Sheet'!$E$3:$E$1001,O$4)=0,"",SUMIFS('Input Sheet'!$F$3:$F$1001,'Input Sheet'!$B$3:$B$1001,$H184,'Input Sheet'!$E$3:$E$1001,O$4))</f>
        <v/>
      </c>
      <c r="P184" s="21" t="str">
        <f>IF(SUMIFS('Input Sheet'!$F$3:$F$1001,'Input Sheet'!$B$3:$B$1001,$H184,'Input Sheet'!$E$3:$E$1001,P$4)=0,"",SUMIFS('Input Sheet'!$F$3:$F$1001,'Input Sheet'!$B$3:$B$1001,$H184,'Input Sheet'!$E$3:$E$1001,P$4))</f>
        <v/>
      </c>
      <c r="Q184" s="21" t="str">
        <f>IF(SUMIFS('Input Sheet'!$F$3:$F$1001,'Input Sheet'!$B$3:$B$1001,$H184,'Input Sheet'!$E$3:$E$1001,Q$4)=0,"",SUMIFS('Input Sheet'!$F$3:$F$1001,'Input Sheet'!$B$3:$B$1001,$H184,'Input Sheet'!$E$3:$E$1001,Q$4))</f>
        <v/>
      </c>
      <c r="R184" s="21" t="str">
        <f>IF(SUMIFS('Input Sheet'!$F$3:$F$1001,'Input Sheet'!$B$3:$B$1001,$H184,'Input Sheet'!$E$3:$E$1001,R$4)=0,"",SUMIFS('Input Sheet'!$F$3:$F$1001,'Input Sheet'!$B$3:$B$1001,$H184,'Input Sheet'!$E$3:$E$1001,R$4))</f>
        <v/>
      </c>
      <c r="S184" s="21" t="str">
        <f>IF(SUMIFS('Input Sheet'!$F$3:$F$1001,'Input Sheet'!$B$3:$B$1001,$H184,'Input Sheet'!$E$3:$E$1001,S$4)=0,"",SUMIFS('Input Sheet'!$F$3:$F$1001,'Input Sheet'!$B$3:$B$1001,$H184,'Input Sheet'!$E$3:$E$1001,S$4))</f>
        <v/>
      </c>
      <c r="T184" s="22">
        <v>179</v>
      </c>
    </row>
    <row r="185" spans="1:20" ht="14.25" customHeight="1" x14ac:dyDescent="0.3">
      <c r="A185" s="4" t="str">
        <f>IF('Input Sheet'!B182=0,"",'Input Sheet'!B182)</f>
        <v/>
      </c>
      <c r="B185" s="24" t="b">
        <f t="shared" si="2"/>
        <v>0</v>
      </c>
      <c r="C185" s="4">
        <f>SUMIF('Input Sheet'!B$3:B$1000,A185,'Input Sheet'!C$3:C$1000)</f>
        <v>0</v>
      </c>
      <c r="D185" s="4">
        <f>SUMIF('Input Sheet'!B$3:B$1000,A185,'Input Sheet'!D$3:D$1000)</f>
        <v>0</v>
      </c>
      <c r="E185" s="4" t="str">
        <f t="shared" ref="E185:F185" ca="1" si="188">IFERROR(RANK(K185,K$6:K$1004,1),"")</f>
        <v/>
      </c>
      <c r="F185" s="4" t="str">
        <f t="shared" ca="1" si="188"/>
        <v/>
      </c>
      <c r="G185" s="4" t="str">
        <f t="shared" ca="1" si="4"/>
        <v/>
      </c>
      <c r="H185" s="4" t="str">
        <f t="shared" si="5"/>
        <v/>
      </c>
      <c r="I185" s="4" t="str">
        <f t="shared" si="6"/>
        <v/>
      </c>
      <c r="J185" s="4" t="str">
        <f t="shared" si="7"/>
        <v/>
      </c>
      <c r="K185" s="25" t="str">
        <f t="shared" ca="1" si="8"/>
        <v/>
      </c>
      <c r="L185" s="21" t="str">
        <f t="shared" ca="1" si="9"/>
        <v/>
      </c>
      <c r="M185" s="21" t="str">
        <f>IF(SUMIFS('Input Sheet'!$F$3:$F$1001,'Input Sheet'!$B$3:$B$1001,$H185,'Input Sheet'!$E$3:$E$1001,M$4)=0,"",SUMIFS('Input Sheet'!$F$3:$F$1001,'Input Sheet'!$B$3:$B$1001,$H185,'Input Sheet'!$E$3:$E$1001,M$4))</f>
        <v/>
      </c>
      <c r="N185" s="21" t="str">
        <f>IF(SUMIFS('Input Sheet'!$F$3:$F$1001,'Input Sheet'!$B$3:$B$1001,$H185,'Input Sheet'!$E$3:$E$1001,N$4)=0,"",SUMIFS('Input Sheet'!$F$3:$F$1001,'Input Sheet'!$B$3:$B$1001,$H185,'Input Sheet'!$E$3:$E$1001,N$4))</f>
        <v/>
      </c>
      <c r="O185" s="21" t="str">
        <f>IF(SUMIFS('Input Sheet'!$F$3:$F$1001,'Input Sheet'!$B$3:$B$1001,$H185,'Input Sheet'!$E$3:$E$1001,O$4)=0,"",SUMIFS('Input Sheet'!$F$3:$F$1001,'Input Sheet'!$B$3:$B$1001,$H185,'Input Sheet'!$E$3:$E$1001,O$4))</f>
        <v/>
      </c>
      <c r="P185" s="21" t="str">
        <f>IF(SUMIFS('Input Sheet'!$F$3:$F$1001,'Input Sheet'!$B$3:$B$1001,$H185,'Input Sheet'!$E$3:$E$1001,P$4)=0,"",SUMIFS('Input Sheet'!$F$3:$F$1001,'Input Sheet'!$B$3:$B$1001,$H185,'Input Sheet'!$E$3:$E$1001,P$4))</f>
        <v/>
      </c>
      <c r="Q185" s="21" t="str">
        <f>IF(SUMIFS('Input Sheet'!$F$3:$F$1001,'Input Sheet'!$B$3:$B$1001,$H185,'Input Sheet'!$E$3:$E$1001,Q$4)=0,"",SUMIFS('Input Sheet'!$F$3:$F$1001,'Input Sheet'!$B$3:$B$1001,$H185,'Input Sheet'!$E$3:$E$1001,Q$4))</f>
        <v/>
      </c>
      <c r="R185" s="21" t="str">
        <f>IF(SUMIFS('Input Sheet'!$F$3:$F$1001,'Input Sheet'!$B$3:$B$1001,$H185,'Input Sheet'!$E$3:$E$1001,R$4)=0,"",SUMIFS('Input Sheet'!$F$3:$F$1001,'Input Sheet'!$B$3:$B$1001,$H185,'Input Sheet'!$E$3:$E$1001,R$4))</f>
        <v/>
      </c>
      <c r="S185" s="21" t="str">
        <f>IF(SUMIFS('Input Sheet'!$F$3:$F$1001,'Input Sheet'!$B$3:$B$1001,$H185,'Input Sheet'!$E$3:$E$1001,S$4)=0,"",SUMIFS('Input Sheet'!$F$3:$F$1001,'Input Sheet'!$B$3:$B$1001,$H185,'Input Sheet'!$E$3:$E$1001,S$4))</f>
        <v/>
      </c>
      <c r="T185" s="22">
        <v>180</v>
      </c>
    </row>
    <row r="186" spans="1:20" ht="14.25" customHeight="1" x14ac:dyDescent="0.3">
      <c r="A186" s="4" t="str">
        <f>IF('Input Sheet'!B183=0,"",'Input Sheet'!B183)</f>
        <v/>
      </c>
      <c r="B186" s="24" t="b">
        <f t="shared" si="2"/>
        <v>0</v>
      </c>
      <c r="C186" s="4">
        <f>SUMIF('Input Sheet'!B$3:B$1000,A186,'Input Sheet'!C$3:C$1000)</f>
        <v>0</v>
      </c>
      <c r="D186" s="4">
        <f>SUMIF('Input Sheet'!B$3:B$1000,A186,'Input Sheet'!D$3:D$1000)</f>
        <v>0</v>
      </c>
      <c r="E186" s="4" t="str">
        <f t="shared" ref="E186:F186" ca="1" si="189">IFERROR(RANK(K186,K$6:K$1004,1),"")</f>
        <v/>
      </c>
      <c r="F186" s="4" t="str">
        <f t="shared" ca="1" si="189"/>
        <v/>
      </c>
      <c r="G186" s="4" t="str">
        <f t="shared" ca="1" si="4"/>
        <v/>
      </c>
      <c r="H186" s="4" t="str">
        <f t="shared" si="5"/>
        <v/>
      </c>
      <c r="I186" s="4" t="str">
        <f t="shared" si="6"/>
        <v/>
      </c>
      <c r="J186" s="4" t="str">
        <f t="shared" si="7"/>
        <v/>
      </c>
      <c r="K186" s="25" t="str">
        <f t="shared" ca="1" si="8"/>
        <v/>
      </c>
      <c r="L186" s="21" t="str">
        <f t="shared" ca="1" si="9"/>
        <v/>
      </c>
      <c r="M186" s="21" t="str">
        <f>IF(SUMIFS('Input Sheet'!$F$3:$F$1001,'Input Sheet'!$B$3:$B$1001,$H186,'Input Sheet'!$E$3:$E$1001,M$4)=0,"",SUMIFS('Input Sheet'!$F$3:$F$1001,'Input Sheet'!$B$3:$B$1001,$H186,'Input Sheet'!$E$3:$E$1001,M$4))</f>
        <v/>
      </c>
      <c r="N186" s="21" t="str">
        <f>IF(SUMIFS('Input Sheet'!$F$3:$F$1001,'Input Sheet'!$B$3:$B$1001,$H186,'Input Sheet'!$E$3:$E$1001,N$4)=0,"",SUMIFS('Input Sheet'!$F$3:$F$1001,'Input Sheet'!$B$3:$B$1001,$H186,'Input Sheet'!$E$3:$E$1001,N$4))</f>
        <v/>
      </c>
      <c r="O186" s="21" t="str">
        <f>IF(SUMIFS('Input Sheet'!$F$3:$F$1001,'Input Sheet'!$B$3:$B$1001,$H186,'Input Sheet'!$E$3:$E$1001,O$4)=0,"",SUMIFS('Input Sheet'!$F$3:$F$1001,'Input Sheet'!$B$3:$B$1001,$H186,'Input Sheet'!$E$3:$E$1001,O$4))</f>
        <v/>
      </c>
      <c r="P186" s="21" t="str">
        <f>IF(SUMIFS('Input Sheet'!$F$3:$F$1001,'Input Sheet'!$B$3:$B$1001,$H186,'Input Sheet'!$E$3:$E$1001,P$4)=0,"",SUMIFS('Input Sheet'!$F$3:$F$1001,'Input Sheet'!$B$3:$B$1001,$H186,'Input Sheet'!$E$3:$E$1001,P$4))</f>
        <v/>
      </c>
      <c r="Q186" s="21" t="str">
        <f>IF(SUMIFS('Input Sheet'!$F$3:$F$1001,'Input Sheet'!$B$3:$B$1001,$H186,'Input Sheet'!$E$3:$E$1001,Q$4)=0,"",SUMIFS('Input Sheet'!$F$3:$F$1001,'Input Sheet'!$B$3:$B$1001,$H186,'Input Sheet'!$E$3:$E$1001,Q$4))</f>
        <v/>
      </c>
      <c r="R186" s="21" t="str">
        <f>IF(SUMIFS('Input Sheet'!$F$3:$F$1001,'Input Sheet'!$B$3:$B$1001,$H186,'Input Sheet'!$E$3:$E$1001,R$4)=0,"",SUMIFS('Input Sheet'!$F$3:$F$1001,'Input Sheet'!$B$3:$B$1001,$H186,'Input Sheet'!$E$3:$E$1001,R$4))</f>
        <v/>
      </c>
      <c r="S186" s="21" t="str">
        <f>IF(SUMIFS('Input Sheet'!$F$3:$F$1001,'Input Sheet'!$B$3:$B$1001,$H186,'Input Sheet'!$E$3:$E$1001,S$4)=0,"",SUMIFS('Input Sheet'!$F$3:$F$1001,'Input Sheet'!$B$3:$B$1001,$H186,'Input Sheet'!$E$3:$E$1001,S$4))</f>
        <v/>
      </c>
      <c r="T186" s="22">
        <v>181</v>
      </c>
    </row>
    <row r="187" spans="1:20" ht="14.25" customHeight="1" x14ac:dyDescent="0.3">
      <c r="A187" s="4" t="str">
        <f>IF('Input Sheet'!B184=0,"",'Input Sheet'!B184)</f>
        <v/>
      </c>
      <c r="B187" s="24" t="b">
        <f t="shared" si="2"/>
        <v>0</v>
      </c>
      <c r="C187" s="4">
        <f>SUMIF('Input Sheet'!B$3:B$1000,A187,'Input Sheet'!C$3:C$1000)</f>
        <v>0</v>
      </c>
      <c r="D187" s="4">
        <f>SUMIF('Input Sheet'!B$3:B$1000,A187,'Input Sheet'!D$3:D$1000)</f>
        <v>0</v>
      </c>
      <c r="E187" s="4" t="str">
        <f t="shared" ref="E187:F187" ca="1" si="190">IFERROR(RANK(K187,K$6:K$1004,1),"")</f>
        <v/>
      </c>
      <c r="F187" s="4" t="str">
        <f t="shared" ca="1" si="190"/>
        <v/>
      </c>
      <c r="G187" s="4" t="str">
        <f t="shared" ca="1" si="4"/>
        <v/>
      </c>
      <c r="H187" s="4" t="str">
        <f t="shared" si="5"/>
        <v/>
      </c>
      <c r="I187" s="4" t="str">
        <f t="shared" si="6"/>
        <v/>
      </c>
      <c r="J187" s="4" t="str">
        <f t="shared" si="7"/>
        <v/>
      </c>
      <c r="K187" s="25" t="str">
        <f t="shared" ca="1" si="8"/>
        <v/>
      </c>
      <c r="L187" s="21" t="str">
        <f t="shared" ca="1" si="9"/>
        <v/>
      </c>
      <c r="M187" s="21" t="str">
        <f>IF(SUMIFS('Input Sheet'!$F$3:$F$1001,'Input Sheet'!$B$3:$B$1001,$H187,'Input Sheet'!$E$3:$E$1001,M$4)=0,"",SUMIFS('Input Sheet'!$F$3:$F$1001,'Input Sheet'!$B$3:$B$1001,$H187,'Input Sheet'!$E$3:$E$1001,M$4))</f>
        <v/>
      </c>
      <c r="N187" s="21" t="str">
        <f>IF(SUMIFS('Input Sheet'!$F$3:$F$1001,'Input Sheet'!$B$3:$B$1001,$H187,'Input Sheet'!$E$3:$E$1001,N$4)=0,"",SUMIFS('Input Sheet'!$F$3:$F$1001,'Input Sheet'!$B$3:$B$1001,$H187,'Input Sheet'!$E$3:$E$1001,N$4))</f>
        <v/>
      </c>
      <c r="O187" s="21" t="str">
        <f>IF(SUMIFS('Input Sheet'!$F$3:$F$1001,'Input Sheet'!$B$3:$B$1001,$H187,'Input Sheet'!$E$3:$E$1001,O$4)=0,"",SUMIFS('Input Sheet'!$F$3:$F$1001,'Input Sheet'!$B$3:$B$1001,$H187,'Input Sheet'!$E$3:$E$1001,O$4))</f>
        <v/>
      </c>
      <c r="P187" s="21" t="str">
        <f>IF(SUMIFS('Input Sheet'!$F$3:$F$1001,'Input Sheet'!$B$3:$B$1001,$H187,'Input Sheet'!$E$3:$E$1001,P$4)=0,"",SUMIFS('Input Sheet'!$F$3:$F$1001,'Input Sheet'!$B$3:$B$1001,$H187,'Input Sheet'!$E$3:$E$1001,P$4))</f>
        <v/>
      </c>
      <c r="Q187" s="21" t="str">
        <f>IF(SUMIFS('Input Sheet'!$F$3:$F$1001,'Input Sheet'!$B$3:$B$1001,$H187,'Input Sheet'!$E$3:$E$1001,Q$4)=0,"",SUMIFS('Input Sheet'!$F$3:$F$1001,'Input Sheet'!$B$3:$B$1001,$H187,'Input Sheet'!$E$3:$E$1001,Q$4))</f>
        <v/>
      </c>
      <c r="R187" s="21" t="str">
        <f>IF(SUMIFS('Input Sheet'!$F$3:$F$1001,'Input Sheet'!$B$3:$B$1001,$H187,'Input Sheet'!$E$3:$E$1001,R$4)=0,"",SUMIFS('Input Sheet'!$F$3:$F$1001,'Input Sheet'!$B$3:$B$1001,$H187,'Input Sheet'!$E$3:$E$1001,R$4))</f>
        <v/>
      </c>
      <c r="S187" s="21" t="str">
        <f>IF(SUMIFS('Input Sheet'!$F$3:$F$1001,'Input Sheet'!$B$3:$B$1001,$H187,'Input Sheet'!$E$3:$E$1001,S$4)=0,"",SUMIFS('Input Sheet'!$F$3:$F$1001,'Input Sheet'!$B$3:$B$1001,$H187,'Input Sheet'!$E$3:$E$1001,S$4))</f>
        <v/>
      </c>
      <c r="T187" s="22">
        <v>182</v>
      </c>
    </row>
    <row r="188" spans="1:20" ht="14.25" customHeight="1" x14ac:dyDescent="0.3">
      <c r="A188" s="4" t="str">
        <f>IF('Input Sheet'!B185=0,"",'Input Sheet'!B185)</f>
        <v/>
      </c>
      <c r="B188" s="24" t="b">
        <f t="shared" si="2"/>
        <v>0</v>
      </c>
      <c r="C188" s="4">
        <f>SUMIF('Input Sheet'!B$3:B$1000,A188,'Input Sheet'!C$3:C$1000)</f>
        <v>0</v>
      </c>
      <c r="D188" s="4">
        <f>SUMIF('Input Sheet'!B$3:B$1000,A188,'Input Sheet'!D$3:D$1000)</f>
        <v>0</v>
      </c>
      <c r="E188" s="4" t="str">
        <f t="shared" ref="E188:F188" ca="1" si="191">IFERROR(RANK(K188,K$6:K$1004,1),"")</f>
        <v/>
      </c>
      <c r="F188" s="4" t="str">
        <f t="shared" ca="1" si="191"/>
        <v/>
      </c>
      <c r="G188" s="4" t="str">
        <f t="shared" ca="1" si="4"/>
        <v/>
      </c>
      <c r="H188" s="4" t="str">
        <f t="shared" si="5"/>
        <v/>
      </c>
      <c r="I188" s="4" t="str">
        <f t="shared" si="6"/>
        <v/>
      </c>
      <c r="J188" s="4" t="str">
        <f t="shared" si="7"/>
        <v/>
      </c>
      <c r="K188" s="25" t="str">
        <f t="shared" ca="1" si="8"/>
        <v/>
      </c>
      <c r="L188" s="21" t="str">
        <f t="shared" ca="1" si="9"/>
        <v/>
      </c>
      <c r="M188" s="21" t="str">
        <f>IF(SUMIFS('Input Sheet'!$F$3:$F$1001,'Input Sheet'!$B$3:$B$1001,$H188,'Input Sheet'!$E$3:$E$1001,M$4)=0,"",SUMIFS('Input Sheet'!$F$3:$F$1001,'Input Sheet'!$B$3:$B$1001,$H188,'Input Sheet'!$E$3:$E$1001,M$4))</f>
        <v/>
      </c>
      <c r="N188" s="21" t="str">
        <f>IF(SUMIFS('Input Sheet'!$F$3:$F$1001,'Input Sheet'!$B$3:$B$1001,$H188,'Input Sheet'!$E$3:$E$1001,N$4)=0,"",SUMIFS('Input Sheet'!$F$3:$F$1001,'Input Sheet'!$B$3:$B$1001,$H188,'Input Sheet'!$E$3:$E$1001,N$4))</f>
        <v/>
      </c>
      <c r="O188" s="21" t="str">
        <f>IF(SUMIFS('Input Sheet'!$F$3:$F$1001,'Input Sheet'!$B$3:$B$1001,$H188,'Input Sheet'!$E$3:$E$1001,O$4)=0,"",SUMIFS('Input Sheet'!$F$3:$F$1001,'Input Sheet'!$B$3:$B$1001,$H188,'Input Sheet'!$E$3:$E$1001,O$4))</f>
        <v/>
      </c>
      <c r="P188" s="21" t="str">
        <f>IF(SUMIFS('Input Sheet'!$F$3:$F$1001,'Input Sheet'!$B$3:$B$1001,$H188,'Input Sheet'!$E$3:$E$1001,P$4)=0,"",SUMIFS('Input Sheet'!$F$3:$F$1001,'Input Sheet'!$B$3:$B$1001,$H188,'Input Sheet'!$E$3:$E$1001,P$4))</f>
        <v/>
      </c>
      <c r="Q188" s="21" t="str">
        <f>IF(SUMIFS('Input Sheet'!$F$3:$F$1001,'Input Sheet'!$B$3:$B$1001,$H188,'Input Sheet'!$E$3:$E$1001,Q$4)=0,"",SUMIFS('Input Sheet'!$F$3:$F$1001,'Input Sheet'!$B$3:$B$1001,$H188,'Input Sheet'!$E$3:$E$1001,Q$4))</f>
        <v/>
      </c>
      <c r="R188" s="21" t="str">
        <f>IF(SUMIFS('Input Sheet'!$F$3:$F$1001,'Input Sheet'!$B$3:$B$1001,$H188,'Input Sheet'!$E$3:$E$1001,R$4)=0,"",SUMIFS('Input Sheet'!$F$3:$F$1001,'Input Sheet'!$B$3:$B$1001,$H188,'Input Sheet'!$E$3:$E$1001,R$4))</f>
        <v/>
      </c>
      <c r="S188" s="21" t="str">
        <f>IF(SUMIFS('Input Sheet'!$F$3:$F$1001,'Input Sheet'!$B$3:$B$1001,$H188,'Input Sheet'!$E$3:$E$1001,S$4)=0,"",SUMIFS('Input Sheet'!$F$3:$F$1001,'Input Sheet'!$B$3:$B$1001,$H188,'Input Sheet'!$E$3:$E$1001,S$4))</f>
        <v/>
      </c>
      <c r="T188" s="22">
        <v>183</v>
      </c>
    </row>
    <row r="189" spans="1:20" ht="14.25" customHeight="1" x14ac:dyDescent="0.3">
      <c r="A189" s="4" t="str">
        <f>IF('Input Sheet'!B186=0,"",'Input Sheet'!B186)</f>
        <v/>
      </c>
      <c r="B189" s="24" t="b">
        <f t="shared" si="2"/>
        <v>0</v>
      </c>
      <c r="C189" s="4">
        <f>SUMIF('Input Sheet'!B$3:B$1000,A189,'Input Sheet'!C$3:C$1000)</f>
        <v>0</v>
      </c>
      <c r="D189" s="4">
        <f>SUMIF('Input Sheet'!B$3:B$1000,A189,'Input Sheet'!D$3:D$1000)</f>
        <v>0</v>
      </c>
      <c r="E189" s="4" t="str">
        <f t="shared" ref="E189:F189" ca="1" si="192">IFERROR(RANK(K189,K$6:K$1004,1),"")</f>
        <v/>
      </c>
      <c r="F189" s="4" t="str">
        <f t="shared" ca="1" si="192"/>
        <v/>
      </c>
      <c r="G189" s="4" t="str">
        <f t="shared" ca="1" si="4"/>
        <v/>
      </c>
      <c r="H189" s="4" t="str">
        <f t="shared" si="5"/>
        <v/>
      </c>
      <c r="I189" s="4" t="str">
        <f t="shared" si="6"/>
        <v/>
      </c>
      <c r="J189" s="4" t="str">
        <f t="shared" si="7"/>
        <v/>
      </c>
      <c r="K189" s="25" t="str">
        <f t="shared" ca="1" si="8"/>
        <v/>
      </c>
      <c r="L189" s="21" t="str">
        <f t="shared" ca="1" si="9"/>
        <v/>
      </c>
      <c r="M189" s="21" t="str">
        <f>IF(SUMIFS('Input Sheet'!$F$3:$F$1001,'Input Sheet'!$B$3:$B$1001,$H189,'Input Sheet'!$E$3:$E$1001,M$4)=0,"",SUMIFS('Input Sheet'!$F$3:$F$1001,'Input Sheet'!$B$3:$B$1001,$H189,'Input Sheet'!$E$3:$E$1001,M$4))</f>
        <v/>
      </c>
      <c r="N189" s="21" t="str">
        <f>IF(SUMIFS('Input Sheet'!$F$3:$F$1001,'Input Sheet'!$B$3:$B$1001,$H189,'Input Sheet'!$E$3:$E$1001,N$4)=0,"",SUMIFS('Input Sheet'!$F$3:$F$1001,'Input Sheet'!$B$3:$B$1001,$H189,'Input Sheet'!$E$3:$E$1001,N$4))</f>
        <v/>
      </c>
      <c r="O189" s="21" t="str">
        <f>IF(SUMIFS('Input Sheet'!$F$3:$F$1001,'Input Sheet'!$B$3:$B$1001,$H189,'Input Sheet'!$E$3:$E$1001,O$4)=0,"",SUMIFS('Input Sheet'!$F$3:$F$1001,'Input Sheet'!$B$3:$B$1001,$H189,'Input Sheet'!$E$3:$E$1001,O$4))</f>
        <v/>
      </c>
      <c r="P189" s="21" t="str">
        <f>IF(SUMIFS('Input Sheet'!$F$3:$F$1001,'Input Sheet'!$B$3:$B$1001,$H189,'Input Sheet'!$E$3:$E$1001,P$4)=0,"",SUMIFS('Input Sheet'!$F$3:$F$1001,'Input Sheet'!$B$3:$B$1001,$H189,'Input Sheet'!$E$3:$E$1001,P$4))</f>
        <v/>
      </c>
      <c r="Q189" s="21" t="str">
        <f>IF(SUMIFS('Input Sheet'!$F$3:$F$1001,'Input Sheet'!$B$3:$B$1001,$H189,'Input Sheet'!$E$3:$E$1001,Q$4)=0,"",SUMIFS('Input Sheet'!$F$3:$F$1001,'Input Sheet'!$B$3:$B$1001,$H189,'Input Sheet'!$E$3:$E$1001,Q$4))</f>
        <v/>
      </c>
      <c r="R189" s="21" t="str">
        <f>IF(SUMIFS('Input Sheet'!$F$3:$F$1001,'Input Sheet'!$B$3:$B$1001,$H189,'Input Sheet'!$E$3:$E$1001,R$4)=0,"",SUMIFS('Input Sheet'!$F$3:$F$1001,'Input Sheet'!$B$3:$B$1001,$H189,'Input Sheet'!$E$3:$E$1001,R$4))</f>
        <v/>
      </c>
      <c r="S189" s="21" t="str">
        <f>IF(SUMIFS('Input Sheet'!$F$3:$F$1001,'Input Sheet'!$B$3:$B$1001,$H189,'Input Sheet'!$E$3:$E$1001,S$4)=0,"",SUMIFS('Input Sheet'!$F$3:$F$1001,'Input Sheet'!$B$3:$B$1001,$H189,'Input Sheet'!$E$3:$E$1001,S$4))</f>
        <v/>
      </c>
      <c r="T189" s="22">
        <v>184</v>
      </c>
    </row>
    <row r="190" spans="1:20" ht="14.25" customHeight="1" x14ac:dyDescent="0.3">
      <c r="A190" s="4" t="str">
        <f>IF('Input Sheet'!B187=0,"",'Input Sheet'!B187)</f>
        <v/>
      </c>
      <c r="B190" s="24" t="b">
        <f t="shared" si="2"/>
        <v>0</v>
      </c>
      <c r="C190" s="4">
        <f>SUMIF('Input Sheet'!B$3:B$1000,A190,'Input Sheet'!C$3:C$1000)</f>
        <v>0</v>
      </c>
      <c r="D190" s="4">
        <f>SUMIF('Input Sheet'!B$3:B$1000,A190,'Input Sheet'!D$3:D$1000)</f>
        <v>0</v>
      </c>
      <c r="E190" s="4" t="str">
        <f t="shared" ref="E190:F190" ca="1" si="193">IFERROR(RANK(K190,K$6:K$1004,1),"")</f>
        <v/>
      </c>
      <c r="F190" s="4" t="str">
        <f t="shared" ca="1" si="193"/>
        <v/>
      </c>
      <c r="G190" s="4" t="str">
        <f t="shared" ca="1" si="4"/>
        <v/>
      </c>
      <c r="H190" s="4" t="str">
        <f t="shared" si="5"/>
        <v/>
      </c>
      <c r="I190" s="4" t="str">
        <f t="shared" si="6"/>
        <v/>
      </c>
      <c r="J190" s="4" t="str">
        <f t="shared" si="7"/>
        <v/>
      </c>
      <c r="K190" s="25" t="str">
        <f t="shared" ca="1" si="8"/>
        <v/>
      </c>
      <c r="L190" s="21" t="str">
        <f t="shared" ca="1" si="9"/>
        <v/>
      </c>
      <c r="M190" s="21" t="str">
        <f>IF(SUMIFS('Input Sheet'!$F$3:$F$1001,'Input Sheet'!$B$3:$B$1001,$H190,'Input Sheet'!$E$3:$E$1001,M$4)=0,"",SUMIFS('Input Sheet'!$F$3:$F$1001,'Input Sheet'!$B$3:$B$1001,$H190,'Input Sheet'!$E$3:$E$1001,M$4))</f>
        <v/>
      </c>
      <c r="N190" s="21" t="str">
        <f>IF(SUMIFS('Input Sheet'!$F$3:$F$1001,'Input Sheet'!$B$3:$B$1001,$H190,'Input Sheet'!$E$3:$E$1001,N$4)=0,"",SUMIFS('Input Sheet'!$F$3:$F$1001,'Input Sheet'!$B$3:$B$1001,$H190,'Input Sheet'!$E$3:$E$1001,N$4))</f>
        <v/>
      </c>
      <c r="O190" s="21" t="str">
        <f>IF(SUMIFS('Input Sheet'!$F$3:$F$1001,'Input Sheet'!$B$3:$B$1001,$H190,'Input Sheet'!$E$3:$E$1001,O$4)=0,"",SUMIFS('Input Sheet'!$F$3:$F$1001,'Input Sheet'!$B$3:$B$1001,$H190,'Input Sheet'!$E$3:$E$1001,O$4))</f>
        <v/>
      </c>
      <c r="P190" s="21" t="str">
        <f>IF(SUMIFS('Input Sheet'!$F$3:$F$1001,'Input Sheet'!$B$3:$B$1001,$H190,'Input Sheet'!$E$3:$E$1001,P$4)=0,"",SUMIFS('Input Sheet'!$F$3:$F$1001,'Input Sheet'!$B$3:$B$1001,$H190,'Input Sheet'!$E$3:$E$1001,P$4))</f>
        <v/>
      </c>
      <c r="Q190" s="21" t="str">
        <f>IF(SUMIFS('Input Sheet'!$F$3:$F$1001,'Input Sheet'!$B$3:$B$1001,$H190,'Input Sheet'!$E$3:$E$1001,Q$4)=0,"",SUMIFS('Input Sheet'!$F$3:$F$1001,'Input Sheet'!$B$3:$B$1001,$H190,'Input Sheet'!$E$3:$E$1001,Q$4))</f>
        <v/>
      </c>
      <c r="R190" s="21" t="str">
        <f>IF(SUMIFS('Input Sheet'!$F$3:$F$1001,'Input Sheet'!$B$3:$B$1001,$H190,'Input Sheet'!$E$3:$E$1001,R$4)=0,"",SUMIFS('Input Sheet'!$F$3:$F$1001,'Input Sheet'!$B$3:$B$1001,$H190,'Input Sheet'!$E$3:$E$1001,R$4))</f>
        <v/>
      </c>
      <c r="S190" s="21" t="str">
        <f>IF(SUMIFS('Input Sheet'!$F$3:$F$1001,'Input Sheet'!$B$3:$B$1001,$H190,'Input Sheet'!$E$3:$E$1001,S$4)=0,"",SUMIFS('Input Sheet'!$F$3:$F$1001,'Input Sheet'!$B$3:$B$1001,$H190,'Input Sheet'!$E$3:$E$1001,S$4))</f>
        <v/>
      </c>
      <c r="T190" s="22">
        <v>185</v>
      </c>
    </row>
    <row r="191" spans="1:20" ht="14.25" customHeight="1" x14ac:dyDescent="0.3">
      <c r="A191" s="4" t="str">
        <f>IF('Input Sheet'!B188=0,"",'Input Sheet'!B188)</f>
        <v/>
      </c>
      <c r="B191" s="24" t="b">
        <f t="shared" si="2"/>
        <v>0</v>
      </c>
      <c r="C191" s="4">
        <f>SUMIF('Input Sheet'!B$3:B$1000,A191,'Input Sheet'!C$3:C$1000)</f>
        <v>0</v>
      </c>
      <c r="D191" s="4">
        <f>SUMIF('Input Sheet'!B$3:B$1000,A191,'Input Sheet'!D$3:D$1000)</f>
        <v>0</v>
      </c>
      <c r="E191" s="4" t="str">
        <f t="shared" ref="E191:F191" ca="1" si="194">IFERROR(RANK(K191,K$6:K$1004,1),"")</f>
        <v/>
      </c>
      <c r="F191" s="4" t="str">
        <f t="shared" ca="1" si="194"/>
        <v/>
      </c>
      <c r="G191" s="4" t="str">
        <f t="shared" ca="1" si="4"/>
        <v/>
      </c>
      <c r="H191" s="4" t="str">
        <f t="shared" si="5"/>
        <v/>
      </c>
      <c r="I191" s="4" t="str">
        <f t="shared" si="6"/>
        <v/>
      </c>
      <c r="J191" s="4" t="str">
        <f t="shared" si="7"/>
        <v/>
      </c>
      <c r="K191" s="25" t="str">
        <f t="shared" ca="1" si="8"/>
        <v/>
      </c>
      <c r="L191" s="21" t="str">
        <f t="shared" ca="1" si="9"/>
        <v/>
      </c>
      <c r="M191" s="21" t="str">
        <f>IF(SUMIFS('Input Sheet'!$F$3:$F$1001,'Input Sheet'!$B$3:$B$1001,$H191,'Input Sheet'!$E$3:$E$1001,M$4)=0,"",SUMIFS('Input Sheet'!$F$3:$F$1001,'Input Sheet'!$B$3:$B$1001,$H191,'Input Sheet'!$E$3:$E$1001,M$4))</f>
        <v/>
      </c>
      <c r="N191" s="21" t="str">
        <f>IF(SUMIFS('Input Sheet'!$F$3:$F$1001,'Input Sheet'!$B$3:$B$1001,$H191,'Input Sheet'!$E$3:$E$1001,N$4)=0,"",SUMIFS('Input Sheet'!$F$3:$F$1001,'Input Sheet'!$B$3:$B$1001,$H191,'Input Sheet'!$E$3:$E$1001,N$4))</f>
        <v/>
      </c>
      <c r="O191" s="21" t="str">
        <f>IF(SUMIFS('Input Sheet'!$F$3:$F$1001,'Input Sheet'!$B$3:$B$1001,$H191,'Input Sheet'!$E$3:$E$1001,O$4)=0,"",SUMIFS('Input Sheet'!$F$3:$F$1001,'Input Sheet'!$B$3:$B$1001,$H191,'Input Sheet'!$E$3:$E$1001,O$4))</f>
        <v/>
      </c>
      <c r="P191" s="21" t="str">
        <f>IF(SUMIFS('Input Sheet'!$F$3:$F$1001,'Input Sheet'!$B$3:$B$1001,$H191,'Input Sheet'!$E$3:$E$1001,P$4)=0,"",SUMIFS('Input Sheet'!$F$3:$F$1001,'Input Sheet'!$B$3:$B$1001,$H191,'Input Sheet'!$E$3:$E$1001,P$4))</f>
        <v/>
      </c>
      <c r="Q191" s="21" t="str">
        <f>IF(SUMIFS('Input Sheet'!$F$3:$F$1001,'Input Sheet'!$B$3:$B$1001,$H191,'Input Sheet'!$E$3:$E$1001,Q$4)=0,"",SUMIFS('Input Sheet'!$F$3:$F$1001,'Input Sheet'!$B$3:$B$1001,$H191,'Input Sheet'!$E$3:$E$1001,Q$4))</f>
        <v/>
      </c>
      <c r="R191" s="21" t="str">
        <f>IF(SUMIFS('Input Sheet'!$F$3:$F$1001,'Input Sheet'!$B$3:$B$1001,$H191,'Input Sheet'!$E$3:$E$1001,R$4)=0,"",SUMIFS('Input Sheet'!$F$3:$F$1001,'Input Sheet'!$B$3:$B$1001,$H191,'Input Sheet'!$E$3:$E$1001,R$4))</f>
        <v/>
      </c>
      <c r="S191" s="21" t="str">
        <f>IF(SUMIFS('Input Sheet'!$F$3:$F$1001,'Input Sheet'!$B$3:$B$1001,$H191,'Input Sheet'!$E$3:$E$1001,S$4)=0,"",SUMIFS('Input Sheet'!$F$3:$F$1001,'Input Sheet'!$B$3:$B$1001,$H191,'Input Sheet'!$E$3:$E$1001,S$4))</f>
        <v/>
      </c>
      <c r="T191" s="22">
        <v>186</v>
      </c>
    </row>
    <row r="192" spans="1:20" ht="14.25" customHeight="1" x14ac:dyDescent="0.3">
      <c r="A192" s="4" t="str">
        <f>IF('Input Sheet'!B189=0,"",'Input Sheet'!B189)</f>
        <v/>
      </c>
      <c r="B192" s="24" t="b">
        <f t="shared" si="2"/>
        <v>0</v>
      </c>
      <c r="C192" s="4">
        <f>SUMIF('Input Sheet'!B$3:B$1000,A192,'Input Sheet'!C$3:C$1000)</f>
        <v>0</v>
      </c>
      <c r="D192" s="4">
        <f>SUMIF('Input Sheet'!B$3:B$1000,A192,'Input Sheet'!D$3:D$1000)</f>
        <v>0</v>
      </c>
      <c r="E192" s="4" t="str">
        <f t="shared" ref="E192:F192" ca="1" si="195">IFERROR(RANK(K192,K$6:K$1004,1),"")</f>
        <v/>
      </c>
      <c r="F192" s="4" t="str">
        <f t="shared" ca="1" si="195"/>
        <v/>
      </c>
      <c r="G192" s="4" t="str">
        <f t="shared" ca="1" si="4"/>
        <v/>
      </c>
      <c r="H192" s="4" t="str">
        <f t="shared" si="5"/>
        <v/>
      </c>
      <c r="I192" s="4" t="str">
        <f t="shared" si="6"/>
        <v/>
      </c>
      <c r="J192" s="4" t="str">
        <f t="shared" si="7"/>
        <v/>
      </c>
      <c r="K192" s="25" t="str">
        <f t="shared" ca="1" si="8"/>
        <v/>
      </c>
      <c r="L192" s="21" t="str">
        <f t="shared" ca="1" si="9"/>
        <v/>
      </c>
      <c r="M192" s="21" t="str">
        <f>IF(SUMIFS('Input Sheet'!$F$3:$F$1001,'Input Sheet'!$B$3:$B$1001,$H192,'Input Sheet'!$E$3:$E$1001,M$4)=0,"",SUMIFS('Input Sheet'!$F$3:$F$1001,'Input Sheet'!$B$3:$B$1001,$H192,'Input Sheet'!$E$3:$E$1001,M$4))</f>
        <v/>
      </c>
      <c r="N192" s="21" t="str">
        <f>IF(SUMIFS('Input Sheet'!$F$3:$F$1001,'Input Sheet'!$B$3:$B$1001,$H192,'Input Sheet'!$E$3:$E$1001,N$4)=0,"",SUMIFS('Input Sheet'!$F$3:$F$1001,'Input Sheet'!$B$3:$B$1001,$H192,'Input Sheet'!$E$3:$E$1001,N$4))</f>
        <v/>
      </c>
      <c r="O192" s="21" t="str">
        <f>IF(SUMIFS('Input Sheet'!$F$3:$F$1001,'Input Sheet'!$B$3:$B$1001,$H192,'Input Sheet'!$E$3:$E$1001,O$4)=0,"",SUMIFS('Input Sheet'!$F$3:$F$1001,'Input Sheet'!$B$3:$B$1001,$H192,'Input Sheet'!$E$3:$E$1001,O$4))</f>
        <v/>
      </c>
      <c r="P192" s="21" t="str">
        <f>IF(SUMIFS('Input Sheet'!$F$3:$F$1001,'Input Sheet'!$B$3:$B$1001,$H192,'Input Sheet'!$E$3:$E$1001,P$4)=0,"",SUMIFS('Input Sheet'!$F$3:$F$1001,'Input Sheet'!$B$3:$B$1001,$H192,'Input Sheet'!$E$3:$E$1001,P$4))</f>
        <v/>
      </c>
      <c r="Q192" s="21" t="str">
        <f>IF(SUMIFS('Input Sheet'!$F$3:$F$1001,'Input Sheet'!$B$3:$B$1001,$H192,'Input Sheet'!$E$3:$E$1001,Q$4)=0,"",SUMIFS('Input Sheet'!$F$3:$F$1001,'Input Sheet'!$B$3:$B$1001,$H192,'Input Sheet'!$E$3:$E$1001,Q$4))</f>
        <v/>
      </c>
      <c r="R192" s="21" t="str">
        <f>IF(SUMIFS('Input Sheet'!$F$3:$F$1001,'Input Sheet'!$B$3:$B$1001,$H192,'Input Sheet'!$E$3:$E$1001,R$4)=0,"",SUMIFS('Input Sheet'!$F$3:$F$1001,'Input Sheet'!$B$3:$B$1001,$H192,'Input Sheet'!$E$3:$E$1001,R$4))</f>
        <v/>
      </c>
      <c r="S192" s="21" t="str">
        <f>IF(SUMIFS('Input Sheet'!$F$3:$F$1001,'Input Sheet'!$B$3:$B$1001,$H192,'Input Sheet'!$E$3:$E$1001,S$4)=0,"",SUMIFS('Input Sheet'!$F$3:$F$1001,'Input Sheet'!$B$3:$B$1001,$H192,'Input Sheet'!$E$3:$E$1001,S$4))</f>
        <v/>
      </c>
      <c r="T192" s="22">
        <v>187</v>
      </c>
    </row>
    <row r="193" spans="1:20" ht="14.25" customHeight="1" x14ac:dyDescent="0.3">
      <c r="A193" s="4" t="str">
        <f>IF('Input Sheet'!B190=0,"",'Input Sheet'!B190)</f>
        <v/>
      </c>
      <c r="B193" s="24" t="b">
        <f t="shared" si="2"/>
        <v>0</v>
      </c>
      <c r="C193" s="4">
        <f>SUMIF('Input Sheet'!B$3:B$1000,A193,'Input Sheet'!C$3:C$1000)</f>
        <v>0</v>
      </c>
      <c r="D193" s="4">
        <f>SUMIF('Input Sheet'!B$3:B$1000,A193,'Input Sheet'!D$3:D$1000)</f>
        <v>0</v>
      </c>
      <c r="E193" s="4" t="str">
        <f t="shared" ref="E193:F193" ca="1" si="196">IFERROR(RANK(K193,K$6:K$1004,1),"")</f>
        <v/>
      </c>
      <c r="F193" s="4" t="str">
        <f t="shared" ca="1" si="196"/>
        <v/>
      </c>
      <c r="G193" s="4" t="str">
        <f t="shared" ca="1" si="4"/>
        <v/>
      </c>
      <c r="H193" s="4" t="str">
        <f t="shared" si="5"/>
        <v/>
      </c>
      <c r="I193" s="4" t="str">
        <f t="shared" si="6"/>
        <v/>
      </c>
      <c r="J193" s="4" t="str">
        <f t="shared" si="7"/>
        <v/>
      </c>
      <c r="K193" s="25" t="str">
        <f t="shared" ca="1" si="8"/>
        <v/>
      </c>
      <c r="L193" s="21" t="str">
        <f t="shared" ca="1" si="9"/>
        <v/>
      </c>
      <c r="M193" s="21" t="str">
        <f>IF(SUMIFS('Input Sheet'!$F$3:$F$1001,'Input Sheet'!$B$3:$B$1001,$H193,'Input Sheet'!$E$3:$E$1001,M$4)=0,"",SUMIFS('Input Sheet'!$F$3:$F$1001,'Input Sheet'!$B$3:$B$1001,$H193,'Input Sheet'!$E$3:$E$1001,M$4))</f>
        <v/>
      </c>
      <c r="N193" s="21" t="str">
        <f>IF(SUMIFS('Input Sheet'!$F$3:$F$1001,'Input Sheet'!$B$3:$B$1001,$H193,'Input Sheet'!$E$3:$E$1001,N$4)=0,"",SUMIFS('Input Sheet'!$F$3:$F$1001,'Input Sheet'!$B$3:$B$1001,$H193,'Input Sheet'!$E$3:$E$1001,N$4))</f>
        <v/>
      </c>
      <c r="O193" s="21" t="str">
        <f>IF(SUMIFS('Input Sheet'!$F$3:$F$1001,'Input Sheet'!$B$3:$B$1001,$H193,'Input Sheet'!$E$3:$E$1001,O$4)=0,"",SUMIFS('Input Sheet'!$F$3:$F$1001,'Input Sheet'!$B$3:$B$1001,$H193,'Input Sheet'!$E$3:$E$1001,O$4))</f>
        <v/>
      </c>
      <c r="P193" s="21" t="str">
        <f>IF(SUMIFS('Input Sheet'!$F$3:$F$1001,'Input Sheet'!$B$3:$B$1001,$H193,'Input Sheet'!$E$3:$E$1001,P$4)=0,"",SUMIFS('Input Sheet'!$F$3:$F$1001,'Input Sheet'!$B$3:$B$1001,$H193,'Input Sheet'!$E$3:$E$1001,P$4))</f>
        <v/>
      </c>
      <c r="Q193" s="21" t="str">
        <f>IF(SUMIFS('Input Sheet'!$F$3:$F$1001,'Input Sheet'!$B$3:$B$1001,$H193,'Input Sheet'!$E$3:$E$1001,Q$4)=0,"",SUMIFS('Input Sheet'!$F$3:$F$1001,'Input Sheet'!$B$3:$B$1001,$H193,'Input Sheet'!$E$3:$E$1001,Q$4))</f>
        <v/>
      </c>
      <c r="R193" s="21" t="str">
        <f>IF(SUMIFS('Input Sheet'!$F$3:$F$1001,'Input Sheet'!$B$3:$B$1001,$H193,'Input Sheet'!$E$3:$E$1001,R$4)=0,"",SUMIFS('Input Sheet'!$F$3:$F$1001,'Input Sheet'!$B$3:$B$1001,$H193,'Input Sheet'!$E$3:$E$1001,R$4))</f>
        <v/>
      </c>
      <c r="S193" s="21" t="str">
        <f>IF(SUMIFS('Input Sheet'!$F$3:$F$1001,'Input Sheet'!$B$3:$B$1001,$H193,'Input Sheet'!$E$3:$E$1001,S$4)=0,"",SUMIFS('Input Sheet'!$F$3:$F$1001,'Input Sheet'!$B$3:$B$1001,$H193,'Input Sheet'!$E$3:$E$1001,S$4))</f>
        <v/>
      </c>
      <c r="T193" s="22">
        <v>188</v>
      </c>
    </row>
    <row r="194" spans="1:20" ht="14.25" customHeight="1" x14ac:dyDescent="0.3">
      <c r="A194" s="4" t="str">
        <f>IF('Input Sheet'!B191=0,"",'Input Sheet'!B191)</f>
        <v/>
      </c>
      <c r="B194" s="24" t="b">
        <f t="shared" si="2"/>
        <v>0</v>
      </c>
      <c r="C194" s="4">
        <f>SUMIF('Input Sheet'!B$3:B$1000,A194,'Input Sheet'!C$3:C$1000)</f>
        <v>0</v>
      </c>
      <c r="D194" s="4">
        <f>SUMIF('Input Sheet'!B$3:B$1000,A194,'Input Sheet'!D$3:D$1000)</f>
        <v>0</v>
      </c>
      <c r="E194" s="4" t="str">
        <f t="shared" ref="E194:F194" ca="1" si="197">IFERROR(RANK(K194,K$6:K$1004,1),"")</f>
        <v/>
      </c>
      <c r="F194" s="4" t="str">
        <f t="shared" ca="1" si="197"/>
        <v/>
      </c>
      <c r="G194" s="4" t="str">
        <f t="shared" ca="1" si="4"/>
        <v/>
      </c>
      <c r="H194" s="4" t="str">
        <f t="shared" si="5"/>
        <v/>
      </c>
      <c r="I194" s="4" t="str">
        <f t="shared" si="6"/>
        <v/>
      </c>
      <c r="J194" s="4" t="str">
        <f t="shared" si="7"/>
        <v/>
      </c>
      <c r="K194" s="25" t="str">
        <f t="shared" ca="1" si="8"/>
        <v/>
      </c>
      <c r="L194" s="21" t="str">
        <f t="shared" ca="1" si="9"/>
        <v/>
      </c>
      <c r="M194" s="21" t="str">
        <f>IF(SUMIFS('Input Sheet'!$F$3:$F$1001,'Input Sheet'!$B$3:$B$1001,$H194,'Input Sheet'!$E$3:$E$1001,M$4)=0,"",SUMIFS('Input Sheet'!$F$3:$F$1001,'Input Sheet'!$B$3:$B$1001,$H194,'Input Sheet'!$E$3:$E$1001,M$4))</f>
        <v/>
      </c>
      <c r="N194" s="21" t="str">
        <f>IF(SUMIFS('Input Sheet'!$F$3:$F$1001,'Input Sheet'!$B$3:$B$1001,$H194,'Input Sheet'!$E$3:$E$1001,N$4)=0,"",SUMIFS('Input Sheet'!$F$3:$F$1001,'Input Sheet'!$B$3:$B$1001,$H194,'Input Sheet'!$E$3:$E$1001,N$4))</f>
        <v/>
      </c>
      <c r="O194" s="21" t="str">
        <f>IF(SUMIFS('Input Sheet'!$F$3:$F$1001,'Input Sheet'!$B$3:$B$1001,$H194,'Input Sheet'!$E$3:$E$1001,O$4)=0,"",SUMIFS('Input Sheet'!$F$3:$F$1001,'Input Sheet'!$B$3:$B$1001,$H194,'Input Sheet'!$E$3:$E$1001,O$4))</f>
        <v/>
      </c>
      <c r="P194" s="21" t="str">
        <f>IF(SUMIFS('Input Sheet'!$F$3:$F$1001,'Input Sheet'!$B$3:$B$1001,$H194,'Input Sheet'!$E$3:$E$1001,P$4)=0,"",SUMIFS('Input Sheet'!$F$3:$F$1001,'Input Sheet'!$B$3:$B$1001,$H194,'Input Sheet'!$E$3:$E$1001,P$4))</f>
        <v/>
      </c>
      <c r="Q194" s="21" t="str">
        <f>IF(SUMIFS('Input Sheet'!$F$3:$F$1001,'Input Sheet'!$B$3:$B$1001,$H194,'Input Sheet'!$E$3:$E$1001,Q$4)=0,"",SUMIFS('Input Sheet'!$F$3:$F$1001,'Input Sheet'!$B$3:$B$1001,$H194,'Input Sheet'!$E$3:$E$1001,Q$4))</f>
        <v/>
      </c>
      <c r="R194" s="21" t="str">
        <f>IF(SUMIFS('Input Sheet'!$F$3:$F$1001,'Input Sheet'!$B$3:$B$1001,$H194,'Input Sheet'!$E$3:$E$1001,R$4)=0,"",SUMIFS('Input Sheet'!$F$3:$F$1001,'Input Sheet'!$B$3:$B$1001,$H194,'Input Sheet'!$E$3:$E$1001,R$4))</f>
        <v/>
      </c>
      <c r="S194" s="21" t="str">
        <f>IF(SUMIFS('Input Sheet'!$F$3:$F$1001,'Input Sheet'!$B$3:$B$1001,$H194,'Input Sheet'!$E$3:$E$1001,S$4)=0,"",SUMIFS('Input Sheet'!$F$3:$F$1001,'Input Sheet'!$B$3:$B$1001,$H194,'Input Sheet'!$E$3:$E$1001,S$4))</f>
        <v/>
      </c>
      <c r="T194" s="22">
        <v>189</v>
      </c>
    </row>
    <row r="195" spans="1:20" ht="14.25" customHeight="1" x14ac:dyDescent="0.3">
      <c r="A195" s="4" t="str">
        <f>IF('Input Sheet'!B192=0,"",'Input Sheet'!B192)</f>
        <v/>
      </c>
      <c r="B195" s="24" t="b">
        <f t="shared" si="2"/>
        <v>0</v>
      </c>
      <c r="C195" s="4">
        <f>SUMIF('Input Sheet'!B$3:B$1000,A195,'Input Sheet'!C$3:C$1000)</f>
        <v>0</v>
      </c>
      <c r="D195" s="4">
        <f>SUMIF('Input Sheet'!B$3:B$1000,A195,'Input Sheet'!D$3:D$1000)</f>
        <v>0</v>
      </c>
      <c r="E195" s="4" t="str">
        <f t="shared" ref="E195:F195" ca="1" si="198">IFERROR(RANK(K195,K$6:K$1004,1),"")</f>
        <v/>
      </c>
      <c r="F195" s="4" t="str">
        <f t="shared" ca="1" si="198"/>
        <v/>
      </c>
      <c r="G195" s="4" t="str">
        <f t="shared" ca="1" si="4"/>
        <v/>
      </c>
      <c r="H195" s="4" t="str">
        <f t="shared" si="5"/>
        <v/>
      </c>
      <c r="I195" s="4" t="str">
        <f t="shared" si="6"/>
        <v/>
      </c>
      <c r="J195" s="4" t="str">
        <f t="shared" si="7"/>
        <v/>
      </c>
      <c r="K195" s="25" t="str">
        <f t="shared" ca="1" si="8"/>
        <v/>
      </c>
      <c r="L195" s="21" t="str">
        <f t="shared" ca="1" si="9"/>
        <v/>
      </c>
      <c r="M195" s="21" t="str">
        <f>IF(SUMIFS('Input Sheet'!$F$3:$F$1001,'Input Sheet'!$B$3:$B$1001,$H195,'Input Sheet'!$E$3:$E$1001,M$4)=0,"",SUMIFS('Input Sheet'!$F$3:$F$1001,'Input Sheet'!$B$3:$B$1001,$H195,'Input Sheet'!$E$3:$E$1001,M$4))</f>
        <v/>
      </c>
      <c r="N195" s="21" t="str">
        <f>IF(SUMIFS('Input Sheet'!$F$3:$F$1001,'Input Sheet'!$B$3:$B$1001,$H195,'Input Sheet'!$E$3:$E$1001,N$4)=0,"",SUMIFS('Input Sheet'!$F$3:$F$1001,'Input Sheet'!$B$3:$B$1001,$H195,'Input Sheet'!$E$3:$E$1001,N$4))</f>
        <v/>
      </c>
      <c r="O195" s="21" t="str">
        <f>IF(SUMIFS('Input Sheet'!$F$3:$F$1001,'Input Sheet'!$B$3:$B$1001,$H195,'Input Sheet'!$E$3:$E$1001,O$4)=0,"",SUMIFS('Input Sheet'!$F$3:$F$1001,'Input Sheet'!$B$3:$B$1001,$H195,'Input Sheet'!$E$3:$E$1001,O$4))</f>
        <v/>
      </c>
      <c r="P195" s="21" t="str">
        <f>IF(SUMIFS('Input Sheet'!$F$3:$F$1001,'Input Sheet'!$B$3:$B$1001,$H195,'Input Sheet'!$E$3:$E$1001,P$4)=0,"",SUMIFS('Input Sheet'!$F$3:$F$1001,'Input Sheet'!$B$3:$B$1001,$H195,'Input Sheet'!$E$3:$E$1001,P$4))</f>
        <v/>
      </c>
      <c r="Q195" s="21" t="str">
        <f>IF(SUMIFS('Input Sheet'!$F$3:$F$1001,'Input Sheet'!$B$3:$B$1001,$H195,'Input Sheet'!$E$3:$E$1001,Q$4)=0,"",SUMIFS('Input Sheet'!$F$3:$F$1001,'Input Sheet'!$B$3:$B$1001,$H195,'Input Sheet'!$E$3:$E$1001,Q$4))</f>
        <v/>
      </c>
      <c r="R195" s="21" t="str">
        <f>IF(SUMIFS('Input Sheet'!$F$3:$F$1001,'Input Sheet'!$B$3:$B$1001,$H195,'Input Sheet'!$E$3:$E$1001,R$4)=0,"",SUMIFS('Input Sheet'!$F$3:$F$1001,'Input Sheet'!$B$3:$B$1001,$H195,'Input Sheet'!$E$3:$E$1001,R$4))</f>
        <v/>
      </c>
      <c r="S195" s="21" t="str">
        <f>IF(SUMIFS('Input Sheet'!$F$3:$F$1001,'Input Sheet'!$B$3:$B$1001,$H195,'Input Sheet'!$E$3:$E$1001,S$4)=0,"",SUMIFS('Input Sheet'!$F$3:$F$1001,'Input Sheet'!$B$3:$B$1001,$H195,'Input Sheet'!$E$3:$E$1001,S$4))</f>
        <v/>
      </c>
      <c r="T195" s="22">
        <v>190</v>
      </c>
    </row>
    <row r="196" spans="1:20" ht="14.25" customHeight="1" x14ac:dyDescent="0.3">
      <c r="A196" s="4" t="str">
        <f>IF('Input Sheet'!B193=0,"",'Input Sheet'!B193)</f>
        <v/>
      </c>
      <c r="B196" s="24" t="b">
        <f t="shared" si="2"/>
        <v>0</v>
      </c>
      <c r="C196" s="4">
        <f>SUMIF('Input Sheet'!B$3:B$1000,A196,'Input Sheet'!C$3:C$1000)</f>
        <v>0</v>
      </c>
      <c r="D196" s="4">
        <f>SUMIF('Input Sheet'!B$3:B$1000,A196,'Input Sheet'!D$3:D$1000)</f>
        <v>0</v>
      </c>
      <c r="E196" s="4" t="str">
        <f t="shared" ref="E196:F196" ca="1" si="199">IFERROR(RANK(K196,K$6:K$1004,1),"")</f>
        <v/>
      </c>
      <c r="F196" s="4" t="str">
        <f t="shared" ca="1" si="199"/>
        <v/>
      </c>
      <c r="G196" s="4" t="str">
        <f t="shared" ca="1" si="4"/>
        <v/>
      </c>
      <c r="H196" s="4" t="str">
        <f t="shared" si="5"/>
        <v/>
      </c>
      <c r="I196" s="4" t="str">
        <f t="shared" si="6"/>
        <v/>
      </c>
      <c r="J196" s="4" t="str">
        <f t="shared" si="7"/>
        <v/>
      </c>
      <c r="K196" s="25" t="str">
        <f t="shared" ca="1" si="8"/>
        <v/>
      </c>
      <c r="L196" s="21" t="str">
        <f t="shared" ca="1" si="9"/>
        <v/>
      </c>
      <c r="M196" s="21" t="str">
        <f>IF(SUMIFS('Input Sheet'!$F$3:$F$1001,'Input Sheet'!$B$3:$B$1001,$H196,'Input Sheet'!$E$3:$E$1001,M$4)=0,"",SUMIFS('Input Sheet'!$F$3:$F$1001,'Input Sheet'!$B$3:$B$1001,$H196,'Input Sheet'!$E$3:$E$1001,M$4))</f>
        <v/>
      </c>
      <c r="N196" s="21" t="str">
        <f>IF(SUMIFS('Input Sheet'!$F$3:$F$1001,'Input Sheet'!$B$3:$B$1001,$H196,'Input Sheet'!$E$3:$E$1001,N$4)=0,"",SUMIFS('Input Sheet'!$F$3:$F$1001,'Input Sheet'!$B$3:$B$1001,$H196,'Input Sheet'!$E$3:$E$1001,N$4))</f>
        <v/>
      </c>
      <c r="O196" s="21" t="str">
        <f>IF(SUMIFS('Input Sheet'!$F$3:$F$1001,'Input Sheet'!$B$3:$B$1001,$H196,'Input Sheet'!$E$3:$E$1001,O$4)=0,"",SUMIFS('Input Sheet'!$F$3:$F$1001,'Input Sheet'!$B$3:$B$1001,$H196,'Input Sheet'!$E$3:$E$1001,O$4))</f>
        <v/>
      </c>
      <c r="P196" s="21" t="str">
        <f>IF(SUMIFS('Input Sheet'!$F$3:$F$1001,'Input Sheet'!$B$3:$B$1001,$H196,'Input Sheet'!$E$3:$E$1001,P$4)=0,"",SUMIFS('Input Sheet'!$F$3:$F$1001,'Input Sheet'!$B$3:$B$1001,$H196,'Input Sheet'!$E$3:$E$1001,P$4))</f>
        <v/>
      </c>
      <c r="Q196" s="21" t="str">
        <f>IF(SUMIFS('Input Sheet'!$F$3:$F$1001,'Input Sheet'!$B$3:$B$1001,$H196,'Input Sheet'!$E$3:$E$1001,Q$4)=0,"",SUMIFS('Input Sheet'!$F$3:$F$1001,'Input Sheet'!$B$3:$B$1001,$H196,'Input Sheet'!$E$3:$E$1001,Q$4))</f>
        <v/>
      </c>
      <c r="R196" s="21" t="str">
        <f>IF(SUMIFS('Input Sheet'!$F$3:$F$1001,'Input Sheet'!$B$3:$B$1001,$H196,'Input Sheet'!$E$3:$E$1001,R$4)=0,"",SUMIFS('Input Sheet'!$F$3:$F$1001,'Input Sheet'!$B$3:$B$1001,$H196,'Input Sheet'!$E$3:$E$1001,R$4))</f>
        <v/>
      </c>
      <c r="S196" s="21" t="str">
        <f>IF(SUMIFS('Input Sheet'!$F$3:$F$1001,'Input Sheet'!$B$3:$B$1001,$H196,'Input Sheet'!$E$3:$E$1001,S$4)=0,"",SUMIFS('Input Sheet'!$F$3:$F$1001,'Input Sheet'!$B$3:$B$1001,$H196,'Input Sheet'!$E$3:$E$1001,S$4))</f>
        <v/>
      </c>
      <c r="T196" s="22">
        <v>191</v>
      </c>
    </row>
    <row r="197" spans="1:20" ht="14.25" customHeight="1" x14ac:dyDescent="0.3">
      <c r="A197" s="4" t="str">
        <f>IF('Input Sheet'!B194=0,"",'Input Sheet'!B194)</f>
        <v/>
      </c>
      <c r="B197" s="24" t="b">
        <f t="shared" si="2"/>
        <v>0</v>
      </c>
      <c r="C197" s="4">
        <f>SUMIF('Input Sheet'!B$3:B$1000,A197,'Input Sheet'!C$3:C$1000)</f>
        <v>0</v>
      </c>
      <c r="D197" s="4">
        <f>SUMIF('Input Sheet'!B$3:B$1000,A197,'Input Sheet'!D$3:D$1000)</f>
        <v>0</v>
      </c>
      <c r="E197" s="4" t="str">
        <f t="shared" ref="E197:F197" ca="1" si="200">IFERROR(RANK(K197,K$6:K$1004,1),"")</f>
        <v/>
      </c>
      <c r="F197" s="4" t="str">
        <f t="shared" ca="1" si="200"/>
        <v/>
      </c>
      <c r="G197" s="4" t="str">
        <f t="shared" ca="1" si="4"/>
        <v/>
      </c>
      <c r="H197" s="4" t="str">
        <f t="shared" si="5"/>
        <v/>
      </c>
      <c r="I197" s="4" t="str">
        <f t="shared" si="6"/>
        <v/>
      </c>
      <c r="J197" s="4" t="str">
        <f t="shared" si="7"/>
        <v/>
      </c>
      <c r="K197" s="25" t="str">
        <f t="shared" ca="1" si="8"/>
        <v/>
      </c>
      <c r="L197" s="21" t="str">
        <f t="shared" ca="1" si="9"/>
        <v/>
      </c>
      <c r="M197" s="21" t="str">
        <f>IF(SUMIFS('Input Sheet'!$F$3:$F$1001,'Input Sheet'!$B$3:$B$1001,$H197,'Input Sheet'!$E$3:$E$1001,M$4)=0,"",SUMIFS('Input Sheet'!$F$3:$F$1001,'Input Sheet'!$B$3:$B$1001,$H197,'Input Sheet'!$E$3:$E$1001,M$4))</f>
        <v/>
      </c>
      <c r="N197" s="21" t="str">
        <f>IF(SUMIFS('Input Sheet'!$F$3:$F$1001,'Input Sheet'!$B$3:$B$1001,$H197,'Input Sheet'!$E$3:$E$1001,N$4)=0,"",SUMIFS('Input Sheet'!$F$3:$F$1001,'Input Sheet'!$B$3:$B$1001,$H197,'Input Sheet'!$E$3:$E$1001,N$4))</f>
        <v/>
      </c>
      <c r="O197" s="21" t="str">
        <f>IF(SUMIFS('Input Sheet'!$F$3:$F$1001,'Input Sheet'!$B$3:$B$1001,$H197,'Input Sheet'!$E$3:$E$1001,O$4)=0,"",SUMIFS('Input Sheet'!$F$3:$F$1001,'Input Sheet'!$B$3:$B$1001,$H197,'Input Sheet'!$E$3:$E$1001,O$4))</f>
        <v/>
      </c>
      <c r="P197" s="21" t="str">
        <f>IF(SUMIFS('Input Sheet'!$F$3:$F$1001,'Input Sheet'!$B$3:$B$1001,$H197,'Input Sheet'!$E$3:$E$1001,P$4)=0,"",SUMIFS('Input Sheet'!$F$3:$F$1001,'Input Sheet'!$B$3:$B$1001,$H197,'Input Sheet'!$E$3:$E$1001,P$4))</f>
        <v/>
      </c>
      <c r="Q197" s="21" t="str">
        <f>IF(SUMIFS('Input Sheet'!$F$3:$F$1001,'Input Sheet'!$B$3:$B$1001,$H197,'Input Sheet'!$E$3:$E$1001,Q$4)=0,"",SUMIFS('Input Sheet'!$F$3:$F$1001,'Input Sheet'!$B$3:$B$1001,$H197,'Input Sheet'!$E$3:$E$1001,Q$4))</f>
        <v/>
      </c>
      <c r="R197" s="21" t="str">
        <f>IF(SUMIFS('Input Sheet'!$F$3:$F$1001,'Input Sheet'!$B$3:$B$1001,$H197,'Input Sheet'!$E$3:$E$1001,R$4)=0,"",SUMIFS('Input Sheet'!$F$3:$F$1001,'Input Sheet'!$B$3:$B$1001,$H197,'Input Sheet'!$E$3:$E$1001,R$4))</f>
        <v/>
      </c>
      <c r="S197" s="21" t="str">
        <f>IF(SUMIFS('Input Sheet'!$F$3:$F$1001,'Input Sheet'!$B$3:$B$1001,$H197,'Input Sheet'!$E$3:$E$1001,S$4)=0,"",SUMIFS('Input Sheet'!$F$3:$F$1001,'Input Sheet'!$B$3:$B$1001,$H197,'Input Sheet'!$E$3:$E$1001,S$4))</f>
        <v/>
      </c>
      <c r="T197" s="22">
        <v>192</v>
      </c>
    </row>
    <row r="198" spans="1:20" ht="14.25" customHeight="1" x14ac:dyDescent="0.3">
      <c r="A198" s="4" t="str">
        <f>IF('Input Sheet'!B195=0,"",'Input Sheet'!B195)</f>
        <v/>
      </c>
      <c r="B198" s="24" t="b">
        <f t="shared" si="2"/>
        <v>0</v>
      </c>
      <c r="C198" s="4">
        <f>SUMIF('Input Sheet'!B$3:B$1000,A198,'Input Sheet'!C$3:C$1000)</f>
        <v>0</v>
      </c>
      <c r="D198" s="4">
        <f>SUMIF('Input Sheet'!B$3:B$1000,A198,'Input Sheet'!D$3:D$1000)</f>
        <v>0</v>
      </c>
      <c r="E198" s="4" t="str">
        <f t="shared" ref="E198:F198" ca="1" si="201">IFERROR(RANK(K198,K$6:K$1004,1),"")</f>
        <v/>
      </c>
      <c r="F198" s="4" t="str">
        <f t="shared" ca="1" si="201"/>
        <v/>
      </c>
      <c r="G198" s="4" t="str">
        <f t="shared" ca="1" si="4"/>
        <v/>
      </c>
      <c r="H198" s="4" t="str">
        <f t="shared" si="5"/>
        <v/>
      </c>
      <c r="I198" s="4" t="str">
        <f t="shared" si="6"/>
        <v/>
      </c>
      <c r="J198" s="4" t="str">
        <f t="shared" si="7"/>
        <v/>
      </c>
      <c r="K198" s="25" t="str">
        <f t="shared" ca="1" si="8"/>
        <v/>
      </c>
      <c r="L198" s="21" t="str">
        <f t="shared" ca="1" si="9"/>
        <v/>
      </c>
      <c r="M198" s="21" t="str">
        <f>IF(SUMIFS('Input Sheet'!$F$3:$F$1001,'Input Sheet'!$B$3:$B$1001,$H198,'Input Sheet'!$E$3:$E$1001,M$4)=0,"",SUMIFS('Input Sheet'!$F$3:$F$1001,'Input Sheet'!$B$3:$B$1001,$H198,'Input Sheet'!$E$3:$E$1001,M$4))</f>
        <v/>
      </c>
      <c r="N198" s="21" t="str">
        <f>IF(SUMIFS('Input Sheet'!$F$3:$F$1001,'Input Sheet'!$B$3:$B$1001,$H198,'Input Sheet'!$E$3:$E$1001,N$4)=0,"",SUMIFS('Input Sheet'!$F$3:$F$1001,'Input Sheet'!$B$3:$B$1001,$H198,'Input Sheet'!$E$3:$E$1001,N$4))</f>
        <v/>
      </c>
      <c r="O198" s="21" t="str">
        <f>IF(SUMIFS('Input Sheet'!$F$3:$F$1001,'Input Sheet'!$B$3:$B$1001,$H198,'Input Sheet'!$E$3:$E$1001,O$4)=0,"",SUMIFS('Input Sheet'!$F$3:$F$1001,'Input Sheet'!$B$3:$B$1001,$H198,'Input Sheet'!$E$3:$E$1001,O$4))</f>
        <v/>
      </c>
      <c r="P198" s="21" t="str">
        <f>IF(SUMIFS('Input Sheet'!$F$3:$F$1001,'Input Sheet'!$B$3:$B$1001,$H198,'Input Sheet'!$E$3:$E$1001,P$4)=0,"",SUMIFS('Input Sheet'!$F$3:$F$1001,'Input Sheet'!$B$3:$B$1001,$H198,'Input Sheet'!$E$3:$E$1001,P$4))</f>
        <v/>
      </c>
      <c r="Q198" s="21" t="str">
        <f>IF(SUMIFS('Input Sheet'!$F$3:$F$1001,'Input Sheet'!$B$3:$B$1001,$H198,'Input Sheet'!$E$3:$E$1001,Q$4)=0,"",SUMIFS('Input Sheet'!$F$3:$F$1001,'Input Sheet'!$B$3:$B$1001,$H198,'Input Sheet'!$E$3:$E$1001,Q$4))</f>
        <v/>
      </c>
      <c r="R198" s="21" t="str">
        <f>IF(SUMIFS('Input Sheet'!$F$3:$F$1001,'Input Sheet'!$B$3:$B$1001,$H198,'Input Sheet'!$E$3:$E$1001,R$4)=0,"",SUMIFS('Input Sheet'!$F$3:$F$1001,'Input Sheet'!$B$3:$B$1001,$H198,'Input Sheet'!$E$3:$E$1001,R$4))</f>
        <v/>
      </c>
      <c r="S198" s="21" t="str">
        <f>IF(SUMIFS('Input Sheet'!$F$3:$F$1001,'Input Sheet'!$B$3:$B$1001,$H198,'Input Sheet'!$E$3:$E$1001,S$4)=0,"",SUMIFS('Input Sheet'!$F$3:$F$1001,'Input Sheet'!$B$3:$B$1001,$H198,'Input Sheet'!$E$3:$E$1001,S$4))</f>
        <v/>
      </c>
      <c r="T198" s="22">
        <v>193</v>
      </c>
    </row>
    <row r="199" spans="1:20" ht="14.25" customHeight="1" x14ac:dyDescent="0.3">
      <c r="A199" s="4" t="str">
        <f>IF('Input Sheet'!B196=0,"",'Input Sheet'!B196)</f>
        <v/>
      </c>
      <c r="B199" s="24" t="b">
        <f t="shared" si="2"/>
        <v>0</v>
      </c>
      <c r="C199" s="4">
        <f>SUMIF('Input Sheet'!B$3:B$1000,A199,'Input Sheet'!C$3:C$1000)</f>
        <v>0</v>
      </c>
      <c r="D199" s="4">
        <f>SUMIF('Input Sheet'!B$3:B$1000,A199,'Input Sheet'!D$3:D$1000)</f>
        <v>0</v>
      </c>
      <c r="E199" s="4" t="str">
        <f t="shared" ref="E199:F199" ca="1" si="202">IFERROR(RANK(K199,K$6:K$1004,1),"")</f>
        <v/>
      </c>
      <c r="F199" s="4" t="str">
        <f t="shared" ca="1" si="202"/>
        <v/>
      </c>
      <c r="G199" s="4" t="str">
        <f t="shared" ca="1" si="4"/>
        <v/>
      </c>
      <c r="H199" s="4" t="str">
        <f t="shared" si="5"/>
        <v/>
      </c>
      <c r="I199" s="4" t="str">
        <f t="shared" si="6"/>
        <v/>
      </c>
      <c r="J199" s="4" t="str">
        <f t="shared" si="7"/>
        <v/>
      </c>
      <c r="K199" s="25" t="str">
        <f t="shared" ca="1" si="8"/>
        <v/>
      </c>
      <c r="L199" s="21" t="str">
        <f t="shared" ca="1" si="9"/>
        <v/>
      </c>
      <c r="M199" s="21" t="str">
        <f>IF(SUMIFS('Input Sheet'!$F$3:$F$1001,'Input Sheet'!$B$3:$B$1001,$H199,'Input Sheet'!$E$3:$E$1001,M$4)=0,"",SUMIFS('Input Sheet'!$F$3:$F$1001,'Input Sheet'!$B$3:$B$1001,$H199,'Input Sheet'!$E$3:$E$1001,M$4))</f>
        <v/>
      </c>
      <c r="N199" s="21" t="str">
        <f>IF(SUMIFS('Input Sheet'!$F$3:$F$1001,'Input Sheet'!$B$3:$B$1001,$H199,'Input Sheet'!$E$3:$E$1001,N$4)=0,"",SUMIFS('Input Sheet'!$F$3:$F$1001,'Input Sheet'!$B$3:$B$1001,$H199,'Input Sheet'!$E$3:$E$1001,N$4))</f>
        <v/>
      </c>
      <c r="O199" s="21" t="str">
        <f>IF(SUMIFS('Input Sheet'!$F$3:$F$1001,'Input Sheet'!$B$3:$B$1001,$H199,'Input Sheet'!$E$3:$E$1001,O$4)=0,"",SUMIFS('Input Sheet'!$F$3:$F$1001,'Input Sheet'!$B$3:$B$1001,$H199,'Input Sheet'!$E$3:$E$1001,O$4))</f>
        <v/>
      </c>
      <c r="P199" s="21" t="str">
        <f>IF(SUMIFS('Input Sheet'!$F$3:$F$1001,'Input Sheet'!$B$3:$B$1001,$H199,'Input Sheet'!$E$3:$E$1001,P$4)=0,"",SUMIFS('Input Sheet'!$F$3:$F$1001,'Input Sheet'!$B$3:$B$1001,$H199,'Input Sheet'!$E$3:$E$1001,P$4))</f>
        <v/>
      </c>
      <c r="Q199" s="21" t="str">
        <f>IF(SUMIFS('Input Sheet'!$F$3:$F$1001,'Input Sheet'!$B$3:$B$1001,$H199,'Input Sheet'!$E$3:$E$1001,Q$4)=0,"",SUMIFS('Input Sheet'!$F$3:$F$1001,'Input Sheet'!$B$3:$B$1001,$H199,'Input Sheet'!$E$3:$E$1001,Q$4))</f>
        <v/>
      </c>
      <c r="R199" s="21" t="str">
        <f>IF(SUMIFS('Input Sheet'!$F$3:$F$1001,'Input Sheet'!$B$3:$B$1001,$H199,'Input Sheet'!$E$3:$E$1001,R$4)=0,"",SUMIFS('Input Sheet'!$F$3:$F$1001,'Input Sheet'!$B$3:$B$1001,$H199,'Input Sheet'!$E$3:$E$1001,R$4))</f>
        <v/>
      </c>
      <c r="S199" s="21" t="str">
        <f>IF(SUMIFS('Input Sheet'!$F$3:$F$1001,'Input Sheet'!$B$3:$B$1001,$H199,'Input Sheet'!$E$3:$E$1001,S$4)=0,"",SUMIFS('Input Sheet'!$F$3:$F$1001,'Input Sheet'!$B$3:$B$1001,$H199,'Input Sheet'!$E$3:$E$1001,S$4))</f>
        <v/>
      </c>
      <c r="T199" s="22">
        <v>194</v>
      </c>
    </row>
    <row r="200" spans="1:20" ht="14.25" customHeight="1" x14ac:dyDescent="0.3">
      <c r="A200" s="4" t="str">
        <f>IF('Input Sheet'!B197=0,"",'Input Sheet'!B197)</f>
        <v/>
      </c>
      <c r="B200" s="24" t="b">
        <f t="shared" si="2"/>
        <v>0</v>
      </c>
      <c r="C200" s="4">
        <f>SUMIF('Input Sheet'!B$3:B$1000,A200,'Input Sheet'!C$3:C$1000)</f>
        <v>0</v>
      </c>
      <c r="D200" s="4">
        <f>SUMIF('Input Sheet'!B$3:B$1000,A200,'Input Sheet'!D$3:D$1000)</f>
        <v>0</v>
      </c>
      <c r="E200" s="4" t="str">
        <f t="shared" ref="E200:F200" ca="1" si="203">IFERROR(RANK(K200,K$6:K$1004,1),"")</f>
        <v/>
      </c>
      <c r="F200" s="4" t="str">
        <f t="shared" ca="1" si="203"/>
        <v/>
      </c>
      <c r="G200" s="4" t="str">
        <f t="shared" ca="1" si="4"/>
        <v/>
      </c>
      <c r="H200" s="4" t="str">
        <f t="shared" si="5"/>
        <v/>
      </c>
      <c r="I200" s="4" t="str">
        <f t="shared" si="6"/>
        <v/>
      </c>
      <c r="J200" s="4" t="str">
        <f t="shared" si="7"/>
        <v/>
      </c>
      <c r="K200" s="25" t="str">
        <f t="shared" ca="1" si="8"/>
        <v/>
      </c>
      <c r="L200" s="21" t="str">
        <f t="shared" ca="1" si="9"/>
        <v/>
      </c>
      <c r="M200" s="21" t="str">
        <f>IF(SUMIFS('Input Sheet'!$F$3:$F$1001,'Input Sheet'!$B$3:$B$1001,$H200,'Input Sheet'!$E$3:$E$1001,M$4)=0,"",SUMIFS('Input Sheet'!$F$3:$F$1001,'Input Sheet'!$B$3:$B$1001,$H200,'Input Sheet'!$E$3:$E$1001,M$4))</f>
        <v/>
      </c>
      <c r="N200" s="21" t="str">
        <f>IF(SUMIFS('Input Sheet'!$F$3:$F$1001,'Input Sheet'!$B$3:$B$1001,$H200,'Input Sheet'!$E$3:$E$1001,N$4)=0,"",SUMIFS('Input Sheet'!$F$3:$F$1001,'Input Sheet'!$B$3:$B$1001,$H200,'Input Sheet'!$E$3:$E$1001,N$4))</f>
        <v/>
      </c>
      <c r="O200" s="21" t="str">
        <f>IF(SUMIFS('Input Sheet'!$F$3:$F$1001,'Input Sheet'!$B$3:$B$1001,$H200,'Input Sheet'!$E$3:$E$1001,O$4)=0,"",SUMIFS('Input Sheet'!$F$3:$F$1001,'Input Sheet'!$B$3:$B$1001,$H200,'Input Sheet'!$E$3:$E$1001,O$4))</f>
        <v/>
      </c>
      <c r="P200" s="21" t="str">
        <f>IF(SUMIFS('Input Sheet'!$F$3:$F$1001,'Input Sheet'!$B$3:$B$1001,$H200,'Input Sheet'!$E$3:$E$1001,P$4)=0,"",SUMIFS('Input Sheet'!$F$3:$F$1001,'Input Sheet'!$B$3:$B$1001,$H200,'Input Sheet'!$E$3:$E$1001,P$4))</f>
        <v/>
      </c>
      <c r="Q200" s="21" t="str">
        <f>IF(SUMIFS('Input Sheet'!$F$3:$F$1001,'Input Sheet'!$B$3:$B$1001,$H200,'Input Sheet'!$E$3:$E$1001,Q$4)=0,"",SUMIFS('Input Sheet'!$F$3:$F$1001,'Input Sheet'!$B$3:$B$1001,$H200,'Input Sheet'!$E$3:$E$1001,Q$4))</f>
        <v/>
      </c>
      <c r="R200" s="21" t="str">
        <f>IF(SUMIFS('Input Sheet'!$F$3:$F$1001,'Input Sheet'!$B$3:$B$1001,$H200,'Input Sheet'!$E$3:$E$1001,R$4)=0,"",SUMIFS('Input Sheet'!$F$3:$F$1001,'Input Sheet'!$B$3:$B$1001,$H200,'Input Sheet'!$E$3:$E$1001,R$4))</f>
        <v/>
      </c>
      <c r="S200" s="21" t="str">
        <f>IF(SUMIFS('Input Sheet'!$F$3:$F$1001,'Input Sheet'!$B$3:$B$1001,$H200,'Input Sheet'!$E$3:$E$1001,S$4)=0,"",SUMIFS('Input Sheet'!$F$3:$F$1001,'Input Sheet'!$B$3:$B$1001,$H200,'Input Sheet'!$E$3:$E$1001,S$4))</f>
        <v/>
      </c>
      <c r="T200" s="22">
        <v>195</v>
      </c>
    </row>
    <row r="201" spans="1:20" ht="14.25" customHeight="1" x14ac:dyDescent="0.3">
      <c r="A201" s="4" t="str">
        <f>IF('Input Sheet'!B198=0,"",'Input Sheet'!B198)</f>
        <v/>
      </c>
      <c r="B201" s="24" t="b">
        <f t="shared" si="2"/>
        <v>0</v>
      </c>
      <c r="C201" s="4">
        <f>SUMIF('Input Sheet'!B$3:B$1000,A201,'Input Sheet'!C$3:C$1000)</f>
        <v>0</v>
      </c>
      <c r="D201" s="4">
        <f>SUMIF('Input Sheet'!B$3:B$1000,A201,'Input Sheet'!D$3:D$1000)</f>
        <v>0</v>
      </c>
      <c r="E201" s="4" t="str">
        <f t="shared" ref="E201:F201" ca="1" si="204">IFERROR(RANK(K201,K$6:K$1004,1),"")</f>
        <v/>
      </c>
      <c r="F201" s="4" t="str">
        <f t="shared" ca="1" si="204"/>
        <v/>
      </c>
      <c r="G201" s="4" t="str">
        <f t="shared" ca="1" si="4"/>
        <v/>
      </c>
      <c r="H201" s="4" t="str">
        <f t="shared" si="5"/>
        <v/>
      </c>
      <c r="I201" s="4" t="str">
        <f t="shared" si="6"/>
        <v/>
      </c>
      <c r="J201" s="4" t="str">
        <f t="shared" si="7"/>
        <v/>
      </c>
      <c r="K201" s="25" t="str">
        <f t="shared" ca="1" si="8"/>
        <v/>
      </c>
      <c r="L201" s="21" t="str">
        <f t="shared" ca="1" si="9"/>
        <v/>
      </c>
      <c r="M201" s="21" t="str">
        <f>IF(SUMIFS('Input Sheet'!$F$3:$F$1001,'Input Sheet'!$B$3:$B$1001,$H201,'Input Sheet'!$E$3:$E$1001,M$4)=0,"",SUMIFS('Input Sheet'!$F$3:$F$1001,'Input Sheet'!$B$3:$B$1001,$H201,'Input Sheet'!$E$3:$E$1001,M$4))</f>
        <v/>
      </c>
      <c r="N201" s="21" t="str">
        <f>IF(SUMIFS('Input Sheet'!$F$3:$F$1001,'Input Sheet'!$B$3:$B$1001,$H201,'Input Sheet'!$E$3:$E$1001,N$4)=0,"",SUMIFS('Input Sheet'!$F$3:$F$1001,'Input Sheet'!$B$3:$B$1001,$H201,'Input Sheet'!$E$3:$E$1001,N$4))</f>
        <v/>
      </c>
      <c r="O201" s="21" t="str">
        <f>IF(SUMIFS('Input Sheet'!$F$3:$F$1001,'Input Sheet'!$B$3:$B$1001,$H201,'Input Sheet'!$E$3:$E$1001,O$4)=0,"",SUMIFS('Input Sheet'!$F$3:$F$1001,'Input Sheet'!$B$3:$B$1001,$H201,'Input Sheet'!$E$3:$E$1001,O$4))</f>
        <v/>
      </c>
      <c r="P201" s="21" t="str">
        <f>IF(SUMIFS('Input Sheet'!$F$3:$F$1001,'Input Sheet'!$B$3:$B$1001,$H201,'Input Sheet'!$E$3:$E$1001,P$4)=0,"",SUMIFS('Input Sheet'!$F$3:$F$1001,'Input Sheet'!$B$3:$B$1001,$H201,'Input Sheet'!$E$3:$E$1001,P$4))</f>
        <v/>
      </c>
      <c r="Q201" s="21" t="str">
        <f>IF(SUMIFS('Input Sheet'!$F$3:$F$1001,'Input Sheet'!$B$3:$B$1001,$H201,'Input Sheet'!$E$3:$E$1001,Q$4)=0,"",SUMIFS('Input Sheet'!$F$3:$F$1001,'Input Sheet'!$B$3:$B$1001,$H201,'Input Sheet'!$E$3:$E$1001,Q$4))</f>
        <v/>
      </c>
      <c r="R201" s="21" t="str">
        <f>IF(SUMIFS('Input Sheet'!$F$3:$F$1001,'Input Sheet'!$B$3:$B$1001,$H201,'Input Sheet'!$E$3:$E$1001,R$4)=0,"",SUMIFS('Input Sheet'!$F$3:$F$1001,'Input Sheet'!$B$3:$B$1001,$H201,'Input Sheet'!$E$3:$E$1001,R$4))</f>
        <v/>
      </c>
      <c r="S201" s="21" t="str">
        <f>IF(SUMIFS('Input Sheet'!$F$3:$F$1001,'Input Sheet'!$B$3:$B$1001,$H201,'Input Sheet'!$E$3:$E$1001,S$4)=0,"",SUMIFS('Input Sheet'!$F$3:$F$1001,'Input Sheet'!$B$3:$B$1001,$H201,'Input Sheet'!$E$3:$E$1001,S$4))</f>
        <v/>
      </c>
      <c r="T201" s="22">
        <v>196</v>
      </c>
    </row>
    <row r="202" spans="1:20" ht="14.25" customHeight="1" x14ac:dyDescent="0.3">
      <c r="A202" s="4" t="str">
        <f>IF('Input Sheet'!B199=0,"",'Input Sheet'!B199)</f>
        <v/>
      </c>
      <c r="B202" s="24" t="b">
        <f t="shared" si="2"/>
        <v>0</v>
      </c>
      <c r="C202" s="4">
        <f>SUMIF('Input Sheet'!B$3:B$1000,A202,'Input Sheet'!C$3:C$1000)</f>
        <v>0</v>
      </c>
      <c r="D202" s="4">
        <f>SUMIF('Input Sheet'!B$3:B$1000,A202,'Input Sheet'!D$3:D$1000)</f>
        <v>0</v>
      </c>
      <c r="E202" s="4" t="str">
        <f t="shared" ref="E202:F202" ca="1" si="205">IFERROR(RANK(K202,K$6:K$1004,1),"")</f>
        <v/>
      </c>
      <c r="F202" s="4" t="str">
        <f t="shared" ca="1" si="205"/>
        <v/>
      </c>
      <c r="G202" s="4" t="str">
        <f t="shared" ca="1" si="4"/>
        <v/>
      </c>
      <c r="H202" s="4" t="str">
        <f t="shared" si="5"/>
        <v/>
      </c>
      <c r="I202" s="4" t="str">
        <f t="shared" si="6"/>
        <v/>
      </c>
      <c r="J202" s="4" t="str">
        <f t="shared" si="7"/>
        <v/>
      </c>
      <c r="K202" s="25" t="str">
        <f t="shared" ca="1" si="8"/>
        <v/>
      </c>
      <c r="L202" s="21" t="str">
        <f t="shared" ca="1" si="9"/>
        <v/>
      </c>
      <c r="M202" s="21" t="str">
        <f>IF(SUMIFS('Input Sheet'!$F$3:$F$1001,'Input Sheet'!$B$3:$B$1001,$H202,'Input Sheet'!$E$3:$E$1001,M$4)=0,"",SUMIFS('Input Sheet'!$F$3:$F$1001,'Input Sheet'!$B$3:$B$1001,$H202,'Input Sheet'!$E$3:$E$1001,M$4))</f>
        <v/>
      </c>
      <c r="N202" s="21" t="str">
        <f>IF(SUMIFS('Input Sheet'!$F$3:$F$1001,'Input Sheet'!$B$3:$B$1001,$H202,'Input Sheet'!$E$3:$E$1001,N$4)=0,"",SUMIFS('Input Sheet'!$F$3:$F$1001,'Input Sheet'!$B$3:$B$1001,$H202,'Input Sheet'!$E$3:$E$1001,N$4))</f>
        <v/>
      </c>
      <c r="O202" s="21" t="str">
        <f>IF(SUMIFS('Input Sheet'!$F$3:$F$1001,'Input Sheet'!$B$3:$B$1001,$H202,'Input Sheet'!$E$3:$E$1001,O$4)=0,"",SUMIFS('Input Sheet'!$F$3:$F$1001,'Input Sheet'!$B$3:$B$1001,$H202,'Input Sheet'!$E$3:$E$1001,O$4))</f>
        <v/>
      </c>
      <c r="P202" s="21" t="str">
        <f>IF(SUMIFS('Input Sheet'!$F$3:$F$1001,'Input Sheet'!$B$3:$B$1001,$H202,'Input Sheet'!$E$3:$E$1001,P$4)=0,"",SUMIFS('Input Sheet'!$F$3:$F$1001,'Input Sheet'!$B$3:$B$1001,$H202,'Input Sheet'!$E$3:$E$1001,P$4))</f>
        <v/>
      </c>
      <c r="Q202" s="21" t="str">
        <f>IF(SUMIFS('Input Sheet'!$F$3:$F$1001,'Input Sheet'!$B$3:$B$1001,$H202,'Input Sheet'!$E$3:$E$1001,Q$4)=0,"",SUMIFS('Input Sheet'!$F$3:$F$1001,'Input Sheet'!$B$3:$B$1001,$H202,'Input Sheet'!$E$3:$E$1001,Q$4))</f>
        <v/>
      </c>
      <c r="R202" s="21" t="str">
        <f>IF(SUMIFS('Input Sheet'!$F$3:$F$1001,'Input Sheet'!$B$3:$B$1001,$H202,'Input Sheet'!$E$3:$E$1001,R$4)=0,"",SUMIFS('Input Sheet'!$F$3:$F$1001,'Input Sheet'!$B$3:$B$1001,$H202,'Input Sheet'!$E$3:$E$1001,R$4))</f>
        <v/>
      </c>
      <c r="S202" s="21" t="str">
        <f>IF(SUMIFS('Input Sheet'!$F$3:$F$1001,'Input Sheet'!$B$3:$B$1001,$H202,'Input Sheet'!$E$3:$E$1001,S$4)=0,"",SUMIFS('Input Sheet'!$F$3:$F$1001,'Input Sheet'!$B$3:$B$1001,$H202,'Input Sheet'!$E$3:$E$1001,S$4))</f>
        <v/>
      </c>
      <c r="T202" s="22">
        <v>197</v>
      </c>
    </row>
    <row r="203" spans="1:20" ht="14.25" customHeight="1" x14ac:dyDescent="0.3">
      <c r="A203" s="4" t="str">
        <f>IF('Input Sheet'!B200=0,"",'Input Sheet'!B200)</f>
        <v/>
      </c>
      <c r="B203" s="24" t="b">
        <f t="shared" si="2"/>
        <v>0</v>
      </c>
      <c r="C203" s="4">
        <f>SUMIF('Input Sheet'!B$3:B$1000,A203,'Input Sheet'!C$3:C$1000)</f>
        <v>0</v>
      </c>
      <c r="D203" s="4">
        <f>SUMIF('Input Sheet'!B$3:B$1000,A203,'Input Sheet'!D$3:D$1000)</f>
        <v>0</v>
      </c>
      <c r="E203" s="4" t="str">
        <f t="shared" ref="E203:F203" ca="1" si="206">IFERROR(RANK(K203,K$6:K$1004,1),"")</f>
        <v/>
      </c>
      <c r="F203" s="4" t="str">
        <f t="shared" ca="1" si="206"/>
        <v/>
      </c>
      <c r="G203" s="4" t="str">
        <f t="shared" ca="1" si="4"/>
        <v/>
      </c>
      <c r="H203" s="4" t="str">
        <f t="shared" si="5"/>
        <v/>
      </c>
      <c r="I203" s="4" t="str">
        <f t="shared" si="6"/>
        <v/>
      </c>
      <c r="J203" s="4" t="str">
        <f t="shared" si="7"/>
        <v/>
      </c>
      <c r="K203" s="25" t="str">
        <f t="shared" ca="1" si="8"/>
        <v/>
      </c>
      <c r="L203" s="21" t="str">
        <f t="shared" ca="1" si="9"/>
        <v/>
      </c>
      <c r="M203" s="21" t="str">
        <f>IF(SUMIFS('Input Sheet'!$F$3:$F$1001,'Input Sheet'!$B$3:$B$1001,$H203,'Input Sheet'!$E$3:$E$1001,M$4)=0,"",SUMIFS('Input Sheet'!$F$3:$F$1001,'Input Sheet'!$B$3:$B$1001,$H203,'Input Sheet'!$E$3:$E$1001,M$4))</f>
        <v/>
      </c>
      <c r="N203" s="21" t="str">
        <f>IF(SUMIFS('Input Sheet'!$F$3:$F$1001,'Input Sheet'!$B$3:$B$1001,$H203,'Input Sheet'!$E$3:$E$1001,N$4)=0,"",SUMIFS('Input Sheet'!$F$3:$F$1001,'Input Sheet'!$B$3:$B$1001,$H203,'Input Sheet'!$E$3:$E$1001,N$4))</f>
        <v/>
      </c>
      <c r="O203" s="21" t="str">
        <f>IF(SUMIFS('Input Sheet'!$F$3:$F$1001,'Input Sheet'!$B$3:$B$1001,$H203,'Input Sheet'!$E$3:$E$1001,O$4)=0,"",SUMIFS('Input Sheet'!$F$3:$F$1001,'Input Sheet'!$B$3:$B$1001,$H203,'Input Sheet'!$E$3:$E$1001,O$4))</f>
        <v/>
      </c>
      <c r="P203" s="21" t="str">
        <f>IF(SUMIFS('Input Sheet'!$F$3:$F$1001,'Input Sheet'!$B$3:$B$1001,$H203,'Input Sheet'!$E$3:$E$1001,P$4)=0,"",SUMIFS('Input Sheet'!$F$3:$F$1001,'Input Sheet'!$B$3:$B$1001,$H203,'Input Sheet'!$E$3:$E$1001,P$4))</f>
        <v/>
      </c>
      <c r="Q203" s="21" t="str">
        <f>IF(SUMIFS('Input Sheet'!$F$3:$F$1001,'Input Sheet'!$B$3:$B$1001,$H203,'Input Sheet'!$E$3:$E$1001,Q$4)=0,"",SUMIFS('Input Sheet'!$F$3:$F$1001,'Input Sheet'!$B$3:$B$1001,$H203,'Input Sheet'!$E$3:$E$1001,Q$4))</f>
        <v/>
      </c>
      <c r="R203" s="21" t="str">
        <f>IF(SUMIFS('Input Sheet'!$F$3:$F$1001,'Input Sheet'!$B$3:$B$1001,$H203,'Input Sheet'!$E$3:$E$1001,R$4)=0,"",SUMIFS('Input Sheet'!$F$3:$F$1001,'Input Sheet'!$B$3:$B$1001,$H203,'Input Sheet'!$E$3:$E$1001,R$4))</f>
        <v/>
      </c>
      <c r="S203" s="21" t="str">
        <f>IF(SUMIFS('Input Sheet'!$F$3:$F$1001,'Input Sheet'!$B$3:$B$1001,$H203,'Input Sheet'!$E$3:$E$1001,S$4)=0,"",SUMIFS('Input Sheet'!$F$3:$F$1001,'Input Sheet'!$B$3:$B$1001,$H203,'Input Sheet'!$E$3:$E$1001,S$4))</f>
        <v/>
      </c>
      <c r="T203" s="22">
        <v>198</v>
      </c>
    </row>
    <row r="204" spans="1:20" ht="14.25" customHeight="1" x14ac:dyDescent="0.3">
      <c r="A204" s="4" t="str">
        <f>IF('Input Sheet'!B201=0,"",'Input Sheet'!B201)</f>
        <v/>
      </c>
      <c r="B204" s="24" t="b">
        <f t="shared" si="2"/>
        <v>0</v>
      </c>
      <c r="C204" s="4">
        <f>SUMIF('Input Sheet'!B$3:B$1000,A204,'Input Sheet'!C$3:C$1000)</f>
        <v>0</v>
      </c>
      <c r="D204" s="4">
        <f>SUMIF('Input Sheet'!B$3:B$1000,A204,'Input Sheet'!D$3:D$1000)</f>
        <v>0</v>
      </c>
      <c r="E204" s="4" t="str">
        <f t="shared" ref="E204:F204" ca="1" si="207">IFERROR(RANK(K204,K$6:K$1004,1),"")</f>
        <v/>
      </c>
      <c r="F204" s="4" t="str">
        <f t="shared" ca="1" si="207"/>
        <v/>
      </c>
      <c r="G204" s="4" t="str">
        <f t="shared" ca="1" si="4"/>
        <v/>
      </c>
      <c r="H204" s="4" t="str">
        <f t="shared" si="5"/>
        <v/>
      </c>
      <c r="I204" s="4" t="str">
        <f t="shared" si="6"/>
        <v/>
      </c>
      <c r="J204" s="4" t="str">
        <f t="shared" si="7"/>
        <v/>
      </c>
      <c r="K204" s="25" t="str">
        <f t="shared" ca="1" si="8"/>
        <v/>
      </c>
      <c r="L204" s="21" t="str">
        <f t="shared" ca="1" si="9"/>
        <v/>
      </c>
      <c r="M204" s="21" t="str">
        <f>IF(SUMIFS('Input Sheet'!$F$3:$F$1001,'Input Sheet'!$B$3:$B$1001,$H204,'Input Sheet'!$E$3:$E$1001,M$4)=0,"",SUMIFS('Input Sheet'!$F$3:$F$1001,'Input Sheet'!$B$3:$B$1001,$H204,'Input Sheet'!$E$3:$E$1001,M$4))</f>
        <v/>
      </c>
      <c r="N204" s="21" t="str">
        <f>IF(SUMIFS('Input Sheet'!$F$3:$F$1001,'Input Sheet'!$B$3:$B$1001,$H204,'Input Sheet'!$E$3:$E$1001,N$4)=0,"",SUMIFS('Input Sheet'!$F$3:$F$1001,'Input Sheet'!$B$3:$B$1001,$H204,'Input Sheet'!$E$3:$E$1001,N$4))</f>
        <v/>
      </c>
      <c r="O204" s="21" t="str">
        <f>IF(SUMIFS('Input Sheet'!$F$3:$F$1001,'Input Sheet'!$B$3:$B$1001,$H204,'Input Sheet'!$E$3:$E$1001,O$4)=0,"",SUMIFS('Input Sheet'!$F$3:$F$1001,'Input Sheet'!$B$3:$B$1001,$H204,'Input Sheet'!$E$3:$E$1001,O$4))</f>
        <v/>
      </c>
      <c r="P204" s="21" t="str">
        <f>IF(SUMIFS('Input Sheet'!$F$3:$F$1001,'Input Sheet'!$B$3:$B$1001,$H204,'Input Sheet'!$E$3:$E$1001,P$4)=0,"",SUMIFS('Input Sheet'!$F$3:$F$1001,'Input Sheet'!$B$3:$B$1001,$H204,'Input Sheet'!$E$3:$E$1001,P$4))</f>
        <v/>
      </c>
      <c r="Q204" s="21" t="str">
        <f>IF(SUMIFS('Input Sheet'!$F$3:$F$1001,'Input Sheet'!$B$3:$B$1001,$H204,'Input Sheet'!$E$3:$E$1001,Q$4)=0,"",SUMIFS('Input Sheet'!$F$3:$F$1001,'Input Sheet'!$B$3:$B$1001,$H204,'Input Sheet'!$E$3:$E$1001,Q$4))</f>
        <v/>
      </c>
      <c r="R204" s="21" t="str">
        <f>IF(SUMIFS('Input Sheet'!$F$3:$F$1001,'Input Sheet'!$B$3:$B$1001,$H204,'Input Sheet'!$E$3:$E$1001,R$4)=0,"",SUMIFS('Input Sheet'!$F$3:$F$1001,'Input Sheet'!$B$3:$B$1001,$H204,'Input Sheet'!$E$3:$E$1001,R$4))</f>
        <v/>
      </c>
      <c r="S204" s="21" t="str">
        <f>IF(SUMIFS('Input Sheet'!$F$3:$F$1001,'Input Sheet'!$B$3:$B$1001,$H204,'Input Sheet'!$E$3:$E$1001,S$4)=0,"",SUMIFS('Input Sheet'!$F$3:$F$1001,'Input Sheet'!$B$3:$B$1001,$H204,'Input Sheet'!$E$3:$E$1001,S$4))</f>
        <v/>
      </c>
      <c r="T204" s="22">
        <v>199</v>
      </c>
    </row>
    <row r="205" spans="1:20" ht="14.25" customHeight="1" x14ac:dyDescent="0.3">
      <c r="A205" s="4" t="str">
        <f>IF('Input Sheet'!B202=0,"",'Input Sheet'!B202)</f>
        <v/>
      </c>
      <c r="B205" s="24" t="b">
        <f t="shared" si="2"/>
        <v>0</v>
      </c>
      <c r="C205" s="4">
        <f>SUMIF('Input Sheet'!B$3:B$1000,A205,'Input Sheet'!C$3:C$1000)</f>
        <v>0</v>
      </c>
      <c r="D205" s="4">
        <f>SUMIF('Input Sheet'!B$3:B$1000,A205,'Input Sheet'!D$3:D$1000)</f>
        <v>0</v>
      </c>
      <c r="E205" s="4" t="str">
        <f t="shared" ref="E205:F205" ca="1" si="208">IFERROR(RANK(K205,K$6:K$1004,1),"")</f>
        <v/>
      </c>
      <c r="F205" s="4" t="str">
        <f t="shared" ca="1" si="208"/>
        <v/>
      </c>
      <c r="G205" s="4" t="str">
        <f t="shared" ca="1" si="4"/>
        <v/>
      </c>
      <c r="H205" s="4" t="str">
        <f t="shared" si="5"/>
        <v/>
      </c>
      <c r="I205" s="4" t="str">
        <f t="shared" si="6"/>
        <v/>
      </c>
      <c r="J205" s="4" t="str">
        <f t="shared" si="7"/>
        <v/>
      </c>
      <c r="K205" s="25" t="str">
        <f t="shared" ca="1" si="8"/>
        <v/>
      </c>
      <c r="L205" s="21" t="str">
        <f t="shared" ca="1" si="9"/>
        <v/>
      </c>
      <c r="M205" s="21" t="str">
        <f>IF(SUMIFS('Input Sheet'!$F$3:$F$1001,'Input Sheet'!$B$3:$B$1001,$H205,'Input Sheet'!$E$3:$E$1001,M$4)=0,"",SUMIFS('Input Sheet'!$F$3:$F$1001,'Input Sheet'!$B$3:$B$1001,$H205,'Input Sheet'!$E$3:$E$1001,M$4))</f>
        <v/>
      </c>
      <c r="N205" s="21" t="str">
        <f>IF(SUMIFS('Input Sheet'!$F$3:$F$1001,'Input Sheet'!$B$3:$B$1001,$H205,'Input Sheet'!$E$3:$E$1001,N$4)=0,"",SUMIFS('Input Sheet'!$F$3:$F$1001,'Input Sheet'!$B$3:$B$1001,$H205,'Input Sheet'!$E$3:$E$1001,N$4))</f>
        <v/>
      </c>
      <c r="O205" s="21" t="str">
        <f>IF(SUMIFS('Input Sheet'!$F$3:$F$1001,'Input Sheet'!$B$3:$B$1001,$H205,'Input Sheet'!$E$3:$E$1001,O$4)=0,"",SUMIFS('Input Sheet'!$F$3:$F$1001,'Input Sheet'!$B$3:$B$1001,$H205,'Input Sheet'!$E$3:$E$1001,O$4))</f>
        <v/>
      </c>
      <c r="P205" s="21" t="str">
        <f>IF(SUMIFS('Input Sheet'!$F$3:$F$1001,'Input Sheet'!$B$3:$B$1001,$H205,'Input Sheet'!$E$3:$E$1001,P$4)=0,"",SUMIFS('Input Sheet'!$F$3:$F$1001,'Input Sheet'!$B$3:$B$1001,$H205,'Input Sheet'!$E$3:$E$1001,P$4))</f>
        <v/>
      </c>
      <c r="Q205" s="21" t="str">
        <f>IF(SUMIFS('Input Sheet'!$F$3:$F$1001,'Input Sheet'!$B$3:$B$1001,$H205,'Input Sheet'!$E$3:$E$1001,Q$4)=0,"",SUMIFS('Input Sheet'!$F$3:$F$1001,'Input Sheet'!$B$3:$B$1001,$H205,'Input Sheet'!$E$3:$E$1001,Q$4))</f>
        <v/>
      </c>
      <c r="R205" s="21" t="str">
        <f>IF(SUMIFS('Input Sheet'!$F$3:$F$1001,'Input Sheet'!$B$3:$B$1001,$H205,'Input Sheet'!$E$3:$E$1001,R$4)=0,"",SUMIFS('Input Sheet'!$F$3:$F$1001,'Input Sheet'!$B$3:$B$1001,$H205,'Input Sheet'!$E$3:$E$1001,R$4))</f>
        <v/>
      </c>
      <c r="S205" s="21" t="str">
        <f>IF(SUMIFS('Input Sheet'!$F$3:$F$1001,'Input Sheet'!$B$3:$B$1001,$H205,'Input Sheet'!$E$3:$E$1001,S$4)=0,"",SUMIFS('Input Sheet'!$F$3:$F$1001,'Input Sheet'!$B$3:$B$1001,$H205,'Input Sheet'!$E$3:$E$1001,S$4))</f>
        <v/>
      </c>
      <c r="T205" s="22">
        <v>200</v>
      </c>
    </row>
    <row r="206" spans="1:20" ht="14.25" customHeight="1" x14ac:dyDescent="0.3">
      <c r="A206" s="4" t="str">
        <f>IF('Input Sheet'!B203=0,"",'Input Sheet'!B203)</f>
        <v/>
      </c>
      <c r="B206" s="24" t="b">
        <f t="shared" si="2"/>
        <v>0</v>
      </c>
      <c r="C206" s="4">
        <f>SUMIF('Input Sheet'!B$3:B$1000,A206,'Input Sheet'!C$3:C$1000)</f>
        <v>0</v>
      </c>
      <c r="D206" s="4">
        <f>SUMIF('Input Sheet'!B$3:B$1000,A206,'Input Sheet'!D$3:D$1000)</f>
        <v>0</v>
      </c>
      <c r="E206" s="4" t="str">
        <f t="shared" ref="E206:F206" ca="1" si="209">IFERROR(RANK(K206,K$6:K$1004,1),"")</f>
        <v/>
      </c>
      <c r="F206" s="4" t="str">
        <f t="shared" ca="1" si="209"/>
        <v/>
      </c>
      <c r="G206" s="4" t="str">
        <f t="shared" ca="1" si="4"/>
        <v/>
      </c>
      <c r="H206" s="4" t="str">
        <f t="shared" si="5"/>
        <v/>
      </c>
      <c r="I206" s="4" t="str">
        <f t="shared" si="6"/>
        <v/>
      </c>
      <c r="J206" s="4" t="str">
        <f t="shared" si="7"/>
        <v/>
      </c>
      <c r="K206" s="25" t="str">
        <f t="shared" ca="1" si="8"/>
        <v/>
      </c>
      <c r="L206" s="21" t="str">
        <f t="shared" ca="1" si="9"/>
        <v/>
      </c>
      <c r="M206" s="21" t="str">
        <f>IF(SUMIFS('Input Sheet'!$F$3:$F$1001,'Input Sheet'!$B$3:$B$1001,$H206,'Input Sheet'!$E$3:$E$1001,M$4)=0,"",SUMIFS('Input Sheet'!$F$3:$F$1001,'Input Sheet'!$B$3:$B$1001,$H206,'Input Sheet'!$E$3:$E$1001,M$4))</f>
        <v/>
      </c>
      <c r="N206" s="21" t="str">
        <f>IF(SUMIFS('Input Sheet'!$F$3:$F$1001,'Input Sheet'!$B$3:$B$1001,$H206,'Input Sheet'!$E$3:$E$1001,N$4)=0,"",SUMIFS('Input Sheet'!$F$3:$F$1001,'Input Sheet'!$B$3:$B$1001,$H206,'Input Sheet'!$E$3:$E$1001,N$4))</f>
        <v/>
      </c>
      <c r="O206" s="21" t="str">
        <f>IF(SUMIFS('Input Sheet'!$F$3:$F$1001,'Input Sheet'!$B$3:$B$1001,$H206,'Input Sheet'!$E$3:$E$1001,O$4)=0,"",SUMIFS('Input Sheet'!$F$3:$F$1001,'Input Sheet'!$B$3:$B$1001,$H206,'Input Sheet'!$E$3:$E$1001,O$4))</f>
        <v/>
      </c>
      <c r="P206" s="21" t="str">
        <f>IF(SUMIFS('Input Sheet'!$F$3:$F$1001,'Input Sheet'!$B$3:$B$1001,$H206,'Input Sheet'!$E$3:$E$1001,P$4)=0,"",SUMIFS('Input Sheet'!$F$3:$F$1001,'Input Sheet'!$B$3:$B$1001,$H206,'Input Sheet'!$E$3:$E$1001,P$4))</f>
        <v/>
      </c>
      <c r="Q206" s="21" t="str">
        <f>IF(SUMIFS('Input Sheet'!$F$3:$F$1001,'Input Sheet'!$B$3:$B$1001,$H206,'Input Sheet'!$E$3:$E$1001,Q$4)=0,"",SUMIFS('Input Sheet'!$F$3:$F$1001,'Input Sheet'!$B$3:$B$1001,$H206,'Input Sheet'!$E$3:$E$1001,Q$4))</f>
        <v/>
      </c>
      <c r="R206" s="21" t="str">
        <f>IF(SUMIFS('Input Sheet'!$F$3:$F$1001,'Input Sheet'!$B$3:$B$1001,$H206,'Input Sheet'!$E$3:$E$1001,R$4)=0,"",SUMIFS('Input Sheet'!$F$3:$F$1001,'Input Sheet'!$B$3:$B$1001,$H206,'Input Sheet'!$E$3:$E$1001,R$4))</f>
        <v/>
      </c>
      <c r="S206" s="21" t="str">
        <f>IF(SUMIFS('Input Sheet'!$F$3:$F$1001,'Input Sheet'!$B$3:$B$1001,$H206,'Input Sheet'!$E$3:$E$1001,S$4)=0,"",SUMIFS('Input Sheet'!$F$3:$F$1001,'Input Sheet'!$B$3:$B$1001,$H206,'Input Sheet'!$E$3:$E$1001,S$4))</f>
        <v/>
      </c>
      <c r="T206" s="22">
        <v>201</v>
      </c>
    </row>
    <row r="207" spans="1:20" ht="14.25" customHeight="1" x14ac:dyDescent="0.3">
      <c r="A207" s="4" t="str">
        <f>IF('Input Sheet'!B204=0,"",'Input Sheet'!B204)</f>
        <v/>
      </c>
      <c r="B207" s="24" t="b">
        <f t="shared" si="2"/>
        <v>0</v>
      </c>
      <c r="C207" s="4">
        <f>SUMIF('Input Sheet'!B$3:B$1000,A207,'Input Sheet'!C$3:C$1000)</f>
        <v>0</v>
      </c>
      <c r="D207" s="4">
        <f>SUMIF('Input Sheet'!B$3:B$1000,A207,'Input Sheet'!D$3:D$1000)</f>
        <v>0</v>
      </c>
      <c r="E207" s="4" t="str">
        <f t="shared" ref="E207:F207" ca="1" si="210">IFERROR(RANK(K207,K$6:K$1004,1),"")</f>
        <v/>
      </c>
      <c r="F207" s="4" t="str">
        <f t="shared" ca="1" si="210"/>
        <v/>
      </c>
      <c r="G207" s="4" t="str">
        <f t="shared" ca="1" si="4"/>
        <v/>
      </c>
      <c r="H207" s="4" t="str">
        <f t="shared" si="5"/>
        <v/>
      </c>
      <c r="I207" s="4" t="str">
        <f t="shared" si="6"/>
        <v/>
      </c>
      <c r="J207" s="4" t="str">
        <f t="shared" si="7"/>
        <v/>
      </c>
      <c r="K207" s="25" t="str">
        <f t="shared" ca="1" si="8"/>
        <v/>
      </c>
      <c r="L207" s="21" t="str">
        <f t="shared" ca="1" si="9"/>
        <v/>
      </c>
      <c r="M207" s="21" t="str">
        <f>IF(SUMIFS('Input Sheet'!$F$3:$F$1001,'Input Sheet'!$B$3:$B$1001,$H207,'Input Sheet'!$E$3:$E$1001,M$4)=0,"",SUMIFS('Input Sheet'!$F$3:$F$1001,'Input Sheet'!$B$3:$B$1001,$H207,'Input Sheet'!$E$3:$E$1001,M$4))</f>
        <v/>
      </c>
      <c r="N207" s="21" t="str">
        <f>IF(SUMIFS('Input Sheet'!$F$3:$F$1001,'Input Sheet'!$B$3:$B$1001,$H207,'Input Sheet'!$E$3:$E$1001,N$4)=0,"",SUMIFS('Input Sheet'!$F$3:$F$1001,'Input Sheet'!$B$3:$B$1001,$H207,'Input Sheet'!$E$3:$E$1001,N$4))</f>
        <v/>
      </c>
      <c r="O207" s="21" t="str">
        <f>IF(SUMIFS('Input Sheet'!$F$3:$F$1001,'Input Sheet'!$B$3:$B$1001,$H207,'Input Sheet'!$E$3:$E$1001,O$4)=0,"",SUMIFS('Input Sheet'!$F$3:$F$1001,'Input Sheet'!$B$3:$B$1001,$H207,'Input Sheet'!$E$3:$E$1001,O$4))</f>
        <v/>
      </c>
      <c r="P207" s="21" t="str">
        <f>IF(SUMIFS('Input Sheet'!$F$3:$F$1001,'Input Sheet'!$B$3:$B$1001,$H207,'Input Sheet'!$E$3:$E$1001,P$4)=0,"",SUMIFS('Input Sheet'!$F$3:$F$1001,'Input Sheet'!$B$3:$B$1001,$H207,'Input Sheet'!$E$3:$E$1001,P$4))</f>
        <v/>
      </c>
      <c r="Q207" s="21" t="str">
        <f>IF(SUMIFS('Input Sheet'!$F$3:$F$1001,'Input Sheet'!$B$3:$B$1001,$H207,'Input Sheet'!$E$3:$E$1001,Q$4)=0,"",SUMIFS('Input Sheet'!$F$3:$F$1001,'Input Sheet'!$B$3:$B$1001,$H207,'Input Sheet'!$E$3:$E$1001,Q$4))</f>
        <v/>
      </c>
      <c r="R207" s="21" t="str">
        <f>IF(SUMIFS('Input Sheet'!$F$3:$F$1001,'Input Sheet'!$B$3:$B$1001,$H207,'Input Sheet'!$E$3:$E$1001,R$4)=0,"",SUMIFS('Input Sheet'!$F$3:$F$1001,'Input Sheet'!$B$3:$B$1001,$H207,'Input Sheet'!$E$3:$E$1001,R$4))</f>
        <v/>
      </c>
      <c r="S207" s="21" t="str">
        <f>IF(SUMIFS('Input Sheet'!$F$3:$F$1001,'Input Sheet'!$B$3:$B$1001,$H207,'Input Sheet'!$E$3:$E$1001,S$4)=0,"",SUMIFS('Input Sheet'!$F$3:$F$1001,'Input Sheet'!$B$3:$B$1001,$H207,'Input Sheet'!$E$3:$E$1001,S$4))</f>
        <v/>
      </c>
      <c r="T207" s="22">
        <v>202</v>
      </c>
    </row>
    <row r="208" spans="1:20" ht="14.25" customHeight="1" x14ac:dyDescent="0.3">
      <c r="A208" s="4" t="str">
        <f>IF('Input Sheet'!B205=0,"",'Input Sheet'!B205)</f>
        <v/>
      </c>
      <c r="B208" s="24" t="b">
        <f t="shared" si="2"/>
        <v>0</v>
      </c>
      <c r="C208" s="4">
        <f>SUMIF('Input Sheet'!B$3:B$1000,A208,'Input Sheet'!C$3:C$1000)</f>
        <v>0</v>
      </c>
      <c r="D208" s="4">
        <f>SUMIF('Input Sheet'!B$3:B$1000,A208,'Input Sheet'!D$3:D$1000)</f>
        <v>0</v>
      </c>
      <c r="E208" s="4" t="str">
        <f t="shared" ref="E208:F208" ca="1" si="211">IFERROR(RANK(K208,K$6:K$1004,1),"")</f>
        <v/>
      </c>
      <c r="F208" s="4" t="str">
        <f t="shared" ca="1" si="211"/>
        <v/>
      </c>
      <c r="G208" s="4" t="str">
        <f t="shared" ca="1" si="4"/>
        <v/>
      </c>
      <c r="H208" s="4" t="str">
        <f t="shared" si="5"/>
        <v/>
      </c>
      <c r="I208" s="4" t="str">
        <f t="shared" si="6"/>
        <v/>
      </c>
      <c r="J208" s="4" t="str">
        <f t="shared" si="7"/>
        <v/>
      </c>
      <c r="K208" s="25" t="str">
        <f t="shared" ca="1" si="8"/>
        <v/>
      </c>
      <c r="L208" s="21" t="str">
        <f t="shared" ca="1" si="9"/>
        <v/>
      </c>
      <c r="M208" s="21" t="str">
        <f>IF(SUMIFS('Input Sheet'!$F$3:$F$1001,'Input Sheet'!$B$3:$B$1001,$H208,'Input Sheet'!$E$3:$E$1001,M$4)=0,"",SUMIFS('Input Sheet'!$F$3:$F$1001,'Input Sheet'!$B$3:$B$1001,$H208,'Input Sheet'!$E$3:$E$1001,M$4))</f>
        <v/>
      </c>
      <c r="N208" s="21" t="str">
        <f>IF(SUMIFS('Input Sheet'!$F$3:$F$1001,'Input Sheet'!$B$3:$B$1001,$H208,'Input Sheet'!$E$3:$E$1001,N$4)=0,"",SUMIFS('Input Sheet'!$F$3:$F$1001,'Input Sheet'!$B$3:$B$1001,$H208,'Input Sheet'!$E$3:$E$1001,N$4))</f>
        <v/>
      </c>
      <c r="O208" s="21" t="str">
        <f>IF(SUMIFS('Input Sheet'!$F$3:$F$1001,'Input Sheet'!$B$3:$B$1001,$H208,'Input Sheet'!$E$3:$E$1001,O$4)=0,"",SUMIFS('Input Sheet'!$F$3:$F$1001,'Input Sheet'!$B$3:$B$1001,$H208,'Input Sheet'!$E$3:$E$1001,O$4))</f>
        <v/>
      </c>
      <c r="P208" s="21" t="str">
        <f>IF(SUMIFS('Input Sheet'!$F$3:$F$1001,'Input Sheet'!$B$3:$B$1001,$H208,'Input Sheet'!$E$3:$E$1001,P$4)=0,"",SUMIFS('Input Sheet'!$F$3:$F$1001,'Input Sheet'!$B$3:$B$1001,$H208,'Input Sheet'!$E$3:$E$1001,P$4))</f>
        <v/>
      </c>
      <c r="Q208" s="21" t="str">
        <f>IF(SUMIFS('Input Sheet'!$F$3:$F$1001,'Input Sheet'!$B$3:$B$1001,$H208,'Input Sheet'!$E$3:$E$1001,Q$4)=0,"",SUMIFS('Input Sheet'!$F$3:$F$1001,'Input Sheet'!$B$3:$B$1001,$H208,'Input Sheet'!$E$3:$E$1001,Q$4))</f>
        <v/>
      </c>
      <c r="R208" s="21" t="str">
        <f>IF(SUMIFS('Input Sheet'!$F$3:$F$1001,'Input Sheet'!$B$3:$B$1001,$H208,'Input Sheet'!$E$3:$E$1001,R$4)=0,"",SUMIFS('Input Sheet'!$F$3:$F$1001,'Input Sheet'!$B$3:$B$1001,$H208,'Input Sheet'!$E$3:$E$1001,R$4))</f>
        <v/>
      </c>
      <c r="S208" s="21" t="str">
        <f>IF(SUMIFS('Input Sheet'!$F$3:$F$1001,'Input Sheet'!$B$3:$B$1001,$H208,'Input Sheet'!$E$3:$E$1001,S$4)=0,"",SUMIFS('Input Sheet'!$F$3:$F$1001,'Input Sheet'!$B$3:$B$1001,$H208,'Input Sheet'!$E$3:$E$1001,S$4))</f>
        <v/>
      </c>
      <c r="T208" s="22">
        <v>203</v>
      </c>
    </row>
    <row r="209" spans="1:20" ht="14.25" customHeight="1" x14ac:dyDescent="0.3">
      <c r="A209" s="4" t="str">
        <f>IF('Input Sheet'!B206=0,"",'Input Sheet'!B206)</f>
        <v/>
      </c>
      <c r="B209" s="24" t="b">
        <f t="shared" si="2"/>
        <v>0</v>
      </c>
      <c r="C209" s="4">
        <f>SUMIF('Input Sheet'!B$3:B$1000,A209,'Input Sheet'!C$3:C$1000)</f>
        <v>0</v>
      </c>
      <c r="D209" s="4">
        <f>SUMIF('Input Sheet'!B$3:B$1000,A209,'Input Sheet'!D$3:D$1000)</f>
        <v>0</v>
      </c>
      <c r="E209" s="4" t="str">
        <f t="shared" ref="E209:F209" ca="1" si="212">IFERROR(RANK(K209,K$6:K$1004,1),"")</f>
        <v/>
      </c>
      <c r="F209" s="4" t="str">
        <f t="shared" ca="1" si="212"/>
        <v/>
      </c>
      <c r="G209" s="4" t="str">
        <f t="shared" ca="1" si="4"/>
        <v/>
      </c>
      <c r="H209" s="4" t="str">
        <f t="shared" si="5"/>
        <v/>
      </c>
      <c r="I209" s="4" t="str">
        <f t="shared" si="6"/>
        <v/>
      </c>
      <c r="J209" s="4" t="str">
        <f t="shared" si="7"/>
        <v/>
      </c>
      <c r="K209" s="25" t="str">
        <f t="shared" ca="1" si="8"/>
        <v/>
      </c>
      <c r="L209" s="21" t="str">
        <f t="shared" ca="1" si="9"/>
        <v/>
      </c>
      <c r="M209" s="21" t="str">
        <f>IF(SUMIFS('Input Sheet'!$F$3:$F$1001,'Input Sheet'!$B$3:$B$1001,$H209,'Input Sheet'!$E$3:$E$1001,M$4)=0,"",SUMIFS('Input Sheet'!$F$3:$F$1001,'Input Sheet'!$B$3:$B$1001,$H209,'Input Sheet'!$E$3:$E$1001,M$4))</f>
        <v/>
      </c>
      <c r="N209" s="21" t="str">
        <f>IF(SUMIFS('Input Sheet'!$F$3:$F$1001,'Input Sheet'!$B$3:$B$1001,$H209,'Input Sheet'!$E$3:$E$1001,N$4)=0,"",SUMIFS('Input Sheet'!$F$3:$F$1001,'Input Sheet'!$B$3:$B$1001,$H209,'Input Sheet'!$E$3:$E$1001,N$4))</f>
        <v/>
      </c>
      <c r="O209" s="21" t="str">
        <f>IF(SUMIFS('Input Sheet'!$F$3:$F$1001,'Input Sheet'!$B$3:$B$1001,$H209,'Input Sheet'!$E$3:$E$1001,O$4)=0,"",SUMIFS('Input Sheet'!$F$3:$F$1001,'Input Sheet'!$B$3:$B$1001,$H209,'Input Sheet'!$E$3:$E$1001,O$4))</f>
        <v/>
      </c>
      <c r="P209" s="21" t="str">
        <f>IF(SUMIFS('Input Sheet'!$F$3:$F$1001,'Input Sheet'!$B$3:$B$1001,$H209,'Input Sheet'!$E$3:$E$1001,P$4)=0,"",SUMIFS('Input Sheet'!$F$3:$F$1001,'Input Sheet'!$B$3:$B$1001,$H209,'Input Sheet'!$E$3:$E$1001,P$4))</f>
        <v/>
      </c>
      <c r="Q209" s="21" t="str">
        <f>IF(SUMIFS('Input Sheet'!$F$3:$F$1001,'Input Sheet'!$B$3:$B$1001,$H209,'Input Sheet'!$E$3:$E$1001,Q$4)=0,"",SUMIFS('Input Sheet'!$F$3:$F$1001,'Input Sheet'!$B$3:$B$1001,$H209,'Input Sheet'!$E$3:$E$1001,Q$4))</f>
        <v/>
      </c>
      <c r="R209" s="21" t="str">
        <f>IF(SUMIFS('Input Sheet'!$F$3:$F$1001,'Input Sheet'!$B$3:$B$1001,$H209,'Input Sheet'!$E$3:$E$1001,R$4)=0,"",SUMIFS('Input Sheet'!$F$3:$F$1001,'Input Sheet'!$B$3:$B$1001,$H209,'Input Sheet'!$E$3:$E$1001,R$4))</f>
        <v/>
      </c>
      <c r="S209" s="21" t="str">
        <f>IF(SUMIFS('Input Sheet'!$F$3:$F$1001,'Input Sheet'!$B$3:$B$1001,$H209,'Input Sheet'!$E$3:$E$1001,S$4)=0,"",SUMIFS('Input Sheet'!$F$3:$F$1001,'Input Sheet'!$B$3:$B$1001,$H209,'Input Sheet'!$E$3:$E$1001,S$4))</f>
        <v/>
      </c>
      <c r="T209" s="22">
        <v>204</v>
      </c>
    </row>
    <row r="210" spans="1:20" ht="14.25" customHeight="1" x14ac:dyDescent="0.3">
      <c r="A210" s="4" t="str">
        <f>IF('Input Sheet'!B207=0,"",'Input Sheet'!B207)</f>
        <v/>
      </c>
      <c r="B210" s="24" t="b">
        <f t="shared" si="2"/>
        <v>0</v>
      </c>
      <c r="C210" s="4">
        <f>SUMIF('Input Sheet'!B$3:B$1000,A210,'Input Sheet'!C$3:C$1000)</f>
        <v>0</v>
      </c>
      <c r="D210" s="4">
        <f>SUMIF('Input Sheet'!B$3:B$1000,A210,'Input Sheet'!D$3:D$1000)</f>
        <v>0</v>
      </c>
      <c r="E210" s="4" t="str">
        <f t="shared" ref="E210:F210" ca="1" si="213">IFERROR(RANK(K210,K$6:K$1004,1),"")</f>
        <v/>
      </c>
      <c r="F210" s="4" t="str">
        <f t="shared" ca="1" si="213"/>
        <v/>
      </c>
      <c r="G210" s="4" t="str">
        <f t="shared" ca="1" si="4"/>
        <v/>
      </c>
      <c r="H210" s="4" t="str">
        <f t="shared" si="5"/>
        <v/>
      </c>
      <c r="I210" s="4" t="str">
        <f t="shared" si="6"/>
        <v/>
      </c>
      <c r="J210" s="4" t="str">
        <f t="shared" si="7"/>
        <v/>
      </c>
      <c r="K210" s="25" t="str">
        <f t="shared" ca="1" si="8"/>
        <v/>
      </c>
      <c r="L210" s="21" t="str">
        <f t="shared" ca="1" si="9"/>
        <v/>
      </c>
      <c r="M210" s="21" t="str">
        <f>IF(SUMIFS('Input Sheet'!$F$3:$F$1001,'Input Sheet'!$B$3:$B$1001,$H210,'Input Sheet'!$E$3:$E$1001,M$4)=0,"",SUMIFS('Input Sheet'!$F$3:$F$1001,'Input Sheet'!$B$3:$B$1001,$H210,'Input Sheet'!$E$3:$E$1001,M$4))</f>
        <v/>
      </c>
      <c r="N210" s="21" t="str">
        <f>IF(SUMIFS('Input Sheet'!$F$3:$F$1001,'Input Sheet'!$B$3:$B$1001,$H210,'Input Sheet'!$E$3:$E$1001,N$4)=0,"",SUMIFS('Input Sheet'!$F$3:$F$1001,'Input Sheet'!$B$3:$B$1001,$H210,'Input Sheet'!$E$3:$E$1001,N$4))</f>
        <v/>
      </c>
      <c r="O210" s="21" t="str">
        <f>IF(SUMIFS('Input Sheet'!$F$3:$F$1001,'Input Sheet'!$B$3:$B$1001,$H210,'Input Sheet'!$E$3:$E$1001,O$4)=0,"",SUMIFS('Input Sheet'!$F$3:$F$1001,'Input Sheet'!$B$3:$B$1001,$H210,'Input Sheet'!$E$3:$E$1001,O$4))</f>
        <v/>
      </c>
      <c r="P210" s="21" t="str">
        <f>IF(SUMIFS('Input Sheet'!$F$3:$F$1001,'Input Sheet'!$B$3:$B$1001,$H210,'Input Sheet'!$E$3:$E$1001,P$4)=0,"",SUMIFS('Input Sheet'!$F$3:$F$1001,'Input Sheet'!$B$3:$B$1001,$H210,'Input Sheet'!$E$3:$E$1001,P$4))</f>
        <v/>
      </c>
      <c r="Q210" s="21" t="str">
        <f>IF(SUMIFS('Input Sheet'!$F$3:$F$1001,'Input Sheet'!$B$3:$B$1001,$H210,'Input Sheet'!$E$3:$E$1001,Q$4)=0,"",SUMIFS('Input Sheet'!$F$3:$F$1001,'Input Sheet'!$B$3:$B$1001,$H210,'Input Sheet'!$E$3:$E$1001,Q$4))</f>
        <v/>
      </c>
      <c r="R210" s="21" t="str">
        <f>IF(SUMIFS('Input Sheet'!$F$3:$F$1001,'Input Sheet'!$B$3:$B$1001,$H210,'Input Sheet'!$E$3:$E$1001,R$4)=0,"",SUMIFS('Input Sheet'!$F$3:$F$1001,'Input Sheet'!$B$3:$B$1001,$H210,'Input Sheet'!$E$3:$E$1001,R$4))</f>
        <v/>
      </c>
      <c r="S210" s="21" t="str">
        <f>IF(SUMIFS('Input Sheet'!$F$3:$F$1001,'Input Sheet'!$B$3:$B$1001,$H210,'Input Sheet'!$E$3:$E$1001,S$4)=0,"",SUMIFS('Input Sheet'!$F$3:$F$1001,'Input Sheet'!$B$3:$B$1001,$H210,'Input Sheet'!$E$3:$E$1001,S$4))</f>
        <v/>
      </c>
      <c r="T210" s="22">
        <v>205</v>
      </c>
    </row>
    <row r="211" spans="1:20" ht="14.25" customHeight="1" x14ac:dyDescent="0.3">
      <c r="A211" s="4" t="str">
        <f>IF('Input Sheet'!B208=0,"",'Input Sheet'!B208)</f>
        <v/>
      </c>
      <c r="B211" s="24" t="b">
        <f t="shared" si="2"/>
        <v>0</v>
      </c>
      <c r="C211" s="4">
        <f>SUMIF('Input Sheet'!B$3:B$1000,A211,'Input Sheet'!C$3:C$1000)</f>
        <v>0</v>
      </c>
      <c r="D211" s="4">
        <f>SUMIF('Input Sheet'!B$3:B$1000,A211,'Input Sheet'!D$3:D$1000)</f>
        <v>0</v>
      </c>
      <c r="E211" s="4" t="str">
        <f t="shared" ref="E211:F211" ca="1" si="214">IFERROR(RANK(K211,K$6:K$1004,1),"")</f>
        <v/>
      </c>
      <c r="F211" s="4" t="str">
        <f t="shared" ca="1" si="214"/>
        <v/>
      </c>
      <c r="G211" s="4" t="str">
        <f t="shared" ca="1" si="4"/>
        <v/>
      </c>
      <c r="H211" s="4" t="str">
        <f t="shared" si="5"/>
        <v/>
      </c>
      <c r="I211" s="4" t="str">
        <f t="shared" si="6"/>
        <v/>
      </c>
      <c r="J211" s="4" t="str">
        <f t="shared" si="7"/>
        <v/>
      </c>
      <c r="K211" s="25" t="str">
        <f t="shared" ca="1" si="8"/>
        <v/>
      </c>
      <c r="L211" s="21" t="str">
        <f t="shared" ca="1" si="9"/>
        <v/>
      </c>
      <c r="M211" s="21" t="str">
        <f>IF(SUMIFS('Input Sheet'!$F$3:$F$1001,'Input Sheet'!$B$3:$B$1001,$H211,'Input Sheet'!$E$3:$E$1001,M$4)=0,"",SUMIFS('Input Sheet'!$F$3:$F$1001,'Input Sheet'!$B$3:$B$1001,$H211,'Input Sheet'!$E$3:$E$1001,M$4))</f>
        <v/>
      </c>
      <c r="N211" s="21" t="str">
        <f>IF(SUMIFS('Input Sheet'!$F$3:$F$1001,'Input Sheet'!$B$3:$B$1001,$H211,'Input Sheet'!$E$3:$E$1001,N$4)=0,"",SUMIFS('Input Sheet'!$F$3:$F$1001,'Input Sheet'!$B$3:$B$1001,$H211,'Input Sheet'!$E$3:$E$1001,N$4))</f>
        <v/>
      </c>
      <c r="O211" s="21" t="str">
        <f>IF(SUMIFS('Input Sheet'!$F$3:$F$1001,'Input Sheet'!$B$3:$B$1001,$H211,'Input Sheet'!$E$3:$E$1001,O$4)=0,"",SUMIFS('Input Sheet'!$F$3:$F$1001,'Input Sheet'!$B$3:$B$1001,$H211,'Input Sheet'!$E$3:$E$1001,O$4))</f>
        <v/>
      </c>
      <c r="P211" s="21" t="str">
        <f>IF(SUMIFS('Input Sheet'!$F$3:$F$1001,'Input Sheet'!$B$3:$B$1001,$H211,'Input Sheet'!$E$3:$E$1001,P$4)=0,"",SUMIFS('Input Sheet'!$F$3:$F$1001,'Input Sheet'!$B$3:$B$1001,$H211,'Input Sheet'!$E$3:$E$1001,P$4))</f>
        <v/>
      </c>
      <c r="Q211" s="21" t="str">
        <f>IF(SUMIFS('Input Sheet'!$F$3:$F$1001,'Input Sheet'!$B$3:$B$1001,$H211,'Input Sheet'!$E$3:$E$1001,Q$4)=0,"",SUMIFS('Input Sheet'!$F$3:$F$1001,'Input Sheet'!$B$3:$B$1001,$H211,'Input Sheet'!$E$3:$E$1001,Q$4))</f>
        <v/>
      </c>
      <c r="R211" s="21" t="str">
        <f>IF(SUMIFS('Input Sheet'!$F$3:$F$1001,'Input Sheet'!$B$3:$B$1001,$H211,'Input Sheet'!$E$3:$E$1001,R$4)=0,"",SUMIFS('Input Sheet'!$F$3:$F$1001,'Input Sheet'!$B$3:$B$1001,$H211,'Input Sheet'!$E$3:$E$1001,R$4))</f>
        <v/>
      </c>
      <c r="S211" s="21" t="str">
        <f>IF(SUMIFS('Input Sheet'!$F$3:$F$1001,'Input Sheet'!$B$3:$B$1001,$H211,'Input Sheet'!$E$3:$E$1001,S$4)=0,"",SUMIFS('Input Sheet'!$F$3:$F$1001,'Input Sheet'!$B$3:$B$1001,$H211,'Input Sheet'!$E$3:$E$1001,S$4))</f>
        <v/>
      </c>
      <c r="T211" s="22">
        <v>206</v>
      </c>
    </row>
    <row r="212" spans="1:20" ht="14.25" customHeight="1" x14ac:dyDescent="0.3">
      <c r="A212" s="4" t="str">
        <f>IF('Input Sheet'!B209=0,"",'Input Sheet'!B209)</f>
        <v/>
      </c>
      <c r="B212" s="24" t="b">
        <f t="shared" si="2"/>
        <v>0</v>
      </c>
      <c r="C212" s="4">
        <f>SUMIF('Input Sheet'!B$3:B$1000,A212,'Input Sheet'!C$3:C$1000)</f>
        <v>0</v>
      </c>
      <c r="D212" s="4">
        <f>SUMIF('Input Sheet'!B$3:B$1000,A212,'Input Sheet'!D$3:D$1000)</f>
        <v>0</v>
      </c>
      <c r="E212" s="4" t="str">
        <f t="shared" ref="E212:F212" ca="1" si="215">IFERROR(RANK(K212,K$6:K$1004,1),"")</f>
        <v/>
      </c>
      <c r="F212" s="4" t="str">
        <f t="shared" ca="1" si="215"/>
        <v/>
      </c>
      <c r="G212" s="4" t="str">
        <f t="shared" ca="1" si="4"/>
        <v/>
      </c>
      <c r="H212" s="4" t="str">
        <f t="shared" si="5"/>
        <v/>
      </c>
      <c r="I212" s="4" t="str">
        <f t="shared" si="6"/>
        <v/>
      </c>
      <c r="J212" s="4" t="str">
        <f t="shared" si="7"/>
        <v/>
      </c>
      <c r="K212" s="25" t="str">
        <f t="shared" ca="1" si="8"/>
        <v/>
      </c>
      <c r="L212" s="21" t="str">
        <f t="shared" ca="1" si="9"/>
        <v/>
      </c>
      <c r="M212" s="21" t="str">
        <f>IF(SUMIFS('Input Sheet'!$F$3:$F$1001,'Input Sheet'!$B$3:$B$1001,$H212,'Input Sheet'!$E$3:$E$1001,M$4)=0,"",SUMIFS('Input Sheet'!$F$3:$F$1001,'Input Sheet'!$B$3:$B$1001,$H212,'Input Sheet'!$E$3:$E$1001,M$4))</f>
        <v/>
      </c>
      <c r="N212" s="21" t="str">
        <f>IF(SUMIFS('Input Sheet'!$F$3:$F$1001,'Input Sheet'!$B$3:$B$1001,$H212,'Input Sheet'!$E$3:$E$1001,N$4)=0,"",SUMIFS('Input Sheet'!$F$3:$F$1001,'Input Sheet'!$B$3:$B$1001,$H212,'Input Sheet'!$E$3:$E$1001,N$4))</f>
        <v/>
      </c>
      <c r="O212" s="21" t="str">
        <f>IF(SUMIFS('Input Sheet'!$F$3:$F$1001,'Input Sheet'!$B$3:$B$1001,$H212,'Input Sheet'!$E$3:$E$1001,O$4)=0,"",SUMIFS('Input Sheet'!$F$3:$F$1001,'Input Sheet'!$B$3:$B$1001,$H212,'Input Sheet'!$E$3:$E$1001,O$4))</f>
        <v/>
      </c>
      <c r="P212" s="21" t="str">
        <f>IF(SUMIFS('Input Sheet'!$F$3:$F$1001,'Input Sheet'!$B$3:$B$1001,$H212,'Input Sheet'!$E$3:$E$1001,P$4)=0,"",SUMIFS('Input Sheet'!$F$3:$F$1001,'Input Sheet'!$B$3:$B$1001,$H212,'Input Sheet'!$E$3:$E$1001,P$4))</f>
        <v/>
      </c>
      <c r="Q212" s="21" t="str">
        <f>IF(SUMIFS('Input Sheet'!$F$3:$F$1001,'Input Sheet'!$B$3:$B$1001,$H212,'Input Sheet'!$E$3:$E$1001,Q$4)=0,"",SUMIFS('Input Sheet'!$F$3:$F$1001,'Input Sheet'!$B$3:$B$1001,$H212,'Input Sheet'!$E$3:$E$1001,Q$4))</f>
        <v/>
      </c>
      <c r="R212" s="21" t="str">
        <f>IF(SUMIFS('Input Sheet'!$F$3:$F$1001,'Input Sheet'!$B$3:$B$1001,$H212,'Input Sheet'!$E$3:$E$1001,R$4)=0,"",SUMIFS('Input Sheet'!$F$3:$F$1001,'Input Sheet'!$B$3:$B$1001,$H212,'Input Sheet'!$E$3:$E$1001,R$4))</f>
        <v/>
      </c>
      <c r="S212" s="21" t="str">
        <f>IF(SUMIFS('Input Sheet'!$F$3:$F$1001,'Input Sheet'!$B$3:$B$1001,$H212,'Input Sheet'!$E$3:$E$1001,S$4)=0,"",SUMIFS('Input Sheet'!$F$3:$F$1001,'Input Sheet'!$B$3:$B$1001,$H212,'Input Sheet'!$E$3:$E$1001,S$4))</f>
        <v/>
      </c>
      <c r="T212" s="22">
        <v>207</v>
      </c>
    </row>
    <row r="213" spans="1:20" ht="14.25" customHeight="1" x14ac:dyDescent="0.3">
      <c r="A213" s="4" t="str">
        <f>IF('Input Sheet'!B210=0,"",'Input Sheet'!B210)</f>
        <v/>
      </c>
      <c r="B213" s="24" t="b">
        <f t="shared" si="2"/>
        <v>0</v>
      </c>
      <c r="C213" s="4">
        <f>SUMIF('Input Sheet'!B$3:B$1000,A213,'Input Sheet'!C$3:C$1000)</f>
        <v>0</v>
      </c>
      <c r="D213" s="4">
        <f>SUMIF('Input Sheet'!B$3:B$1000,A213,'Input Sheet'!D$3:D$1000)</f>
        <v>0</v>
      </c>
      <c r="E213" s="4" t="str">
        <f t="shared" ref="E213:F213" ca="1" si="216">IFERROR(RANK(K213,K$6:K$1004,1),"")</f>
        <v/>
      </c>
      <c r="F213" s="4" t="str">
        <f t="shared" ca="1" si="216"/>
        <v/>
      </c>
      <c r="G213" s="4" t="str">
        <f t="shared" ca="1" si="4"/>
        <v/>
      </c>
      <c r="H213" s="4" t="str">
        <f t="shared" si="5"/>
        <v/>
      </c>
      <c r="I213" s="4" t="str">
        <f t="shared" si="6"/>
        <v/>
      </c>
      <c r="J213" s="4" t="str">
        <f t="shared" si="7"/>
        <v/>
      </c>
      <c r="K213" s="25" t="str">
        <f t="shared" ca="1" si="8"/>
        <v/>
      </c>
      <c r="L213" s="21" t="str">
        <f t="shared" ca="1" si="9"/>
        <v/>
      </c>
      <c r="M213" s="21" t="str">
        <f>IF(SUMIFS('Input Sheet'!$F$3:$F$1001,'Input Sheet'!$B$3:$B$1001,$H213,'Input Sheet'!$E$3:$E$1001,M$4)=0,"",SUMIFS('Input Sheet'!$F$3:$F$1001,'Input Sheet'!$B$3:$B$1001,$H213,'Input Sheet'!$E$3:$E$1001,M$4))</f>
        <v/>
      </c>
      <c r="N213" s="21" t="str">
        <f>IF(SUMIFS('Input Sheet'!$F$3:$F$1001,'Input Sheet'!$B$3:$B$1001,$H213,'Input Sheet'!$E$3:$E$1001,N$4)=0,"",SUMIFS('Input Sheet'!$F$3:$F$1001,'Input Sheet'!$B$3:$B$1001,$H213,'Input Sheet'!$E$3:$E$1001,N$4))</f>
        <v/>
      </c>
      <c r="O213" s="21" t="str">
        <f>IF(SUMIFS('Input Sheet'!$F$3:$F$1001,'Input Sheet'!$B$3:$B$1001,$H213,'Input Sheet'!$E$3:$E$1001,O$4)=0,"",SUMIFS('Input Sheet'!$F$3:$F$1001,'Input Sheet'!$B$3:$B$1001,$H213,'Input Sheet'!$E$3:$E$1001,O$4))</f>
        <v/>
      </c>
      <c r="P213" s="21" t="str">
        <f>IF(SUMIFS('Input Sheet'!$F$3:$F$1001,'Input Sheet'!$B$3:$B$1001,$H213,'Input Sheet'!$E$3:$E$1001,P$4)=0,"",SUMIFS('Input Sheet'!$F$3:$F$1001,'Input Sheet'!$B$3:$B$1001,$H213,'Input Sheet'!$E$3:$E$1001,P$4))</f>
        <v/>
      </c>
      <c r="Q213" s="21" t="str">
        <f>IF(SUMIFS('Input Sheet'!$F$3:$F$1001,'Input Sheet'!$B$3:$B$1001,$H213,'Input Sheet'!$E$3:$E$1001,Q$4)=0,"",SUMIFS('Input Sheet'!$F$3:$F$1001,'Input Sheet'!$B$3:$B$1001,$H213,'Input Sheet'!$E$3:$E$1001,Q$4))</f>
        <v/>
      </c>
      <c r="R213" s="21" t="str">
        <f>IF(SUMIFS('Input Sheet'!$F$3:$F$1001,'Input Sheet'!$B$3:$B$1001,$H213,'Input Sheet'!$E$3:$E$1001,R$4)=0,"",SUMIFS('Input Sheet'!$F$3:$F$1001,'Input Sheet'!$B$3:$B$1001,$H213,'Input Sheet'!$E$3:$E$1001,R$4))</f>
        <v/>
      </c>
      <c r="S213" s="21" t="str">
        <f>IF(SUMIFS('Input Sheet'!$F$3:$F$1001,'Input Sheet'!$B$3:$B$1001,$H213,'Input Sheet'!$E$3:$E$1001,S$4)=0,"",SUMIFS('Input Sheet'!$F$3:$F$1001,'Input Sheet'!$B$3:$B$1001,$H213,'Input Sheet'!$E$3:$E$1001,S$4))</f>
        <v/>
      </c>
      <c r="T213" s="22">
        <v>208</v>
      </c>
    </row>
    <row r="214" spans="1:20" ht="14.25" customHeight="1" x14ac:dyDescent="0.3">
      <c r="A214" s="4" t="str">
        <f>IF('Input Sheet'!B211=0,"",'Input Sheet'!B211)</f>
        <v/>
      </c>
      <c r="B214" s="24" t="b">
        <f t="shared" si="2"/>
        <v>0</v>
      </c>
      <c r="C214" s="4">
        <f>SUMIF('Input Sheet'!B$3:B$1000,A214,'Input Sheet'!C$3:C$1000)</f>
        <v>0</v>
      </c>
      <c r="D214" s="4">
        <f>SUMIF('Input Sheet'!B$3:B$1000,A214,'Input Sheet'!D$3:D$1000)</f>
        <v>0</v>
      </c>
      <c r="E214" s="4" t="str">
        <f t="shared" ref="E214:F214" ca="1" si="217">IFERROR(RANK(K214,K$6:K$1004,1),"")</f>
        <v/>
      </c>
      <c r="F214" s="4" t="str">
        <f t="shared" ca="1" si="217"/>
        <v/>
      </c>
      <c r="G214" s="4" t="str">
        <f t="shared" ca="1" si="4"/>
        <v/>
      </c>
      <c r="H214" s="4" t="str">
        <f t="shared" si="5"/>
        <v/>
      </c>
      <c r="I214" s="4" t="str">
        <f t="shared" si="6"/>
        <v/>
      </c>
      <c r="J214" s="4" t="str">
        <f t="shared" si="7"/>
        <v/>
      </c>
      <c r="K214" s="25" t="str">
        <f t="shared" ca="1" si="8"/>
        <v/>
      </c>
      <c r="L214" s="21" t="str">
        <f t="shared" ca="1" si="9"/>
        <v/>
      </c>
      <c r="M214" s="21" t="str">
        <f>IF(SUMIFS('Input Sheet'!$F$3:$F$1001,'Input Sheet'!$B$3:$B$1001,$H214,'Input Sheet'!$E$3:$E$1001,M$4)=0,"",SUMIFS('Input Sheet'!$F$3:$F$1001,'Input Sheet'!$B$3:$B$1001,$H214,'Input Sheet'!$E$3:$E$1001,M$4))</f>
        <v/>
      </c>
      <c r="N214" s="21" t="str">
        <f>IF(SUMIFS('Input Sheet'!$F$3:$F$1001,'Input Sheet'!$B$3:$B$1001,$H214,'Input Sheet'!$E$3:$E$1001,N$4)=0,"",SUMIFS('Input Sheet'!$F$3:$F$1001,'Input Sheet'!$B$3:$B$1001,$H214,'Input Sheet'!$E$3:$E$1001,N$4))</f>
        <v/>
      </c>
      <c r="O214" s="21" t="str">
        <f>IF(SUMIFS('Input Sheet'!$F$3:$F$1001,'Input Sheet'!$B$3:$B$1001,$H214,'Input Sheet'!$E$3:$E$1001,O$4)=0,"",SUMIFS('Input Sheet'!$F$3:$F$1001,'Input Sheet'!$B$3:$B$1001,$H214,'Input Sheet'!$E$3:$E$1001,O$4))</f>
        <v/>
      </c>
      <c r="P214" s="21" t="str">
        <f>IF(SUMIFS('Input Sheet'!$F$3:$F$1001,'Input Sheet'!$B$3:$B$1001,$H214,'Input Sheet'!$E$3:$E$1001,P$4)=0,"",SUMIFS('Input Sheet'!$F$3:$F$1001,'Input Sheet'!$B$3:$B$1001,$H214,'Input Sheet'!$E$3:$E$1001,P$4))</f>
        <v/>
      </c>
      <c r="Q214" s="21" t="str">
        <f>IF(SUMIFS('Input Sheet'!$F$3:$F$1001,'Input Sheet'!$B$3:$B$1001,$H214,'Input Sheet'!$E$3:$E$1001,Q$4)=0,"",SUMIFS('Input Sheet'!$F$3:$F$1001,'Input Sheet'!$B$3:$B$1001,$H214,'Input Sheet'!$E$3:$E$1001,Q$4))</f>
        <v/>
      </c>
      <c r="R214" s="21" t="str">
        <f>IF(SUMIFS('Input Sheet'!$F$3:$F$1001,'Input Sheet'!$B$3:$B$1001,$H214,'Input Sheet'!$E$3:$E$1001,R$4)=0,"",SUMIFS('Input Sheet'!$F$3:$F$1001,'Input Sheet'!$B$3:$B$1001,$H214,'Input Sheet'!$E$3:$E$1001,R$4))</f>
        <v/>
      </c>
      <c r="S214" s="21" t="str">
        <f>IF(SUMIFS('Input Sheet'!$F$3:$F$1001,'Input Sheet'!$B$3:$B$1001,$H214,'Input Sheet'!$E$3:$E$1001,S$4)=0,"",SUMIFS('Input Sheet'!$F$3:$F$1001,'Input Sheet'!$B$3:$B$1001,$H214,'Input Sheet'!$E$3:$E$1001,S$4))</f>
        <v/>
      </c>
      <c r="T214" s="22">
        <v>209</v>
      </c>
    </row>
    <row r="215" spans="1:20" ht="14.25" customHeight="1" x14ac:dyDescent="0.3">
      <c r="A215" s="4" t="str">
        <f>IF('Input Sheet'!B212=0,"",'Input Sheet'!B212)</f>
        <v/>
      </c>
      <c r="B215" s="24" t="b">
        <f t="shared" si="2"/>
        <v>0</v>
      </c>
      <c r="C215" s="4">
        <f>SUMIF('Input Sheet'!B$3:B$1000,A215,'Input Sheet'!C$3:C$1000)</f>
        <v>0</v>
      </c>
      <c r="D215" s="4">
        <f>SUMIF('Input Sheet'!B$3:B$1000,A215,'Input Sheet'!D$3:D$1000)</f>
        <v>0</v>
      </c>
      <c r="E215" s="4" t="str">
        <f t="shared" ref="E215:F215" ca="1" si="218">IFERROR(RANK(K215,K$6:K$1004,1),"")</f>
        <v/>
      </c>
      <c r="F215" s="4" t="str">
        <f t="shared" ca="1" si="218"/>
        <v/>
      </c>
      <c r="G215" s="4" t="str">
        <f t="shared" ca="1" si="4"/>
        <v/>
      </c>
      <c r="H215" s="4" t="str">
        <f t="shared" si="5"/>
        <v/>
      </c>
      <c r="I215" s="4" t="str">
        <f t="shared" si="6"/>
        <v/>
      </c>
      <c r="J215" s="4" t="str">
        <f t="shared" si="7"/>
        <v/>
      </c>
      <c r="K215" s="25" t="str">
        <f t="shared" ca="1" si="8"/>
        <v/>
      </c>
      <c r="L215" s="21" t="str">
        <f t="shared" ca="1" si="9"/>
        <v/>
      </c>
      <c r="M215" s="21" t="str">
        <f>IF(SUMIFS('Input Sheet'!$F$3:$F$1001,'Input Sheet'!$B$3:$B$1001,$H215,'Input Sheet'!$E$3:$E$1001,M$4)=0,"",SUMIFS('Input Sheet'!$F$3:$F$1001,'Input Sheet'!$B$3:$B$1001,$H215,'Input Sheet'!$E$3:$E$1001,M$4))</f>
        <v/>
      </c>
      <c r="N215" s="21" t="str">
        <f>IF(SUMIFS('Input Sheet'!$F$3:$F$1001,'Input Sheet'!$B$3:$B$1001,$H215,'Input Sheet'!$E$3:$E$1001,N$4)=0,"",SUMIFS('Input Sheet'!$F$3:$F$1001,'Input Sheet'!$B$3:$B$1001,$H215,'Input Sheet'!$E$3:$E$1001,N$4))</f>
        <v/>
      </c>
      <c r="O215" s="21" t="str">
        <f>IF(SUMIFS('Input Sheet'!$F$3:$F$1001,'Input Sheet'!$B$3:$B$1001,$H215,'Input Sheet'!$E$3:$E$1001,O$4)=0,"",SUMIFS('Input Sheet'!$F$3:$F$1001,'Input Sheet'!$B$3:$B$1001,$H215,'Input Sheet'!$E$3:$E$1001,O$4))</f>
        <v/>
      </c>
      <c r="P215" s="21" t="str">
        <f>IF(SUMIFS('Input Sheet'!$F$3:$F$1001,'Input Sheet'!$B$3:$B$1001,$H215,'Input Sheet'!$E$3:$E$1001,P$4)=0,"",SUMIFS('Input Sheet'!$F$3:$F$1001,'Input Sheet'!$B$3:$B$1001,$H215,'Input Sheet'!$E$3:$E$1001,P$4))</f>
        <v/>
      </c>
      <c r="Q215" s="21" t="str">
        <f>IF(SUMIFS('Input Sheet'!$F$3:$F$1001,'Input Sheet'!$B$3:$B$1001,$H215,'Input Sheet'!$E$3:$E$1001,Q$4)=0,"",SUMIFS('Input Sheet'!$F$3:$F$1001,'Input Sheet'!$B$3:$B$1001,$H215,'Input Sheet'!$E$3:$E$1001,Q$4))</f>
        <v/>
      </c>
      <c r="R215" s="21" t="str">
        <f>IF(SUMIFS('Input Sheet'!$F$3:$F$1001,'Input Sheet'!$B$3:$B$1001,$H215,'Input Sheet'!$E$3:$E$1001,R$4)=0,"",SUMIFS('Input Sheet'!$F$3:$F$1001,'Input Sheet'!$B$3:$B$1001,$H215,'Input Sheet'!$E$3:$E$1001,R$4))</f>
        <v/>
      </c>
      <c r="S215" s="21" t="str">
        <f>IF(SUMIFS('Input Sheet'!$F$3:$F$1001,'Input Sheet'!$B$3:$B$1001,$H215,'Input Sheet'!$E$3:$E$1001,S$4)=0,"",SUMIFS('Input Sheet'!$F$3:$F$1001,'Input Sheet'!$B$3:$B$1001,$H215,'Input Sheet'!$E$3:$E$1001,S$4))</f>
        <v/>
      </c>
      <c r="T215" s="22">
        <v>210</v>
      </c>
    </row>
    <row r="216" spans="1:20" ht="14.25" customHeight="1" x14ac:dyDescent="0.3">
      <c r="A216" s="4" t="str">
        <f>IF('Input Sheet'!B213=0,"",'Input Sheet'!B213)</f>
        <v/>
      </c>
      <c r="B216" s="24" t="b">
        <f t="shared" si="2"/>
        <v>0</v>
      </c>
      <c r="C216" s="4">
        <f>SUMIF('Input Sheet'!B$3:B$1000,A216,'Input Sheet'!C$3:C$1000)</f>
        <v>0</v>
      </c>
      <c r="D216" s="4">
        <f>SUMIF('Input Sheet'!B$3:B$1000,A216,'Input Sheet'!D$3:D$1000)</f>
        <v>0</v>
      </c>
      <c r="E216" s="4" t="str">
        <f t="shared" ref="E216:F216" ca="1" si="219">IFERROR(RANK(K216,K$6:K$1004,1),"")</f>
        <v/>
      </c>
      <c r="F216" s="4" t="str">
        <f t="shared" ca="1" si="219"/>
        <v/>
      </c>
      <c r="G216" s="4" t="str">
        <f t="shared" ca="1" si="4"/>
        <v/>
      </c>
      <c r="H216" s="4" t="str">
        <f t="shared" si="5"/>
        <v/>
      </c>
      <c r="I216" s="4" t="str">
        <f t="shared" si="6"/>
        <v/>
      </c>
      <c r="J216" s="4" t="str">
        <f t="shared" si="7"/>
        <v/>
      </c>
      <c r="K216" s="25" t="str">
        <f t="shared" ca="1" si="8"/>
        <v/>
      </c>
      <c r="L216" s="21" t="str">
        <f t="shared" ca="1" si="9"/>
        <v/>
      </c>
      <c r="M216" s="21" t="str">
        <f>IF(SUMIFS('Input Sheet'!$F$3:$F$1001,'Input Sheet'!$B$3:$B$1001,$H216,'Input Sheet'!$E$3:$E$1001,M$4)=0,"",SUMIFS('Input Sheet'!$F$3:$F$1001,'Input Sheet'!$B$3:$B$1001,$H216,'Input Sheet'!$E$3:$E$1001,M$4))</f>
        <v/>
      </c>
      <c r="N216" s="21" t="str">
        <f>IF(SUMIFS('Input Sheet'!$F$3:$F$1001,'Input Sheet'!$B$3:$B$1001,$H216,'Input Sheet'!$E$3:$E$1001,N$4)=0,"",SUMIFS('Input Sheet'!$F$3:$F$1001,'Input Sheet'!$B$3:$B$1001,$H216,'Input Sheet'!$E$3:$E$1001,N$4))</f>
        <v/>
      </c>
      <c r="O216" s="21" t="str">
        <f>IF(SUMIFS('Input Sheet'!$F$3:$F$1001,'Input Sheet'!$B$3:$B$1001,$H216,'Input Sheet'!$E$3:$E$1001,O$4)=0,"",SUMIFS('Input Sheet'!$F$3:$F$1001,'Input Sheet'!$B$3:$B$1001,$H216,'Input Sheet'!$E$3:$E$1001,O$4))</f>
        <v/>
      </c>
      <c r="P216" s="21" t="str">
        <f>IF(SUMIFS('Input Sheet'!$F$3:$F$1001,'Input Sheet'!$B$3:$B$1001,$H216,'Input Sheet'!$E$3:$E$1001,P$4)=0,"",SUMIFS('Input Sheet'!$F$3:$F$1001,'Input Sheet'!$B$3:$B$1001,$H216,'Input Sheet'!$E$3:$E$1001,P$4))</f>
        <v/>
      </c>
      <c r="Q216" s="21" t="str">
        <f>IF(SUMIFS('Input Sheet'!$F$3:$F$1001,'Input Sheet'!$B$3:$B$1001,$H216,'Input Sheet'!$E$3:$E$1001,Q$4)=0,"",SUMIFS('Input Sheet'!$F$3:$F$1001,'Input Sheet'!$B$3:$B$1001,$H216,'Input Sheet'!$E$3:$E$1001,Q$4))</f>
        <v/>
      </c>
      <c r="R216" s="21" t="str">
        <f>IF(SUMIFS('Input Sheet'!$F$3:$F$1001,'Input Sheet'!$B$3:$B$1001,$H216,'Input Sheet'!$E$3:$E$1001,R$4)=0,"",SUMIFS('Input Sheet'!$F$3:$F$1001,'Input Sheet'!$B$3:$B$1001,$H216,'Input Sheet'!$E$3:$E$1001,R$4))</f>
        <v/>
      </c>
      <c r="S216" s="21" t="str">
        <f>IF(SUMIFS('Input Sheet'!$F$3:$F$1001,'Input Sheet'!$B$3:$B$1001,$H216,'Input Sheet'!$E$3:$E$1001,S$4)=0,"",SUMIFS('Input Sheet'!$F$3:$F$1001,'Input Sheet'!$B$3:$B$1001,$H216,'Input Sheet'!$E$3:$E$1001,S$4))</f>
        <v/>
      </c>
      <c r="T216" s="22">
        <v>211</v>
      </c>
    </row>
    <row r="217" spans="1:20" ht="14.25" customHeight="1" x14ac:dyDescent="0.3">
      <c r="A217" s="4" t="str">
        <f>IF('Input Sheet'!B214=0,"",'Input Sheet'!B214)</f>
        <v/>
      </c>
      <c r="B217" s="24" t="b">
        <f t="shared" si="2"/>
        <v>0</v>
      </c>
      <c r="C217" s="4">
        <f>SUMIF('Input Sheet'!B$3:B$1000,A217,'Input Sheet'!C$3:C$1000)</f>
        <v>0</v>
      </c>
      <c r="D217" s="4">
        <f>SUMIF('Input Sheet'!B$3:B$1000,A217,'Input Sheet'!D$3:D$1000)</f>
        <v>0</v>
      </c>
      <c r="E217" s="4" t="str">
        <f t="shared" ref="E217:F217" ca="1" si="220">IFERROR(RANK(K217,K$6:K$1004,1),"")</f>
        <v/>
      </c>
      <c r="F217" s="4" t="str">
        <f t="shared" ca="1" si="220"/>
        <v/>
      </c>
      <c r="G217" s="4" t="str">
        <f t="shared" ca="1" si="4"/>
        <v/>
      </c>
      <c r="H217" s="4" t="str">
        <f t="shared" si="5"/>
        <v/>
      </c>
      <c r="I217" s="4" t="str">
        <f t="shared" si="6"/>
        <v/>
      </c>
      <c r="J217" s="4" t="str">
        <f t="shared" si="7"/>
        <v/>
      </c>
      <c r="K217" s="25" t="str">
        <f t="shared" ca="1" si="8"/>
        <v/>
      </c>
      <c r="L217" s="21" t="str">
        <f t="shared" ca="1" si="9"/>
        <v/>
      </c>
      <c r="M217" s="21" t="str">
        <f>IF(SUMIFS('Input Sheet'!$F$3:$F$1001,'Input Sheet'!$B$3:$B$1001,$H217,'Input Sheet'!$E$3:$E$1001,M$4)=0,"",SUMIFS('Input Sheet'!$F$3:$F$1001,'Input Sheet'!$B$3:$B$1001,$H217,'Input Sheet'!$E$3:$E$1001,M$4))</f>
        <v/>
      </c>
      <c r="N217" s="21" t="str">
        <f>IF(SUMIFS('Input Sheet'!$F$3:$F$1001,'Input Sheet'!$B$3:$B$1001,$H217,'Input Sheet'!$E$3:$E$1001,N$4)=0,"",SUMIFS('Input Sheet'!$F$3:$F$1001,'Input Sheet'!$B$3:$B$1001,$H217,'Input Sheet'!$E$3:$E$1001,N$4))</f>
        <v/>
      </c>
      <c r="O217" s="21" t="str">
        <f>IF(SUMIFS('Input Sheet'!$F$3:$F$1001,'Input Sheet'!$B$3:$B$1001,$H217,'Input Sheet'!$E$3:$E$1001,O$4)=0,"",SUMIFS('Input Sheet'!$F$3:$F$1001,'Input Sheet'!$B$3:$B$1001,$H217,'Input Sheet'!$E$3:$E$1001,O$4))</f>
        <v/>
      </c>
      <c r="P217" s="21" t="str">
        <f>IF(SUMIFS('Input Sheet'!$F$3:$F$1001,'Input Sheet'!$B$3:$B$1001,$H217,'Input Sheet'!$E$3:$E$1001,P$4)=0,"",SUMIFS('Input Sheet'!$F$3:$F$1001,'Input Sheet'!$B$3:$B$1001,$H217,'Input Sheet'!$E$3:$E$1001,P$4))</f>
        <v/>
      </c>
      <c r="Q217" s="21" t="str">
        <f>IF(SUMIFS('Input Sheet'!$F$3:$F$1001,'Input Sheet'!$B$3:$B$1001,$H217,'Input Sheet'!$E$3:$E$1001,Q$4)=0,"",SUMIFS('Input Sheet'!$F$3:$F$1001,'Input Sheet'!$B$3:$B$1001,$H217,'Input Sheet'!$E$3:$E$1001,Q$4))</f>
        <v/>
      </c>
      <c r="R217" s="21" t="str">
        <f>IF(SUMIFS('Input Sheet'!$F$3:$F$1001,'Input Sheet'!$B$3:$B$1001,$H217,'Input Sheet'!$E$3:$E$1001,R$4)=0,"",SUMIFS('Input Sheet'!$F$3:$F$1001,'Input Sheet'!$B$3:$B$1001,$H217,'Input Sheet'!$E$3:$E$1001,R$4))</f>
        <v/>
      </c>
      <c r="S217" s="21" t="str">
        <f>IF(SUMIFS('Input Sheet'!$F$3:$F$1001,'Input Sheet'!$B$3:$B$1001,$H217,'Input Sheet'!$E$3:$E$1001,S$4)=0,"",SUMIFS('Input Sheet'!$F$3:$F$1001,'Input Sheet'!$B$3:$B$1001,$H217,'Input Sheet'!$E$3:$E$1001,S$4))</f>
        <v/>
      </c>
      <c r="T217" s="22">
        <v>212</v>
      </c>
    </row>
    <row r="218" spans="1:20" ht="14.25" customHeight="1" x14ac:dyDescent="0.3">
      <c r="A218" s="4" t="str">
        <f>IF('Input Sheet'!B215=0,"",'Input Sheet'!B215)</f>
        <v/>
      </c>
      <c r="B218" s="24" t="b">
        <f t="shared" si="2"/>
        <v>0</v>
      </c>
      <c r="C218" s="4">
        <f>SUMIF('Input Sheet'!B$3:B$1000,A218,'Input Sheet'!C$3:C$1000)</f>
        <v>0</v>
      </c>
      <c r="D218" s="4">
        <f>SUMIF('Input Sheet'!B$3:B$1000,A218,'Input Sheet'!D$3:D$1000)</f>
        <v>0</v>
      </c>
      <c r="E218" s="4" t="str">
        <f t="shared" ref="E218:F218" ca="1" si="221">IFERROR(RANK(K218,K$6:K$1004,1),"")</f>
        <v/>
      </c>
      <c r="F218" s="4" t="str">
        <f t="shared" ca="1" si="221"/>
        <v/>
      </c>
      <c r="G218" s="4" t="str">
        <f t="shared" ca="1" si="4"/>
        <v/>
      </c>
      <c r="H218" s="4" t="str">
        <f t="shared" si="5"/>
        <v/>
      </c>
      <c r="I218" s="4" t="str">
        <f t="shared" si="6"/>
        <v/>
      </c>
      <c r="J218" s="4" t="str">
        <f t="shared" si="7"/>
        <v/>
      </c>
      <c r="K218" s="25" t="str">
        <f t="shared" ca="1" si="8"/>
        <v/>
      </c>
      <c r="L218" s="21" t="str">
        <f t="shared" ca="1" si="9"/>
        <v/>
      </c>
      <c r="M218" s="21" t="str">
        <f>IF(SUMIFS('Input Sheet'!$F$3:$F$1001,'Input Sheet'!$B$3:$B$1001,$H218,'Input Sheet'!$E$3:$E$1001,M$4)=0,"",SUMIFS('Input Sheet'!$F$3:$F$1001,'Input Sheet'!$B$3:$B$1001,$H218,'Input Sheet'!$E$3:$E$1001,M$4))</f>
        <v/>
      </c>
      <c r="N218" s="21" t="str">
        <f>IF(SUMIFS('Input Sheet'!$F$3:$F$1001,'Input Sheet'!$B$3:$B$1001,$H218,'Input Sheet'!$E$3:$E$1001,N$4)=0,"",SUMIFS('Input Sheet'!$F$3:$F$1001,'Input Sheet'!$B$3:$B$1001,$H218,'Input Sheet'!$E$3:$E$1001,N$4))</f>
        <v/>
      </c>
      <c r="O218" s="21" t="str">
        <f>IF(SUMIFS('Input Sheet'!$F$3:$F$1001,'Input Sheet'!$B$3:$B$1001,$H218,'Input Sheet'!$E$3:$E$1001,O$4)=0,"",SUMIFS('Input Sheet'!$F$3:$F$1001,'Input Sheet'!$B$3:$B$1001,$H218,'Input Sheet'!$E$3:$E$1001,O$4))</f>
        <v/>
      </c>
      <c r="P218" s="21" t="str">
        <f>IF(SUMIFS('Input Sheet'!$F$3:$F$1001,'Input Sheet'!$B$3:$B$1001,$H218,'Input Sheet'!$E$3:$E$1001,P$4)=0,"",SUMIFS('Input Sheet'!$F$3:$F$1001,'Input Sheet'!$B$3:$B$1001,$H218,'Input Sheet'!$E$3:$E$1001,P$4))</f>
        <v/>
      </c>
      <c r="Q218" s="21" t="str">
        <f>IF(SUMIFS('Input Sheet'!$F$3:$F$1001,'Input Sheet'!$B$3:$B$1001,$H218,'Input Sheet'!$E$3:$E$1001,Q$4)=0,"",SUMIFS('Input Sheet'!$F$3:$F$1001,'Input Sheet'!$B$3:$B$1001,$H218,'Input Sheet'!$E$3:$E$1001,Q$4))</f>
        <v/>
      </c>
      <c r="R218" s="21" t="str">
        <f>IF(SUMIFS('Input Sheet'!$F$3:$F$1001,'Input Sheet'!$B$3:$B$1001,$H218,'Input Sheet'!$E$3:$E$1001,R$4)=0,"",SUMIFS('Input Sheet'!$F$3:$F$1001,'Input Sheet'!$B$3:$B$1001,$H218,'Input Sheet'!$E$3:$E$1001,R$4))</f>
        <v/>
      </c>
      <c r="S218" s="21" t="str">
        <f>IF(SUMIFS('Input Sheet'!$F$3:$F$1001,'Input Sheet'!$B$3:$B$1001,$H218,'Input Sheet'!$E$3:$E$1001,S$4)=0,"",SUMIFS('Input Sheet'!$F$3:$F$1001,'Input Sheet'!$B$3:$B$1001,$H218,'Input Sheet'!$E$3:$E$1001,S$4))</f>
        <v/>
      </c>
      <c r="T218" s="22">
        <v>213</v>
      </c>
    </row>
    <row r="219" spans="1:20" ht="14.25" customHeight="1" x14ac:dyDescent="0.3">
      <c r="A219" s="4" t="str">
        <f>IF('Input Sheet'!B216=0,"",'Input Sheet'!B216)</f>
        <v/>
      </c>
      <c r="B219" s="24" t="b">
        <f t="shared" si="2"/>
        <v>0</v>
      </c>
      <c r="C219" s="4">
        <f>SUMIF('Input Sheet'!B$3:B$1000,A219,'Input Sheet'!C$3:C$1000)</f>
        <v>0</v>
      </c>
      <c r="D219" s="4">
        <f>SUMIF('Input Sheet'!B$3:B$1000,A219,'Input Sheet'!D$3:D$1000)</f>
        <v>0</v>
      </c>
      <c r="E219" s="4" t="str">
        <f t="shared" ref="E219:F219" ca="1" si="222">IFERROR(RANK(K219,K$6:K$1004,1),"")</f>
        <v/>
      </c>
      <c r="F219" s="4" t="str">
        <f t="shared" ca="1" si="222"/>
        <v/>
      </c>
      <c r="G219" s="4" t="str">
        <f t="shared" ca="1" si="4"/>
        <v/>
      </c>
      <c r="H219" s="4" t="str">
        <f t="shared" si="5"/>
        <v/>
      </c>
      <c r="I219" s="4" t="str">
        <f t="shared" si="6"/>
        <v/>
      </c>
      <c r="J219" s="4" t="str">
        <f t="shared" si="7"/>
        <v/>
      </c>
      <c r="K219" s="25" t="str">
        <f t="shared" ca="1" si="8"/>
        <v/>
      </c>
      <c r="L219" s="21" t="str">
        <f t="shared" ca="1" si="9"/>
        <v/>
      </c>
      <c r="M219" s="21" t="str">
        <f>IF(SUMIFS('Input Sheet'!$F$3:$F$1001,'Input Sheet'!$B$3:$B$1001,$H219,'Input Sheet'!$E$3:$E$1001,M$4)=0,"",SUMIFS('Input Sheet'!$F$3:$F$1001,'Input Sheet'!$B$3:$B$1001,$H219,'Input Sheet'!$E$3:$E$1001,M$4))</f>
        <v/>
      </c>
      <c r="N219" s="21" t="str">
        <f>IF(SUMIFS('Input Sheet'!$F$3:$F$1001,'Input Sheet'!$B$3:$B$1001,$H219,'Input Sheet'!$E$3:$E$1001,N$4)=0,"",SUMIFS('Input Sheet'!$F$3:$F$1001,'Input Sheet'!$B$3:$B$1001,$H219,'Input Sheet'!$E$3:$E$1001,N$4))</f>
        <v/>
      </c>
      <c r="O219" s="21" t="str">
        <f>IF(SUMIFS('Input Sheet'!$F$3:$F$1001,'Input Sheet'!$B$3:$B$1001,$H219,'Input Sheet'!$E$3:$E$1001,O$4)=0,"",SUMIFS('Input Sheet'!$F$3:$F$1001,'Input Sheet'!$B$3:$B$1001,$H219,'Input Sheet'!$E$3:$E$1001,O$4))</f>
        <v/>
      </c>
      <c r="P219" s="21" t="str">
        <f>IF(SUMIFS('Input Sheet'!$F$3:$F$1001,'Input Sheet'!$B$3:$B$1001,$H219,'Input Sheet'!$E$3:$E$1001,P$4)=0,"",SUMIFS('Input Sheet'!$F$3:$F$1001,'Input Sheet'!$B$3:$B$1001,$H219,'Input Sheet'!$E$3:$E$1001,P$4))</f>
        <v/>
      </c>
      <c r="Q219" s="21" t="str">
        <f>IF(SUMIFS('Input Sheet'!$F$3:$F$1001,'Input Sheet'!$B$3:$B$1001,$H219,'Input Sheet'!$E$3:$E$1001,Q$4)=0,"",SUMIFS('Input Sheet'!$F$3:$F$1001,'Input Sheet'!$B$3:$B$1001,$H219,'Input Sheet'!$E$3:$E$1001,Q$4))</f>
        <v/>
      </c>
      <c r="R219" s="21" t="str">
        <f>IF(SUMIFS('Input Sheet'!$F$3:$F$1001,'Input Sheet'!$B$3:$B$1001,$H219,'Input Sheet'!$E$3:$E$1001,R$4)=0,"",SUMIFS('Input Sheet'!$F$3:$F$1001,'Input Sheet'!$B$3:$B$1001,$H219,'Input Sheet'!$E$3:$E$1001,R$4))</f>
        <v/>
      </c>
      <c r="S219" s="21" t="str">
        <f>IF(SUMIFS('Input Sheet'!$F$3:$F$1001,'Input Sheet'!$B$3:$B$1001,$H219,'Input Sheet'!$E$3:$E$1001,S$4)=0,"",SUMIFS('Input Sheet'!$F$3:$F$1001,'Input Sheet'!$B$3:$B$1001,$H219,'Input Sheet'!$E$3:$E$1001,S$4))</f>
        <v/>
      </c>
      <c r="T219" s="22">
        <v>214</v>
      </c>
    </row>
    <row r="220" spans="1:20" ht="14.25" customHeight="1" x14ac:dyDescent="0.3">
      <c r="A220" s="4" t="str">
        <f>IF('Input Sheet'!B217=0,"",'Input Sheet'!B217)</f>
        <v/>
      </c>
      <c r="B220" s="24" t="b">
        <f t="shared" si="2"/>
        <v>0</v>
      </c>
      <c r="C220" s="4">
        <f>SUMIF('Input Sheet'!B$3:B$1000,A220,'Input Sheet'!C$3:C$1000)</f>
        <v>0</v>
      </c>
      <c r="D220" s="4">
        <f>SUMIF('Input Sheet'!B$3:B$1000,A220,'Input Sheet'!D$3:D$1000)</f>
        <v>0</v>
      </c>
      <c r="E220" s="4" t="str">
        <f t="shared" ref="E220:F220" ca="1" si="223">IFERROR(RANK(K220,K$6:K$1004,1),"")</f>
        <v/>
      </c>
      <c r="F220" s="4" t="str">
        <f t="shared" ca="1" si="223"/>
        <v/>
      </c>
      <c r="G220" s="4" t="str">
        <f t="shared" ca="1" si="4"/>
        <v/>
      </c>
      <c r="H220" s="4" t="str">
        <f t="shared" si="5"/>
        <v/>
      </c>
      <c r="I220" s="4" t="str">
        <f t="shared" si="6"/>
        <v/>
      </c>
      <c r="J220" s="4" t="str">
        <f t="shared" si="7"/>
        <v/>
      </c>
      <c r="K220" s="25" t="str">
        <f t="shared" ca="1" si="8"/>
        <v/>
      </c>
      <c r="L220" s="21" t="str">
        <f t="shared" ca="1" si="9"/>
        <v/>
      </c>
      <c r="M220" s="21" t="str">
        <f>IF(SUMIFS('Input Sheet'!$F$3:$F$1001,'Input Sheet'!$B$3:$B$1001,$H220,'Input Sheet'!$E$3:$E$1001,M$4)=0,"",SUMIFS('Input Sheet'!$F$3:$F$1001,'Input Sheet'!$B$3:$B$1001,$H220,'Input Sheet'!$E$3:$E$1001,M$4))</f>
        <v/>
      </c>
      <c r="N220" s="21" t="str">
        <f>IF(SUMIFS('Input Sheet'!$F$3:$F$1001,'Input Sheet'!$B$3:$B$1001,$H220,'Input Sheet'!$E$3:$E$1001,N$4)=0,"",SUMIFS('Input Sheet'!$F$3:$F$1001,'Input Sheet'!$B$3:$B$1001,$H220,'Input Sheet'!$E$3:$E$1001,N$4))</f>
        <v/>
      </c>
      <c r="O220" s="21" t="str">
        <f>IF(SUMIFS('Input Sheet'!$F$3:$F$1001,'Input Sheet'!$B$3:$B$1001,$H220,'Input Sheet'!$E$3:$E$1001,O$4)=0,"",SUMIFS('Input Sheet'!$F$3:$F$1001,'Input Sheet'!$B$3:$B$1001,$H220,'Input Sheet'!$E$3:$E$1001,O$4))</f>
        <v/>
      </c>
      <c r="P220" s="21" t="str">
        <f>IF(SUMIFS('Input Sheet'!$F$3:$F$1001,'Input Sheet'!$B$3:$B$1001,$H220,'Input Sheet'!$E$3:$E$1001,P$4)=0,"",SUMIFS('Input Sheet'!$F$3:$F$1001,'Input Sheet'!$B$3:$B$1001,$H220,'Input Sheet'!$E$3:$E$1001,P$4))</f>
        <v/>
      </c>
      <c r="Q220" s="21" t="str">
        <f>IF(SUMIFS('Input Sheet'!$F$3:$F$1001,'Input Sheet'!$B$3:$B$1001,$H220,'Input Sheet'!$E$3:$E$1001,Q$4)=0,"",SUMIFS('Input Sheet'!$F$3:$F$1001,'Input Sheet'!$B$3:$B$1001,$H220,'Input Sheet'!$E$3:$E$1001,Q$4))</f>
        <v/>
      </c>
      <c r="R220" s="21" t="str">
        <f>IF(SUMIFS('Input Sheet'!$F$3:$F$1001,'Input Sheet'!$B$3:$B$1001,$H220,'Input Sheet'!$E$3:$E$1001,R$4)=0,"",SUMIFS('Input Sheet'!$F$3:$F$1001,'Input Sheet'!$B$3:$B$1001,$H220,'Input Sheet'!$E$3:$E$1001,R$4))</f>
        <v/>
      </c>
      <c r="S220" s="21" t="str">
        <f>IF(SUMIFS('Input Sheet'!$F$3:$F$1001,'Input Sheet'!$B$3:$B$1001,$H220,'Input Sheet'!$E$3:$E$1001,S$4)=0,"",SUMIFS('Input Sheet'!$F$3:$F$1001,'Input Sheet'!$B$3:$B$1001,$H220,'Input Sheet'!$E$3:$E$1001,S$4))</f>
        <v/>
      </c>
      <c r="T220" s="22">
        <v>215</v>
      </c>
    </row>
    <row r="221" spans="1:20" ht="14.25" customHeight="1" x14ac:dyDescent="0.3">
      <c r="A221" s="4" t="str">
        <f>IF('Input Sheet'!B218=0,"",'Input Sheet'!B218)</f>
        <v/>
      </c>
      <c r="B221" s="24" t="b">
        <f t="shared" si="2"/>
        <v>0</v>
      </c>
      <c r="C221" s="4">
        <f>SUMIF('Input Sheet'!B$3:B$1000,A221,'Input Sheet'!C$3:C$1000)</f>
        <v>0</v>
      </c>
      <c r="D221" s="4">
        <f>SUMIF('Input Sheet'!B$3:B$1000,A221,'Input Sheet'!D$3:D$1000)</f>
        <v>0</v>
      </c>
      <c r="E221" s="4" t="str">
        <f t="shared" ref="E221:F221" ca="1" si="224">IFERROR(RANK(K221,K$6:K$1004,1),"")</f>
        <v/>
      </c>
      <c r="F221" s="4" t="str">
        <f t="shared" ca="1" si="224"/>
        <v/>
      </c>
      <c r="G221" s="4" t="str">
        <f t="shared" ca="1" si="4"/>
        <v/>
      </c>
      <c r="H221" s="4" t="str">
        <f t="shared" si="5"/>
        <v/>
      </c>
      <c r="I221" s="4" t="str">
        <f t="shared" si="6"/>
        <v/>
      </c>
      <c r="J221" s="4" t="str">
        <f t="shared" si="7"/>
        <v/>
      </c>
      <c r="K221" s="25" t="str">
        <f t="shared" ca="1" si="8"/>
        <v/>
      </c>
      <c r="L221" s="21" t="str">
        <f t="shared" ca="1" si="9"/>
        <v/>
      </c>
      <c r="M221" s="21" t="str">
        <f>IF(SUMIFS('Input Sheet'!$F$3:$F$1001,'Input Sheet'!$B$3:$B$1001,$H221,'Input Sheet'!$E$3:$E$1001,M$4)=0,"",SUMIFS('Input Sheet'!$F$3:$F$1001,'Input Sheet'!$B$3:$B$1001,$H221,'Input Sheet'!$E$3:$E$1001,M$4))</f>
        <v/>
      </c>
      <c r="N221" s="21" t="str">
        <f>IF(SUMIFS('Input Sheet'!$F$3:$F$1001,'Input Sheet'!$B$3:$B$1001,$H221,'Input Sheet'!$E$3:$E$1001,N$4)=0,"",SUMIFS('Input Sheet'!$F$3:$F$1001,'Input Sheet'!$B$3:$B$1001,$H221,'Input Sheet'!$E$3:$E$1001,N$4))</f>
        <v/>
      </c>
      <c r="O221" s="21" t="str">
        <f>IF(SUMIFS('Input Sheet'!$F$3:$F$1001,'Input Sheet'!$B$3:$B$1001,$H221,'Input Sheet'!$E$3:$E$1001,O$4)=0,"",SUMIFS('Input Sheet'!$F$3:$F$1001,'Input Sheet'!$B$3:$B$1001,$H221,'Input Sheet'!$E$3:$E$1001,O$4))</f>
        <v/>
      </c>
      <c r="P221" s="21" t="str">
        <f>IF(SUMIFS('Input Sheet'!$F$3:$F$1001,'Input Sheet'!$B$3:$B$1001,$H221,'Input Sheet'!$E$3:$E$1001,P$4)=0,"",SUMIFS('Input Sheet'!$F$3:$F$1001,'Input Sheet'!$B$3:$B$1001,$H221,'Input Sheet'!$E$3:$E$1001,P$4))</f>
        <v/>
      </c>
      <c r="Q221" s="21" t="str">
        <f>IF(SUMIFS('Input Sheet'!$F$3:$F$1001,'Input Sheet'!$B$3:$B$1001,$H221,'Input Sheet'!$E$3:$E$1001,Q$4)=0,"",SUMIFS('Input Sheet'!$F$3:$F$1001,'Input Sheet'!$B$3:$B$1001,$H221,'Input Sheet'!$E$3:$E$1001,Q$4))</f>
        <v/>
      </c>
      <c r="R221" s="21" t="str">
        <f>IF(SUMIFS('Input Sheet'!$F$3:$F$1001,'Input Sheet'!$B$3:$B$1001,$H221,'Input Sheet'!$E$3:$E$1001,R$4)=0,"",SUMIFS('Input Sheet'!$F$3:$F$1001,'Input Sheet'!$B$3:$B$1001,$H221,'Input Sheet'!$E$3:$E$1001,R$4))</f>
        <v/>
      </c>
      <c r="S221" s="21" t="str">
        <f>IF(SUMIFS('Input Sheet'!$F$3:$F$1001,'Input Sheet'!$B$3:$B$1001,$H221,'Input Sheet'!$E$3:$E$1001,S$4)=0,"",SUMIFS('Input Sheet'!$F$3:$F$1001,'Input Sheet'!$B$3:$B$1001,$H221,'Input Sheet'!$E$3:$E$1001,S$4))</f>
        <v/>
      </c>
      <c r="T221" s="22">
        <v>216</v>
      </c>
    </row>
    <row r="222" spans="1:20" ht="14.25" customHeight="1" x14ac:dyDescent="0.3">
      <c r="A222" s="4" t="str">
        <f>IF('Input Sheet'!B219=0,"",'Input Sheet'!B219)</f>
        <v/>
      </c>
      <c r="B222" s="24" t="b">
        <f t="shared" si="2"/>
        <v>0</v>
      </c>
      <c r="C222" s="4">
        <f>SUMIF('Input Sheet'!B$3:B$1000,A222,'Input Sheet'!C$3:C$1000)</f>
        <v>0</v>
      </c>
      <c r="D222" s="4">
        <f>SUMIF('Input Sheet'!B$3:B$1000,A222,'Input Sheet'!D$3:D$1000)</f>
        <v>0</v>
      </c>
      <c r="E222" s="4" t="str">
        <f t="shared" ref="E222:F222" ca="1" si="225">IFERROR(RANK(K222,K$6:K$1004,1),"")</f>
        <v/>
      </c>
      <c r="F222" s="4" t="str">
        <f t="shared" ca="1" si="225"/>
        <v/>
      </c>
      <c r="G222" s="4" t="str">
        <f t="shared" ca="1" si="4"/>
        <v/>
      </c>
      <c r="H222" s="4" t="str">
        <f t="shared" si="5"/>
        <v/>
      </c>
      <c r="I222" s="4" t="str">
        <f t="shared" si="6"/>
        <v/>
      </c>
      <c r="J222" s="4" t="str">
        <f t="shared" si="7"/>
        <v/>
      </c>
      <c r="K222" s="25" t="str">
        <f t="shared" ca="1" si="8"/>
        <v/>
      </c>
      <c r="L222" s="21" t="str">
        <f t="shared" ca="1" si="9"/>
        <v/>
      </c>
      <c r="M222" s="21" t="str">
        <f>IF(SUMIFS('Input Sheet'!$F$3:$F$1001,'Input Sheet'!$B$3:$B$1001,$H222,'Input Sheet'!$E$3:$E$1001,M$4)=0,"",SUMIFS('Input Sheet'!$F$3:$F$1001,'Input Sheet'!$B$3:$B$1001,$H222,'Input Sheet'!$E$3:$E$1001,M$4))</f>
        <v/>
      </c>
      <c r="N222" s="21" t="str">
        <f>IF(SUMIFS('Input Sheet'!$F$3:$F$1001,'Input Sheet'!$B$3:$B$1001,$H222,'Input Sheet'!$E$3:$E$1001,N$4)=0,"",SUMIFS('Input Sheet'!$F$3:$F$1001,'Input Sheet'!$B$3:$B$1001,$H222,'Input Sheet'!$E$3:$E$1001,N$4))</f>
        <v/>
      </c>
      <c r="O222" s="21" t="str">
        <f>IF(SUMIFS('Input Sheet'!$F$3:$F$1001,'Input Sheet'!$B$3:$B$1001,$H222,'Input Sheet'!$E$3:$E$1001,O$4)=0,"",SUMIFS('Input Sheet'!$F$3:$F$1001,'Input Sheet'!$B$3:$B$1001,$H222,'Input Sheet'!$E$3:$E$1001,O$4))</f>
        <v/>
      </c>
      <c r="P222" s="21" t="str">
        <f>IF(SUMIFS('Input Sheet'!$F$3:$F$1001,'Input Sheet'!$B$3:$B$1001,$H222,'Input Sheet'!$E$3:$E$1001,P$4)=0,"",SUMIFS('Input Sheet'!$F$3:$F$1001,'Input Sheet'!$B$3:$B$1001,$H222,'Input Sheet'!$E$3:$E$1001,P$4))</f>
        <v/>
      </c>
      <c r="Q222" s="21" t="str">
        <f>IF(SUMIFS('Input Sheet'!$F$3:$F$1001,'Input Sheet'!$B$3:$B$1001,$H222,'Input Sheet'!$E$3:$E$1001,Q$4)=0,"",SUMIFS('Input Sheet'!$F$3:$F$1001,'Input Sheet'!$B$3:$B$1001,$H222,'Input Sheet'!$E$3:$E$1001,Q$4))</f>
        <v/>
      </c>
      <c r="R222" s="21" t="str">
        <f>IF(SUMIFS('Input Sheet'!$F$3:$F$1001,'Input Sheet'!$B$3:$B$1001,$H222,'Input Sheet'!$E$3:$E$1001,R$4)=0,"",SUMIFS('Input Sheet'!$F$3:$F$1001,'Input Sheet'!$B$3:$B$1001,$H222,'Input Sheet'!$E$3:$E$1001,R$4))</f>
        <v/>
      </c>
      <c r="S222" s="21" t="str">
        <f>IF(SUMIFS('Input Sheet'!$F$3:$F$1001,'Input Sheet'!$B$3:$B$1001,$H222,'Input Sheet'!$E$3:$E$1001,S$4)=0,"",SUMIFS('Input Sheet'!$F$3:$F$1001,'Input Sheet'!$B$3:$B$1001,$H222,'Input Sheet'!$E$3:$E$1001,S$4))</f>
        <v/>
      </c>
      <c r="T222" s="22">
        <v>217</v>
      </c>
    </row>
    <row r="223" spans="1:20" ht="14.25" customHeight="1" x14ac:dyDescent="0.3">
      <c r="A223" s="4" t="str">
        <f>IF('Input Sheet'!B220=0,"",'Input Sheet'!B220)</f>
        <v/>
      </c>
      <c r="B223" s="24" t="b">
        <f t="shared" si="2"/>
        <v>0</v>
      </c>
      <c r="C223" s="4">
        <f>SUMIF('Input Sheet'!B$3:B$1000,A223,'Input Sheet'!C$3:C$1000)</f>
        <v>0</v>
      </c>
      <c r="D223" s="4">
        <f>SUMIF('Input Sheet'!B$3:B$1000,A223,'Input Sheet'!D$3:D$1000)</f>
        <v>0</v>
      </c>
      <c r="E223" s="4" t="str">
        <f t="shared" ref="E223:F223" ca="1" si="226">IFERROR(RANK(K223,K$6:K$1004,1),"")</f>
        <v/>
      </c>
      <c r="F223" s="4" t="str">
        <f t="shared" ca="1" si="226"/>
        <v/>
      </c>
      <c r="G223" s="4" t="str">
        <f t="shared" ca="1" si="4"/>
        <v/>
      </c>
      <c r="H223" s="4" t="str">
        <f t="shared" si="5"/>
        <v/>
      </c>
      <c r="I223" s="4" t="str">
        <f t="shared" si="6"/>
        <v/>
      </c>
      <c r="J223" s="4" t="str">
        <f t="shared" si="7"/>
        <v/>
      </c>
      <c r="K223" s="25" t="str">
        <f t="shared" ca="1" si="8"/>
        <v/>
      </c>
      <c r="L223" s="21" t="str">
        <f t="shared" ca="1" si="9"/>
        <v/>
      </c>
      <c r="M223" s="21" t="str">
        <f>IF(SUMIFS('Input Sheet'!$F$3:$F$1001,'Input Sheet'!$B$3:$B$1001,$H223,'Input Sheet'!$E$3:$E$1001,M$4)=0,"",SUMIFS('Input Sheet'!$F$3:$F$1001,'Input Sheet'!$B$3:$B$1001,$H223,'Input Sheet'!$E$3:$E$1001,M$4))</f>
        <v/>
      </c>
      <c r="N223" s="21" t="str">
        <f>IF(SUMIFS('Input Sheet'!$F$3:$F$1001,'Input Sheet'!$B$3:$B$1001,$H223,'Input Sheet'!$E$3:$E$1001,N$4)=0,"",SUMIFS('Input Sheet'!$F$3:$F$1001,'Input Sheet'!$B$3:$B$1001,$H223,'Input Sheet'!$E$3:$E$1001,N$4))</f>
        <v/>
      </c>
      <c r="O223" s="21" t="str">
        <f>IF(SUMIFS('Input Sheet'!$F$3:$F$1001,'Input Sheet'!$B$3:$B$1001,$H223,'Input Sheet'!$E$3:$E$1001,O$4)=0,"",SUMIFS('Input Sheet'!$F$3:$F$1001,'Input Sheet'!$B$3:$B$1001,$H223,'Input Sheet'!$E$3:$E$1001,O$4))</f>
        <v/>
      </c>
      <c r="P223" s="21" t="str">
        <f>IF(SUMIFS('Input Sheet'!$F$3:$F$1001,'Input Sheet'!$B$3:$B$1001,$H223,'Input Sheet'!$E$3:$E$1001,P$4)=0,"",SUMIFS('Input Sheet'!$F$3:$F$1001,'Input Sheet'!$B$3:$B$1001,$H223,'Input Sheet'!$E$3:$E$1001,P$4))</f>
        <v/>
      </c>
      <c r="Q223" s="21" t="str">
        <f>IF(SUMIFS('Input Sheet'!$F$3:$F$1001,'Input Sheet'!$B$3:$B$1001,$H223,'Input Sheet'!$E$3:$E$1001,Q$4)=0,"",SUMIFS('Input Sheet'!$F$3:$F$1001,'Input Sheet'!$B$3:$B$1001,$H223,'Input Sheet'!$E$3:$E$1001,Q$4))</f>
        <v/>
      </c>
      <c r="R223" s="21" t="str">
        <f>IF(SUMIFS('Input Sheet'!$F$3:$F$1001,'Input Sheet'!$B$3:$B$1001,$H223,'Input Sheet'!$E$3:$E$1001,R$4)=0,"",SUMIFS('Input Sheet'!$F$3:$F$1001,'Input Sheet'!$B$3:$B$1001,$H223,'Input Sheet'!$E$3:$E$1001,R$4))</f>
        <v/>
      </c>
      <c r="S223" s="21" t="str">
        <f>IF(SUMIFS('Input Sheet'!$F$3:$F$1001,'Input Sheet'!$B$3:$B$1001,$H223,'Input Sheet'!$E$3:$E$1001,S$4)=0,"",SUMIFS('Input Sheet'!$F$3:$F$1001,'Input Sheet'!$B$3:$B$1001,$H223,'Input Sheet'!$E$3:$E$1001,S$4))</f>
        <v/>
      </c>
      <c r="T223" s="22">
        <v>218</v>
      </c>
    </row>
    <row r="224" spans="1:20" ht="14.25" customHeight="1" x14ac:dyDescent="0.3">
      <c r="A224" s="4" t="str">
        <f>IF('Input Sheet'!B221=0,"",'Input Sheet'!B221)</f>
        <v/>
      </c>
      <c r="B224" s="24" t="b">
        <f t="shared" si="2"/>
        <v>0</v>
      </c>
      <c r="C224" s="4">
        <f>SUMIF('Input Sheet'!B$3:B$1000,A224,'Input Sheet'!C$3:C$1000)</f>
        <v>0</v>
      </c>
      <c r="D224" s="4">
        <f>SUMIF('Input Sheet'!B$3:B$1000,A224,'Input Sheet'!D$3:D$1000)</f>
        <v>0</v>
      </c>
      <c r="E224" s="4" t="str">
        <f t="shared" ref="E224:F224" ca="1" si="227">IFERROR(RANK(K224,K$6:K$1004,1),"")</f>
        <v/>
      </c>
      <c r="F224" s="4" t="str">
        <f t="shared" ca="1" si="227"/>
        <v/>
      </c>
      <c r="G224" s="4" t="str">
        <f t="shared" ca="1" si="4"/>
        <v/>
      </c>
      <c r="H224" s="4" t="str">
        <f t="shared" si="5"/>
        <v/>
      </c>
      <c r="I224" s="4" t="str">
        <f t="shared" si="6"/>
        <v/>
      </c>
      <c r="J224" s="4" t="str">
        <f t="shared" si="7"/>
        <v/>
      </c>
      <c r="K224" s="25" t="str">
        <f t="shared" ca="1" si="8"/>
        <v/>
      </c>
      <c r="L224" s="21" t="str">
        <f t="shared" ca="1" si="9"/>
        <v/>
      </c>
      <c r="M224" s="21" t="str">
        <f>IF(SUMIFS('Input Sheet'!$F$3:$F$1001,'Input Sheet'!$B$3:$B$1001,$H224,'Input Sheet'!$E$3:$E$1001,M$4)=0,"",SUMIFS('Input Sheet'!$F$3:$F$1001,'Input Sheet'!$B$3:$B$1001,$H224,'Input Sheet'!$E$3:$E$1001,M$4))</f>
        <v/>
      </c>
      <c r="N224" s="21" t="str">
        <f>IF(SUMIFS('Input Sheet'!$F$3:$F$1001,'Input Sheet'!$B$3:$B$1001,$H224,'Input Sheet'!$E$3:$E$1001,N$4)=0,"",SUMIFS('Input Sheet'!$F$3:$F$1001,'Input Sheet'!$B$3:$B$1001,$H224,'Input Sheet'!$E$3:$E$1001,N$4))</f>
        <v/>
      </c>
      <c r="O224" s="21" t="str">
        <f>IF(SUMIFS('Input Sheet'!$F$3:$F$1001,'Input Sheet'!$B$3:$B$1001,$H224,'Input Sheet'!$E$3:$E$1001,O$4)=0,"",SUMIFS('Input Sheet'!$F$3:$F$1001,'Input Sheet'!$B$3:$B$1001,$H224,'Input Sheet'!$E$3:$E$1001,O$4))</f>
        <v/>
      </c>
      <c r="P224" s="21" t="str">
        <f>IF(SUMIFS('Input Sheet'!$F$3:$F$1001,'Input Sheet'!$B$3:$B$1001,$H224,'Input Sheet'!$E$3:$E$1001,P$4)=0,"",SUMIFS('Input Sheet'!$F$3:$F$1001,'Input Sheet'!$B$3:$B$1001,$H224,'Input Sheet'!$E$3:$E$1001,P$4))</f>
        <v/>
      </c>
      <c r="Q224" s="21" t="str">
        <f>IF(SUMIFS('Input Sheet'!$F$3:$F$1001,'Input Sheet'!$B$3:$B$1001,$H224,'Input Sheet'!$E$3:$E$1001,Q$4)=0,"",SUMIFS('Input Sheet'!$F$3:$F$1001,'Input Sheet'!$B$3:$B$1001,$H224,'Input Sheet'!$E$3:$E$1001,Q$4))</f>
        <v/>
      </c>
      <c r="R224" s="21" t="str">
        <f>IF(SUMIFS('Input Sheet'!$F$3:$F$1001,'Input Sheet'!$B$3:$B$1001,$H224,'Input Sheet'!$E$3:$E$1001,R$4)=0,"",SUMIFS('Input Sheet'!$F$3:$F$1001,'Input Sheet'!$B$3:$B$1001,$H224,'Input Sheet'!$E$3:$E$1001,R$4))</f>
        <v/>
      </c>
      <c r="S224" s="21" t="str">
        <f>IF(SUMIFS('Input Sheet'!$F$3:$F$1001,'Input Sheet'!$B$3:$B$1001,$H224,'Input Sheet'!$E$3:$E$1001,S$4)=0,"",SUMIFS('Input Sheet'!$F$3:$F$1001,'Input Sheet'!$B$3:$B$1001,$H224,'Input Sheet'!$E$3:$E$1001,S$4))</f>
        <v/>
      </c>
      <c r="T224" s="22">
        <v>219</v>
      </c>
    </row>
    <row r="225" spans="1:20" ht="14.25" customHeight="1" x14ac:dyDescent="0.3">
      <c r="A225" s="4" t="str">
        <f>IF('Input Sheet'!B222=0,"",'Input Sheet'!B222)</f>
        <v/>
      </c>
      <c r="B225" s="24" t="b">
        <f t="shared" si="2"/>
        <v>0</v>
      </c>
      <c r="C225" s="4">
        <f>SUMIF('Input Sheet'!B$3:B$1000,A225,'Input Sheet'!C$3:C$1000)</f>
        <v>0</v>
      </c>
      <c r="D225" s="4">
        <f>SUMIF('Input Sheet'!B$3:B$1000,A225,'Input Sheet'!D$3:D$1000)</f>
        <v>0</v>
      </c>
      <c r="E225" s="4" t="str">
        <f t="shared" ref="E225:F225" ca="1" si="228">IFERROR(RANK(K225,K$6:K$1004,1),"")</f>
        <v/>
      </c>
      <c r="F225" s="4" t="str">
        <f t="shared" ca="1" si="228"/>
        <v/>
      </c>
      <c r="G225" s="4" t="str">
        <f t="shared" ca="1" si="4"/>
        <v/>
      </c>
      <c r="H225" s="4" t="str">
        <f t="shared" si="5"/>
        <v/>
      </c>
      <c r="I225" s="4" t="str">
        <f t="shared" si="6"/>
        <v/>
      </c>
      <c r="J225" s="4" t="str">
        <f t="shared" si="7"/>
        <v/>
      </c>
      <c r="K225" s="25" t="str">
        <f t="shared" ca="1" si="8"/>
        <v/>
      </c>
      <c r="L225" s="21" t="str">
        <f t="shared" ca="1" si="9"/>
        <v/>
      </c>
      <c r="M225" s="21" t="str">
        <f>IF(SUMIFS('Input Sheet'!$F$3:$F$1001,'Input Sheet'!$B$3:$B$1001,$H225,'Input Sheet'!$E$3:$E$1001,M$4)=0,"",SUMIFS('Input Sheet'!$F$3:$F$1001,'Input Sheet'!$B$3:$B$1001,$H225,'Input Sheet'!$E$3:$E$1001,M$4))</f>
        <v/>
      </c>
      <c r="N225" s="21" t="str">
        <f>IF(SUMIFS('Input Sheet'!$F$3:$F$1001,'Input Sheet'!$B$3:$B$1001,$H225,'Input Sheet'!$E$3:$E$1001,N$4)=0,"",SUMIFS('Input Sheet'!$F$3:$F$1001,'Input Sheet'!$B$3:$B$1001,$H225,'Input Sheet'!$E$3:$E$1001,N$4))</f>
        <v/>
      </c>
      <c r="O225" s="21" t="str">
        <f>IF(SUMIFS('Input Sheet'!$F$3:$F$1001,'Input Sheet'!$B$3:$B$1001,$H225,'Input Sheet'!$E$3:$E$1001,O$4)=0,"",SUMIFS('Input Sheet'!$F$3:$F$1001,'Input Sheet'!$B$3:$B$1001,$H225,'Input Sheet'!$E$3:$E$1001,O$4))</f>
        <v/>
      </c>
      <c r="P225" s="21" t="str">
        <f>IF(SUMIFS('Input Sheet'!$F$3:$F$1001,'Input Sheet'!$B$3:$B$1001,$H225,'Input Sheet'!$E$3:$E$1001,P$4)=0,"",SUMIFS('Input Sheet'!$F$3:$F$1001,'Input Sheet'!$B$3:$B$1001,$H225,'Input Sheet'!$E$3:$E$1001,P$4))</f>
        <v/>
      </c>
      <c r="Q225" s="21" t="str">
        <f>IF(SUMIFS('Input Sheet'!$F$3:$F$1001,'Input Sheet'!$B$3:$B$1001,$H225,'Input Sheet'!$E$3:$E$1001,Q$4)=0,"",SUMIFS('Input Sheet'!$F$3:$F$1001,'Input Sheet'!$B$3:$B$1001,$H225,'Input Sheet'!$E$3:$E$1001,Q$4))</f>
        <v/>
      </c>
      <c r="R225" s="21" t="str">
        <f>IF(SUMIFS('Input Sheet'!$F$3:$F$1001,'Input Sheet'!$B$3:$B$1001,$H225,'Input Sheet'!$E$3:$E$1001,R$4)=0,"",SUMIFS('Input Sheet'!$F$3:$F$1001,'Input Sheet'!$B$3:$B$1001,$H225,'Input Sheet'!$E$3:$E$1001,R$4))</f>
        <v/>
      </c>
      <c r="S225" s="21" t="str">
        <f>IF(SUMIFS('Input Sheet'!$F$3:$F$1001,'Input Sheet'!$B$3:$B$1001,$H225,'Input Sheet'!$E$3:$E$1001,S$4)=0,"",SUMIFS('Input Sheet'!$F$3:$F$1001,'Input Sheet'!$B$3:$B$1001,$H225,'Input Sheet'!$E$3:$E$1001,S$4))</f>
        <v/>
      </c>
      <c r="T225" s="22">
        <v>220</v>
      </c>
    </row>
    <row r="226" spans="1:20" ht="14.25" customHeight="1" x14ac:dyDescent="0.3">
      <c r="A226" s="4" t="str">
        <f>IF('Input Sheet'!B223=0,"",'Input Sheet'!B223)</f>
        <v/>
      </c>
      <c r="B226" s="24" t="b">
        <f t="shared" si="2"/>
        <v>0</v>
      </c>
      <c r="C226" s="4">
        <f>SUMIF('Input Sheet'!B$3:B$1000,A226,'Input Sheet'!C$3:C$1000)</f>
        <v>0</v>
      </c>
      <c r="D226" s="4">
        <f>SUMIF('Input Sheet'!B$3:B$1000,A226,'Input Sheet'!D$3:D$1000)</f>
        <v>0</v>
      </c>
      <c r="E226" s="4" t="str">
        <f t="shared" ref="E226:F226" ca="1" si="229">IFERROR(RANK(K226,K$6:K$1004,1),"")</f>
        <v/>
      </c>
      <c r="F226" s="4" t="str">
        <f t="shared" ca="1" si="229"/>
        <v/>
      </c>
      <c r="G226" s="4" t="str">
        <f t="shared" ca="1" si="4"/>
        <v/>
      </c>
      <c r="H226" s="4" t="str">
        <f t="shared" si="5"/>
        <v/>
      </c>
      <c r="I226" s="4" t="str">
        <f t="shared" si="6"/>
        <v/>
      </c>
      <c r="J226" s="4" t="str">
        <f t="shared" si="7"/>
        <v/>
      </c>
      <c r="K226" s="25" t="str">
        <f t="shared" ca="1" si="8"/>
        <v/>
      </c>
      <c r="L226" s="21" t="str">
        <f t="shared" ca="1" si="9"/>
        <v/>
      </c>
      <c r="M226" s="21" t="str">
        <f>IF(SUMIFS('Input Sheet'!$F$3:$F$1001,'Input Sheet'!$B$3:$B$1001,$H226,'Input Sheet'!$E$3:$E$1001,M$4)=0,"",SUMIFS('Input Sheet'!$F$3:$F$1001,'Input Sheet'!$B$3:$B$1001,$H226,'Input Sheet'!$E$3:$E$1001,M$4))</f>
        <v/>
      </c>
      <c r="N226" s="21" t="str">
        <f>IF(SUMIFS('Input Sheet'!$F$3:$F$1001,'Input Sheet'!$B$3:$B$1001,$H226,'Input Sheet'!$E$3:$E$1001,N$4)=0,"",SUMIFS('Input Sheet'!$F$3:$F$1001,'Input Sheet'!$B$3:$B$1001,$H226,'Input Sheet'!$E$3:$E$1001,N$4))</f>
        <v/>
      </c>
      <c r="O226" s="21" t="str">
        <f>IF(SUMIFS('Input Sheet'!$F$3:$F$1001,'Input Sheet'!$B$3:$B$1001,$H226,'Input Sheet'!$E$3:$E$1001,O$4)=0,"",SUMIFS('Input Sheet'!$F$3:$F$1001,'Input Sheet'!$B$3:$B$1001,$H226,'Input Sheet'!$E$3:$E$1001,O$4))</f>
        <v/>
      </c>
      <c r="P226" s="21" t="str">
        <f>IF(SUMIFS('Input Sheet'!$F$3:$F$1001,'Input Sheet'!$B$3:$B$1001,$H226,'Input Sheet'!$E$3:$E$1001,P$4)=0,"",SUMIFS('Input Sheet'!$F$3:$F$1001,'Input Sheet'!$B$3:$B$1001,$H226,'Input Sheet'!$E$3:$E$1001,P$4))</f>
        <v/>
      </c>
      <c r="Q226" s="21" t="str">
        <f>IF(SUMIFS('Input Sheet'!$F$3:$F$1001,'Input Sheet'!$B$3:$B$1001,$H226,'Input Sheet'!$E$3:$E$1001,Q$4)=0,"",SUMIFS('Input Sheet'!$F$3:$F$1001,'Input Sheet'!$B$3:$B$1001,$H226,'Input Sheet'!$E$3:$E$1001,Q$4))</f>
        <v/>
      </c>
      <c r="R226" s="21" t="str">
        <f>IF(SUMIFS('Input Sheet'!$F$3:$F$1001,'Input Sheet'!$B$3:$B$1001,$H226,'Input Sheet'!$E$3:$E$1001,R$4)=0,"",SUMIFS('Input Sheet'!$F$3:$F$1001,'Input Sheet'!$B$3:$B$1001,$H226,'Input Sheet'!$E$3:$E$1001,R$4))</f>
        <v/>
      </c>
      <c r="S226" s="21" t="str">
        <f>IF(SUMIFS('Input Sheet'!$F$3:$F$1001,'Input Sheet'!$B$3:$B$1001,$H226,'Input Sheet'!$E$3:$E$1001,S$4)=0,"",SUMIFS('Input Sheet'!$F$3:$F$1001,'Input Sheet'!$B$3:$B$1001,$H226,'Input Sheet'!$E$3:$E$1001,S$4))</f>
        <v/>
      </c>
      <c r="T226" s="22">
        <v>221</v>
      </c>
    </row>
    <row r="227" spans="1:20" ht="14.25" customHeight="1" x14ac:dyDescent="0.3">
      <c r="A227" s="4" t="str">
        <f>IF('Input Sheet'!B224=0,"",'Input Sheet'!B224)</f>
        <v/>
      </c>
      <c r="B227" s="24" t="b">
        <f t="shared" si="2"/>
        <v>0</v>
      </c>
      <c r="C227" s="4">
        <f>SUMIF('Input Sheet'!B$3:B$1000,A227,'Input Sheet'!C$3:C$1000)</f>
        <v>0</v>
      </c>
      <c r="D227" s="4">
        <f>SUMIF('Input Sheet'!B$3:B$1000,A227,'Input Sheet'!D$3:D$1000)</f>
        <v>0</v>
      </c>
      <c r="E227" s="4" t="str">
        <f t="shared" ref="E227:F227" ca="1" si="230">IFERROR(RANK(K227,K$6:K$1004,1),"")</f>
        <v/>
      </c>
      <c r="F227" s="4" t="str">
        <f t="shared" ca="1" si="230"/>
        <v/>
      </c>
      <c r="G227" s="4" t="str">
        <f t="shared" ca="1" si="4"/>
        <v/>
      </c>
      <c r="H227" s="4" t="str">
        <f t="shared" si="5"/>
        <v/>
      </c>
      <c r="I227" s="4" t="str">
        <f t="shared" si="6"/>
        <v/>
      </c>
      <c r="J227" s="4" t="str">
        <f t="shared" si="7"/>
        <v/>
      </c>
      <c r="K227" s="25" t="str">
        <f t="shared" ca="1" si="8"/>
        <v/>
      </c>
      <c r="L227" s="21" t="str">
        <f t="shared" ca="1" si="9"/>
        <v/>
      </c>
      <c r="M227" s="21" t="str">
        <f>IF(SUMIFS('Input Sheet'!$F$3:$F$1001,'Input Sheet'!$B$3:$B$1001,$H227,'Input Sheet'!$E$3:$E$1001,M$4)=0,"",SUMIFS('Input Sheet'!$F$3:$F$1001,'Input Sheet'!$B$3:$B$1001,$H227,'Input Sheet'!$E$3:$E$1001,M$4))</f>
        <v/>
      </c>
      <c r="N227" s="21" t="str">
        <f>IF(SUMIFS('Input Sheet'!$F$3:$F$1001,'Input Sheet'!$B$3:$B$1001,$H227,'Input Sheet'!$E$3:$E$1001,N$4)=0,"",SUMIFS('Input Sheet'!$F$3:$F$1001,'Input Sheet'!$B$3:$B$1001,$H227,'Input Sheet'!$E$3:$E$1001,N$4))</f>
        <v/>
      </c>
      <c r="O227" s="21" t="str">
        <f>IF(SUMIFS('Input Sheet'!$F$3:$F$1001,'Input Sheet'!$B$3:$B$1001,$H227,'Input Sheet'!$E$3:$E$1001,O$4)=0,"",SUMIFS('Input Sheet'!$F$3:$F$1001,'Input Sheet'!$B$3:$B$1001,$H227,'Input Sheet'!$E$3:$E$1001,O$4))</f>
        <v/>
      </c>
      <c r="P227" s="21" t="str">
        <f>IF(SUMIFS('Input Sheet'!$F$3:$F$1001,'Input Sheet'!$B$3:$B$1001,$H227,'Input Sheet'!$E$3:$E$1001,P$4)=0,"",SUMIFS('Input Sheet'!$F$3:$F$1001,'Input Sheet'!$B$3:$B$1001,$H227,'Input Sheet'!$E$3:$E$1001,P$4))</f>
        <v/>
      </c>
      <c r="Q227" s="21" t="str">
        <f>IF(SUMIFS('Input Sheet'!$F$3:$F$1001,'Input Sheet'!$B$3:$B$1001,$H227,'Input Sheet'!$E$3:$E$1001,Q$4)=0,"",SUMIFS('Input Sheet'!$F$3:$F$1001,'Input Sheet'!$B$3:$B$1001,$H227,'Input Sheet'!$E$3:$E$1001,Q$4))</f>
        <v/>
      </c>
      <c r="R227" s="21" t="str">
        <f>IF(SUMIFS('Input Sheet'!$F$3:$F$1001,'Input Sheet'!$B$3:$B$1001,$H227,'Input Sheet'!$E$3:$E$1001,R$4)=0,"",SUMIFS('Input Sheet'!$F$3:$F$1001,'Input Sheet'!$B$3:$B$1001,$H227,'Input Sheet'!$E$3:$E$1001,R$4))</f>
        <v/>
      </c>
      <c r="S227" s="21" t="str">
        <f>IF(SUMIFS('Input Sheet'!$F$3:$F$1001,'Input Sheet'!$B$3:$B$1001,$H227,'Input Sheet'!$E$3:$E$1001,S$4)=0,"",SUMIFS('Input Sheet'!$F$3:$F$1001,'Input Sheet'!$B$3:$B$1001,$H227,'Input Sheet'!$E$3:$E$1001,S$4))</f>
        <v/>
      </c>
      <c r="T227" s="22">
        <v>222</v>
      </c>
    </row>
    <row r="228" spans="1:20" ht="14.25" customHeight="1" x14ac:dyDescent="0.3">
      <c r="A228" s="4" t="str">
        <f>IF('Input Sheet'!B225=0,"",'Input Sheet'!B225)</f>
        <v/>
      </c>
      <c r="B228" s="24" t="b">
        <f t="shared" si="2"/>
        <v>0</v>
      </c>
      <c r="C228" s="4">
        <f>SUMIF('Input Sheet'!B$3:B$1000,A228,'Input Sheet'!C$3:C$1000)</f>
        <v>0</v>
      </c>
      <c r="D228" s="4">
        <f>SUMIF('Input Sheet'!B$3:B$1000,A228,'Input Sheet'!D$3:D$1000)</f>
        <v>0</v>
      </c>
      <c r="E228" s="4" t="str">
        <f t="shared" ref="E228:F228" ca="1" si="231">IFERROR(RANK(K228,K$6:K$1004,1),"")</f>
        <v/>
      </c>
      <c r="F228" s="4" t="str">
        <f t="shared" ca="1" si="231"/>
        <v/>
      </c>
      <c r="G228" s="4" t="str">
        <f t="shared" ca="1" si="4"/>
        <v/>
      </c>
      <c r="H228" s="4" t="str">
        <f t="shared" si="5"/>
        <v/>
      </c>
      <c r="I228" s="4" t="str">
        <f t="shared" si="6"/>
        <v/>
      </c>
      <c r="J228" s="4" t="str">
        <f t="shared" si="7"/>
        <v/>
      </c>
      <c r="K228" s="25" t="str">
        <f t="shared" ca="1" si="8"/>
        <v/>
      </c>
      <c r="L228" s="21" t="str">
        <f t="shared" ca="1" si="9"/>
        <v/>
      </c>
      <c r="M228" s="21" t="str">
        <f>IF(SUMIFS('Input Sheet'!$F$3:$F$1001,'Input Sheet'!$B$3:$B$1001,$H228,'Input Sheet'!$E$3:$E$1001,M$4)=0,"",SUMIFS('Input Sheet'!$F$3:$F$1001,'Input Sheet'!$B$3:$B$1001,$H228,'Input Sheet'!$E$3:$E$1001,M$4))</f>
        <v/>
      </c>
      <c r="N228" s="21" t="str">
        <f>IF(SUMIFS('Input Sheet'!$F$3:$F$1001,'Input Sheet'!$B$3:$B$1001,$H228,'Input Sheet'!$E$3:$E$1001,N$4)=0,"",SUMIFS('Input Sheet'!$F$3:$F$1001,'Input Sheet'!$B$3:$B$1001,$H228,'Input Sheet'!$E$3:$E$1001,N$4))</f>
        <v/>
      </c>
      <c r="O228" s="21" t="str">
        <f>IF(SUMIFS('Input Sheet'!$F$3:$F$1001,'Input Sheet'!$B$3:$B$1001,$H228,'Input Sheet'!$E$3:$E$1001,O$4)=0,"",SUMIFS('Input Sheet'!$F$3:$F$1001,'Input Sheet'!$B$3:$B$1001,$H228,'Input Sheet'!$E$3:$E$1001,O$4))</f>
        <v/>
      </c>
      <c r="P228" s="21" t="str">
        <f>IF(SUMIFS('Input Sheet'!$F$3:$F$1001,'Input Sheet'!$B$3:$B$1001,$H228,'Input Sheet'!$E$3:$E$1001,P$4)=0,"",SUMIFS('Input Sheet'!$F$3:$F$1001,'Input Sheet'!$B$3:$B$1001,$H228,'Input Sheet'!$E$3:$E$1001,P$4))</f>
        <v/>
      </c>
      <c r="Q228" s="21" t="str">
        <f>IF(SUMIFS('Input Sheet'!$F$3:$F$1001,'Input Sheet'!$B$3:$B$1001,$H228,'Input Sheet'!$E$3:$E$1001,Q$4)=0,"",SUMIFS('Input Sheet'!$F$3:$F$1001,'Input Sheet'!$B$3:$B$1001,$H228,'Input Sheet'!$E$3:$E$1001,Q$4))</f>
        <v/>
      </c>
      <c r="R228" s="21" t="str">
        <f>IF(SUMIFS('Input Sheet'!$F$3:$F$1001,'Input Sheet'!$B$3:$B$1001,$H228,'Input Sheet'!$E$3:$E$1001,R$4)=0,"",SUMIFS('Input Sheet'!$F$3:$F$1001,'Input Sheet'!$B$3:$B$1001,$H228,'Input Sheet'!$E$3:$E$1001,R$4))</f>
        <v/>
      </c>
      <c r="S228" s="21" t="str">
        <f>IF(SUMIFS('Input Sheet'!$F$3:$F$1001,'Input Sheet'!$B$3:$B$1001,$H228,'Input Sheet'!$E$3:$E$1001,S$4)=0,"",SUMIFS('Input Sheet'!$F$3:$F$1001,'Input Sheet'!$B$3:$B$1001,$H228,'Input Sheet'!$E$3:$E$1001,S$4))</f>
        <v/>
      </c>
      <c r="T228" s="22">
        <v>223</v>
      </c>
    </row>
    <row r="229" spans="1:20" ht="14.25" customHeight="1" x14ac:dyDescent="0.3">
      <c r="A229" s="4" t="str">
        <f>IF('Input Sheet'!B226=0,"",'Input Sheet'!B226)</f>
        <v/>
      </c>
      <c r="B229" s="24" t="b">
        <f t="shared" si="2"/>
        <v>0</v>
      </c>
      <c r="C229" s="4">
        <f>SUMIF('Input Sheet'!B$3:B$1000,A229,'Input Sheet'!C$3:C$1000)</f>
        <v>0</v>
      </c>
      <c r="D229" s="4">
        <f>SUMIF('Input Sheet'!B$3:B$1000,A229,'Input Sheet'!D$3:D$1000)</f>
        <v>0</v>
      </c>
      <c r="E229" s="4" t="str">
        <f t="shared" ref="E229:F229" ca="1" si="232">IFERROR(RANK(K229,K$6:K$1004,1),"")</f>
        <v/>
      </c>
      <c r="F229" s="4" t="str">
        <f t="shared" ca="1" si="232"/>
        <v/>
      </c>
      <c r="G229" s="4" t="str">
        <f t="shared" ca="1" si="4"/>
        <v/>
      </c>
      <c r="H229" s="4" t="str">
        <f t="shared" si="5"/>
        <v/>
      </c>
      <c r="I229" s="4" t="str">
        <f t="shared" si="6"/>
        <v/>
      </c>
      <c r="J229" s="4" t="str">
        <f t="shared" si="7"/>
        <v/>
      </c>
      <c r="K229" s="25" t="str">
        <f t="shared" ca="1" si="8"/>
        <v/>
      </c>
      <c r="L229" s="21" t="str">
        <f t="shared" ca="1" si="9"/>
        <v/>
      </c>
      <c r="M229" s="21" t="str">
        <f>IF(SUMIFS('Input Sheet'!$F$3:$F$1001,'Input Sheet'!$B$3:$B$1001,$H229,'Input Sheet'!$E$3:$E$1001,M$4)=0,"",SUMIFS('Input Sheet'!$F$3:$F$1001,'Input Sheet'!$B$3:$B$1001,$H229,'Input Sheet'!$E$3:$E$1001,M$4))</f>
        <v/>
      </c>
      <c r="N229" s="21" t="str">
        <f>IF(SUMIFS('Input Sheet'!$F$3:$F$1001,'Input Sheet'!$B$3:$B$1001,$H229,'Input Sheet'!$E$3:$E$1001,N$4)=0,"",SUMIFS('Input Sheet'!$F$3:$F$1001,'Input Sheet'!$B$3:$B$1001,$H229,'Input Sheet'!$E$3:$E$1001,N$4))</f>
        <v/>
      </c>
      <c r="O229" s="21" t="str">
        <f>IF(SUMIFS('Input Sheet'!$F$3:$F$1001,'Input Sheet'!$B$3:$B$1001,$H229,'Input Sheet'!$E$3:$E$1001,O$4)=0,"",SUMIFS('Input Sheet'!$F$3:$F$1001,'Input Sheet'!$B$3:$B$1001,$H229,'Input Sheet'!$E$3:$E$1001,O$4))</f>
        <v/>
      </c>
      <c r="P229" s="21" t="str">
        <f>IF(SUMIFS('Input Sheet'!$F$3:$F$1001,'Input Sheet'!$B$3:$B$1001,$H229,'Input Sheet'!$E$3:$E$1001,P$4)=0,"",SUMIFS('Input Sheet'!$F$3:$F$1001,'Input Sheet'!$B$3:$B$1001,$H229,'Input Sheet'!$E$3:$E$1001,P$4))</f>
        <v/>
      </c>
      <c r="Q229" s="21" t="str">
        <f>IF(SUMIFS('Input Sheet'!$F$3:$F$1001,'Input Sheet'!$B$3:$B$1001,$H229,'Input Sheet'!$E$3:$E$1001,Q$4)=0,"",SUMIFS('Input Sheet'!$F$3:$F$1001,'Input Sheet'!$B$3:$B$1001,$H229,'Input Sheet'!$E$3:$E$1001,Q$4))</f>
        <v/>
      </c>
      <c r="R229" s="21" t="str">
        <f>IF(SUMIFS('Input Sheet'!$F$3:$F$1001,'Input Sheet'!$B$3:$B$1001,$H229,'Input Sheet'!$E$3:$E$1001,R$4)=0,"",SUMIFS('Input Sheet'!$F$3:$F$1001,'Input Sheet'!$B$3:$B$1001,$H229,'Input Sheet'!$E$3:$E$1001,R$4))</f>
        <v/>
      </c>
      <c r="S229" s="21" t="str">
        <f>IF(SUMIFS('Input Sheet'!$F$3:$F$1001,'Input Sheet'!$B$3:$B$1001,$H229,'Input Sheet'!$E$3:$E$1001,S$4)=0,"",SUMIFS('Input Sheet'!$F$3:$F$1001,'Input Sheet'!$B$3:$B$1001,$H229,'Input Sheet'!$E$3:$E$1001,S$4))</f>
        <v/>
      </c>
      <c r="T229" s="22">
        <v>224</v>
      </c>
    </row>
    <row r="230" spans="1:20" ht="14.25" customHeight="1" x14ac:dyDescent="0.3">
      <c r="A230" s="4" t="str">
        <f>IF('Input Sheet'!B227=0,"",'Input Sheet'!B227)</f>
        <v/>
      </c>
      <c r="B230" s="24" t="b">
        <f t="shared" si="2"/>
        <v>0</v>
      </c>
      <c r="C230" s="4">
        <f>SUMIF('Input Sheet'!B$3:B$1000,A230,'Input Sheet'!C$3:C$1000)</f>
        <v>0</v>
      </c>
      <c r="D230" s="4">
        <f>SUMIF('Input Sheet'!B$3:B$1000,A230,'Input Sheet'!D$3:D$1000)</f>
        <v>0</v>
      </c>
      <c r="E230" s="4" t="str">
        <f t="shared" ref="E230:F230" ca="1" si="233">IFERROR(RANK(K230,K$6:K$1004,1),"")</f>
        <v/>
      </c>
      <c r="F230" s="4" t="str">
        <f t="shared" ca="1" si="233"/>
        <v/>
      </c>
      <c r="G230" s="4" t="str">
        <f t="shared" ca="1" si="4"/>
        <v/>
      </c>
      <c r="H230" s="4" t="str">
        <f t="shared" si="5"/>
        <v/>
      </c>
      <c r="I230" s="4" t="str">
        <f t="shared" si="6"/>
        <v/>
      </c>
      <c r="J230" s="4" t="str">
        <f t="shared" si="7"/>
        <v/>
      </c>
      <c r="K230" s="25" t="str">
        <f t="shared" ca="1" si="8"/>
        <v/>
      </c>
      <c r="L230" s="21" t="str">
        <f t="shared" ca="1" si="9"/>
        <v/>
      </c>
      <c r="M230" s="21" t="str">
        <f>IF(SUMIFS('Input Sheet'!$F$3:$F$1001,'Input Sheet'!$B$3:$B$1001,$H230,'Input Sheet'!$E$3:$E$1001,M$4)=0,"",SUMIFS('Input Sheet'!$F$3:$F$1001,'Input Sheet'!$B$3:$B$1001,$H230,'Input Sheet'!$E$3:$E$1001,M$4))</f>
        <v/>
      </c>
      <c r="N230" s="21" t="str">
        <f>IF(SUMIFS('Input Sheet'!$F$3:$F$1001,'Input Sheet'!$B$3:$B$1001,$H230,'Input Sheet'!$E$3:$E$1001,N$4)=0,"",SUMIFS('Input Sheet'!$F$3:$F$1001,'Input Sheet'!$B$3:$B$1001,$H230,'Input Sheet'!$E$3:$E$1001,N$4))</f>
        <v/>
      </c>
      <c r="O230" s="21" t="str">
        <f>IF(SUMIFS('Input Sheet'!$F$3:$F$1001,'Input Sheet'!$B$3:$B$1001,$H230,'Input Sheet'!$E$3:$E$1001,O$4)=0,"",SUMIFS('Input Sheet'!$F$3:$F$1001,'Input Sheet'!$B$3:$B$1001,$H230,'Input Sheet'!$E$3:$E$1001,O$4))</f>
        <v/>
      </c>
      <c r="P230" s="21" t="str">
        <f>IF(SUMIFS('Input Sheet'!$F$3:$F$1001,'Input Sheet'!$B$3:$B$1001,$H230,'Input Sheet'!$E$3:$E$1001,P$4)=0,"",SUMIFS('Input Sheet'!$F$3:$F$1001,'Input Sheet'!$B$3:$B$1001,$H230,'Input Sheet'!$E$3:$E$1001,P$4))</f>
        <v/>
      </c>
      <c r="Q230" s="21" t="str">
        <f>IF(SUMIFS('Input Sheet'!$F$3:$F$1001,'Input Sheet'!$B$3:$B$1001,$H230,'Input Sheet'!$E$3:$E$1001,Q$4)=0,"",SUMIFS('Input Sheet'!$F$3:$F$1001,'Input Sheet'!$B$3:$B$1001,$H230,'Input Sheet'!$E$3:$E$1001,Q$4))</f>
        <v/>
      </c>
      <c r="R230" s="21" t="str">
        <f>IF(SUMIFS('Input Sheet'!$F$3:$F$1001,'Input Sheet'!$B$3:$B$1001,$H230,'Input Sheet'!$E$3:$E$1001,R$4)=0,"",SUMIFS('Input Sheet'!$F$3:$F$1001,'Input Sheet'!$B$3:$B$1001,$H230,'Input Sheet'!$E$3:$E$1001,R$4))</f>
        <v/>
      </c>
      <c r="S230" s="21" t="str">
        <f>IF(SUMIFS('Input Sheet'!$F$3:$F$1001,'Input Sheet'!$B$3:$B$1001,$H230,'Input Sheet'!$E$3:$E$1001,S$4)=0,"",SUMIFS('Input Sheet'!$F$3:$F$1001,'Input Sheet'!$B$3:$B$1001,$H230,'Input Sheet'!$E$3:$E$1001,S$4))</f>
        <v/>
      </c>
      <c r="T230" s="22">
        <v>225</v>
      </c>
    </row>
    <row r="231" spans="1:20" ht="14.25" customHeight="1" x14ac:dyDescent="0.3">
      <c r="A231" s="4" t="str">
        <f>IF('Input Sheet'!B228=0,"",'Input Sheet'!B228)</f>
        <v/>
      </c>
      <c r="B231" s="24" t="b">
        <f t="shared" si="2"/>
        <v>0</v>
      </c>
      <c r="C231" s="4">
        <f>SUMIF('Input Sheet'!B$3:B$1000,A231,'Input Sheet'!C$3:C$1000)</f>
        <v>0</v>
      </c>
      <c r="D231" s="4">
        <f>SUMIF('Input Sheet'!B$3:B$1000,A231,'Input Sheet'!D$3:D$1000)</f>
        <v>0</v>
      </c>
      <c r="E231" s="4" t="str">
        <f t="shared" ref="E231:F231" ca="1" si="234">IFERROR(RANK(K231,K$6:K$1004,1),"")</f>
        <v/>
      </c>
      <c r="F231" s="4" t="str">
        <f t="shared" ca="1" si="234"/>
        <v/>
      </c>
      <c r="G231" s="4" t="str">
        <f t="shared" ca="1" si="4"/>
        <v/>
      </c>
      <c r="H231" s="4" t="str">
        <f t="shared" si="5"/>
        <v/>
      </c>
      <c r="I231" s="4" t="str">
        <f t="shared" si="6"/>
        <v/>
      </c>
      <c r="J231" s="4" t="str">
        <f t="shared" si="7"/>
        <v/>
      </c>
      <c r="K231" s="25" t="str">
        <f t="shared" ca="1" si="8"/>
        <v/>
      </c>
      <c r="L231" s="21" t="str">
        <f t="shared" ca="1" si="9"/>
        <v/>
      </c>
      <c r="M231" s="21" t="str">
        <f>IF(SUMIFS('Input Sheet'!$F$3:$F$1001,'Input Sheet'!$B$3:$B$1001,$H231,'Input Sheet'!$E$3:$E$1001,M$4)=0,"",SUMIFS('Input Sheet'!$F$3:$F$1001,'Input Sheet'!$B$3:$B$1001,$H231,'Input Sheet'!$E$3:$E$1001,M$4))</f>
        <v/>
      </c>
      <c r="N231" s="21" t="str">
        <f>IF(SUMIFS('Input Sheet'!$F$3:$F$1001,'Input Sheet'!$B$3:$B$1001,$H231,'Input Sheet'!$E$3:$E$1001,N$4)=0,"",SUMIFS('Input Sheet'!$F$3:$F$1001,'Input Sheet'!$B$3:$B$1001,$H231,'Input Sheet'!$E$3:$E$1001,N$4))</f>
        <v/>
      </c>
      <c r="O231" s="21" t="str">
        <f>IF(SUMIFS('Input Sheet'!$F$3:$F$1001,'Input Sheet'!$B$3:$B$1001,$H231,'Input Sheet'!$E$3:$E$1001,O$4)=0,"",SUMIFS('Input Sheet'!$F$3:$F$1001,'Input Sheet'!$B$3:$B$1001,$H231,'Input Sheet'!$E$3:$E$1001,O$4))</f>
        <v/>
      </c>
      <c r="P231" s="21" t="str">
        <f>IF(SUMIFS('Input Sheet'!$F$3:$F$1001,'Input Sheet'!$B$3:$B$1001,$H231,'Input Sheet'!$E$3:$E$1001,P$4)=0,"",SUMIFS('Input Sheet'!$F$3:$F$1001,'Input Sheet'!$B$3:$B$1001,$H231,'Input Sheet'!$E$3:$E$1001,P$4))</f>
        <v/>
      </c>
      <c r="Q231" s="21" t="str">
        <f>IF(SUMIFS('Input Sheet'!$F$3:$F$1001,'Input Sheet'!$B$3:$B$1001,$H231,'Input Sheet'!$E$3:$E$1001,Q$4)=0,"",SUMIFS('Input Sheet'!$F$3:$F$1001,'Input Sheet'!$B$3:$B$1001,$H231,'Input Sheet'!$E$3:$E$1001,Q$4))</f>
        <v/>
      </c>
      <c r="R231" s="21" t="str">
        <f>IF(SUMIFS('Input Sheet'!$F$3:$F$1001,'Input Sheet'!$B$3:$B$1001,$H231,'Input Sheet'!$E$3:$E$1001,R$4)=0,"",SUMIFS('Input Sheet'!$F$3:$F$1001,'Input Sheet'!$B$3:$B$1001,$H231,'Input Sheet'!$E$3:$E$1001,R$4))</f>
        <v/>
      </c>
      <c r="S231" s="21" t="str">
        <f>IF(SUMIFS('Input Sheet'!$F$3:$F$1001,'Input Sheet'!$B$3:$B$1001,$H231,'Input Sheet'!$E$3:$E$1001,S$4)=0,"",SUMIFS('Input Sheet'!$F$3:$F$1001,'Input Sheet'!$B$3:$B$1001,$H231,'Input Sheet'!$E$3:$E$1001,S$4))</f>
        <v/>
      </c>
      <c r="T231" s="22">
        <v>226</v>
      </c>
    </row>
    <row r="232" spans="1:20" ht="14.25" customHeight="1" x14ac:dyDescent="0.3">
      <c r="A232" s="4" t="str">
        <f>IF('Input Sheet'!B229=0,"",'Input Sheet'!B229)</f>
        <v/>
      </c>
      <c r="B232" s="24" t="b">
        <f t="shared" si="2"/>
        <v>0</v>
      </c>
      <c r="C232" s="4">
        <f>SUMIF('Input Sheet'!B$3:B$1000,A232,'Input Sheet'!C$3:C$1000)</f>
        <v>0</v>
      </c>
      <c r="D232" s="4">
        <f>SUMIF('Input Sheet'!B$3:B$1000,A232,'Input Sheet'!D$3:D$1000)</f>
        <v>0</v>
      </c>
      <c r="E232" s="4" t="str">
        <f t="shared" ref="E232:F232" ca="1" si="235">IFERROR(RANK(K232,K$6:K$1004,1),"")</f>
        <v/>
      </c>
      <c r="F232" s="4" t="str">
        <f t="shared" ca="1" si="235"/>
        <v/>
      </c>
      <c r="G232" s="4" t="str">
        <f t="shared" ca="1" si="4"/>
        <v/>
      </c>
      <c r="H232" s="4" t="str">
        <f t="shared" si="5"/>
        <v/>
      </c>
      <c r="I232" s="4" t="str">
        <f t="shared" si="6"/>
        <v/>
      </c>
      <c r="J232" s="4" t="str">
        <f t="shared" si="7"/>
        <v/>
      </c>
      <c r="K232" s="25" t="str">
        <f t="shared" ca="1" si="8"/>
        <v/>
      </c>
      <c r="L232" s="21" t="str">
        <f t="shared" ca="1" si="9"/>
        <v/>
      </c>
      <c r="M232" s="21" t="str">
        <f>IF(SUMIFS('Input Sheet'!$F$3:$F$1001,'Input Sheet'!$B$3:$B$1001,$H232,'Input Sheet'!$E$3:$E$1001,M$4)=0,"",SUMIFS('Input Sheet'!$F$3:$F$1001,'Input Sheet'!$B$3:$B$1001,$H232,'Input Sheet'!$E$3:$E$1001,M$4))</f>
        <v/>
      </c>
      <c r="N232" s="21" t="str">
        <f>IF(SUMIFS('Input Sheet'!$F$3:$F$1001,'Input Sheet'!$B$3:$B$1001,$H232,'Input Sheet'!$E$3:$E$1001,N$4)=0,"",SUMIFS('Input Sheet'!$F$3:$F$1001,'Input Sheet'!$B$3:$B$1001,$H232,'Input Sheet'!$E$3:$E$1001,N$4))</f>
        <v/>
      </c>
      <c r="O232" s="21" t="str">
        <f>IF(SUMIFS('Input Sheet'!$F$3:$F$1001,'Input Sheet'!$B$3:$B$1001,$H232,'Input Sheet'!$E$3:$E$1001,O$4)=0,"",SUMIFS('Input Sheet'!$F$3:$F$1001,'Input Sheet'!$B$3:$B$1001,$H232,'Input Sheet'!$E$3:$E$1001,O$4))</f>
        <v/>
      </c>
      <c r="P232" s="21" t="str">
        <f>IF(SUMIFS('Input Sheet'!$F$3:$F$1001,'Input Sheet'!$B$3:$B$1001,$H232,'Input Sheet'!$E$3:$E$1001,P$4)=0,"",SUMIFS('Input Sheet'!$F$3:$F$1001,'Input Sheet'!$B$3:$B$1001,$H232,'Input Sheet'!$E$3:$E$1001,P$4))</f>
        <v/>
      </c>
      <c r="Q232" s="21" t="str">
        <f>IF(SUMIFS('Input Sheet'!$F$3:$F$1001,'Input Sheet'!$B$3:$B$1001,$H232,'Input Sheet'!$E$3:$E$1001,Q$4)=0,"",SUMIFS('Input Sheet'!$F$3:$F$1001,'Input Sheet'!$B$3:$B$1001,$H232,'Input Sheet'!$E$3:$E$1001,Q$4))</f>
        <v/>
      </c>
      <c r="R232" s="21" t="str">
        <f>IF(SUMIFS('Input Sheet'!$F$3:$F$1001,'Input Sheet'!$B$3:$B$1001,$H232,'Input Sheet'!$E$3:$E$1001,R$4)=0,"",SUMIFS('Input Sheet'!$F$3:$F$1001,'Input Sheet'!$B$3:$B$1001,$H232,'Input Sheet'!$E$3:$E$1001,R$4))</f>
        <v/>
      </c>
      <c r="S232" s="21" t="str">
        <f>IF(SUMIFS('Input Sheet'!$F$3:$F$1001,'Input Sheet'!$B$3:$B$1001,$H232,'Input Sheet'!$E$3:$E$1001,S$4)=0,"",SUMIFS('Input Sheet'!$F$3:$F$1001,'Input Sheet'!$B$3:$B$1001,$H232,'Input Sheet'!$E$3:$E$1001,S$4))</f>
        <v/>
      </c>
      <c r="T232" s="22">
        <v>227</v>
      </c>
    </row>
    <row r="233" spans="1:20" ht="14.25" customHeight="1" x14ac:dyDescent="0.3">
      <c r="A233" s="4" t="str">
        <f>IF('Input Sheet'!B230=0,"",'Input Sheet'!B230)</f>
        <v/>
      </c>
      <c r="B233" s="24" t="b">
        <f t="shared" si="2"/>
        <v>0</v>
      </c>
      <c r="C233" s="4">
        <f>SUMIF('Input Sheet'!B$3:B$1000,A233,'Input Sheet'!C$3:C$1000)</f>
        <v>0</v>
      </c>
      <c r="D233" s="4">
        <f>SUMIF('Input Sheet'!B$3:B$1000,A233,'Input Sheet'!D$3:D$1000)</f>
        <v>0</v>
      </c>
      <c r="E233" s="4" t="str">
        <f t="shared" ref="E233:F233" ca="1" si="236">IFERROR(RANK(K233,K$6:K$1004,1),"")</f>
        <v/>
      </c>
      <c r="F233" s="4" t="str">
        <f t="shared" ca="1" si="236"/>
        <v/>
      </c>
      <c r="G233" s="4" t="str">
        <f t="shared" ca="1" si="4"/>
        <v/>
      </c>
      <c r="H233" s="4" t="str">
        <f t="shared" si="5"/>
        <v/>
      </c>
      <c r="I233" s="4" t="str">
        <f t="shared" si="6"/>
        <v/>
      </c>
      <c r="J233" s="4" t="str">
        <f t="shared" si="7"/>
        <v/>
      </c>
      <c r="K233" s="25" t="str">
        <f t="shared" ca="1" si="8"/>
        <v/>
      </c>
      <c r="L233" s="21" t="str">
        <f t="shared" ca="1" si="9"/>
        <v/>
      </c>
      <c r="M233" s="21" t="str">
        <f>IF(SUMIFS('Input Sheet'!$F$3:$F$1001,'Input Sheet'!$B$3:$B$1001,$H233,'Input Sheet'!$E$3:$E$1001,M$4)=0,"",SUMIFS('Input Sheet'!$F$3:$F$1001,'Input Sheet'!$B$3:$B$1001,$H233,'Input Sheet'!$E$3:$E$1001,M$4))</f>
        <v/>
      </c>
      <c r="N233" s="21" t="str">
        <f>IF(SUMIFS('Input Sheet'!$F$3:$F$1001,'Input Sheet'!$B$3:$B$1001,$H233,'Input Sheet'!$E$3:$E$1001,N$4)=0,"",SUMIFS('Input Sheet'!$F$3:$F$1001,'Input Sheet'!$B$3:$B$1001,$H233,'Input Sheet'!$E$3:$E$1001,N$4))</f>
        <v/>
      </c>
      <c r="O233" s="21" t="str">
        <f>IF(SUMIFS('Input Sheet'!$F$3:$F$1001,'Input Sheet'!$B$3:$B$1001,$H233,'Input Sheet'!$E$3:$E$1001,O$4)=0,"",SUMIFS('Input Sheet'!$F$3:$F$1001,'Input Sheet'!$B$3:$B$1001,$H233,'Input Sheet'!$E$3:$E$1001,O$4))</f>
        <v/>
      </c>
      <c r="P233" s="21" t="str">
        <f>IF(SUMIFS('Input Sheet'!$F$3:$F$1001,'Input Sheet'!$B$3:$B$1001,$H233,'Input Sheet'!$E$3:$E$1001,P$4)=0,"",SUMIFS('Input Sheet'!$F$3:$F$1001,'Input Sheet'!$B$3:$B$1001,$H233,'Input Sheet'!$E$3:$E$1001,P$4))</f>
        <v/>
      </c>
      <c r="Q233" s="21" t="str">
        <f>IF(SUMIFS('Input Sheet'!$F$3:$F$1001,'Input Sheet'!$B$3:$B$1001,$H233,'Input Sheet'!$E$3:$E$1001,Q$4)=0,"",SUMIFS('Input Sheet'!$F$3:$F$1001,'Input Sheet'!$B$3:$B$1001,$H233,'Input Sheet'!$E$3:$E$1001,Q$4))</f>
        <v/>
      </c>
      <c r="R233" s="21" t="str">
        <f>IF(SUMIFS('Input Sheet'!$F$3:$F$1001,'Input Sheet'!$B$3:$B$1001,$H233,'Input Sheet'!$E$3:$E$1001,R$4)=0,"",SUMIFS('Input Sheet'!$F$3:$F$1001,'Input Sheet'!$B$3:$B$1001,$H233,'Input Sheet'!$E$3:$E$1001,R$4))</f>
        <v/>
      </c>
      <c r="S233" s="21" t="str">
        <f>IF(SUMIFS('Input Sheet'!$F$3:$F$1001,'Input Sheet'!$B$3:$B$1001,$H233,'Input Sheet'!$E$3:$E$1001,S$4)=0,"",SUMIFS('Input Sheet'!$F$3:$F$1001,'Input Sheet'!$B$3:$B$1001,$H233,'Input Sheet'!$E$3:$E$1001,S$4))</f>
        <v/>
      </c>
      <c r="T233" s="22">
        <v>228</v>
      </c>
    </row>
    <row r="234" spans="1:20" ht="14.25" customHeight="1" x14ac:dyDescent="0.3">
      <c r="A234" s="4" t="str">
        <f>IF('Input Sheet'!B231=0,"",'Input Sheet'!B231)</f>
        <v/>
      </c>
      <c r="B234" s="24" t="b">
        <f t="shared" si="2"/>
        <v>0</v>
      </c>
      <c r="C234" s="4">
        <f>SUMIF('Input Sheet'!B$3:B$1000,A234,'Input Sheet'!C$3:C$1000)</f>
        <v>0</v>
      </c>
      <c r="D234" s="4">
        <f>SUMIF('Input Sheet'!B$3:B$1000,A234,'Input Sheet'!D$3:D$1000)</f>
        <v>0</v>
      </c>
      <c r="E234" s="4" t="str">
        <f t="shared" ref="E234:F234" ca="1" si="237">IFERROR(RANK(K234,K$6:K$1004,1),"")</f>
        <v/>
      </c>
      <c r="F234" s="4" t="str">
        <f t="shared" ca="1" si="237"/>
        <v/>
      </c>
      <c r="G234" s="4" t="str">
        <f t="shared" ca="1" si="4"/>
        <v/>
      </c>
      <c r="H234" s="4" t="str">
        <f t="shared" si="5"/>
        <v/>
      </c>
      <c r="I234" s="4" t="str">
        <f t="shared" si="6"/>
        <v/>
      </c>
      <c r="J234" s="4" t="str">
        <f t="shared" si="7"/>
        <v/>
      </c>
      <c r="K234" s="25" t="str">
        <f t="shared" ca="1" si="8"/>
        <v/>
      </c>
      <c r="L234" s="21" t="str">
        <f t="shared" ca="1" si="9"/>
        <v/>
      </c>
      <c r="M234" s="21" t="str">
        <f>IF(SUMIFS('Input Sheet'!$F$3:$F$1001,'Input Sheet'!$B$3:$B$1001,$H234,'Input Sheet'!$E$3:$E$1001,M$4)=0,"",SUMIFS('Input Sheet'!$F$3:$F$1001,'Input Sheet'!$B$3:$B$1001,$H234,'Input Sheet'!$E$3:$E$1001,M$4))</f>
        <v/>
      </c>
      <c r="N234" s="21" t="str">
        <f>IF(SUMIFS('Input Sheet'!$F$3:$F$1001,'Input Sheet'!$B$3:$B$1001,$H234,'Input Sheet'!$E$3:$E$1001,N$4)=0,"",SUMIFS('Input Sheet'!$F$3:$F$1001,'Input Sheet'!$B$3:$B$1001,$H234,'Input Sheet'!$E$3:$E$1001,N$4))</f>
        <v/>
      </c>
      <c r="O234" s="21" t="str">
        <f>IF(SUMIFS('Input Sheet'!$F$3:$F$1001,'Input Sheet'!$B$3:$B$1001,$H234,'Input Sheet'!$E$3:$E$1001,O$4)=0,"",SUMIFS('Input Sheet'!$F$3:$F$1001,'Input Sheet'!$B$3:$B$1001,$H234,'Input Sheet'!$E$3:$E$1001,O$4))</f>
        <v/>
      </c>
      <c r="P234" s="21" t="str">
        <f>IF(SUMIFS('Input Sheet'!$F$3:$F$1001,'Input Sheet'!$B$3:$B$1001,$H234,'Input Sheet'!$E$3:$E$1001,P$4)=0,"",SUMIFS('Input Sheet'!$F$3:$F$1001,'Input Sheet'!$B$3:$B$1001,$H234,'Input Sheet'!$E$3:$E$1001,P$4))</f>
        <v/>
      </c>
      <c r="Q234" s="21" t="str">
        <f>IF(SUMIFS('Input Sheet'!$F$3:$F$1001,'Input Sheet'!$B$3:$B$1001,$H234,'Input Sheet'!$E$3:$E$1001,Q$4)=0,"",SUMIFS('Input Sheet'!$F$3:$F$1001,'Input Sheet'!$B$3:$B$1001,$H234,'Input Sheet'!$E$3:$E$1001,Q$4))</f>
        <v/>
      </c>
      <c r="R234" s="21" t="str">
        <f>IF(SUMIFS('Input Sheet'!$F$3:$F$1001,'Input Sheet'!$B$3:$B$1001,$H234,'Input Sheet'!$E$3:$E$1001,R$4)=0,"",SUMIFS('Input Sheet'!$F$3:$F$1001,'Input Sheet'!$B$3:$B$1001,$H234,'Input Sheet'!$E$3:$E$1001,R$4))</f>
        <v/>
      </c>
      <c r="S234" s="21" t="str">
        <f>IF(SUMIFS('Input Sheet'!$F$3:$F$1001,'Input Sheet'!$B$3:$B$1001,$H234,'Input Sheet'!$E$3:$E$1001,S$4)=0,"",SUMIFS('Input Sheet'!$F$3:$F$1001,'Input Sheet'!$B$3:$B$1001,$H234,'Input Sheet'!$E$3:$E$1001,S$4))</f>
        <v/>
      </c>
      <c r="T234" s="22">
        <v>229</v>
      </c>
    </row>
    <row r="235" spans="1:20" ht="14.25" customHeight="1" x14ac:dyDescent="0.3">
      <c r="A235" s="4" t="str">
        <f>IF('Input Sheet'!B232=0,"",'Input Sheet'!B232)</f>
        <v/>
      </c>
      <c r="B235" s="24" t="b">
        <f t="shared" si="2"/>
        <v>0</v>
      </c>
      <c r="C235" s="4">
        <f>SUMIF('Input Sheet'!B$3:B$1000,A235,'Input Sheet'!C$3:C$1000)</f>
        <v>0</v>
      </c>
      <c r="D235" s="4">
        <f>SUMIF('Input Sheet'!B$3:B$1000,A235,'Input Sheet'!D$3:D$1000)</f>
        <v>0</v>
      </c>
      <c r="E235" s="4" t="str">
        <f t="shared" ref="E235:F235" ca="1" si="238">IFERROR(RANK(K235,K$6:K$1004,1),"")</f>
        <v/>
      </c>
      <c r="F235" s="4" t="str">
        <f t="shared" ca="1" si="238"/>
        <v/>
      </c>
      <c r="G235" s="4" t="str">
        <f t="shared" ca="1" si="4"/>
        <v/>
      </c>
      <c r="H235" s="4" t="str">
        <f t="shared" si="5"/>
        <v/>
      </c>
      <c r="I235" s="4" t="str">
        <f t="shared" si="6"/>
        <v/>
      </c>
      <c r="J235" s="4" t="str">
        <f t="shared" si="7"/>
        <v/>
      </c>
      <c r="K235" s="25" t="str">
        <f t="shared" ca="1" si="8"/>
        <v/>
      </c>
      <c r="L235" s="21" t="str">
        <f t="shared" ca="1" si="9"/>
        <v/>
      </c>
      <c r="M235" s="21" t="str">
        <f>IF(SUMIFS('Input Sheet'!$F$3:$F$1001,'Input Sheet'!$B$3:$B$1001,$H235,'Input Sheet'!$E$3:$E$1001,M$4)=0,"",SUMIFS('Input Sheet'!$F$3:$F$1001,'Input Sheet'!$B$3:$B$1001,$H235,'Input Sheet'!$E$3:$E$1001,M$4))</f>
        <v/>
      </c>
      <c r="N235" s="21" t="str">
        <f>IF(SUMIFS('Input Sheet'!$F$3:$F$1001,'Input Sheet'!$B$3:$B$1001,$H235,'Input Sheet'!$E$3:$E$1001,N$4)=0,"",SUMIFS('Input Sheet'!$F$3:$F$1001,'Input Sheet'!$B$3:$B$1001,$H235,'Input Sheet'!$E$3:$E$1001,N$4))</f>
        <v/>
      </c>
      <c r="O235" s="21" t="str">
        <f>IF(SUMIFS('Input Sheet'!$F$3:$F$1001,'Input Sheet'!$B$3:$B$1001,$H235,'Input Sheet'!$E$3:$E$1001,O$4)=0,"",SUMIFS('Input Sheet'!$F$3:$F$1001,'Input Sheet'!$B$3:$B$1001,$H235,'Input Sheet'!$E$3:$E$1001,O$4))</f>
        <v/>
      </c>
      <c r="P235" s="21" t="str">
        <f>IF(SUMIFS('Input Sheet'!$F$3:$F$1001,'Input Sheet'!$B$3:$B$1001,$H235,'Input Sheet'!$E$3:$E$1001,P$4)=0,"",SUMIFS('Input Sheet'!$F$3:$F$1001,'Input Sheet'!$B$3:$B$1001,$H235,'Input Sheet'!$E$3:$E$1001,P$4))</f>
        <v/>
      </c>
      <c r="Q235" s="21" t="str">
        <f>IF(SUMIFS('Input Sheet'!$F$3:$F$1001,'Input Sheet'!$B$3:$B$1001,$H235,'Input Sheet'!$E$3:$E$1001,Q$4)=0,"",SUMIFS('Input Sheet'!$F$3:$F$1001,'Input Sheet'!$B$3:$B$1001,$H235,'Input Sheet'!$E$3:$E$1001,Q$4))</f>
        <v/>
      </c>
      <c r="R235" s="21" t="str">
        <f>IF(SUMIFS('Input Sheet'!$F$3:$F$1001,'Input Sheet'!$B$3:$B$1001,$H235,'Input Sheet'!$E$3:$E$1001,R$4)=0,"",SUMIFS('Input Sheet'!$F$3:$F$1001,'Input Sheet'!$B$3:$B$1001,$H235,'Input Sheet'!$E$3:$E$1001,R$4))</f>
        <v/>
      </c>
      <c r="S235" s="21" t="str">
        <f>IF(SUMIFS('Input Sheet'!$F$3:$F$1001,'Input Sheet'!$B$3:$B$1001,$H235,'Input Sheet'!$E$3:$E$1001,S$4)=0,"",SUMIFS('Input Sheet'!$F$3:$F$1001,'Input Sheet'!$B$3:$B$1001,$H235,'Input Sheet'!$E$3:$E$1001,S$4))</f>
        <v/>
      </c>
      <c r="T235" s="22">
        <v>230</v>
      </c>
    </row>
    <row r="236" spans="1:20" ht="14.25" customHeight="1" x14ac:dyDescent="0.3">
      <c r="A236" s="4" t="str">
        <f>IF('Input Sheet'!B233=0,"",'Input Sheet'!B233)</f>
        <v/>
      </c>
      <c r="B236" s="24" t="b">
        <f t="shared" si="2"/>
        <v>0</v>
      </c>
      <c r="C236" s="4">
        <f>SUMIF('Input Sheet'!B$3:B$1000,A236,'Input Sheet'!C$3:C$1000)</f>
        <v>0</v>
      </c>
      <c r="D236" s="4">
        <f>SUMIF('Input Sheet'!B$3:B$1000,A236,'Input Sheet'!D$3:D$1000)</f>
        <v>0</v>
      </c>
      <c r="E236" s="4" t="str">
        <f t="shared" ref="E236:F236" ca="1" si="239">IFERROR(RANK(K236,K$6:K$1004,1),"")</f>
        <v/>
      </c>
      <c r="F236" s="4" t="str">
        <f t="shared" ca="1" si="239"/>
        <v/>
      </c>
      <c r="G236" s="4" t="str">
        <f t="shared" ca="1" si="4"/>
        <v/>
      </c>
      <c r="H236" s="4" t="str">
        <f t="shared" si="5"/>
        <v/>
      </c>
      <c r="I236" s="4" t="str">
        <f t="shared" si="6"/>
        <v/>
      </c>
      <c r="J236" s="4" t="str">
        <f t="shared" si="7"/>
        <v/>
      </c>
      <c r="K236" s="25" t="str">
        <f t="shared" ca="1" si="8"/>
        <v/>
      </c>
      <c r="L236" s="21" t="str">
        <f t="shared" ca="1" si="9"/>
        <v/>
      </c>
      <c r="M236" s="21" t="str">
        <f>IF(SUMIFS('Input Sheet'!$F$3:$F$1001,'Input Sheet'!$B$3:$B$1001,$H236,'Input Sheet'!$E$3:$E$1001,M$4)=0,"",SUMIFS('Input Sheet'!$F$3:$F$1001,'Input Sheet'!$B$3:$B$1001,$H236,'Input Sheet'!$E$3:$E$1001,M$4))</f>
        <v/>
      </c>
      <c r="N236" s="21" t="str">
        <f>IF(SUMIFS('Input Sheet'!$F$3:$F$1001,'Input Sheet'!$B$3:$B$1001,$H236,'Input Sheet'!$E$3:$E$1001,N$4)=0,"",SUMIFS('Input Sheet'!$F$3:$F$1001,'Input Sheet'!$B$3:$B$1001,$H236,'Input Sheet'!$E$3:$E$1001,N$4))</f>
        <v/>
      </c>
      <c r="O236" s="21" t="str">
        <f>IF(SUMIFS('Input Sheet'!$F$3:$F$1001,'Input Sheet'!$B$3:$B$1001,$H236,'Input Sheet'!$E$3:$E$1001,O$4)=0,"",SUMIFS('Input Sheet'!$F$3:$F$1001,'Input Sheet'!$B$3:$B$1001,$H236,'Input Sheet'!$E$3:$E$1001,O$4))</f>
        <v/>
      </c>
      <c r="P236" s="21" t="str">
        <f>IF(SUMIFS('Input Sheet'!$F$3:$F$1001,'Input Sheet'!$B$3:$B$1001,$H236,'Input Sheet'!$E$3:$E$1001,P$4)=0,"",SUMIFS('Input Sheet'!$F$3:$F$1001,'Input Sheet'!$B$3:$B$1001,$H236,'Input Sheet'!$E$3:$E$1001,P$4))</f>
        <v/>
      </c>
      <c r="Q236" s="21" t="str">
        <f>IF(SUMIFS('Input Sheet'!$F$3:$F$1001,'Input Sheet'!$B$3:$B$1001,$H236,'Input Sheet'!$E$3:$E$1001,Q$4)=0,"",SUMIFS('Input Sheet'!$F$3:$F$1001,'Input Sheet'!$B$3:$B$1001,$H236,'Input Sheet'!$E$3:$E$1001,Q$4))</f>
        <v/>
      </c>
      <c r="R236" s="21" t="str">
        <f>IF(SUMIFS('Input Sheet'!$F$3:$F$1001,'Input Sheet'!$B$3:$B$1001,$H236,'Input Sheet'!$E$3:$E$1001,R$4)=0,"",SUMIFS('Input Sheet'!$F$3:$F$1001,'Input Sheet'!$B$3:$B$1001,$H236,'Input Sheet'!$E$3:$E$1001,R$4))</f>
        <v/>
      </c>
      <c r="S236" s="21" t="str">
        <f>IF(SUMIFS('Input Sheet'!$F$3:$F$1001,'Input Sheet'!$B$3:$B$1001,$H236,'Input Sheet'!$E$3:$E$1001,S$4)=0,"",SUMIFS('Input Sheet'!$F$3:$F$1001,'Input Sheet'!$B$3:$B$1001,$H236,'Input Sheet'!$E$3:$E$1001,S$4))</f>
        <v/>
      </c>
      <c r="T236" s="22">
        <v>231</v>
      </c>
    </row>
    <row r="237" spans="1:20" ht="14.25" customHeight="1" x14ac:dyDescent="0.3">
      <c r="A237" s="4" t="str">
        <f>IF('Input Sheet'!B234=0,"",'Input Sheet'!B234)</f>
        <v/>
      </c>
      <c r="B237" s="24" t="b">
        <f t="shared" si="2"/>
        <v>0</v>
      </c>
      <c r="C237" s="4">
        <f>SUMIF('Input Sheet'!B$3:B$1000,A237,'Input Sheet'!C$3:C$1000)</f>
        <v>0</v>
      </c>
      <c r="D237" s="4">
        <f>SUMIF('Input Sheet'!B$3:B$1000,A237,'Input Sheet'!D$3:D$1000)</f>
        <v>0</v>
      </c>
      <c r="E237" s="4" t="str">
        <f t="shared" ref="E237:F237" ca="1" si="240">IFERROR(RANK(K237,K$6:K$1004,1),"")</f>
        <v/>
      </c>
      <c r="F237" s="4" t="str">
        <f t="shared" ca="1" si="240"/>
        <v/>
      </c>
      <c r="G237" s="4" t="str">
        <f t="shared" ca="1" si="4"/>
        <v/>
      </c>
      <c r="H237" s="4" t="str">
        <f t="shared" si="5"/>
        <v/>
      </c>
      <c r="I237" s="4" t="str">
        <f t="shared" si="6"/>
        <v/>
      </c>
      <c r="J237" s="4" t="str">
        <f t="shared" si="7"/>
        <v/>
      </c>
      <c r="K237" s="25" t="str">
        <f t="shared" ca="1" si="8"/>
        <v/>
      </c>
      <c r="L237" s="21" t="str">
        <f t="shared" ca="1" si="9"/>
        <v/>
      </c>
      <c r="M237" s="21" t="str">
        <f>IF(SUMIFS('Input Sheet'!$F$3:$F$1001,'Input Sheet'!$B$3:$B$1001,$H237,'Input Sheet'!$E$3:$E$1001,M$4)=0,"",SUMIFS('Input Sheet'!$F$3:$F$1001,'Input Sheet'!$B$3:$B$1001,$H237,'Input Sheet'!$E$3:$E$1001,M$4))</f>
        <v/>
      </c>
      <c r="N237" s="21" t="str">
        <f>IF(SUMIFS('Input Sheet'!$F$3:$F$1001,'Input Sheet'!$B$3:$B$1001,$H237,'Input Sheet'!$E$3:$E$1001,N$4)=0,"",SUMIFS('Input Sheet'!$F$3:$F$1001,'Input Sheet'!$B$3:$B$1001,$H237,'Input Sheet'!$E$3:$E$1001,N$4))</f>
        <v/>
      </c>
      <c r="O237" s="21" t="str">
        <f>IF(SUMIFS('Input Sheet'!$F$3:$F$1001,'Input Sheet'!$B$3:$B$1001,$H237,'Input Sheet'!$E$3:$E$1001,O$4)=0,"",SUMIFS('Input Sheet'!$F$3:$F$1001,'Input Sheet'!$B$3:$B$1001,$H237,'Input Sheet'!$E$3:$E$1001,O$4))</f>
        <v/>
      </c>
      <c r="P237" s="21" t="str">
        <f>IF(SUMIFS('Input Sheet'!$F$3:$F$1001,'Input Sheet'!$B$3:$B$1001,$H237,'Input Sheet'!$E$3:$E$1001,P$4)=0,"",SUMIFS('Input Sheet'!$F$3:$F$1001,'Input Sheet'!$B$3:$B$1001,$H237,'Input Sheet'!$E$3:$E$1001,P$4))</f>
        <v/>
      </c>
      <c r="Q237" s="21" t="str">
        <f>IF(SUMIFS('Input Sheet'!$F$3:$F$1001,'Input Sheet'!$B$3:$B$1001,$H237,'Input Sheet'!$E$3:$E$1001,Q$4)=0,"",SUMIFS('Input Sheet'!$F$3:$F$1001,'Input Sheet'!$B$3:$B$1001,$H237,'Input Sheet'!$E$3:$E$1001,Q$4))</f>
        <v/>
      </c>
      <c r="R237" s="21" t="str">
        <f>IF(SUMIFS('Input Sheet'!$F$3:$F$1001,'Input Sheet'!$B$3:$B$1001,$H237,'Input Sheet'!$E$3:$E$1001,R$4)=0,"",SUMIFS('Input Sheet'!$F$3:$F$1001,'Input Sheet'!$B$3:$B$1001,$H237,'Input Sheet'!$E$3:$E$1001,R$4))</f>
        <v/>
      </c>
      <c r="S237" s="21" t="str">
        <f>IF(SUMIFS('Input Sheet'!$F$3:$F$1001,'Input Sheet'!$B$3:$B$1001,$H237,'Input Sheet'!$E$3:$E$1001,S$4)=0,"",SUMIFS('Input Sheet'!$F$3:$F$1001,'Input Sheet'!$B$3:$B$1001,$H237,'Input Sheet'!$E$3:$E$1001,S$4))</f>
        <v/>
      </c>
      <c r="T237" s="22">
        <v>232</v>
      </c>
    </row>
    <row r="238" spans="1:20" ht="14.25" customHeight="1" x14ac:dyDescent="0.3">
      <c r="A238" s="4" t="str">
        <f>IF('Input Sheet'!B235=0,"",'Input Sheet'!B235)</f>
        <v/>
      </c>
      <c r="B238" s="24" t="b">
        <f t="shared" si="2"/>
        <v>0</v>
      </c>
      <c r="C238" s="4">
        <f>SUMIF('Input Sheet'!B$3:B$1000,A238,'Input Sheet'!C$3:C$1000)</f>
        <v>0</v>
      </c>
      <c r="D238" s="4">
        <f>SUMIF('Input Sheet'!B$3:B$1000,A238,'Input Sheet'!D$3:D$1000)</f>
        <v>0</v>
      </c>
      <c r="E238" s="4" t="str">
        <f t="shared" ref="E238:F238" ca="1" si="241">IFERROR(RANK(K238,K$6:K$1004,1),"")</f>
        <v/>
      </c>
      <c r="F238" s="4" t="str">
        <f t="shared" ca="1" si="241"/>
        <v/>
      </c>
      <c r="G238" s="4" t="str">
        <f t="shared" ca="1" si="4"/>
        <v/>
      </c>
      <c r="H238" s="4" t="str">
        <f t="shared" si="5"/>
        <v/>
      </c>
      <c r="I238" s="4" t="str">
        <f t="shared" si="6"/>
        <v/>
      </c>
      <c r="J238" s="4" t="str">
        <f t="shared" si="7"/>
        <v/>
      </c>
      <c r="K238" s="25" t="str">
        <f t="shared" ca="1" si="8"/>
        <v/>
      </c>
      <c r="L238" s="21" t="str">
        <f t="shared" ca="1" si="9"/>
        <v/>
      </c>
      <c r="M238" s="21" t="str">
        <f>IF(SUMIFS('Input Sheet'!$F$3:$F$1001,'Input Sheet'!$B$3:$B$1001,$H238,'Input Sheet'!$E$3:$E$1001,M$4)=0,"",SUMIFS('Input Sheet'!$F$3:$F$1001,'Input Sheet'!$B$3:$B$1001,$H238,'Input Sheet'!$E$3:$E$1001,M$4))</f>
        <v/>
      </c>
      <c r="N238" s="21" t="str">
        <f>IF(SUMIFS('Input Sheet'!$F$3:$F$1001,'Input Sheet'!$B$3:$B$1001,$H238,'Input Sheet'!$E$3:$E$1001,N$4)=0,"",SUMIFS('Input Sheet'!$F$3:$F$1001,'Input Sheet'!$B$3:$B$1001,$H238,'Input Sheet'!$E$3:$E$1001,N$4))</f>
        <v/>
      </c>
      <c r="O238" s="21" t="str">
        <f>IF(SUMIFS('Input Sheet'!$F$3:$F$1001,'Input Sheet'!$B$3:$B$1001,$H238,'Input Sheet'!$E$3:$E$1001,O$4)=0,"",SUMIFS('Input Sheet'!$F$3:$F$1001,'Input Sheet'!$B$3:$B$1001,$H238,'Input Sheet'!$E$3:$E$1001,O$4))</f>
        <v/>
      </c>
      <c r="P238" s="21" t="str">
        <f>IF(SUMIFS('Input Sheet'!$F$3:$F$1001,'Input Sheet'!$B$3:$B$1001,$H238,'Input Sheet'!$E$3:$E$1001,P$4)=0,"",SUMIFS('Input Sheet'!$F$3:$F$1001,'Input Sheet'!$B$3:$B$1001,$H238,'Input Sheet'!$E$3:$E$1001,P$4))</f>
        <v/>
      </c>
      <c r="Q238" s="21" t="str">
        <f>IF(SUMIFS('Input Sheet'!$F$3:$F$1001,'Input Sheet'!$B$3:$B$1001,$H238,'Input Sheet'!$E$3:$E$1001,Q$4)=0,"",SUMIFS('Input Sheet'!$F$3:$F$1001,'Input Sheet'!$B$3:$B$1001,$H238,'Input Sheet'!$E$3:$E$1001,Q$4))</f>
        <v/>
      </c>
      <c r="R238" s="21" t="str">
        <f>IF(SUMIFS('Input Sheet'!$F$3:$F$1001,'Input Sheet'!$B$3:$B$1001,$H238,'Input Sheet'!$E$3:$E$1001,R$4)=0,"",SUMIFS('Input Sheet'!$F$3:$F$1001,'Input Sheet'!$B$3:$B$1001,$H238,'Input Sheet'!$E$3:$E$1001,R$4))</f>
        <v/>
      </c>
      <c r="S238" s="21" t="str">
        <f>IF(SUMIFS('Input Sheet'!$F$3:$F$1001,'Input Sheet'!$B$3:$B$1001,$H238,'Input Sheet'!$E$3:$E$1001,S$4)=0,"",SUMIFS('Input Sheet'!$F$3:$F$1001,'Input Sheet'!$B$3:$B$1001,$H238,'Input Sheet'!$E$3:$E$1001,S$4))</f>
        <v/>
      </c>
      <c r="T238" s="22">
        <v>233</v>
      </c>
    </row>
    <row r="239" spans="1:20" ht="14.25" customHeight="1" x14ac:dyDescent="0.3">
      <c r="A239" s="4" t="str">
        <f>IF('Input Sheet'!B236=0,"",'Input Sheet'!B236)</f>
        <v/>
      </c>
      <c r="B239" s="24" t="b">
        <f t="shared" si="2"/>
        <v>0</v>
      </c>
      <c r="C239" s="4">
        <f>SUMIF('Input Sheet'!B$3:B$1000,A239,'Input Sheet'!C$3:C$1000)</f>
        <v>0</v>
      </c>
      <c r="D239" s="4">
        <f>SUMIF('Input Sheet'!B$3:B$1000,A239,'Input Sheet'!D$3:D$1000)</f>
        <v>0</v>
      </c>
      <c r="E239" s="4" t="str">
        <f t="shared" ref="E239:F239" ca="1" si="242">IFERROR(RANK(K239,K$6:K$1004,1),"")</f>
        <v/>
      </c>
      <c r="F239" s="4" t="str">
        <f t="shared" ca="1" si="242"/>
        <v/>
      </c>
      <c r="G239" s="4" t="str">
        <f t="shared" ca="1" si="4"/>
        <v/>
      </c>
      <c r="H239" s="4" t="str">
        <f t="shared" si="5"/>
        <v/>
      </c>
      <c r="I239" s="4" t="str">
        <f t="shared" si="6"/>
        <v/>
      </c>
      <c r="J239" s="4" t="str">
        <f t="shared" si="7"/>
        <v/>
      </c>
      <c r="K239" s="25" t="str">
        <f t="shared" ca="1" si="8"/>
        <v/>
      </c>
      <c r="L239" s="21" t="str">
        <f t="shared" ca="1" si="9"/>
        <v/>
      </c>
      <c r="M239" s="21" t="str">
        <f>IF(SUMIFS('Input Sheet'!$F$3:$F$1001,'Input Sheet'!$B$3:$B$1001,$H239,'Input Sheet'!$E$3:$E$1001,M$4)=0,"",SUMIFS('Input Sheet'!$F$3:$F$1001,'Input Sheet'!$B$3:$B$1001,$H239,'Input Sheet'!$E$3:$E$1001,M$4))</f>
        <v/>
      </c>
      <c r="N239" s="21" t="str">
        <f>IF(SUMIFS('Input Sheet'!$F$3:$F$1001,'Input Sheet'!$B$3:$B$1001,$H239,'Input Sheet'!$E$3:$E$1001,N$4)=0,"",SUMIFS('Input Sheet'!$F$3:$F$1001,'Input Sheet'!$B$3:$B$1001,$H239,'Input Sheet'!$E$3:$E$1001,N$4))</f>
        <v/>
      </c>
      <c r="O239" s="21" t="str">
        <f>IF(SUMIFS('Input Sheet'!$F$3:$F$1001,'Input Sheet'!$B$3:$B$1001,$H239,'Input Sheet'!$E$3:$E$1001,O$4)=0,"",SUMIFS('Input Sheet'!$F$3:$F$1001,'Input Sheet'!$B$3:$B$1001,$H239,'Input Sheet'!$E$3:$E$1001,O$4))</f>
        <v/>
      </c>
      <c r="P239" s="21" t="str">
        <f>IF(SUMIFS('Input Sheet'!$F$3:$F$1001,'Input Sheet'!$B$3:$B$1001,$H239,'Input Sheet'!$E$3:$E$1001,P$4)=0,"",SUMIFS('Input Sheet'!$F$3:$F$1001,'Input Sheet'!$B$3:$B$1001,$H239,'Input Sheet'!$E$3:$E$1001,P$4))</f>
        <v/>
      </c>
      <c r="Q239" s="21" t="str">
        <f>IF(SUMIFS('Input Sheet'!$F$3:$F$1001,'Input Sheet'!$B$3:$B$1001,$H239,'Input Sheet'!$E$3:$E$1001,Q$4)=0,"",SUMIFS('Input Sheet'!$F$3:$F$1001,'Input Sheet'!$B$3:$B$1001,$H239,'Input Sheet'!$E$3:$E$1001,Q$4))</f>
        <v/>
      </c>
      <c r="R239" s="21" t="str">
        <f>IF(SUMIFS('Input Sheet'!$F$3:$F$1001,'Input Sheet'!$B$3:$B$1001,$H239,'Input Sheet'!$E$3:$E$1001,R$4)=0,"",SUMIFS('Input Sheet'!$F$3:$F$1001,'Input Sheet'!$B$3:$B$1001,$H239,'Input Sheet'!$E$3:$E$1001,R$4))</f>
        <v/>
      </c>
      <c r="S239" s="21" t="str">
        <f>IF(SUMIFS('Input Sheet'!$F$3:$F$1001,'Input Sheet'!$B$3:$B$1001,$H239,'Input Sheet'!$E$3:$E$1001,S$4)=0,"",SUMIFS('Input Sheet'!$F$3:$F$1001,'Input Sheet'!$B$3:$B$1001,$H239,'Input Sheet'!$E$3:$E$1001,S$4))</f>
        <v/>
      </c>
      <c r="T239" s="22">
        <v>234</v>
      </c>
    </row>
    <row r="240" spans="1:20" ht="14.25" customHeight="1" x14ac:dyDescent="0.3">
      <c r="A240" s="4" t="str">
        <f>IF('Input Sheet'!B237=0,"",'Input Sheet'!B237)</f>
        <v/>
      </c>
      <c r="B240" s="24" t="b">
        <f t="shared" si="2"/>
        <v>0</v>
      </c>
      <c r="C240" s="4">
        <f>SUMIF('Input Sheet'!B$3:B$1000,A240,'Input Sheet'!C$3:C$1000)</f>
        <v>0</v>
      </c>
      <c r="D240" s="4">
        <f>SUMIF('Input Sheet'!B$3:B$1000,A240,'Input Sheet'!D$3:D$1000)</f>
        <v>0</v>
      </c>
      <c r="E240" s="4" t="str">
        <f t="shared" ref="E240:F240" ca="1" si="243">IFERROR(RANK(K240,K$6:K$1004,1),"")</f>
        <v/>
      </c>
      <c r="F240" s="4" t="str">
        <f t="shared" ca="1" si="243"/>
        <v/>
      </c>
      <c r="G240" s="4" t="str">
        <f t="shared" ca="1" si="4"/>
        <v/>
      </c>
      <c r="H240" s="4" t="str">
        <f t="shared" si="5"/>
        <v/>
      </c>
      <c r="I240" s="4" t="str">
        <f t="shared" si="6"/>
        <v/>
      </c>
      <c r="J240" s="4" t="str">
        <f t="shared" si="7"/>
        <v/>
      </c>
      <c r="K240" s="25" t="str">
        <f t="shared" ca="1" si="8"/>
        <v/>
      </c>
      <c r="L240" s="21" t="str">
        <f t="shared" ca="1" si="9"/>
        <v/>
      </c>
      <c r="M240" s="21" t="str">
        <f>IF(SUMIFS('Input Sheet'!$F$3:$F$1001,'Input Sheet'!$B$3:$B$1001,$H240,'Input Sheet'!$E$3:$E$1001,M$4)=0,"",SUMIFS('Input Sheet'!$F$3:$F$1001,'Input Sheet'!$B$3:$B$1001,$H240,'Input Sheet'!$E$3:$E$1001,M$4))</f>
        <v/>
      </c>
      <c r="N240" s="21" t="str">
        <f>IF(SUMIFS('Input Sheet'!$F$3:$F$1001,'Input Sheet'!$B$3:$B$1001,$H240,'Input Sheet'!$E$3:$E$1001,N$4)=0,"",SUMIFS('Input Sheet'!$F$3:$F$1001,'Input Sheet'!$B$3:$B$1001,$H240,'Input Sheet'!$E$3:$E$1001,N$4))</f>
        <v/>
      </c>
      <c r="O240" s="21" t="str">
        <f>IF(SUMIFS('Input Sheet'!$F$3:$F$1001,'Input Sheet'!$B$3:$B$1001,$H240,'Input Sheet'!$E$3:$E$1001,O$4)=0,"",SUMIFS('Input Sheet'!$F$3:$F$1001,'Input Sheet'!$B$3:$B$1001,$H240,'Input Sheet'!$E$3:$E$1001,O$4))</f>
        <v/>
      </c>
      <c r="P240" s="21" t="str">
        <f>IF(SUMIFS('Input Sheet'!$F$3:$F$1001,'Input Sheet'!$B$3:$B$1001,$H240,'Input Sheet'!$E$3:$E$1001,P$4)=0,"",SUMIFS('Input Sheet'!$F$3:$F$1001,'Input Sheet'!$B$3:$B$1001,$H240,'Input Sheet'!$E$3:$E$1001,P$4))</f>
        <v/>
      </c>
      <c r="Q240" s="21" t="str">
        <f>IF(SUMIFS('Input Sheet'!$F$3:$F$1001,'Input Sheet'!$B$3:$B$1001,$H240,'Input Sheet'!$E$3:$E$1001,Q$4)=0,"",SUMIFS('Input Sheet'!$F$3:$F$1001,'Input Sheet'!$B$3:$B$1001,$H240,'Input Sheet'!$E$3:$E$1001,Q$4))</f>
        <v/>
      </c>
      <c r="R240" s="21" t="str">
        <f>IF(SUMIFS('Input Sheet'!$F$3:$F$1001,'Input Sheet'!$B$3:$B$1001,$H240,'Input Sheet'!$E$3:$E$1001,R$4)=0,"",SUMIFS('Input Sheet'!$F$3:$F$1001,'Input Sheet'!$B$3:$B$1001,$H240,'Input Sheet'!$E$3:$E$1001,R$4))</f>
        <v/>
      </c>
      <c r="S240" s="21" t="str">
        <f>IF(SUMIFS('Input Sheet'!$F$3:$F$1001,'Input Sheet'!$B$3:$B$1001,$H240,'Input Sheet'!$E$3:$E$1001,S$4)=0,"",SUMIFS('Input Sheet'!$F$3:$F$1001,'Input Sheet'!$B$3:$B$1001,$H240,'Input Sheet'!$E$3:$E$1001,S$4))</f>
        <v/>
      </c>
      <c r="T240" s="22">
        <v>235</v>
      </c>
    </row>
    <row r="241" spans="1:20" ht="14.25" customHeight="1" x14ac:dyDescent="0.3">
      <c r="A241" s="4" t="str">
        <f>IF('Input Sheet'!B238=0,"",'Input Sheet'!B238)</f>
        <v/>
      </c>
      <c r="B241" s="24" t="b">
        <f t="shared" si="2"/>
        <v>0</v>
      </c>
      <c r="C241" s="4">
        <f>SUMIF('Input Sheet'!B$3:B$1000,A241,'Input Sheet'!C$3:C$1000)</f>
        <v>0</v>
      </c>
      <c r="D241" s="4">
        <f>SUMIF('Input Sheet'!B$3:B$1000,A241,'Input Sheet'!D$3:D$1000)</f>
        <v>0</v>
      </c>
      <c r="E241" s="4" t="str">
        <f t="shared" ref="E241:F241" ca="1" si="244">IFERROR(RANK(K241,K$6:K$1004,1),"")</f>
        <v/>
      </c>
      <c r="F241" s="4" t="str">
        <f t="shared" ca="1" si="244"/>
        <v/>
      </c>
      <c r="G241" s="4" t="str">
        <f t="shared" ca="1" si="4"/>
        <v/>
      </c>
      <c r="H241" s="4" t="str">
        <f t="shared" si="5"/>
        <v/>
      </c>
      <c r="I241" s="4" t="str">
        <f t="shared" si="6"/>
        <v/>
      </c>
      <c r="J241" s="4" t="str">
        <f t="shared" si="7"/>
        <v/>
      </c>
      <c r="K241" s="25" t="str">
        <f t="shared" ca="1" si="8"/>
        <v/>
      </c>
      <c r="L241" s="21" t="str">
        <f t="shared" ca="1" si="9"/>
        <v/>
      </c>
      <c r="M241" s="21" t="str">
        <f>IF(SUMIFS('Input Sheet'!$F$3:$F$1001,'Input Sheet'!$B$3:$B$1001,$H241,'Input Sheet'!$E$3:$E$1001,M$4)=0,"",SUMIFS('Input Sheet'!$F$3:$F$1001,'Input Sheet'!$B$3:$B$1001,$H241,'Input Sheet'!$E$3:$E$1001,M$4))</f>
        <v/>
      </c>
      <c r="N241" s="21" t="str">
        <f>IF(SUMIFS('Input Sheet'!$F$3:$F$1001,'Input Sheet'!$B$3:$B$1001,$H241,'Input Sheet'!$E$3:$E$1001,N$4)=0,"",SUMIFS('Input Sheet'!$F$3:$F$1001,'Input Sheet'!$B$3:$B$1001,$H241,'Input Sheet'!$E$3:$E$1001,N$4))</f>
        <v/>
      </c>
      <c r="O241" s="21" t="str">
        <f>IF(SUMIFS('Input Sheet'!$F$3:$F$1001,'Input Sheet'!$B$3:$B$1001,$H241,'Input Sheet'!$E$3:$E$1001,O$4)=0,"",SUMIFS('Input Sheet'!$F$3:$F$1001,'Input Sheet'!$B$3:$B$1001,$H241,'Input Sheet'!$E$3:$E$1001,O$4))</f>
        <v/>
      </c>
      <c r="P241" s="21" t="str">
        <f>IF(SUMIFS('Input Sheet'!$F$3:$F$1001,'Input Sheet'!$B$3:$B$1001,$H241,'Input Sheet'!$E$3:$E$1001,P$4)=0,"",SUMIFS('Input Sheet'!$F$3:$F$1001,'Input Sheet'!$B$3:$B$1001,$H241,'Input Sheet'!$E$3:$E$1001,P$4))</f>
        <v/>
      </c>
      <c r="Q241" s="21" t="str">
        <f>IF(SUMIFS('Input Sheet'!$F$3:$F$1001,'Input Sheet'!$B$3:$B$1001,$H241,'Input Sheet'!$E$3:$E$1001,Q$4)=0,"",SUMIFS('Input Sheet'!$F$3:$F$1001,'Input Sheet'!$B$3:$B$1001,$H241,'Input Sheet'!$E$3:$E$1001,Q$4))</f>
        <v/>
      </c>
      <c r="R241" s="21" t="str">
        <f>IF(SUMIFS('Input Sheet'!$F$3:$F$1001,'Input Sheet'!$B$3:$B$1001,$H241,'Input Sheet'!$E$3:$E$1001,R$4)=0,"",SUMIFS('Input Sheet'!$F$3:$F$1001,'Input Sheet'!$B$3:$B$1001,$H241,'Input Sheet'!$E$3:$E$1001,R$4))</f>
        <v/>
      </c>
      <c r="S241" s="21" t="str">
        <f>IF(SUMIFS('Input Sheet'!$F$3:$F$1001,'Input Sheet'!$B$3:$B$1001,$H241,'Input Sheet'!$E$3:$E$1001,S$4)=0,"",SUMIFS('Input Sheet'!$F$3:$F$1001,'Input Sheet'!$B$3:$B$1001,$H241,'Input Sheet'!$E$3:$E$1001,S$4))</f>
        <v/>
      </c>
      <c r="T241" s="22">
        <v>236</v>
      </c>
    </row>
    <row r="242" spans="1:20" ht="14.25" customHeight="1" x14ac:dyDescent="0.3">
      <c r="A242" s="4" t="str">
        <f>IF('Input Sheet'!B239=0,"",'Input Sheet'!B239)</f>
        <v/>
      </c>
      <c r="B242" s="24" t="b">
        <f t="shared" si="2"/>
        <v>0</v>
      </c>
      <c r="C242" s="4">
        <f>SUMIF('Input Sheet'!B$3:B$1000,A242,'Input Sheet'!C$3:C$1000)</f>
        <v>0</v>
      </c>
      <c r="D242" s="4">
        <f>SUMIF('Input Sheet'!B$3:B$1000,A242,'Input Sheet'!D$3:D$1000)</f>
        <v>0</v>
      </c>
      <c r="E242" s="4" t="str">
        <f t="shared" ref="E242:F242" ca="1" si="245">IFERROR(RANK(K242,K$6:K$1004,1),"")</f>
        <v/>
      </c>
      <c r="F242" s="4" t="str">
        <f t="shared" ca="1" si="245"/>
        <v/>
      </c>
      <c r="G242" s="4" t="str">
        <f t="shared" ca="1" si="4"/>
        <v/>
      </c>
      <c r="H242" s="4" t="str">
        <f t="shared" si="5"/>
        <v/>
      </c>
      <c r="I242" s="4" t="str">
        <f t="shared" si="6"/>
        <v/>
      </c>
      <c r="J242" s="4" t="str">
        <f t="shared" si="7"/>
        <v/>
      </c>
      <c r="K242" s="25" t="str">
        <f t="shared" ca="1" si="8"/>
        <v/>
      </c>
      <c r="L242" s="21" t="str">
        <f t="shared" ca="1" si="9"/>
        <v/>
      </c>
      <c r="M242" s="21" t="str">
        <f>IF(SUMIFS('Input Sheet'!$F$3:$F$1001,'Input Sheet'!$B$3:$B$1001,$H242,'Input Sheet'!$E$3:$E$1001,M$4)=0,"",SUMIFS('Input Sheet'!$F$3:$F$1001,'Input Sheet'!$B$3:$B$1001,$H242,'Input Sheet'!$E$3:$E$1001,M$4))</f>
        <v/>
      </c>
      <c r="N242" s="21" t="str">
        <f>IF(SUMIFS('Input Sheet'!$F$3:$F$1001,'Input Sheet'!$B$3:$B$1001,$H242,'Input Sheet'!$E$3:$E$1001,N$4)=0,"",SUMIFS('Input Sheet'!$F$3:$F$1001,'Input Sheet'!$B$3:$B$1001,$H242,'Input Sheet'!$E$3:$E$1001,N$4))</f>
        <v/>
      </c>
      <c r="O242" s="21" t="str">
        <f>IF(SUMIFS('Input Sheet'!$F$3:$F$1001,'Input Sheet'!$B$3:$B$1001,$H242,'Input Sheet'!$E$3:$E$1001,O$4)=0,"",SUMIFS('Input Sheet'!$F$3:$F$1001,'Input Sheet'!$B$3:$B$1001,$H242,'Input Sheet'!$E$3:$E$1001,O$4))</f>
        <v/>
      </c>
      <c r="P242" s="21" t="str">
        <f>IF(SUMIFS('Input Sheet'!$F$3:$F$1001,'Input Sheet'!$B$3:$B$1001,$H242,'Input Sheet'!$E$3:$E$1001,P$4)=0,"",SUMIFS('Input Sheet'!$F$3:$F$1001,'Input Sheet'!$B$3:$B$1001,$H242,'Input Sheet'!$E$3:$E$1001,P$4))</f>
        <v/>
      </c>
      <c r="Q242" s="21" t="str">
        <f>IF(SUMIFS('Input Sheet'!$F$3:$F$1001,'Input Sheet'!$B$3:$B$1001,$H242,'Input Sheet'!$E$3:$E$1001,Q$4)=0,"",SUMIFS('Input Sheet'!$F$3:$F$1001,'Input Sheet'!$B$3:$B$1001,$H242,'Input Sheet'!$E$3:$E$1001,Q$4))</f>
        <v/>
      </c>
      <c r="R242" s="21" t="str">
        <f>IF(SUMIFS('Input Sheet'!$F$3:$F$1001,'Input Sheet'!$B$3:$B$1001,$H242,'Input Sheet'!$E$3:$E$1001,R$4)=0,"",SUMIFS('Input Sheet'!$F$3:$F$1001,'Input Sheet'!$B$3:$B$1001,$H242,'Input Sheet'!$E$3:$E$1001,R$4))</f>
        <v/>
      </c>
      <c r="S242" s="21" t="str">
        <f>IF(SUMIFS('Input Sheet'!$F$3:$F$1001,'Input Sheet'!$B$3:$B$1001,$H242,'Input Sheet'!$E$3:$E$1001,S$4)=0,"",SUMIFS('Input Sheet'!$F$3:$F$1001,'Input Sheet'!$B$3:$B$1001,$H242,'Input Sheet'!$E$3:$E$1001,S$4))</f>
        <v/>
      </c>
      <c r="T242" s="22">
        <v>237</v>
      </c>
    </row>
    <row r="243" spans="1:20" ht="14.25" customHeight="1" x14ac:dyDescent="0.3">
      <c r="A243" s="4" t="str">
        <f>IF('Input Sheet'!B240=0,"",'Input Sheet'!B240)</f>
        <v/>
      </c>
      <c r="B243" s="24" t="b">
        <f t="shared" si="2"/>
        <v>0</v>
      </c>
      <c r="C243" s="4">
        <f>SUMIF('Input Sheet'!B$3:B$1000,A243,'Input Sheet'!C$3:C$1000)</f>
        <v>0</v>
      </c>
      <c r="D243" s="4">
        <f>SUMIF('Input Sheet'!B$3:B$1000,A243,'Input Sheet'!D$3:D$1000)</f>
        <v>0</v>
      </c>
      <c r="E243" s="4" t="str">
        <f t="shared" ref="E243:F243" ca="1" si="246">IFERROR(RANK(K243,K$6:K$1004,1),"")</f>
        <v/>
      </c>
      <c r="F243" s="4" t="str">
        <f t="shared" ca="1" si="246"/>
        <v/>
      </c>
      <c r="G243" s="4" t="str">
        <f t="shared" ca="1" si="4"/>
        <v/>
      </c>
      <c r="H243" s="4" t="str">
        <f t="shared" si="5"/>
        <v/>
      </c>
      <c r="I243" s="4" t="str">
        <f t="shared" si="6"/>
        <v/>
      </c>
      <c r="J243" s="4" t="str">
        <f t="shared" si="7"/>
        <v/>
      </c>
      <c r="K243" s="25" t="str">
        <f t="shared" ca="1" si="8"/>
        <v/>
      </c>
      <c r="L243" s="21" t="str">
        <f t="shared" ca="1" si="9"/>
        <v/>
      </c>
      <c r="M243" s="21" t="str">
        <f>IF(SUMIFS('Input Sheet'!$F$3:$F$1001,'Input Sheet'!$B$3:$B$1001,$H243,'Input Sheet'!$E$3:$E$1001,M$4)=0,"",SUMIFS('Input Sheet'!$F$3:$F$1001,'Input Sheet'!$B$3:$B$1001,$H243,'Input Sheet'!$E$3:$E$1001,M$4))</f>
        <v/>
      </c>
      <c r="N243" s="21" t="str">
        <f>IF(SUMIFS('Input Sheet'!$F$3:$F$1001,'Input Sheet'!$B$3:$B$1001,$H243,'Input Sheet'!$E$3:$E$1001,N$4)=0,"",SUMIFS('Input Sheet'!$F$3:$F$1001,'Input Sheet'!$B$3:$B$1001,$H243,'Input Sheet'!$E$3:$E$1001,N$4))</f>
        <v/>
      </c>
      <c r="O243" s="21" t="str">
        <f>IF(SUMIFS('Input Sheet'!$F$3:$F$1001,'Input Sheet'!$B$3:$B$1001,$H243,'Input Sheet'!$E$3:$E$1001,O$4)=0,"",SUMIFS('Input Sheet'!$F$3:$F$1001,'Input Sheet'!$B$3:$B$1001,$H243,'Input Sheet'!$E$3:$E$1001,O$4))</f>
        <v/>
      </c>
      <c r="P243" s="21" t="str">
        <f>IF(SUMIFS('Input Sheet'!$F$3:$F$1001,'Input Sheet'!$B$3:$B$1001,$H243,'Input Sheet'!$E$3:$E$1001,P$4)=0,"",SUMIFS('Input Sheet'!$F$3:$F$1001,'Input Sheet'!$B$3:$B$1001,$H243,'Input Sheet'!$E$3:$E$1001,P$4))</f>
        <v/>
      </c>
      <c r="Q243" s="21" t="str">
        <f>IF(SUMIFS('Input Sheet'!$F$3:$F$1001,'Input Sheet'!$B$3:$B$1001,$H243,'Input Sheet'!$E$3:$E$1001,Q$4)=0,"",SUMIFS('Input Sheet'!$F$3:$F$1001,'Input Sheet'!$B$3:$B$1001,$H243,'Input Sheet'!$E$3:$E$1001,Q$4))</f>
        <v/>
      </c>
      <c r="R243" s="21" t="str">
        <f>IF(SUMIFS('Input Sheet'!$F$3:$F$1001,'Input Sheet'!$B$3:$B$1001,$H243,'Input Sheet'!$E$3:$E$1001,R$4)=0,"",SUMIFS('Input Sheet'!$F$3:$F$1001,'Input Sheet'!$B$3:$B$1001,$H243,'Input Sheet'!$E$3:$E$1001,R$4))</f>
        <v/>
      </c>
      <c r="S243" s="21" t="str">
        <f>IF(SUMIFS('Input Sheet'!$F$3:$F$1001,'Input Sheet'!$B$3:$B$1001,$H243,'Input Sheet'!$E$3:$E$1001,S$4)=0,"",SUMIFS('Input Sheet'!$F$3:$F$1001,'Input Sheet'!$B$3:$B$1001,$H243,'Input Sheet'!$E$3:$E$1001,S$4))</f>
        <v/>
      </c>
      <c r="T243" s="22">
        <v>238</v>
      </c>
    </row>
    <row r="244" spans="1:20" ht="14.25" customHeight="1" x14ac:dyDescent="0.3">
      <c r="A244" s="4" t="str">
        <f>IF('Input Sheet'!B241=0,"",'Input Sheet'!B241)</f>
        <v/>
      </c>
      <c r="B244" s="24" t="b">
        <f t="shared" si="2"/>
        <v>0</v>
      </c>
      <c r="C244" s="4">
        <f>SUMIF('Input Sheet'!B$3:B$1000,A244,'Input Sheet'!C$3:C$1000)</f>
        <v>0</v>
      </c>
      <c r="D244" s="4">
        <f>SUMIF('Input Sheet'!B$3:B$1000,A244,'Input Sheet'!D$3:D$1000)</f>
        <v>0</v>
      </c>
      <c r="E244" s="4" t="str">
        <f t="shared" ref="E244:F244" ca="1" si="247">IFERROR(RANK(K244,K$6:K$1004,1),"")</f>
        <v/>
      </c>
      <c r="F244" s="4" t="str">
        <f t="shared" ca="1" si="247"/>
        <v/>
      </c>
      <c r="G244" s="4" t="str">
        <f t="shared" ca="1" si="4"/>
        <v/>
      </c>
      <c r="H244" s="4" t="str">
        <f t="shared" si="5"/>
        <v/>
      </c>
      <c r="I244" s="4" t="str">
        <f t="shared" si="6"/>
        <v/>
      </c>
      <c r="J244" s="4" t="str">
        <f t="shared" si="7"/>
        <v/>
      </c>
      <c r="K244" s="25" t="str">
        <f t="shared" ca="1" si="8"/>
        <v/>
      </c>
      <c r="L244" s="21" t="str">
        <f t="shared" ca="1" si="9"/>
        <v/>
      </c>
      <c r="M244" s="21" t="str">
        <f>IF(SUMIFS('Input Sheet'!$F$3:$F$1001,'Input Sheet'!$B$3:$B$1001,$H244,'Input Sheet'!$E$3:$E$1001,M$4)=0,"",SUMIFS('Input Sheet'!$F$3:$F$1001,'Input Sheet'!$B$3:$B$1001,$H244,'Input Sheet'!$E$3:$E$1001,M$4))</f>
        <v/>
      </c>
      <c r="N244" s="21" t="str">
        <f>IF(SUMIFS('Input Sheet'!$F$3:$F$1001,'Input Sheet'!$B$3:$B$1001,$H244,'Input Sheet'!$E$3:$E$1001,N$4)=0,"",SUMIFS('Input Sheet'!$F$3:$F$1001,'Input Sheet'!$B$3:$B$1001,$H244,'Input Sheet'!$E$3:$E$1001,N$4))</f>
        <v/>
      </c>
      <c r="O244" s="21" t="str">
        <f>IF(SUMIFS('Input Sheet'!$F$3:$F$1001,'Input Sheet'!$B$3:$B$1001,$H244,'Input Sheet'!$E$3:$E$1001,O$4)=0,"",SUMIFS('Input Sheet'!$F$3:$F$1001,'Input Sheet'!$B$3:$B$1001,$H244,'Input Sheet'!$E$3:$E$1001,O$4))</f>
        <v/>
      </c>
      <c r="P244" s="21" t="str">
        <f>IF(SUMIFS('Input Sheet'!$F$3:$F$1001,'Input Sheet'!$B$3:$B$1001,$H244,'Input Sheet'!$E$3:$E$1001,P$4)=0,"",SUMIFS('Input Sheet'!$F$3:$F$1001,'Input Sheet'!$B$3:$B$1001,$H244,'Input Sheet'!$E$3:$E$1001,P$4))</f>
        <v/>
      </c>
      <c r="Q244" s="21" t="str">
        <f>IF(SUMIFS('Input Sheet'!$F$3:$F$1001,'Input Sheet'!$B$3:$B$1001,$H244,'Input Sheet'!$E$3:$E$1001,Q$4)=0,"",SUMIFS('Input Sheet'!$F$3:$F$1001,'Input Sheet'!$B$3:$B$1001,$H244,'Input Sheet'!$E$3:$E$1001,Q$4))</f>
        <v/>
      </c>
      <c r="R244" s="21" t="str">
        <f>IF(SUMIFS('Input Sheet'!$F$3:$F$1001,'Input Sheet'!$B$3:$B$1001,$H244,'Input Sheet'!$E$3:$E$1001,R$4)=0,"",SUMIFS('Input Sheet'!$F$3:$F$1001,'Input Sheet'!$B$3:$B$1001,$H244,'Input Sheet'!$E$3:$E$1001,R$4))</f>
        <v/>
      </c>
      <c r="S244" s="21" t="str">
        <f>IF(SUMIFS('Input Sheet'!$F$3:$F$1001,'Input Sheet'!$B$3:$B$1001,$H244,'Input Sheet'!$E$3:$E$1001,S$4)=0,"",SUMIFS('Input Sheet'!$F$3:$F$1001,'Input Sheet'!$B$3:$B$1001,$H244,'Input Sheet'!$E$3:$E$1001,S$4))</f>
        <v/>
      </c>
      <c r="T244" s="22">
        <v>239</v>
      </c>
    </row>
    <row r="245" spans="1:20" ht="14.25" customHeight="1" x14ac:dyDescent="0.3">
      <c r="A245" s="4" t="str">
        <f>IF('Input Sheet'!B242=0,"",'Input Sheet'!B242)</f>
        <v/>
      </c>
      <c r="B245" s="24" t="b">
        <f t="shared" si="2"/>
        <v>0</v>
      </c>
      <c r="C245" s="4">
        <f>SUMIF('Input Sheet'!B$3:B$1000,A245,'Input Sheet'!C$3:C$1000)</f>
        <v>0</v>
      </c>
      <c r="D245" s="4">
        <f>SUMIF('Input Sheet'!B$3:B$1000,A245,'Input Sheet'!D$3:D$1000)</f>
        <v>0</v>
      </c>
      <c r="E245" s="4" t="str">
        <f t="shared" ref="E245:F245" ca="1" si="248">IFERROR(RANK(K245,K$6:K$1004,1),"")</f>
        <v/>
      </c>
      <c r="F245" s="4" t="str">
        <f t="shared" ca="1" si="248"/>
        <v/>
      </c>
      <c r="G245" s="4" t="str">
        <f t="shared" ca="1" si="4"/>
        <v/>
      </c>
      <c r="H245" s="4" t="str">
        <f t="shared" si="5"/>
        <v/>
      </c>
      <c r="I245" s="4" t="str">
        <f t="shared" si="6"/>
        <v/>
      </c>
      <c r="J245" s="4" t="str">
        <f t="shared" si="7"/>
        <v/>
      </c>
      <c r="K245" s="25" t="str">
        <f t="shared" ca="1" si="8"/>
        <v/>
      </c>
      <c r="L245" s="21" t="str">
        <f t="shared" ca="1" si="9"/>
        <v/>
      </c>
      <c r="M245" s="21" t="str">
        <f>IF(SUMIFS('Input Sheet'!$F$3:$F$1001,'Input Sheet'!$B$3:$B$1001,$H245,'Input Sheet'!$E$3:$E$1001,M$4)=0,"",SUMIFS('Input Sheet'!$F$3:$F$1001,'Input Sheet'!$B$3:$B$1001,$H245,'Input Sheet'!$E$3:$E$1001,M$4))</f>
        <v/>
      </c>
      <c r="N245" s="21" t="str">
        <f>IF(SUMIFS('Input Sheet'!$F$3:$F$1001,'Input Sheet'!$B$3:$B$1001,$H245,'Input Sheet'!$E$3:$E$1001,N$4)=0,"",SUMIFS('Input Sheet'!$F$3:$F$1001,'Input Sheet'!$B$3:$B$1001,$H245,'Input Sheet'!$E$3:$E$1001,N$4))</f>
        <v/>
      </c>
      <c r="O245" s="21" t="str">
        <f>IF(SUMIFS('Input Sheet'!$F$3:$F$1001,'Input Sheet'!$B$3:$B$1001,$H245,'Input Sheet'!$E$3:$E$1001,O$4)=0,"",SUMIFS('Input Sheet'!$F$3:$F$1001,'Input Sheet'!$B$3:$B$1001,$H245,'Input Sheet'!$E$3:$E$1001,O$4))</f>
        <v/>
      </c>
      <c r="P245" s="21" t="str">
        <f>IF(SUMIFS('Input Sheet'!$F$3:$F$1001,'Input Sheet'!$B$3:$B$1001,$H245,'Input Sheet'!$E$3:$E$1001,P$4)=0,"",SUMIFS('Input Sheet'!$F$3:$F$1001,'Input Sheet'!$B$3:$B$1001,$H245,'Input Sheet'!$E$3:$E$1001,P$4))</f>
        <v/>
      </c>
      <c r="Q245" s="21" t="str">
        <f>IF(SUMIFS('Input Sheet'!$F$3:$F$1001,'Input Sheet'!$B$3:$B$1001,$H245,'Input Sheet'!$E$3:$E$1001,Q$4)=0,"",SUMIFS('Input Sheet'!$F$3:$F$1001,'Input Sheet'!$B$3:$B$1001,$H245,'Input Sheet'!$E$3:$E$1001,Q$4))</f>
        <v/>
      </c>
      <c r="R245" s="21" t="str">
        <f>IF(SUMIFS('Input Sheet'!$F$3:$F$1001,'Input Sheet'!$B$3:$B$1001,$H245,'Input Sheet'!$E$3:$E$1001,R$4)=0,"",SUMIFS('Input Sheet'!$F$3:$F$1001,'Input Sheet'!$B$3:$B$1001,$H245,'Input Sheet'!$E$3:$E$1001,R$4))</f>
        <v/>
      </c>
      <c r="S245" s="21" t="str">
        <f>IF(SUMIFS('Input Sheet'!$F$3:$F$1001,'Input Sheet'!$B$3:$B$1001,$H245,'Input Sheet'!$E$3:$E$1001,S$4)=0,"",SUMIFS('Input Sheet'!$F$3:$F$1001,'Input Sheet'!$B$3:$B$1001,$H245,'Input Sheet'!$E$3:$E$1001,S$4))</f>
        <v/>
      </c>
      <c r="T245" s="22">
        <v>240</v>
      </c>
    </row>
    <row r="246" spans="1:20" ht="14.25" customHeight="1" x14ac:dyDescent="0.3">
      <c r="A246" s="4" t="str">
        <f>IF('Input Sheet'!B243=0,"",'Input Sheet'!B243)</f>
        <v/>
      </c>
      <c r="B246" s="24" t="b">
        <f t="shared" si="2"/>
        <v>0</v>
      </c>
      <c r="C246" s="4">
        <f>SUMIF('Input Sheet'!B$3:B$1000,A246,'Input Sheet'!C$3:C$1000)</f>
        <v>0</v>
      </c>
      <c r="D246" s="4">
        <f>SUMIF('Input Sheet'!B$3:B$1000,A246,'Input Sheet'!D$3:D$1000)</f>
        <v>0</v>
      </c>
      <c r="E246" s="4" t="str">
        <f t="shared" ref="E246:F246" ca="1" si="249">IFERROR(RANK(K246,K$6:K$1004,1),"")</f>
        <v/>
      </c>
      <c r="F246" s="4" t="str">
        <f t="shared" ca="1" si="249"/>
        <v/>
      </c>
      <c r="G246" s="4" t="str">
        <f t="shared" ca="1" si="4"/>
        <v/>
      </c>
      <c r="H246" s="4" t="str">
        <f t="shared" si="5"/>
        <v/>
      </c>
      <c r="I246" s="4" t="str">
        <f t="shared" si="6"/>
        <v/>
      </c>
      <c r="J246" s="4" t="str">
        <f t="shared" si="7"/>
        <v/>
      </c>
      <c r="K246" s="25" t="str">
        <f t="shared" ca="1" si="8"/>
        <v/>
      </c>
      <c r="L246" s="21" t="str">
        <f t="shared" ca="1" si="9"/>
        <v/>
      </c>
      <c r="M246" s="21" t="str">
        <f>IF(SUMIFS('Input Sheet'!$F$3:$F$1001,'Input Sheet'!$B$3:$B$1001,$H246,'Input Sheet'!$E$3:$E$1001,M$4)=0,"",SUMIFS('Input Sheet'!$F$3:$F$1001,'Input Sheet'!$B$3:$B$1001,$H246,'Input Sheet'!$E$3:$E$1001,M$4))</f>
        <v/>
      </c>
      <c r="N246" s="21" t="str">
        <f>IF(SUMIFS('Input Sheet'!$F$3:$F$1001,'Input Sheet'!$B$3:$B$1001,$H246,'Input Sheet'!$E$3:$E$1001,N$4)=0,"",SUMIFS('Input Sheet'!$F$3:$F$1001,'Input Sheet'!$B$3:$B$1001,$H246,'Input Sheet'!$E$3:$E$1001,N$4))</f>
        <v/>
      </c>
      <c r="O246" s="21" t="str">
        <f>IF(SUMIFS('Input Sheet'!$F$3:$F$1001,'Input Sheet'!$B$3:$B$1001,$H246,'Input Sheet'!$E$3:$E$1001,O$4)=0,"",SUMIFS('Input Sheet'!$F$3:$F$1001,'Input Sheet'!$B$3:$B$1001,$H246,'Input Sheet'!$E$3:$E$1001,O$4))</f>
        <v/>
      </c>
      <c r="P246" s="21" t="str">
        <f>IF(SUMIFS('Input Sheet'!$F$3:$F$1001,'Input Sheet'!$B$3:$B$1001,$H246,'Input Sheet'!$E$3:$E$1001,P$4)=0,"",SUMIFS('Input Sheet'!$F$3:$F$1001,'Input Sheet'!$B$3:$B$1001,$H246,'Input Sheet'!$E$3:$E$1001,P$4))</f>
        <v/>
      </c>
      <c r="Q246" s="21" t="str">
        <f>IF(SUMIFS('Input Sheet'!$F$3:$F$1001,'Input Sheet'!$B$3:$B$1001,$H246,'Input Sheet'!$E$3:$E$1001,Q$4)=0,"",SUMIFS('Input Sheet'!$F$3:$F$1001,'Input Sheet'!$B$3:$B$1001,$H246,'Input Sheet'!$E$3:$E$1001,Q$4))</f>
        <v/>
      </c>
      <c r="R246" s="21" t="str">
        <f>IF(SUMIFS('Input Sheet'!$F$3:$F$1001,'Input Sheet'!$B$3:$B$1001,$H246,'Input Sheet'!$E$3:$E$1001,R$4)=0,"",SUMIFS('Input Sheet'!$F$3:$F$1001,'Input Sheet'!$B$3:$B$1001,$H246,'Input Sheet'!$E$3:$E$1001,R$4))</f>
        <v/>
      </c>
      <c r="S246" s="21" t="str">
        <f>IF(SUMIFS('Input Sheet'!$F$3:$F$1001,'Input Sheet'!$B$3:$B$1001,$H246,'Input Sheet'!$E$3:$E$1001,S$4)=0,"",SUMIFS('Input Sheet'!$F$3:$F$1001,'Input Sheet'!$B$3:$B$1001,$H246,'Input Sheet'!$E$3:$E$1001,S$4))</f>
        <v/>
      </c>
      <c r="T246" s="22">
        <v>241</v>
      </c>
    </row>
    <row r="247" spans="1:20" ht="14.25" customHeight="1" x14ac:dyDescent="0.3">
      <c r="A247" s="4" t="str">
        <f>IF('Input Sheet'!B244=0,"",'Input Sheet'!B244)</f>
        <v/>
      </c>
      <c r="B247" s="24" t="b">
        <f t="shared" si="2"/>
        <v>0</v>
      </c>
      <c r="C247" s="4">
        <f>SUMIF('Input Sheet'!B$3:B$1000,A247,'Input Sheet'!C$3:C$1000)</f>
        <v>0</v>
      </c>
      <c r="D247" s="4">
        <f>SUMIF('Input Sheet'!B$3:B$1000,A247,'Input Sheet'!D$3:D$1000)</f>
        <v>0</v>
      </c>
      <c r="E247" s="4" t="str">
        <f t="shared" ref="E247:F247" ca="1" si="250">IFERROR(RANK(K247,K$6:K$1004,1),"")</f>
        <v/>
      </c>
      <c r="F247" s="4" t="str">
        <f t="shared" ca="1" si="250"/>
        <v/>
      </c>
      <c r="G247" s="4" t="str">
        <f t="shared" ca="1" si="4"/>
        <v/>
      </c>
      <c r="H247" s="4" t="str">
        <f t="shared" si="5"/>
        <v/>
      </c>
      <c r="I247" s="4" t="str">
        <f t="shared" si="6"/>
        <v/>
      </c>
      <c r="J247" s="4" t="str">
        <f t="shared" si="7"/>
        <v/>
      </c>
      <c r="K247" s="25" t="str">
        <f t="shared" ca="1" si="8"/>
        <v/>
      </c>
      <c r="L247" s="21" t="str">
        <f t="shared" ca="1" si="9"/>
        <v/>
      </c>
      <c r="M247" s="21" t="str">
        <f>IF(SUMIFS('Input Sheet'!$F$3:$F$1001,'Input Sheet'!$B$3:$B$1001,$H247,'Input Sheet'!$E$3:$E$1001,M$4)=0,"",SUMIFS('Input Sheet'!$F$3:$F$1001,'Input Sheet'!$B$3:$B$1001,$H247,'Input Sheet'!$E$3:$E$1001,M$4))</f>
        <v/>
      </c>
      <c r="N247" s="21" t="str">
        <f>IF(SUMIFS('Input Sheet'!$F$3:$F$1001,'Input Sheet'!$B$3:$B$1001,$H247,'Input Sheet'!$E$3:$E$1001,N$4)=0,"",SUMIFS('Input Sheet'!$F$3:$F$1001,'Input Sheet'!$B$3:$B$1001,$H247,'Input Sheet'!$E$3:$E$1001,N$4))</f>
        <v/>
      </c>
      <c r="O247" s="21" t="str">
        <f>IF(SUMIFS('Input Sheet'!$F$3:$F$1001,'Input Sheet'!$B$3:$B$1001,$H247,'Input Sheet'!$E$3:$E$1001,O$4)=0,"",SUMIFS('Input Sheet'!$F$3:$F$1001,'Input Sheet'!$B$3:$B$1001,$H247,'Input Sheet'!$E$3:$E$1001,O$4))</f>
        <v/>
      </c>
      <c r="P247" s="21" t="str">
        <f>IF(SUMIFS('Input Sheet'!$F$3:$F$1001,'Input Sheet'!$B$3:$B$1001,$H247,'Input Sheet'!$E$3:$E$1001,P$4)=0,"",SUMIFS('Input Sheet'!$F$3:$F$1001,'Input Sheet'!$B$3:$B$1001,$H247,'Input Sheet'!$E$3:$E$1001,P$4))</f>
        <v/>
      </c>
      <c r="Q247" s="21" t="str">
        <f>IF(SUMIFS('Input Sheet'!$F$3:$F$1001,'Input Sheet'!$B$3:$B$1001,$H247,'Input Sheet'!$E$3:$E$1001,Q$4)=0,"",SUMIFS('Input Sheet'!$F$3:$F$1001,'Input Sheet'!$B$3:$B$1001,$H247,'Input Sheet'!$E$3:$E$1001,Q$4))</f>
        <v/>
      </c>
      <c r="R247" s="21" t="str">
        <f>IF(SUMIFS('Input Sheet'!$F$3:$F$1001,'Input Sheet'!$B$3:$B$1001,$H247,'Input Sheet'!$E$3:$E$1001,R$4)=0,"",SUMIFS('Input Sheet'!$F$3:$F$1001,'Input Sheet'!$B$3:$B$1001,$H247,'Input Sheet'!$E$3:$E$1001,R$4))</f>
        <v/>
      </c>
      <c r="S247" s="21" t="str">
        <f>IF(SUMIFS('Input Sheet'!$F$3:$F$1001,'Input Sheet'!$B$3:$B$1001,$H247,'Input Sheet'!$E$3:$E$1001,S$4)=0,"",SUMIFS('Input Sheet'!$F$3:$F$1001,'Input Sheet'!$B$3:$B$1001,$H247,'Input Sheet'!$E$3:$E$1001,S$4))</f>
        <v/>
      </c>
      <c r="T247" s="22">
        <v>242</v>
      </c>
    </row>
    <row r="248" spans="1:20" ht="14.25" customHeight="1" x14ac:dyDescent="0.3">
      <c r="A248" s="4" t="str">
        <f>IF('Input Sheet'!B245=0,"",'Input Sheet'!B245)</f>
        <v/>
      </c>
      <c r="B248" s="24" t="b">
        <f t="shared" si="2"/>
        <v>0</v>
      </c>
      <c r="C248" s="4">
        <f>SUMIF('Input Sheet'!B$3:B$1000,A248,'Input Sheet'!C$3:C$1000)</f>
        <v>0</v>
      </c>
      <c r="D248" s="4">
        <f>SUMIF('Input Sheet'!B$3:B$1000,A248,'Input Sheet'!D$3:D$1000)</f>
        <v>0</v>
      </c>
      <c r="E248" s="4" t="str">
        <f t="shared" ref="E248:F248" ca="1" si="251">IFERROR(RANK(K248,K$6:K$1004,1),"")</f>
        <v/>
      </c>
      <c r="F248" s="4" t="str">
        <f t="shared" ca="1" si="251"/>
        <v/>
      </c>
      <c r="G248" s="4" t="str">
        <f t="shared" ca="1" si="4"/>
        <v/>
      </c>
      <c r="H248" s="4" t="str">
        <f t="shared" si="5"/>
        <v/>
      </c>
      <c r="I248" s="4" t="str">
        <f t="shared" si="6"/>
        <v/>
      </c>
      <c r="J248" s="4" t="str">
        <f t="shared" si="7"/>
        <v/>
      </c>
      <c r="K248" s="25" t="str">
        <f t="shared" ca="1" si="8"/>
        <v/>
      </c>
      <c r="L248" s="21" t="str">
        <f t="shared" ca="1" si="9"/>
        <v/>
      </c>
      <c r="M248" s="21" t="str">
        <f>IF(SUMIFS('Input Sheet'!$F$3:$F$1001,'Input Sheet'!$B$3:$B$1001,$H248,'Input Sheet'!$E$3:$E$1001,M$4)=0,"",SUMIFS('Input Sheet'!$F$3:$F$1001,'Input Sheet'!$B$3:$B$1001,$H248,'Input Sheet'!$E$3:$E$1001,M$4))</f>
        <v/>
      </c>
      <c r="N248" s="21" t="str">
        <f>IF(SUMIFS('Input Sheet'!$F$3:$F$1001,'Input Sheet'!$B$3:$B$1001,$H248,'Input Sheet'!$E$3:$E$1001,N$4)=0,"",SUMIFS('Input Sheet'!$F$3:$F$1001,'Input Sheet'!$B$3:$B$1001,$H248,'Input Sheet'!$E$3:$E$1001,N$4))</f>
        <v/>
      </c>
      <c r="O248" s="21" t="str">
        <f>IF(SUMIFS('Input Sheet'!$F$3:$F$1001,'Input Sheet'!$B$3:$B$1001,$H248,'Input Sheet'!$E$3:$E$1001,O$4)=0,"",SUMIFS('Input Sheet'!$F$3:$F$1001,'Input Sheet'!$B$3:$B$1001,$H248,'Input Sheet'!$E$3:$E$1001,O$4))</f>
        <v/>
      </c>
      <c r="P248" s="21" t="str">
        <f>IF(SUMIFS('Input Sheet'!$F$3:$F$1001,'Input Sheet'!$B$3:$B$1001,$H248,'Input Sheet'!$E$3:$E$1001,P$4)=0,"",SUMIFS('Input Sheet'!$F$3:$F$1001,'Input Sheet'!$B$3:$B$1001,$H248,'Input Sheet'!$E$3:$E$1001,P$4))</f>
        <v/>
      </c>
      <c r="Q248" s="21" t="str">
        <f>IF(SUMIFS('Input Sheet'!$F$3:$F$1001,'Input Sheet'!$B$3:$B$1001,$H248,'Input Sheet'!$E$3:$E$1001,Q$4)=0,"",SUMIFS('Input Sheet'!$F$3:$F$1001,'Input Sheet'!$B$3:$B$1001,$H248,'Input Sheet'!$E$3:$E$1001,Q$4))</f>
        <v/>
      </c>
      <c r="R248" s="21" t="str">
        <f>IF(SUMIFS('Input Sheet'!$F$3:$F$1001,'Input Sheet'!$B$3:$B$1001,$H248,'Input Sheet'!$E$3:$E$1001,R$4)=0,"",SUMIFS('Input Sheet'!$F$3:$F$1001,'Input Sheet'!$B$3:$B$1001,$H248,'Input Sheet'!$E$3:$E$1001,R$4))</f>
        <v/>
      </c>
      <c r="S248" s="21" t="str">
        <f>IF(SUMIFS('Input Sheet'!$F$3:$F$1001,'Input Sheet'!$B$3:$B$1001,$H248,'Input Sheet'!$E$3:$E$1001,S$4)=0,"",SUMIFS('Input Sheet'!$F$3:$F$1001,'Input Sheet'!$B$3:$B$1001,$H248,'Input Sheet'!$E$3:$E$1001,S$4))</f>
        <v/>
      </c>
      <c r="T248" s="22">
        <v>243</v>
      </c>
    </row>
    <row r="249" spans="1:20" ht="14.25" customHeight="1" x14ac:dyDescent="0.3">
      <c r="A249" s="4" t="str">
        <f>IF('Input Sheet'!B246=0,"",'Input Sheet'!B246)</f>
        <v/>
      </c>
      <c r="B249" s="24" t="b">
        <f t="shared" si="2"/>
        <v>0</v>
      </c>
      <c r="C249" s="4">
        <f>SUMIF('Input Sheet'!B$3:B$1000,A249,'Input Sheet'!C$3:C$1000)</f>
        <v>0</v>
      </c>
      <c r="D249" s="4">
        <f>SUMIF('Input Sheet'!B$3:B$1000,A249,'Input Sheet'!D$3:D$1000)</f>
        <v>0</v>
      </c>
      <c r="E249" s="4" t="str">
        <f t="shared" ref="E249:F249" ca="1" si="252">IFERROR(RANK(K249,K$6:K$1004,1),"")</f>
        <v/>
      </c>
      <c r="F249" s="4" t="str">
        <f t="shared" ca="1" si="252"/>
        <v/>
      </c>
      <c r="G249" s="4" t="str">
        <f t="shared" ca="1" si="4"/>
        <v/>
      </c>
      <c r="H249" s="4" t="str">
        <f t="shared" si="5"/>
        <v/>
      </c>
      <c r="I249" s="4" t="str">
        <f t="shared" si="6"/>
        <v/>
      </c>
      <c r="J249" s="4" t="str">
        <f t="shared" si="7"/>
        <v/>
      </c>
      <c r="K249" s="25" t="str">
        <f t="shared" ca="1" si="8"/>
        <v/>
      </c>
      <c r="L249" s="21" t="str">
        <f t="shared" ca="1" si="9"/>
        <v/>
      </c>
      <c r="M249" s="21" t="str">
        <f>IF(SUMIFS('Input Sheet'!$F$3:$F$1001,'Input Sheet'!$B$3:$B$1001,$H249,'Input Sheet'!$E$3:$E$1001,M$4)=0,"",SUMIFS('Input Sheet'!$F$3:$F$1001,'Input Sheet'!$B$3:$B$1001,$H249,'Input Sheet'!$E$3:$E$1001,M$4))</f>
        <v/>
      </c>
      <c r="N249" s="21" t="str">
        <f>IF(SUMIFS('Input Sheet'!$F$3:$F$1001,'Input Sheet'!$B$3:$B$1001,$H249,'Input Sheet'!$E$3:$E$1001,N$4)=0,"",SUMIFS('Input Sheet'!$F$3:$F$1001,'Input Sheet'!$B$3:$B$1001,$H249,'Input Sheet'!$E$3:$E$1001,N$4))</f>
        <v/>
      </c>
      <c r="O249" s="21" t="str">
        <f>IF(SUMIFS('Input Sheet'!$F$3:$F$1001,'Input Sheet'!$B$3:$B$1001,$H249,'Input Sheet'!$E$3:$E$1001,O$4)=0,"",SUMIFS('Input Sheet'!$F$3:$F$1001,'Input Sheet'!$B$3:$B$1001,$H249,'Input Sheet'!$E$3:$E$1001,O$4))</f>
        <v/>
      </c>
      <c r="P249" s="21" t="str">
        <f>IF(SUMIFS('Input Sheet'!$F$3:$F$1001,'Input Sheet'!$B$3:$B$1001,$H249,'Input Sheet'!$E$3:$E$1001,P$4)=0,"",SUMIFS('Input Sheet'!$F$3:$F$1001,'Input Sheet'!$B$3:$B$1001,$H249,'Input Sheet'!$E$3:$E$1001,P$4))</f>
        <v/>
      </c>
      <c r="Q249" s="21" t="str">
        <f>IF(SUMIFS('Input Sheet'!$F$3:$F$1001,'Input Sheet'!$B$3:$B$1001,$H249,'Input Sheet'!$E$3:$E$1001,Q$4)=0,"",SUMIFS('Input Sheet'!$F$3:$F$1001,'Input Sheet'!$B$3:$B$1001,$H249,'Input Sheet'!$E$3:$E$1001,Q$4))</f>
        <v/>
      </c>
      <c r="R249" s="21" t="str">
        <f>IF(SUMIFS('Input Sheet'!$F$3:$F$1001,'Input Sheet'!$B$3:$B$1001,$H249,'Input Sheet'!$E$3:$E$1001,R$4)=0,"",SUMIFS('Input Sheet'!$F$3:$F$1001,'Input Sheet'!$B$3:$B$1001,$H249,'Input Sheet'!$E$3:$E$1001,R$4))</f>
        <v/>
      </c>
      <c r="S249" s="21" t="str">
        <f>IF(SUMIFS('Input Sheet'!$F$3:$F$1001,'Input Sheet'!$B$3:$B$1001,$H249,'Input Sheet'!$E$3:$E$1001,S$4)=0,"",SUMIFS('Input Sheet'!$F$3:$F$1001,'Input Sheet'!$B$3:$B$1001,$H249,'Input Sheet'!$E$3:$E$1001,S$4))</f>
        <v/>
      </c>
      <c r="T249" s="22">
        <v>244</v>
      </c>
    </row>
    <row r="250" spans="1:20" ht="14.25" customHeight="1" x14ac:dyDescent="0.3">
      <c r="A250" s="4" t="str">
        <f>IF('Input Sheet'!B247=0,"",'Input Sheet'!B247)</f>
        <v/>
      </c>
      <c r="B250" s="24" t="b">
        <f t="shared" si="2"/>
        <v>0</v>
      </c>
      <c r="C250" s="4">
        <f>SUMIF('Input Sheet'!B$3:B$1000,A250,'Input Sheet'!C$3:C$1000)</f>
        <v>0</v>
      </c>
      <c r="D250" s="4">
        <f>SUMIF('Input Sheet'!B$3:B$1000,A250,'Input Sheet'!D$3:D$1000)</f>
        <v>0</v>
      </c>
      <c r="E250" s="4" t="str">
        <f t="shared" ref="E250:F250" ca="1" si="253">IFERROR(RANK(K250,K$6:K$1004,1),"")</f>
        <v/>
      </c>
      <c r="F250" s="4" t="str">
        <f t="shared" ca="1" si="253"/>
        <v/>
      </c>
      <c r="G250" s="4" t="str">
        <f t="shared" ca="1" si="4"/>
        <v/>
      </c>
      <c r="H250" s="4" t="str">
        <f t="shared" si="5"/>
        <v/>
      </c>
      <c r="I250" s="4" t="str">
        <f t="shared" si="6"/>
        <v/>
      </c>
      <c r="J250" s="4" t="str">
        <f t="shared" si="7"/>
        <v/>
      </c>
      <c r="K250" s="25" t="str">
        <f t="shared" ca="1" si="8"/>
        <v/>
      </c>
      <c r="L250" s="21" t="str">
        <f t="shared" ca="1" si="9"/>
        <v/>
      </c>
      <c r="M250" s="21" t="str">
        <f>IF(SUMIFS('Input Sheet'!$F$3:$F$1001,'Input Sheet'!$B$3:$B$1001,$H250,'Input Sheet'!$E$3:$E$1001,M$4)=0,"",SUMIFS('Input Sheet'!$F$3:$F$1001,'Input Sheet'!$B$3:$B$1001,$H250,'Input Sheet'!$E$3:$E$1001,M$4))</f>
        <v/>
      </c>
      <c r="N250" s="21" t="str">
        <f>IF(SUMIFS('Input Sheet'!$F$3:$F$1001,'Input Sheet'!$B$3:$B$1001,$H250,'Input Sheet'!$E$3:$E$1001,N$4)=0,"",SUMIFS('Input Sheet'!$F$3:$F$1001,'Input Sheet'!$B$3:$B$1001,$H250,'Input Sheet'!$E$3:$E$1001,N$4))</f>
        <v/>
      </c>
      <c r="O250" s="21" t="str">
        <f>IF(SUMIFS('Input Sheet'!$F$3:$F$1001,'Input Sheet'!$B$3:$B$1001,$H250,'Input Sheet'!$E$3:$E$1001,O$4)=0,"",SUMIFS('Input Sheet'!$F$3:$F$1001,'Input Sheet'!$B$3:$B$1001,$H250,'Input Sheet'!$E$3:$E$1001,O$4))</f>
        <v/>
      </c>
      <c r="P250" s="21" t="str">
        <f>IF(SUMIFS('Input Sheet'!$F$3:$F$1001,'Input Sheet'!$B$3:$B$1001,$H250,'Input Sheet'!$E$3:$E$1001,P$4)=0,"",SUMIFS('Input Sheet'!$F$3:$F$1001,'Input Sheet'!$B$3:$B$1001,$H250,'Input Sheet'!$E$3:$E$1001,P$4))</f>
        <v/>
      </c>
      <c r="Q250" s="21" t="str">
        <f>IF(SUMIFS('Input Sheet'!$F$3:$F$1001,'Input Sheet'!$B$3:$B$1001,$H250,'Input Sheet'!$E$3:$E$1001,Q$4)=0,"",SUMIFS('Input Sheet'!$F$3:$F$1001,'Input Sheet'!$B$3:$B$1001,$H250,'Input Sheet'!$E$3:$E$1001,Q$4))</f>
        <v/>
      </c>
      <c r="R250" s="21" t="str">
        <f>IF(SUMIFS('Input Sheet'!$F$3:$F$1001,'Input Sheet'!$B$3:$B$1001,$H250,'Input Sheet'!$E$3:$E$1001,R$4)=0,"",SUMIFS('Input Sheet'!$F$3:$F$1001,'Input Sheet'!$B$3:$B$1001,$H250,'Input Sheet'!$E$3:$E$1001,R$4))</f>
        <v/>
      </c>
      <c r="S250" s="21" t="str">
        <f>IF(SUMIFS('Input Sheet'!$F$3:$F$1001,'Input Sheet'!$B$3:$B$1001,$H250,'Input Sheet'!$E$3:$E$1001,S$4)=0,"",SUMIFS('Input Sheet'!$F$3:$F$1001,'Input Sheet'!$B$3:$B$1001,$H250,'Input Sheet'!$E$3:$E$1001,S$4))</f>
        <v/>
      </c>
      <c r="T250" s="22">
        <v>245</v>
      </c>
    </row>
    <row r="251" spans="1:20" ht="14.25" customHeight="1" x14ac:dyDescent="0.3">
      <c r="A251" s="4" t="str">
        <f>IF('Input Sheet'!B248=0,"",'Input Sheet'!B248)</f>
        <v/>
      </c>
      <c r="B251" s="24" t="b">
        <f t="shared" si="2"/>
        <v>0</v>
      </c>
      <c r="C251" s="4">
        <f>SUMIF('Input Sheet'!B$3:B$1000,A251,'Input Sheet'!C$3:C$1000)</f>
        <v>0</v>
      </c>
      <c r="D251" s="4">
        <f>SUMIF('Input Sheet'!B$3:B$1000,A251,'Input Sheet'!D$3:D$1000)</f>
        <v>0</v>
      </c>
      <c r="E251" s="4" t="str">
        <f t="shared" ref="E251:F251" ca="1" si="254">IFERROR(RANK(K251,K$6:K$1004,1),"")</f>
        <v/>
      </c>
      <c r="F251" s="4" t="str">
        <f t="shared" ca="1" si="254"/>
        <v/>
      </c>
      <c r="G251" s="4" t="str">
        <f t="shared" ca="1" si="4"/>
        <v/>
      </c>
      <c r="H251" s="4" t="str">
        <f t="shared" si="5"/>
        <v/>
      </c>
      <c r="I251" s="4" t="str">
        <f t="shared" si="6"/>
        <v/>
      </c>
      <c r="J251" s="4" t="str">
        <f t="shared" si="7"/>
        <v/>
      </c>
      <c r="K251" s="25" t="str">
        <f t="shared" ca="1" si="8"/>
        <v/>
      </c>
      <c r="L251" s="21" t="str">
        <f t="shared" ca="1" si="9"/>
        <v/>
      </c>
      <c r="M251" s="21" t="str">
        <f>IF(SUMIFS('Input Sheet'!$F$3:$F$1001,'Input Sheet'!$B$3:$B$1001,$H251,'Input Sheet'!$E$3:$E$1001,M$4)=0,"",SUMIFS('Input Sheet'!$F$3:$F$1001,'Input Sheet'!$B$3:$B$1001,$H251,'Input Sheet'!$E$3:$E$1001,M$4))</f>
        <v/>
      </c>
      <c r="N251" s="21" t="str">
        <f>IF(SUMIFS('Input Sheet'!$F$3:$F$1001,'Input Sheet'!$B$3:$B$1001,$H251,'Input Sheet'!$E$3:$E$1001,N$4)=0,"",SUMIFS('Input Sheet'!$F$3:$F$1001,'Input Sheet'!$B$3:$B$1001,$H251,'Input Sheet'!$E$3:$E$1001,N$4))</f>
        <v/>
      </c>
      <c r="O251" s="21" t="str">
        <f>IF(SUMIFS('Input Sheet'!$F$3:$F$1001,'Input Sheet'!$B$3:$B$1001,$H251,'Input Sheet'!$E$3:$E$1001,O$4)=0,"",SUMIFS('Input Sheet'!$F$3:$F$1001,'Input Sheet'!$B$3:$B$1001,$H251,'Input Sheet'!$E$3:$E$1001,O$4))</f>
        <v/>
      </c>
      <c r="P251" s="21" t="str">
        <f>IF(SUMIFS('Input Sheet'!$F$3:$F$1001,'Input Sheet'!$B$3:$B$1001,$H251,'Input Sheet'!$E$3:$E$1001,P$4)=0,"",SUMIFS('Input Sheet'!$F$3:$F$1001,'Input Sheet'!$B$3:$B$1001,$H251,'Input Sheet'!$E$3:$E$1001,P$4))</f>
        <v/>
      </c>
      <c r="Q251" s="21" t="str">
        <f>IF(SUMIFS('Input Sheet'!$F$3:$F$1001,'Input Sheet'!$B$3:$B$1001,$H251,'Input Sheet'!$E$3:$E$1001,Q$4)=0,"",SUMIFS('Input Sheet'!$F$3:$F$1001,'Input Sheet'!$B$3:$B$1001,$H251,'Input Sheet'!$E$3:$E$1001,Q$4))</f>
        <v/>
      </c>
      <c r="R251" s="21" t="str">
        <f>IF(SUMIFS('Input Sheet'!$F$3:$F$1001,'Input Sheet'!$B$3:$B$1001,$H251,'Input Sheet'!$E$3:$E$1001,R$4)=0,"",SUMIFS('Input Sheet'!$F$3:$F$1001,'Input Sheet'!$B$3:$B$1001,$H251,'Input Sheet'!$E$3:$E$1001,R$4))</f>
        <v/>
      </c>
      <c r="S251" s="21" t="str">
        <f>IF(SUMIFS('Input Sheet'!$F$3:$F$1001,'Input Sheet'!$B$3:$B$1001,$H251,'Input Sheet'!$E$3:$E$1001,S$4)=0,"",SUMIFS('Input Sheet'!$F$3:$F$1001,'Input Sheet'!$B$3:$B$1001,$H251,'Input Sheet'!$E$3:$E$1001,S$4))</f>
        <v/>
      </c>
      <c r="T251" s="22">
        <v>246</v>
      </c>
    </row>
    <row r="252" spans="1:20" ht="14.25" customHeight="1" x14ac:dyDescent="0.3">
      <c r="A252" s="4" t="str">
        <f>IF('Input Sheet'!B249=0,"",'Input Sheet'!B249)</f>
        <v/>
      </c>
      <c r="B252" s="24" t="b">
        <f t="shared" si="2"/>
        <v>0</v>
      </c>
      <c r="C252" s="4">
        <f>SUMIF('Input Sheet'!B$3:B$1000,A252,'Input Sheet'!C$3:C$1000)</f>
        <v>0</v>
      </c>
      <c r="D252" s="4">
        <f>SUMIF('Input Sheet'!B$3:B$1000,A252,'Input Sheet'!D$3:D$1000)</f>
        <v>0</v>
      </c>
      <c r="E252" s="4" t="str">
        <f t="shared" ref="E252:F252" ca="1" si="255">IFERROR(RANK(K252,K$6:K$1004,1),"")</f>
        <v/>
      </c>
      <c r="F252" s="4" t="str">
        <f t="shared" ca="1" si="255"/>
        <v/>
      </c>
      <c r="G252" s="4" t="str">
        <f t="shared" ca="1" si="4"/>
        <v/>
      </c>
      <c r="H252" s="4" t="str">
        <f t="shared" si="5"/>
        <v/>
      </c>
      <c r="I252" s="4" t="str">
        <f t="shared" si="6"/>
        <v/>
      </c>
      <c r="J252" s="4" t="str">
        <f t="shared" si="7"/>
        <v/>
      </c>
      <c r="K252" s="25" t="str">
        <f t="shared" ca="1" si="8"/>
        <v/>
      </c>
      <c r="L252" s="21" t="str">
        <f t="shared" ca="1" si="9"/>
        <v/>
      </c>
      <c r="M252" s="21" t="str">
        <f>IF(SUMIFS('Input Sheet'!$F$3:$F$1001,'Input Sheet'!$B$3:$B$1001,$H252,'Input Sheet'!$E$3:$E$1001,M$4)=0,"",SUMIFS('Input Sheet'!$F$3:$F$1001,'Input Sheet'!$B$3:$B$1001,$H252,'Input Sheet'!$E$3:$E$1001,M$4))</f>
        <v/>
      </c>
      <c r="N252" s="21" t="str">
        <f>IF(SUMIFS('Input Sheet'!$F$3:$F$1001,'Input Sheet'!$B$3:$B$1001,$H252,'Input Sheet'!$E$3:$E$1001,N$4)=0,"",SUMIFS('Input Sheet'!$F$3:$F$1001,'Input Sheet'!$B$3:$B$1001,$H252,'Input Sheet'!$E$3:$E$1001,N$4))</f>
        <v/>
      </c>
      <c r="O252" s="21" t="str">
        <f>IF(SUMIFS('Input Sheet'!$F$3:$F$1001,'Input Sheet'!$B$3:$B$1001,$H252,'Input Sheet'!$E$3:$E$1001,O$4)=0,"",SUMIFS('Input Sheet'!$F$3:$F$1001,'Input Sheet'!$B$3:$B$1001,$H252,'Input Sheet'!$E$3:$E$1001,O$4))</f>
        <v/>
      </c>
      <c r="P252" s="21" t="str">
        <f>IF(SUMIFS('Input Sheet'!$F$3:$F$1001,'Input Sheet'!$B$3:$B$1001,$H252,'Input Sheet'!$E$3:$E$1001,P$4)=0,"",SUMIFS('Input Sheet'!$F$3:$F$1001,'Input Sheet'!$B$3:$B$1001,$H252,'Input Sheet'!$E$3:$E$1001,P$4))</f>
        <v/>
      </c>
      <c r="Q252" s="21" t="str">
        <f>IF(SUMIFS('Input Sheet'!$F$3:$F$1001,'Input Sheet'!$B$3:$B$1001,$H252,'Input Sheet'!$E$3:$E$1001,Q$4)=0,"",SUMIFS('Input Sheet'!$F$3:$F$1001,'Input Sheet'!$B$3:$B$1001,$H252,'Input Sheet'!$E$3:$E$1001,Q$4))</f>
        <v/>
      </c>
      <c r="R252" s="21" t="str">
        <f>IF(SUMIFS('Input Sheet'!$F$3:$F$1001,'Input Sheet'!$B$3:$B$1001,$H252,'Input Sheet'!$E$3:$E$1001,R$4)=0,"",SUMIFS('Input Sheet'!$F$3:$F$1001,'Input Sheet'!$B$3:$B$1001,$H252,'Input Sheet'!$E$3:$E$1001,R$4))</f>
        <v/>
      </c>
      <c r="S252" s="21" t="str">
        <f>IF(SUMIFS('Input Sheet'!$F$3:$F$1001,'Input Sheet'!$B$3:$B$1001,$H252,'Input Sheet'!$E$3:$E$1001,S$4)=0,"",SUMIFS('Input Sheet'!$F$3:$F$1001,'Input Sheet'!$B$3:$B$1001,$H252,'Input Sheet'!$E$3:$E$1001,S$4))</f>
        <v/>
      </c>
      <c r="T252" s="22">
        <v>247</v>
      </c>
    </row>
    <row r="253" spans="1:20" ht="14.25" customHeight="1" x14ac:dyDescent="0.3">
      <c r="A253" s="4" t="str">
        <f>IF('Input Sheet'!B250=0,"",'Input Sheet'!B250)</f>
        <v/>
      </c>
      <c r="B253" s="24" t="b">
        <f t="shared" si="2"/>
        <v>0</v>
      </c>
      <c r="C253" s="4">
        <f>SUMIF('Input Sheet'!B$3:B$1000,A253,'Input Sheet'!C$3:C$1000)</f>
        <v>0</v>
      </c>
      <c r="D253" s="4">
        <f>SUMIF('Input Sheet'!B$3:B$1000,A253,'Input Sheet'!D$3:D$1000)</f>
        <v>0</v>
      </c>
      <c r="E253" s="4" t="str">
        <f t="shared" ref="E253:F253" ca="1" si="256">IFERROR(RANK(K253,K$6:K$1004,1),"")</f>
        <v/>
      </c>
      <c r="F253" s="4" t="str">
        <f t="shared" ca="1" si="256"/>
        <v/>
      </c>
      <c r="G253" s="4" t="str">
        <f t="shared" ca="1" si="4"/>
        <v/>
      </c>
      <c r="H253" s="4" t="str">
        <f t="shared" si="5"/>
        <v/>
      </c>
      <c r="I253" s="4" t="str">
        <f t="shared" si="6"/>
        <v/>
      </c>
      <c r="J253" s="4" t="str">
        <f t="shared" si="7"/>
        <v/>
      </c>
      <c r="K253" s="25" t="str">
        <f t="shared" ca="1" si="8"/>
        <v/>
      </c>
      <c r="L253" s="21" t="str">
        <f t="shared" ca="1" si="9"/>
        <v/>
      </c>
      <c r="M253" s="21" t="str">
        <f>IF(SUMIFS('Input Sheet'!$F$3:$F$1001,'Input Sheet'!$B$3:$B$1001,$H253,'Input Sheet'!$E$3:$E$1001,M$4)=0,"",SUMIFS('Input Sheet'!$F$3:$F$1001,'Input Sheet'!$B$3:$B$1001,$H253,'Input Sheet'!$E$3:$E$1001,M$4))</f>
        <v/>
      </c>
      <c r="N253" s="21" t="str">
        <f>IF(SUMIFS('Input Sheet'!$F$3:$F$1001,'Input Sheet'!$B$3:$B$1001,$H253,'Input Sheet'!$E$3:$E$1001,N$4)=0,"",SUMIFS('Input Sheet'!$F$3:$F$1001,'Input Sheet'!$B$3:$B$1001,$H253,'Input Sheet'!$E$3:$E$1001,N$4))</f>
        <v/>
      </c>
      <c r="O253" s="21" t="str">
        <f>IF(SUMIFS('Input Sheet'!$F$3:$F$1001,'Input Sheet'!$B$3:$B$1001,$H253,'Input Sheet'!$E$3:$E$1001,O$4)=0,"",SUMIFS('Input Sheet'!$F$3:$F$1001,'Input Sheet'!$B$3:$B$1001,$H253,'Input Sheet'!$E$3:$E$1001,O$4))</f>
        <v/>
      </c>
      <c r="P253" s="21" t="str">
        <f>IF(SUMIFS('Input Sheet'!$F$3:$F$1001,'Input Sheet'!$B$3:$B$1001,$H253,'Input Sheet'!$E$3:$E$1001,P$4)=0,"",SUMIFS('Input Sheet'!$F$3:$F$1001,'Input Sheet'!$B$3:$B$1001,$H253,'Input Sheet'!$E$3:$E$1001,P$4))</f>
        <v/>
      </c>
      <c r="Q253" s="21" t="str">
        <f>IF(SUMIFS('Input Sheet'!$F$3:$F$1001,'Input Sheet'!$B$3:$B$1001,$H253,'Input Sheet'!$E$3:$E$1001,Q$4)=0,"",SUMIFS('Input Sheet'!$F$3:$F$1001,'Input Sheet'!$B$3:$B$1001,$H253,'Input Sheet'!$E$3:$E$1001,Q$4))</f>
        <v/>
      </c>
      <c r="R253" s="21" t="str">
        <f>IF(SUMIFS('Input Sheet'!$F$3:$F$1001,'Input Sheet'!$B$3:$B$1001,$H253,'Input Sheet'!$E$3:$E$1001,R$4)=0,"",SUMIFS('Input Sheet'!$F$3:$F$1001,'Input Sheet'!$B$3:$B$1001,$H253,'Input Sheet'!$E$3:$E$1001,R$4))</f>
        <v/>
      </c>
      <c r="S253" s="21" t="str">
        <f>IF(SUMIFS('Input Sheet'!$F$3:$F$1001,'Input Sheet'!$B$3:$B$1001,$H253,'Input Sheet'!$E$3:$E$1001,S$4)=0,"",SUMIFS('Input Sheet'!$F$3:$F$1001,'Input Sheet'!$B$3:$B$1001,$H253,'Input Sheet'!$E$3:$E$1001,S$4))</f>
        <v/>
      </c>
      <c r="T253" s="22">
        <v>248</v>
      </c>
    </row>
    <row r="254" spans="1:20" ht="14.25" customHeight="1" x14ac:dyDescent="0.3">
      <c r="A254" s="4" t="str">
        <f>IF('Input Sheet'!B251=0,"",'Input Sheet'!B251)</f>
        <v/>
      </c>
      <c r="B254" s="24" t="b">
        <f t="shared" si="2"/>
        <v>0</v>
      </c>
      <c r="C254" s="4">
        <f>SUMIF('Input Sheet'!B$3:B$1000,A254,'Input Sheet'!C$3:C$1000)</f>
        <v>0</v>
      </c>
      <c r="D254" s="4">
        <f>SUMIF('Input Sheet'!B$3:B$1000,A254,'Input Sheet'!D$3:D$1000)</f>
        <v>0</v>
      </c>
      <c r="E254" s="4" t="str">
        <f t="shared" ref="E254:F254" ca="1" si="257">IFERROR(RANK(K254,K$6:K$1004,1),"")</f>
        <v/>
      </c>
      <c r="F254" s="4" t="str">
        <f t="shared" ca="1" si="257"/>
        <v/>
      </c>
      <c r="G254" s="4" t="str">
        <f t="shared" ca="1" si="4"/>
        <v/>
      </c>
      <c r="H254" s="4" t="str">
        <f t="shared" si="5"/>
        <v/>
      </c>
      <c r="I254" s="4" t="str">
        <f t="shared" si="6"/>
        <v/>
      </c>
      <c r="J254" s="4" t="str">
        <f t="shared" si="7"/>
        <v/>
      </c>
      <c r="K254" s="25" t="str">
        <f t="shared" ca="1" si="8"/>
        <v/>
      </c>
      <c r="L254" s="21" t="str">
        <f t="shared" ca="1" si="9"/>
        <v/>
      </c>
      <c r="M254" s="21" t="str">
        <f>IF(SUMIFS('Input Sheet'!$F$3:$F$1001,'Input Sheet'!$B$3:$B$1001,$H254,'Input Sheet'!$E$3:$E$1001,M$4)=0,"",SUMIFS('Input Sheet'!$F$3:$F$1001,'Input Sheet'!$B$3:$B$1001,$H254,'Input Sheet'!$E$3:$E$1001,M$4))</f>
        <v/>
      </c>
      <c r="N254" s="21" t="str">
        <f>IF(SUMIFS('Input Sheet'!$F$3:$F$1001,'Input Sheet'!$B$3:$B$1001,$H254,'Input Sheet'!$E$3:$E$1001,N$4)=0,"",SUMIFS('Input Sheet'!$F$3:$F$1001,'Input Sheet'!$B$3:$B$1001,$H254,'Input Sheet'!$E$3:$E$1001,N$4))</f>
        <v/>
      </c>
      <c r="O254" s="21" t="str">
        <f>IF(SUMIFS('Input Sheet'!$F$3:$F$1001,'Input Sheet'!$B$3:$B$1001,$H254,'Input Sheet'!$E$3:$E$1001,O$4)=0,"",SUMIFS('Input Sheet'!$F$3:$F$1001,'Input Sheet'!$B$3:$B$1001,$H254,'Input Sheet'!$E$3:$E$1001,O$4))</f>
        <v/>
      </c>
      <c r="P254" s="21" t="str">
        <f>IF(SUMIFS('Input Sheet'!$F$3:$F$1001,'Input Sheet'!$B$3:$B$1001,$H254,'Input Sheet'!$E$3:$E$1001,P$4)=0,"",SUMIFS('Input Sheet'!$F$3:$F$1001,'Input Sheet'!$B$3:$B$1001,$H254,'Input Sheet'!$E$3:$E$1001,P$4))</f>
        <v/>
      </c>
      <c r="Q254" s="21" t="str">
        <f>IF(SUMIFS('Input Sheet'!$F$3:$F$1001,'Input Sheet'!$B$3:$B$1001,$H254,'Input Sheet'!$E$3:$E$1001,Q$4)=0,"",SUMIFS('Input Sheet'!$F$3:$F$1001,'Input Sheet'!$B$3:$B$1001,$H254,'Input Sheet'!$E$3:$E$1001,Q$4))</f>
        <v/>
      </c>
      <c r="R254" s="21" t="str">
        <f>IF(SUMIFS('Input Sheet'!$F$3:$F$1001,'Input Sheet'!$B$3:$B$1001,$H254,'Input Sheet'!$E$3:$E$1001,R$4)=0,"",SUMIFS('Input Sheet'!$F$3:$F$1001,'Input Sheet'!$B$3:$B$1001,$H254,'Input Sheet'!$E$3:$E$1001,R$4))</f>
        <v/>
      </c>
      <c r="S254" s="21" t="str">
        <f>IF(SUMIFS('Input Sheet'!$F$3:$F$1001,'Input Sheet'!$B$3:$B$1001,$H254,'Input Sheet'!$E$3:$E$1001,S$4)=0,"",SUMIFS('Input Sheet'!$F$3:$F$1001,'Input Sheet'!$B$3:$B$1001,$H254,'Input Sheet'!$E$3:$E$1001,S$4))</f>
        <v/>
      </c>
      <c r="T254" s="22">
        <v>249</v>
      </c>
    </row>
    <row r="255" spans="1:20" ht="14.25" customHeight="1" x14ac:dyDescent="0.3">
      <c r="A255" s="4" t="str">
        <f>IF('Input Sheet'!B252=0,"",'Input Sheet'!B252)</f>
        <v/>
      </c>
      <c r="B255" s="24" t="b">
        <f t="shared" si="2"/>
        <v>0</v>
      </c>
      <c r="C255" s="4">
        <f>SUMIF('Input Sheet'!B$3:B$1000,A255,'Input Sheet'!C$3:C$1000)</f>
        <v>0</v>
      </c>
      <c r="D255" s="4">
        <f>SUMIF('Input Sheet'!B$3:B$1000,A255,'Input Sheet'!D$3:D$1000)</f>
        <v>0</v>
      </c>
      <c r="E255" s="4" t="str">
        <f t="shared" ref="E255:F255" ca="1" si="258">IFERROR(RANK(K255,K$6:K$1004,1),"")</f>
        <v/>
      </c>
      <c r="F255" s="4" t="str">
        <f t="shared" ca="1" si="258"/>
        <v/>
      </c>
      <c r="G255" s="4" t="str">
        <f t="shared" ca="1" si="4"/>
        <v/>
      </c>
      <c r="H255" s="4" t="str">
        <f t="shared" si="5"/>
        <v/>
      </c>
      <c r="I255" s="4" t="str">
        <f t="shared" si="6"/>
        <v/>
      </c>
      <c r="J255" s="4" t="str">
        <f t="shared" si="7"/>
        <v/>
      </c>
      <c r="K255" s="25" t="str">
        <f t="shared" ca="1" si="8"/>
        <v/>
      </c>
      <c r="L255" s="21" t="str">
        <f t="shared" ca="1" si="9"/>
        <v/>
      </c>
      <c r="M255" s="21" t="str">
        <f>IF(SUMIFS('Input Sheet'!$F$3:$F$1001,'Input Sheet'!$B$3:$B$1001,$H255,'Input Sheet'!$E$3:$E$1001,M$4)=0,"",SUMIFS('Input Sheet'!$F$3:$F$1001,'Input Sheet'!$B$3:$B$1001,$H255,'Input Sheet'!$E$3:$E$1001,M$4))</f>
        <v/>
      </c>
      <c r="N255" s="21" t="str">
        <f>IF(SUMIFS('Input Sheet'!$F$3:$F$1001,'Input Sheet'!$B$3:$B$1001,$H255,'Input Sheet'!$E$3:$E$1001,N$4)=0,"",SUMIFS('Input Sheet'!$F$3:$F$1001,'Input Sheet'!$B$3:$B$1001,$H255,'Input Sheet'!$E$3:$E$1001,N$4))</f>
        <v/>
      </c>
      <c r="O255" s="21" t="str">
        <f>IF(SUMIFS('Input Sheet'!$F$3:$F$1001,'Input Sheet'!$B$3:$B$1001,$H255,'Input Sheet'!$E$3:$E$1001,O$4)=0,"",SUMIFS('Input Sheet'!$F$3:$F$1001,'Input Sheet'!$B$3:$B$1001,$H255,'Input Sheet'!$E$3:$E$1001,O$4))</f>
        <v/>
      </c>
      <c r="P255" s="21" t="str">
        <f>IF(SUMIFS('Input Sheet'!$F$3:$F$1001,'Input Sheet'!$B$3:$B$1001,$H255,'Input Sheet'!$E$3:$E$1001,P$4)=0,"",SUMIFS('Input Sheet'!$F$3:$F$1001,'Input Sheet'!$B$3:$B$1001,$H255,'Input Sheet'!$E$3:$E$1001,P$4))</f>
        <v/>
      </c>
      <c r="Q255" s="21" t="str">
        <f>IF(SUMIFS('Input Sheet'!$F$3:$F$1001,'Input Sheet'!$B$3:$B$1001,$H255,'Input Sheet'!$E$3:$E$1001,Q$4)=0,"",SUMIFS('Input Sheet'!$F$3:$F$1001,'Input Sheet'!$B$3:$B$1001,$H255,'Input Sheet'!$E$3:$E$1001,Q$4))</f>
        <v/>
      </c>
      <c r="R255" s="21" t="str">
        <f>IF(SUMIFS('Input Sheet'!$F$3:$F$1001,'Input Sheet'!$B$3:$B$1001,$H255,'Input Sheet'!$E$3:$E$1001,R$4)=0,"",SUMIFS('Input Sheet'!$F$3:$F$1001,'Input Sheet'!$B$3:$B$1001,$H255,'Input Sheet'!$E$3:$E$1001,R$4))</f>
        <v/>
      </c>
      <c r="S255" s="21" t="str">
        <f>IF(SUMIFS('Input Sheet'!$F$3:$F$1001,'Input Sheet'!$B$3:$B$1001,$H255,'Input Sheet'!$E$3:$E$1001,S$4)=0,"",SUMIFS('Input Sheet'!$F$3:$F$1001,'Input Sheet'!$B$3:$B$1001,$H255,'Input Sheet'!$E$3:$E$1001,S$4))</f>
        <v/>
      </c>
      <c r="T255" s="22">
        <v>250</v>
      </c>
    </row>
    <row r="256" spans="1:20" ht="14.25" customHeight="1" x14ac:dyDescent="0.3">
      <c r="A256" s="4" t="str">
        <f>IF('Input Sheet'!B253=0,"",'Input Sheet'!B253)</f>
        <v/>
      </c>
      <c r="B256" s="24" t="b">
        <f t="shared" si="2"/>
        <v>0</v>
      </c>
      <c r="C256" s="4">
        <f>SUMIF('Input Sheet'!B$3:B$1000,A256,'Input Sheet'!C$3:C$1000)</f>
        <v>0</v>
      </c>
      <c r="D256" s="4">
        <f>SUMIF('Input Sheet'!B$3:B$1000,A256,'Input Sheet'!D$3:D$1000)</f>
        <v>0</v>
      </c>
      <c r="E256" s="4" t="str">
        <f t="shared" ref="E256:F256" ca="1" si="259">IFERROR(RANK(K256,K$6:K$1004,1),"")</f>
        <v/>
      </c>
      <c r="F256" s="4" t="str">
        <f t="shared" ca="1" si="259"/>
        <v/>
      </c>
      <c r="G256" s="4" t="str">
        <f t="shared" ca="1" si="4"/>
        <v/>
      </c>
      <c r="H256" s="4" t="str">
        <f t="shared" si="5"/>
        <v/>
      </c>
      <c r="I256" s="4" t="str">
        <f t="shared" si="6"/>
        <v/>
      </c>
      <c r="J256" s="4" t="str">
        <f t="shared" si="7"/>
        <v/>
      </c>
      <c r="K256" s="25" t="str">
        <f t="shared" ca="1" si="8"/>
        <v/>
      </c>
      <c r="L256" s="21" t="str">
        <f t="shared" ca="1" si="9"/>
        <v/>
      </c>
      <c r="M256" s="21" t="str">
        <f>IF(SUMIFS('Input Sheet'!$F$3:$F$1001,'Input Sheet'!$B$3:$B$1001,$H256,'Input Sheet'!$E$3:$E$1001,M$4)=0,"",SUMIFS('Input Sheet'!$F$3:$F$1001,'Input Sheet'!$B$3:$B$1001,$H256,'Input Sheet'!$E$3:$E$1001,M$4))</f>
        <v/>
      </c>
      <c r="N256" s="21" t="str">
        <f>IF(SUMIFS('Input Sheet'!$F$3:$F$1001,'Input Sheet'!$B$3:$B$1001,$H256,'Input Sheet'!$E$3:$E$1001,N$4)=0,"",SUMIFS('Input Sheet'!$F$3:$F$1001,'Input Sheet'!$B$3:$B$1001,$H256,'Input Sheet'!$E$3:$E$1001,N$4))</f>
        <v/>
      </c>
      <c r="O256" s="21" t="str">
        <f>IF(SUMIFS('Input Sheet'!$F$3:$F$1001,'Input Sheet'!$B$3:$B$1001,$H256,'Input Sheet'!$E$3:$E$1001,O$4)=0,"",SUMIFS('Input Sheet'!$F$3:$F$1001,'Input Sheet'!$B$3:$B$1001,$H256,'Input Sheet'!$E$3:$E$1001,O$4))</f>
        <v/>
      </c>
      <c r="P256" s="21" t="str">
        <f>IF(SUMIFS('Input Sheet'!$F$3:$F$1001,'Input Sheet'!$B$3:$B$1001,$H256,'Input Sheet'!$E$3:$E$1001,P$4)=0,"",SUMIFS('Input Sheet'!$F$3:$F$1001,'Input Sheet'!$B$3:$B$1001,$H256,'Input Sheet'!$E$3:$E$1001,P$4))</f>
        <v/>
      </c>
      <c r="Q256" s="21" t="str">
        <f>IF(SUMIFS('Input Sheet'!$F$3:$F$1001,'Input Sheet'!$B$3:$B$1001,$H256,'Input Sheet'!$E$3:$E$1001,Q$4)=0,"",SUMIFS('Input Sheet'!$F$3:$F$1001,'Input Sheet'!$B$3:$B$1001,$H256,'Input Sheet'!$E$3:$E$1001,Q$4))</f>
        <v/>
      </c>
      <c r="R256" s="21" t="str">
        <f>IF(SUMIFS('Input Sheet'!$F$3:$F$1001,'Input Sheet'!$B$3:$B$1001,$H256,'Input Sheet'!$E$3:$E$1001,R$4)=0,"",SUMIFS('Input Sheet'!$F$3:$F$1001,'Input Sheet'!$B$3:$B$1001,$H256,'Input Sheet'!$E$3:$E$1001,R$4))</f>
        <v/>
      </c>
      <c r="S256" s="21" t="str">
        <f>IF(SUMIFS('Input Sheet'!$F$3:$F$1001,'Input Sheet'!$B$3:$B$1001,$H256,'Input Sheet'!$E$3:$E$1001,S$4)=0,"",SUMIFS('Input Sheet'!$F$3:$F$1001,'Input Sheet'!$B$3:$B$1001,$H256,'Input Sheet'!$E$3:$E$1001,S$4))</f>
        <v/>
      </c>
      <c r="T256" s="22">
        <v>251</v>
      </c>
    </row>
    <row r="257" spans="1:20" ht="14.25" customHeight="1" x14ac:dyDescent="0.3">
      <c r="A257" s="4" t="str">
        <f>IF('Input Sheet'!B254=0,"",'Input Sheet'!B254)</f>
        <v/>
      </c>
      <c r="B257" s="24" t="b">
        <f t="shared" si="2"/>
        <v>0</v>
      </c>
      <c r="C257" s="4">
        <f>SUMIF('Input Sheet'!B$3:B$1000,A257,'Input Sheet'!C$3:C$1000)</f>
        <v>0</v>
      </c>
      <c r="D257" s="4">
        <f>SUMIF('Input Sheet'!B$3:B$1000,A257,'Input Sheet'!D$3:D$1000)</f>
        <v>0</v>
      </c>
      <c r="E257" s="4" t="str">
        <f t="shared" ref="E257:F257" ca="1" si="260">IFERROR(RANK(K257,K$6:K$1004,1),"")</f>
        <v/>
      </c>
      <c r="F257" s="4" t="str">
        <f t="shared" ca="1" si="260"/>
        <v/>
      </c>
      <c r="G257" s="4" t="str">
        <f t="shared" ca="1" si="4"/>
        <v/>
      </c>
      <c r="H257" s="4" t="str">
        <f t="shared" si="5"/>
        <v/>
      </c>
      <c r="I257" s="4" t="str">
        <f t="shared" si="6"/>
        <v/>
      </c>
      <c r="J257" s="4" t="str">
        <f t="shared" si="7"/>
        <v/>
      </c>
      <c r="K257" s="25" t="str">
        <f t="shared" ca="1" si="8"/>
        <v/>
      </c>
      <c r="L257" s="21" t="str">
        <f t="shared" ca="1" si="9"/>
        <v/>
      </c>
      <c r="M257" s="21" t="str">
        <f>IF(SUMIFS('Input Sheet'!$F$3:$F$1001,'Input Sheet'!$B$3:$B$1001,$H257,'Input Sheet'!$E$3:$E$1001,M$4)=0,"",SUMIFS('Input Sheet'!$F$3:$F$1001,'Input Sheet'!$B$3:$B$1001,$H257,'Input Sheet'!$E$3:$E$1001,M$4))</f>
        <v/>
      </c>
      <c r="N257" s="21" t="str">
        <f>IF(SUMIFS('Input Sheet'!$F$3:$F$1001,'Input Sheet'!$B$3:$B$1001,$H257,'Input Sheet'!$E$3:$E$1001,N$4)=0,"",SUMIFS('Input Sheet'!$F$3:$F$1001,'Input Sheet'!$B$3:$B$1001,$H257,'Input Sheet'!$E$3:$E$1001,N$4))</f>
        <v/>
      </c>
      <c r="O257" s="21" t="str">
        <f>IF(SUMIFS('Input Sheet'!$F$3:$F$1001,'Input Sheet'!$B$3:$B$1001,$H257,'Input Sheet'!$E$3:$E$1001,O$4)=0,"",SUMIFS('Input Sheet'!$F$3:$F$1001,'Input Sheet'!$B$3:$B$1001,$H257,'Input Sheet'!$E$3:$E$1001,O$4))</f>
        <v/>
      </c>
      <c r="P257" s="21" t="str">
        <f>IF(SUMIFS('Input Sheet'!$F$3:$F$1001,'Input Sheet'!$B$3:$B$1001,$H257,'Input Sheet'!$E$3:$E$1001,P$4)=0,"",SUMIFS('Input Sheet'!$F$3:$F$1001,'Input Sheet'!$B$3:$B$1001,$H257,'Input Sheet'!$E$3:$E$1001,P$4))</f>
        <v/>
      </c>
      <c r="Q257" s="21" t="str">
        <f>IF(SUMIFS('Input Sheet'!$F$3:$F$1001,'Input Sheet'!$B$3:$B$1001,$H257,'Input Sheet'!$E$3:$E$1001,Q$4)=0,"",SUMIFS('Input Sheet'!$F$3:$F$1001,'Input Sheet'!$B$3:$B$1001,$H257,'Input Sheet'!$E$3:$E$1001,Q$4))</f>
        <v/>
      </c>
      <c r="R257" s="21" t="str">
        <f>IF(SUMIFS('Input Sheet'!$F$3:$F$1001,'Input Sheet'!$B$3:$B$1001,$H257,'Input Sheet'!$E$3:$E$1001,R$4)=0,"",SUMIFS('Input Sheet'!$F$3:$F$1001,'Input Sheet'!$B$3:$B$1001,$H257,'Input Sheet'!$E$3:$E$1001,R$4))</f>
        <v/>
      </c>
      <c r="S257" s="21" t="str">
        <f>IF(SUMIFS('Input Sheet'!$F$3:$F$1001,'Input Sheet'!$B$3:$B$1001,$H257,'Input Sheet'!$E$3:$E$1001,S$4)=0,"",SUMIFS('Input Sheet'!$F$3:$F$1001,'Input Sheet'!$B$3:$B$1001,$H257,'Input Sheet'!$E$3:$E$1001,S$4))</f>
        <v/>
      </c>
      <c r="T257" s="22">
        <v>252</v>
      </c>
    </row>
    <row r="258" spans="1:20" ht="14.25" customHeight="1" x14ac:dyDescent="0.3">
      <c r="A258" s="4" t="str">
        <f>IF('Input Sheet'!B255=0,"",'Input Sheet'!B255)</f>
        <v/>
      </c>
      <c r="B258" s="24" t="b">
        <f t="shared" si="2"/>
        <v>0</v>
      </c>
      <c r="C258" s="4">
        <f>SUMIF('Input Sheet'!B$3:B$1000,A258,'Input Sheet'!C$3:C$1000)</f>
        <v>0</v>
      </c>
      <c r="D258" s="4">
        <f>SUMIF('Input Sheet'!B$3:B$1000,A258,'Input Sheet'!D$3:D$1000)</f>
        <v>0</v>
      </c>
      <c r="E258" s="4" t="str">
        <f t="shared" ref="E258:F258" ca="1" si="261">IFERROR(RANK(K258,K$6:K$1004,1),"")</f>
        <v/>
      </c>
      <c r="F258" s="4" t="str">
        <f t="shared" ca="1" si="261"/>
        <v/>
      </c>
      <c r="G258" s="4" t="str">
        <f t="shared" ca="1" si="4"/>
        <v/>
      </c>
      <c r="H258" s="4" t="str">
        <f t="shared" si="5"/>
        <v/>
      </c>
      <c r="I258" s="4" t="str">
        <f t="shared" si="6"/>
        <v/>
      </c>
      <c r="J258" s="4" t="str">
        <f t="shared" si="7"/>
        <v/>
      </c>
      <c r="K258" s="25" t="str">
        <f t="shared" ca="1" si="8"/>
        <v/>
      </c>
      <c r="L258" s="21" t="str">
        <f t="shared" ca="1" si="9"/>
        <v/>
      </c>
      <c r="M258" s="21" t="str">
        <f>IF(SUMIFS('Input Sheet'!$F$3:$F$1001,'Input Sheet'!$B$3:$B$1001,$H258,'Input Sheet'!$E$3:$E$1001,M$4)=0,"",SUMIFS('Input Sheet'!$F$3:$F$1001,'Input Sheet'!$B$3:$B$1001,$H258,'Input Sheet'!$E$3:$E$1001,M$4))</f>
        <v/>
      </c>
      <c r="N258" s="21" t="str">
        <f>IF(SUMIFS('Input Sheet'!$F$3:$F$1001,'Input Sheet'!$B$3:$B$1001,$H258,'Input Sheet'!$E$3:$E$1001,N$4)=0,"",SUMIFS('Input Sheet'!$F$3:$F$1001,'Input Sheet'!$B$3:$B$1001,$H258,'Input Sheet'!$E$3:$E$1001,N$4))</f>
        <v/>
      </c>
      <c r="O258" s="21" t="str">
        <f>IF(SUMIFS('Input Sheet'!$F$3:$F$1001,'Input Sheet'!$B$3:$B$1001,$H258,'Input Sheet'!$E$3:$E$1001,O$4)=0,"",SUMIFS('Input Sheet'!$F$3:$F$1001,'Input Sheet'!$B$3:$B$1001,$H258,'Input Sheet'!$E$3:$E$1001,O$4))</f>
        <v/>
      </c>
      <c r="P258" s="21" t="str">
        <f>IF(SUMIFS('Input Sheet'!$F$3:$F$1001,'Input Sheet'!$B$3:$B$1001,$H258,'Input Sheet'!$E$3:$E$1001,P$4)=0,"",SUMIFS('Input Sheet'!$F$3:$F$1001,'Input Sheet'!$B$3:$B$1001,$H258,'Input Sheet'!$E$3:$E$1001,P$4))</f>
        <v/>
      </c>
      <c r="Q258" s="21" t="str">
        <f>IF(SUMIFS('Input Sheet'!$F$3:$F$1001,'Input Sheet'!$B$3:$B$1001,$H258,'Input Sheet'!$E$3:$E$1001,Q$4)=0,"",SUMIFS('Input Sheet'!$F$3:$F$1001,'Input Sheet'!$B$3:$B$1001,$H258,'Input Sheet'!$E$3:$E$1001,Q$4))</f>
        <v/>
      </c>
      <c r="R258" s="21" t="str">
        <f>IF(SUMIFS('Input Sheet'!$F$3:$F$1001,'Input Sheet'!$B$3:$B$1001,$H258,'Input Sheet'!$E$3:$E$1001,R$4)=0,"",SUMIFS('Input Sheet'!$F$3:$F$1001,'Input Sheet'!$B$3:$B$1001,$H258,'Input Sheet'!$E$3:$E$1001,R$4))</f>
        <v/>
      </c>
      <c r="S258" s="21" t="str">
        <f>IF(SUMIFS('Input Sheet'!$F$3:$F$1001,'Input Sheet'!$B$3:$B$1001,$H258,'Input Sheet'!$E$3:$E$1001,S$4)=0,"",SUMIFS('Input Sheet'!$F$3:$F$1001,'Input Sheet'!$B$3:$B$1001,$H258,'Input Sheet'!$E$3:$E$1001,S$4))</f>
        <v/>
      </c>
      <c r="T258" s="22">
        <v>253</v>
      </c>
    </row>
    <row r="259" spans="1:20" ht="14.25" customHeight="1" x14ac:dyDescent="0.3">
      <c r="A259" s="4" t="str">
        <f>IF('Input Sheet'!B256=0,"",'Input Sheet'!B256)</f>
        <v/>
      </c>
      <c r="B259" s="24" t="b">
        <f t="shared" si="2"/>
        <v>0</v>
      </c>
      <c r="C259" s="4">
        <f>SUMIF('Input Sheet'!B$3:B$1000,A259,'Input Sheet'!C$3:C$1000)</f>
        <v>0</v>
      </c>
      <c r="D259" s="4">
        <f>SUMIF('Input Sheet'!B$3:B$1000,A259,'Input Sheet'!D$3:D$1000)</f>
        <v>0</v>
      </c>
      <c r="E259" s="4" t="str">
        <f t="shared" ref="E259:F259" ca="1" si="262">IFERROR(RANK(K259,K$6:K$1004,1),"")</f>
        <v/>
      </c>
      <c r="F259" s="4" t="str">
        <f t="shared" ca="1" si="262"/>
        <v/>
      </c>
      <c r="G259" s="4" t="str">
        <f t="shared" ca="1" si="4"/>
        <v/>
      </c>
      <c r="H259" s="4" t="str">
        <f t="shared" si="5"/>
        <v/>
      </c>
      <c r="I259" s="4" t="str">
        <f t="shared" si="6"/>
        <v/>
      </c>
      <c r="J259" s="4" t="str">
        <f t="shared" si="7"/>
        <v/>
      </c>
      <c r="K259" s="25" t="str">
        <f t="shared" ca="1" si="8"/>
        <v/>
      </c>
      <c r="L259" s="21" t="str">
        <f t="shared" ca="1" si="9"/>
        <v/>
      </c>
      <c r="M259" s="21" t="str">
        <f>IF(SUMIFS('Input Sheet'!$F$3:$F$1001,'Input Sheet'!$B$3:$B$1001,$H259,'Input Sheet'!$E$3:$E$1001,M$4)=0,"",SUMIFS('Input Sheet'!$F$3:$F$1001,'Input Sheet'!$B$3:$B$1001,$H259,'Input Sheet'!$E$3:$E$1001,M$4))</f>
        <v/>
      </c>
      <c r="N259" s="21" t="str">
        <f>IF(SUMIFS('Input Sheet'!$F$3:$F$1001,'Input Sheet'!$B$3:$B$1001,$H259,'Input Sheet'!$E$3:$E$1001,N$4)=0,"",SUMIFS('Input Sheet'!$F$3:$F$1001,'Input Sheet'!$B$3:$B$1001,$H259,'Input Sheet'!$E$3:$E$1001,N$4))</f>
        <v/>
      </c>
      <c r="O259" s="21" t="str">
        <f>IF(SUMIFS('Input Sheet'!$F$3:$F$1001,'Input Sheet'!$B$3:$B$1001,$H259,'Input Sheet'!$E$3:$E$1001,O$4)=0,"",SUMIFS('Input Sheet'!$F$3:$F$1001,'Input Sheet'!$B$3:$B$1001,$H259,'Input Sheet'!$E$3:$E$1001,O$4))</f>
        <v/>
      </c>
      <c r="P259" s="21" t="str">
        <f>IF(SUMIFS('Input Sheet'!$F$3:$F$1001,'Input Sheet'!$B$3:$B$1001,$H259,'Input Sheet'!$E$3:$E$1001,P$4)=0,"",SUMIFS('Input Sheet'!$F$3:$F$1001,'Input Sheet'!$B$3:$B$1001,$H259,'Input Sheet'!$E$3:$E$1001,P$4))</f>
        <v/>
      </c>
      <c r="Q259" s="21" t="str">
        <f>IF(SUMIFS('Input Sheet'!$F$3:$F$1001,'Input Sheet'!$B$3:$B$1001,$H259,'Input Sheet'!$E$3:$E$1001,Q$4)=0,"",SUMIFS('Input Sheet'!$F$3:$F$1001,'Input Sheet'!$B$3:$B$1001,$H259,'Input Sheet'!$E$3:$E$1001,Q$4))</f>
        <v/>
      </c>
      <c r="R259" s="21" t="str">
        <f>IF(SUMIFS('Input Sheet'!$F$3:$F$1001,'Input Sheet'!$B$3:$B$1001,$H259,'Input Sheet'!$E$3:$E$1001,R$4)=0,"",SUMIFS('Input Sheet'!$F$3:$F$1001,'Input Sheet'!$B$3:$B$1001,$H259,'Input Sheet'!$E$3:$E$1001,R$4))</f>
        <v/>
      </c>
      <c r="S259" s="21" t="str">
        <f>IF(SUMIFS('Input Sheet'!$F$3:$F$1001,'Input Sheet'!$B$3:$B$1001,$H259,'Input Sheet'!$E$3:$E$1001,S$4)=0,"",SUMIFS('Input Sheet'!$F$3:$F$1001,'Input Sheet'!$B$3:$B$1001,$H259,'Input Sheet'!$E$3:$E$1001,S$4))</f>
        <v/>
      </c>
      <c r="T259" s="22">
        <v>254</v>
      </c>
    </row>
    <row r="260" spans="1:20" ht="14.25" customHeight="1" x14ac:dyDescent="0.3">
      <c r="A260" s="4" t="str">
        <f>IF('Input Sheet'!B257=0,"",'Input Sheet'!B257)</f>
        <v/>
      </c>
      <c r="B260" s="24" t="b">
        <f t="shared" si="2"/>
        <v>0</v>
      </c>
      <c r="C260" s="4">
        <f>SUMIF('Input Sheet'!B$3:B$1000,A260,'Input Sheet'!C$3:C$1000)</f>
        <v>0</v>
      </c>
      <c r="D260" s="4">
        <f>SUMIF('Input Sheet'!B$3:B$1000,A260,'Input Sheet'!D$3:D$1000)</f>
        <v>0</v>
      </c>
      <c r="E260" s="4" t="str">
        <f t="shared" ref="E260:F260" ca="1" si="263">IFERROR(RANK(K260,K$6:K$1004,1),"")</f>
        <v/>
      </c>
      <c r="F260" s="4" t="str">
        <f t="shared" ca="1" si="263"/>
        <v/>
      </c>
      <c r="G260" s="4" t="str">
        <f t="shared" ca="1" si="4"/>
        <v/>
      </c>
      <c r="H260" s="4" t="str">
        <f t="shared" si="5"/>
        <v/>
      </c>
      <c r="I260" s="4" t="str">
        <f t="shared" si="6"/>
        <v/>
      </c>
      <c r="J260" s="4" t="str">
        <f t="shared" si="7"/>
        <v/>
      </c>
      <c r="K260" s="25" t="str">
        <f t="shared" ca="1" si="8"/>
        <v/>
      </c>
      <c r="L260" s="21" t="str">
        <f t="shared" ca="1" si="9"/>
        <v/>
      </c>
      <c r="M260" s="21" t="str">
        <f>IF(SUMIFS('Input Sheet'!$F$3:$F$1001,'Input Sheet'!$B$3:$B$1001,$H260,'Input Sheet'!$E$3:$E$1001,M$4)=0,"",SUMIFS('Input Sheet'!$F$3:$F$1001,'Input Sheet'!$B$3:$B$1001,$H260,'Input Sheet'!$E$3:$E$1001,M$4))</f>
        <v/>
      </c>
      <c r="N260" s="21" t="str">
        <f>IF(SUMIFS('Input Sheet'!$F$3:$F$1001,'Input Sheet'!$B$3:$B$1001,$H260,'Input Sheet'!$E$3:$E$1001,N$4)=0,"",SUMIFS('Input Sheet'!$F$3:$F$1001,'Input Sheet'!$B$3:$B$1001,$H260,'Input Sheet'!$E$3:$E$1001,N$4))</f>
        <v/>
      </c>
      <c r="O260" s="21" t="str">
        <f>IF(SUMIFS('Input Sheet'!$F$3:$F$1001,'Input Sheet'!$B$3:$B$1001,$H260,'Input Sheet'!$E$3:$E$1001,O$4)=0,"",SUMIFS('Input Sheet'!$F$3:$F$1001,'Input Sheet'!$B$3:$B$1001,$H260,'Input Sheet'!$E$3:$E$1001,O$4))</f>
        <v/>
      </c>
      <c r="P260" s="21" t="str">
        <f>IF(SUMIFS('Input Sheet'!$F$3:$F$1001,'Input Sheet'!$B$3:$B$1001,$H260,'Input Sheet'!$E$3:$E$1001,P$4)=0,"",SUMIFS('Input Sheet'!$F$3:$F$1001,'Input Sheet'!$B$3:$B$1001,$H260,'Input Sheet'!$E$3:$E$1001,P$4))</f>
        <v/>
      </c>
      <c r="Q260" s="21" t="str">
        <f>IF(SUMIFS('Input Sheet'!$F$3:$F$1001,'Input Sheet'!$B$3:$B$1001,$H260,'Input Sheet'!$E$3:$E$1001,Q$4)=0,"",SUMIFS('Input Sheet'!$F$3:$F$1001,'Input Sheet'!$B$3:$B$1001,$H260,'Input Sheet'!$E$3:$E$1001,Q$4))</f>
        <v/>
      </c>
      <c r="R260" s="21" t="str">
        <f>IF(SUMIFS('Input Sheet'!$F$3:$F$1001,'Input Sheet'!$B$3:$B$1001,$H260,'Input Sheet'!$E$3:$E$1001,R$4)=0,"",SUMIFS('Input Sheet'!$F$3:$F$1001,'Input Sheet'!$B$3:$B$1001,$H260,'Input Sheet'!$E$3:$E$1001,R$4))</f>
        <v/>
      </c>
      <c r="S260" s="21" t="str">
        <f>IF(SUMIFS('Input Sheet'!$F$3:$F$1001,'Input Sheet'!$B$3:$B$1001,$H260,'Input Sheet'!$E$3:$E$1001,S$4)=0,"",SUMIFS('Input Sheet'!$F$3:$F$1001,'Input Sheet'!$B$3:$B$1001,$H260,'Input Sheet'!$E$3:$E$1001,S$4))</f>
        <v/>
      </c>
      <c r="T260" s="22">
        <v>255</v>
      </c>
    </row>
    <row r="261" spans="1:20" ht="14.25" customHeight="1" x14ac:dyDescent="0.3">
      <c r="A261" s="4" t="str">
        <f>IF('Input Sheet'!B258=0,"",'Input Sheet'!B258)</f>
        <v/>
      </c>
      <c r="B261" s="24" t="b">
        <f t="shared" ref="B261:B515" si="264">IFERROR(VLOOKUP(A261,$A262:A$1005,1,FALSE)=0,1)</f>
        <v>0</v>
      </c>
      <c r="C261" s="4">
        <f>SUMIF('Input Sheet'!B$3:B$1000,A261,'Input Sheet'!C$3:C$1000)</f>
        <v>0</v>
      </c>
      <c r="D261" s="4">
        <f>SUMIF('Input Sheet'!B$3:B$1000,A261,'Input Sheet'!D$3:D$1000)</f>
        <v>0</v>
      </c>
      <c r="E261" s="4" t="str">
        <f t="shared" ref="E261:F261" ca="1" si="265">IFERROR(RANK(K261,K$6:K$1004,1),"")</f>
        <v/>
      </c>
      <c r="F261" s="4" t="str">
        <f t="shared" ca="1" si="265"/>
        <v/>
      </c>
      <c r="G261" s="4" t="str">
        <f t="shared" ref="G261:G515" ca="1" si="266">IFERROR(RANK(L261,L$6:L$1004,0),"")</f>
        <v/>
      </c>
      <c r="H261" s="4" t="str">
        <f t="shared" ref="H261:H515" si="267">IF($B261=1,$A261,"")</f>
        <v/>
      </c>
      <c r="I261" s="4" t="str">
        <f t="shared" ref="I261:I515" si="268">IF($B261=1,$C261,"")</f>
        <v/>
      </c>
      <c r="J261" s="4" t="str">
        <f t="shared" ref="J261:J515" si="269">IF($B261=1,$D261,"")</f>
        <v/>
      </c>
      <c r="K261" s="25" t="str">
        <f t="shared" ref="K261:K515" ca="1" si="270">IF($B261=1,$C261/$D261+RAND()/1000,"")</f>
        <v/>
      </c>
      <c r="L261" s="21" t="str">
        <f t="shared" ref="L261:L515" ca="1" si="271">IF($B261=1,$D261-$C261+RAND()/1000,"")</f>
        <v/>
      </c>
      <c r="M261" s="21" t="str">
        <f>IF(SUMIFS('Input Sheet'!$F$3:$F$1001,'Input Sheet'!$B$3:$B$1001,$H261,'Input Sheet'!$E$3:$E$1001,M$4)=0,"",SUMIFS('Input Sheet'!$F$3:$F$1001,'Input Sheet'!$B$3:$B$1001,$H261,'Input Sheet'!$E$3:$E$1001,M$4))</f>
        <v/>
      </c>
      <c r="N261" s="21" t="str">
        <f>IF(SUMIFS('Input Sheet'!$F$3:$F$1001,'Input Sheet'!$B$3:$B$1001,$H261,'Input Sheet'!$E$3:$E$1001,N$4)=0,"",SUMIFS('Input Sheet'!$F$3:$F$1001,'Input Sheet'!$B$3:$B$1001,$H261,'Input Sheet'!$E$3:$E$1001,N$4))</f>
        <v/>
      </c>
      <c r="O261" s="21" t="str">
        <f>IF(SUMIFS('Input Sheet'!$F$3:$F$1001,'Input Sheet'!$B$3:$B$1001,$H261,'Input Sheet'!$E$3:$E$1001,O$4)=0,"",SUMIFS('Input Sheet'!$F$3:$F$1001,'Input Sheet'!$B$3:$B$1001,$H261,'Input Sheet'!$E$3:$E$1001,O$4))</f>
        <v/>
      </c>
      <c r="P261" s="21" t="str">
        <f>IF(SUMIFS('Input Sheet'!$F$3:$F$1001,'Input Sheet'!$B$3:$B$1001,$H261,'Input Sheet'!$E$3:$E$1001,P$4)=0,"",SUMIFS('Input Sheet'!$F$3:$F$1001,'Input Sheet'!$B$3:$B$1001,$H261,'Input Sheet'!$E$3:$E$1001,P$4))</f>
        <v/>
      </c>
      <c r="Q261" s="21" t="str">
        <f>IF(SUMIFS('Input Sheet'!$F$3:$F$1001,'Input Sheet'!$B$3:$B$1001,$H261,'Input Sheet'!$E$3:$E$1001,Q$4)=0,"",SUMIFS('Input Sheet'!$F$3:$F$1001,'Input Sheet'!$B$3:$B$1001,$H261,'Input Sheet'!$E$3:$E$1001,Q$4))</f>
        <v/>
      </c>
      <c r="R261" s="21" t="str">
        <f>IF(SUMIFS('Input Sheet'!$F$3:$F$1001,'Input Sheet'!$B$3:$B$1001,$H261,'Input Sheet'!$E$3:$E$1001,R$4)=0,"",SUMIFS('Input Sheet'!$F$3:$F$1001,'Input Sheet'!$B$3:$B$1001,$H261,'Input Sheet'!$E$3:$E$1001,R$4))</f>
        <v/>
      </c>
      <c r="S261" s="21" t="str">
        <f>IF(SUMIFS('Input Sheet'!$F$3:$F$1001,'Input Sheet'!$B$3:$B$1001,$H261,'Input Sheet'!$E$3:$E$1001,S$4)=0,"",SUMIFS('Input Sheet'!$F$3:$F$1001,'Input Sheet'!$B$3:$B$1001,$H261,'Input Sheet'!$E$3:$E$1001,S$4))</f>
        <v/>
      </c>
      <c r="T261" s="22">
        <v>256</v>
      </c>
    </row>
    <row r="262" spans="1:20" ht="14.25" customHeight="1" x14ac:dyDescent="0.3">
      <c r="A262" s="4" t="str">
        <f>IF('Input Sheet'!B259=0,"",'Input Sheet'!B259)</f>
        <v/>
      </c>
      <c r="B262" s="24" t="b">
        <f t="shared" si="264"/>
        <v>0</v>
      </c>
      <c r="C262" s="4">
        <f>SUMIF('Input Sheet'!B$3:B$1000,A262,'Input Sheet'!C$3:C$1000)</f>
        <v>0</v>
      </c>
      <c r="D262" s="4">
        <f>SUMIF('Input Sheet'!B$3:B$1000,A262,'Input Sheet'!D$3:D$1000)</f>
        <v>0</v>
      </c>
      <c r="E262" s="4" t="str">
        <f t="shared" ref="E262:F262" ca="1" si="272">IFERROR(RANK(K262,K$6:K$1004,1),"")</f>
        <v/>
      </c>
      <c r="F262" s="4" t="str">
        <f t="shared" ca="1" si="272"/>
        <v/>
      </c>
      <c r="G262" s="4" t="str">
        <f t="shared" ca="1" si="266"/>
        <v/>
      </c>
      <c r="H262" s="4" t="str">
        <f t="shared" si="267"/>
        <v/>
      </c>
      <c r="I262" s="4" t="str">
        <f t="shared" si="268"/>
        <v/>
      </c>
      <c r="J262" s="4" t="str">
        <f t="shared" si="269"/>
        <v/>
      </c>
      <c r="K262" s="25" t="str">
        <f t="shared" ca="1" si="270"/>
        <v/>
      </c>
      <c r="L262" s="21" t="str">
        <f t="shared" ca="1" si="271"/>
        <v/>
      </c>
      <c r="M262" s="21" t="str">
        <f>IF(SUMIFS('Input Sheet'!$F$3:$F$1001,'Input Sheet'!$B$3:$B$1001,$H262,'Input Sheet'!$E$3:$E$1001,M$4)=0,"",SUMIFS('Input Sheet'!$F$3:$F$1001,'Input Sheet'!$B$3:$B$1001,$H262,'Input Sheet'!$E$3:$E$1001,M$4))</f>
        <v/>
      </c>
      <c r="N262" s="21" t="str">
        <f>IF(SUMIFS('Input Sheet'!$F$3:$F$1001,'Input Sheet'!$B$3:$B$1001,$H262,'Input Sheet'!$E$3:$E$1001,N$4)=0,"",SUMIFS('Input Sheet'!$F$3:$F$1001,'Input Sheet'!$B$3:$B$1001,$H262,'Input Sheet'!$E$3:$E$1001,N$4))</f>
        <v/>
      </c>
      <c r="O262" s="21" t="str">
        <f>IF(SUMIFS('Input Sheet'!$F$3:$F$1001,'Input Sheet'!$B$3:$B$1001,$H262,'Input Sheet'!$E$3:$E$1001,O$4)=0,"",SUMIFS('Input Sheet'!$F$3:$F$1001,'Input Sheet'!$B$3:$B$1001,$H262,'Input Sheet'!$E$3:$E$1001,O$4))</f>
        <v/>
      </c>
      <c r="P262" s="21" t="str">
        <f>IF(SUMIFS('Input Sheet'!$F$3:$F$1001,'Input Sheet'!$B$3:$B$1001,$H262,'Input Sheet'!$E$3:$E$1001,P$4)=0,"",SUMIFS('Input Sheet'!$F$3:$F$1001,'Input Sheet'!$B$3:$B$1001,$H262,'Input Sheet'!$E$3:$E$1001,P$4))</f>
        <v/>
      </c>
      <c r="Q262" s="21" t="str">
        <f>IF(SUMIFS('Input Sheet'!$F$3:$F$1001,'Input Sheet'!$B$3:$B$1001,$H262,'Input Sheet'!$E$3:$E$1001,Q$4)=0,"",SUMIFS('Input Sheet'!$F$3:$F$1001,'Input Sheet'!$B$3:$B$1001,$H262,'Input Sheet'!$E$3:$E$1001,Q$4))</f>
        <v/>
      </c>
      <c r="R262" s="21" t="str">
        <f>IF(SUMIFS('Input Sheet'!$F$3:$F$1001,'Input Sheet'!$B$3:$B$1001,$H262,'Input Sheet'!$E$3:$E$1001,R$4)=0,"",SUMIFS('Input Sheet'!$F$3:$F$1001,'Input Sheet'!$B$3:$B$1001,$H262,'Input Sheet'!$E$3:$E$1001,R$4))</f>
        <v/>
      </c>
      <c r="S262" s="21" t="str">
        <f>IF(SUMIFS('Input Sheet'!$F$3:$F$1001,'Input Sheet'!$B$3:$B$1001,$H262,'Input Sheet'!$E$3:$E$1001,S$4)=0,"",SUMIFS('Input Sheet'!$F$3:$F$1001,'Input Sheet'!$B$3:$B$1001,$H262,'Input Sheet'!$E$3:$E$1001,S$4))</f>
        <v/>
      </c>
      <c r="T262" s="22">
        <v>257</v>
      </c>
    </row>
    <row r="263" spans="1:20" ht="14.25" customHeight="1" x14ac:dyDescent="0.3">
      <c r="A263" s="4" t="str">
        <f>IF('Input Sheet'!B260=0,"",'Input Sheet'!B260)</f>
        <v/>
      </c>
      <c r="B263" s="24" t="b">
        <f t="shared" si="264"/>
        <v>0</v>
      </c>
      <c r="C263" s="4">
        <f>SUMIF('Input Sheet'!B$3:B$1000,A263,'Input Sheet'!C$3:C$1000)</f>
        <v>0</v>
      </c>
      <c r="D263" s="4">
        <f>SUMIF('Input Sheet'!B$3:B$1000,A263,'Input Sheet'!D$3:D$1000)</f>
        <v>0</v>
      </c>
      <c r="E263" s="4" t="str">
        <f t="shared" ref="E263:F263" ca="1" si="273">IFERROR(RANK(K263,K$6:K$1004,1),"")</f>
        <v/>
      </c>
      <c r="F263" s="4" t="str">
        <f t="shared" ca="1" si="273"/>
        <v/>
      </c>
      <c r="G263" s="4" t="str">
        <f t="shared" ca="1" si="266"/>
        <v/>
      </c>
      <c r="H263" s="4" t="str">
        <f t="shared" si="267"/>
        <v/>
      </c>
      <c r="I263" s="4" t="str">
        <f t="shared" si="268"/>
        <v/>
      </c>
      <c r="J263" s="4" t="str">
        <f t="shared" si="269"/>
        <v/>
      </c>
      <c r="K263" s="25" t="str">
        <f t="shared" ca="1" si="270"/>
        <v/>
      </c>
      <c r="L263" s="21" t="str">
        <f t="shared" ca="1" si="271"/>
        <v/>
      </c>
      <c r="M263" s="21" t="str">
        <f>IF(SUMIFS('Input Sheet'!$F$3:$F$1001,'Input Sheet'!$B$3:$B$1001,$H263,'Input Sheet'!$E$3:$E$1001,M$4)=0,"",SUMIFS('Input Sheet'!$F$3:$F$1001,'Input Sheet'!$B$3:$B$1001,$H263,'Input Sheet'!$E$3:$E$1001,M$4))</f>
        <v/>
      </c>
      <c r="N263" s="21" t="str">
        <f>IF(SUMIFS('Input Sheet'!$F$3:$F$1001,'Input Sheet'!$B$3:$B$1001,$H263,'Input Sheet'!$E$3:$E$1001,N$4)=0,"",SUMIFS('Input Sheet'!$F$3:$F$1001,'Input Sheet'!$B$3:$B$1001,$H263,'Input Sheet'!$E$3:$E$1001,N$4))</f>
        <v/>
      </c>
      <c r="O263" s="21" t="str">
        <f>IF(SUMIFS('Input Sheet'!$F$3:$F$1001,'Input Sheet'!$B$3:$B$1001,$H263,'Input Sheet'!$E$3:$E$1001,O$4)=0,"",SUMIFS('Input Sheet'!$F$3:$F$1001,'Input Sheet'!$B$3:$B$1001,$H263,'Input Sheet'!$E$3:$E$1001,O$4))</f>
        <v/>
      </c>
      <c r="P263" s="21" t="str">
        <f>IF(SUMIFS('Input Sheet'!$F$3:$F$1001,'Input Sheet'!$B$3:$B$1001,$H263,'Input Sheet'!$E$3:$E$1001,P$4)=0,"",SUMIFS('Input Sheet'!$F$3:$F$1001,'Input Sheet'!$B$3:$B$1001,$H263,'Input Sheet'!$E$3:$E$1001,P$4))</f>
        <v/>
      </c>
      <c r="Q263" s="21" t="str">
        <f>IF(SUMIFS('Input Sheet'!$F$3:$F$1001,'Input Sheet'!$B$3:$B$1001,$H263,'Input Sheet'!$E$3:$E$1001,Q$4)=0,"",SUMIFS('Input Sheet'!$F$3:$F$1001,'Input Sheet'!$B$3:$B$1001,$H263,'Input Sheet'!$E$3:$E$1001,Q$4))</f>
        <v/>
      </c>
      <c r="R263" s="21" t="str">
        <f>IF(SUMIFS('Input Sheet'!$F$3:$F$1001,'Input Sheet'!$B$3:$B$1001,$H263,'Input Sheet'!$E$3:$E$1001,R$4)=0,"",SUMIFS('Input Sheet'!$F$3:$F$1001,'Input Sheet'!$B$3:$B$1001,$H263,'Input Sheet'!$E$3:$E$1001,R$4))</f>
        <v/>
      </c>
      <c r="S263" s="21" t="str">
        <f>IF(SUMIFS('Input Sheet'!$F$3:$F$1001,'Input Sheet'!$B$3:$B$1001,$H263,'Input Sheet'!$E$3:$E$1001,S$4)=0,"",SUMIFS('Input Sheet'!$F$3:$F$1001,'Input Sheet'!$B$3:$B$1001,$H263,'Input Sheet'!$E$3:$E$1001,S$4))</f>
        <v/>
      </c>
      <c r="T263" s="22">
        <v>258</v>
      </c>
    </row>
    <row r="264" spans="1:20" ht="14.25" customHeight="1" x14ac:dyDescent="0.3">
      <c r="A264" s="4" t="str">
        <f>IF('Input Sheet'!B261=0,"",'Input Sheet'!B261)</f>
        <v/>
      </c>
      <c r="B264" s="24" t="b">
        <f t="shared" si="264"/>
        <v>0</v>
      </c>
      <c r="C264" s="4">
        <f>SUMIF('Input Sheet'!B$3:B$1000,A264,'Input Sheet'!C$3:C$1000)</f>
        <v>0</v>
      </c>
      <c r="D264" s="4">
        <f>SUMIF('Input Sheet'!B$3:B$1000,A264,'Input Sheet'!D$3:D$1000)</f>
        <v>0</v>
      </c>
      <c r="E264" s="4" t="str">
        <f t="shared" ref="E264:F264" ca="1" si="274">IFERROR(RANK(K264,K$6:K$1004,1),"")</f>
        <v/>
      </c>
      <c r="F264" s="4" t="str">
        <f t="shared" ca="1" si="274"/>
        <v/>
      </c>
      <c r="G264" s="4" t="str">
        <f t="shared" ca="1" si="266"/>
        <v/>
      </c>
      <c r="H264" s="4" t="str">
        <f t="shared" si="267"/>
        <v/>
      </c>
      <c r="I264" s="4" t="str">
        <f t="shared" si="268"/>
        <v/>
      </c>
      <c r="J264" s="4" t="str">
        <f t="shared" si="269"/>
        <v/>
      </c>
      <c r="K264" s="25" t="str">
        <f t="shared" ca="1" si="270"/>
        <v/>
      </c>
      <c r="L264" s="21" t="str">
        <f t="shared" ca="1" si="271"/>
        <v/>
      </c>
      <c r="M264" s="21" t="str">
        <f>IF(SUMIFS('Input Sheet'!$F$3:$F$1001,'Input Sheet'!$B$3:$B$1001,$H264,'Input Sheet'!$E$3:$E$1001,M$4)=0,"",SUMIFS('Input Sheet'!$F$3:$F$1001,'Input Sheet'!$B$3:$B$1001,$H264,'Input Sheet'!$E$3:$E$1001,M$4))</f>
        <v/>
      </c>
      <c r="N264" s="21" t="str">
        <f>IF(SUMIFS('Input Sheet'!$F$3:$F$1001,'Input Sheet'!$B$3:$B$1001,$H264,'Input Sheet'!$E$3:$E$1001,N$4)=0,"",SUMIFS('Input Sheet'!$F$3:$F$1001,'Input Sheet'!$B$3:$B$1001,$H264,'Input Sheet'!$E$3:$E$1001,N$4))</f>
        <v/>
      </c>
      <c r="O264" s="21" t="str">
        <f>IF(SUMIFS('Input Sheet'!$F$3:$F$1001,'Input Sheet'!$B$3:$B$1001,$H264,'Input Sheet'!$E$3:$E$1001,O$4)=0,"",SUMIFS('Input Sheet'!$F$3:$F$1001,'Input Sheet'!$B$3:$B$1001,$H264,'Input Sheet'!$E$3:$E$1001,O$4))</f>
        <v/>
      </c>
      <c r="P264" s="21" t="str">
        <f>IF(SUMIFS('Input Sheet'!$F$3:$F$1001,'Input Sheet'!$B$3:$B$1001,$H264,'Input Sheet'!$E$3:$E$1001,P$4)=0,"",SUMIFS('Input Sheet'!$F$3:$F$1001,'Input Sheet'!$B$3:$B$1001,$H264,'Input Sheet'!$E$3:$E$1001,P$4))</f>
        <v/>
      </c>
      <c r="Q264" s="21" t="str">
        <f>IF(SUMIFS('Input Sheet'!$F$3:$F$1001,'Input Sheet'!$B$3:$B$1001,$H264,'Input Sheet'!$E$3:$E$1001,Q$4)=0,"",SUMIFS('Input Sheet'!$F$3:$F$1001,'Input Sheet'!$B$3:$B$1001,$H264,'Input Sheet'!$E$3:$E$1001,Q$4))</f>
        <v/>
      </c>
      <c r="R264" s="21" t="str">
        <f>IF(SUMIFS('Input Sheet'!$F$3:$F$1001,'Input Sheet'!$B$3:$B$1001,$H264,'Input Sheet'!$E$3:$E$1001,R$4)=0,"",SUMIFS('Input Sheet'!$F$3:$F$1001,'Input Sheet'!$B$3:$B$1001,$H264,'Input Sheet'!$E$3:$E$1001,R$4))</f>
        <v/>
      </c>
      <c r="S264" s="21" t="str">
        <f>IF(SUMIFS('Input Sheet'!$F$3:$F$1001,'Input Sheet'!$B$3:$B$1001,$H264,'Input Sheet'!$E$3:$E$1001,S$4)=0,"",SUMIFS('Input Sheet'!$F$3:$F$1001,'Input Sheet'!$B$3:$B$1001,$H264,'Input Sheet'!$E$3:$E$1001,S$4))</f>
        <v/>
      </c>
      <c r="T264" s="22">
        <v>259</v>
      </c>
    </row>
    <row r="265" spans="1:20" ht="14.25" customHeight="1" x14ac:dyDescent="0.3">
      <c r="A265" s="4" t="str">
        <f>IF('Input Sheet'!B262=0,"",'Input Sheet'!B262)</f>
        <v/>
      </c>
      <c r="B265" s="24" t="b">
        <f t="shared" si="264"/>
        <v>0</v>
      </c>
      <c r="C265" s="4">
        <f>SUMIF('Input Sheet'!B$3:B$1000,A265,'Input Sheet'!C$3:C$1000)</f>
        <v>0</v>
      </c>
      <c r="D265" s="4">
        <f>SUMIF('Input Sheet'!B$3:B$1000,A265,'Input Sheet'!D$3:D$1000)</f>
        <v>0</v>
      </c>
      <c r="E265" s="4" t="str">
        <f t="shared" ref="E265:F265" ca="1" si="275">IFERROR(RANK(K265,K$6:K$1004,1),"")</f>
        <v/>
      </c>
      <c r="F265" s="4" t="str">
        <f t="shared" ca="1" si="275"/>
        <v/>
      </c>
      <c r="G265" s="4" t="str">
        <f t="shared" ca="1" si="266"/>
        <v/>
      </c>
      <c r="H265" s="4" t="str">
        <f t="shared" si="267"/>
        <v/>
      </c>
      <c r="I265" s="4" t="str">
        <f t="shared" si="268"/>
        <v/>
      </c>
      <c r="J265" s="4" t="str">
        <f t="shared" si="269"/>
        <v/>
      </c>
      <c r="K265" s="25" t="str">
        <f t="shared" ca="1" si="270"/>
        <v/>
      </c>
      <c r="L265" s="21" t="str">
        <f t="shared" ca="1" si="271"/>
        <v/>
      </c>
      <c r="M265" s="21" t="str">
        <f>IF(SUMIFS('Input Sheet'!$F$3:$F$1001,'Input Sheet'!$B$3:$B$1001,$H265,'Input Sheet'!$E$3:$E$1001,M$4)=0,"",SUMIFS('Input Sheet'!$F$3:$F$1001,'Input Sheet'!$B$3:$B$1001,$H265,'Input Sheet'!$E$3:$E$1001,M$4))</f>
        <v/>
      </c>
      <c r="N265" s="21" t="str">
        <f>IF(SUMIFS('Input Sheet'!$F$3:$F$1001,'Input Sheet'!$B$3:$B$1001,$H265,'Input Sheet'!$E$3:$E$1001,N$4)=0,"",SUMIFS('Input Sheet'!$F$3:$F$1001,'Input Sheet'!$B$3:$B$1001,$H265,'Input Sheet'!$E$3:$E$1001,N$4))</f>
        <v/>
      </c>
      <c r="O265" s="21" t="str">
        <f>IF(SUMIFS('Input Sheet'!$F$3:$F$1001,'Input Sheet'!$B$3:$B$1001,$H265,'Input Sheet'!$E$3:$E$1001,O$4)=0,"",SUMIFS('Input Sheet'!$F$3:$F$1001,'Input Sheet'!$B$3:$B$1001,$H265,'Input Sheet'!$E$3:$E$1001,O$4))</f>
        <v/>
      </c>
      <c r="P265" s="21" t="str">
        <f>IF(SUMIFS('Input Sheet'!$F$3:$F$1001,'Input Sheet'!$B$3:$B$1001,$H265,'Input Sheet'!$E$3:$E$1001,P$4)=0,"",SUMIFS('Input Sheet'!$F$3:$F$1001,'Input Sheet'!$B$3:$B$1001,$H265,'Input Sheet'!$E$3:$E$1001,P$4))</f>
        <v/>
      </c>
      <c r="Q265" s="21" t="str">
        <f>IF(SUMIFS('Input Sheet'!$F$3:$F$1001,'Input Sheet'!$B$3:$B$1001,$H265,'Input Sheet'!$E$3:$E$1001,Q$4)=0,"",SUMIFS('Input Sheet'!$F$3:$F$1001,'Input Sheet'!$B$3:$B$1001,$H265,'Input Sheet'!$E$3:$E$1001,Q$4))</f>
        <v/>
      </c>
      <c r="R265" s="21" t="str">
        <f>IF(SUMIFS('Input Sheet'!$F$3:$F$1001,'Input Sheet'!$B$3:$B$1001,$H265,'Input Sheet'!$E$3:$E$1001,R$4)=0,"",SUMIFS('Input Sheet'!$F$3:$F$1001,'Input Sheet'!$B$3:$B$1001,$H265,'Input Sheet'!$E$3:$E$1001,R$4))</f>
        <v/>
      </c>
      <c r="S265" s="21" t="str">
        <f>IF(SUMIFS('Input Sheet'!$F$3:$F$1001,'Input Sheet'!$B$3:$B$1001,$H265,'Input Sheet'!$E$3:$E$1001,S$4)=0,"",SUMIFS('Input Sheet'!$F$3:$F$1001,'Input Sheet'!$B$3:$B$1001,$H265,'Input Sheet'!$E$3:$E$1001,S$4))</f>
        <v/>
      </c>
      <c r="T265" s="22">
        <v>260</v>
      </c>
    </row>
    <row r="266" spans="1:20" ht="14.25" customHeight="1" x14ac:dyDescent="0.3">
      <c r="A266" s="4" t="str">
        <f>IF('Input Sheet'!B263=0,"",'Input Sheet'!B263)</f>
        <v/>
      </c>
      <c r="B266" s="24" t="b">
        <f t="shared" si="264"/>
        <v>0</v>
      </c>
      <c r="C266" s="4">
        <f>SUMIF('Input Sheet'!B$3:B$1000,A266,'Input Sheet'!C$3:C$1000)</f>
        <v>0</v>
      </c>
      <c r="D266" s="4">
        <f>SUMIF('Input Sheet'!B$3:B$1000,A266,'Input Sheet'!D$3:D$1000)</f>
        <v>0</v>
      </c>
      <c r="E266" s="4" t="str">
        <f t="shared" ref="E266:F266" ca="1" si="276">IFERROR(RANK(K266,K$6:K$1004,1),"")</f>
        <v/>
      </c>
      <c r="F266" s="4" t="str">
        <f t="shared" ca="1" si="276"/>
        <v/>
      </c>
      <c r="G266" s="4" t="str">
        <f t="shared" ca="1" si="266"/>
        <v/>
      </c>
      <c r="H266" s="4" t="str">
        <f t="shared" si="267"/>
        <v/>
      </c>
      <c r="I266" s="4" t="str">
        <f t="shared" si="268"/>
        <v/>
      </c>
      <c r="J266" s="4" t="str">
        <f t="shared" si="269"/>
        <v/>
      </c>
      <c r="K266" s="25" t="str">
        <f t="shared" ca="1" si="270"/>
        <v/>
      </c>
      <c r="L266" s="21" t="str">
        <f t="shared" ca="1" si="271"/>
        <v/>
      </c>
      <c r="M266" s="21" t="str">
        <f>IF(SUMIFS('Input Sheet'!$F$3:$F$1001,'Input Sheet'!$B$3:$B$1001,$H266,'Input Sheet'!$E$3:$E$1001,M$4)=0,"",SUMIFS('Input Sheet'!$F$3:$F$1001,'Input Sheet'!$B$3:$B$1001,$H266,'Input Sheet'!$E$3:$E$1001,M$4))</f>
        <v/>
      </c>
      <c r="N266" s="21" t="str">
        <f>IF(SUMIFS('Input Sheet'!$F$3:$F$1001,'Input Sheet'!$B$3:$B$1001,$H266,'Input Sheet'!$E$3:$E$1001,N$4)=0,"",SUMIFS('Input Sheet'!$F$3:$F$1001,'Input Sheet'!$B$3:$B$1001,$H266,'Input Sheet'!$E$3:$E$1001,N$4))</f>
        <v/>
      </c>
      <c r="O266" s="21" t="str">
        <f>IF(SUMIFS('Input Sheet'!$F$3:$F$1001,'Input Sheet'!$B$3:$B$1001,$H266,'Input Sheet'!$E$3:$E$1001,O$4)=0,"",SUMIFS('Input Sheet'!$F$3:$F$1001,'Input Sheet'!$B$3:$B$1001,$H266,'Input Sheet'!$E$3:$E$1001,O$4))</f>
        <v/>
      </c>
      <c r="P266" s="21" t="str">
        <f>IF(SUMIFS('Input Sheet'!$F$3:$F$1001,'Input Sheet'!$B$3:$B$1001,$H266,'Input Sheet'!$E$3:$E$1001,P$4)=0,"",SUMIFS('Input Sheet'!$F$3:$F$1001,'Input Sheet'!$B$3:$B$1001,$H266,'Input Sheet'!$E$3:$E$1001,P$4))</f>
        <v/>
      </c>
      <c r="Q266" s="21" t="str">
        <f>IF(SUMIFS('Input Sheet'!$F$3:$F$1001,'Input Sheet'!$B$3:$B$1001,$H266,'Input Sheet'!$E$3:$E$1001,Q$4)=0,"",SUMIFS('Input Sheet'!$F$3:$F$1001,'Input Sheet'!$B$3:$B$1001,$H266,'Input Sheet'!$E$3:$E$1001,Q$4))</f>
        <v/>
      </c>
      <c r="R266" s="21" t="str">
        <f>IF(SUMIFS('Input Sheet'!$F$3:$F$1001,'Input Sheet'!$B$3:$B$1001,$H266,'Input Sheet'!$E$3:$E$1001,R$4)=0,"",SUMIFS('Input Sheet'!$F$3:$F$1001,'Input Sheet'!$B$3:$B$1001,$H266,'Input Sheet'!$E$3:$E$1001,R$4))</f>
        <v/>
      </c>
      <c r="S266" s="21" t="str">
        <f>IF(SUMIFS('Input Sheet'!$F$3:$F$1001,'Input Sheet'!$B$3:$B$1001,$H266,'Input Sheet'!$E$3:$E$1001,S$4)=0,"",SUMIFS('Input Sheet'!$F$3:$F$1001,'Input Sheet'!$B$3:$B$1001,$H266,'Input Sheet'!$E$3:$E$1001,S$4))</f>
        <v/>
      </c>
      <c r="T266" s="22">
        <v>261</v>
      </c>
    </row>
    <row r="267" spans="1:20" ht="14.25" customHeight="1" x14ac:dyDescent="0.3">
      <c r="A267" s="4" t="str">
        <f>IF('Input Sheet'!B264=0,"",'Input Sheet'!B264)</f>
        <v/>
      </c>
      <c r="B267" s="24" t="b">
        <f t="shared" si="264"/>
        <v>0</v>
      </c>
      <c r="C267" s="4">
        <f>SUMIF('Input Sheet'!B$3:B$1000,A267,'Input Sheet'!C$3:C$1000)</f>
        <v>0</v>
      </c>
      <c r="D267" s="4">
        <f>SUMIF('Input Sheet'!B$3:B$1000,A267,'Input Sheet'!D$3:D$1000)</f>
        <v>0</v>
      </c>
      <c r="E267" s="4" t="str">
        <f t="shared" ref="E267:F267" ca="1" si="277">IFERROR(RANK(K267,K$6:K$1004,1),"")</f>
        <v/>
      </c>
      <c r="F267" s="4" t="str">
        <f t="shared" ca="1" si="277"/>
        <v/>
      </c>
      <c r="G267" s="4" t="str">
        <f t="shared" ca="1" si="266"/>
        <v/>
      </c>
      <c r="H267" s="4" t="str">
        <f t="shared" si="267"/>
        <v/>
      </c>
      <c r="I267" s="4" t="str">
        <f t="shared" si="268"/>
        <v/>
      </c>
      <c r="J267" s="4" t="str">
        <f t="shared" si="269"/>
        <v/>
      </c>
      <c r="K267" s="25" t="str">
        <f t="shared" ca="1" si="270"/>
        <v/>
      </c>
      <c r="L267" s="21" t="str">
        <f t="shared" ca="1" si="271"/>
        <v/>
      </c>
      <c r="M267" s="21" t="str">
        <f>IF(SUMIFS('Input Sheet'!$F$3:$F$1001,'Input Sheet'!$B$3:$B$1001,$H267,'Input Sheet'!$E$3:$E$1001,M$4)=0,"",SUMIFS('Input Sheet'!$F$3:$F$1001,'Input Sheet'!$B$3:$B$1001,$H267,'Input Sheet'!$E$3:$E$1001,M$4))</f>
        <v/>
      </c>
      <c r="N267" s="21" t="str">
        <f>IF(SUMIFS('Input Sheet'!$F$3:$F$1001,'Input Sheet'!$B$3:$B$1001,$H267,'Input Sheet'!$E$3:$E$1001,N$4)=0,"",SUMIFS('Input Sheet'!$F$3:$F$1001,'Input Sheet'!$B$3:$B$1001,$H267,'Input Sheet'!$E$3:$E$1001,N$4))</f>
        <v/>
      </c>
      <c r="O267" s="21" t="str">
        <f>IF(SUMIFS('Input Sheet'!$F$3:$F$1001,'Input Sheet'!$B$3:$B$1001,$H267,'Input Sheet'!$E$3:$E$1001,O$4)=0,"",SUMIFS('Input Sheet'!$F$3:$F$1001,'Input Sheet'!$B$3:$B$1001,$H267,'Input Sheet'!$E$3:$E$1001,O$4))</f>
        <v/>
      </c>
      <c r="P267" s="21" t="str">
        <f>IF(SUMIFS('Input Sheet'!$F$3:$F$1001,'Input Sheet'!$B$3:$B$1001,$H267,'Input Sheet'!$E$3:$E$1001,P$4)=0,"",SUMIFS('Input Sheet'!$F$3:$F$1001,'Input Sheet'!$B$3:$B$1001,$H267,'Input Sheet'!$E$3:$E$1001,P$4))</f>
        <v/>
      </c>
      <c r="Q267" s="21" t="str">
        <f>IF(SUMIFS('Input Sheet'!$F$3:$F$1001,'Input Sheet'!$B$3:$B$1001,$H267,'Input Sheet'!$E$3:$E$1001,Q$4)=0,"",SUMIFS('Input Sheet'!$F$3:$F$1001,'Input Sheet'!$B$3:$B$1001,$H267,'Input Sheet'!$E$3:$E$1001,Q$4))</f>
        <v/>
      </c>
      <c r="R267" s="21" t="str">
        <f>IF(SUMIFS('Input Sheet'!$F$3:$F$1001,'Input Sheet'!$B$3:$B$1001,$H267,'Input Sheet'!$E$3:$E$1001,R$4)=0,"",SUMIFS('Input Sheet'!$F$3:$F$1001,'Input Sheet'!$B$3:$B$1001,$H267,'Input Sheet'!$E$3:$E$1001,R$4))</f>
        <v/>
      </c>
      <c r="S267" s="21" t="str">
        <f>IF(SUMIFS('Input Sheet'!$F$3:$F$1001,'Input Sheet'!$B$3:$B$1001,$H267,'Input Sheet'!$E$3:$E$1001,S$4)=0,"",SUMIFS('Input Sheet'!$F$3:$F$1001,'Input Sheet'!$B$3:$B$1001,$H267,'Input Sheet'!$E$3:$E$1001,S$4))</f>
        <v/>
      </c>
      <c r="T267" s="22">
        <v>262</v>
      </c>
    </row>
    <row r="268" spans="1:20" ht="14.25" customHeight="1" x14ac:dyDescent="0.3">
      <c r="A268" s="4" t="str">
        <f>IF('Input Sheet'!B265=0,"",'Input Sheet'!B265)</f>
        <v/>
      </c>
      <c r="B268" s="24" t="b">
        <f t="shared" si="264"/>
        <v>0</v>
      </c>
      <c r="C268" s="4">
        <f>SUMIF('Input Sheet'!B$3:B$1000,A268,'Input Sheet'!C$3:C$1000)</f>
        <v>0</v>
      </c>
      <c r="D268" s="4">
        <f>SUMIF('Input Sheet'!B$3:B$1000,A268,'Input Sheet'!D$3:D$1000)</f>
        <v>0</v>
      </c>
      <c r="E268" s="4" t="str">
        <f t="shared" ref="E268:F268" ca="1" si="278">IFERROR(RANK(K268,K$6:K$1004,1),"")</f>
        <v/>
      </c>
      <c r="F268" s="4" t="str">
        <f t="shared" ca="1" si="278"/>
        <v/>
      </c>
      <c r="G268" s="4" t="str">
        <f t="shared" ca="1" si="266"/>
        <v/>
      </c>
      <c r="H268" s="4" t="str">
        <f t="shared" si="267"/>
        <v/>
      </c>
      <c r="I268" s="4" t="str">
        <f t="shared" si="268"/>
        <v/>
      </c>
      <c r="J268" s="4" t="str">
        <f t="shared" si="269"/>
        <v/>
      </c>
      <c r="K268" s="25" t="str">
        <f t="shared" ca="1" si="270"/>
        <v/>
      </c>
      <c r="L268" s="21" t="str">
        <f t="shared" ca="1" si="271"/>
        <v/>
      </c>
      <c r="M268" s="21" t="str">
        <f>IF(SUMIFS('Input Sheet'!$F$3:$F$1001,'Input Sheet'!$B$3:$B$1001,$H268,'Input Sheet'!$E$3:$E$1001,M$4)=0,"",SUMIFS('Input Sheet'!$F$3:$F$1001,'Input Sheet'!$B$3:$B$1001,$H268,'Input Sheet'!$E$3:$E$1001,M$4))</f>
        <v/>
      </c>
      <c r="N268" s="21" t="str">
        <f>IF(SUMIFS('Input Sheet'!$F$3:$F$1001,'Input Sheet'!$B$3:$B$1001,$H268,'Input Sheet'!$E$3:$E$1001,N$4)=0,"",SUMIFS('Input Sheet'!$F$3:$F$1001,'Input Sheet'!$B$3:$B$1001,$H268,'Input Sheet'!$E$3:$E$1001,N$4))</f>
        <v/>
      </c>
      <c r="O268" s="21" t="str">
        <f>IF(SUMIFS('Input Sheet'!$F$3:$F$1001,'Input Sheet'!$B$3:$B$1001,$H268,'Input Sheet'!$E$3:$E$1001,O$4)=0,"",SUMIFS('Input Sheet'!$F$3:$F$1001,'Input Sheet'!$B$3:$B$1001,$H268,'Input Sheet'!$E$3:$E$1001,O$4))</f>
        <v/>
      </c>
      <c r="P268" s="21" t="str">
        <f>IF(SUMIFS('Input Sheet'!$F$3:$F$1001,'Input Sheet'!$B$3:$B$1001,$H268,'Input Sheet'!$E$3:$E$1001,P$4)=0,"",SUMIFS('Input Sheet'!$F$3:$F$1001,'Input Sheet'!$B$3:$B$1001,$H268,'Input Sheet'!$E$3:$E$1001,P$4))</f>
        <v/>
      </c>
      <c r="Q268" s="21" t="str">
        <f>IF(SUMIFS('Input Sheet'!$F$3:$F$1001,'Input Sheet'!$B$3:$B$1001,$H268,'Input Sheet'!$E$3:$E$1001,Q$4)=0,"",SUMIFS('Input Sheet'!$F$3:$F$1001,'Input Sheet'!$B$3:$B$1001,$H268,'Input Sheet'!$E$3:$E$1001,Q$4))</f>
        <v/>
      </c>
      <c r="R268" s="21" t="str">
        <f>IF(SUMIFS('Input Sheet'!$F$3:$F$1001,'Input Sheet'!$B$3:$B$1001,$H268,'Input Sheet'!$E$3:$E$1001,R$4)=0,"",SUMIFS('Input Sheet'!$F$3:$F$1001,'Input Sheet'!$B$3:$B$1001,$H268,'Input Sheet'!$E$3:$E$1001,R$4))</f>
        <v/>
      </c>
      <c r="S268" s="21" t="str">
        <f>IF(SUMIFS('Input Sheet'!$F$3:$F$1001,'Input Sheet'!$B$3:$B$1001,$H268,'Input Sheet'!$E$3:$E$1001,S$4)=0,"",SUMIFS('Input Sheet'!$F$3:$F$1001,'Input Sheet'!$B$3:$B$1001,$H268,'Input Sheet'!$E$3:$E$1001,S$4))</f>
        <v/>
      </c>
      <c r="T268" s="22">
        <v>263</v>
      </c>
    </row>
    <row r="269" spans="1:20" ht="14.25" customHeight="1" x14ac:dyDescent="0.3">
      <c r="A269" s="4" t="str">
        <f>IF('Input Sheet'!B266=0,"",'Input Sheet'!B266)</f>
        <v/>
      </c>
      <c r="B269" s="24" t="b">
        <f t="shared" si="264"/>
        <v>0</v>
      </c>
      <c r="C269" s="4">
        <f>SUMIF('Input Sheet'!B$3:B$1000,A269,'Input Sheet'!C$3:C$1000)</f>
        <v>0</v>
      </c>
      <c r="D269" s="4">
        <f>SUMIF('Input Sheet'!B$3:B$1000,A269,'Input Sheet'!D$3:D$1000)</f>
        <v>0</v>
      </c>
      <c r="E269" s="4" t="str">
        <f t="shared" ref="E269:F269" ca="1" si="279">IFERROR(RANK(K269,K$6:K$1004,1),"")</f>
        <v/>
      </c>
      <c r="F269" s="4" t="str">
        <f t="shared" ca="1" si="279"/>
        <v/>
      </c>
      <c r="G269" s="4" t="str">
        <f t="shared" ca="1" si="266"/>
        <v/>
      </c>
      <c r="H269" s="4" t="str">
        <f t="shared" si="267"/>
        <v/>
      </c>
      <c r="I269" s="4" t="str">
        <f t="shared" si="268"/>
        <v/>
      </c>
      <c r="J269" s="4" t="str">
        <f t="shared" si="269"/>
        <v/>
      </c>
      <c r="K269" s="25" t="str">
        <f t="shared" ca="1" si="270"/>
        <v/>
      </c>
      <c r="L269" s="21" t="str">
        <f t="shared" ca="1" si="271"/>
        <v/>
      </c>
      <c r="M269" s="21" t="str">
        <f>IF(SUMIFS('Input Sheet'!$F$3:$F$1001,'Input Sheet'!$B$3:$B$1001,$H269,'Input Sheet'!$E$3:$E$1001,M$4)=0,"",SUMIFS('Input Sheet'!$F$3:$F$1001,'Input Sheet'!$B$3:$B$1001,$H269,'Input Sheet'!$E$3:$E$1001,M$4))</f>
        <v/>
      </c>
      <c r="N269" s="21" t="str">
        <f>IF(SUMIFS('Input Sheet'!$F$3:$F$1001,'Input Sheet'!$B$3:$B$1001,$H269,'Input Sheet'!$E$3:$E$1001,N$4)=0,"",SUMIFS('Input Sheet'!$F$3:$F$1001,'Input Sheet'!$B$3:$B$1001,$H269,'Input Sheet'!$E$3:$E$1001,N$4))</f>
        <v/>
      </c>
      <c r="O269" s="21" t="str">
        <f>IF(SUMIFS('Input Sheet'!$F$3:$F$1001,'Input Sheet'!$B$3:$B$1001,$H269,'Input Sheet'!$E$3:$E$1001,O$4)=0,"",SUMIFS('Input Sheet'!$F$3:$F$1001,'Input Sheet'!$B$3:$B$1001,$H269,'Input Sheet'!$E$3:$E$1001,O$4))</f>
        <v/>
      </c>
      <c r="P269" s="21" t="str">
        <f>IF(SUMIFS('Input Sheet'!$F$3:$F$1001,'Input Sheet'!$B$3:$B$1001,$H269,'Input Sheet'!$E$3:$E$1001,P$4)=0,"",SUMIFS('Input Sheet'!$F$3:$F$1001,'Input Sheet'!$B$3:$B$1001,$H269,'Input Sheet'!$E$3:$E$1001,P$4))</f>
        <v/>
      </c>
      <c r="Q269" s="21" t="str">
        <f>IF(SUMIFS('Input Sheet'!$F$3:$F$1001,'Input Sheet'!$B$3:$B$1001,$H269,'Input Sheet'!$E$3:$E$1001,Q$4)=0,"",SUMIFS('Input Sheet'!$F$3:$F$1001,'Input Sheet'!$B$3:$B$1001,$H269,'Input Sheet'!$E$3:$E$1001,Q$4))</f>
        <v/>
      </c>
      <c r="R269" s="21" t="str">
        <f>IF(SUMIFS('Input Sheet'!$F$3:$F$1001,'Input Sheet'!$B$3:$B$1001,$H269,'Input Sheet'!$E$3:$E$1001,R$4)=0,"",SUMIFS('Input Sheet'!$F$3:$F$1001,'Input Sheet'!$B$3:$B$1001,$H269,'Input Sheet'!$E$3:$E$1001,R$4))</f>
        <v/>
      </c>
      <c r="S269" s="21" t="str">
        <f>IF(SUMIFS('Input Sheet'!$F$3:$F$1001,'Input Sheet'!$B$3:$B$1001,$H269,'Input Sheet'!$E$3:$E$1001,S$4)=0,"",SUMIFS('Input Sheet'!$F$3:$F$1001,'Input Sheet'!$B$3:$B$1001,$H269,'Input Sheet'!$E$3:$E$1001,S$4))</f>
        <v/>
      </c>
      <c r="T269" s="22">
        <v>264</v>
      </c>
    </row>
    <row r="270" spans="1:20" ht="14.25" customHeight="1" x14ac:dyDescent="0.3">
      <c r="A270" s="4" t="str">
        <f>IF('Input Sheet'!B267=0,"",'Input Sheet'!B267)</f>
        <v/>
      </c>
      <c r="B270" s="24" t="b">
        <f t="shared" si="264"/>
        <v>0</v>
      </c>
      <c r="C270" s="4">
        <f>SUMIF('Input Sheet'!B$3:B$1000,A270,'Input Sheet'!C$3:C$1000)</f>
        <v>0</v>
      </c>
      <c r="D270" s="4">
        <f>SUMIF('Input Sheet'!B$3:B$1000,A270,'Input Sheet'!D$3:D$1000)</f>
        <v>0</v>
      </c>
      <c r="E270" s="4" t="str">
        <f t="shared" ref="E270:F270" ca="1" si="280">IFERROR(RANK(K270,K$6:K$1004,1),"")</f>
        <v/>
      </c>
      <c r="F270" s="4" t="str">
        <f t="shared" ca="1" si="280"/>
        <v/>
      </c>
      <c r="G270" s="4" t="str">
        <f t="shared" ca="1" si="266"/>
        <v/>
      </c>
      <c r="H270" s="4" t="str">
        <f t="shared" si="267"/>
        <v/>
      </c>
      <c r="I270" s="4" t="str">
        <f t="shared" si="268"/>
        <v/>
      </c>
      <c r="J270" s="4" t="str">
        <f t="shared" si="269"/>
        <v/>
      </c>
      <c r="K270" s="25" t="str">
        <f t="shared" ca="1" si="270"/>
        <v/>
      </c>
      <c r="L270" s="21" t="str">
        <f t="shared" ca="1" si="271"/>
        <v/>
      </c>
      <c r="M270" s="21" t="str">
        <f>IF(SUMIFS('Input Sheet'!$F$3:$F$1001,'Input Sheet'!$B$3:$B$1001,$H270,'Input Sheet'!$E$3:$E$1001,M$4)=0,"",SUMIFS('Input Sheet'!$F$3:$F$1001,'Input Sheet'!$B$3:$B$1001,$H270,'Input Sheet'!$E$3:$E$1001,M$4))</f>
        <v/>
      </c>
      <c r="N270" s="21" t="str">
        <f>IF(SUMIFS('Input Sheet'!$F$3:$F$1001,'Input Sheet'!$B$3:$B$1001,$H270,'Input Sheet'!$E$3:$E$1001,N$4)=0,"",SUMIFS('Input Sheet'!$F$3:$F$1001,'Input Sheet'!$B$3:$B$1001,$H270,'Input Sheet'!$E$3:$E$1001,N$4))</f>
        <v/>
      </c>
      <c r="O270" s="21" t="str">
        <f>IF(SUMIFS('Input Sheet'!$F$3:$F$1001,'Input Sheet'!$B$3:$B$1001,$H270,'Input Sheet'!$E$3:$E$1001,O$4)=0,"",SUMIFS('Input Sheet'!$F$3:$F$1001,'Input Sheet'!$B$3:$B$1001,$H270,'Input Sheet'!$E$3:$E$1001,O$4))</f>
        <v/>
      </c>
      <c r="P270" s="21" t="str">
        <f>IF(SUMIFS('Input Sheet'!$F$3:$F$1001,'Input Sheet'!$B$3:$B$1001,$H270,'Input Sheet'!$E$3:$E$1001,P$4)=0,"",SUMIFS('Input Sheet'!$F$3:$F$1001,'Input Sheet'!$B$3:$B$1001,$H270,'Input Sheet'!$E$3:$E$1001,P$4))</f>
        <v/>
      </c>
      <c r="Q270" s="21" t="str">
        <f>IF(SUMIFS('Input Sheet'!$F$3:$F$1001,'Input Sheet'!$B$3:$B$1001,$H270,'Input Sheet'!$E$3:$E$1001,Q$4)=0,"",SUMIFS('Input Sheet'!$F$3:$F$1001,'Input Sheet'!$B$3:$B$1001,$H270,'Input Sheet'!$E$3:$E$1001,Q$4))</f>
        <v/>
      </c>
      <c r="R270" s="21" t="str">
        <f>IF(SUMIFS('Input Sheet'!$F$3:$F$1001,'Input Sheet'!$B$3:$B$1001,$H270,'Input Sheet'!$E$3:$E$1001,R$4)=0,"",SUMIFS('Input Sheet'!$F$3:$F$1001,'Input Sheet'!$B$3:$B$1001,$H270,'Input Sheet'!$E$3:$E$1001,R$4))</f>
        <v/>
      </c>
      <c r="S270" s="21" t="str">
        <f>IF(SUMIFS('Input Sheet'!$F$3:$F$1001,'Input Sheet'!$B$3:$B$1001,$H270,'Input Sheet'!$E$3:$E$1001,S$4)=0,"",SUMIFS('Input Sheet'!$F$3:$F$1001,'Input Sheet'!$B$3:$B$1001,$H270,'Input Sheet'!$E$3:$E$1001,S$4))</f>
        <v/>
      </c>
      <c r="T270" s="22">
        <v>265</v>
      </c>
    </row>
    <row r="271" spans="1:20" ht="14.25" customHeight="1" x14ac:dyDescent="0.3">
      <c r="A271" s="4" t="str">
        <f>IF('Input Sheet'!B268=0,"",'Input Sheet'!B268)</f>
        <v/>
      </c>
      <c r="B271" s="24" t="b">
        <f t="shared" si="264"/>
        <v>0</v>
      </c>
      <c r="C271" s="4">
        <f>SUMIF('Input Sheet'!B$3:B$1000,A271,'Input Sheet'!C$3:C$1000)</f>
        <v>0</v>
      </c>
      <c r="D271" s="4">
        <f>SUMIF('Input Sheet'!B$3:B$1000,A271,'Input Sheet'!D$3:D$1000)</f>
        <v>0</v>
      </c>
      <c r="E271" s="4" t="str">
        <f t="shared" ref="E271:F271" ca="1" si="281">IFERROR(RANK(K271,K$6:K$1004,1),"")</f>
        <v/>
      </c>
      <c r="F271" s="4" t="str">
        <f t="shared" ca="1" si="281"/>
        <v/>
      </c>
      <c r="G271" s="4" t="str">
        <f t="shared" ca="1" si="266"/>
        <v/>
      </c>
      <c r="H271" s="4" t="str">
        <f t="shared" si="267"/>
        <v/>
      </c>
      <c r="I271" s="4" t="str">
        <f t="shared" si="268"/>
        <v/>
      </c>
      <c r="J271" s="4" t="str">
        <f t="shared" si="269"/>
        <v/>
      </c>
      <c r="K271" s="25" t="str">
        <f t="shared" ca="1" si="270"/>
        <v/>
      </c>
      <c r="L271" s="21" t="str">
        <f t="shared" ca="1" si="271"/>
        <v/>
      </c>
      <c r="M271" s="21" t="str">
        <f>IF(SUMIFS('Input Sheet'!$F$3:$F$1001,'Input Sheet'!$B$3:$B$1001,$H271,'Input Sheet'!$E$3:$E$1001,M$4)=0,"",SUMIFS('Input Sheet'!$F$3:$F$1001,'Input Sheet'!$B$3:$B$1001,$H271,'Input Sheet'!$E$3:$E$1001,M$4))</f>
        <v/>
      </c>
      <c r="N271" s="21" t="str">
        <f>IF(SUMIFS('Input Sheet'!$F$3:$F$1001,'Input Sheet'!$B$3:$B$1001,$H271,'Input Sheet'!$E$3:$E$1001,N$4)=0,"",SUMIFS('Input Sheet'!$F$3:$F$1001,'Input Sheet'!$B$3:$B$1001,$H271,'Input Sheet'!$E$3:$E$1001,N$4))</f>
        <v/>
      </c>
      <c r="O271" s="21" t="str">
        <f>IF(SUMIFS('Input Sheet'!$F$3:$F$1001,'Input Sheet'!$B$3:$B$1001,$H271,'Input Sheet'!$E$3:$E$1001,O$4)=0,"",SUMIFS('Input Sheet'!$F$3:$F$1001,'Input Sheet'!$B$3:$B$1001,$H271,'Input Sheet'!$E$3:$E$1001,O$4))</f>
        <v/>
      </c>
      <c r="P271" s="21" t="str">
        <f>IF(SUMIFS('Input Sheet'!$F$3:$F$1001,'Input Sheet'!$B$3:$B$1001,$H271,'Input Sheet'!$E$3:$E$1001,P$4)=0,"",SUMIFS('Input Sheet'!$F$3:$F$1001,'Input Sheet'!$B$3:$B$1001,$H271,'Input Sheet'!$E$3:$E$1001,P$4))</f>
        <v/>
      </c>
      <c r="Q271" s="21" t="str">
        <f>IF(SUMIFS('Input Sheet'!$F$3:$F$1001,'Input Sheet'!$B$3:$B$1001,$H271,'Input Sheet'!$E$3:$E$1001,Q$4)=0,"",SUMIFS('Input Sheet'!$F$3:$F$1001,'Input Sheet'!$B$3:$B$1001,$H271,'Input Sheet'!$E$3:$E$1001,Q$4))</f>
        <v/>
      </c>
      <c r="R271" s="21" t="str">
        <f>IF(SUMIFS('Input Sheet'!$F$3:$F$1001,'Input Sheet'!$B$3:$B$1001,$H271,'Input Sheet'!$E$3:$E$1001,R$4)=0,"",SUMIFS('Input Sheet'!$F$3:$F$1001,'Input Sheet'!$B$3:$B$1001,$H271,'Input Sheet'!$E$3:$E$1001,R$4))</f>
        <v/>
      </c>
      <c r="S271" s="21" t="str">
        <f>IF(SUMIFS('Input Sheet'!$F$3:$F$1001,'Input Sheet'!$B$3:$B$1001,$H271,'Input Sheet'!$E$3:$E$1001,S$4)=0,"",SUMIFS('Input Sheet'!$F$3:$F$1001,'Input Sheet'!$B$3:$B$1001,$H271,'Input Sheet'!$E$3:$E$1001,S$4))</f>
        <v/>
      </c>
      <c r="T271" s="22">
        <v>266</v>
      </c>
    </row>
    <row r="272" spans="1:20" ht="14.25" customHeight="1" x14ac:dyDescent="0.3">
      <c r="A272" s="4" t="str">
        <f>IF('Input Sheet'!B269=0,"",'Input Sheet'!B269)</f>
        <v/>
      </c>
      <c r="B272" s="24" t="b">
        <f t="shared" si="264"/>
        <v>0</v>
      </c>
      <c r="C272" s="4">
        <f>SUMIF('Input Sheet'!B$3:B$1000,A272,'Input Sheet'!C$3:C$1000)</f>
        <v>0</v>
      </c>
      <c r="D272" s="4">
        <f>SUMIF('Input Sheet'!B$3:B$1000,A272,'Input Sheet'!D$3:D$1000)</f>
        <v>0</v>
      </c>
      <c r="E272" s="4" t="str">
        <f t="shared" ref="E272:F272" ca="1" si="282">IFERROR(RANK(K272,K$6:K$1004,1),"")</f>
        <v/>
      </c>
      <c r="F272" s="4" t="str">
        <f t="shared" ca="1" si="282"/>
        <v/>
      </c>
      <c r="G272" s="4" t="str">
        <f t="shared" ca="1" si="266"/>
        <v/>
      </c>
      <c r="H272" s="4" t="str">
        <f t="shared" si="267"/>
        <v/>
      </c>
      <c r="I272" s="4" t="str">
        <f t="shared" si="268"/>
        <v/>
      </c>
      <c r="J272" s="4" t="str">
        <f t="shared" si="269"/>
        <v/>
      </c>
      <c r="K272" s="25" t="str">
        <f t="shared" ca="1" si="270"/>
        <v/>
      </c>
      <c r="L272" s="21" t="str">
        <f t="shared" ca="1" si="271"/>
        <v/>
      </c>
      <c r="M272" s="21" t="str">
        <f>IF(SUMIFS('Input Sheet'!$F$3:$F$1001,'Input Sheet'!$B$3:$B$1001,$H272,'Input Sheet'!$E$3:$E$1001,M$4)=0,"",SUMIFS('Input Sheet'!$F$3:$F$1001,'Input Sheet'!$B$3:$B$1001,$H272,'Input Sheet'!$E$3:$E$1001,M$4))</f>
        <v/>
      </c>
      <c r="N272" s="21" t="str">
        <f>IF(SUMIFS('Input Sheet'!$F$3:$F$1001,'Input Sheet'!$B$3:$B$1001,$H272,'Input Sheet'!$E$3:$E$1001,N$4)=0,"",SUMIFS('Input Sheet'!$F$3:$F$1001,'Input Sheet'!$B$3:$B$1001,$H272,'Input Sheet'!$E$3:$E$1001,N$4))</f>
        <v/>
      </c>
      <c r="O272" s="21" t="str">
        <f>IF(SUMIFS('Input Sheet'!$F$3:$F$1001,'Input Sheet'!$B$3:$B$1001,$H272,'Input Sheet'!$E$3:$E$1001,O$4)=0,"",SUMIFS('Input Sheet'!$F$3:$F$1001,'Input Sheet'!$B$3:$B$1001,$H272,'Input Sheet'!$E$3:$E$1001,O$4))</f>
        <v/>
      </c>
      <c r="P272" s="21" t="str">
        <f>IF(SUMIFS('Input Sheet'!$F$3:$F$1001,'Input Sheet'!$B$3:$B$1001,$H272,'Input Sheet'!$E$3:$E$1001,P$4)=0,"",SUMIFS('Input Sheet'!$F$3:$F$1001,'Input Sheet'!$B$3:$B$1001,$H272,'Input Sheet'!$E$3:$E$1001,P$4))</f>
        <v/>
      </c>
      <c r="Q272" s="21" t="str">
        <f>IF(SUMIFS('Input Sheet'!$F$3:$F$1001,'Input Sheet'!$B$3:$B$1001,$H272,'Input Sheet'!$E$3:$E$1001,Q$4)=0,"",SUMIFS('Input Sheet'!$F$3:$F$1001,'Input Sheet'!$B$3:$B$1001,$H272,'Input Sheet'!$E$3:$E$1001,Q$4))</f>
        <v/>
      </c>
      <c r="R272" s="21" t="str">
        <f>IF(SUMIFS('Input Sheet'!$F$3:$F$1001,'Input Sheet'!$B$3:$B$1001,$H272,'Input Sheet'!$E$3:$E$1001,R$4)=0,"",SUMIFS('Input Sheet'!$F$3:$F$1001,'Input Sheet'!$B$3:$B$1001,$H272,'Input Sheet'!$E$3:$E$1001,R$4))</f>
        <v/>
      </c>
      <c r="S272" s="21" t="str">
        <f>IF(SUMIFS('Input Sheet'!$F$3:$F$1001,'Input Sheet'!$B$3:$B$1001,$H272,'Input Sheet'!$E$3:$E$1001,S$4)=0,"",SUMIFS('Input Sheet'!$F$3:$F$1001,'Input Sheet'!$B$3:$B$1001,$H272,'Input Sheet'!$E$3:$E$1001,S$4))</f>
        <v/>
      </c>
      <c r="T272" s="22">
        <v>267</v>
      </c>
    </row>
    <row r="273" spans="1:20" ht="14.25" customHeight="1" x14ac:dyDescent="0.3">
      <c r="A273" s="4" t="str">
        <f>IF('Input Sheet'!B270=0,"",'Input Sheet'!B270)</f>
        <v/>
      </c>
      <c r="B273" s="24" t="b">
        <f t="shared" si="264"/>
        <v>0</v>
      </c>
      <c r="C273" s="4">
        <f>SUMIF('Input Sheet'!B$3:B$1000,A273,'Input Sheet'!C$3:C$1000)</f>
        <v>0</v>
      </c>
      <c r="D273" s="4">
        <f>SUMIF('Input Sheet'!B$3:B$1000,A273,'Input Sheet'!D$3:D$1000)</f>
        <v>0</v>
      </c>
      <c r="E273" s="4" t="str">
        <f t="shared" ref="E273:F273" ca="1" si="283">IFERROR(RANK(K273,K$6:K$1004,1),"")</f>
        <v/>
      </c>
      <c r="F273" s="4" t="str">
        <f t="shared" ca="1" si="283"/>
        <v/>
      </c>
      <c r="G273" s="4" t="str">
        <f t="shared" ca="1" si="266"/>
        <v/>
      </c>
      <c r="H273" s="4" t="str">
        <f t="shared" si="267"/>
        <v/>
      </c>
      <c r="I273" s="4" t="str">
        <f t="shared" si="268"/>
        <v/>
      </c>
      <c r="J273" s="4" t="str">
        <f t="shared" si="269"/>
        <v/>
      </c>
      <c r="K273" s="25" t="str">
        <f t="shared" ca="1" si="270"/>
        <v/>
      </c>
      <c r="L273" s="21" t="str">
        <f t="shared" ca="1" si="271"/>
        <v/>
      </c>
      <c r="M273" s="21" t="str">
        <f>IF(SUMIFS('Input Sheet'!$F$3:$F$1001,'Input Sheet'!$B$3:$B$1001,$H273,'Input Sheet'!$E$3:$E$1001,M$4)=0,"",SUMIFS('Input Sheet'!$F$3:$F$1001,'Input Sheet'!$B$3:$B$1001,$H273,'Input Sheet'!$E$3:$E$1001,M$4))</f>
        <v/>
      </c>
      <c r="N273" s="21" t="str">
        <f>IF(SUMIFS('Input Sheet'!$F$3:$F$1001,'Input Sheet'!$B$3:$B$1001,$H273,'Input Sheet'!$E$3:$E$1001,N$4)=0,"",SUMIFS('Input Sheet'!$F$3:$F$1001,'Input Sheet'!$B$3:$B$1001,$H273,'Input Sheet'!$E$3:$E$1001,N$4))</f>
        <v/>
      </c>
      <c r="O273" s="21" t="str">
        <f>IF(SUMIFS('Input Sheet'!$F$3:$F$1001,'Input Sheet'!$B$3:$B$1001,$H273,'Input Sheet'!$E$3:$E$1001,O$4)=0,"",SUMIFS('Input Sheet'!$F$3:$F$1001,'Input Sheet'!$B$3:$B$1001,$H273,'Input Sheet'!$E$3:$E$1001,O$4))</f>
        <v/>
      </c>
      <c r="P273" s="21" t="str">
        <f>IF(SUMIFS('Input Sheet'!$F$3:$F$1001,'Input Sheet'!$B$3:$B$1001,$H273,'Input Sheet'!$E$3:$E$1001,P$4)=0,"",SUMIFS('Input Sheet'!$F$3:$F$1001,'Input Sheet'!$B$3:$B$1001,$H273,'Input Sheet'!$E$3:$E$1001,P$4))</f>
        <v/>
      </c>
      <c r="Q273" s="21" t="str">
        <f>IF(SUMIFS('Input Sheet'!$F$3:$F$1001,'Input Sheet'!$B$3:$B$1001,$H273,'Input Sheet'!$E$3:$E$1001,Q$4)=0,"",SUMIFS('Input Sheet'!$F$3:$F$1001,'Input Sheet'!$B$3:$B$1001,$H273,'Input Sheet'!$E$3:$E$1001,Q$4))</f>
        <v/>
      </c>
      <c r="R273" s="21" t="str">
        <f>IF(SUMIFS('Input Sheet'!$F$3:$F$1001,'Input Sheet'!$B$3:$B$1001,$H273,'Input Sheet'!$E$3:$E$1001,R$4)=0,"",SUMIFS('Input Sheet'!$F$3:$F$1001,'Input Sheet'!$B$3:$B$1001,$H273,'Input Sheet'!$E$3:$E$1001,R$4))</f>
        <v/>
      </c>
      <c r="S273" s="21" t="str">
        <f>IF(SUMIFS('Input Sheet'!$F$3:$F$1001,'Input Sheet'!$B$3:$B$1001,$H273,'Input Sheet'!$E$3:$E$1001,S$4)=0,"",SUMIFS('Input Sheet'!$F$3:$F$1001,'Input Sheet'!$B$3:$B$1001,$H273,'Input Sheet'!$E$3:$E$1001,S$4))</f>
        <v/>
      </c>
      <c r="T273" s="22">
        <v>268</v>
      </c>
    </row>
    <row r="274" spans="1:20" ht="14.25" customHeight="1" x14ac:dyDescent="0.3">
      <c r="A274" s="4" t="str">
        <f>IF('Input Sheet'!B271=0,"",'Input Sheet'!B271)</f>
        <v/>
      </c>
      <c r="B274" s="24" t="b">
        <f t="shared" si="264"/>
        <v>0</v>
      </c>
      <c r="C274" s="4">
        <f>SUMIF('Input Sheet'!B$3:B$1000,A274,'Input Sheet'!C$3:C$1000)</f>
        <v>0</v>
      </c>
      <c r="D274" s="4">
        <f>SUMIF('Input Sheet'!B$3:B$1000,A274,'Input Sheet'!D$3:D$1000)</f>
        <v>0</v>
      </c>
      <c r="E274" s="4" t="str">
        <f t="shared" ref="E274:F274" ca="1" si="284">IFERROR(RANK(K274,K$6:K$1004,1),"")</f>
        <v/>
      </c>
      <c r="F274" s="4" t="str">
        <f t="shared" ca="1" si="284"/>
        <v/>
      </c>
      <c r="G274" s="4" t="str">
        <f t="shared" ca="1" si="266"/>
        <v/>
      </c>
      <c r="H274" s="4" t="str">
        <f t="shared" si="267"/>
        <v/>
      </c>
      <c r="I274" s="4" t="str">
        <f t="shared" si="268"/>
        <v/>
      </c>
      <c r="J274" s="4" t="str">
        <f t="shared" si="269"/>
        <v/>
      </c>
      <c r="K274" s="25" t="str">
        <f t="shared" ca="1" si="270"/>
        <v/>
      </c>
      <c r="L274" s="21" t="str">
        <f t="shared" ca="1" si="271"/>
        <v/>
      </c>
      <c r="M274" s="21" t="str">
        <f>IF(SUMIFS('Input Sheet'!$F$3:$F$1001,'Input Sheet'!$B$3:$B$1001,$H274,'Input Sheet'!$E$3:$E$1001,M$4)=0,"",SUMIFS('Input Sheet'!$F$3:$F$1001,'Input Sheet'!$B$3:$B$1001,$H274,'Input Sheet'!$E$3:$E$1001,M$4))</f>
        <v/>
      </c>
      <c r="N274" s="21" t="str">
        <f>IF(SUMIFS('Input Sheet'!$F$3:$F$1001,'Input Sheet'!$B$3:$B$1001,$H274,'Input Sheet'!$E$3:$E$1001,N$4)=0,"",SUMIFS('Input Sheet'!$F$3:$F$1001,'Input Sheet'!$B$3:$B$1001,$H274,'Input Sheet'!$E$3:$E$1001,N$4))</f>
        <v/>
      </c>
      <c r="O274" s="21" t="str">
        <f>IF(SUMIFS('Input Sheet'!$F$3:$F$1001,'Input Sheet'!$B$3:$B$1001,$H274,'Input Sheet'!$E$3:$E$1001,O$4)=0,"",SUMIFS('Input Sheet'!$F$3:$F$1001,'Input Sheet'!$B$3:$B$1001,$H274,'Input Sheet'!$E$3:$E$1001,O$4))</f>
        <v/>
      </c>
      <c r="P274" s="21" t="str">
        <f>IF(SUMIFS('Input Sheet'!$F$3:$F$1001,'Input Sheet'!$B$3:$B$1001,$H274,'Input Sheet'!$E$3:$E$1001,P$4)=0,"",SUMIFS('Input Sheet'!$F$3:$F$1001,'Input Sheet'!$B$3:$B$1001,$H274,'Input Sheet'!$E$3:$E$1001,P$4))</f>
        <v/>
      </c>
      <c r="Q274" s="21" t="str">
        <f>IF(SUMIFS('Input Sheet'!$F$3:$F$1001,'Input Sheet'!$B$3:$B$1001,$H274,'Input Sheet'!$E$3:$E$1001,Q$4)=0,"",SUMIFS('Input Sheet'!$F$3:$F$1001,'Input Sheet'!$B$3:$B$1001,$H274,'Input Sheet'!$E$3:$E$1001,Q$4))</f>
        <v/>
      </c>
      <c r="R274" s="21" t="str">
        <f>IF(SUMIFS('Input Sheet'!$F$3:$F$1001,'Input Sheet'!$B$3:$B$1001,$H274,'Input Sheet'!$E$3:$E$1001,R$4)=0,"",SUMIFS('Input Sheet'!$F$3:$F$1001,'Input Sheet'!$B$3:$B$1001,$H274,'Input Sheet'!$E$3:$E$1001,R$4))</f>
        <v/>
      </c>
      <c r="S274" s="21" t="str">
        <f>IF(SUMIFS('Input Sheet'!$F$3:$F$1001,'Input Sheet'!$B$3:$B$1001,$H274,'Input Sheet'!$E$3:$E$1001,S$4)=0,"",SUMIFS('Input Sheet'!$F$3:$F$1001,'Input Sheet'!$B$3:$B$1001,$H274,'Input Sheet'!$E$3:$E$1001,S$4))</f>
        <v/>
      </c>
      <c r="T274" s="22">
        <v>269</v>
      </c>
    </row>
    <row r="275" spans="1:20" ht="14.25" customHeight="1" x14ac:dyDescent="0.3">
      <c r="A275" s="4" t="str">
        <f>IF('Input Sheet'!B272=0,"",'Input Sheet'!B272)</f>
        <v/>
      </c>
      <c r="B275" s="24" t="b">
        <f t="shared" si="264"/>
        <v>0</v>
      </c>
      <c r="C275" s="4">
        <f>SUMIF('Input Sheet'!B$3:B$1000,A275,'Input Sheet'!C$3:C$1000)</f>
        <v>0</v>
      </c>
      <c r="D275" s="4">
        <f>SUMIF('Input Sheet'!B$3:B$1000,A275,'Input Sheet'!D$3:D$1000)</f>
        <v>0</v>
      </c>
      <c r="E275" s="4" t="str">
        <f t="shared" ref="E275:F275" ca="1" si="285">IFERROR(RANK(K275,K$6:K$1004,1),"")</f>
        <v/>
      </c>
      <c r="F275" s="4" t="str">
        <f t="shared" ca="1" si="285"/>
        <v/>
      </c>
      <c r="G275" s="4" t="str">
        <f t="shared" ca="1" si="266"/>
        <v/>
      </c>
      <c r="H275" s="4" t="str">
        <f t="shared" si="267"/>
        <v/>
      </c>
      <c r="I275" s="4" t="str">
        <f t="shared" si="268"/>
        <v/>
      </c>
      <c r="J275" s="4" t="str">
        <f t="shared" si="269"/>
        <v/>
      </c>
      <c r="K275" s="25" t="str">
        <f t="shared" ca="1" si="270"/>
        <v/>
      </c>
      <c r="L275" s="21" t="str">
        <f t="shared" ca="1" si="271"/>
        <v/>
      </c>
      <c r="M275" s="21" t="str">
        <f>IF(SUMIFS('Input Sheet'!$F$3:$F$1001,'Input Sheet'!$B$3:$B$1001,$H275,'Input Sheet'!$E$3:$E$1001,M$4)=0,"",SUMIFS('Input Sheet'!$F$3:$F$1001,'Input Sheet'!$B$3:$B$1001,$H275,'Input Sheet'!$E$3:$E$1001,M$4))</f>
        <v/>
      </c>
      <c r="N275" s="21" t="str">
        <f>IF(SUMIFS('Input Sheet'!$F$3:$F$1001,'Input Sheet'!$B$3:$B$1001,$H275,'Input Sheet'!$E$3:$E$1001,N$4)=0,"",SUMIFS('Input Sheet'!$F$3:$F$1001,'Input Sheet'!$B$3:$B$1001,$H275,'Input Sheet'!$E$3:$E$1001,N$4))</f>
        <v/>
      </c>
      <c r="O275" s="21" t="str">
        <f>IF(SUMIFS('Input Sheet'!$F$3:$F$1001,'Input Sheet'!$B$3:$B$1001,$H275,'Input Sheet'!$E$3:$E$1001,O$4)=0,"",SUMIFS('Input Sheet'!$F$3:$F$1001,'Input Sheet'!$B$3:$B$1001,$H275,'Input Sheet'!$E$3:$E$1001,O$4))</f>
        <v/>
      </c>
      <c r="P275" s="21" t="str">
        <f>IF(SUMIFS('Input Sheet'!$F$3:$F$1001,'Input Sheet'!$B$3:$B$1001,$H275,'Input Sheet'!$E$3:$E$1001,P$4)=0,"",SUMIFS('Input Sheet'!$F$3:$F$1001,'Input Sheet'!$B$3:$B$1001,$H275,'Input Sheet'!$E$3:$E$1001,P$4))</f>
        <v/>
      </c>
      <c r="Q275" s="21" t="str">
        <f>IF(SUMIFS('Input Sheet'!$F$3:$F$1001,'Input Sheet'!$B$3:$B$1001,$H275,'Input Sheet'!$E$3:$E$1001,Q$4)=0,"",SUMIFS('Input Sheet'!$F$3:$F$1001,'Input Sheet'!$B$3:$B$1001,$H275,'Input Sheet'!$E$3:$E$1001,Q$4))</f>
        <v/>
      </c>
      <c r="R275" s="21" t="str">
        <f>IF(SUMIFS('Input Sheet'!$F$3:$F$1001,'Input Sheet'!$B$3:$B$1001,$H275,'Input Sheet'!$E$3:$E$1001,R$4)=0,"",SUMIFS('Input Sheet'!$F$3:$F$1001,'Input Sheet'!$B$3:$B$1001,$H275,'Input Sheet'!$E$3:$E$1001,R$4))</f>
        <v/>
      </c>
      <c r="S275" s="21" t="str">
        <f>IF(SUMIFS('Input Sheet'!$F$3:$F$1001,'Input Sheet'!$B$3:$B$1001,$H275,'Input Sheet'!$E$3:$E$1001,S$4)=0,"",SUMIFS('Input Sheet'!$F$3:$F$1001,'Input Sheet'!$B$3:$B$1001,$H275,'Input Sheet'!$E$3:$E$1001,S$4))</f>
        <v/>
      </c>
      <c r="T275" s="22">
        <v>270</v>
      </c>
    </row>
    <row r="276" spans="1:20" ht="14.25" customHeight="1" x14ac:dyDescent="0.3">
      <c r="A276" s="4" t="str">
        <f>IF('Input Sheet'!B273=0,"",'Input Sheet'!B273)</f>
        <v/>
      </c>
      <c r="B276" s="24" t="b">
        <f t="shared" si="264"/>
        <v>0</v>
      </c>
      <c r="C276" s="4">
        <f>SUMIF('Input Sheet'!B$3:B$1000,A276,'Input Sheet'!C$3:C$1000)</f>
        <v>0</v>
      </c>
      <c r="D276" s="4">
        <f>SUMIF('Input Sheet'!B$3:B$1000,A276,'Input Sheet'!D$3:D$1000)</f>
        <v>0</v>
      </c>
      <c r="E276" s="4" t="str">
        <f t="shared" ref="E276:F276" ca="1" si="286">IFERROR(RANK(K276,K$6:K$1004,1),"")</f>
        <v/>
      </c>
      <c r="F276" s="4" t="str">
        <f t="shared" ca="1" si="286"/>
        <v/>
      </c>
      <c r="G276" s="4" t="str">
        <f t="shared" ca="1" si="266"/>
        <v/>
      </c>
      <c r="H276" s="4" t="str">
        <f t="shared" si="267"/>
        <v/>
      </c>
      <c r="I276" s="4" t="str">
        <f t="shared" si="268"/>
        <v/>
      </c>
      <c r="J276" s="4" t="str">
        <f t="shared" si="269"/>
        <v/>
      </c>
      <c r="K276" s="25" t="str">
        <f t="shared" ca="1" si="270"/>
        <v/>
      </c>
      <c r="L276" s="21" t="str">
        <f t="shared" ca="1" si="271"/>
        <v/>
      </c>
      <c r="M276" s="21" t="str">
        <f>IF(SUMIFS('Input Sheet'!$F$3:$F$1001,'Input Sheet'!$B$3:$B$1001,$H276,'Input Sheet'!$E$3:$E$1001,M$4)=0,"",SUMIFS('Input Sheet'!$F$3:$F$1001,'Input Sheet'!$B$3:$B$1001,$H276,'Input Sheet'!$E$3:$E$1001,M$4))</f>
        <v/>
      </c>
      <c r="N276" s="21" t="str">
        <f>IF(SUMIFS('Input Sheet'!$F$3:$F$1001,'Input Sheet'!$B$3:$B$1001,$H276,'Input Sheet'!$E$3:$E$1001,N$4)=0,"",SUMIFS('Input Sheet'!$F$3:$F$1001,'Input Sheet'!$B$3:$B$1001,$H276,'Input Sheet'!$E$3:$E$1001,N$4))</f>
        <v/>
      </c>
      <c r="O276" s="21" t="str">
        <f>IF(SUMIFS('Input Sheet'!$F$3:$F$1001,'Input Sheet'!$B$3:$B$1001,$H276,'Input Sheet'!$E$3:$E$1001,O$4)=0,"",SUMIFS('Input Sheet'!$F$3:$F$1001,'Input Sheet'!$B$3:$B$1001,$H276,'Input Sheet'!$E$3:$E$1001,O$4))</f>
        <v/>
      </c>
      <c r="P276" s="21" t="str">
        <f>IF(SUMIFS('Input Sheet'!$F$3:$F$1001,'Input Sheet'!$B$3:$B$1001,$H276,'Input Sheet'!$E$3:$E$1001,P$4)=0,"",SUMIFS('Input Sheet'!$F$3:$F$1001,'Input Sheet'!$B$3:$B$1001,$H276,'Input Sheet'!$E$3:$E$1001,P$4))</f>
        <v/>
      </c>
      <c r="Q276" s="21" t="str">
        <f>IF(SUMIFS('Input Sheet'!$F$3:$F$1001,'Input Sheet'!$B$3:$B$1001,$H276,'Input Sheet'!$E$3:$E$1001,Q$4)=0,"",SUMIFS('Input Sheet'!$F$3:$F$1001,'Input Sheet'!$B$3:$B$1001,$H276,'Input Sheet'!$E$3:$E$1001,Q$4))</f>
        <v/>
      </c>
      <c r="R276" s="21" t="str">
        <f>IF(SUMIFS('Input Sheet'!$F$3:$F$1001,'Input Sheet'!$B$3:$B$1001,$H276,'Input Sheet'!$E$3:$E$1001,R$4)=0,"",SUMIFS('Input Sheet'!$F$3:$F$1001,'Input Sheet'!$B$3:$B$1001,$H276,'Input Sheet'!$E$3:$E$1001,R$4))</f>
        <v/>
      </c>
      <c r="S276" s="21" t="str">
        <f>IF(SUMIFS('Input Sheet'!$F$3:$F$1001,'Input Sheet'!$B$3:$B$1001,$H276,'Input Sheet'!$E$3:$E$1001,S$4)=0,"",SUMIFS('Input Sheet'!$F$3:$F$1001,'Input Sheet'!$B$3:$B$1001,$H276,'Input Sheet'!$E$3:$E$1001,S$4))</f>
        <v/>
      </c>
      <c r="T276" s="22">
        <v>271</v>
      </c>
    </row>
    <row r="277" spans="1:20" ht="14.25" customHeight="1" x14ac:dyDescent="0.3">
      <c r="A277" s="4" t="str">
        <f>IF('Input Sheet'!B274=0,"",'Input Sheet'!B274)</f>
        <v/>
      </c>
      <c r="B277" s="24" t="b">
        <f t="shared" si="264"/>
        <v>0</v>
      </c>
      <c r="C277" s="4">
        <f>SUMIF('Input Sheet'!B$3:B$1000,A277,'Input Sheet'!C$3:C$1000)</f>
        <v>0</v>
      </c>
      <c r="D277" s="4">
        <f>SUMIF('Input Sheet'!B$3:B$1000,A277,'Input Sheet'!D$3:D$1000)</f>
        <v>0</v>
      </c>
      <c r="E277" s="4" t="str">
        <f t="shared" ref="E277:F277" ca="1" si="287">IFERROR(RANK(K277,K$6:K$1004,1),"")</f>
        <v/>
      </c>
      <c r="F277" s="4" t="str">
        <f t="shared" ca="1" si="287"/>
        <v/>
      </c>
      <c r="G277" s="4" t="str">
        <f t="shared" ca="1" si="266"/>
        <v/>
      </c>
      <c r="H277" s="4" t="str">
        <f t="shared" si="267"/>
        <v/>
      </c>
      <c r="I277" s="4" t="str">
        <f t="shared" si="268"/>
        <v/>
      </c>
      <c r="J277" s="4" t="str">
        <f t="shared" si="269"/>
        <v/>
      </c>
      <c r="K277" s="25" t="str">
        <f t="shared" ca="1" si="270"/>
        <v/>
      </c>
      <c r="L277" s="21" t="str">
        <f t="shared" ca="1" si="271"/>
        <v/>
      </c>
      <c r="M277" s="21" t="str">
        <f>IF(SUMIFS('Input Sheet'!$F$3:$F$1001,'Input Sheet'!$B$3:$B$1001,$H277,'Input Sheet'!$E$3:$E$1001,M$4)=0,"",SUMIFS('Input Sheet'!$F$3:$F$1001,'Input Sheet'!$B$3:$B$1001,$H277,'Input Sheet'!$E$3:$E$1001,M$4))</f>
        <v/>
      </c>
      <c r="N277" s="21" t="str">
        <f>IF(SUMIFS('Input Sheet'!$F$3:$F$1001,'Input Sheet'!$B$3:$B$1001,$H277,'Input Sheet'!$E$3:$E$1001,N$4)=0,"",SUMIFS('Input Sheet'!$F$3:$F$1001,'Input Sheet'!$B$3:$B$1001,$H277,'Input Sheet'!$E$3:$E$1001,N$4))</f>
        <v/>
      </c>
      <c r="O277" s="21" t="str">
        <f>IF(SUMIFS('Input Sheet'!$F$3:$F$1001,'Input Sheet'!$B$3:$B$1001,$H277,'Input Sheet'!$E$3:$E$1001,O$4)=0,"",SUMIFS('Input Sheet'!$F$3:$F$1001,'Input Sheet'!$B$3:$B$1001,$H277,'Input Sheet'!$E$3:$E$1001,O$4))</f>
        <v/>
      </c>
      <c r="P277" s="21" t="str">
        <f>IF(SUMIFS('Input Sheet'!$F$3:$F$1001,'Input Sheet'!$B$3:$B$1001,$H277,'Input Sheet'!$E$3:$E$1001,P$4)=0,"",SUMIFS('Input Sheet'!$F$3:$F$1001,'Input Sheet'!$B$3:$B$1001,$H277,'Input Sheet'!$E$3:$E$1001,P$4))</f>
        <v/>
      </c>
      <c r="Q277" s="21" t="str">
        <f>IF(SUMIFS('Input Sheet'!$F$3:$F$1001,'Input Sheet'!$B$3:$B$1001,$H277,'Input Sheet'!$E$3:$E$1001,Q$4)=0,"",SUMIFS('Input Sheet'!$F$3:$F$1001,'Input Sheet'!$B$3:$B$1001,$H277,'Input Sheet'!$E$3:$E$1001,Q$4))</f>
        <v/>
      </c>
      <c r="R277" s="21" t="str">
        <f>IF(SUMIFS('Input Sheet'!$F$3:$F$1001,'Input Sheet'!$B$3:$B$1001,$H277,'Input Sheet'!$E$3:$E$1001,R$4)=0,"",SUMIFS('Input Sheet'!$F$3:$F$1001,'Input Sheet'!$B$3:$B$1001,$H277,'Input Sheet'!$E$3:$E$1001,R$4))</f>
        <v/>
      </c>
      <c r="S277" s="21" t="str">
        <f>IF(SUMIFS('Input Sheet'!$F$3:$F$1001,'Input Sheet'!$B$3:$B$1001,$H277,'Input Sheet'!$E$3:$E$1001,S$4)=0,"",SUMIFS('Input Sheet'!$F$3:$F$1001,'Input Sheet'!$B$3:$B$1001,$H277,'Input Sheet'!$E$3:$E$1001,S$4))</f>
        <v/>
      </c>
      <c r="T277" s="22">
        <v>272</v>
      </c>
    </row>
    <row r="278" spans="1:20" ht="14.25" customHeight="1" x14ac:dyDescent="0.3">
      <c r="A278" s="4" t="str">
        <f>IF('Input Sheet'!B275=0,"",'Input Sheet'!B275)</f>
        <v/>
      </c>
      <c r="B278" s="24" t="b">
        <f t="shared" si="264"/>
        <v>0</v>
      </c>
      <c r="C278" s="4">
        <f>SUMIF('Input Sheet'!B$3:B$1000,A278,'Input Sheet'!C$3:C$1000)</f>
        <v>0</v>
      </c>
      <c r="D278" s="4">
        <f>SUMIF('Input Sheet'!B$3:B$1000,A278,'Input Sheet'!D$3:D$1000)</f>
        <v>0</v>
      </c>
      <c r="E278" s="4" t="str">
        <f t="shared" ref="E278:F278" ca="1" si="288">IFERROR(RANK(K278,K$6:K$1004,1),"")</f>
        <v/>
      </c>
      <c r="F278" s="4" t="str">
        <f t="shared" ca="1" si="288"/>
        <v/>
      </c>
      <c r="G278" s="4" t="str">
        <f t="shared" ca="1" si="266"/>
        <v/>
      </c>
      <c r="H278" s="4" t="str">
        <f t="shared" si="267"/>
        <v/>
      </c>
      <c r="I278" s="4" t="str">
        <f t="shared" si="268"/>
        <v/>
      </c>
      <c r="J278" s="4" t="str">
        <f t="shared" si="269"/>
        <v/>
      </c>
      <c r="K278" s="25" t="str">
        <f t="shared" ca="1" si="270"/>
        <v/>
      </c>
      <c r="L278" s="21" t="str">
        <f t="shared" ca="1" si="271"/>
        <v/>
      </c>
      <c r="M278" s="21" t="str">
        <f>IF(SUMIFS('Input Sheet'!$F$3:$F$1001,'Input Sheet'!$B$3:$B$1001,$H278,'Input Sheet'!$E$3:$E$1001,M$4)=0,"",SUMIFS('Input Sheet'!$F$3:$F$1001,'Input Sheet'!$B$3:$B$1001,$H278,'Input Sheet'!$E$3:$E$1001,M$4))</f>
        <v/>
      </c>
      <c r="N278" s="21" t="str">
        <f>IF(SUMIFS('Input Sheet'!$F$3:$F$1001,'Input Sheet'!$B$3:$B$1001,$H278,'Input Sheet'!$E$3:$E$1001,N$4)=0,"",SUMIFS('Input Sheet'!$F$3:$F$1001,'Input Sheet'!$B$3:$B$1001,$H278,'Input Sheet'!$E$3:$E$1001,N$4))</f>
        <v/>
      </c>
      <c r="O278" s="21" t="str">
        <f>IF(SUMIFS('Input Sheet'!$F$3:$F$1001,'Input Sheet'!$B$3:$B$1001,$H278,'Input Sheet'!$E$3:$E$1001,O$4)=0,"",SUMIFS('Input Sheet'!$F$3:$F$1001,'Input Sheet'!$B$3:$B$1001,$H278,'Input Sheet'!$E$3:$E$1001,O$4))</f>
        <v/>
      </c>
      <c r="P278" s="21" t="str">
        <f>IF(SUMIFS('Input Sheet'!$F$3:$F$1001,'Input Sheet'!$B$3:$B$1001,$H278,'Input Sheet'!$E$3:$E$1001,P$4)=0,"",SUMIFS('Input Sheet'!$F$3:$F$1001,'Input Sheet'!$B$3:$B$1001,$H278,'Input Sheet'!$E$3:$E$1001,P$4))</f>
        <v/>
      </c>
      <c r="Q278" s="21" t="str">
        <f>IF(SUMIFS('Input Sheet'!$F$3:$F$1001,'Input Sheet'!$B$3:$B$1001,$H278,'Input Sheet'!$E$3:$E$1001,Q$4)=0,"",SUMIFS('Input Sheet'!$F$3:$F$1001,'Input Sheet'!$B$3:$B$1001,$H278,'Input Sheet'!$E$3:$E$1001,Q$4))</f>
        <v/>
      </c>
      <c r="R278" s="21" t="str">
        <f>IF(SUMIFS('Input Sheet'!$F$3:$F$1001,'Input Sheet'!$B$3:$B$1001,$H278,'Input Sheet'!$E$3:$E$1001,R$4)=0,"",SUMIFS('Input Sheet'!$F$3:$F$1001,'Input Sheet'!$B$3:$B$1001,$H278,'Input Sheet'!$E$3:$E$1001,R$4))</f>
        <v/>
      </c>
      <c r="S278" s="21" t="str">
        <f>IF(SUMIFS('Input Sheet'!$F$3:$F$1001,'Input Sheet'!$B$3:$B$1001,$H278,'Input Sheet'!$E$3:$E$1001,S$4)=0,"",SUMIFS('Input Sheet'!$F$3:$F$1001,'Input Sheet'!$B$3:$B$1001,$H278,'Input Sheet'!$E$3:$E$1001,S$4))</f>
        <v/>
      </c>
      <c r="T278" s="22">
        <v>273</v>
      </c>
    </row>
    <row r="279" spans="1:20" ht="14.25" customHeight="1" x14ac:dyDescent="0.3">
      <c r="A279" s="4" t="str">
        <f>IF('Input Sheet'!B276=0,"",'Input Sheet'!B276)</f>
        <v/>
      </c>
      <c r="B279" s="24" t="b">
        <f t="shared" si="264"/>
        <v>0</v>
      </c>
      <c r="C279" s="4">
        <f>SUMIF('Input Sheet'!B$3:B$1000,A279,'Input Sheet'!C$3:C$1000)</f>
        <v>0</v>
      </c>
      <c r="D279" s="4">
        <f>SUMIF('Input Sheet'!B$3:B$1000,A279,'Input Sheet'!D$3:D$1000)</f>
        <v>0</v>
      </c>
      <c r="E279" s="4" t="str">
        <f t="shared" ref="E279:F279" ca="1" si="289">IFERROR(RANK(K279,K$6:K$1004,1),"")</f>
        <v/>
      </c>
      <c r="F279" s="4" t="str">
        <f t="shared" ca="1" si="289"/>
        <v/>
      </c>
      <c r="G279" s="4" t="str">
        <f t="shared" ca="1" si="266"/>
        <v/>
      </c>
      <c r="H279" s="4" t="str">
        <f t="shared" si="267"/>
        <v/>
      </c>
      <c r="I279" s="4" t="str">
        <f t="shared" si="268"/>
        <v/>
      </c>
      <c r="J279" s="4" t="str">
        <f t="shared" si="269"/>
        <v/>
      </c>
      <c r="K279" s="25" t="str">
        <f t="shared" ca="1" si="270"/>
        <v/>
      </c>
      <c r="L279" s="21" t="str">
        <f t="shared" ca="1" si="271"/>
        <v/>
      </c>
      <c r="M279" s="21" t="str">
        <f>IF(SUMIFS('Input Sheet'!$F$3:$F$1001,'Input Sheet'!$B$3:$B$1001,$H279,'Input Sheet'!$E$3:$E$1001,M$4)=0,"",SUMIFS('Input Sheet'!$F$3:$F$1001,'Input Sheet'!$B$3:$B$1001,$H279,'Input Sheet'!$E$3:$E$1001,M$4))</f>
        <v/>
      </c>
      <c r="N279" s="21" t="str">
        <f>IF(SUMIFS('Input Sheet'!$F$3:$F$1001,'Input Sheet'!$B$3:$B$1001,$H279,'Input Sheet'!$E$3:$E$1001,N$4)=0,"",SUMIFS('Input Sheet'!$F$3:$F$1001,'Input Sheet'!$B$3:$B$1001,$H279,'Input Sheet'!$E$3:$E$1001,N$4))</f>
        <v/>
      </c>
      <c r="O279" s="21" t="str">
        <f>IF(SUMIFS('Input Sheet'!$F$3:$F$1001,'Input Sheet'!$B$3:$B$1001,$H279,'Input Sheet'!$E$3:$E$1001,O$4)=0,"",SUMIFS('Input Sheet'!$F$3:$F$1001,'Input Sheet'!$B$3:$B$1001,$H279,'Input Sheet'!$E$3:$E$1001,O$4))</f>
        <v/>
      </c>
      <c r="P279" s="21" t="str">
        <f>IF(SUMIFS('Input Sheet'!$F$3:$F$1001,'Input Sheet'!$B$3:$B$1001,$H279,'Input Sheet'!$E$3:$E$1001,P$4)=0,"",SUMIFS('Input Sheet'!$F$3:$F$1001,'Input Sheet'!$B$3:$B$1001,$H279,'Input Sheet'!$E$3:$E$1001,P$4))</f>
        <v/>
      </c>
      <c r="Q279" s="21" t="str">
        <f>IF(SUMIFS('Input Sheet'!$F$3:$F$1001,'Input Sheet'!$B$3:$B$1001,$H279,'Input Sheet'!$E$3:$E$1001,Q$4)=0,"",SUMIFS('Input Sheet'!$F$3:$F$1001,'Input Sheet'!$B$3:$B$1001,$H279,'Input Sheet'!$E$3:$E$1001,Q$4))</f>
        <v/>
      </c>
      <c r="R279" s="21" t="str">
        <f>IF(SUMIFS('Input Sheet'!$F$3:$F$1001,'Input Sheet'!$B$3:$B$1001,$H279,'Input Sheet'!$E$3:$E$1001,R$4)=0,"",SUMIFS('Input Sheet'!$F$3:$F$1001,'Input Sheet'!$B$3:$B$1001,$H279,'Input Sheet'!$E$3:$E$1001,R$4))</f>
        <v/>
      </c>
      <c r="S279" s="21" t="str">
        <f>IF(SUMIFS('Input Sheet'!$F$3:$F$1001,'Input Sheet'!$B$3:$B$1001,$H279,'Input Sheet'!$E$3:$E$1001,S$4)=0,"",SUMIFS('Input Sheet'!$F$3:$F$1001,'Input Sheet'!$B$3:$B$1001,$H279,'Input Sheet'!$E$3:$E$1001,S$4))</f>
        <v/>
      </c>
      <c r="T279" s="22">
        <v>274</v>
      </c>
    </row>
    <row r="280" spans="1:20" ht="14.25" customHeight="1" x14ac:dyDescent="0.3">
      <c r="A280" s="4" t="str">
        <f>IF('Input Sheet'!B277=0,"",'Input Sheet'!B277)</f>
        <v/>
      </c>
      <c r="B280" s="24" t="b">
        <f t="shared" si="264"/>
        <v>0</v>
      </c>
      <c r="C280" s="4">
        <f>SUMIF('Input Sheet'!B$3:B$1000,A280,'Input Sheet'!C$3:C$1000)</f>
        <v>0</v>
      </c>
      <c r="D280" s="4">
        <f>SUMIF('Input Sheet'!B$3:B$1000,A280,'Input Sheet'!D$3:D$1000)</f>
        <v>0</v>
      </c>
      <c r="E280" s="4" t="str">
        <f t="shared" ref="E280:F280" ca="1" si="290">IFERROR(RANK(K280,K$6:K$1004,1),"")</f>
        <v/>
      </c>
      <c r="F280" s="4" t="str">
        <f t="shared" ca="1" si="290"/>
        <v/>
      </c>
      <c r="G280" s="4" t="str">
        <f t="shared" ca="1" si="266"/>
        <v/>
      </c>
      <c r="H280" s="4" t="str">
        <f t="shared" si="267"/>
        <v/>
      </c>
      <c r="I280" s="4" t="str">
        <f t="shared" si="268"/>
        <v/>
      </c>
      <c r="J280" s="4" t="str">
        <f t="shared" si="269"/>
        <v/>
      </c>
      <c r="K280" s="25" t="str">
        <f t="shared" ca="1" si="270"/>
        <v/>
      </c>
      <c r="L280" s="21" t="str">
        <f t="shared" ca="1" si="271"/>
        <v/>
      </c>
      <c r="M280" s="21" t="str">
        <f>IF(SUMIFS('Input Sheet'!$F$3:$F$1001,'Input Sheet'!$B$3:$B$1001,$H280,'Input Sheet'!$E$3:$E$1001,M$4)=0,"",SUMIFS('Input Sheet'!$F$3:$F$1001,'Input Sheet'!$B$3:$B$1001,$H280,'Input Sheet'!$E$3:$E$1001,M$4))</f>
        <v/>
      </c>
      <c r="N280" s="21" t="str">
        <f>IF(SUMIFS('Input Sheet'!$F$3:$F$1001,'Input Sheet'!$B$3:$B$1001,$H280,'Input Sheet'!$E$3:$E$1001,N$4)=0,"",SUMIFS('Input Sheet'!$F$3:$F$1001,'Input Sheet'!$B$3:$B$1001,$H280,'Input Sheet'!$E$3:$E$1001,N$4))</f>
        <v/>
      </c>
      <c r="O280" s="21" t="str">
        <f>IF(SUMIFS('Input Sheet'!$F$3:$F$1001,'Input Sheet'!$B$3:$B$1001,$H280,'Input Sheet'!$E$3:$E$1001,O$4)=0,"",SUMIFS('Input Sheet'!$F$3:$F$1001,'Input Sheet'!$B$3:$B$1001,$H280,'Input Sheet'!$E$3:$E$1001,O$4))</f>
        <v/>
      </c>
      <c r="P280" s="21" t="str">
        <f>IF(SUMIFS('Input Sheet'!$F$3:$F$1001,'Input Sheet'!$B$3:$B$1001,$H280,'Input Sheet'!$E$3:$E$1001,P$4)=0,"",SUMIFS('Input Sheet'!$F$3:$F$1001,'Input Sheet'!$B$3:$B$1001,$H280,'Input Sheet'!$E$3:$E$1001,P$4))</f>
        <v/>
      </c>
      <c r="Q280" s="21" t="str">
        <f>IF(SUMIFS('Input Sheet'!$F$3:$F$1001,'Input Sheet'!$B$3:$B$1001,$H280,'Input Sheet'!$E$3:$E$1001,Q$4)=0,"",SUMIFS('Input Sheet'!$F$3:$F$1001,'Input Sheet'!$B$3:$B$1001,$H280,'Input Sheet'!$E$3:$E$1001,Q$4))</f>
        <v/>
      </c>
      <c r="R280" s="21" t="str">
        <f>IF(SUMIFS('Input Sheet'!$F$3:$F$1001,'Input Sheet'!$B$3:$B$1001,$H280,'Input Sheet'!$E$3:$E$1001,R$4)=0,"",SUMIFS('Input Sheet'!$F$3:$F$1001,'Input Sheet'!$B$3:$B$1001,$H280,'Input Sheet'!$E$3:$E$1001,R$4))</f>
        <v/>
      </c>
      <c r="S280" s="21" t="str">
        <f>IF(SUMIFS('Input Sheet'!$F$3:$F$1001,'Input Sheet'!$B$3:$B$1001,$H280,'Input Sheet'!$E$3:$E$1001,S$4)=0,"",SUMIFS('Input Sheet'!$F$3:$F$1001,'Input Sheet'!$B$3:$B$1001,$H280,'Input Sheet'!$E$3:$E$1001,S$4))</f>
        <v/>
      </c>
      <c r="T280" s="22">
        <v>275</v>
      </c>
    </row>
    <row r="281" spans="1:20" ht="14.25" customHeight="1" x14ac:dyDescent="0.3">
      <c r="A281" s="4" t="str">
        <f>IF('Input Sheet'!B278=0,"",'Input Sheet'!B278)</f>
        <v/>
      </c>
      <c r="B281" s="24" t="b">
        <f t="shared" si="264"/>
        <v>0</v>
      </c>
      <c r="C281" s="4">
        <f>SUMIF('Input Sheet'!B$3:B$1000,A281,'Input Sheet'!C$3:C$1000)</f>
        <v>0</v>
      </c>
      <c r="D281" s="4">
        <f>SUMIF('Input Sheet'!B$3:B$1000,A281,'Input Sheet'!D$3:D$1000)</f>
        <v>0</v>
      </c>
      <c r="E281" s="4" t="str">
        <f t="shared" ref="E281:F281" ca="1" si="291">IFERROR(RANK(K281,K$6:K$1004,1),"")</f>
        <v/>
      </c>
      <c r="F281" s="4" t="str">
        <f t="shared" ca="1" si="291"/>
        <v/>
      </c>
      <c r="G281" s="4" t="str">
        <f t="shared" ca="1" si="266"/>
        <v/>
      </c>
      <c r="H281" s="4" t="str">
        <f t="shared" si="267"/>
        <v/>
      </c>
      <c r="I281" s="4" t="str">
        <f t="shared" si="268"/>
        <v/>
      </c>
      <c r="J281" s="4" t="str">
        <f t="shared" si="269"/>
        <v/>
      </c>
      <c r="K281" s="25" t="str">
        <f t="shared" ca="1" si="270"/>
        <v/>
      </c>
      <c r="L281" s="21" t="str">
        <f t="shared" ca="1" si="271"/>
        <v/>
      </c>
      <c r="M281" s="21" t="str">
        <f>IF(SUMIFS('Input Sheet'!$F$3:$F$1001,'Input Sheet'!$B$3:$B$1001,$H281,'Input Sheet'!$E$3:$E$1001,M$4)=0,"",SUMIFS('Input Sheet'!$F$3:$F$1001,'Input Sheet'!$B$3:$B$1001,$H281,'Input Sheet'!$E$3:$E$1001,M$4))</f>
        <v/>
      </c>
      <c r="N281" s="21" t="str">
        <f>IF(SUMIFS('Input Sheet'!$F$3:$F$1001,'Input Sheet'!$B$3:$B$1001,$H281,'Input Sheet'!$E$3:$E$1001,N$4)=0,"",SUMIFS('Input Sheet'!$F$3:$F$1001,'Input Sheet'!$B$3:$B$1001,$H281,'Input Sheet'!$E$3:$E$1001,N$4))</f>
        <v/>
      </c>
      <c r="O281" s="21" t="str">
        <f>IF(SUMIFS('Input Sheet'!$F$3:$F$1001,'Input Sheet'!$B$3:$B$1001,$H281,'Input Sheet'!$E$3:$E$1001,O$4)=0,"",SUMIFS('Input Sheet'!$F$3:$F$1001,'Input Sheet'!$B$3:$B$1001,$H281,'Input Sheet'!$E$3:$E$1001,O$4))</f>
        <v/>
      </c>
      <c r="P281" s="21" t="str">
        <f>IF(SUMIFS('Input Sheet'!$F$3:$F$1001,'Input Sheet'!$B$3:$B$1001,$H281,'Input Sheet'!$E$3:$E$1001,P$4)=0,"",SUMIFS('Input Sheet'!$F$3:$F$1001,'Input Sheet'!$B$3:$B$1001,$H281,'Input Sheet'!$E$3:$E$1001,P$4))</f>
        <v/>
      </c>
      <c r="Q281" s="21" t="str">
        <f>IF(SUMIFS('Input Sheet'!$F$3:$F$1001,'Input Sheet'!$B$3:$B$1001,$H281,'Input Sheet'!$E$3:$E$1001,Q$4)=0,"",SUMIFS('Input Sheet'!$F$3:$F$1001,'Input Sheet'!$B$3:$B$1001,$H281,'Input Sheet'!$E$3:$E$1001,Q$4))</f>
        <v/>
      </c>
      <c r="R281" s="21" t="str">
        <f>IF(SUMIFS('Input Sheet'!$F$3:$F$1001,'Input Sheet'!$B$3:$B$1001,$H281,'Input Sheet'!$E$3:$E$1001,R$4)=0,"",SUMIFS('Input Sheet'!$F$3:$F$1001,'Input Sheet'!$B$3:$B$1001,$H281,'Input Sheet'!$E$3:$E$1001,R$4))</f>
        <v/>
      </c>
      <c r="S281" s="21" t="str">
        <f>IF(SUMIFS('Input Sheet'!$F$3:$F$1001,'Input Sheet'!$B$3:$B$1001,$H281,'Input Sheet'!$E$3:$E$1001,S$4)=0,"",SUMIFS('Input Sheet'!$F$3:$F$1001,'Input Sheet'!$B$3:$B$1001,$H281,'Input Sheet'!$E$3:$E$1001,S$4))</f>
        <v/>
      </c>
      <c r="T281" s="22">
        <v>276</v>
      </c>
    </row>
    <row r="282" spans="1:20" ht="14.25" customHeight="1" x14ac:dyDescent="0.3">
      <c r="A282" s="4" t="str">
        <f>IF('Input Sheet'!B279=0,"",'Input Sheet'!B279)</f>
        <v/>
      </c>
      <c r="B282" s="24" t="b">
        <f t="shared" si="264"/>
        <v>0</v>
      </c>
      <c r="C282" s="4">
        <f>SUMIF('Input Sheet'!B$3:B$1000,A282,'Input Sheet'!C$3:C$1000)</f>
        <v>0</v>
      </c>
      <c r="D282" s="4">
        <f>SUMIF('Input Sheet'!B$3:B$1000,A282,'Input Sheet'!D$3:D$1000)</f>
        <v>0</v>
      </c>
      <c r="E282" s="4" t="str">
        <f t="shared" ref="E282:F282" ca="1" si="292">IFERROR(RANK(K282,K$6:K$1004,1),"")</f>
        <v/>
      </c>
      <c r="F282" s="4" t="str">
        <f t="shared" ca="1" si="292"/>
        <v/>
      </c>
      <c r="G282" s="4" t="str">
        <f t="shared" ca="1" si="266"/>
        <v/>
      </c>
      <c r="H282" s="4" t="str">
        <f t="shared" si="267"/>
        <v/>
      </c>
      <c r="I282" s="4" t="str">
        <f t="shared" si="268"/>
        <v/>
      </c>
      <c r="J282" s="4" t="str">
        <f t="shared" si="269"/>
        <v/>
      </c>
      <c r="K282" s="25" t="str">
        <f t="shared" ca="1" si="270"/>
        <v/>
      </c>
      <c r="L282" s="21" t="str">
        <f t="shared" ca="1" si="271"/>
        <v/>
      </c>
      <c r="M282" s="21" t="str">
        <f>IF(SUMIFS('Input Sheet'!$F$3:$F$1001,'Input Sheet'!$B$3:$B$1001,$H282,'Input Sheet'!$E$3:$E$1001,M$4)=0,"",SUMIFS('Input Sheet'!$F$3:$F$1001,'Input Sheet'!$B$3:$B$1001,$H282,'Input Sheet'!$E$3:$E$1001,M$4))</f>
        <v/>
      </c>
      <c r="N282" s="21" t="str">
        <f>IF(SUMIFS('Input Sheet'!$F$3:$F$1001,'Input Sheet'!$B$3:$B$1001,$H282,'Input Sheet'!$E$3:$E$1001,N$4)=0,"",SUMIFS('Input Sheet'!$F$3:$F$1001,'Input Sheet'!$B$3:$B$1001,$H282,'Input Sheet'!$E$3:$E$1001,N$4))</f>
        <v/>
      </c>
      <c r="O282" s="21" t="str">
        <f>IF(SUMIFS('Input Sheet'!$F$3:$F$1001,'Input Sheet'!$B$3:$B$1001,$H282,'Input Sheet'!$E$3:$E$1001,O$4)=0,"",SUMIFS('Input Sheet'!$F$3:$F$1001,'Input Sheet'!$B$3:$B$1001,$H282,'Input Sheet'!$E$3:$E$1001,O$4))</f>
        <v/>
      </c>
      <c r="P282" s="21" t="str">
        <f>IF(SUMIFS('Input Sheet'!$F$3:$F$1001,'Input Sheet'!$B$3:$B$1001,$H282,'Input Sheet'!$E$3:$E$1001,P$4)=0,"",SUMIFS('Input Sheet'!$F$3:$F$1001,'Input Sheet'!$B$3:$B$1001,$H282,'Input Sheet'!$E$3:$E$1001,P$4))</f>
        <v/>
      </c>
      <c r="Q282" s="21" t="str">
        <f>IF(SUMIFS('Input Sheet'!$F$3:$F$1001,'Input Sheet'!$B$3:$B$1001,$H282,'Input Sheet'!$E$3:$E$1001,Q$4)=0,"",SUMIFS('Input Sheet'!$F$3:$F$1001,'Input Sheet'!$B$3:$B$1001,$H282,'Input Sheet'!$E$3:$E$1001,Q$4))</f>
        <v/>
      </c>
      <c r="R282" s="21" t="str">
        <f>IF(SUMIFS('Input Sheet'!$F$3:$F$1001,'Input Sheet'!$B$3:$B$1001,$H282,'Input Sheet'!$E$3:$E$1001,R$4)=0,"",SUMIFS('Input Sheet'!$F$3:$F$1001,'Input Sheet'!$B$3:$B$1001,$H282,'Input Sheet'!$E$3:$E$1001,R$4))</f>
        <v/>
      </c>
      <c r="S282" s="21" t="str">
        <f>IF(SUMIFS('Input Sheet'!$F$3:$F$1001,'Input Sheet'!$B$3:$B$1001,$H282,'Input Sheet'!$E$3:$E$1001,S$4)=0,"",SUMIFS('Input Sheet'!$F$3:$F$1001,'Input Sheet'!$B$3:$B$1001,$H282,'Input Sheet'!$E$3:$E$1001,S$4))</f>
        <v/>
      </c>
      <c r="T282" s="22">
        <v>277</v>
      </c>
    </row>
    <row r="283" spans="1:20" ht="14.25" customHeight="1" x14ac:dyDescent="0.3">
      <c r="A283" s="4" t="str">
        <f>IF('Input Sheet'!B280=0,"",'Input Sheet'!B280)</f>
        <v/>
      </c>
      <c r="B283" s="24" t="b">
        <f t="shared" si="264"/>
        <v>0</v>
      </c>
      <c r="C283" s="4">
        <f>SUMIF('Input Sheet'!B$3:B$1000,A283,'Input Sheet'!C$3:C$1000)</f>
        <v>0</v>
      </c>
      <c r="D283" s="4">
        <f>SUMIF('Input Sheet'!B$3:B$1000,A283,'Input Sheet'!D$3:D$1000)</f>
        <v>0</v>
      </c>
      <c r="E283" s="4" t="str">
        <f t="shared" ref="E283:F283" ca="1" si="293">IFERROR(RANK(K283,K$6:K$1004,1),"")</f>
        <v/>
      </c>
      <c r="F283" s="4" t="str">
        <f t="shared" ca="1" si="293"/>
        <v/>
      </c>
      <c r="G283" s="4" t="str">
        <f t="shared" ca="1" si="266"/>
        <v/>
      </c>
      <c r="H283" s="4" t="str">
        <f t="shared" si="267"/>
        <v/>
      </c>
      <c r="I283" s="4" t="str">
        <f t="shared" si="268"/>
        <v/>
      </c>
      <c r="J283" s="4" t="str">
        <f t="shared" si="269"/>
        <v/>
      </c>
      <c r="K283" s="25" t="str">
        <f t="shared" ca="1" si="270"/>
        <v/>
      </c>
      <c r="L283" s="21" t="str">
        <f t="shared" ca="1" si="271"/>
        <v/>
      </c>
      <c r="M283" s="21" t="str">
        <f>IF(SUMIFS('Input Sheet'!$F$3:$F$1001,'Input Sheet'!$B$3:$B$1001,$H283,'Input Sheet'!$E$3:$E$1001,M$4)=0,"",SUMIFS('Input Sheet'!$F$3:$F$1001,'Input Sheet'!$B$3:$B$1001,$H283,'Input Sheet'!$E$3:$E$1001,M$4))</f>
        <v/>
      </c>
      <c r="N283" s="21" t="str">
        <f>IF(SUMIFS('Input Sheet'!$F$3:$F$1001,'Input Sheet'!$B$3:$B$1001,$H283,'Input Sheet'!$E$3:$E$1001,N$4)=0,"",SUMIFS('Input Sheet'!$F$3:$F$1001,'Input Sheet'!$B$3:$B$1001,$H283,'Input Sheet'!$E$3:$E$1001,N$4))</f>
        <v/>
      </c>
      <c r="O283" s="21" t="str">
        <f>IF(SUMIFS('Input Sheet'!$F$3:$F$1001,'Input Sheet'!$B$3:$B$1001,$H283,'Input Sheet'!$E$3:$E$1001,O$4)=0,"",SUMIFS('Input Sheet'!$F$3:$F$1001,'Input Sheet'!$B$3:$B$1001,$H283,'Input Sheet'!$E$3:$E$1001,O$4))</f>
        <v/>
      </c>
      <c r="P283" s="21" t="str">
        <f>IF(SUMIFS('Input Sheet'!$F$3:$F$1001,'Input Sheet'!$B$3:$B$1001,$H283,'Input Sheet'!$E$3:$E$1001,P$4)=0,"",SUMIFS('Input Sheet'!$F$3:$F$1001,'Input Sheet'!$B$3:$B$1001,$H283,'Input Sheet'!$E$3:$E$1001,P$4))</f>
        <v/>
      </c>
      <c r="Q283" s="21" t="str">
        <f>IF(SUMIFS('Input Sheet'!$F$3:$F$1001,'Input Sheet'!$B$3:$B$1001,$H283,'Input Sheet'!$E$3:$E$1001,Q$4)=0,"",SUMIFS('Input Sheet'!$F$3:$F$1001,'Input Sheet'!$B$3:$B$1001,$H283,'Input Sheet'!$E$3:$E$1001,Q$4))</f>
        <v/>
      </c>
      <c r="R283" s="21" t="str">
        <f>IF(SUMIFS('Input Sheet'!$F$3:$F$1001,'Input Sheet'!$B$3:$B$1001,$H283,'Input Sheet'!$E$3:$E$1001,R$4)=0,"",SUMIFS('Input Sheet'!$F$3:$F$1001,'Input Sheet'!$B$3:$B$1001,$H283,'Input Sheet'!$E$3:$E$1001,R$4))</f>
        <v/>
      </c>
      <c r="S283" s="21" t="str">
        <f>IF(SUMIFS('Input Sheet'!$F$3:$F$1001,'Input Sheet'!$B$3:$B$1001,$H283,'Input Sheet'!$E$3:$E$1001,S$4)=0,"",SUMIFS('Input Sheet'!$F$3:$F$1001,'Input Sheet'!$B$3:$B$1001,$H283,'Input Sheet'!$E$3:$E$1001,S$4))</f>
        <v/>
      </c>
      <c r="T283" s="22">
        <v>278</v>
      </c>
    </row>
    <row r="284" spans="1:20" ht="14.25" customHeight="1" x14ac:dyDescent="0.3">
      <c r="A284" s="4" t="str">
        <f>IF('Input Sheet'!B281=0,"",'Input Sheet'!B281)</f>
        <v/>
      </c>
      <c r="B284" s="24" t="b">
        <f t="shared" si="264"/>
        <v>0</v>
      </c>
      <c r="C284" s="4">
        <f>SUMIF('Input Sheet'!B$3:B$1000,A284,'Input Sheet'!C$3:C$1000)</f>
        <v>0</v>
      </c>
      <c r="D284" s="4">
        <f>SUMIF('Input Sheet'!B$3:B$1000,A284,'Input Sheet'!D$3:D$1000)</f>
        <v>0</v>
      </c>
      <c r="E284" s="4" t="str">
        <f t="shared" ref="E284:F284" ca="1" si="294">IFERROR(RANK(K284,K$6:K$1004,1),"")</f>
        <v/>
      </c>
      <c r="F284" s="4" t="str">
        <f t="shared" ca="1" si="294"/>
        <v/>
      </c>
      <c r="G284" s="4" t="str">
        <f t="shared" ca="1" si="266"/>
        <v/>
      </c>
      <c r="H284" s="4" t="str">
        <f t="shared" si="267"/>
        <v/>
      </c>
      <c r="I284" s="4" t="str">
        <f t="shared" si="268"/>
        <v/>
      </c>
      <c r="J284" s="4" t="str">
        <f t="shared" si="269"/>
        <v/>
      </c>
      <c r="K284" s="25" t="str">
        <f t="shared" ca="1" si="270"/>
        <v/>
      </c>
      <c r="L284" s="21" t="str">
        <f t="shared" ca="1" si="271"/>
        <v/>
      </c>
      <c r="M284" s="21" t="str">
        <f>IF(SUMIFS('Input Sheet'!$F$3:$F$1001,'Input Sheet'!$B$3:$B$1001,$H284,'Input Sheet'!$E$3:$E$1001,M$4)=0,"",SUMIFS('Input Sheet'!$F$3:$F$1001,'Input Sheet'!$B$3:$B$1001,$H284,'Input Sheet'!$E$3:$E$1001,M$4))</f>
        <v/>
      </c>
      <c r="N284" s="21" t="str">
        <f>IF(SUMIFS('Input Sheet'!$F$3:$F$1001,'Input Sheet'!$B$3:$B$1001,$H284,'Input Sheet'!$E$3:$E$1001,N$4)=0,"",SUMIFS('Input Sheet'!$F$3:$F$1001,'Input Sheet'!$B$3:$B$1001,$H284,'Input Sheet'!$E$3:$E$1001,N$4))</f>
        <v/>
      </c>
      <c r="O284" s="21" t="str">
        <f>IF(SUMIFS('Input Sheet'!$F$3:$F$1001,'Input Sheet'!$B$3:$B$1001,$H284,'Input Sheet'!$E$3:$E$1001,O$4)=0,"",SUMIFS('Input Sheet'!$F$3:$F$1001,'Input Sheet'!$B$3:$B$1001,$H284,'Input Sheet'!$E$3:$E$1001,O$4))</f>
        <v/>
      </c>
      <c r="P284" s="21" t="str">
        <f>IF(SUMIFS('Input Sheet'!$F$3:$F$1001,'Input Sheet'!$B$3:$B$1001,$H284,'Input Sheet'!$E$3:$E$1001,P$4)=0,"",SUMIFS('Input Sheet'!$F$3:$F$1001,'Input Sheet'!$B$3:$B$1001,$H284,'Input Sheet'!$E$3:$E$1001,P$4))</f>
        <v/>
      </c>
      <c r="Q284" s="21" t="str">
        <f>IF(SUMIFS('Input Sheet'!$F$3:$F$1001,'Input Sheet'!$B$3:$B$1001,$H284,'Input Sheet'!$E$3:$E$1001,Q$4)=0,"",SUMIFS('Input Sheet'!$F$3:$F$1001,'Input Sheet'!$B$3:$B$1001,$H284,'Input Sheet'!$E$3:$E$1001,Q$4))</f>
        <v/>
      </c>
      <c r="R284" s="21" t="str">
        <f>IF(SUMIFS('Input Sheet'!$F$3:$F$1001,'Input Sheet'!$B$3:$B$1001,$H284,'Input Sheet'!$E$3:$E$1001,R$4)=0,"",SUMIFS('Input Sheet'!$F$3:$F$1001,'Input Sheet'!$B$3:$B$1001,$H284,'Input Sheet'!$E$3:$E$1001,R$4))</f>
        <v/>
      </c>
      <c r="S284" s="21" t="str">
        <f>IF(SUMIFS('Input Sheet'!$F$3:$F$1001,'Input Sheet'!$B$3:$B$1001,$H284,'Input Sheet'!$E$3:$E$1001,S$4)=0,"",SUMIFS('Input Sheet'!$F$3:$F$1001,'Input Sheet'!$B$3:$B$1001,$H284,'Input Sheet'!$E$3:$E$1001,S$4))</f>
        <v/>
      </c>
      <c r="T284" s="22">
        <v>279</v>
      </c>
    </row>
    <row r="285" spans="1:20" ht="14.25" customHeight="1" x14ac:dyDescent="0.3">
      <c r="A285" s="4" t="str">
        <f>IF('Input Sheet'!B282=0,"",'Input Sheet'!B282)</f>
        <v/>
      </c>
      <c r="B285" s="24" t="b">
        <f t="shared" si="264"/>
        <v>0</v>
      </c>
      <c r="C285" s="4">
        <f>SUMIF('Input Sheet'!B$3:B$1000,A285,'Input Sheet'!C$3:C$1000)</f>
        <v>0</v>
      </c>
      <c r="D285" s="4">
        <f>SUMIF('Input Sheet'!B$3:B$1000,A285,'Input Sheet'!D$3:D$1000)</f>
        <v>0</v>
      </c>
      <c r="E285" s="4" t="str">
        <f t="shared" ref="E285:F285" ca="1" si="295">IFERROR(RANK(K285,K$6:K$1004,1),"")</f>
        <v/>
      </c>
      <c r="F285" s="4" t="str">
        <f t="shared" ca="1" si="295"/>
        <v/>
      </c>
      <c r="G285" s="4" t="str">
        <f t="shared" ca="1" si="266"/>
        <v/>
      </c>
      <c r="H285" s="4" t="str">
        <f t="shared" si="267"/>
        <v/>
      </c>
      <c r="I285" s="4" t="str">
        <f t="shared" si="268"/>
        <v/>
      </c>
      <c r="J285" s="4" t="str">
        <f t="shared" si="269"/>
        <v/>
      </c>
      <c r="K285" s="25" t="str">
        <f t="shared" ca="1" si="270"/>
        <v/>
      </c>
      <c r="L285" s="21" t="str">
        <f t="shared" ca="1" si="271"/>
        <v/>
      </c>
      <c r="M285" s="21" t="str">
        <f>IF(SUMIFS('Input Sheet'!$F$3:$F$1001,'Input Sheet'!$B$3:$B$1001,$H285,'Input Sheet'!$E$3:$E$1001,M$4)=0,"",SUMIFS('Input Sheet'!$F$3:$F$1001,'Input Sheet'!$B$3:$B$1001,$H285,'Input Sheet'!$E$3:$E$1001,M$4))</f>
        <v/>
      </c>
      <c r="N285" s="21" t="str">
        <f>IF(SUMIFS('Input Sheet'!$F$3:$F$1001,'Input Sheet'!$B$3:$B$1001,$H285,'Input Sheet'!$E$3:$E$1001,N$4)=0,"",SUMIFS('Input Sheet'!$F$3:$F$1001,'Input Sheet'!$B$3:$B$1001,$H285,'Input Sheet'!$E$3:$E$1001,N$4))</f>
        <v/>
      </c>
      <c r="O285" s="21" t="str">
        <f>IF(SUMIFS('Input Sheet'!$F$3:$F$1001,'Input Sheet'!$B$3:$B$1001,$H285,'Input Sheet'!$E$3:$E$1001,O$4)=0,"",SUMIFS('Input Sheet'!$F$3:$F$1001,'Input Sheet'!$B$3:$B$1001,$H285,'Input Sheet'!$E$3:$E$1001,O$4))</f>
        <v/>
      </c>
      <c r="P285" s="21" t="str">
        <f>IF(SUMIFS('Input Sheet'!$F$3:$F$1001,'Input Sheet'!$B$3:$B$1001,$H285,'Input Sheet'!$E$3:$E$1001,P$4)=0,"",SUMIFS('Input Sheet'!$F$3:$F$1001,'Input Sheet'!$B$3:$B$1001,$H285,'Input Sheet'!$E$3:$E$1001,P$4))</f>
        <v/>
      </c>
      <c r="Q285" s="21" t="str">
        <f>IF(SUMIFS('Input Sheet'!$F$3:$F$1001,'Input Sheet'!$B$3:$B$1001,$H285,'Input Sheet'!$E$3:$E$1001,Q$4)=0,"",SUMIFS('Input Sheet'!$F$3:$F$1001,'Input Sheet'!$B$3:$B$1001,$H285,'Input Sheet'!$E$3:$E$1001,Q$4))</f>
        <v/>
      </c>
      <c r="R285" s="21" t="str">
        <f>IF(SUMIFS('Input Sheet'!$F$3:$F$1001,'Input Sheet'!$B$3:$B$1001,$H285,'Input Sheet'!$E$3:$E$1001,R$4)=0,"",SUMIFS('Input Sheet'!$F$3:$F$1001,'Input Sheet'!$B$3:$B$1001,$H285,'Input Sheet'!$E$3:$E$1001,R$4))</f>
        <v/>
      </c>
      <c r="S285" s="21" t="str">
        <f>IF(SUMIFS('Input Sheet'!$F$3:$F$1001,'Input Sheet'!$B$3:$B$1001,$H285,'Input Sheet'!$E$3:$E$1001,S$4)=0,"",SUMIFS('Input Sheet'!$F$3:$F$1001,'Input Sheet'!$B$3:$B$1001,$H285,'Input Sheet'!$E$3:$E$1001,S$4))</f>
        <v/>
      </c>
      <c r="T285" s="22">
        <v>280</v>
      </c>
    </row>
    <row r="286" spans="1:20" ht="14.25" customHeight="1" x14ac:dyDescent="0.3">
      <c r="A286" s="4" t="str">
        <f>IF('Input Sheet'!B283=0,"",'Input Sheet'!B283)</f>
        <v/>
      </c>
      <c r="B286" s="24" t="b">
        <f t="shared" si="264"/>
        <v>0</v>
      </c>
      <c r="C286" s="4">
        <f>SUMIF('Input Sheet'!B$3:B$1000,A286,'Input Sheet'!C$3:C$1000)</f>
        <v>0</v>
      </c>
      <c r="D286" s="4">
        <f>SUMIF('Input Sheet'!B$3:B$1000,A286,'Input Sheet'!D$3:D$1000)</f>
        <v>0</v>
      </c>
      <c r="E286" s="4" t="str">
        <f t="shared" ref="E286:F286" ca="1" si="296">IFERROR(RANK(K286,K$6:K$1004,1),"")</f>
        <v/>
      </c>
      <c r="F286" s="4" t="str">
        <f t="shared" ca="1" si="296"/>
        <v/>
      </c>
      <c r="G286" s="4" t="str">
        <f t="shared" ca="1" si="266"/>
        <v/>
      </c>
      <c r="H286" s="4" t="str">
        <f t="shared" si="267"/>
        <v/>
      </c>
      <c r="I286" s="4" t="str">
        <f t="shared" si="268"/>
        <v/>
      </c>
      <c r="J286" s="4" t="str">
        <f t="shared" si="269"/>
        <v/>
      </c>
      <c r="K286" s="25" t="str">
        <f t="shared" ca="1" si="270"/>
        <v/>
      </c>
      <c r="L286" s="21" t="str">
        <f t="shared" ca="1" si="271"/>
        <v/>
      </c>
      <c r="M286" s="21" t="str">
        <f>IF(SUMIFS('Input Sheet'!$F$3:$F$1001,'Input Sheet'!$B$3:$B$1001,$H286,'Input Sheet'!$E$3:$E$1001,M$4)=0,"",SUMIFS('Input Sheet'!$F$3:$F$1001,'Input Sheet'!$B$3:$B$1001,$H286,'Input Sheet'!$E$3:$E$1001,M$4))</f>
        <v/>
      </c>
      <c r="N286" s="21" t="str">
        <f>IF(SUMIFS('Input Sheet'!$F$3:$F$1001,'Input Sheet'!$B$3:$B$1001,$H286,'Input Sheet'!$E$3:$E$1001,N$4)=0,"",SUMIFS('Input Sheet'!$F$3:$F$1001,'Input Sheet'!$B$3:$B$1001,$H286,'Input Sheet'!$E$3:$E$1001,N$4))</f>
        <v/>
      </c>
      <c r="O286" s="21" t="str">
        <f>IF(SUMIFS('Input Sheet'!$F$3:$F$1001,'Input Sheet'!$B$3:$B$1001,$H286,'Input Sheet'!$E$3:$E$1001,O$4)=0,"",SUMIFS('Input Sheet'!$F$3:$F$1001,'Input Sheet'!$B$3:$B$1001,$H286,'Input Sheet'!$E$3:$E$1001,O$4))</f>
        <v/>
      </c>
      <c r="P286" s="21" t="str">
        <f>IF(SUMIFS('Input Sheet'!$F$3:$F$1001,'Input Sheet'!$B$3:$B$1001,$H286,'Input Sheet'!$E$3:$E$1001,P$4)=0,"",SUMIFS('Input Sheet'!$F$3:$F$1001,'Input Sheet'!$B$3:$B$1001,$H286,'Input Sheet'!$E$3:$E$1001,P$4))</f>
        <v/>
      </c>
      <c r="Q286" s="21" t="str">
        <f>IF(SUMIFS('Input Sheet'!$F$3:$F$1001,'Input Sheet'!$B$3:$B$1001,$H286,'Input Sheet'!$E$3:$E$1001,Q$4)=0,"",SUMIFS('Input Sheet'!$F$3:$F$1001,'Input Sheet'!$B$3:$B$1001,$H286,'Input Sheet'!$E$3:$E$1001,Q$4))</f>
        <v/>
      </c>
      <c r="R286" s="21" t="str">
        <f>IF(SUMIFS('Input Sheet'!$F$3:$F$1001,'Input Sheet'!$B$3:$B$1001,$H286,'Input Sheet'!$E$3:$E$1001,R$4)=0,"",SUMIFS('Input Sheet'!$F$3:$F$1001,'Input Sheet'!$B$3:$B$1001,$H286,'Input Sheet'!$E$3:$E$1001,R$4))</f>
        <v/>
      </c>
      <c r="S286" s="21" t="str">
        <f>IF(SUMIFS('Input Sheet'!$F$3:$F$1001,'Input Sheet'!$B$3:$B$1001,$H286,'Input Sheet'!$E$3:$E$1001,S$4)=0,"",SUMIFS('Input Sheet'!$F$3:$F$1001,'Input Sheet'!$B$3:$B$1001,$H286,'Input Sheet'!$E$3:$E$1001,S$4))</f>
        <v/>
      </c>
      <c r="T286" s="22">
        <v>281</v>
      </c>
    </row>
    <row r="287" spans="1:20" ht="14.25" customHeight="1" x14ac:dyDescent="0.3">
      <c r="A287" s="4" t="str">
        <f>IF('Input Sheet'!B284=0,"",'Input Sheet'!B284)</f>
        <v/>
      </c>
      <c r="B287" s="24" t="b">
        <f t="shared" si="264"/>
        <v>0</v>
      </c>
      <c r="C287" s="4">
        <f>SUMIF('Input Sheet'!B$3:B$1000,A287,'Input Sheet'!C$3:C$1000)</f>
        <v>0</v>
      </c>
      <c r="D287" s="4">
        <f>SUMIF('Input Sheet'!B$3:B$1000,A287,'Input Sheet'!D$3:D$1000)</f>
        <v>0</v>
      </c>
      <c r="E287" s="4" t="str">
        <f t="shared" ref="E287:F287" ca="1" si="297">IFERROR(RANK(K287,K$6:K$1004,1),"")</f>
        <v/>
      </c>
      <c r="F287" s="4" t="str">
        <f t="shared" ca="1" si="297"/>
        <v/>
      </c>
      <c r="G287" s="4" t="str">
        <f t="shared" ca="1" si="266"/>
        <v/>
      </c>
      <c r="H287" s="4" t="str">
        <f t="shared" si="267"/>
        <v/>
      </c>
      <c r="I287" s="4" t="str">
        <f t="shared" si="268"/>
        <v/>
      </c>
      <c r="J287" s="4" t="str">
        <f t="shared" si="269"/>
        <v/>
      </c>
      <c r="K287" s="25" t="str">
        <f t="shared" ca="1" si="270"/>
        <v/>
      </c>
      <c r="L287" s="21" t="str">
        <f t="shared" ca="1" si="271"/>
        <v/>
      </c>
      <c r="M287" s="21" t="str">
        <f>IF(SUMIFS('Input Sheet'!$F$3:$F$1001,'Input Sheet'!$B$3:$B$1001,$H287,'Input Sheet'!$E$3:$E$1001,M$4)=0,"",SUMIFS('Input Sheet'!$F$3:$F$1001,'Input Sheet'!$B$3:$B$1001,$H287,'Input Sheet'!$E$3:$E$1001,M$4))</f>
        <v/>
      </c>
      <c r="N287" s="21" t="str">
        <f>IF(SUMIFS('Input Sheet'!$F$3:$F$1001,'Input Sheet'!$B$3:$B$1001,$H287,'Input Sheet'!$E$3:$E$1001,N$4)=0,"",SUMIFS('Input Sheet'!$F$3:$F$1001,'Input Sheet'!$B$3:$B$1001,$H287,'Input Sheet'!$E$3:$E$1001,N$4))</f>
        <v/>
      </c>
      <c r="O287" s="21" t="str">
        <f>IF(SUMIFS('Input Sheet'!$F$3:$F$1001,'Input Sheet'!$B$3:$B$1001,$H287,'Input Sheet'!$E$3:$E$1001,O$4)=0,"",SUMIFS('Input Sheet'!$F$3:$F$1001,'Input Sheet'!$B$3:$B$1001,$H287,'Input Sheet'!$E$3:$E$1001,O$4))</f>
        <v/>
      </c>
      <c r="P287" s="21" t="str">
        <f>IF(SUMIFS('Input Sheet'!$F$3:$F$1001,'Input Sheet'!$B$3:$B$1001,$H287,'Input Sheet'!$E$3:$E$1001,P$4)=0,"",SUMIFS('Input Sheet'!$F$3:$F$1001,'Input Sheet'!$B$3:$B$1001,$H287,'Input Sheet'!$E$3:$E$1001,P$4))</f>
        <v/>
      </c>
      <c r="Q287" s="21" t="str">
        <f>IF(SUMIFS('Input Sheet'!$F$3:$F$1001,'Input Sheet'!$B$3:$B$1001,$H287,'Input Sheet'!$E$3:$E$1001,Q$4)=0,"",SUMIFS('Input Sheet'!$F$3:$F$1001,'Input Sheet'!$B$3:$B$1001,$H287,'Input Sheet'!$E$3:$E$1001,Q$4))</f>
        <v/>
      </c>
      <c r="R287" s="21" t="str">
        <f>IF(SUMIFS('Input Sheet'!$F$3:$F$1001,'Input Sheet'!$B$3:$B$1001,$H287,'Input Sheet'!$E$3:$E$1001,R$4)=0,"",SUMIFS('Input Sheet'!$F$3:$F$1001,'Input Sheet'!$B$3:$B$1001,$H287,'Input Sheet'!$E$3:$E$1001,R$4))</f>
        <v/>
      </c>
      <c r="S287" s="21" t="str">
        <f>IF(SUMIFS('Input Sheet'!$F$3:$F$1001,'Input Sheet'!$B$3:$B$1001,$H287,'Input Sheet'!$E$3:$E$1001,S$4)=0,"",SUMIFS('Input Sheet'!$F$3:$F$1001,'Input Sheet'!$B$3:$B$1001,$H287,'Input Sheet'!$E$3:$E$1001,S$4))</f>
        <v/>
      </c>
      <c r="T287" s="22">
        <v>282</v>
      </c>
    </row>
    <row r="288" spans="1:20" ht="14.25" customHeight="1" x14ac:dyDescent="0.3">
      <c r="A288" s="4" t="str">
        <f>IF('Input Sheet'!B285=0,"",'Input Sheet'!B285)</f>
        <v/>
      </c>
      <c r="B288" s="24" t="b">
        <f t="shared" si="264"/>
        <v>0</v>
      </c>
      <c r="C288" s="4">
        <f>SUMIF('Input Sheet'!B$3:B$1000,A288,'Input Sheet'!C$3:C$1000)</f>
        <v>0</v>
      </c>
      <c r="D288" s="4">
        <f>SUMIF('Input Sheet'!B$3:B$1000,A288,'Input Sheet'!D$3:D$1000)</f>
        <v>0</v>
      </c>
      <c r="E288" s="4" t="str">
        <f t="shared" ref="E288:F288" ca="1" si="298">IFERROR(RANK(K288,K$6:K$1004,1),"")</f>
        <v/>
      </c>
      <c r="F288" s="4" t="str">
        <f t="shared" ca="1" si="298"/>
        <v/>
      </c>
      <c r="G288" s="4" t="str">
        <f t="shared" ca="1" si="266"/>
        <v/>
      </c>
      <c r="H288" s="4" t="str">
        <f t="shared" si="267"/>
        <v/>
      </c>
      <c r="I288" s="4" t="str">
        <f t="shared" si="268"/>
        <v/>
      </c>
      <c r="J288" s="4" t="str">
        <f t="shared" si="269"/>
        <v/>
      </c>
      <c r="K288" s="25" t="str">
        <f t="shared" ca="1" si="270"/>
        <v/>
      </c>
      <c r="L288" s="21" t="str">
        <f t="shared" ca="1" si="271"/>
        <v/>
      </c>
      <c r="M288" s="21" t="str">
        <f>IF(SUMIFS('Input Sheet'!$F$3:$F$1001,'Input Sheet'!$B$3:$B$1001,$H288,'Input Sheet'!$E$3:$E$1001,M$4)=0,"",SUMIFS('Input Sheet'!$F$3:$F$1001,'Input Sheet'!$B$3:$B$1001,$H288,'Input Sheet'!$E$3:$E$1001,M$4))</f>
        <v/>
      </c>
      <c r="N288" s="21" t="str">
        <f>IF(SUMIFS('Input Sheet'!$F$3:$F$1001,'Input Sheet'!$B$3:$B$1001,$H288,'Input Sheet'!$E$3:$E$1001,N$4)=0,"",SUMIFS('Input Sheet'!$F$3:$F$1001,'Input Sheet'!$B$3:$B$1001,$H288,'Input Sheet'!$E$3:$E$1001,N$4))</f>
        <v/>
      </c>
      <c r="O288" s="21" t="str">
        <f>IF(SUMIFS('Input Sheet'!$F$3:$F$1001,'Input Sheet'!$B$3:$B$1001,$H288,'Input Sheet'!$E$3:$E$1001,O$4)=0,"",SUMIFS('Input Sheet'!$F$3:$F$1001,'Input Sheet'!$B$3:$B$1001,$H288,'Input Sheet'!$E$3:$E$1001,O$4))</f>
        <v/>
      </c>
      <c r="P288" s="21" t="str">
        <f>IF(SUMIFS('Input Sheet'!$F$3:$F$1001,'Input Sheet'!$B$3:$B$1001,$H288,'Input Sheet'!$E$3:$E$1001,P$4)=0,"",SUMIFS('Input Sheet'!$F$3:$F$1001,'Input Sheet'!$B$3:$B$1001,$H288,'Input Sheet'!$E$3:$E$1001,P$4))</f>
        <v/>
      </c>
      <c r="Q288" s="21" t="str">
        <f>IF(SUMIFS('Input Sheet'!$F$3:$F$1001,'Input Sheet'!$B$3:$B$1001,$H288,'Input Sheet'!$E$3:$E$1001,Q$4)=0,"",SUMIFS('Input Sheet'!$F$3:$F$1001,'Input Sheet'!$B$3:$B$1001,$H288,'Input Sheet'!$E$3:$E$1001,Q$4))</f>
        <v/>
      </c>
      <c r="R288" s="21" t="str">
        <f>IF(SUMIFS('Input Sheet'!$F$3:$F$1001,'Input Sheet'!$B$3:$B$1001,$H288,'Input Sheet'!$E$3:$E$1001,R$4)=0,"",SUMIFS('Input Sheet'!$F$3:$F$1001,'Input Sheet'!$B$3:$B$1001,$H288,'Input Sheet'!$E$3:$E$1001,R$4))</f>
        <v/>
      </c>
      <c r="S288" s="21" t="str">
        <f>IF(SUMIFS('Input Sheet'!$F$3:$F$1001,'Input Sheet'!$B$3:$B$1001,$H288,'Input Sheet'!$E$3:$E$1001,S$4)=0,"",SUMIFS('Input Sheet'!$F$3:$F$1001,'Input Sheet'!$B$3:$B$1001,$H288,'Input Sheet'!$E$3:$E$1001,S$4))</f>
        <v/>
      </c>
      <c r="T288" s="22">
        <v>283</v>
      </c>
    </row>
    <row r="289" spans="1:20" ht="14.25" customHeight="1" x14ac:dyDescent="0.3">
      <c r="A289" s="4" t="str">
        <f>IF('Input Sheet'!B286=0,"",'Input Sheet'!B286)</f>
        <v/>
      </c>
      <c r="B289" s="24" t="b">
        <f t="shared" si="264"/>
        <v>0</v>
      </c>
      <c r="C289" s="4">
        <f>SUMIF('Input Sheet'!B$3:B$1000,A289,'Input Sheet'!C$3:C$1000)</f>
        <v>0</v>
      </c>
      <c r="D289" s="4">
        <f>SUMIF('Input Sheet'!B$3:B$1000,A289,'Input Sheet'!D$3:D$1000)</f>
        <v>0</v>
      </c>
      <c r="E289" s="4" t="str">
        <f t="shared" ref="E289:F289" ca="1" si="299">IFERROR(RANK(K289,K$6:K$1004,1),"")</f>
        <v/>
      </c>
      <c r="F289" s="4" t="str">
        <f t="shared" ca="1" si="299"/>
        <v/>
      </c>
      <c r="G289" s="4" t="str">
        <f t="shared" ca="1" si="266"/>
        <v/>
      </c>
      <c r="H289" s="4" t="str">
        <f t="shared" si="267"/>
        <v/>
      </c>
      <c r="I289" s="4" t="str">
        <f t="shared" si="268"/>
        <v/>
      </c>
      <c r="J289" s="4" t="str">
        <f t="shared" si="269"/>
        <v/>
      </c>
      <c r="K289" s="25" t="str">
        <f t="shared" ca="1" si="270"/>
        <v/>
      </c>
      <c r="L289" s="21" t="str">
        <f t="shared" ca="1" si="271"/>
        <v/>
      </c>
      <c r="M289" s="21" t="str">
        <f>IF(SUMIFS('Input Sheet'!$F$3:$F$1001,'Input Sheet'!$B$3:$B$1001,$H289,'Input Sheet'!$E$3:$E$1001,M$4)=0,"",SUMIFS('Input Sheet'!$F$3:$F$1001,'Input Sheet'!$B$3:$B$1001,$H289,'Input Sheet'!$E$3:$E$1001,M$4))</f>
        <v/>
      </c>
      <c r="N289" s="21" t="str">
        <f>IF(SUMIFS('Input Sheet'!$F$3:$F$1001,'Input Sheet'!$B$3:$B$1001,$H289,'Input Sheet'!$E$3:$E$1001,N$4)=0,"",SUMIFS('Input Sheet'!$F$3:$F$1001,'Input Sheet'!$B$3:$B$1001,$H289,'Input Sheet'!$E$3:$E$1001,N$4))</f>
        <v/>
      </c>
      <c r="O289" s="21" t="str">
        <f>IF(SUMIFS('Input Sheet'!$F$3:$F$1001,'Input Sheet'!$B$3:$B$1001,$H289,'Input Sheet'!$E$3:$E$1001,O$4)=0,"",SUMIFS('Input Sheet'!$F$3:$F$1001,'Input Sheet'!$B$3:$B$1001,$H289,'Input Sheet'!$E$3:$E$1001,O$4))</f>
        <v/>
      </c>
      <c r="P289" s="21" t="str">
        <f>IF(SUMIFS('Input Sheet'!$F$3:$F$1001,'Input Sheet'!$B$3:$B$1001,$H289,'Input Sheet'!$E$3:$E$1001,P$4)=0,"",SUMIFS('Input Sheet'!$F$3:$F$1001,'Input Sheet'!$B$3:$B$1001,$H289,'Input Sheet'!$E$3:$E$1001,P$4))</f>
        <v/>
      </c>
      <c r="Q289" s="21" t="str">
        <f>IF(SUMIFS('Input Sheet'!$F$3:$F$1001,'Input Sheet'!$B$3:$B$1001,$H289,'Input Sheet'!$E$3:$E$1001,Q$4)=0,"",SUMIFS('Input Sheet'!$F$3:$F$1001,'Input Sheet'!$B$3:$B$1001,$H289,'Input Sheet'!$E$3:$E$1001,Q$4))</f>
        <v/>
      </c>
      <c r="R289" s="21" t="str">
        <f>IF(SUMIFS('Input Sheet'!$F$3:$F$1001,'Input Sheet'!$B$3:$B$1001,$H289,'Input Sheet'!$E$3:$E$1001,R$4)=0,"",SUMIFS('Input Sheet'!$F$3:$F$1001,'Input Sheet'!$B$3:$B$1001,$H289,'Input Sheet'!$E$3:$E$1001,R$4))</f>
        <v/>
      </c>
      <c r="S289" s="21" t="str">
        <f>IF(SUMIFS('Input Sheet'!$F$3:$F$1001,'Input Sheet'!$B$3:$B$1001,$H289,'Input Sheet'!$E$3:$E$1001,S$4)=0,"",SUMIFS('Input Sheet'!$F$3:$F$1001,'Input Sheet'!$B$3:$B$1001,$H289,'Input Sheet'!$E$3:$E$1001,S$4))</f>
        <v/>
      </c>
      <c r="T289" s="22">
        <v>284</v>
      </c>
    </row>
    <row r="290" spans="1:20" ht="14.25" customHeight="1" x14ac:dyDescent="0.3">
      <c r="A290" s="4" t="str">
        <f>IF('Input Sheet'!B287=0,"",'Input Sheet'!B287)</f>
        <v/>
      </c>
      <c r="B290" s="24" t="b">
        <f t="shared" si="264"/>
        <v>0</v>
      </c>
      <c r="C290" s="4">
        <f>SUMIF('Input Sheet'!B$3:B$1000,A290,'Input Sheet'!C$3:C$1000)</f>
        <v>0</v>
      </c>
      <c r="D290" s="4">
        <f>SUMIF('Input Sheet'!B$3:B$1000,A290,'Input Sheet'!D$3:D$1000)</f>
        <v>0</v>
      </c>
      <c r="E290" s="4" t="str">
        <f t="shared" ref="E290:F290" ca="1" si="300">IFERROR(RANK(K290,K$6:K$1004,1),"")</f>
        <v/>
      </c>
      <c r="F290" s="4" t="str">
        <f t="shared" ca="1" si="300"/>
        <v/>
      </c>
      <c r="G290" s="4" t="str">
        <f t="shared" ca="1" si="266"/>
        <v/>
      </c>
      <c r="H290" s="4" t="str">
        <f t="shared" si="267"/>
        <v/>
      </c>
      <c r="I290" s="4" t="str">
        <f t="shared" si="268"/>
        <v/>
      </c>
      <c r="J290" s="4" t="str">
        <f t="shared" si="269"/>
        <v/>
      </c>
      <c r="K290" s="25" t="str">
        <f t="shared" ca="1" si="270"/>
        <v/>
      </c>
      <c r="L290" s="21" t="str">
        <f t="shared" ca="1" si="271"/>
        <v/>
      </c>
      <c r="M290" s="21" t="str">
        <f>IF(SUMIFS('Input Sheet'!$F$3:$F$1001,'Input Sheet'!$B$3:$B$1001,$H290,'Input Sheet'!$E$3:$E$1001,M$4)=0,"",SUMIFS('Input Sheet'!$F$3:$F$1001,'Input Sheet'!$B$3:$B$1001,$H290,'Input Sheet'!$E$3:$E$1001,M$4))</f>
        <v/>
      </c>
      <c r="N290" s="21" t="str">
        <f>IF(SUMIFS('Input Sheet'!$F$3:$F$1001,'Input Sheet'!$B$3:$B$1001,$H290,'Input Sheet'!$E$3:$E$1001,N$4)=0,"",SUMIFS('Input Sheet'!$F$3:$F$1001,'Input Sheet'!$B$3:$B$1001,$H290,'Input Sheet'!$E$3:$E$1001,N$4))</f>
        <v/>
      </c>
      <c r="O290" s="21" t="str">
        <f>IF(SUMIFS('Input Sheet'!$F$3:$F$1001,'Input Sheet'!$B$3:$B$1001,$H290,'Input Sheet'!$E$3:$E$1001,O$4)=0,"",SUMIFS('Input Sheet'!$F$3:$F$1001,'Input Sheet'!$B$3:$B$1001,$H290,'Input Sheet'!$E$3:$E$1001,O$4))</f>
        <v/>
      </c>
      <c r="P290" s="21" t="str">
        <f>IF(SUMIFS('Input Sheet'!$F$3:$F$1001,'Input Sheet'!$B$3:$B$1001,$H290,'Input Sheet'!$E$3:$E$1001,P$4)=0,"",SUMIFS('Input Sheet'!$F$3:$F$1001,'Input Sheet'!$B$3:$B$1001,$H290,'Input Sheet'!$E$3:$E$1001,P$4))</f>
        <v/>
      </c>
      <c r="Q290" s="21" t="str">
        <f>IF(SUMIFS('Input Sheet'!$F$3:$F$1001,'Input Sheet'!$B$3:$B$1001,$H290,'Input Sheet'!$E$3:$E$1001,Q$4)=0,"",SUMIFS('Input Sheet'!$F$3:$F$1001,'Input Sheet'!$B$3:$B$1001,$H290,'Input Sheet'!$E$3:$E$1001,Q$4))</f>
        <v/>
      </c>
      <c r="R290" s="21" t="str">
        <f>IF(SUMIFS('Input Sheet'!$F$3:$F$1001,'Input Sheet'!$B$3:$B$1001,$H290,'Input Sheet'!$E$3:$E$1001,R$4)=0,"",SUMIFS('Input Sheet'!$F$3:$F$1001,'Input Sheet'!$B$3:$B$1001,$H290,'Input Sheet'!$E$3:$E$1001,R$4))</f>
        <v/>
      </c>
      <c r="S290" s="21" t="str">
        <f>IF(SUMIFS('Input Sheet'!$F$3:$F$1001,'Input Sheet'!$B$3:$B$1001,$H290,'Input Sheet'!$E$3:$E$1001,S$4)=0,"",SUMIFS('Input Sheet'!$F$3:$F$1001,'Input Sheet'!$B$3:$B$1001,$H290,'Input Sheet'!$E$3:$E$1001,S$4))</f>
        <v/>
      </c>
      <c r="T290" s="22">
        <v>285</v>
      </c>
    </row>
    <row r="291" spans="1:20" ht="14.25" customHeight="1" x14ac:dyDescent="0.3">
      <c r="A291" s="4" t="str">
        <f>IF('Input Sheet'!B288=0,"",'Input Sheet'!B288)</f>
        <v/>
      </c>
      <c r="B291" s="24" t="b">
        <f t="shared" si="264"/>
        <v>0</v>
      </c>
      <c r="C291" s="4">
        <f>SUMIF('Input Sheet'!B$3:B$1000,A291,'Input Sheet'!C$3:C$1000)</f>
        <v>0</v>
      </c>
      <c r="D291" s="4">
        <f>SUMIF('Input Sheet'!B$3:B$1000,A291,'Input Sheet'!D$3:D$1000)</f>
        <v>0</v>
      </c>
      <c r="E291" s="4" t="str">
        <f t="shared" ref="E291:F291" ca="1" si="301">IFERROR(RANK(K291,K$6:K$1004,1),"")</f>
        <v/>
      </c>
      <c r="F291" s="4" t="str">
        <f t="shared" ca="1" si="301"/>
        <v/>
      </c>
      <c r="G291" s="4" t="str">
        <f t="shared" ca="1" si="266"/>
        <v/>
      </c>
      <c r="H291" s="4" t="str">
        <f t="shared" si="267"/>
        <v/>
      </c>
      <c r="I291" s="4" t="str">
        <f t="shared" si="268"/>
        <v/>
      </c>
      <c r="J291" s="4" t="str">
        <f t="shared" si="269"/>
        <v/>
      </c>
      <c r="K291" s="25" t="str">
        <f t="shared" ca="1" si="270"/>
        <v/>
      </c>
      <c r="L291" s="21" t="str">
        <f t="shared" ca="1" si="271"/>
        <v/>
      </c>
      <c r="M291" s="21" t="str">
        <f>IF(SUMIFS('Input Sheet'!$F$3:$F$1001,'Input Sheet'!$B$3:$B$1001,$H291,'Input Sheet'!$E$3:$E$1001,M$4)=0,"",SUMIFS('Input Sheet'!$F$3:$F$1001,'Input Sheet'!$B$3:$B$1001,$H291,'Input Sheet'!$E$3:$E$1001,M$4))</f>
        <v/>
      </c>
      <c r="N291" s="21" t="str">
        <f>IF(SUMIFS('Input Sheet'!$F$3:$F$1001,'Input Sheet'!$B$3:$B$1001,$H291,'Input Sheet'!$E$3:$E$1001,N$4)=0,"",SUMIFS('Input Sheet'!$F$3:$F$1001,'Input Sheet'!$B$3:$B$1001,$H291,'Input Sheet'!$E$3:$E$1001,N$4))</f>
        <v/>
      </c>
      <c r="O291" s="21" t="str">
        <f>IF(SUMIFS('Input Sheet'!$F$3:$F$1001,'Input Sheet'!$B$3:$B$1001,$H291,'Input Sheet'!$E$3:$E$1001,O$4)=0,"",SUMIFS('Input Sheet'!$F$3:$F$1001,'Input Sheet'!$B$3:$B$1001,$H291,'Input Sheet'!$E$3:$E$1001,O$4))</f>
        <v/>
      </c>
      <c r="P291" s="21" t="str">
        <f>IF(SUMIFS('Input Sheet'!$F$3:$F$1001,'Input Sheet'!$B$3:$B$1001,$H291,'Input Sheet'!$E$3:$E$1001,P$4)=0,"",SUMIFS('Input Sheet'!$F$3:$F$1001,'Input Sheet'!$B$3:$B$1001,$H291,'Input Sheet'!$E$3:$E$1001,P$4))</f>
        <v/>
      </c>
      <c r="Q291" s="21" t="str">
        <f>IF(SUMIFS('Input Sheet'!$F$3:$F$1001,'Input Sheet'!$B$3:$B$1001,$H291,'Input Sheet'!$E$3:$E$1001,Q$4)=0,"",SUMIFS('Input Sheet'!$F$3:$F$1001,'Input Sheet'!$B$3:$B$1001,$H291,'Input Sheet'!$E$3:$E$1001,Q$4))</f>
        <v/>
      </c>
      <c r="R291" s="21" t="str">
        <f>IF(SUMIFS('Input Sheet'!$F$3:$F$1001,'Input Sheet'!$B$3:$B$1001,$H291,'Input Sheet'!$E$3:$E$1001,R$4)=0,"",SUMIFS('Input Sheet'!$F$3:$F$1001,'Input Sheet'!$B$3:$B$1001,$H291,'Input Sheet'!$E$3:$E$1001,R$4))</f>
        <v/>
      </c>
      <c r="S291" s="21" t="str">
        <f>IF(SUMIFS('Input Sheet'!$F$3:$F$1001,'Input Sheet'!$B$3:$B$1001,$H291,'Input Sheet'!$E$3:$E$1001,S$4)=0,"",SUMIFS('Input Sheet'!$F$3:$F$1001,'Input Sheet'!$B$3:$B$1001,$H291,'Input Sheet'!$E$3:$E$1001,S$4))</f>
        <v/>
      </c>
      <c r="T291" s="22">
        <v>286</v>
      </c>
    </row>
    <row r="292" spans="1:20" ht="14.25" customHeight="1" x14ac:dyDescent="0.3">
      <c r="A292" s="4" t="str">
        <f>IF('Input Sheet'!B289=0,"",'Input Sheet'!B289)</f>
        <v/>
      </c>
      <c r="B292" s="24" t="b">
        <f t="shared" si="264"/>
        <v>0</v>
      </c>
      <c r="C292" s="4">
        <f>SUMIF('Input Sheet'!B$3:B$1000,A292,'Input Sheet'!C$3:C$1000)</f>
        <v>0</v>
      </c>
      <c r="D292" s="4">
        <f>SUMIF('Input Sheet'!B$3:B$1000,A292,'Input Sheet'!D$3:D$1000)</f>
        <v>0</v>
      </c>
      <c r="E292" s="4" t="str">
        <f t="shared" ref="E292:F292" ca="1" si="302">IFERROR(RANK(K292,K$6:K$1004,1),"")</f>
        <v/>
      </c>
      <c r="F292" s="4" t="str">
        <f t="shared" ca="1" si="302"/>
        <v/>
      </c>
      <c r="G292" s="4" t="str">
        <f t="shared" ca="1" si="266"/>
        <v/>
      </c>
      <c r="H292" s="4" t="str">
        <f t="shared" si="267"/>
        <v/>
      </c>
      <c r="I292" s="4" t="str">
        <f t="shared" si="268"/>
        <v/>
      </c>
      <c r="J292" s="4" t="str">
        <f t="shared" si="269"/>
        <v/>
      </c>
      <c r="K292" s="25" t="str">
        <f t="shared" ca="1" si="270"/>
        <v/>
      </c>
      <c r="L292" s="21" t="str">
        <f t="shared" ca="1" si="271"/>
        <v/>
      </c>
      <c r="M292" s="21" t="str">
        <f>IF(SUMIFS('Input Sheet'!$F$3:$F$1001,'Input Sheet'!$B$3:$B$1001,$H292,'Input Sheet'!$E$3:$E$1001,M$4)=0,"",SUMIFS('Input Sheet'!$F$3:$F$1001,'Input Sheet'!$B$3:$B$1001,$H292,'Input Sheet'!$E$3:$E$1001,M$4))</f>
        <v/>
      </c>
      <c r="N292" s="21" t="str">
        <f>IF(SUMIFS('Input Sheet'!$F$3:$F$1001,'Input Sheet'!$B$3:$B$1001,$H292,'Input Sheet'!$E$3:$E$1001,N$4)=0,"",SUMIFS('Input Sheet'!$F$3:$F$1001,'Input Sheet'!$B$3:$B$1001,$H292,'Input Sheet'!$E$3:$E$1001,N$4))</f>
        <v/>
      </c>
      <c r="O292" s="21" t="str">
        <f>IF(SUMIFS('Input Sheet'!$F$3:$F$1001,'Input Sheet'!$B$3:$B$1001,$H292,'Input Sheet'!$E$3:$E$1001,O$4)=0,"",SUMIFS('Input Sheet'!$F$3:$F$1001,'Input Sheet'!$B$3:$B$1001,$H292,'Input Sheet'!$E$3:$E$1001,O$4))</f>
        <v/>
      </c>
      <c r="P292" s="21" t="str">
        <f>IF(SUMIFS('Input Sheet'!$F$3:$F$1001,'Input Sheet'!$B$3:$B$1001,$H292,'Input Sheet'!$E$3:$E$1001,P$4)=0,"",SUMIFS('Input Sheet'!$F$3:$F$1001,'Input Sheet'!$B$3:$B$1001,$H292,'Input Sheet'!$E$3:$E$1001,P$4))</f>
        <v/>
      </c>
      <c r="Q292" s="21" t="str">
        <f>IF(SUMIFS('Input Sheet'!$F$3:$F$1001,'Input Sheet'!$B$3:$B$1001,$H292,'Input Sheet'!$E$3:$E$1001,Q$4)=0,"",SUMIFS('Input Sheet'!$F$3:$F$1001,'Input Sheet'!$B$3:$B$1001,$H292,'Input Sheet'!$E$3:$E$1001,Q$4))</f>
        <v/>
      </c>
      <c r="R292" s="21" t="str">
        <f>IF(SUMIFS('Input Sheet'!$F$3:$F$1001,'Input Sheet'!$B$3:$B$1001,$H292,'Input Sheet'!$E$3:$E$1001,R$4)=0,"",SUMIFS('Input Sheet'!$F$3:$F$1001,'Input Sheet'!$B$3:$B$1001,$H292,'Input Sheet'!$E$3:$E$1001,R$4))</f>
        <v/>
      </c>
      <c r="S292" s="21" t="str">
        <f>IF(SUMIFS('Input Sheet'!$F$3:$F$1001,'Input Sheet'!$B$3:$B$1001,$H292,'Input Sheet'!$E$3:$E$1001,S$4)=0,"",SUMIFS('Input Sheet'!$F$3:$F$1001,'Input Sheet'!$B$3:$B$1001,$H292,'Input Sheet'!$E$3:$E$1001,S$4))</f>
        <v/>
      </c>
      <c r="T292" s="22">
        <v>287</v>
      </c>
    </row>
    <row r="293" spans="1:20" ht="14.25" customHeight="1" x14ac:dyDescent="0.3">
      <c r="A293" s="4" t="str">
        <f>IF('Input Sheet'!B290=0,"",'Input Sheet'!B290)</f>
        <v/>
      </c>
      <c r="B293" s="24" t="b">
        <f t="shared" si="264"/>
        <v>0</v>
      </c>
      <c r="C293" s="4">
        <f>SUMIF('Input Sheet'!B$3:B$1000,A293,'Input Sheet'!C$3:C$1000)</f>
        <v>0</v>
      </c>
      <c r="D293" s="4">
        <f>SUMIF('Input Sheet'!B$3:B$1000,A293,'Input Sheet'!D$3:D$1000)</f>
        <v>0</v>
      </c>
      <c r="E293" s="4" t="str">
        <f t="shared" ref="E293:F293" ca="1" si="303">IFERROR(RANK(K293,K$6:K$1004,1),"")</f>
        <v/>
      </c>
      <c r="F293" s="4" t="str">
        <f t="shared" ca="1" si="303"/>
        <v/>
      </c>
      <c r="G293" s="4" t="str">
        <f t="shared" ca="1" si="266"/>
        <v/>
      </c>
      <c r="H293" s="4" t="str">
        <f t="shared" si="267"/>
        <v/>
      </c>
      <c r="I293" s="4" t="str">
        <f t="shared" si="268"/>
        <v/>
      </c>
      <c r="J293" s="4" t="str">
        <f t="shared" si="269"/>
        <v/>
      </c>
      <c r="K293" s="25" t="str">
        <f t="shared" ca="1" si="270"/>
        <v/>
      </c>
      <c r="L293" s="21" t="str">
        <f t="shared" ca="1" si="271"/>
        <v/>
      </c>
      <c r="M293" s="21" t="str">
        <f>IF(SUMIFS('Input Sheet'!$F$3:$F$1001,'Input Sheet'!$B$3:$B$1001,$H293,'Input Sheet'!$E$3:$E$1001,M$4)=0,"",SUMIFS('Input Sheet'!$F$3:$F$1001,'Input Sheet'!$B$3:$B$1001,$H293,'Input Sheet'!$E$3:$E$1001,M$4))</f>
        <v/>
      </c>
      <c r="N293" s="21" t="str">
        <f>IF(SUMIFS('Input Sheet'!$F$3:$F$1001,'Input Sheet'!$B$3:$B$1001,$H293,'Input Sheet'!$E$3:$E$1001,N$4)=0,"",SUMIFS('Input Sheet'!$F$3:$F$1001,'Input Sheet'!$B$3:$B$1001,$H293,'Input Sheet'!$E$3:$E$1001,N$4))</f>
        <v/>
      </c>
      <c r="O293" s="21" t="str">
        <f>IF(SUMIFS('Input Sheet'!$F$3:$F$1001,'Input Sheet'!$B$3:$B$1001,$H293,'Input Sheet'!$E$3:$E$1001,O$4)=0,"",SUMIFS('Input Sheet'!$F$3:$F$1001,'Input Sheet'!$B$3:$B$1001,$H293,'Input Sheet'!$E$3:$E$1001,O$4))</f>
        <v/>
      </c>
      <c r="P293" s="21" t="str">
        <f>IF(SUMIFS('Input Sheet'!$F$3:$F$1001,'Input Sheet'!$B$3:$B$1001,$H293,'Input Sheet'!$E$3:$E$1001,P$4)=0,"",SUMIFS('Input Sheet'!$F$3:$F$1001,'Input Sheet'!$B$3:$B$1001,$H293,'Input Sheet'!$E$3:$E$1001,P$4))</f>
        <v/>
      </c>
      <c r="Q293" s="21" t="str">
        <f>IF(SUMIFS('Input Sheet'!$F$3:$F$1001,'Input Sheet'!$B$3:$B$1001,$H293,'Input Sheet'!$E$3:$E$1001,Q$4)=0,"",SUMIFS('Input Sheet'!$F$3:$F$1001,'Input Sheet'!$B$3:$B$1001,$H293,'Input Sheet'!$E$3:$E$1001,Q$4))</f>
        <v/>
      </c>
      <c r="R293" s="21" t="str">
        <f>IF(SUMIFS('Input Sheet'!$F$3:$F$1001,'Input Sheet'!$B$3:$B$1001,$H293,'Input Sheet'!$E$3:$E$1001,R$4)=0,"",SUMIFS('Input Sheet'!$F$3:$F$1001,'Input Sheet'!$B$3:$B$1001,$H293,'Input Sheet'!$E$3:$E$1001,R$4))</f>
        <v/>
      </c>
      <c r="S293" s="21" t="str">
        <f>IF(SUMIFS('Input Sheet'!$F$3:$F$1001,'Input Sheet'!$B$3:$B$1001,$H293,'Input Sheet'!$E$3:$E$1001,S$4)=0,"",SUMIFS('Input Sheet'!$F$3:$F$1001,'Input Sheet'!$B$3:$B$1001,$H293,'Input Sheet'!$E$3:$E$1001,S$4))</f>
        <v/>
      </c>
      <c r="T293" s="22">
        <v>288</v>
      </c>
    </row>
    <row r="294" spans="1:20" ht="14.25" customHeight="1" x14ac:dyDescent="0.3">
      <c r="A294" s="4" t="str">
        <f>IF('Input Sheet'!B291=0,"",'Input Sheet'!B291)</f>
        <v/>
      </c>
      <c r="B294" s="24" t="b">
        <f t="shared" si="264"/>
        <v>0</v>
      </c>
      <c r="C294" s="4">
        <f>SUMIF('Input Sheet'!B$3:B$1000,A294,'Input Sheet'!C$3:C$1000)</f>
        <v>0</v>
      </c>
      <c r="D294" s="4">
        <f>SUMIF('Input Sheet'!B$3:B$1000,A294,'Input Sheet'!D$3:D$1000)</f>
        <v>0</v>
      </c>
      <c r="E294" s="4" t="str">
        <f t="shared" ref="E294:F294" ca="1" si="304">IFERROR(RANK(K294,K$6:K$1004,1),"")</f>
        <v/>
      </c>
      <c r="F294" s="4" t="str">
        <f t="shared" ca="1" si="304"/>
        <v/>
      </c>
      <c r="G294" s="4" t="str">
        <f t="shared" ca="1" si="266"/>
        <v/>
      </c>
      <c r="H294" s="4" t="str">
        <f t="shared" si="267"/>
        <v/>
      </c>
      <c r="I294" s="4" t="str">
        <f t="shared" si="268"/>
        <v/>
      </c>
      <c r="J294" s="4" t="str">
        <f t="shared" si="269"/>
        <v/>
      </c>
      <c r="K294" s="25" t="str">
        <f t="shared" ca="1" si="270"/>
        <v/>
      </c>
      <c r="L294" s="21" t="str">
        <f t="shared" ca="1" si="271"/>
        <v/>
      </c>
      <c r="M294" s="21" t="str">
        <f>IF(SUMIFS('Input Sheet'!$F$3:$F$1001,'Input Sheet'!$B$3:$B$1001,$H294,'Input Sheet'!$E$3:$E$1001,M$4)=0,"",SUMIFS('Input Sheet'!$F$3:$F$1001,'Input Sheet'!$B$3:$B$1001,$H294,'Input Sheet'!$E$3:$E$1001,M$4))</f>
        <v/>
      </c>
      <c r="N294" s="21" t="str">
        <f>IF(SUMIFS('Input Sheet'!$F$3:$F$1001,'Input Sheet'!$B$3:$B$1001,$H294,'Input Sheet'!$E$3:$E$1001,N$4)=0,"",SUMIFS('Input Sheet'!$F$3:$F$1001,'Input Sheet'!$B$3:$B$1001,$H294,'Input Sheet'!$E$3:$E$1001,N$4))</f>
        <v/>
      </c>
      <c r="O294" s="21" t="str">
        <f>IF(SUMIFS('Input Sheet'!$F$3:$F$1001,'Input Sheet'!$B$3:$B$1001,$H294,'Input Sheet'!$E$3:$E$1001,O$4)=0,"",SUMIFS('Input Sheet'!$F$3:$F$1001,'Input Sheet'!$B$3:$B$1001,$H294,'Input Sheet'!$E$3:$E$1001,O$4))</f>
        <v/>
      </c>
      <c r="P294" s="21" t="str">
        <f>IF(SUMIFS('Input Sheet'!$F$3:$F$1001,'Input Sheet'!$B$3:$B$1001,$H294,'Input Sheet'!$E$3:$E$1001,P$4)=0,"",SUMIFS('Input Sheet'!$F$3:$F$1001,'Input Sheet'!$B$3:$B$1001,$H294,'Input Sheet'!$E$3:$E$1001,P$4))</f>
        <v/>
      </c>
      <c r="Q294" s="21" t="str">
        <f>IF(SUMIFS('Input Sheet'!$F$3:$F$1001,'Input Sheet'!$B$3:$B$1001,$H294,'Input Sheet'!$E$3:$E$1001,Q$4)=0,"",SUMIFS('Input Sheet'!$F$3:$F$1001,'Input Sheet'!$B$3:$B$1001,$H294,'Input Sheet'!$E$3:$E$1001,Q$4))</f>
        <v/>
      </c>
      <c r="R294" s="21" t="str">
        <f>IF(SUMIFS('Input Sheet'!$F$3:$F$1001,'Input Sheet'!$B$3:$B$1001,$H294,'Input Sheet'!$E$3:$E$1001,R$4)=0,"",SUMIFS('Input Sheet'!$F$3:$F$1001,'Input Sheet'!$B$3:$B$1001,$H294,'Input Sheet'!$E$3:$E$1001,R$4))</f>
        <v/>
      </c>
      <c r="S294" s="21" t="str">
        <f>IF(SUMIFS('Input Sheet'!$F$3:$F$1001,'Input Sheet'!$B$3:$B$1001,$H294,'Input Sheet'!$E$3:$E$1001,S$4)=0,"",SUMIFS('Input Sheet'!$F$3:$F$1001,'Input Sheet'!$B$3:$B$1001,$H294,'Input Sheet'!$E$3:$E$1001,S$4))</f>
        <v/>
      </c>
      <c r="T294" s="22">
        <v>289</v>
      </c>
    </row>
    <row r="295" spans="1:20" ht="14.25" customHeight="1" x14ac:dyDescent="0.3">
      <c r="A295" s="4" t="str">
        <f>IF('Input Sheet'!B292=0,"",'Input Sheet'!B292)</f>
        <v/>
      </c>
      <c r="B295" s="24" t="b">
        <f t="shared" si="264"/>
        <v>0</v>
      </c>
      <c r="C295" s="4">
        <f>SUMIF('Input Sheet'!B$3:B$1000,A295,'Input Sheet'!C$3:C$1000)</f>
        <v>0</v>
      </c>
      <c r="D295" s="4">
        <f>SUMIF('Input Sheet'!B$3:B$1000,A295,'Input Sheet'!D$3:D$1000)</f>
        <v>0</v>
      </c>
      <c r="E295" s="4" t="str">
        <f t="shared" ref="E295:F295" ca="1" si="305">IFERROR(RANK(K295,K$6:K$1004,1),"")</f>
        <v/>
      </c>
      <c r="F295" s="4" t="str">
        <f t="shared" ca="1" si="305"/>
        <v/>
      </c>
      <c r="G295" s="4" t="str">
        <f t="shared" ca="1" si="266"/>
        <v/>
      </c>
      <c r="H295" s="4" t="str">
        <f t="shared" si="267"/>
        <v/>
      </c>
      <c r="I295" s="4" t="str">
        <f t="shared" si="268"/>
        <v/>
      </c>
      <c r="J295" s="4" t="str">
        <f t="shared" si="269"/>
        <v/>
      </c>
      <c r="K295" s="25" t="str">
        <f t="shared" ca="1" si="270"/>
        <v/>
      </c>
      <c r="L295" s="21" t="str">
        <f t="shared" ca="1" si="271"/>
        <v/>
      </c>
      <c r="M295" s="21" t="str">
        <f>IF(SUMIFS('Input Sheet'!$F$3:$F$1001,'Input Sheet'!$B$3:$B$1001,$H295,'Input Sheet'!$E$3:$E$1001,M$4)=0,"",SUMIFS('Input Sheet'!$F$3:$F$1001,'Input Sheet'!$B$3:$B$1001,$H295,'Input Sheet'!$E$3:$E$1001,M$4))</f>
        <v/>
      </c>
      <c r="N295" s="21" t="str">
        <f>IF(SUMIFS('Input Sheet'!$F$3:$F$1001,'Input Sheet'!$B$3:$B$1001,$H295,'Input Sheet'!$E$3:$E$1001,N$4)=0,"",SUMIFS('Input Sheet'!$F$3:$F$1001,'Input Sheet'!$B$3:$B$1001,$H295,'Input Sheet'!$E$3:$E$1001,N$4))</f>
        <v/>
      </c>
      <c r="O295" s="21" t="str">
        <f>IF(SUMIFS('Input Sheet'!$F$3:$F$1001,'Input Sheet'!$B$3:$B$1001,$H295,'Input Sheet'!$E$3:$E$1001,O$4)=0,"",SUMIFS('Input Sheet'!$F$3:$F$1001,'Input Sheet'!$B$3:$B$1001,$H295,'Input Sheet'!$E$3:$E$1001,O$4))</f>
        <v/>
      </c>
      <c r="P295" s="21" t="str">
        <f>IF(SUMIFS('Input Sheet'!$F$3:$F$1001,'Input Sheet'!$B$3:$B$1001,$H295,'Input Sheet'!$E$3:$E$1001,P$4)=0,"",SUMIFS('Input Sheet'!$F$3:$F$1001,'Input Sheet'!$B$3:$B$1001,$H295,'Input Sheet'!$E$3:$E$1001,P$4))</f>
        <v/>
      </c>
      <c r="Q295" s="21" t="str">
        <f>IF(SUMIFS('Input Sheet'!$F$3:$F$1001,'Input Sheet'!$B$3:$B$1001,$H295,'Input Sheet'!$E$3:$E$1001,Q$4)=0,"",SUMIFS('Input Sheet'!$F$3:$F$1001,'Input Sheet'!$B$3:$B$1001,$H295,'Input Sheet'!$E$3:$E$1001,Q$4))</f>
        <v/>
      </c>
      <c r="R295" s="21" t="str">
        <f>IF(SUMIFS('Input Sheet'!$F$3:$F$1001,'Input Sheet'!$B$3:$B$1001,$H295,'Input Sheet'!$E$3:$E$1001,R$4)=0,"",SUMIFS('Input Sheet'!$F$3:$F$1001,'Input Sheet'!$B$3:$B$1001,$H295,'Input Sheet'!$E$3:$E$1001,R$4))</f>
        <v/>
      </c>
      <c r="S295" s="21" t="str">
        <f>IF(SUMIFS('Input Sheet'!$F$3:$F$1001,'Input Sheet'!$B$3:$B$1001,$H295,'Input Sheet'!$E$3:$E$1001,S$4)=0,"",SUMIFS('Input Sheet'!$F$3:$F$1001,'Input Sheet'!$B$3:$B$1001,$H295,'Input Sheet'!$E$3:$E$1001,S$4))</f>
        <v/>
      </c>
      <c r="T295" s="22">
        <v>290</v>
      </c>
    </row>
    <row r="296" spans="1:20" ht="14.25" customHeight="1" x14ac:dyDescent="0.3">
      <c r="A296" s="4" t="str">
        <f>IF('Input Sheet'!B293=0,"",'Input Sheet'!B293)</f>
        <v/>
      </c>
      <c r="B296" s="24" t="b">
        <f t="shared" si="264"/>
        <v>0</v>
      </c>
      <c r="C296" s="4">
        <f>SUMIF('Input Sheet'!B$3:B$1000,A296,'Input Sheet'!C$3:C$1000)</f>
        <v>0</v>
      </c>
      <c r="D296" s="4">
        <f>SUMIF('Input Sheet'!B$3:B$1000,A296,'Input Sheet'!D$3:D$1000)</f>
        <v>0</v>
      </c>
      <c r="E296" s="4" t="str">
        <f t="shared" ref="E296:F296" ca="1" si="306">IFERROR(RANK(K296,K$6:K$1004,1),"")</f>
        <v/>
      </c>
      <c r="F296" s="4" t="str">
        <f t="shared" ca="1" si="306"/>
        <v/>
      </c>
      <c r="G296" s="4" t="str">
        <f t="shared" ca="1" si="266"/>
        <v/>
      </c>
      <c r="H296" s="4" t="str">
        <f t="shared" si="267"/>
        <v/>
      </c>
      <c r="I296" s="4" t="str">
        <f t="shared" si="268"/>
        <v/>
      </c>
      <c r="J296" s="4" t="str">
        <f t="shared" si="269"/>
        <v/>
      </c>
      <c r="K296" s="25" t="str">
        <f t="shared" ca="1" si="270"/>
        <v/>
      </c>
      <c r="L296" s="21" t="str">
        <f t="shared" ca="1" si="271"/>
        <v/>
      </c>
      <c r="M296" s="21" t="str">
        <f>IF(SUMIFS('Input Sheet'!$F$3:$F$1001,'Input Sheet'!$B$3:$B$1001,$H296,'Input Sheet'!$E$3:$E$1001,M$4)=0,"",SUMIFS('Input Sheet'!$F$3:$F$1001,'Input Sheet'!$B$3:$B$1001,$H296,'Input Sheet'!$E$3:$E$1001,M$4))</f>
        <v/>
      </c>
      <c r="N296" s="21" t="str">
        <f>IF(SUMIFS('Input Sheet'!$F$3:$F$1001,'Input Sheet'!$B$3:$B$1001,$H296,'Input Sheet'!$E$3:$E$1001,N$4)=0,"",SUMIFS('Input Sheet'!$F$3:$F$1001,'Input Sheet'!$B$3:$B$1001,$H296,'Input Sheet'!$E$3:$E$1001,N$4))</f>
        <v/>
      </c>
      <c r="O296" s="21" t="str">
        <f>IF(SUMIFS('Input Sheet'!$F$3:$F$1001,'Input Sheet'!$B$3:$B$1001,$H296,'Input Sheet'!$E$3:$E$1001,O$4)=0,"",SUMIFS('Input Sheet'!$F$3:$F$1001,'Input Sheet'!$B$3:$B$1001,$H296,'Input Sheet'!$E$3:$E$1001,O$4))</f>
        <v/>
      </c>
      <c r="P296" s="21" t="str">
        <f>IF(SUMIFS('Input Sheet'!$F$3:$F$1001,'Input Sheet'!$B$3:$B$1001,$H296,'Input Sheet'!$E$3:$E$1001,P$4)=0,"",SUMIFS('Input Sheet'!$F$3:$F$1001,'Input Sheet'!$B$3:$B$1001,$H296,'Input Sheet'!$E$3:$E$1001,P$4))</f>
        <v/>
      </c>
      <c r="Q296" s="21" t="str">
        <f>IF(SUMIFS('Input Sheet'!$F$3:$F$1001,'Input Sheet'!$B$3:$B$1001,$H296,'Input Sheet'!$E$3:$E$1001,Q$4)=0,"",SUMIFS('Input Sheet'!$F$3:$F$1001,'Input Sheet'!$B$3:$B$1001,$H296,'Input Sheet'!$E$3:$E$1001,Q$4))</f>
        <v/>
      </c>
      <c r="R296" s="21" t="str">
        <f>IF(SUMIFS('Input Sheet'!$F$3:$F$1001,'Input Sheet'!$B$3:$B$1001,$H296,'Input Sheet'!$E$3:$E$1001,R$4)=0,"",SUMIFS('Input Sheet'!$F$3:$F$1001,'Input Sheet'!$B$3:$B$1001,$H296,'Input Sheet'!$E$3:$E$1001,R$4))</f>
        <v/>
      </c>
      <c r="S296" s="21" t="str">
        <f>IF(SUMIFS('Input Sheet'!$F$3:$F$1001,'Input Sheet'!$B$3:$B$1001,$H296,'Input Sheet'!$E$3:$E$1001,S$4)=0,"",SUMIFS('Input Sheet'!$F$3:$F$1001,'Input Sheet'!$B$3:$B$1001,$H296,'Input Sheet'!$E$3:$E$1001,S$4))</f>
        <v/>
      </c>
      <c r="T296" s="22">
        <v>291</v>
      </c>
    </row>
    <row r="297" spans="1:20" ht="14.25" customHeight="1" x14ac:dyDescent="0.3">
      <c r="A297" s="4" t="str">
        <f>IF('Input Sheet'!B294=0,"",'Input Sheet'!B294)</f>
        <v/>
      </c>
      <c r="B297" s="24" t="b">
        <f t="shared" si="264"/>
        <v>0</v>
      </c>
      <c r="C297" s="4">
        <f>SUMIF('Input Sheet'!B$3:B$1000,A297,'Input Sheet'!C$3:C$1000)</f>
        <v>0</v>
      </c>
      <c r="D297" s="4">
        <f>SUMIF('Input Sheet'!B$3:B$1000,A297,'Input Sheet'!D$3:D$1000)</f>
        <v>0</v>
      </c>
      <c r="E297" s="4" t="str">
        <f t="shared" ref="E297:F297" ca="1" si="307">IFERROR(RANK(K297,K$6:K$1004,1),"")</f>
        <v/>
      </c>
      <c r="F297" s="4" t="str">
        <f t="shared" ca="1" si="307"/>
        <v/>
      </c>
      <c r="G297" s="4" t="str">
        <f t="shared" ca="1" si="266"/>
        <v/>
      </c>
      <c r="H297" s="4" t="str">
        <f t="shared" si="267"/>
        <v/>
      </c>
      <c r="I297" s="4" t="str">
        <f t="shared" si="268"/>
        <v/>
      </c>
      <c r="J297" s="4" t="str">
        <f t="shared" si="269"/>
        <v/>
      </c>
      <c r="K297" s="25" t="str">
        <f t="shared" ca="1" si="270"/>
        <v/>
      </c>
      <c r="L297" s="21" t="str">
        <f t="shared" ca="1" si="271"/>
        <v/>
      </c>
      <c r="M297" s="21" t="str">
        <f>IF(SUMIFS('Input Sheet'!$F$3:$F$1001,'Input Sheet'!$B$3:$B$1001,$H297,'Input Sheet'!$E$3:$E$1001,M$4)=0,"",SUMIFS('Input Sheet'!$F$3:$F$1001,'Input Sheet'!$B$3:$B$1001,$H297,'Input Sheet'!$E$3:$E$1001,M$4))</f>
        <v/>
      </c>
      <c r="N297" s="21" t="str">
        <f>IF(SUMIFS('Input Sheet'!$F$3:$F$1001,'Input Sheet'!$B$3:$B$1001,$H297,'Input Sheet'!$E$3:$E$1001,N$4)=0,"",SUMIFS('Input Sheet'!$F$3:$F$1001,'Input Sheet'!$B$3:$B$1001,$H297,'Input Sheet'!$E$3:$E$1001,N$4))</f>
        <v/>
      </c>
      <c r="O297" s="21" t="str">
        <f>IF(SUMIFS('Input Sheet'!$F$3:$F$1001,'Input Sheet'!$B$3:$B$1001,$H297,'Input Sheet'!$E$3:$E$1001,O$4)=0,"",SUMIFS('Input Sheet'!$F$3:$F$1001,'Input Sheet'!$B$3:$B$1001,$H297,'Input Sheet'!$E$3:$E$1001,O$4))</f>
        <v/>
      </c>
      <c r="P297" s="21" t="str">
        <f>IF(SUMIFS('Input Sheet'!$F$3:$F$1001,'Input Sheet'!$B$3:$B$1001,$H297,'Input Sheet'!$E$3:$E$1001,P$4)=0,"",SUMIFS('Input Sheet'!$F$3:$F$1001,'Input Sheet'!$B$3:$B$1001,$H297,'Input Sheet'!$E$3:$E$1001,P$4))</f>
        <v/>
      </c>
      <c r="Q297" s="21" t="str">
        <f>IF(SUMIFS('Input Sheet'!$F$3:$F$1001,'Input Sheet'!$B$3:$B$1001,$H297,'Input Sheet'!$E$3:$E$1001,Q$4)=0,"",SUMIFS('Input Sheet'!$F$3:$F$1001,'Input Sheet'!$B$3:$B$1001,$H297,'Input Sheet'!$E$3:$E$1001,Q$4))</f>
        <v/>
      </c>
      <c r="R297" s="21" t="str">
        <f>IF(SUMIFS('Input Sheet'!$F$3:$F$1001,'Input Sheet'!$B$3:$B$1001,$H297,'Input Sheet'!$E$3:$E$1001,R$4)=0,"",SUMIFS('Input Sheet'!$F$3:$F$1001,'Input Sheet'!$B$3:$B$1001,$H297,'Input Sheet'!$E$3:$E$1001,R$4))</f>
        <v/>
      </c>
      <c r="S297" s="21" t="str">
        <f>IF(SUMIFS('Input Sheet'!$F$3:$F$1001,'Input Sheet'!$B$3:$B$1001,$H297,'Input Sheet'!$E$3:$E$1001,S$4)=0,"",SUMIFS('Input Sheet'!$F$3:$F$1001,'Input Sheet'!$B$3:$B$1001,$H297,'Input Sheet'!$E$3:$E$1001,S$4))</f>
        <v/>
      </c>
      <c r="T297" s="22">
        <v>292</v>
      </c>
    </row>
    <row r="298" spans="1:20" ht="14.25" customHeight="1" x14ac:dyDescent="0.3">
      <c r="A298" s="4" t="str">
        <f>IF('Input Sheet'!B295=0,"",'Input Sheet'!B295)</f>
        <v/>
      </c>
      <c r="B298" s="24" t="b">
        <f t="shared" si="264"/>
        <v>0</v>
      </c>
      <c r="C298" s="4">
        <f>SUMIF('Input Sheet'!B$3:B$1000,A298,'Input Sheet'!C$3:C$1000)</f>
        <v>0</v>
      </c>
      <c r="D298" s="4">
        <f>SUMIF('Input Sheet'!B$3:B$1000,A298,'Input Sheet'!D$3:D$1000)</f>
        <v>0</v>
      </c>
      <c r="E298" s="4" t="str">
        <f t="shared" ref="E298:F298" ca="1" si="308">IFERROR(RANK(K298,K$6:K$1004,1),"")</f>
        <v/>
      </c>
      <c r="F298" s="4" t="str">
        <f t="shared" ca="1" si="308"/>
        <v/>
      </c>
      <c r="G298" s="4" t="str">
        <f t="shared" ca="1" si="266"/>
        <v/>
      </c>
      <c r="H298" s="4" t="str">
        <f t="shared" si="267"/>
        <v/>
      </c>
      <c r="I298" s="4" t="str">
        <f t="shared" si="268"/>
        <v/>
      </c>
      <c r="J298" s="4" t="str">
        <f t="shared" si="269"/>
        <v/>
      </c>
      <c r="K298" s="25" t="str">
        <f t="shared" ca="1" si="270"/>
        <v/>
      </c>
      <c r="L298" s="21" t="str">
        <f t="shared" ca="1" si="271"/>
        <v/>
      </c>
      <c r="M298" s="21" t="str">
        <f>IF(SUMIFS('Input Sheet'!$F$3:$F$1001,'Input Sheet'!$B$3:$B$1001,$H298,'Input Sheet'!$E$3:$E$1001,M$4)=0,"",SUMIFS('Input Sheet'!$F$3:$F$1001,'Input Sheet'!$B$3:$B$1001,$H298,'Input Sheet'!$E$3:$E$1001,M$4))</f>
        <v/>
      </c>
      <c r="N298" s="21" t="str">
        <f>IF(SUMIFS('Input Sheet'!$F$3:$F$1001,'Input Sheet'!$B$3:$B$1001,$H298,'Input Sheet'!$E$3:$E$1001,N$4)=0,"",SUMIFS('Input Sheet'!$F$3:$F$1001,'Input Sheet'!$B$3:$B$1001,$H298,'Input Sheet'!$E$3:$E$1001,N$4))</f>
        <v/>
      </c>
      <c r="O298" s="21" t="str">
        <f>IF(SUMIFS('Input Sheet'!$F$3:$F$1001,'Input Sheet'!$B$3:$B$1001,$H298,'Input Sheet'!$E$3:$E$1001,O$4)=0,"",SUMIFS('Input Sheet'!$F$3:$F$1001,'Input Sheet'!$B$3:$B$1001,$H298,'Input Sheet'!$E$3:$E$1001,O$4))</f>
        <v/>
      </c>
      <c r="P298" s="21" t="str">
        <f>IF(SUMIFS('Input Sheet'!$F$3:$F$1001,'Input Sheet'!$B$3:$B$1001,$H298,'Input Sheet'!$E$3:$E$1001,P$4)=0,"",SUMIFS('Input Sheet'!$F$3:$F$1001,'Input Sheet'!$B$3:$B$1001,$H298,'Input Sheet'!$E$3:$E$1001,P$4))</f>
        <v/>
      </c>
      <c r="Q298" s="21" t="str">
        <f>IF(SUMIFS('Input Sheet'!$F$3:$F$1001,'Input Sheet'!$B$3:$B$1001,$H298,'Input Sheet'!$E$3:$E$1001,Q$4)=0,"",SUMIFS('Input Sheet'!$F$3:$F$1001,'Input Sheet'!$B$3:$B$1001,$H298,'Input Sheet'!$E$3:$E$1001,Q$4))</f>
        <v/>
      </c>
      <c r="R298" s="21" t="str">
        <f>IF(SUMIFS('Input Sheet'!$F$3:$F$1001,'Input Sheet'!$B$3:$B$1001,$H298,'Input Sheet'!$E$3:$E$1001,R$4)=0,"",SUMIFS('Input Sheet'!$F$3:$F$1001,'Input Sheet'!$B$3:$B$1001,$H298,'Input Sheet'!$E$3:$E$1001,R$4))</f>
        <v/>
      </c>
      <c r="S298" s="21" t="str">
        <f>IF(SUMIFS('Input Sheet'!$F$3:$F$1001,'Input Sheet'!$B$3:$B$1001,$H298,'Input Sheet'!$E$3:$E$1001,S$4)=0,"",SUMIFS('Input Sheet'!$F$3:$F$1001,'Input Sheet'!$B$3:$B$1001,$H298,'Input Sheet'!$E$3:$E$1001,S$4))</f>
        <v/>
      </c>
      <c r="T298" s="22">
        <v>293</v>
      </c>
    </row>
    <row r="299" spans="1:20" ht="14.25" customHeight="1" x14ac:dyDescent="0.3">
      <c r="A299" s="4" t="str">
        <f>IF('Input Sheet'!B296=0,"",'Input Sheet'!B296)</f>
        <v/>
      </c>
      <c r="B299" s="24" t="b">
        <f t="shared" si="264"/>
        <v>0</v>
      </c>
      <c r="C299" s="4">
        <f>SUMIF('Input Sheet'!B$3:B$1000,A299,'Input Sheet'!C$3:C$1000)</f>
        <v>0</v>
      </c>
      <c r="D299" s="4">
        <f>SUMIF('Input Sheet'!B$3:B$1000,A299,'Input Sheet'!D$3:D$1000)</f>
        <v>0</v>
      </c>
      <c r="E299" s="4" t="str">
        <f t="shared" ref="E299:F299" ca="1" si="309">IFERROR(RANK(K299,K$6:K$1004,1),"")</f>
        <v/>
      </c>
      <c r="F299" s="4" t="str">
        <f t="shared" ca="1" si="309"/>
        <v/>
      </c>
      <c r="G299" s="4" t="str">
        <f t="shared" ca="1" si="266"/>
        <v/>
      </c>
      <c r="H299" s="4" t="str">
        <f t="shared" si="267"/>
        <v/>
      </c>
      <c r="I299" s="4" t="str">
        <f t="shared" si="268"/>
        <v/>
      </c>
      <c r="J299" s="4" t="str">
        <f t="shared" si="269"/>
        <v/>
      </c>
      <c r="K299" s="25" t="str">
        <f t="shared" ca="1" si="270"/>
        <v/>
      </c>
      <c r="L299" s="21" t="str">
        <f t="shared" ca="1" si="271"/>
        <v/>
      </c>
      <c r="M299" s="21" t="str">
        <f>IF(SUMIFS('Input Sheet'!$F$3:$F$1001,'Input Sheet'!$B$3:$B$1001,$H299,'Input Sheet'!$E$3:$E$1001,M$4)=0,"",SUMIFS('Input Sheet'!$F$3:$F$1001,'Input Sheet'!$B$3:$B$1001,$H299,'Input Sheet'!$E$3:$E$1001,M$4))</f>
        <v/>
      </c>
      <c r="N299" s="21" t="str">
        <f>IF(SUMIFS('Input Sheet'!$F$3:$F$1001,'Input Sheet'!$B$3:$B$1001,$H299,'Input Sheet'!$E$3:$E$1001,N$4)=0,"",SUMIFS('Input Sheet'!$F$3:$F$1001,'Input Sheet'!$B$3:$B$1001,$H299,'Input Sheet'!$E$3:$E$1001,N$4))</f>
        <v/>
      </c>
      <c r="O299" s="21" t="str">
        <f>IF(SUMIFS('Input Sheet'!$F$3:$F$1001,'Input Sheet'!$B$3:$B$1001,$H299,'Input Sheet'!$E$3:$E$1001,O$4)=0,"",SUMIFS('Input Sheet'!$F$3:$F$1001,'Input Sheet'!$B$3:$B$1001,$H299,'Input Sheet'!$E$3:$E$1001,O$4))</f>
        <v/>
      </c>
      <c r="P299" s="21" t="str">
        <f>IF(SUMIFS('Input Sheet'!$F$3:$F$1001,'Input Sheet'!$B$3:$B$1001,$H299,'Input Sheet'!$E$3:$E$1001,P$4)=0,"",SUMIFS('Input Sheet'!$F$3:$F$1001,'Input Sheet'!$B$3:$B$1001,$H299,'Input Sheet'!$E$3:$E$1001,P$4))</f>
        <v/>
      </c>
      <c r="Q299" s="21" t="str">
        <f>IF(SUMIFS('Input Sheet'!$F$3:$F$1001,'Input Sheet'!$B$3:$B$1001,$H299,'Input Sheet'!$E$3:$E$1001,Q$4)=0,"",SUMIFS('Input Sheet'!$F$3:$F$1001,'Input Sheet'!$B$3:$B$1001,$H299,'Input Sheet'!$E$3:$E$1001,Q$4))</f>
        <v/>
      </c>
      <c r="R299" s="21" t="str">
        <f>IF(SUMIFS('Input Sheet'!$F$3:$F$1001,'Input Sheet'!$B$3:$B$1001,$H299,'Input Sheet'!$E$3:$E$1001,R$4)=0,"",SUMIFS('Input Sheet'!$F$3:$F$1001,'Input Sheet'!$B$3:$B$1001,$H299,'Input Sheet'!$E$3:$E$1001,R$4))</f>
        <v/>
      </c>
      <c r="S299" s="21" t="str">
        <f>IF(SUMIFS('Input Sheet'!$F$3:$F$1001,'Input Sheet'!$B$3:$B$1001,$H299,'Input Sheet'!$E$3:$E$1001,S$4)=0,"",SUMIFS('Input Sheet'!$F$3:$F$1001,'Input Sheet'!$B$3:$B$1001,$H299,'Input Sheet'!$E$3:$E$1001,S$4))</f>
        <v/>
      </c>
      <c r="T299" s="22">
        <v>294</v>
      </c>
    </row>
    <row r="300" spans="1:20" ht="14.25" customHeight="1" x14ac:dyDescent="0.3">
      <c r="A300" s="4" t="str">
        <f>IF('Input Sheet'!B297=0,"",'Input Sheet'!B297)</f>
        <v/>
      </c>
      <c r="B300" s="24" t="b">
        <f t="shared" si="264"/>
        <v>0</v>
      </c>
      <c r="C300" s="4">
        <f>SUMIF('Input Sheet'!B$3:B$1000,A300,'Input Sheet'!C$3:C$1000)</f>
        <v>0</v>
      </c>
      <c r="D300" s="4">
        <f>SUMIF('Input Sheet'!B$3:B$1000,A300,'Input Sheet'!D$3:D$1000)</f>
        <v>0</v>
      </c>
      <c r="E300" s="4" t="str">
        <f t="shared" ref="E300:F300" ca="1" si="310">IFERROR(RANK(K300,K$6:K$1004,1),"")</f>
        <v/>
      </c>
      <c r="F300" s="4" t="str">
        <f t="shared" ca="1" si="310"/>
        <v/>
      </c>
      <c r="G300" s="4" t="str">
        <f t="shared" ca="1" si="266"/>
        <v/>
      </c>
      <c r="H300" s="4" t="str">
        <f t="shared" si="267"/>
        <v/>
      </c>
      <c r="I300" s="4" t="str">
        <f t="shared" si="268"/>
        <v/>
      </c>
      <c r="J300" s="4" t="str">
        <f t="shared" si="269"/>
        <v/>
      </c>
      <c r="K300" s="25" t="str">
        <f t="shared" ca="1" si="270"/>
        <v/>
      </c>
      <c r="L300" s="21" t="str">
        <f t="shared" ca="1" si="271"/>
        <v/>
      </c>
      <c r="M300" s="21" t="str">
        <f>IF(SUMIFS('Input Sheet'!$F$3:$F$1001,'Input Sheet'!$B$3:$B$1001,$H300,'Input Sheet'!$E$3:$E$1001,M$4)=0,"",SUMIFS('Input Sheet'!$F$3:$F$1001,'Input Sheet'!$B$3:$B$1001,$H300,'Input Sheet'!$E$3:$E$1001,M$4))</f>
        <v/>
      </c>
      <c r="N300" s="21" t="str">
        <f>IF(SUMIFS('Input Sheet'!$F$3:$F$1001,'Input Sheet'!$B$3:$B$1001,$H300,'Input Sheet'!$E$3:$E$1001,N$4)=0,"",SUMIFS('Input Sheet'!$F$3:$F$1001,'Input Sheet'!$B$3:$B$1001,$H300,'Input Sheet'!$E$3:$E$1001,N$4))</f>
        <v/>
      </c>
      <c r="O300" s="21" t="str">
        <f>IF(SUMIFS('Input Sheet'!$F$3:$F$1001,'Input Sheet'!$B$3:$B$1001,$H300,'Input Sheet'!$E$3:$E$1001,O$4)=0,"",SUMIFS('Input Sheet'!$F$3:$F$1001,'Input Sheet'!$B$3:$B$1001,$H300,'Input Sheet'!$E$3:$E$1001,O$4))</f>
        <v/>
      </c>
      <c r="P300" s="21" t="str">
        <f>IF(SUMIFS('Input Sheet'!$F$3:$F$1001,'Input Sheet'!$B$3:$B$1001,$H300,'Input Sheet'!$E$3:$E$1001,P$4)=0,"",SUMIFS('Input Sheet'!$F$3:$F$1001,'Input Sheet'!$B$3:$B$1001,$H300,'Input Sheet'!$E$3:$E$1001,P$4))</f>
        <v/>
      </c>
      <c r="Q300" s="21" t="str">
        <f>IF(SUMIFS('Input Sheet'!$F$3:$F$1001,'Input Sheet'!$B$3:$B$1001,$H300,'Input Sheet'!$E$3:$E$1001,Q$4)=0,"",SUMIFS('Input Sheet'!$F$3:$F$1001,'Input Sheet'!$B$3:$B$1001,$H300,'Input Sheet'!$E$3:$E$1001,Q$4))</f>
        <v/>
      </c>
      <c r="R300" s="21" t="str">
        <f>IF(SUMIFS('Input Sheet'!$F$3:$F$1001,'Input Sheet'!$B$3:$B$1001,$H300,'Input Sheet'!$E$3:$E$1001,R$4)=0,"",SUMIFS('Input Sheet'!$F$3:$F$1001,'Input Sheet'!$B$3:$B$1001,$H300,'Input Sheet'!$E$3:$E$1001,R$4))</f>
        <v/>
      </c>
      <c r="S300" s="21" t="str">
        <f>IF(SUMIFS('Input Sheet'!$F$3:$F$1001,'Input Sheet'!$B$3:$B$1001,$H300,'Input Sheet'!$E$3:$E$1001,S$4)=0,"",SUMIFS('Input Sheet'!$F$3:$F$1001,'Input Sheet'!$B$3:$B$1001,$H300,'Input Sheet'!$E$3:$E$1001,S$4))</f>
        <v/>
      </c>
      <c r="T300" s="22">
        <v>295</v>
      </c>
    </row>
    <row r="301" spans="1:20" ht="14.25" customHeight="1" x14ac:dyDescent="0.3">
      <c r="A301" s="4" t="str">
        <f>IF('Input Sheet'!B298=0,"",'Input Sheet'!B298)</f>
        <v/>
      </c>
      <c r="B301" s="24" t="b">
        <f t="shared" si="264"/>
        <v>0</v>
      </c>
      <c r="C301" s="4">
        <f>SUMIF('Input Sheet'!B$3:B$1000,A301,'Input Sheet'!C$3:C$1000)</f>
        <v>0</v>
      </c>
      <c r="D301" s="4">
        <f>SUMIF('Input Sheet'!B$3:B$1000,A301,'Input Sheet'!D$3:D$1000)</f>
        <v>0</v>
      </c>
      <c r="E301" s="4" t="str">
        <f t="shared" ref="E301:F301" ca="1" si="311">IFERROR(RANK(K301,K$6:K$1004,1),"")</f>
        <v/>
      </c>
      <c r="F301" s="4" t="str">
        <f t="shared" ca="1" si="311"/>
        <v/>
      </c>
      <c r="G301" s="4" t="str">
        <f t="shared" ca="1" si="266"/>
        <v/>
      </c>
      <c r="H301" s="4" t="str">
        <f t="shared" si="267"/>
        <v/>
      </c>
      <c r="I301" s="4" t="str">
        <f t="shared" si="268"/>
        <v/>
      </c>
      <c r="J301" s="4" t="str">
        <f t="shared" si="269"/>
        <v/>
      </c>
      <c r="K301" s="25" t="str">
        <f t="shared" ca="1" si="270"/>
        <v/>
      </c>
      <c r="L301" s="21" t="str">
        <f t="shared" ca="1" si="271"/>
        <v/>
      </c>
      <c r="M301" s="21" t="str">
        <f>IF(SUMIFS('Input Sheet'!$F$3:$F$1001,'Input Sheet'!$B$3:$B$1001,$H301,'Input Sheet'!$E$3:$E$1001,M$4)=0,"",SUMIFS('Input Sheet'!$F$3:$F$1001,'Input Sheet'!$B$3:$B$1001,$H301,'Input Sheet'!$E$3:$E$1001,M$4))</f>
        <v/>
      </c>
      <c r="N301" s="21" t="str">
        <f>IF(SUMIFS('Input Sheet'!$F$3:$F$1001,'Input Sheet'!$B$3:$B$1001,$H301,'Input Sheet'!$E$3:$E$1001,N$4)=0,"",SUMIFS('Input Sheet'!$F$3:$F$1001,'Input Sheet'!$B$3:$B$1001,$H301,'Input Sheet'!$E$3:$E$1001,N$4))</f>
        <v/>
      </c>
      <c r="O301" s="21" t="str">
        <f>IF(SUMIFS('Input Sheet'!$F$3:$F$1001,'Input Sheet'!$B$3:$B$1001,$H301,'Input Sheet'!$E$3:$E$1001,O$4)=0,"",SUMIFS('Input Sheet'!$F$3:$F$1001,'Input Sheet'!$B$3:$B$1001,$H301,'Input Sheet'!$E$3:$E$1001,O$4))</f>
        <v/>
      </c>
      <c r="P301" s="21" t="str">
        <f>IF(SUMIFS('Input Sheet'!$F$3:$F$1001,'Input Sheet'!$B$3:$B$1001,$H301,'Input Sheet'!$E$3:$E$1001,P$4)=0,"",SUMIFS('Input Sheet'!$F$3:$F$1001,'Input Sheet'!$B$3:$B$1001,$H301,'Input Sheet'!$E$3:$E$1001,P$4))</f>
        <v/>
      </c>
      <c r="Q301" s="21" t="str">
        <f>IF(SUMIFS('Input Sheet'!$F$3:$F$1001,'Input Sheet'!$B$3:$B$1001,$H301,'Input Sheet'!$E$3:$E$1001,Q$4)=0,"",SUMIFS('Input Sheet'!$F$3:$F$1001,'Input Sheet'!$B$3:$B$1001,$H301,'Input Sheet'!$E$3:$E$1001,Q$4))</f>
        <v/>
      </c>
      <c r="R301" s="21" t="str">
        <f>IF(SUMIFS('Input Sheet'!$F$3:$F$1001,'Input Sheet'!$B$3:$B$1001,$H301,'Input Sheet'!$E$3:$E$1001,R$4)=0,"",SUMIFS('Input Sheet'!$F$3:$F$1001,'Input Sheet'!$B$3:$B$1001,$H301,'Input Sheet'!$E$3:$E$1001,R$4))</f>
        <v/>
      </c>
      <c r="S301" s="21" t="str">
        <f>IF(SUMIFS('Input Sheet'!$F$3:$F$1001,'Input Sheet'!$B$3:$B$1001,$H301,'Input Sheet'!$E$3:$E$1001,S$4)=0,"",SUMIFS('Input Sheet'!$F$3:$F$1001,'Input Sheet'!$B$3:$B$1001,$H301,'Input Sheet'!$E$3:$E$1001,S$4))</f>
        <v/>
      </c>
      <c r="T301" s="22">
        <v>296</v>
      </c>
    </row>
    <row r="302" spans="1:20" ht="14.25" customHeight="1" x14ac:dyDescent="0.3">
      <c r="A302" s="4" t="str">
        <f>IF('Input Sheet'!B299=0,"",'Input Sheet'!B299)</f>
        <v/>
      </c>
      <c r="B302" s="24" t="b">
        <f t="shared" si="264"/>
        <v>0</v>
      </c>
      <c r="C302" s="4">
        <f>SUMIF('Input Sheet'!B$3:B$1000,A302,'Input Sheet'!C$3:C$1000)</f>
        <v>0</v>
      </c>
      <c r="D302" s="4">
        <f>SUMIF('Input Sheet'!B$3:B$1000,A302,'Input Sheet'!D$3:D$1000)</f>
        <v>0</v>
      </c>
      <c r="E302" s="4" t="str">
        <f t="shared" ref="E302:F302" ca="1" si="312">IFERROR(RANK(K302,K$6:K$1004,1),"")</f>
        <v/>
      </c>
      <c r="F302" s="4" t="str">
        <f t="shared" ca="1" si="312"/>
        <v/>
      </c>
      <c r="G302" s="4" t="str">
        <f t="shared" ca="1" si="266"/>
        <v/>
      </c>
      <c r="H302" s="4" t="str">
        <f t="shared" si="267"/>
        <v/>
      </c>
      <c r="I302" s="4" t="str">
        <f t="shared" si="268"/>
        <v/>
      </c>
      <c r="J302" s="4" t="str">
        <f t="shared" si="269"/>
        <v/>
      </c>
      <c r="K302" s="25" t="str">
        <f t="shared" ca="1" si="270"/>
        <v/>
      </c>
      <c r="L302" s="21" t="str">
        <f t="shared" ca="1" si="271"/>
        <v/>
      </c>
      <c r="M302" s="21" t="str">
        <f>IF(SUMIFS('Input Sheet'!$F$3:$F$1001,'Input Sheet'!$B$3:$B$1001,$H302,'Input Sheet'!$E$3:$E$1001,M$4)=0,"",SUMIFS('Input Sheet'!$F$3:$F$1001,'Input Sheet'!$B$3:$B$1001,$H302,'Input Sheet'!$E$3:$E$1001,M$4))</f>
        <v/>
      </c>
      <c r="N302" s="21" t="str">
        <f>IF(SUMIFS('Input Sheet'!$F$3:$F$1001,'Input Sheet'!$B$3:$B$1001,$H302,'Input Sheet'!$E$3:$E$1001,N$4)=0,"",SUMIFS('Input Sheet'!$F$3:$F$1001,'Input Sheet'!$B$3:$B$1001,$H302,'Input Sheet'!$E$3:$E$1001,N$4))</f>
        <v/>
      </c>
      <c r="O302" s="21" t="str">
        <f>IF(SUMIFS('Input Sheet'!$F$3:$F$1001,'Input Sheet'!$B$3:$B$1001,$H302,'Input Sheet'!$E$3:$E$1001,O$4)=0,"",SUMIFS('Input Sheet'!$F$3:$F$1001,'Input Sheet'!$B$3:$B$1001,$H302,'Input Sheet'!$E$3:$E$1001,O$4))</f>
        <v/>
      </c>
      <c r="P302" s="21" t="str">
        <f>IF(SUMIFS('Input Sheet'!$F$3:$F$1001,'Input Sheet'!$B$3:$B$1001,$H302,'Input Sheet'!$E$3:$E$1001,P$4)=0,"",SUMIFS('Input Sheet'!$F$3:$F$1001,'Input Sheet'!$B$3:$B$1001,$H302,'Input Sheet'!$E$3:$E$1001,P$4))</f>
        <v/>
      </c>
      <c r="Q302" s="21" t="str">
        <f>IF(SUMIFS('Input Sheet'!$F$3:$F$1001,'Input Sheet'!$B$3:$B$1001,$H302,'Input Sheet'!$E$3:$E$1001,Q$4)=0,"",SUMIFS('Input Sheet'!$F$3:$F$1001,'Input Sheet'!$B$3:$B$1001,$H302,'Input Sheet'!$E$3:$E$1001,Q$4))</f>
        <v/>
      </c>
      <c r="R302" s="21" t="str">
        <f>IF(SUMIFS('Input Sheet'!$F$3:$F$1001,'Input Sheet'!$B$3:$B$1001,$H302,'Input Sheet'!$E$3:$E$1001,R$4)=0,"",SUMIFS('Input Sheet'!$F$3:$F$1001,'Input Sheet'!$B$3:$B$1001,$H302,'Input Sheet'!$E$3:$E$1001,R$4))</f>
        <v/>
      </c>
      <c r="S302" s="21" t="str">
        <f>IF(SUMIFS('Input Sheet'!$F$3:$F$1001,'Input Sheet'!$B$3:$B$1001,$H302,'Input Sheet'!$E$3:$E$1001,S$4)=0,"",SUMIFS('Input Sheet'!$F$3:$F$1001,'Input Sheet'!$B$3:$B$1001,$H302,'Input Sheet'!$E$3:$E$1001,S$4))</f>
        <v/>
      </c>
      <c r="T302" s="22">
        <v>297</v>
      </c>
    </row>
    <row r="303" spans="1:20" ht="14.25" customHeight="1" x14ac:dyDescent="0.3">
      <c r="A303" s="4" t="str">
        <f>IF('Input Sheet'!B300=0,"",'Input Sheet'!B300)</f>
        <v/>
      </c>
      <c r="B303" s="24" t="b">
        <f t="shared" si="264"/>
        <v>0</v>
      </c>
      <c r="C303" s="4">
        <f>SUMIF('Input Sheet'!B$3:B$1000,A303,'Input Sheet'!C$3:C$1000)</f>
        <v>0</v>
      </c>
      <c r="D303" s="4">
        <f>SUMIF('Input Sheet'!B$3:B$1000,A303,'Input Sheet'!D$3:D$1000)</f>
        <v>0</v>
      </c>
      <c r="E303" s="4" t="str">
        <f t="shared" ref="E303:F303" ca="1" si="313">IFERROR(RANK(K303,K$6:K$1004,1),"")</f>
        <v/>
      </c>
      <c r="F303" s="4" t="str">
        <f t="shared" ca="1" si="313"/>
        <v/>
      </c>
      <c r="G303" s="4" t="str">
        <f t="shared" ca="1" si="266"/>
        <v/>
      </c>
      <c r="H303" s="4" t="str">
        <f t="shared" si="267"/>
        <v/>
      </c>
      <c r="I303" s="4" t="str">
        <f t="shared" si="268"/>
        <v/>
      </c>
      <c r="J303" s="4" t="str">
        <f t="shared" si="269"/>
        <v/>
      </c>
      <c r="K303" s="25" t="str">
        <f t="shared" ca="1" si="270"/>
        <v/>
      </c>
      <c r="L303" s="21" t="str">
        <f t="shared" ca="1" si="271"/>
        <v/>
      </c>
      <c r="M303" s="21" t="str">
        <f>IF(SUMIFS('Input Sheet'!$F$3:$F$1001,'Input Sheet'!$B$3:$B$1001,$H303,'Input Sheet'!$E$3:$E$1001,M$4)=0,"",SUMIFS('Input Sheet'!$F$3:$F$1001,'Input Sheet'!$B$3:$B$1001,$H303,'Input Sheet'!$E$3:$E$1001,M$4))</f>
        <v/>
      </c>
      <c r="N303" s="21" t="str">
        <f>IF(SUMIFS('Input Sheet'!$F$3:$F$1001,'Input Sheet'!$B$3:$B$1001,$H303,'Input Sheet'!$E$3:$E$1001,N$4)=0,"",SUMIFS('Input Sheet'!$F$3:$F$1001,'Input Sheet'!$B$3:$B$1001,$H303,'Input Sheet'!$E$3:$E$1001,N$4))</f>
        <v/>
      </c>
      <c r="O303" s="21" t="str">
        <f>IF(SUMIFS('Input Sheet'!$F$3:$F$1001,'Input Sheet'!$B$3:$B$1001,$H303,'Input Sheet'!$E$3:$E$1001,O$4)=0,"",SUMIFS('Input Sheet'!$F$3:$F$1001,'Input Sheet'!$B$3:$B$1001,$H303,'Input Sheet'!$E$3:$E$1001,O$4))</f>
        <v/>
      </c>
      <c r="P303" s="21" t="str">
        <f>IF(SUMIFS('Input Sheet'!$F$3:$F$1001,'Input Sheet'!$B$3:$B$1001,$H303,'Input Sheet'!$E$3:$E$1001,P$4)=0,"",SUMIFS('Input Sheet'!$F$3:$F$1001,'Input Sheet'!$B$3:$B$1001,$H303,'Input Sheet'!$E$3:$E$1001,P$4))</f>
        <v/>
      </c>
      <c r="Q303" s="21" t="str">
        <f>IF(SUMIFS('Input Sheet'!$F$3:$F$1001,'Input Sheet'!$B$3:$B$1001,$H303,'Input Sheet'!$E$3:$E$1001,Q$4)=0,"",SUMIFS('Input Sheet'!$F$3:$F$1001,'Input Sheet'!$B$3:$B$1001,$H303,'Input Sheet'!$E$3:$E$1001,Q$4))</f>
        <v/>
      </c>
      <c r="R303" s="21" t="str">
        <f>IF(SUMIFS('Input Sheet'!$F$3:$F$1001,'Input Sheet'!$B$3:$B$1001,$H303,'Input Sheet'!$E$3:$E$1001,R$4)=0,"",SUMIFS('Input Sheet'!$F$3:$F$1001,'Input Sheet'!$B$3:$B$1001,$H303,'Input Sheet'!$E$3:$E$1001,R$4))</f>
        <v/>
      </c>
      <c r="S303" s="21" t="str">
        <f>IF(SUMIFS('Input Sheet'!$F$3:$F$1001,'Input Sheet'!$B$3:$B$1001,$H303,'Input Sheet'!$E$3:$E$1001,S$4)=0,"",SUMIFS('Input Sheet'!$F$3:$F$1001,'Input Sheet'!$B$3:$B$1001,$H303,'Input Sheet'!$E$3:$E$1001,S$4))</f>
        <v/>
      </c>
      <c r="T303" s="22">
        <v>298</v>
      </c>
    </row>
    <row r="304" spans="1:20" ht="14.25" customHeight="1" x14ac:dyDescent="0.3">
      <c r="A304" s="4" t="str">
        <f>IF('Input Sheet'!B301=0,"",'Input Sheet'!B301)</f>
        <v/>
      </c>
      <c r="B304" s="24" t="b">
        <f t="shared" si="264"/>
        <v>0</v>
      </c>
      <c r="C304" s="4">
        <f>SUMIF('Input Sheet'!B$3:B$1000,A304,'Input Sheet'!C$3:C$1000)</f>
        <v>0</v>
      </c>
      <c r="D304" s="4">
        <f>SUMIF('Input Sheet'!B$3:B$1000,A304,'Input Sheet'!D$3:D$1000)</f>
        <v>0</v>
      </c>
      <c r="E304" s="4" t="str">
        <f t="shared" ref="E304:F304" ca="1" si="314">IFERROR(RANK(K304,K$6:K$1004,1),"")</f>
        <v/>
      </c>
      <c r="F304" s="4" t="str">
        <f t="shared" ca="1" si="314"/>
        <v/>
      </c>
      <c r="G304" s="4" t="str">
        <f t="shared" ca="1" si="266"/>
        <v/>
      </c>
      <c r="H304" s="4" t="str">
        <f t="shared" si="267"/>
        <v/>
      </c>
      <c r="I304" s="4" t="str">
        <f t="shared" si="268"/>
        <v/>
      </c>
      <c r="J304" s="4" t="str">
        <f t="shared" si="269"/>
        <v/>
      </c>
      <c r="K304" s="25" t="str">
        <f t="shared" ca="1" si="270"/>
        <v/>
      </c>
      <c r="L304" s="21" t="str">
        <f t="shared" ca="1" si="271"/>
        <v/>
      </c>
      <c r="M304" s="21" t="str">
        <f>IF(SUMIFS('Input Sheet'!$F$3:$F$1001,'Input Sheet'!$B$3:$B$1001,$H304,'Input Sheet'!$E$3:$E$1001,M$4)=0,"",SUMIFS('Input Sheet'!$F$3:$F$1001,'Input Sheet'!$B$3:$B$1001,$H304,'Input Sheet'!$E$3:$E$1001,M$4))</f>
        <v/>
      </c>
      <c r="N304" s="21" t="str">
        <f>IF(SUMIFS('Input Sheet'!$F$3:$F$1001,'Input Sheet'!$B$3:$B$1001,$H304,'Input Sheet'!$E$3:$E$1001,N$4)=0,"",SUMIFS('Input Sheet'!$F$3:$F$1001,'Input Sheet'!$B$3:$B$1001,$H304,'Input Sheet'!$E$3:$E$1001,N$4))</f>
        <v/>
      </c>
      <c r="O304" s="21" t="str">
        <f>IF(SUMIFS('Input Sheet'!$F$3:$F$1001,'Input Sheet'!$B$3:$B$1001,$H304,'Input Sheet'!$E$3:$E$1001,O$4)=0,"",SUMIFS('Input Sheet'!$F$3:$F$1001,'Input Sheet'!$B$3:$B$1001,$H304,'Input Sheet'!$E$3:$E$1001,O$4))</f>
        <v/>
      </c>
      <c r="P304" s="21" t="str">
        <f>IF(SUMIFS('Input Sheet'!$F$3:$F$1001,'Input Sheet'!$B$3:$B$1001,$H304,'Input Sheet'!$E$3:$E$1001,P$4)=0,"",SUMIFS('Input Sheet'!$F$3:$F$1001,'Input Sheet'!$B$3:$B$1001,$H304,'Input Sheet'!$E$3:$E$1001,P$4))</f>
        <v/>
      </c>
      <c r="Q304" s="21" t="str">
        <f>IF(SUMIFS('Input Sheet'!$F$3:$F$1001,'Input Sheet'!$B$3:$B$1001,$H304,'Input Sheet'!$E$3:$E$1001,Q$4)=0,"",SUMIFS('Input Sheet'!$F$3:$F$1001,'Input Sheet'!$B$3:$B$1001,$H304,'Input Sheet'!$E$3:$E$1001,Q$4))</f>
        <v/>
      </c>
      <c r="R304" s="21" t="str">
        <f>IF(SUMIFS('Input Sheet'!$F$3:$F$1001,'Input Sheet'!$B$3:$B$1001,$H304,'Input Sheet'!$E$3:$E$1001,R$4)=0,"",SUMIFS('Input Sheet'!$F$3:$F$1001,'Input Sheet'!$B$3:$B$1001,$H304,'Input Sheet'!$E$3:$E$1001,R$4))</f>
        <v/>
      </c>
      <c r="S304" s="21" t="str">
        <f>IF(SUMIFS('Input Sheet'!$F$3:$F$1001,'Input Sheet'!$B$3:$B$1001,$H304,'Input Sheet'!$E$3:$E$1001,S$4)=0,"",SUMIFS('Input Sheet'!$F$3:$F$1001,'Input Sheet'!$B$3:$B$1001,$H304,'Input Sheet'!$E$3:$E$1001,S$4))</f>
        <v/>
      </c>
      <c r="T304" s="22">
        <v>299</v>
      </c>
    </row>
    <row r="305" spans="1:20" ht="14.25" customHeight="1" x14ac:dyDescent="0.3">
      <c r="A305" s="4" t="str">
        <f>IF('Input Sheet'!B302=0,"",'Input Sheet'!B302)</f>
        <v/>
      </c>
      <c r="B305" s="24" t="b">
        <f t="shared" si="264"/>
        <v>0</v>
      </c>
      <c r="C305" s="4">
        <f>SUMIF('Input Sheet'!B$3:B$1000,A305,'Input Sheet'!C$3:C$1000)</f>
        <v>0</v>
      </c>
      <c r="D305" s="4">
        <f>SUMIF('Input Sheet'!B$3:B$1000,A305,'Input Sheet'!D$3:D$1000)</f>
        <v>0</v>
      </c>
      <c r="E305" s="4" t="str">
        <f t="shared" ref="E305:F305" ca="1" si="315">IFERROR(RANK(K305,K$6:K$1004,1),"")</f>
        <v/>
      </c>
      <c r="F305" s="4" t="str">
        <f t="shared" ca="1" si="315"/>
        <v/>
      </c>
      <c r="G305" s="4" t="str">
        <f t="shared" ca="1" si="266"/>
        <v/>
      </c>
      <c r="H305" s="4" t="str">
        <f t="shared" si="267"/>
        <v/>
      </c>
      <c r="I305" s="4" t="str">
        <f t="shared" si="268"/>
        <v/>
      </c>
      <c r="J305" s="4" t="str">
        <f t="shared" si="269"/>
        <v/>
      </c>
      <c r="K305" s="25" t="str">
        <f t="shared" ca="1" si="270"/>
        <v/>
      </c>
      <c r="L305" s="21" t="str">
        <f t="shared" ca="1" si="271"/>
        <v/>
      </c>
      <c r="M305" s="21" t="str">
        <f>IF(SUMIFS('Input Sheet'!$F$3:$F$1001,'Input Sheet'!$B$3:$B$1001,$H305,'Input Sheet'!$E$3:$E$1001,M$4)=0,"",SUMIFS('Input Sheet'!$F$3:$F$1001,'Input Sheet'!$B$3:$B$1001,$H305,'Input Sheet'!$E$3:$E$1001,M$4))</f>
        <v/>
      </c>
      <c r="N305" s="21" t="str">
        <f>IF(SUMIFS('Input Sheet'!$F$3:$F$1001,'Input Sheet'!$B$3:$B$1001,$H305,'Input Sheet'!$E$3:$E$1001,N$4)=0,"",SUMIFS('Input Sheet'!$F$3:$F$1001,'Input Sheet'!$B$3:$B$1001,$H305,'Input Sheet'!$E$3:$E$1001,N$4))</f>
        <v/>
      </c>
      <c r="O305" s="21" t="str">
        <f>IF(SUMIFS('Input Sheet'!$F$3:$F$1001,'Input Sheet'!$B$3:$B$1001,$H305,'Input Sheet'!$E$3:$E$1001,O$4)=0,"",SUMIFS('Input Sheet'!$F$3:$F$1001,'Input Sheet'!$B$3:$B$1001,$H305,'Input Sheet'!$E$3:$E$1001,O$4))</f>
        <v/>
      </c>
      <c r="P305" s="21" t="str">
        <f>IF(SUMIFS('Input Sheet'!$F$3:$F$1001,'Input Sheet'!$B$3:$B$1001,$H305,'Input Sheet'!$E$3:$E$1001,P$4)=0,"",SUMIFS('Input Sheet'!$F$3:$F$1001,'Input Sheet'!$B$3:$B$1001,$H305,'Input Sheet'!$E$3:$E$1001,P$4))</f>
        <v/>
      </c>
      <c r="Q305" s="21" t="str">
        <f>IF(SUMIFS('Input Sheet'!$F$3:$F$1001,'Input Sheet'!$B$3:$B$1001,$H305,'Input Sheet'!$E$3:$E$1001,Q$4)=0,"",SUMIFS('Input Sheet'!$F$3:$F$1001,'Input Sheet'!$B$3:$B$1001,$H305,'Input Sheet'!$E$3:$E$1001,Q$4))</f>
        <v/>
      </c>
      <c r="R305" s="21" t="str">
        <f>IF(SUMIFS('Input Sheet'!$F$3:$F$1001,'Input Sheet'!$B$3:$B$1001,$H305,'Input Sheet'!$E$3:$E$1001,R$4)=0,"",SUMIFS('Input Sheet'!$F$3:$F$1001,'Input Sheet'!$B$3:$B$1001,$H305,'Input Sheet'!$E$3:$E$1001,R$4))</f>
        <v/>
      </c>
      <c r="S305" s="21" t="str">
        <f>IF(SUMIFS('Input Sheet'!$F$3:$F$1001,'Input Sheet'!$B$3:$B$1001,$H305,'Input Sheet'!$E$3:$E$1001,S$4)=0,"",SUMIFS('Input Sheet'!$F$3:$F$1001,'Input Sheet'!$B$3:$B$1001,$H305,'Input Sheet'!$E$3:$E$1001,S$4))</f>
        <v/>
      </c>
      <c r="T305" s="22">
        <v>300</v>
      </c>
    </row>
    <row r="306" spans="1:20" ht="14.25" customHeight="1" x14ac:dyDescent="0.3">
      <c r="A306" s="4" t="str">
        <f>IF('Input Sheet'!B303=0,"",'Input Sheet'!B303)</f>
        <v/>
      </c>
      <c r="B306" s="24" t="b">
        <f t="shared" si="264"/>
        <v>0</v>
      </c>
      <c r="C306" s="4">
        <f>SUMIF('Input Sheet'!B$3:B$1000,A306,'Input Sheet'!C$3:C$1000)</f>
        <v>0</v>
      </c>
      <c r="D306" s="4">
        <f>SUMIF('Input Sheet'!B$3:B$1000,A306,'Input Sheet'!D$3:D$1000)</f>
        <v>0</v>
      </c>
      <c r="E306" s="4" t="str">
        <f t="shared" ref="E306:F306" ca="1" si="316">IFERROR(RANK(K306,K$6:K$1004,1),"")</f>
        <v/>
      </c>
      <c r="F306" s="4" t="str">
        <f t="shared" ca="1" si="316"/>
        <v/>
      </c>
      <c r="G306" s="4" t="str">
        <f t="shared" ca="1" si="266"/>
        <v/>
      </c>
      <c r="H306" s="4" t="str">
        <f t="shared" si="267"/>
        <v/>
      </c>
      <c r="I306" s="4" t="str">
        <f t="shared" si="268"/>
        <v/>
      </c>
      <c r="J306" s="4" t="str">
        <f t="shared" si="269"/>
        <v/>
      </c>
      <c r="K306" s="25" t="str">
        <f t="shared" ca="1" si="270"/>
        <v/>
      </c>
      <c r="L306" s="21" t="str">
        <f t="shared" ca="1" si="271"/>
        <v/>
      </c>
      <c r="M306" s="21" t="str">
        <f>IF(SUMIFS('Input Sheet'!$F$3:$F$1001,'Input Sheet'!$B$3:$B$1001,$H306,'Input Sheet'!$E$3:$E$1001,M$4)=0,"",SUMIFS('Input Sheet'!$F$3:$F$1001,'Input Sheet'!$B$3:$B$1001,$H306,'Input Sheet'!$E$3:$E$1001,M$4))</f>
        <v/>
      </c>
      <c r="N306" s="21" t="str">
        <f>IF(SUMIFS('Input Sheet'!$F$3:$F$1001,'Input Sheet'!$B$3:$B$1001,$H306,'Input Sheet'!$E$3:$E$1001,N$4)=0,"",SUMIFS('Input Sheet'!$F$3:$F$1001,'Input Sheet'!$B$3:$B$1001,$H306,'Input Sheet'!$E$3:$E$1001,N$4))</f>
        <v/>
      </c>
      <c r="O306" s="21" t="str">
        <f>IF(SUMIFS('Input Sheet'!$F$3:$F$1001,'Input Sheet'!$B$3:$B$1001,$H306,'Input Sheet'!$E$3:$E$1001,O$4)=0,"",SUMIFS('Input Sheet'!$F$3:$F$1001,'Input Sheet'!$B$3:$B$1001,$H306,'Input Sheet'!$E$3:$E$1001,O$4))</f>
        <v/>
      </c>
      <c r="P306" s="21" t="str">
        <f>IF(SUMIFS('Input Sheet'!$F$3:$F$1001,'Input Sheet'!$B$3:$B$1001,$H306,'Input Sheet'!$E$3:$E$1001,P$4)=0,"",SUMIFS('Input Sheet'!$F$3:$F$1001,'Input Sheet'!$B$3:$B$1001,$H306,'Input Sheet'!$E$3:$E$1001,P$4))</f>
        <v/>
      </c>
      <c r="Q306" s="21" t="str">
        <f>IF(SUMIFS('Input Sheet'!$F$3:$F$1001,'Input Sheet'!$B$3:$B$1001,$H306,'Input Sheet'!$E$3:$E$1001,Q$4)=0,"",SUMIFS('Input Sheet'!$F$3:$F$1001,'Input Sheet'!$B$3:$B$1001,$H306,'Input Sheet'!$E$3:$E$1001,Q$4))</f>
        <v/>
      </c>
      <c r="R306" s="21" t="str">
        <f>IF(SUMIFS('Input Sheet'!$F$3:$F$1001,'Input Sheet'!$B$3:$B$1001,$H306,'Input Sheet'!$E$3:$E$1001,R$4)=0,"",SUMIFS('Input Sheet'!$F$3:$F$1001,'Input Sheet'!$B$3:$B$1001,$H306,'Input Sheet'!$E$3:$E$1001,R$4))</f>
        <v/>
      </c>
      <c r="S306" s="21" t="str">
        <f>IF(SUMIFS('Input Sheet'!$F$3:$F$1001,'Input Sheet'!$B$3:$B$1001,$H306,'Input Sheet'!$E$3:$E$1001,S$4)=0,"",SUMIFS('Input Sheet'!$F$3:$F$1001,'Input Sheet'!$B$3:$B$1001,$H306,'Input Sheet'!$E$3:$E$1001,S$4))</f>
        <v/>
      </c>
      <c r="T306" s="22">
        <v>301</v>
      </c>
    </row>
    <row r="307" spans="1:20" ht="14.25" customHeight="1" x14ac:dyDescent="0.3">
      <c r="A307" s="4" t="str">
        <f>IF('Input Sheet'!B304=0,"",'Input Sheet'!B304)</f>
        <v/>
      </c>
      <c r="B307" s="24" t="b">
        <f t="shared" si="264"/>
        <v>0</v>
      </c>
      <c r="C307" s="4">
        <f>SUMIF('Input Sheet'!B$3:B$1000,A307,'Input Sheet'!C$3:C$1000)</f>
        <v>0</v>
      </c>
      <c r="D307" s="4">
        <f>SUMIF('Input Sheet'!B$3:B$1000,A307,'Input Sheet'!D$3:D$1000)</f>
        <v>0</v>
      </c>
      <c r="E307" s="4" t="str">
        <f t="shared" ref="E307:F307" ca="1" si="317">IFERROR(RANK(K307,K$6:K$1004,1),"")</f>
        <v/>
      </c>
      <c r="F307" s="4" t="str">
        <f t="shared" ca="1" si="317"/>
        <v/>
      </c>
      <c r="G307" s="4" t="str">
        <f t="shared" ca="1" si="266"/>
        <v/>
      </c>
      <c r="H307" s="4" t="str">
        <f t="shared" si="267"/>
        <v/>
      </c>
      <c r="I307" s="4" t="str">
        <f t="shared" si="268"/>
        <v/>
      </c>
      <c r="J307" s="4" t="str">
        <f t="shared" si="269"/>
        <v/>
      </c>
      <c r="K307" s="25" t="str">
        <f t="shared" ca="1" si="270"/>
        <v/>
      </c>
      <c r="L307" s="21" t="str">
        <f t="shared" ca="1" si="271"/>
        <v/>
      </c>
      <c r="M307" s="21" t="str">
        <f>IF(SUMIFS('Input Sheet'!$F$3:$F$1001,'Input Sheet'!$B$3:$B$1001,$H307,'Input Sheet'!$E$3:$E$1001,M$4)=0,"",SUMIFS('Input Sheet'!$F$3:$F$1001,'Input Sheet'!$B$3:$B$1001,$H307,'Input Sheet'!$E$3:$E$1001,M$4))</f>
        <v/>
      </c>
      <c r="N307" s="21" t="str">
        <f>IF(SUMIFS('Input Sheet'!$F$3:$F$1001,'Input Sheet'!$B$3:$B$1001,$H307,'Input Sheet'!$E$3:$E$1001,N$4)=0,"",SUMIFS('Input Sheet'!$F$3:$F$1001,'Input Sheet'!$B$3:$B$1001,$H307,'Input Sheet'!$E$3:$E$1001,N$4))</f>
        <v/>
      </c>
      <c r="O307" s="21" t="str">
        <f>IF(SUMIFS('Input Sheet'!$F$3:$F$1001,'Input Sheet'!$B$3:$B$1001,$H307,'Input Sheet'!$E$3:$E$1001,O$4)=0,"",SUMIFS('Input Sheet'!$F$3:$F$1001,'Input Sheet'!$B$3:$B$1001,$H307,'Input Sheet'!$E$3:$E$1001,O$4))</f>
        <v/>
      </c>
      <c r="P307" s="21" t="str">
        <f>IF(SUMIFS('Input Sheet'!$F$3:$F$1001,'Input Sheet'!$B$3:$B$1001,$H307,'Input Sheet'!$E$3:$E$1001,P$4)=0,"",SUMIFS('Input Sheet'!$F$3:$F$1001,'Input Sheet'!$B$3:$B$1001,$H307,'Input Sheet'!$E$3:$E$1001,P$4))</f>
        <v/>
      </c>
      <c r="Q307" s="21" t="str">
        <f>IF(SUMIFS('Input Sheet'!$F$3:$F$1001,'Input Sheet'!$B$3:$B$1001,$H307,'Input Sheet'!$E$3:$E$1001,Q$4)=0,"",SUMIFS('Input Sheet'!$F$3:$F$1001,'Input Sheet'!$B$3:$B$1001,$H307,'Input Sheet'!$E$3:$E$1001,Q$4))</f>
        <v/>
      </c>
      <c r="R307" s="21" t="str">
        <f>IF(SUMIFS('Input Sheet'!$F$3:$F$1001,'Input Sheet'!$B$3:$B$1001,$H307,'Input Sheet'!$E$3:$E$1001,R$4)=0,"",SUMIFS('Input Sheet'!$F$3:$F$1001,'Input Sheet'!$B$3:$B$1001,$H307,'Input Sheet'!$E$3:$E$1001,R$4))</f>
        <v/>
      </c>
      <c r="S307" s="21" t="str">
        <f>IF(SUMIFS('Input Sheet'!$F$3:$F$1001,'Input Sheet'!$B$3:$B$1001,$H307,'Input Sheet'!$E$3:$E$1001,S$4)=0,"",SUMIFS('Input Sheet'!$F$3:$F$1001,'Input Sheet'!$B$3:$B$1001,$H307,'Input Sheet'!$E$3:$E$1001,S$4))</f>
        <v/>
      </c>
      <c r="T307" s="22">
        <v>302</v>
      </c>
    </row>
    <row r="308" spans="1:20" ht="14.25" customHeight="1" x14ac:dyDescent="0.3">
      <c r="A308" s="4" t="str">
        <f>IF('Input Sheet'!B305=0,"",'Input Sheet'!B305)</f>
        <v/>
      </c>
      <c r="B308" s="24" t="b">
        <f t="shared" si="264"/>
        <v>0</v>
      </c>
      <c r="C308" s="4">
        <f>SUMIF('Input Sheet'!B$3:B$1000,A308,'Input Sheet'!C$3:C$1000)</f>
        <v>0</v>
      </c>
      <c r="D308" s="4">
        <f>SUMIF('Input Sheet'!B$3:B$1000,A308,'Input Sheet'!D$3:D$1000)</f>
        <v>0</v>
      </c>
      <c r="E308" s="4" t="str">
        <f t="shared" ref="E308:F308" ca="1" si="318">IFERROR(RANK(K308,K$6:K$1004,1),"")</f>
        <v/>
      </c>
      <c r="F308" s="4" t="str">
        <f t="shared" ca="1" si="318"/>
        <v/>
      </c>
      <c r="G308" s="4" t="str">
        <f t="shared" ca="1" si="266"/>
        <v/>
      </c>
      <c r="H308" s="4" t="str">
        <f t="shared" si="267"/>
        <v/>
      </c>
      <c r="I308" s="4" t="str">
        <f t="shared" si="268"/>
        <v/>
      </c>
      <c r="J308" s="4" t="str">
        <f t="shared" si="269"/>
        <v/>
      </c>
      <c r="K308" s="25" t="str">
        <f t="shared" ca="1" si="270"/>
        <v/>
      </c>
      <c r="L308" s="21" t="str">
        <f t="shared" ca="1" si="271"/>
        <v/>
      </c>
      <c r="M308" s="21" t="str">
        <f>IF(SUMIFS('Input Sheet'!$F$3:$F$1001,'Input Sheet'!$B$3:$B$1001,$H308,'Input Sheet'!$E$3:$E$1001,M$4)=0,"",SUMIFS('Input Sheet'!$F$3:$F$1001,'Input Sheet'!$B$3:$B$1001,$H308,'Input Sheet'!$E$3:$E$1001,M$4))</f>
        <v/>
      </c>
      <c r="N308" s="21" t="str">
        <f>IF(SUMIFS('Input Sheet'!$F$3:$F$1001,'Input Sheet'!$B$3:$B$1001,$H308,'Input Sheet'!$E$3:$E$1001,N$4)=0,"",SUMIFS('Input Sheet'!$F$3:$F$1001,'Input Sheet'!$B$3:$B$1001,$H308,'Input Sheet'!$E$3:$E$1001,N$4))</f>
        <v/>
      </c>
      <c r="O308" s="21" t="str">
        <f>IF(SUMIFS('Input Sheet'!$F$3:$F$1001,'Input Sheet'!$B$3:$B$1001,$H308,'Input Sheet'!$E$3:$E$1001,O$4)=0,"",SUMIFS('Input Sheet'!$F$3:$F$1001,'Input Sheet'!$B$3:$B$1001,$H308,'Input Sheet'!$E$3:$E$1001,O$4))</f>
        <v/>
      </c>
      <c r="P308" s="21" t="str">
        <f>IF(SUMIFS('Input Sheet'!$F$3:$F$1001,'Input Sheet'!$B$3:$B$1001,$H308,'Input Sheet'!$E$3:$E$1001,P$4)=0,"",SUMIFS('Input Sheet'!$F$3:$F$1001,'Input Sheet'!$B$3:$B$1001,$H308,'Input Sheet'!$E$3:$E$1001,P$4))</f>
        <v/>
      </c>
      <c r="Q308" s="21" t="str">
        <f>IF(SUMIFS('Input Sheet'!$F$3:$F$1001,'Input Sheet'!$B$3:$B$1001,$H308,'Input Sheet'!$E$3:$E$1001,Q$4)=0,"",SUMIFS('Input Sheet'!$F$3:$F$1001,'Input Sheet'!$B$3:$B$1001,$H308,'Input Sheet'!$E$3:$E$1001,Q$4))</f>
        <v/>
      </c>
      <c r="R308" s="21" t="str">
        <f>IF(SUMIFS('Input Sheet'!$F$3:$F$1001,'Input Sheet'!$B$3:$B$1001,$H308,'Input Sheet'!$E$3:$E$1001,R$4)=0,"",SUMIFS('Input Sheet'!$F$3:$F$1001,'Input Sheet'!$B$3:$B$1001,$H308,'Input Sheet'!$E$3:$E$1001,R$4))</f>
        <v/>
      </c>
      <c r="S308" s="21" t="str">
        <f>IF(SUMIFS('Input Sheet'!$F$3:$F$1001,'Input Sheet'!$B$3:$B$1001,$H308,'Input Sheet'!$E$3:$E$1001,S$4)=0,"",SUMIFS('Input Sheet'!$F$3:$F$1001,'Input Sheet'!$B$3:$B$1001,$H308,'Input Sheet'!$E$3:$E$1001,S$4))</f>
        <v/>
      </c>
      <c r="T308" s="22">
        <v>303</v>
      </c>
    </row>
    <row r="309" spans="1:20" ht="14.25" customHeight="1" x14ac:dyDescent="0.3">
      <c r="A309" s="4" t="str">
        <f>IF('Input Sheet'!B306=0,"",'Input Sheet'!B306)</f>
        <v/>
      </c>
      <c r="B309" s="24" t="b">
        <f t="shared" si="264"/>
        <v>0</v>
      </c>
      <c r="C309" s="4">
        <f>SUMIF('Input Sheet'!B$3:B$1000,A309,'Input Sheet'!C$3:C$1000)</f>
        <v>0</v>
      </c>
      <c r="D309" s="4">
        <f>SUMIF('Input Sheet'!B$3:B$1000,A309,'Input Sheet'!D$3:D$1000)</f>
        <v>0</v>
      </c>
      <c r="E309" s="4" t="str">
        <f t="shared" ref="E309:F309" ca="1" si="319">IFERROR(RANK(K309,K$6:K$1004,1),"")</f>
        <v/>
      </c>
      <c r="F309" s="4" t="str">
        <f t="shared" ca="1" si="319"/>
        <v/>
      </c>
      <c r="G309" s="4" t="str">
        <f t="shared" ca="1" si="266"/>
        <v/>
      </c>
      <c r="H309" s="4" t="str">
        <f t="shared" si="267"/>
        <v/>
      </c>
      <c r="I309" s="4" t="str">
        <f t="shared" si="268"/>
        <v/>
      </c>
      <c r="J309" s="4" t="str">
        <f t="shared" si="269"/>
        <v/>
      </c>
      <c r="K309" s="25" t="str">
        <f t="shared" ca="1" si="270"/>
        <v/>
      </c>
      <c r="L309" s="21" t="str">
        <f t="shared" ca="1" si="271"/>
        <v/>
      </c>
      <c r="M309" s="21" t="str">
        <f>IF(SUMIFS('Input Sheet'!$F$3:$F$1001,'Input Sheet'!$B$3:$B$1001,$H309,'Input Sheet'!$E$3:$E$1001,M$4)=0,"",SUMIFS('Input Sheet'!$F$3:$F$1001,'Input Sheet'!$B$3:$B$1001,$H309,'Input Sheet'!$E$3:$E$1001,M$4))</f>
        <v/>
      </c>
      <c r="N309" s="21" t="str">
        <f>IF(SUMIFS('Input Sheet'!$F$3:$F$1001,'Input Sheet'!$B$3:$B$1001,$H309,'Input Sheet'!$E$3:$E$1001,N$4)=0,"",SUMIFS('Input Sheet'!$F$3:$F$1001,'Input Sheet'!$B$3:$B$1001,$H309,'Input Sheet'!$E$3:$E$1001,N$4))</f>
        <v/>
      </c>
      <c r="O309" s="21" t="str">
        <f>IF(SUMIFS('Input Sheet'!$F$3:$F$1001,'Input Sheet'!$B$3:$B$1001,$H309,'Input Sheet'!$E$3:$E$1001,O$4)=0,"",SUMIFS('Input Sheet'!$F$3:$F$1001,'Input Sheet'!$B$3:$B$1001,$H309,'Input Sheet'!$E$3:$E$1001,O$4))</f>
        <v/>
      </c>
      <c r="P309" s="21" t="str">
        <f>IF(SUMIFS('Input Sheet'!$F$3:$F$1001,'Input Sheet'!$B$3:$B$1001,$H309,'Input Sheet'!$E$3:$E$1001,P$4)=0,"",SUMIFS('Input Sheet'!$F$3:$F$1001,'Input Sheet'!$B$3:$B$1001,$H309,'Input Sheet'!$E$3:$E$1001,P$4))</f>
        <v/>
      </c>
      <c r="Q309" s="21" t="str">
        <f>IF(SUMIFS('Input Sheet'!$F$3:$F$1001,'Input Sheet'!$B$3:$B$1001,$H309,'Input Sheet'!$E$3:$E$1001,Q$4)=0,"",SUMIFS('Input Sheet'!$F$3:$F$1001,'Input Sheet'!$B$3:$B$1001,$H309,'Input Sheet'!$E$3:$E$1001,Q$4))</f>
        <v/>
      </c>
      <c r="R309" s="21" t="str">
        <f>IF(SUMIFS('Input Sheet'!$F$3:$F$1001,'Input Sheet'!$B$3:$B$1001,$H309,'Input Sheet'!$E$3:$E$1001,R$4)=0,"",SUMIFS('Input Sheet'!$F$3:$F$1001,'Input Sheet'!$B$3:$B$1001,$H309,'Input Sheet'!$E$3:$E$1001,R$4))</f>
        <v/>
      </c>
      <c r="S309" s="21" t="str">
        <f>IF(SUMIFS('Input Sheet'!$F$3:$F$1001,'Input Sheet'!$B$3:$B$1001,$H309,'Input Sheet'!$E$3:$E$1001,S$4)=0,"",SUMIFS('Input Sheet'!$F$3:$F$1001,'Input Sheet'!$B$3:$B$1001,$H309,'Input Sheet'!$E$3:$E$1001,S$4))</f>
        <v/>
      </c>
      <c r="T309" s="22">
        <v>304</v>
      </c>
    </row>
    <row r="310" spans="1:20" ht="14.25" customHeight="1" x14ac:dyDescent="0.3">
      <c r="A310" s="4" t="str">
        <f>IF('Input Sheet'!B307=0,"",'Input Sheet'!B307)</f>
        <v/>
      </c>
      <c r="B310" s="24" t="b">
        <f t="shared" si="264"/>
        <v>0</v>
      </c>
      <c r="C310" s="4">
        <f>SUMIF('Input Sheet'!B$3:B$1000,A310,'Input Sheet'!C$3:C$1000)</f>
        <v>0</v>
      </c>
      <c r="D310" s="4">
        <f>SUMIF('Input Sheet'!B$3:B$1000,A310,'Input Sheet'!D$3:D$1000)</f>
        <v>0</v>
      </c>
      <c r="E310" s="4" t="str">
        <f t="shared" ref="E310:F310" ca="1" si="320">IFERROR(RANK(K310,K$6:K$1004,1),"")</f>
        <v/>
      </c>
      <c r="F310" s="4" t="str">
        <f t="shared" ca="1" si="320"/>
        <v/>
      </c>
      <c r="G310" s="4" t="str">
        <f t="shared" ca="1" si="266"/>
        <v/>
      </c>
      <c r="H310" s="4" t="str">
        <f t="shared" si="267"/>
        <v/>
      </c>
      <c r="I310" s="4" t="str">
        <f t="shared" si="268"/>
        <v/>
      </c>
      <c r="J310" s="4" t="str">
        <f t="shared" si="269"/>
        <v/>
      </c>
      <c r="K310" s="25" t="str">
        <f t="shared" ca="1" si="270"/>
        <v/>
      </c>
      <c r="L310" s="21" t="str">
        <f t="shared" ca="1" si="271"/>
        <v/>
      </c>
      <c r="M310" s="21" t="str">
        <f>IF(SUMIFS('Input Sheet'!$F$3:$F$1001,'Input Sheet'!$B$3:$B$1001,$H310,'Input Sheet'!$E$3:$E$1001,M$4)=0,"",SUMIFS('Input Sheet'!$F$3:$F$1001,'Input Sheet'!$B$3:$B$1001,$H310,'Input Sheet'!$E$3:$E$1001,M$4))</f>
        <v/>
      </c>
      <c r="N310" s="21" t="str">
        <f>IF(SUMIFS('Input Sheet'!$F$3:$F$1001,'Input Sheet'!$B$3:$B$1001,$H310,'Input Sheet'!$E$3:$E$1001,N$4)=0,"",SUMIFS('Input Sheet'!$F$3:$F$1001,'Input Sheet'!$B$3:$B$1001,$H310,'Input Sheet'!$E$3:$E$1001,N$4))</f>
        <v/>
      </c>
      <c r="O310" s="21" t="str">
        <f>IF(SUMIFS('Input Sheet'!$F$3:$F$1001,'Input Sheet'!$B$3:$B$1001,$H310,'Input Sheet'!$E$3:$E$1001,O$4)=0,"",SUMIFS('Input Sheet'!$F$3:$F$1001,'Input Sheet'!$B$3:$B$1001,$H310,'Input Sheet'!$E$3:$E$1001,O$4))</f>
        <v/>
      </c>
      <c r="P310" s="21" t="str">
        <f>IF(SUMIFS('Input Sheet'!$F$3:$F$1001,'Input Sheet'!$B$3:$B$1001,$H310,'Input Sheet'!$E$3:$E$1001,P$4)=0,"",SUMIFS('Input Sheet'!$F$3:$F$1001,'Input Sheet'!$B$3:$B$1001,$H310,'Input Sheet'!$E$3:$E$1001,P$4))</f>
        <v/>
      </c>
      <c r="Q310" s="21" t="str">
        <f>IF(SUMIFS('Input Sheet'!$F$3:$F$1001,'Input Sheet'!$B$3:$B$1001,$H310,'Input Sheet'!$E$3:$E$1001,Q$4)=0,"",SUMIFS('Input Sheet'!$F$3:$F$1001,'Input Sheet'!$B$3:$B$1001,$H310,'Input Sheet'!$E$3:$E$1001,Q$4))</f>
        <v/>
      </c>
      <c r="R310" s="21" t="str">
        <f>IF(SUMIFS('Input Sheet'!$F$3:$F$1001,'Input Sheet'!$B$3:$B$1001,$H310,'Input Sheet'!$E$3:$E$1001,R$4)=0,"",SUMIFS('Input Sheet'!$F$3:$F$1001,'Input Sheet'!$B$3:$B$1001,$H310,'Input Sheet'!$E$3:$E$1001,R$4))</f>
        <v/>
      </c>
      <c r="S310" s="21" t="str">
        <f>IF(SUMIFS('Input Sheet'!$F$3:$F$1001,'Input Sheet'!$B$3:$B$1001,$H310,'Input Sheet'!$E$3:$E$1001,S$4)=0,"",SUMIFS('Input Sheet'!$F$3:$F$1001,'Input Sheet'!$B$3:$B$1001,$H310,'Input Sheet'!$E$3:$E$1001,S$4))</f>
        <v/>
      </c>
      <c r="T310" s="22">
        <v>305</v>
      </c>
    </row>
    <row r="311" spans="1:20" ht="14.25" customHeight="1" x14ac:dyDescent="0.3">
      <c r="A311" s="4" t="str">
        <f>IF('Input Sheet'!B308=0,"",'Input Sheet'!B308)</f>
        <v/>
      </c>
      <c r="B311" s="24" t="b">
        <f t="shared" si="264"/>
        <v>0</v>
      </c>
      <c r="C311" s="4">
        <f>SUMIF('Input Sheet'!B$3:B$1000,A311,'Input Sheet'!C$3:C$1000)</f>
        <v>0</v>
      </c>
      <c r="D311" s="4">
        <f>SUMIF('Input Sheet'!B$3:B$1000,A311,'Input Sheet'!D$3:D$1000)</f>
        <v>0</v>
      </c>
      <c r="E311" s="4" t="str">
        <f t="shared" ref="E311:F311" ca="1" si="321">IFERROR(RANK(K311,K$6:K$1004,1),"")</f>
        <v/>
      </c>
      <c r="F311" s="4" t="str">
        <f t="shared" ca="1" si="321"/>
        <v/>
      </c>
      <c r="G311" s="4" t="str">
        <f t="shared" ca="1" si="266"/>
        <v/>
      </c>
      <c r="H311" s="4" t="str">
        <f t="shared" si="267"/>
        <v/>
      </c>
      <c r="I311" s="4" t="str">
        <f t="shared" si="268"/>
        <v/>
      </c>
      <c r="J311" s="4" t="str">
        <f t="shared" si="269"/>
        <v/>
      </c>
      <c r="K311" s="25" t="str">
        <f t="shared" ca="1" si="270"/>
        <v/>
      </c>
      <c r="L311" s="21" t="str">
        <f t="shared" ca="1" si="271"/>
        <v/>
      </c>
      <c r="M311" s="21" t="str">
        <f>IF(SUMIFS('Input Sheet'!$F$3:$F$1001,'Input Sheet'!$B$3:$B$1001,$H311,'Input Sheet'!$E$3:$E$1001,M$4)=0,"",SUMIFS('Input Sheet'!$F$3:$F$1001,'Input Sheet'!$B$3:$B$1001,$H311,'Input Sheet'!$E$3:$E$1001,M$4))</f>
        <v/>
      </c>
      <c r="N311" s="21" t="str">
        <f>IF(SUMIFS('Input Sheet'!$F$3:$F$1001,'Input Sheet'!$B$3:$B$1001,$H311,'Input Sheet'!$E$3:$E$1001,N$4)=0,"",SUMIFS('Input Sheet'!$F$3:$F$1001,'Input Sheet'!$B$3:$B$1001,$H311,'Input Sheet'!$E$3:$E$1001,N$4))</f>
        <v/>
      </c>
      <c r="O311" s="21" t="str">
        <f>IF(SUMIFS('Input Sheet'!$F$3:$F$1001,'Input Sheet'!$B$3:$B$1001,$H311,'Input Sheet'!$E$3:$E$1001,O$4)=0,"",SUMIFS('Input Sheet'!$F$3:$F$1001,'Input Sheet'!$B$3:$B$1001,$H311,'Input Sheet'!$E$3:$E$1001,O$4))</f>
        <v/>
      </c>
      <c r="P311" s="21" t="str">
        <f>IF(SUMIFS('Input Sheet'!$F$3:$F$1001,'Input Sheet'!$B$3:$B$1001,$H311,'Input Sheet'!$E$3:$E$1001,P$4)=0,"",SUMIFS('Input Sheet'!$F$3:$F$1001,'Input Sheet'!$B$3:$B$1001,$H311,'Input Sheet'!$E$3:$E$1001,P$4))</f>
        <v/>
      </c>
      <c r="Q311" s="21" t="str">
        <f>IF(SUMIFS('Input Sheet'!$F$3:$F$1001,'Input Sheet'!$B$3:$B$1001,$H311,'Input Sheet'!$E$3:$E$1001,Q$4)=0,"",SUMIFS('Input Sheet'!$F$3:$F$1001,'Input Sheet'!$B$3:$B$1001,$H311,'Input Sheet'!$E$3:$E$1001,Q$4))</f>
        <v/>
      </c>
      <c r="R311" s="21" t="str">
        <f>IF(SUMIFS('Input Sheet'!$F$3:$F$1001,'Input Sheet'!$B$3:$B$1001,$H311,'Input Sheet'!$E$3:$E$1001,R$4)=0,"",SUMIFS('Input Sheet'!$F$3:$F$1001,'Input Sheet'!$B$3:$B$1001,$H311,'Input Sheet'!$E$3:$E$1001,R$4))</f>
        <v/>
      </c>
      <c r="S311" s="21" t="str">
        <f>IF(SUMIFS('Input Sheet'!$F$3:$F$1001,'Input Sheet'!$B$3:$B$1001,$H311,'Input Sheet'!$E$3:$E$1001,S$4)=0,"",SUMIFS('Input Sheet'!$F$3:$F$1001,'Input Sheet'!$B$3:$B$1001,$H311,'Input Sheet'!$E$3:$E$1001,S$4))</f>
        <v/>
      </c>
      <c r="T311" s="22">
        <v>306</v>
      </c>
    </row>
    <row r="312" spans="1:20" ht="14.25" customHeight="1" x14ac:dyDescent="0.3">
      <c r="A312" s="4" t="str">
        <f>IF('Input Sheet'!B309=0,"",'Input Sheet'!B309)</f>
        <v/>
      </c>
      <c r="B312" s="24" t="b">
        <f t="shared" si="264"/>
        <v>0</v>
      </c>
      <c r="C312" s="4">
        <f>SUMIF('Input Sheet'!B$3:B$1000,A312,'Input Sheet'!C$3:C$1000)</f>
        <v>0</v>
      </c>
      <c r="D312" s="4">
        <f>SUMIF('Input Sheet'!B$3:B$1000,A312,'Input Sheet'!D$3:D$1000)</f>
        <v>0</v>
      </c>
      <c r="E312" s="4" t="str">
        <f t="shared" ref="E312:F312" ca="1" si="322">IFERROR(RANK(K312,K$6:K$1004,1),"")</f>
        <v/>
      </c>
      <c r="F312" s="4" t="str">
        <f t="shared" ca="1" si="322"/>
        <v/>
      </c>
      <c r="G312" s="4" t="str">
        <f t="shared" ca="1" si="266"/>
        <v/>
      </c>
      <c r="H312" s="4" t="str">
        <f t="shared" si="267"/>
        <v/>
      </c>
      <c r="I312" s="4" t="str">
        <f t="shared" si="268"/>
        <v/>
      </c>
      <c r="J312" s="4" t="str">
        <f t="shared" si="269"/>
        <v/>
      </c>
      <c r="K312" s="25" t="str">
        <f t="shared" ca="1" si="270"/>
        <v/>
      </c>
      <c r="L312" s="21" t="str">
        <f t="shared" ca="1" si="271"/>
        <v/>
      </c>
      <c r="M312" s="21" t="str">
        <f>IF(SUMIFS('Input Sheet'!$F$3:$F$1001,'Input Sheet'!$B$3:$B$1001,$H312,'Input Sheet'!$E$3:$E$1001,M$4)=0,"",SUMIFS('Input Sheet'!$F$3:$F$1001,'Input Sheet'!$B$3:$B$1001,$H312,'Input Sheet'!$E$3:$E$1001,M$4))</f>
        <v/>
      </c>
      <c r="N312" s="21" t="str">
        <f>IF(SUMIFS('Input Sheet'!$F$3:$F$1001,'Input Sheet'!$B$3:$B$1001,$H312,'Input Sheet'!$E$3:$E$1001,N$4)=0,"",SUMIFS('Input Sheet'!$F$3:$F$1001,'Input Sheet'!$B$3:$B$1001,$H312,'Input Sheet'!$E$3:$E$1001,N$4))</f>
        <v/>
      </c>
      <c r="O312" s="21" t="str">
        <f>IF(SUMIFS('Input Sheet'!$F$3:$F$1001,'Input Sheet'!$B$3:$B$1001,$H312,'Input Sheet'!$E$3:$E$1001,O$4)=0,"",SUMIFS('Input Sheet'!$F$3:$F$1001,'Input Sheet'!$B$3:$B$1001,$H312,'Input Sheet'!$E$3:$E$1001,O$4))</f>
        <v/>
      </c>
      <c r="P312" s="21" t="str">
        <f>IF(SUMIFS('Input Sheet'!$F$3:$F$1001,'Input Sheet'!$B$3:$B$1001,$H312,'Input Sheet'!$E$3:$E$1001,P$4)=0,"",SUMIFS('Input Sheet'!$F$3:$F$1001,'Input Sheet'!$B$3:$B$1001,$H312,'Input Sheet'!$E$3:$E$1001,P$4))</f>
        <v/>
      </c>
      <c r="Q312" s="21" t="str">
        <f>IF(SUMIFS('Input Sheet'!$F$3:$F$1001,'Input Sheet'!$B$3:$B$1001,$H312,'Input Sheet'!$E$3:$E$1001,Q$4)=0,"",SUMIFS('Input Sheet'!$F$3:$F$1001,'Input Sheet'!$B$3:$B$1001,$H312,'Input Sheet'!$E$3:$E$1001,Q$4))</f>
        <v/>
      </c>
      <c r="R312" s="21" t="str">
        <f>IF(SUMIFS('Input Sheet'!$F$3:$F$1001,'Input Sheet'!$B$3:$B$1001,$H312,'Input Sheet'!$E$3:$E$1001,R$4)=0,"",SUMIFS('Input Sheet'!$F$3:$F$1001,'Input Sheet'!$B$3:$B$1001,$H312,'Input Sheet'!$E$3:$E$1001,R$4))</f>
        <v/>
      </c>
      <c r="S312" s="21" t="str">
        <f>IF(SUMIFS('Input Sheet'!$F$3:$F$1001,'Input Sheet'!$B$3:$B$1001,$H312,'Input Sheet'!$E$3:$E$1001,S$4)=0,"",SUMIFS('Input Sheet'!$F$3:$F$1001,'Input Sheet'!$B$3:$B$1001,$H312,'Input Sheet'!$E$3:$E$1001,S$4))</f>
        <v/>
      </c>
      <c r="T312" s="22">
        <v>307</v>
      </c>
    </row>
    <row r="313" spans="1:20" ht="14.25" customHeight="1" x14ac:dyDescent="0.3">
      <c r="A313" s="4" t="str">
        <f>IF('Input Sheet'!B310=0,"",'Input Sheet'!B310)</f>
        <v/>
      </c>
      <c r="B313" s="24" t="b">
        <f t="shared" si="264"/>
        <v>0</v>
      </c>
      <c r="C313" s="4">
        <f>SUMIF('Input Sheet'!B$3:B$1000,A313,'Input Sheet'!C$3:C$1000)</f>
        <v>0</v>
      </c>
      <c r="D313" s="4">
        <f>SUMIF('Input Sheet'!B$3:B$1000,A313,'Input Sheet'!D$3:D$1000)</f>
        <v>0</v>
      </c>
      <c r="E313" s="4" t="str">
        <f t="shared" ref="E313:F313" ca="1" si="323">IFERROR(RANK(K313,K$6:K$1004,1),"")</f>
        <v/>
      </c>
      <c r="F313" s="4" t="str">
        <f t="shared" ca="1" si="323"/>
        <v/>
      </c>
      <c r="G313" s="4" t="str">
        <f t="shared" ca="1" si="266"/>
        <v/>
      </c>
      <c r="H313" s="4" t="str">
        <f t="shared" si="267"/>
        <v/>
      </c>
      <c r="I313" s="4" t="str">
        <f t="shared" si="268"/>
        <v/>
      </c>
      <c r="J313" s="4" t="str">
        <f t="shared" si="269"/>
        <v/>
      </c>
      <c r="K313" s="25" t="str">
        <f t="shared" ca="1" si="270"/>
        <v/>
      </c>
      <c r="L313" s="21" t="str">
        <f t="shared" ca="1" si="271"/>
        <v/>
      </c>
      <c r="M313" s="21" t="str">
        <f>IF(SUMIFS('Input Sheet'!$F$3:$F$1001,'Input Sheet'!$B$3:$B$1001,$H313,'Input Sheet'!$E$3:$E$1001,M$4)=0,"",SUMIFS('Input Sheet'!$F$3:$F$1001,'Input Sheet'!$B$3:$B$1001,$H313,'Input Sheet'!$E$3:$E$1001,M$4))</f>
        <v/>
      </c>
      <c r="N313" s="21" t="str">
        <f>IF(SUMIFS('Input Sheet'!$F$3:$F$1001,'Input Sheet'!$B$3:$B$1001,$H313,'Input Sheet'!$E$3:$E$1001,N$4)=0,"",SUMIFS('Input Sheet'!$F$3:$F$1001,'Input Sheet'!$B$3:$B$1001,$H313,'Input Sheet'!$E$3:$E$1001,N$4))</f>
        <v/>
      </c>
      <c r="O313" s="21" t="str">
        <f>IF(SUMIFS('Input Sheet'!$F$3:$F$1001,'Input Sheet'!$B$3:$B$1001,$H313,'Input Sheet'!$E$3:$E$1001,O$4)=0,"",SUMIFS('Input Sheet'!$F$3:$F$1001,'Input Sheet'!$B$3:$B$1001,$H313,'Input Sheet'!$E$3:$E$1001,O$4))</f>
        <v/>
      </c>
      <c r="P313" s="21" t="str">
        <f>IF(SUMIFS('Input Sheet'!$F$3:$F$1001,'Input Sheet'!$B$3:$B$1001,$H313,'Input Sheet'!$E$3:$E$1001,P$4)=0,"",SUMIFS('Input Sheet'!$F$3:$F$1001,'Input Sheet'!$B$3:$B$1001,$H313,'Input Sheet'!$E$3:$E$1001,P$4))</f>
        <v/>
      </c>
      <c r="Q313" s="21" t="str">
        <f>IF(SUMIFS('Input Sheet'!$F$3:$F$1001,'Input Sheet'!$B$3:$B$1001,$H313,'Input Sheet'!$E$3:$E$1001,Q$4)=0,"",SUMIFS('Input Sheet'!$F$3:$F$1001,'Input Sheet'!$B$3:$B$1001,$H313,'Input Sheet'!$E$3:$E$1001,Q$4))</f>
        <v/>
      </c>
      <c r="R313" s="21" t="str">
        <f>IF(SUMIFS('Input Sheet'!$F$3:$F$1001,'Input Sheet'!$B$3:$B$1001,$H313,'Input Sheet'!$E$3:$E$1001,R$4)=0,"",SUMIFS('Input Sheet'!$F$3:$F$1001,'Input Sheet'!$B$3:$B$1001,$H313,'Input Sheet'!$E$3:$E$1001,R$4))</f>
        <v/>
      </c>
      <c r="S313" s="21" t="str">
        <f>IF(SUMIFS('Input Sheet'!$F$3:$F$1001,'Input Sheet'!$B$3:$B$1001,$H313,'Input Sheet'!$E$3:$E$1001,S$4)=0,"",SUMIFS('Input Sheet'!$F$3:$F$1001,'Input Sheet'!$B$3:$B$1001,$H313,'Input Sheet'!$E$3:$E$1001,S$4))</f>
        <v/>
      </c>
      <c r="T313" s="22">
        <v>308</v>
      </c>
    </row>
    <row r="314" spans="1:20" ht="14.25" customHeight="1" x14ac:dyDescent="0.3">
      <c r="A314" s="4" t="str">
        <f>IF('Input Sheet'!B311=0,"",'Input Sheet'!B311)</f>
        <v/>
      </c>
      <c r="B314" s="24" t="b">
        <f t="shared" si="264"/>
        <v>0</v>
      </c>
      <c r="C314" s="4">
        <f>SUMIF('Input Sheet'!B$3:B$1000,A314,'Input Sheet'!C$3:C$1000)</f>
        <v>0</v>
      </c>
      <c r="D314" s="4">
        <f>SUMIF('Input Sheet'!B$3:B$1000,A314,'Input Sheet'!D$3:D$1000)</f>
        <v>0</v>
      </c>
      <c r="E314" s="4" t="str">
        <f t="shared" ref="E314:F314" ca="1" si="324">IFERROR(RANK(K314,K$6:K$1004,1),"")</f>
        <v/>
      </c>
      <c r="F314" s="4" t="str">
        <f t="shared" ca="1" si="324"/>
        <v/>
      </c>
      <c r="G314" s="4" t="str">
        <f t="shared" ca="1" si="266"/>
        <v/>
      </c>
      <c r="H314" s="4" t="str">
        <f t="shared" si="267"/>
        <v/>
      </c>
      <c r="I314" s="4" t="str">
        <f t="shared" si="268"/>
        <v/>
      </c>
      <c r="J314" s="4" t="str">
        <f t="shared" si="269"/>
        <v/>
      </c>
      <c r="K314" s="25" t="str">
        <f t="shared" ca="1" si="270"/>
        <v/>
      </c>
      <c r="L314" s="21" t="str">
        <f t="shared" ca="1" si="271"/>
        <v/>
      </c>
      <c r="M314" s="21" t="str">
        <f>IF(SUMIFS('Input Sheet'!$F$3:$F$1001,'Input Sheet'!$B$3:$B$1001,$H314,'Input Sheet'!$E$3:$E$1001,M$4)=0,"",SUMIFS('Input Sheet'!$F$3:$F$1001,'Input Sheet'!$B$3:$B$1001,$H314,'Input Sheet'!$E$3:$E$1001,M$4))</f>
        <v/>
      </c>
      <c r="N314" s="21" t="str">
        <f>IF(SUMIFS('Input Sheet'!$F$3:$F$1001,'Input Sheet'!$B$3:$B$1001,$H314,'Input Sheet'!$E$3:$E$1001,N$4)=0,"",SUMIFS('Input Sheet'!$F$3:$F$1001,'Input Sheet'!$B$3:$B$1001,$H314,'Input Sheet'!$E$3:$E$1001,N$4))</f>
        <v/>
      </c>
      <c r="O314" s="21" t="str">
        <f>IF(SUMIFS('Input Sheet'!$F$3:$F$1001,'Input Sheet'!$B$3:$B$1001,$H314,'Input Sheet'!$E$3:$E$1001,O$4)=0,"",SUMIFS('Input Sheet'!$F$3:$F$1001,'Input Sheet'!$B$3:$B$1001,$H314,'Input Sheet'!$E$3:$E$1001,O$4))</f>
        <v/>
      </c>
      <c r="P314" s="21" t="str">
        <f>IF(SUMIFS('Input Sheet'!$F$3:$F$1001,'Input Sheet'!$B$3:$B$1001,$H314,'Input Sheet'!$E$3:$E$1001,P$4)=0,"",SUMIFS('Input Sheet'!$F$3:$F$1001,'Input Sheet'!$B$3:$B$1001,$H314,'Input Sheet'!$E$3:$E$1001,P$4))</f>
        <v/>
      </c>
      <c r="Q314" s="21" t="str">
        <f>IF(SUMIFS('Input Sheet'!$F$3:$F$1001,'Input Sheet'!$B$3:$B$1001,$H314,'Input Sheet'!$E$3:$E$1001,Q$4)=0,"",SUMIFS('Input Sheet'!$F$3:$F$1001,'Input Sheet'!$B$3:$B$1001,$H314,'Input Sheet'!$E$3:$E$1001,Q$4))</f>
        <v/>
      </c>
      <c r="R314" s="21" t="str">
        <f>IF(SUMIFS('Input Sheet'!$F$3:$F$1001,'Input Sheet'!$B$3:$B$1001,$H314,'Input Sheet'!$E$3:$E$1001,R$4)=0,"",SUMIFS('Input Sheet'!$F$3:$F$1001,'Input Sheet'!$B$3:$B$1001,$H314,'Input Sheet'!$E$3:$E$1001,R$4))</f>
        <v/>
      </c>
      <c r="S314" s="21" t="str">
        <f>IF(SUMIFS('Input Sheet'!$F$3:$F$1001,'Input Sheet'!$B$3:$B$1001,$H314,'Input Sheet'!$E$3:$E$1001,S$4)=0,"",SUMIFS('Input Sheet'!$F$3:$F$1001,'Input Sheet'!$B$3:$B$1001,$H314,'Input Sheet'!$E$3:$E$1001,S$4))</f>
        <v/>
      </c>
      <c r="T314" s="22">
        <v>309</v>
      </c>
    </row>
    <row r="315" spans="1:20" ht="14.25" customHeight="1" x14ac:dyDescent="0.3">
      <c r="A315" s="4" t="str">
        <f>IF('Input Sheet'!B312=0,"",'Input Sheet'!B312)</f>
        <v/>
      </c>
      <c r="B315" s="24" t="b">
        <f t="shared" si="264"/>
        <v>0</v>
      </c>
      <c r="C315" s="4">
        <f>SUMIF('Input Sheet'!B$3:B$1000,A315,'Input Sheet'!C$3:C$1000)</f>
        <v>0</v>
      </c>
      <c r="D315" s="4">
        <f>SUMIF('Input Sheet'!B$3:B$1000,A315,'Input Sheet'!D$3:D$1000)</f>
        <v>0</v>
      </c>
      <c r="E315" s="4" t="str">
        <f t="shared" ref="E315:F315" ca="1" si="325">IFERROR(RANK(K315,K$6:K$1004,1),"")</f>
        <v/>
      </c>
      <c r="F315" s="4" t="str">
        <f t="shared" ca="1" si="325"/>
        <v/>
      </c>
      <c r="G315" s="4" t="str">
        <f t="shared" ca="1" si="266"/>
        <v/>
      </c>
      <c r="H315" s="4" t="str">
        <f t="shared" si="267"/>
        <v/>
      </c>
      <c r="I315" s="4" t="str">
        <f t="shared" si="268"/>
        <v/>
      </c>
      <c r="J315" s="4" t="str">
        <f t="shared" si="269"/>
        <v/>
      </c>
      <c r="K315" s="25" t="str">
        <f t="shared" ca="1" si="270"/>
        <v/>
      </c>
      <c r="L315" s="21" t="str">
        <f t="shared" ca="1" si="271"/>
        <v/>
      </c>
      <c r="M315" s="21" t="str">
        <f>IF(SUMIFS('Input Sheet'!$F$3:$F$1001,'Input Sheet'!$B$3:$B$1001,$H315,'Input Sheet'!$E$3:$E$1001,M$4)=0,"",SUMIFS('Input Sheet'!$F$3:$F$1001,'Input Sheet'!$B$3:$B$1001,$H315,'Input Sheet'!$E$3:$E$1001,M$4))</f>
        <v/>
      </c>
      <c r="N315" s="21" t="str">
        <f>IF(SUMIFS('Input Sheet'!$F$3:$F$1001,'Input Sheet'!$B$3:$B$1001,$H315,'Input Sheet'!$E$3:$E$1001,N$4)=0,"",SUMIFS('Input Sheet'!$F$3:$F$1001,'Input Sheet'!$B$3:$B$1001,$H315,'Input Sheet'!$E$3:$E$1001,N$4))</f>
        <v/>
      </c>
      <c r="O315" s="21" t="str">
        <f>IF(SUMIFS('Input Sheet'!$F$3:$F$1001,'Input Sheet'!$B$3:$B$1001,$H315,'Input Sheet'!$E$3:$E$1001,O$4)=0,"",SUMIFS('Input Sheet'!$F$3:$F$1001,'Input Sheet'!$B$3:$B$1001,$H315,'Input Sheet'!$E$3:$E$1001,O$4))</f>
        <v/>
      </c>
      <c r="P315" s="21" t="str">
        <f>IF(SUMIFS('Input Sheet'!$F$3:$F$1001,'Input Sheet'!$B$3:$B$1001,$H315,'Input Sheet'!$E$3:$E$1001,P$4)=0,"",SUMIFS('Input Sheet'!$F$3:$F$1001,'Input Sheet'!$B$3:$B$1001,$H315,'Input Sheet'!$E$3:$E$1001,P$4))</f>
        <v/>
      </c>
      <c r="Q315" s="21" t="str">
        <f>IF(SUMIFS('Input Sheet'!$F$3:$F$1001,'Input Sheet'!$B$3:$B$1001,$H315,'Input Sheet'!$E$3:$E$1001,Q$4)=0,"",SUMIFS('Input Sheet'!$F$3:$F$1001,'Input Sheet'!$B$3:$B$1001,$H315,'Input Sheet'!$E$3:$E$1001,Q$4))</f>
        <v/>
      </c>
      <c r="R315" s="21" t="str">
        <f>IF(SUMIFS('Input Sheet'!$F$3:$F$1001,'Input Sheet'!$B$3:$B$1001,$H315,'Input Sheet'!$E$3:$E$1001,R$4)=0,"",SUMIFS('Input Sheet'!$F$3:$F$1001,'Input Sheet'!$B$3:$B$1001,$H315,'Input Sheet'!$E$3:$E$1001,R$4))</f>
        <v/>
      </c>
      <c r="S315" s="21" t="str">
        <f>IF(SUMIFS('Input Sheet'!$F$3:$F$1001,'Input Sheet'!$B$3:$B$1001,$H315,'Input Sheet'!$E$3:$E$1001,S$4)=0,"",SUMIFS('Input Sheet'!$F$3:$F$1001,'Input Sheet'!$B$3:$B$1001,$H315,'Input Sheet'!$E$3:$E$1001,S$4))</f>
        <v/>
      </c>
      <c r="T315" s="22">
        <v>310</v>
      </c>
    </row>
    <row r="316" spans="1:20" ht="14.25" customHeight="1" x14ac:dyDescent="0.3">
      <c r="A316" s="4" t="str">
        <f>IF('Input Sheet'!B313=0,"",'Input Sheet'!B313)</f>
        <v/>
      </c>
      <c r="B316" s="24" t="b">
        <f t="shared" si="264"/>
        <v>0</v>
      </c>
      <c r="C316" s="4">
        <f>SUMIF('Input Sheet'!B$3:B$1000,A316,'Input Sheet'!C$3:C$1000)</f>
        <v>0</v>
      </c>
      <c r="D316" s="4">
        <f>SUMIF('Input Sheet'!B$3:B$1000,A316,'Input Sheet'!D$3:D$1000)</f>
        <v>0</v>
      </c>
      <c r="E316" s="4" t="str">
        <f t="shared" ref="E316:F316" ca="1" si="326">IFERROR(RANK(K316,K$6:K$1004,1),"")</f>
        <v/>
      </c>
      <c r="F316" s="4" t="str">
        <f t="shared" ca="1" si="326"/>
        <v/>
      </c>
      <c r="G316" s="4" t="str">
        <f t="shared" ca="1" si="266"/>
        <v/>
      </c>
      <c r="H316" s="4" t="str">
        <f t="shared" si="267"/>
        <v/>
      </c>
      <c r="I316" s="4" t="str">
        <f t="shared" si="268"/>
        <v/>
      </c>
      <c r="J316" s="4" t="str">
        <f t="shared" si="269"/>
        <v/>
      </c>
      <c r="K316" s="25" t="str">
        <f t="shared" ca="1" si="270"/>
        <v/>
      </c>
      <c r="L316" s="21" t="str">
        <f t="shared" ca="1" si="271"/>
        <v/>
      </c>
      <c r="M316" s="21" t="str">
        <f>IF(SUMIFS('Input Sheet'!$F$3:$F$1001,'Input Sheet'!$B$3:$B$1001,$H316,'Input Sheet'!$E$3:$E$1001,M$4)=0,"",SUMIFS('Input Sheet'!$F$3:$F$1001,'Input Sheet'!$B$3:$B$1001,$H316,'Input Sheet'!$E$3:$E$1001,M$4))</f>
        <v/>
      </c>
      <c r="N316" s="21" t="str">
        <f>IF(SUMIFS('Input Sheet'!$F$3:$F$1001,'Input Sheet'!$B$3:$B$1001,$H316,'Input Sheet'!$E$3:$E$1001,N$4)=0,"",SUMIFS('Input Sheet'!$F$3:$F$1001,'Input Sheet'!$B$3:$B$1001,$H316,'Input Sheet'!$E$3:$E$1001,N$4))</f>
        <v/>
      </c>
      <c r="O316" s="21" t="str">
        <f>IF(SUMIFS('Input Sheet'!$F$3:$F$1001,'Input Sheet'!$B$3:$B$1001,$H316,'Input Sheet'!$E$3:$E$1001,O$4)=0,"",SUMIFS('Input Sheet'!$F$3:$F$1001,'Input Sheet'!$B$3:$B$1001,$H316,'Input Sheet'!$E$3:$E$1001,O$4))</f>
        <v/>
      </c>
      <c r="P316" s="21" t="str">
        <f>IF(SUMIFS('Input Sheet'!$F$3:$F$1001,'Input Sheet'!$B$3:$B$1001,$H316,'Input Sheet'!$E$3:$E$1001,P$4)=0,"",SUMIFS('Input Sheet'!$F$3:$F$1001,'Input Sheet'!$B$3:$B$1001,$H316,'Input Sheet'!$E$3:$E$1001,P$4))</f>
        <v/>
      </c>
      <c r="Q316" s="21" t="str">
        <f>IF(SUMIFS('Input Sheet'!$F$3:$F$1001,'Input Sheet'!$B$3:$B$1001,$H316,'Input Sheet'!$E$3:$E$1001,Q$4)=0,"",SUMIFS('Input Sheet'!$F$3:$F$1001,'Input Sheet'!$B$3:$B$1001,$H316,'Input Sheet'!$E$3:$E$1001,Q$4))</f>
        <v/>
      </c>
      <c r="R316" s="21" t="str">
        <f>IF(SUMIFS('Input Sheet'!$F$3:$F$1001,'Input Sheet'!$B$3:$B$1001,$H316,'Input Sheet'!$E$3:$E$1001,R$4)=0,"",SUMIFS('Input Sheet'!$F$3:$F$1001,'Input Sheet'!$B$3:$B$1001,$H316,'Input Sheet'!$E$3:$E$1001,R$4))</f>
        <v/>
      </c>
      <c r="S316" s="21" t="str">
        <f>IF(SUMIFS('Input Sheet'!$F$3:$F$1001,'Input Sheet'!$B$3:$B$1001,$H316,'Input Sheet'!$E$3:$E$1001,S$4)=0,"",SUMIFS('Input Sheet'!$F$3:$F$1001,'Input Sheet'!$B$3:$B$1001,$H316,'Input Sheet'!$E$3:$E$1001,S$4))</f>
        <v/>
      </c>
      <c r="T316" s="22">
        <v>311</v>
      </c>
    </row>
    <row r="317" spans="1:20" ht="14.25" customHeight="1" x14ac:dyDescent="0.3">
      <c r="A317" s="4" t="str">
        <f>IF('Input Sheet'!B314=0,"",'Input Sheet'!B314)</f>
        <v/>
      </c>
      <c r="B317" s="24" t="b">
        <f t="shared" si="264"/>
        <v>0</v>
      </c>
      <c r="C317" s="4">
        <f>SUMIF('Input Sheet'!B$3:B$1000,A317,'Input Sheet'!C$3:C$1000)</f>
        <v>0</v>
      </c>
      <c r="D317" s="4">
        <f>SUMIF('Input Sheet'!B$3:B$1000,A317,'Input Sheet'!D$3:D$1000)</f>
        <v>0</v>
      </c>
      <c r="E317" s="4" t="str">
        <f t="shared" ref="E317:F317" ca="1" si="327">IFERROR(RANK(K317,K$6:K$1004,1),"")</f>
        <v/>
      </c>
      <c r="F317" s="4" t="str">
        <f t="shared" ca="1" si="327"/>
        <v/>
      </c>
      <c r="G317" s="4" t="str">
        <f t="shared" ca="1" si="266"/>
        <v/>
      </c>
      <c r="H317" s="4" t="str">
        <f t="shared" si="267"/>
        <v/>
      </c>
      <c r="I317" s="4" t="str">
        <f t="shared" si="268"/>
        <v/>
      </c>
      <c r="J317" s="4" t="str">
        <f t="shared" si="269"/>
        <v/>
      </c>
      <c r="K317" s="25" t="str">
        <f t="shared" ca="1" si="270"/>
        <v/>
      </c>
      <c r="L317" s="21" t="str">
        <f t="shared" ca="1" si="271"/>
        <v/>
      </c>
      <c r="M317" s="21" t="str">
        <f>IF(SUMIFS('Input Sheet'!$F$3:$F$1001,'Input Sheet'!$B$3:$B$1001,$H317,'Input Sheet'!$E$3:$E$1001,M$4)=0,"",SUMIFS('Input Sheet'!$F$3:$F$1001,'Input Sheet'!$B$3:$B$1001,$H317,'Input Sheet'!$E$3:$E$1001,M$4))</f>
        <v/>
      </c>
      <c r="N317" s="21" t="str">
        <f>IF(SUMIFS('Input Sheet'!$F$3:$F$1001,'Input Sheet'!$B$3:$B$1001,$H317,'Input Sheet'!$E$3:$E$1001,N$4)=0,"",SUMIFS('Input Sheet'!$F$3:$F$1001,'Input Sheet'!$B$3:$B$1001,$H317,'Input Sheet'!$E$3:$E$1001,N$4))</f>
        <v/>
      </c>
      <c r="O317" s="21" t="str">
        <f>IF(SUMIFS('Input Sheet'!$F$3:$F$1001,'Input Sheet'!$B$3:$B$1001,$H317,'Input Sheet'!$E$3:$E$1001,O$4)=0,"",SUMIFS('Input Sheet'!$F$3:$F$1001,'Input Sheet'!$B$3:$B$1001,$H317,'Input Sheet'!$E$3:$E$1001,O$4))</f>
        <v/>
      </c>
      <c r="P317" s="21" t="str">
        <f>IF(SUMIFS('Input Sheet'!$F$3:$F$1001,'Input Sheet'!$B$3:$B$1001,$H317,'Input Sheet'!$E$3:$E$1001,P$4)=0,"",SUMIFS('Input Sheet'!$F$3:$F$1001,'Input Sheet'!$B$3:$B$1001,$H317,'Input Sheet'!$E$3:$E$1001,P$4))</f>
        <v/>
      </c>
      <c r="Q317" s="21" t="str">
        <f>IF(SUMIFS('Input Sheet'!$F$3:$F$1001,'Input Sheet'!$B$3:$B$1001,$H317,'Input Sheet'!$E$3:$E$1001,Q$4)=0,"",SUMIFS('Input Sheet'!$F$3:$F$1001,'Input Sheet'!$B$3:$B$1001,$H317,'Input Sheet'!$E$3:$E$1001,Q$4))</f>
        <v/>
      </c>
      <c r="R317" s="21" t="str">
        <f>IF(SUMIFS('Input Sheet'!$F$3:$F$1001,'Input Sheet'!$B$3:$B$1001,$H317,'Input Sheet'!$E$3:$E$1001,R$4)=0,"",SUMIFS('Input Sheet'!$F$3:$F$1001,'Input Sheet'!$B$3:$B$1001,$H317,'Input Sheet'!$E$3:$E$1001,R$4))</f>
        <v/>
      </c>
      <c r="S317" s="21" t="str">
        <f>IF(SUMIFS('Input Sheet'!$F$3:$F$1001,'Input Sheet'!$B$3:$B$1001,$H317,'Input Sheet'!$E$3:$E$1001,S$4)=0,"",SUMIFS('Input Sheet'!$F$3:$F$1001,'Input Sheet'!$B$3:$B$1001,$H317,'Input Sheet'!$E$3:$E$1001,S$4))</f>
        <v/>
      </c>
      <c r="T317" s="22">
        <v>312</v>
      </c>
    </row>
    <row r="318" spans="1:20" ht="14.25" customHeight="1" x14ac:dyDescent="0.3">
      <c r="A318" s="4" t="str">
        <f>IF('Input Sheet'!B315=0,"",'Input Sheet'!B315)</f>
        <v/>
      </c>
      <c r="B318" s="24" t="b">
        <f t="shared" si="264"/>
        <v>0</v>
      </c>
      <c r="C318" s="4">
        <f>SUMIF('Input Sheet'!B$3:B$1000,A318,'Input Sheet'!C$3:C$1000)</f>
        <v>0</v>
      </c>
      <c r="D318" s="4">
        <f>SUMIF('Input Sheet'!B$3:B$1000,A318,'Input Sheet'!D$3:D$1000)</f>
        <v>0</v>
      </c>
      <c r="E318" s="4" t="str">
        <f t="shared" ref="E318:F318" ca="1" si="328">IFERROR(RANK(K318,K$6:K$1004,1),"")</f>
        <v/>
      </c>
      <c r="F318" s="4" t="str">
        <f t="shared" ca="1" si="328"/>
        <v/>
      </c>
      <c r="G318" s="4" t="str">
        <f t="shared" ca="1" si="266"/>
        <v/>
      </c>
      <c r="H318" s="4" t="str">
        <f t="shared" si="267"/>
        <v/>
      </c>
      <c r="I318" s="4" t="str">
        <f t="shared" si="268"/>
        <v/>
      </c>
      <c r="J318" s="4" t="str">
        <f t="shared" si="269"/>
        <v/>
      </c>
      <c r="K318" s="25" t="str">
        <f t="shared" ca="1" si="270"/>
        <v/>
      </c>
      <c r="L318" s="21" t="str">
        <f t="shared" ca="1" si="271"/>
        <v/>
      </c>
      <c r="M318" s="21" t="str">
        <f>IF(SUMIFS('Input Sheet'!$F$3:$F$1001,'Input Sheet'!$B$3:$B$1001,$H318,'Input Sheet'!$E$3:$E$1001,M$4)=0,"",SUMIFS('Input Sheet'!$F$3:$F$1001,'Input Sheet'!$B$3:$B$1001,$H318,'Input Sheet'!$E$3:$E$1001,M$4))</f>
        <v/>
      </c>
      <c r="N318" s="21" t="str">
        <f>IF(SUMIFS('Input Sheet'!$F$3:$F$1001,'Input Sheet'!$B$3:$B$1001,$H318,'Input Sheet'!$E$3:$E$1001,N$4)=0,"",SUMIFS('Input Sheet'!$F$3:$F$1001,'Input Sheet'!$B$3:$B$1001,$H318,'Input Sheet'!$E$3:$E$1001,N$4))</f>
        <v/>
      </c>
      <c r="O318" s="21" t="str">
        <f>IF(SUMIFS('Input Sheet'!$F$3:$F$1001,'Input Sheet'!$B$3:$B$1001,$H318,'Input Sheet'!$E$3:$E$1001,O$4)=0,"",SUMIFS('Input Sheet'!$F$3:$F$1001,'Input Sheet'!$B$3:$B$1001,$H318,'Input Sheet'!$E$3:$E$1001,O$4))</f>
        <v/>
      </c>
      <c r="P318" s="21" t="str">
        <f>IF(SUMIFS('Input Sheet'!$F$3:$F$1001,'Input Sheet'!$B$3:$B$1001,$H318,'Input Sheet'!$E$3:$E$1001,P$4)=0,"",SUMIFS('Input Sheet'!$F$3:$F$1001,'Input Sheet'!$B$3:$B$1001,$H318,'Input Sheet'!$E$3:$E$1001,P$4))</f>
        <v/>
      </c>
      <c r="Q318" s="21" t="str">
        <f>IF(SUMIFS('Input Sheet'!$F$3:$F$1001,'Input Sheet'!$B$3:$B$1001,$H318,'Input Sheet'!$E$3:$E$1001,Q$4)=0,"",SUMIFS('Input Sheet'!$F$3:$F$1001,'Input Sheet'!$B$3:$B$1001,$H318,'Input Sheet'!$E$3:$E$1001,Q$4))</f>
        <v/>
      </c>
      <c r="R318" s="21" t="str">
        <f>IF(SUMIFS('Input Sheet'!$F$3:$F$1001,'Input Sheet'!$B$3:$B$1001,$H318,'Input Sheet'!$E$3:$E$1001,R$4)=0,"",SUMIFS('Input Sheet'!$F$3:$F$1001,'Input Sheet'!$B$3:$B$1001,$H318,'Input Sheet'!$E$3:$E$1001,R$4))</f>
        <v/>
      </c>
      <c r="S318" s="21" t="str">
        <f>IF(SUMIFS('Input Sheet'!$F$3:$F$1001,'Input Sheet'!$B$3:$B$1001,$H318,'Input Sheet'!$E$3:$E$1001,S$4)=0,"",SUMIFS('Input Sheet'!$F$3:$F$1001,'Input Sheet'!$B$3:$B$1001,$H318,'Input Sheet'!$E$3:$E$1001,S$4))</f>
        <v/>
      </c>
      <c r="T318" s="22">
        <v>313</v>
      </c>
    </row>
    <row r="319" spans="1:20" ht="14.25" customHeight="1" x14ac:dyDescent="0.3">
      <c r="A319" s="4" t="str">
        <f>IF('Input Sheet'!B316=0,"",'Input Sheet'!B316)</f>
        <v/>
      </c>
      <c r="B319" s="24" t="b">
        <f t="shared" si="264"/>
        <v>0</v>
      </c>
      <c r="C319" s="4">
        <f>SUMIF('Input Sheet'!B$3:B$1000,A319,'Input Sheet'!C$3:C$1000)</f>
        <v>0</v>
      </c>
      <c r="D319" s="4">
        <f>SUMIF('Input Sheet'!B$3:B$1000,A319,'Input Sheet'!D$3:D$1000)</f>
        <v>0</v>
      </c>
      <c r="E319" s="4" t="str">
        <f t="shared" ref="E319:F319" ca="1" si="329">IFERROR(RANK(K319,K$6:K$1004,1),"")</f>
        <v/>
      </c>
      <c r="F319" s="4" t="str">
        <f t="shared" ca="1" si="329"/>
        <v/>
      </c>
      <c r="G319" s="4" t="str">
        <f t="shared" ca="1" si="266"/>
        <v/>
      </c>
      <c r="H319" s="4" t="str">
        <f t="shared" si="267"/>
        <v/>
      </c>
      <c r="I319" s="4" t="str">
        <f t="shared" si="268"/>
        <v/>
      </c>
      <c r="J319" s="4" t="str">
        <f t="shared" si="269"/>
        <v/>
      </c>
      <c r="K319" s="25" t="str">
        <f t="shared" ca="1" si="270"/>
        <v/>
      </c>
      <c r="L319" s="21" t="str">
        <f t="shared" ca="1" si="271"/>
        <v/>
      </c>
      <c r="M319" s="21" t="str">
        <f>IF(SUMIFS('Input Sheet'!$F$3:$F$1001,'Input Sheet'!$B$3:$B$1001,$H319,'Input Sheet'!$E$3:$E$1001,M$4)=0,"",SUMIFS('Input Sheet'!$F$3:$F$1001,'Input Sheet'!$B$3:$B$1001,$H319,'Input Sheet'!$E$3:$E$1001,M$4))</f>
        <v/>
      </c>
      <c r="N319" s="21" t="str">
        <f>IF(SUMIFS('Input Sheet'!$F$3:$F$1001,'Input Sheet'!$B$3:$B$1001,$H319,'Input Sheet'!$E$3:$E$1001,N$4)=0,"",SUMIFS('Input Sheet'!$F$3:$F$1001,'Input Sheet'!$B$3:$B$1001,$H319,'Input Sheet'!$E$3:$E$1001,N$4))</f>
        <v/>
      </c>
      <c r="O319" s="21" t="str">
        <f>IF(SUMIFS('Input Sheet'!$F$3:$F$1001,'Input Sheet'!$B$3:$B$1001,$H319,'Input Sheet'!$E$3:$E$1001,O$4)=0,"",SUMIFS('Input Sheet'!$F$3:$F$1001,'Input Sheet'!$B$3:$B$1001,$H319,'Input Sheet'!$E$3:$E$1001,O$4))</f>
        <v/>
      </c>
      <c r="P319" s="21" t="str">
        <f>IF(SUMIFS('Input Sheet'!$F$3:$F$1001,'Input Sheet'!$B$3:$B$1001,$H319,'Input Sheet'!$E$3:$E$1001,P$4)=0,"",SUMIFS('Input Sheet'!$F$3:$F$1001,'Input Sheet'!$B$3:$B$1001,$H319,'Input Sheet'!$E$3:$E$1001,P$4))</f>
        <v/>
      </c>
      <c r="Q319" s="21" t="str">
        <f>IF(SUMIFS('Input Sheet'!$F$3:$F$1001,'Input Sheet'!$B$3:$B$1001,$H319,'Input Sheet'!$E$3:$E$1001,Q$4)=0,"",SUMIFS('Input Sheet'!$F$3:$F$1001,'Input Sheet'!$B$3:$B$1001,$H319,'Input Sheet'!$E$3:$E$1001,Q$4))</f>
        <v/>
      </c>
      <c r="R319" s="21" t="str">
        <f>IF(SUMIFS('Input Sheet'!$F$3:$F$1001,'Input Sheet'!$B$3:$B$1001,$H319,'Input Sheet'!$E$3:$E$1001,R$4)=0,"",SUMIFS('Input Sheet'!$F$3:$F$1001,'Input Sheet'!$B$3:$B$1001,$H319,'Input Sheet'!$E$3:$E$1001,R$4))</f>
        <v/>
      </c>
      <c r="S319" s="21" t="str">
        <f>IF(SUMIFS('Input Sheet'!$F$3:$F$1001,'Input Sheet'!$B$3:$B$1001,$H319,'Input Sheet'!$E$3:$E$1001,S$4)=0,"",SUMIFS('Input Sheet'!$F$3:$F$1001,'Input Sheet'!$B$3:$B$1001,$H319,'Input Sheet'!$E$3:$E$1001,S$4))</f>
        <v/>
      </c>
      <c r="T319" s="22">
        <v>314</v>
      </c>
    </row>
    <row r="320" spans="1:20" ht="14.25" customHeight="1" x14ac:dyDescent="0.3">
      <c r="A320" s="4" t="str">
        <f>IF('Input Sheet'!B317=0,"",'Input Sheet'!B317)</f>
        <v/>
      </c>
      <c r="B320" s="24" t="b">
        <f t="shared" si="264"/>
        <v>0</v>
      </c>
      <c r="C320" s="4">
        <f>SUMIF('Input Sheet'!B$3:B$1000,A320,'Input Sheet'!C$3:C$1000)</f>
        <v>0</v>
      </c>
      <c r="D320" s="4">
        <f>SUMIF('Input Sheet'!B$3:B$1000,A320,'Input Sheet'!D$3:D$1000)</f>
        <v>0</v>
      </c>
      <c r="E320" s="4" t="str">
        <f t="shared" ref="E320:F320" ca="1" si="330">IFERROR(RANK(K320,K$6:K$1004,1),"")</f>
        <v/>
      </c>
      <c r="F320" s="4" t="str">
        <f t="shared" ca="1" si="330"/>
        <v/>
      </c>
      <c r="G320" s="4" t="str">
        <f t="shared" ca="1" si="266"/>
        <v/>
      </c>
      <c r="H320" s="4" t="str">
        <f t="shared" si="267"/>
        <v/>
      </c>
      <c r="I320" s="4" t="str">
        <f t="shared" si="268"/>
        <v/>
      </c>
      <c r="J320" s="4" t="str">
        <f t="shared" si="269"/>
        <v/>
      </c>
      <c r="K320" s="25" t="str">
        <f t="shared" ca="1" si="270"/>
        <v/>
      </c>
      <c r="L320" s="21" t="str">
        <f t="shared" ca="1" si="271"/>
        <v/>
      </c>
      <c r="M320" s="21" t="str">
        <f>IF(SUMIFS('Input Sheet'!$F$3:$F$1001,'Input Sheet'!$B$3:$B$1001,$H320,'Input Sheet'!$E$3:$E$1001,M$4)=0,"",SUMIFS('Input Sheet'!$F$3:$F$1001,'Input Sheet'!$B$3:$B$1001,$H320,'Input Sheet'!$E$3:$E$1001,M$4))</f>
        <v/>
      </c>
      <c r="N320" s="21" t="str">
        <f>IF(SUMIFS('Input Sheet'!$F$3:$F$1001,'Input Sheet'!$B$3:$B$1001,$H320,'Input Sheet'!$E$3:$E$1001,N$4)=0,"",SUMIFS('Input Sheet'!$F$3:$F$1001,'Input Sheet'!$B$3:$B$1001,$H320,'Input Sheet'!$E$3:$E$1001,N$4))</f>
        <v/>
      </c>
      <c r="O320" s="21" t="str">
        <f>IF(SUMIFS('Input Sheet'!$F$3:$F$1001,'Input Sheet'!$B$3:$B$1001,$H320,'Input Sheet'!$E$3:$E$1001,O$4)=0,"",SUMIFS('Input Sheet'!$F$3:$F$1001,'Input Sheet'!$B$3:$B$1001,$H320,'Input Sheet'!$E$3:$E$1001,O$4))</f>
        <v/>
      </c>
      <c r="P320" s="21" t="str">
        <f>IF(SUMIFS('Input Sheet'!$F$3:$F$1001,'Input Sheet'!$B$3:$B$1001,$H320,'Input Sheet'!$E$3:$E$1001,P$4)=0,"",SUMIFS('Input Sheet'!$F$3:$F$1001,'Input Sheet'!$B$3:$B$1001,$H320,'Input Sheet'!$E$3:$E$1001,P$4))</f>
        <v/>
      </c>
      <c r="Q320" s="21" t="str">
        <f>IF(SUMIFS('Input Sheet'!$F$3:$F$1001,'Input Sheet'!$B$3:$B$1001,$H320,'Input Sheet'!$E$3:$E$1001,Q$4)=0,"",SUMIFS('Input Sheet'!$F$3:$F$1001,'Input Sheet'!$B$3:$B$1001,$H320,'Input Sheet'!$E$3:$E$1001,Q$4))</f>
        <v/>
      </c>
      <c r="R320" s="21" t="str">
        <f>IF(SUMIFS('Input Sheet'!$F$3:$F$1001,'Input Sheet'!$B$3:$B$1001,$H320,'Input Sheet'!$E$3:$E$1001,R$4)=0,"",SUMIFS('Input Sheet'!$F$3:$F$1001,'Input Sheet'!$B$3:$B$1001,$H320,'Input Sheet'!$E$3:$E$1001,R$4))</f>
        <v/>
      </c>
      <c r="S320" s="21" t="str">
        <f>IF(SUMIFS('Input Sheet'!$F$3:$F$1001,'Input Sheet'!$B$3:$B$1001,$H320,'Input Sheet'!$E$3:$E$1001,S$4)=0,"",SUMIFS('Input Sheet'!$F$3:$F$1001,'Input Sheet'!$B$3:$B$1001,$H320,'Input Sheet'!$E$3:$E$1001,S$4))</f>
        <v/>
      </c>
      <c r="T320" s="22">
        <v>315</v>
      </c>
    </row>
    <row r="321" spans="1:20" ht="14.25" customHeight="1" x14ac:dyDescent="0.3">
      <c r="A321" s="4" t="str">
        <f>IF('Input Sheet'!B318=0,"",'Input Sheet'!B318)</f>
        <v/>
      </c>
      <c r="B321" s="24" t="b">
        <f t="shared" si="264"/>
        <v>0</v>
      </c>
      <c r="C321" s="4">
        <f>SUMIF('Input Sheet'!B$3:B$1000,A321,'Input Sheet'!C$3:C$1000)</f>
        <v>0</v>
      </c>
      <c r="D321" s="4">
        <f>SUMIF('Input Sheet'!B$3:B$1000,A321,'Input Sheet'!D$3:D$1000)</f>
        <v>0</v>
      </c>
      <c r="E321" s="4" t="str">
        <f t="shared" ref="E321:F321" ca="1" si="331">IFERROR(RANK(K321,K$6:K$1004,1),"")</f>
        <v/>
      </c>
      <c r="F321" s="4" t="str">
        <f t="shared" ca="1" si="331"/>
        <v/>
      </c>
      <c r="G321" s="4" t="str">
        <f t="shared" ca="1" si="266"/>
        <v/>
      </c>
      <c r="H321" s="4" t="str">
        <f t="shared" si="267"/>
        <v/>
      </c>
      <c r="I321" s="4" t="str">
        <f t="shared" si="268"/>
        <v/>
      </c>
      <c r="J321" s="4" t="str">
        <f t="shared" si="269"/>
        <v/>
      </c>
      <c r="K321" s="25" t="str">
        <f t="shared" ca="1" si="270"/>
        <v/>
      </c>
      <c r="L321" s="21" t="str">
        <f t="shared" ca="1" si="271"/>
        <v/>
      </c>
      <c r="M321" s="21" t="str">
        <f>IF(SUMIFS('Input Sheet'!$F$3:$F$1001,'Input Sheet'!$B$3:$B$1001,$H321,'Input Sheet'!$E$3:$E$1001,M$4)=0,"",SUMIFS('Input Sheet'!$F$3:$F$1001,'Input Sheet'!$B$3:$B$1001,$H321,'Input Sheet'!$E$3:$E$1001,M$4))</f>
        <v/>
      </c>
      <c r="N321" s="21" t="str">
        <f>IF(SUMIFS('Input Sheet'!$F$3:$F$1001,'Input Sheet'!$B$3:$B$1001,$H321,'Input Sheet'!$E$3:$E$1001,N$4)=0,"",SUMIFS('Input Sheet'!$F$3:$F$1001,'Input Sheet'!$B$3:$B$1001,$H321,'Input Sheet'!$E$3:$E$1001,N$4))</f>
        <v/>
      </c>
      <c r="O321" s="21" t="str">
        <f>IF(SUMIFS('Input Sheet'!$F$3:$F$1001,'Input Sheet'!$B$3:$B$1001,$H321,'Input Sheet'!$E$3:$E$1001,O$4)=0,"",SUMIFS('Input Sheet'!$F$3:$F$1001,'Input Sheet'!$B$3:$B$1001,$H321,'Input Sheet'!$E$3:$E$1001,O$4))</f>
        <v/>
      </c>
      <c r="P321" s="21" t="str">
        <f>IF(SUMIFS('Input Sheet'!$F$3:$F$1001,'Input Sheet'!$B$3:$B$1001,$H321,'Input Sheet'!$E$3:$E$1001,P$4)=0,"",SUMIFS('Input Sheet'!$F$3:$F$1001,'Input Sheet'!$B$3:$B$1001,$H321,'Input Sheet'!$E$3:$E$1001,P$4))</f>
        <v/>
      </c>
      <c r="Q321" s="21" t="str">
        <f>IF(SUMIFS('Input Sheet'!$F$3:$F$1001,'Input Sheet'!$B$3:$B$1001,$H321,'Input Sheet'!$E$3:$E$1001,Q$4)=0,"",SUMIFS('Input Sheet'!$F$3:$F$1001,'Input Sheet'!$B$3:$B$1001,$H321,'Input Sheet'!$E$3:$E$1001,Q$4))</f>
        <v/>
      </c>
      <c r="R321" s="21" t="str">
        <f>IF(SUMIFS('Input Sheet'!$F$3:$F$1001,'Input Sheet'!$B$3:$B$1001,$H321,'Input Sheet'!$E$3:$E$1001,R$4)=0,"",SUMIFS('Input Sheet'!$F$3:$F$1001,'Input Sheet'!$B$3:$B$1001,$H321,'Input Sheet'!$E$3:$E$1001,R$4))</f>
        <v/>
      </c>
      <c r="S321" s="21" t="str">
        <f>IF(SUMIFS('Input Sheet'!$F$3:$F$1001,'Input Sheet'!$B$3:$B$1001,$H321,'Input Sheet'!$E$3:$E$1001,S$4)=0,"",SUMIFS('Input Sheet'!$F$3:$F$1001,'Input Sheet'!$B$3:$B$1001,$H321,'Input Sheet'!$E$3:$E$1001,S$4))</f>
        <v/>
      </c>
      <c r="T321" s="22">
        <v>316</v>
      </c>
    </row>
    <row r="322" spans="1:20" ht="14.25" customHeight="1" x14ac:dyDescent="0.3">
      <c r="A322" s="4" t="str">
        <f>IF('Input Sheet'!B319=0,"",'Input Sheet'!B319)</f>
        <v/>
      </c>
      <c r="B322" s="24" t="b">
        <f t="shared" si="264"/>
        <v>0</v>
      </c>
      <c r="C322" s="4">
        <f>SUMIF('Input Sheet'!B$3:B$1000,A322,'Input Sheet'!C$3:C$1000)</f>
        <v>0</v>
      </c>
      <c r="D322" s="4">
        <f>SUMIF('Input Sheet'!B$3:B$1000,A322,'Input Sheet'!D$3:D$1000)</f>
        <v>0</v>
      </c>
      <c r="E322" s="4" t="str">
        <f t="shared" ref="E322:F322" ca="1" si="332">IFERROR(RANK(K322,K$6:K$1004,1),"")</f>
        <v/>
      </c>
      <c r="F322" s="4" t="str">
        <f t="shared" ca="1" si="332"/>
        <v/>
      </c>
      <c r="G322" s="4" t="str">
        <f t="shared" ca="1" si="266"/>
        <v/>
      </c>
      <c r="H322" s="4" t="str">
        <f t="shared" si="267"/>
        <v/>
      </c>
      <c r="I322" s="4" t="str">
        <f t="shared" si="268"/>
        <v/>
      </c>
      <c r="J322" s="4" t="str">
        <f t="shared" si="269"/>
        <v/>
      </c>
      <c r="K322" s="25" t="str">
        <f t="shared" ca="1" si="270"/>
        <v/>
      </c>
      <c r="L322" s="21" t="str">
        <f t="shared" ca="1" si="271"/>
        <v/>
      </c>
      <c r="M322" s="21" t="str">
        <f>IF(SUMIFS('Input Sheet'!$F$3:$F$1001,'Input Sheet'!$B$3:$B$1001,$H322,'Input Sheet'!$E$3:$E$1001,M$4)=0,"",SUMIFS('Input Sheet'!$F$3:$F$1001,'Input Sheet'!$B$3:$B$1001,$H322,'Input Sheet'!$E$3:$E$1001,M$4))</f>
        <v/>
      </c>
      <c r="N322" s="21" t="str">
        <f>IF(SUMIFS('Input Sheet'!$F$3:$F$1001,'Input Sheet'!$B$3:$B$1001,$H322,'Input Sheet'!$E$3:$E$1001,N$4)=0,"",SUMIFS('Input Sheet'!$F$3:$F$1001,'Input Sheet'!$B$3:$B$1001,$H322,'Input Sheet'!$E$3:$E$1001,N$4))</f>
        <v/>
      </c>
      <c r="O322" s="21" t="str">
        <f>IF(SUMIFS('Input Sheet'!$F$3:$F$1001,'Input Sheet'!$B$3:$B$1001,$H322,'Input Sheet'!$E$3:$E$1001,O$4)=0,"",SUMIFS('Input Sheet'!$F$3:$F$1001,'Input Sheet'!$B$3:$B$1001,$H322,'Input Sheet'!$E$3:$E$1001,O$4))</f>
        <v/>
      </c>
      <c r="P322" s="21" t="str">
        <f>IF(SUMIFS('Input Sheet'!$F$3:$F$1001,'Input Sheet'!$B$3:$B$1001,$H322,'Input Sheet'!$E$3:$E$1001,P$4)=0,"",SUMIFS('Input Sheet'!$F$3:$F$1001,'Input Sheet'!$B$3:$B$1001,$H322,'Input Sheet'!$E$3:$E$1001,P$4))</f>
        <v/>
      </c>
      <c r="Q322" s="21" t="str">
        <f>IF(SUMIFS('Input Sheet'!$F$3:$F$1001,'Input Sheet'!$B$3:$B$1001,$H322,'Input Sheet'!$E$3:$E$1001,Q$4)=0,"",SUMIFS('Input Sheet'!$F$3:$F$1001,'Input Sheet'!$B$3:$B$1001,$H322,'Input Sheet'!$E$3:$E$1001,Q$4))</f>
        <v/>
      </c>
      <c r="R322" s="21" t="str">
        <f>IF(SUMIFS('Input Sheet'!$F$3:$F$1001,'Input Sheet'!$B$3:$B$1001,$H322,'Input Sheet'!$E$3:$E$1001,R$4)=0,"",SUMIFS('Input Sheet'!$F$3:$F$1001,'Input Sheet'!$B$3:$B$1001,$H322,'Input Sheet'!$E$3:$E$1001,R$4))</f>
        <v/>
      </c>
      <c r="S322" s="21" t="str">
        <f>IF(SUMIFS('Input Sheet'!$F$3:$F$1001,'Input Sheet'!$B$3:$B$1001,$H322,'Input Sheet'!$E$3:$E$1001,S$4)=0,"",SUMIFS('Input Sheet'!$F$3:$F$1001,'Input Sheet'!$B$3:$B$1001,$H322,'Input Sheet'!$E$3:$E$1001,S$4))</f>
        <v/>
      </c>
      <c r="T322" s="22">
        <v>317</v>
      </c>
    </row>
    <row r="323" spans="1:20" ht="14.25" customHeight="1" x14ac:dyDescent="0.3">
      <c r="A323" s="4" t="str">
        <f>IF('Input Sheet'!B320=0,"",'Input Sheet'!B320)</f>
        <v/>
      </c>
      <c r="B323" s="24" t="b">
        <f t="shared" si="264"/>
        <v>0</v>
      </c>
      <c r="C323" s="4">
        <f>SUMIF('Input Sheet'!B$3:B$1000,A323,'Input Sheet'!C$3:C$1000)</f>
        <v>0</v>
      </c>
      <c r="D323" s="4">
        <f>SUMIF('Input Sheet'!B$3:B$1000,A323,'Input Sheet'!D$3:D$1000)</f>
        <v>0</v>
      </c>
      <c r="E323" s="4" t="str">
        <f t="shared" ref="E323:F323" ca="1" si="333">IFERROR(RANK(K323,K$6:K$1004,1),"")</f>
        <v/>
      </c>
      <c r="F323" s="4" t="str">
        <f t="shared" ca="1" si="333"/>
        <v/>
      </c>
      <c r="G323" s="4" t="str">
        <f t="shared" ca="1" si="266"/>
        <v/>
      </c>
      <c r="H323" s="4" t="str">
        <f t="shared" si="267"/>
        <v/>
      </c>
      <c r="I323" s="4" t="str">
        <f t="shared" si="268"/>
        <v/>
      </c>
      <c r="J323" s="4" t="str">
        <f t="shared" si="269"/>
        <v/>
      </c>
      <c r="K323" s="25" t="str">
        <f t="shared" ca="1" si="270"/>
        <v/>
      </c>
      <c r="L323" s="21" t="str">
        <f t="shared" ca="1" si="271"/>
        <v/>
      </c>
      <c r="M323" s="21" t="str">
        <f>IF(SUMIFS('Input Sheet'!$F$3:$F$1001,'Input Sheet'!$B$3:$B$1001,$H323,'Input Sheet'!$E$3:$E$1001,M$4)=0,"",SUMIFS('Input Sheet'!$F$3:$F$1001,'Input Sheet'!$B$3:$B$1001,$H323,'Input Sheet'!$E$3:$E$1001,M$4))</f>
        <v/>
      </c>
      <c r="N323" s="21" t="str">
        <f>IF(SUMIFS('Input Sheet'!$F$3:$F$1001,'Input Sheet'!$B$3:$B$1001,$H323,'Input Sheet'!$E$3:$E$1001,N$4)=0,"",SUMIFS('Input Sheet'!$F$3:$F$1001,'Input Sheet'!$B$3:$B$1001,$H323,'Input Sheet'!$E$3:$E$1001,N$4))</f>
        <v/>
      </c>
      <c r="O323" s="21" t="str">
        <f>IF(SUMIFS('Input Sheet'!$F$3:$F$1001,'Input Sheet'!$B$3:$B$1001,$H323,'Input Sheet'!$E$3:$E$1001,O$4)=0,"",SUMIFS('Input Sheet'!$F$3:$F$1001,'Input Sheet'!$B$3:$B$1001,$H323,'Input Sheet'!$E$3:$E$1001,O$4))</f>
        <v/>
      </c>
      <c r="P323" s="21" t="str">
        <f>IF(SUMIFS('Input Sheet'!$F$3:$F$1001,'Input Sheet'!$B$3:$B$1001,$H323,'Input Sheet'!$E$3:$E$1001,P$4)=0,"",SUMIFS('Input Sheet'!$F$3:$F$1001,'Input Sheet'!$B$3:$B$1001,$H323,'Input Sheet'!$E$3:$E$1001,P$4))</f>
        <v/>
      </c>
      <c r="Q323" s="21" t="str">
        <f>IF(SUMIFS('Input Sheet'!$F$3:$F$1001,'Input Sheet'!$B$3:$B$1001,$H323,'Input Sheet'!$E$3:$E$1001,Q$4)=0,"",SUMIFS('Input Sheet'!$F$3:$F$1001,'Input Sheet'!$B$3:$B$1001,$H323,'Input Sheet'!$E$3:$E$1001,Q$4))</f>
        <v/>
      </c>
      <c r="R323" s="21" t="str">
        <f>IF(SUMIFS('Input Sheet'!$F$3:$F$1001,'Input Sheet'!$B$3:$B$1001,$H323,'Input Sheet'!$E$3:$E$1001,R$4)=0,"",SUMIFS('Input Sheet'!$F$3:$F$1001,'Input Sheet'!$B$3:$B$1001,$H323,'Input Sheet'!$E$3:$E$1001,R$4))</f>
        <v/>
      </c>
      <c r="S323" s="21" t="str">
        <f>IF(SUMIFS('Input Sheet'!$F$3:$F$1001,'Input Sheet'!$B$3:$B$1001,$H323,'Input Sheet'!$E$3:$E$1001,S$4)=0,"",SUMIFS('Input Sheet'!$F$3:$F$1001,'Input Sheet'!$B$3:$B$1001,$H323,'Input Sheet'!$E$3:$E$1001,S$4))</f>
        <v/>
      </c>
      <c r="T323" s="22">
        <v>318</v>
      </c>
    </row>
    <row r="324" spans="1:20" ht="14.25" customHeight="1" x14ac:dyDescent="0.3">
      <c r="A324" s="4" t="str">
        <f>IF('Input Sheet'!B321=0,"",'Input Sheet'!B321)</f>
        <v/>
      </c>
      <c r="B324" s="24" t="b">
        <f t="shared" si="264"/>
        <v>0</v>
      </c>
      <c r="C324" s="4">
        <f>SUMIF('Input Sheet'!B$3:B$1000,A324,'Input Sheet'!C$3:C$1000)</f>
        <v>0</v>
      </c>
      <c r="D324" s="4">
        <f>SUMIF('Input Sheet'!B$3:B$1000,A324,'Input Sheet'!D$3:D$1000)</f>
        <v>0</v>
      </c>
      <c r="E324" s="4" t="str">
        <f t="shared" ref="E324:F324" ca="1" si="334">IFERROR(RANK(K324,K$6:K$1004,1),"")</f>
        <v/>
      </c>
      <c r="F324" s="4" t="str">
        <f t="shared" ca="1" si="334"/>
        <v/>
      </c>
      <c r="G324" s="4" t="str">
        <f t="shared" ca="1" si="266"/>
        <v/>
      </c>
      <c r="H324" s="4" t="str">
        <f t="shared" si="267"/>
        <v/>
      </c>
      <c r="I324" s="4" t="str">
        <f t="shared" si="268"/>
        <v/>
      </c>
      <c r="J324" s="4" t="str">
        <f t="shared" si="269"/>
        <v/>
      </c>
      <c r="K324" s="25" t="str">
        <f t="shared" ca="1" si="270"/>
        <v/>
      </c>
      <c r="L324" s="21" t="str">
        <f t="shared" ca="1" si="271"/>
        <v/>
      </c>
      <c r="M324" s="21" t="str">
        <f>IF(SUMIFS('Input Sheet'!$F$3:$F$1001,'Input Sheet'!$B$3:$B$1001,$H324,'Input Sheet'!$E$3:$E$1001,M$4)=0,"",SUMIFS('Input Sheet'!$F$3:$F$1001,'Input Sheet'!$B$3:$B$1001,$H324,'Input Sheet'!$E$3:$E$1001,M$4))</f>
        <v/>
      </c>
      <c r="N324" s="21" t="str">
        <f>IF(SUMIFS('Input Sheet'!$F$3:$F$1001,'Input Sheet'!$B$3:$B$1001,$H324,'Input Sheet'!$E$3:$E$1001,N$4)=0,"",SUMIFS('Input Sheet'!$F$3:$F$1001,'Input Sheet'!$B$3:$B$1001,$H324,'Input Sheet'!$E$3:$E$1001,N$4))</f>
        <v/>
      </c>
      <c r="O324" s="21" t="str">
        <f>IF(SUMIFS('Input Sheet'!$F$3:$F$1001,'Input Sheet'!$B$3:$B$1001,$H324,'Input Sheet'!$E$3:$E$1001,O$4)=0,"",SUMIFS('Input Sheet'!$F$3:$F$1001,'Input Sheet'!$B$3:$B$1001,$H324,'Input Sheet'!$E$3:$E$1001,O$4))</f>
        <v/>
      </c>
      <c r="P324" s="21" t="str">
        <f>IF(SUMIFS('Input Sheet'!$F$3:$F$1001,'Input Sheet'!$B$3:$B$1001,$H324,'Input Sheet'!$E$3:$E$1001,P$4)=0,"",SUMIFS('Input Sheet'!$F$3:$F$1001,'Input Sheet'!$B$3:$B$1001,$H324,'Input Sheet'!$E$3:$E$1001,P$4))</f>
        <v/>
      </c>
      <c r="Q324" s="21" t="str">
        <f>IF(SUMIFS('Input Sheet'!$F$3:$F$1001,'Input Sheet'!$B$3:$B$1001,$H324,'Input Sheet'!$E$3:$E$1001,Q$4)=0,"",SUMIFS('Input Sheet'!$F$3:$F$1001,'Input Sheet'!$B$3:$B$1001,$H324,'Input Sheet'!$E$3:$E$1001,Q$4))</f>
        <v/>
      </c>
      <c r="R324" s="21" t="str">
        <f>IF(SUMIFS('Input Sheet'!$F$3:$F$1001,'Input Sheet'!$B$3:$B$1001,$H324,'Input Sheet'!$E$3:$E$1001,R$4)=0,"",SUMIFS('Input Sheet'!$F$3:$F$1001,'Input Sheet'!$B$3:$B$1001,$H324,'Input Sheet'!$E$3:$E$1001,R$4))</f>
        <v/>
      </c>
      <c r="S324" s="21" t="str">
        <f>IF(SUMIFS('Input Sheet'!$F$3:$F$1001,'Input Sheet'!$B$3:$B$1001,$H324,'Input Sheet'!$E$3:$E$1001,S$4)=0,"",SUMIFS('Input Sheet'!$F$3:$F$1001,'Input Sheet'!$B$3:$B$1001,$H324,'Input Sheet'!$E$3:$E$1001,S$4))</f>
        <v/>
      </c>
      <c r="T324" s="22">
        <v>319</v>
      </c>
    </row>
    <row r="325" spans="1:20" ht="14.25" customHeight="1" x14ac:dyDescent="0.3">
      <c r="A325" s="4" t="str">
        <f>IF('Input Sheet'!B322=0,"",'Input Sheet'!B322)</f>
        <v/>
      </c>
      <c r="B325" s="24" t="b">
        <f t="shared" si="264"/>
        <v>0</v>
      </c>
      <c r="C325" s="4">
        <f>SUMIF('Input Sheet'!B$3:B$1000,A325,'Input Sheet'!C$3:C$1000)</f>
        <v>0</v>
      </c>
      <c r="D325" s="4">
        <f>SUMIF('Input Sheet'!B$3:B$1000,A325,'Input Sheet'!D$3:D$1000)</f>
        <v>0</v>
      </c>
      <c r="E325" s="4" t="str">
        <f t="shared" ref="E325:F325" ca="1" si="335">IFERROR(RANK(K325,K$6:K$1004,1),"")</f>
        <v/>
      </c>
      <c r="F325" s="4" t="str">
        <f t="shared" ca="1" si="335"/>
        <v/>
      </c>
      <c r="G325" s="4" t="str">
        <f t="shared" ca="1" si="266"/>
        <v/>
      </c>
      <c r="H325" s="4" t="str">
        <f t="shared" si="267"/>
        <v/>
      </c>
      <c r="I325" s="4" t="str">
        <f t="shared" si="268"/>
        <v/>
      </c>
      <c r="J325" s="4" t="str">
        <f t="shared" si="269"/>
        <v/>
      </c>
      <c r="K325" s="25" t="str">
        <f t="shared" ca="1" si="270"/>
        <v/>
      </c>
      <c r="L325" s="21" t="str">
        <f t="shared" ca="1" si="271"/>
        <v/>
      </c>
      <c r="M325" s="21" t="str">
        <f>IF(SUMIFS('Input Sheet'!$F$3:$F$1001,'Input Sheet'!$B$3:$B$1001,$H325,'Input Sheet'!$E$3:$E$1001,M$4)=0,"",SUMIFS('Input Sheet'!$F$3:$F$1001,'Input Sheet'!$B$3:$B$1001,$H325,'Input Sheet'!$E$3:$E$1001,M$4))</f>
        <v/>
      </c>
      <c r="N325" s="21" t="str">
        <f>IF(SUMIFS('Input Sheet'!$F$3:$F$1001,'Input Sheet'!$B$3:$B$1001,$H325,'Input Sheet'!$E$3:$E$1001,N$4)=0,"",SUMIFS('Input Sheet'!$F$3:$F$1001,'Input Sheet'!$B$3:$B$1001,$H325,'Input Sheet'!$E$3:$E$1001,N$4))</f>
        <v/>
      </c>
      <c r="O325" s="21" t="str">
        <f>IF(SUMIFS('Input Sheet'!$F$3:$F$1001,'Input Sheet'!$B$3:$B$1001,$H325,'Input Sheet'!$E$3:$E$1001,O$4)=0,"",SUMIFS('Input Sheet'!$F$3:$F$1001,'Input Sheet'!$B$3:$B$1001,$H325,'Input Sheet'!$E$3:$E$1001,O$4))</f>
        <v/>
      </c>
      <c r="P325" s="21" t="str">
        <f>IF(SUMIFS('Input Sheet'!$F$3:$F$1001,'Input Sheet'!$B$3:$B$1001,$H325,'Input Sheet'!$E$3:$E$1001,P$4)=0,"",SUMIFS('Input Sheet'!$F$3:$F$1001,'Input Sheet'!$B$3:$B$1001,$H325,'Input Sheet'!$E$3:$E$1001,P$4))</f>
        <v/>
      </c>
      <c r="Q325" s="21" t="str">
        <f>IF(SUMIFS('Input Sheet'!$F$3:$F$1001,'Input Sheet'!$B$3:$B$1001,$H325,'Input Sheet'!$E$3:$E$1001,Q$4)=0,"",SUMIFS('Input Sheet'!$F$3:$F$1001,'Input Sheet'!$B$3:$B$1001,$H325,'Input Sheet'!$E$3:$E$1001,Q$4))</f>
        <v/>
      </c>
      <c r="R325" s="21" t="str">
        <f>IF(SUMIFS('Input Sheet'!$F$3:$F$1001,'Input Sheet'!$B$3:$B$1001,$H325,'Input Sheet'!$E$3:$E$1001,R$4)=0,"",SUMIFS('Input Sheet'!$F$3:$F$1001,'Input Sheet'!$B$3:$B$1001,$H325,'Input Sheet'!$E$3:$E$1001,R$4))</f>
        <v/>
      </c>
      <c r="S325" s="21" t="str">
        <f>IF(SUMIFS('Input Sheet'!$F$3:$F$1001,'Input Sheet'!$B$3:$B$1001,$H325,'Input Sheet'!$E$3:$E$1001,S$4)=0,"",SUMIFS('Input Sheet'!$F$3:$F$1001,'Input Sheet'!$B$3:$B$1001,$H325,'Input Sheet'!$E$3:$E$1001,S$4))</f>
        <v/>
      </c>
      <c r="T325" s="22">
        <v>320</v>
      </c>
    </row>
    <row r="326" spans="1:20" ht="14.25" customHeight="1" x14ac:dyDescent="0.3">
      <c r="A326" s="4" t="str">
        <f>IF('Input Sheet'!B323=0,"",'Input Sheet'!B323)</f>
        <v/>
      </c>
      <c r="B326" s="24" t="b">
        <f t="shared" si="264"/>
        <v>0</v>
      </c>
      <c r="C326" s="4">
        <f>SUMIF('Input Sheet'!B$3:B$1000,A326,'Input Sheet'!C$3:C$1000)</f>
        <v>0</v>
      </c>
      <c r="D326" s="4">
        <f>SUMIF('Input Sheet'!B$3:B$1000,A326,'Input Sheet'!D$3:D$1000)</f>
        <v>0</v>
      </c>
      <c r="E326" s="4" t="str">
        <f t="shared" ref="E326:F326" ca="1" si="336">IFERROR(RANK(K326,K$6:K$1004,1),"")</f>
        <v/>
      </c>
      <c r="F326" s="4" t="str">
        <f t="shared" ca="1" si="336"/>
        <v/>
      </c>
      <c r="G326" s="4" t="str">
        <f t="shared" ca="1" si="266"/>
        <v/>
      </c>
      <c r="H326" s="4" t="str">
        <f t="shared" si="267"/>
        <v/>
      </c>
      <c r="I326" s="4" t="str">
        <f t="shared" si="268"/>
        <v/>
      </c>
      <c r="J326" s="4" t="str">
        <f t="shared" si="269"/>
        <v/>
      </c>
      <c r="K326" s="25" t="str">
        <f t="shared" ca="1" si="270"/>
        <v/>
      </c>
      <c r="L326" s="21" t="str">
        <f t="shared" ca="1" si="271"/>
        <v/>
      </c>
      <c r="M326" s="21" t="str">
        <f>IF(SUMIFS('Input Sheet'!$F$3:$F$1001,'Input Sheet'!$B$3:$B$1001,$H326,'Input Sheet'!$E$3:$E$1001,M$4)=0,"",SUMIFS('Input Sheet'!$F$3:$F$1001,'Input Sheet'!$B$3:$B$1001,$H326,'Input Sheet'!$E$3:$E$1001,M$4))</f>
        <v/>
      </c>
      <c r="N326" s="21" t="str">
        <f>IF(SUMIFS('Input Sheet'!$F$3:$F$1001,'Input Sheet'!$B$3:$B$1001,$H326,'Input Sheet'!$E$3:$E$1001,N$4)=0,"",SUMIFS('Input Sheet'!$F$3:$F$1001,'Input Sheet'!$B$3:$B$1001,$H326,'Input Sheet'!$E$3:$E$1001,N$4))</f>
        <v/>
      </c>
      <c r="O326" s="21" t="str">
        <f>IF(SUMIFS('Input Sheet'!$F$3:$F$1001,'Input Sheet'!$B$3:$B$1001,$H326,'Input Sheet'!$E$3:$E$1001,O$4)=0,"",SUMIFS('Input Sheet'!$F$3:$F$1001,'Input Sheet'!$B$3:$B$1001,$H326,'Input Sheet'!$E$3:$E$1001,O$4))</f>
        <v/>
      </c>
      <c r="P326" s="21" t="str">
        <f>IF(SUMIFS('Input Sheet'!$F$3:$F$1001,'Input Sheet'!$B$3:$B$1001,$H326,'Input Sheet'!$E$3:$E$1001,P$4)=0,"",SUMIFS('Input Sheet'!$F$3:$F$1001,'Input Sheet'!$B$3:$B$1001,$H326,'Input Sheet'!$E$3:$E$1001,P$4))</f>
        <v/>
      </c>
      <c r="Q326" s="21" t="str">
        <f>IF(SUMIFS('Input Sheet'!$F$3:$F$1001,'Input Sheet'!$B$3:$B$1001,$H326,'Input Sheet'!$E$3:$E$1001,Q$4)=0,"",SUMIFS('Input Sheet'!$F$3:$F$1001,'Input Sheet'!$B$3:$B$1001,$H326,'Input Sheet'!$E$3:$E$1001,Q$4))</f>
        <v/>
      </c>
      <c r="R326" s="21" t="str">
        <f>IF(SUMIFS('Input Sheet'!$F$3:$F$1001,'Input Sheet'!$B$3:$B$1001,$H326,'Input Sheet'!$E$3:$E$1001,R$4)=0,"",SUMIFS('Input Sheet'!$F$3:$F$1001,'Input Sheet'!$B$3:$B$1001,$H326,'Input Sheet'!$E$3:$E$1001,R$4))</f>
        <v/>
      </c>
      <c r="S326" s="21" t="str">
        <f>IF(SUMIFS('Input Sheet'!$F$3:$F$1001,'Input Sheet'!$B$3:$B$1001,$H326,'Input Sheet'!$E$3:$E$1001,S$4)=0,"",SUMIFS('Input Sheet'!$F$3:$F$1001,'Input Sheet'!$B$3:$B$1001,$H326,'Input Sheet'!$E$3:$E$1001,S$4))</f>
        <v/>
      </c>
      <c r="T326" s="22">
        <v>321</v>
      </c>
    </row>
    <row r="327" spans="1:20" ht="14.25" customHeight="1" x14ac:dyDescent="0.3">
      <c r="A327" s="4" t="str">
        <f>IF('Input Sheet'!B324=0,"",'Input Sheet'!B324)</f>
        <v/>
      </c>
      <c r="B327" s="24" t="b">
        <f t="shared" si="264"/>
        <v>0</v>
      </c>
      <c r="C327" s="4">
        <f>SUMIF('Input Sheet'!B$3:B$1000,A327,'Input Sheet'!C$3:C$1000)</f>
        <v>0</v>
      </c>
      <c r="D327" s="4">
        <f>SUMIF('Input Sheet'!B$3:B$1000,A327,'Input Sheet'!D$3:D$1000)</f>
        <v>0</v>
      </c>
      <c r="E327" s="4" t="str">
        <f t="shared" ref="E327:F327" ca="1" si="337">IFERROR(RANK(K327,K$6:K$1004,1),"")</f>
        <v/>
      </c>
      <c r="F327" s="4" t="str">
        <f t="shared" ca="1" si="337"/>
        <v/>
      </c>
      <c r="G327" s="4" t="str">
        <f t="shared" ca="1" si="266"/>
        <v/>
      </c>
      <c r="H327" s="4" t="str">
        <f t="shared" si="267"/>
        <v/>
      </c>
      <c r="I327" s="4" t="str">
        <f t="shared" si="268"/>
        <v/>
      </c>
      <c r="J327" s="4" t="str">
        <f t="shared" si="269"/>
        <v/>
      </c>
      <c r="K327" s="25" t="str">
        <f t="shared" ca="1" si="270"/>
        <v/>
      </c>
      <c r="L327" s="21" t="str">
        <f t="shared" ca="1" si="271"/>
        <v/>
      </c>
      <c r="M327" s="21" t="str">
        <f>IF(SUMIFS('Input Sheet'!$F$3:$F$1001,'Input Sheet'!$B$3:$B$1001,$H327,'Input Sheet'!$E$3:$E$1001,M$4)=0,"",SUMIFS('Input Sheet'!$F$3:$F$1001,'Input Sheet'!$B$3:$B$1001,$H327,'Input Sheet'!$E$3:$E$1001,M$4))</f>
        <v/>
      </c>
      <c r="N327" s="21" t="str">
        <f>IF(SUMIFS('Input Sheet'!$F$3:$F$1001,'Input Sheet'!$B$3:$B$1001,$H327,'Input Sheet'!$E$3:$E$1001,N$4)=0,"",SUMIFS('Input Sheet'!$F$3:$F$1001,'Input Sheet'!$B$3:$B$1001,$H327,'Input Sheet'!$E$3:$E$1001,N$4))</f>
        <v/>
      </c>
      <c r="O327" s="21" t="str">
        <f>IF(SUMIFS('Input Sheet'!$F$3:$F$1001,'Input Sheet'!$B$3:$B$1001,$H327,'Input Sheet'!$E$3:$E$1001,O$4)=0,"",SUMIFS('Input Sheet'!$F$3:$F$1001,'Input Sheet'!$B$3:$B$1001,$H327,'Input Sheet'!$E$3:$E$1001,O$4))</f>
        <v/>
      </c>
      <c r="P327" s="21" t="str">
        <f>IF(SUMIFS('Input Sheet'!$F$3:$F$1001,'Input Sheet'!$B$3:$B$1001,$H327,'Input Sheet'!$E$3:$E$1001,P$4)=0,"",SUMIFS('Input Sheet'!$F$3:$F$1001,'Input Sheet'!$B$3:$B$1001,$H327,'Input Sheet'!$E$3:$E$1001,P$4))</f>
        <v/>
      </c>
      <c r="Q327" s="21" t="str">
        <f>IF(SUMIFS('Input Sheet'!$F$3:$F$1001,'Input Sheet'!$B$3:$B$1001,$H327,'Input Sheet'!$E$3:$E$1001,Q$4)=0,"",SUMIFS('Input Sheet'!$F$3:$F$1001,'Input Sheet'!$B$3:$B$1001,$H327,'Input Sheet'!$E$3:$E$1001,Q$4))</f>
        <v/>
      </c>
      <c r="R327" s="21" t="str">
        <f>IF(SUMIFS('Input Sheet'!$F$3:$F$1001,'Input Sheet'!$B$3:$B$1001,$H327,'Input Sheet'!$E$3:$E$1001,R$4)=0,"",SUMIFS('Input Sheet'!$F$3:$F$1001,'Input Sheet'!$B$3:$B$1001,$H327,'Input Sheet'!$E$3:$E$1001,R$4))</f>
        <v/>
      </c>
      <c r="S327" s="21" t="str">
        <f>IF(SUMIFS('Input Sheet'!$F$3:$F$1001,'Input Sheet'!$B$3:$B$1001,$H327,'Input Sheet'!$E$3:$E$1001,S$4)=0,"",SUMIFS('Input Sheet'!$F$3:$F$1001,'Input Sheet'!$B$3:$B$1001,$H327,'Input Sheet'!$E$3:$E$1001,S$4))</f>
        <v/>
      </c>
      <c r="T327" s="22">
        <v>322</v>
      </c>
    </row>
    <row r="328" spans="1:20" ht="14.25" customHeight="1" x14ac:dyDescent="0.3">
      <c r="A328" s="4" t="str">
        <f>IF('Input Sheet'!B325=0,"",'Input Sheet'!B325)</f>
        <v/>
      </c>
      <c r="B328" s="24" t="b">
        <f t="shared" si="264"/>
        <v>0</v>
      </c>
      <c r="C328" s="4">
        <f>SUMIF('Input Sheet'!B$3:B$1000,A328,'Input Sheet'!C$3:C$1000)</f>
        <v>0</v>
      </c>
      <c r="D328" s="4">
        <f>SUMIF('Input Sheet'!B$3:B$1000,A328,'Input Sheet'!D$3:D$1000)</f>
        <v>0</v>
      </c>
      <c r="E328" s="4" t="str">
        <f t="shared" ref="E328:F328" ca="1" si="338">IFERROR(RANK(K328,K$6:K$1004,1),"")</f>
        <v/>
      </c>
      <c r="F328" s="4" t="str">
        <f t="shared" ca="1" si="338"/>
        <v/>
      </c>
      <c r="G328" s="4" t="str">
        <f t="shared" ca="1" si="266"/>
        <v/>
      </c>
      <c r="H328" s="4" t="str">
        <f t="shared" si="267"/>
        <v/>
      </c>
      <c r="I328" s="4" t="str">
        <f t="shared" si="268"/>
        <v/>
      </c>
      <c r="J328" s="4" t="str">
        <f t="shared" si="269"/>
        <v/>
      </c>
      <c r="K328" s="25" t="str">
        <f t="shared" ca="1" si="270"/>
        <v/>
      </c>
      <c r="L328" s="21" t="str">
        <f t="shared" ca="1" si="271"/>
        <v/>
      </c>
      <c r="M328" s="21" t="str">
        <f>IF(SUMIFS('Input Sheet'!$F$3:$F$1001,'Input Sheet'!$B$3:$B$1001,$H328,'Input Sheet'!$E$3:$E$1001,M$4)=0,"",SUMIFS('Input Sheet'!$F$3:$F$1001,'Input Sheet'!$B$3:$B$1001,$H328,'Input Sheet'!$E$3:$E$1001,M$4))</f>
        <v/>
      </c>
      <c r="N328" s="21" t="str">
        <f>IF(SUMIFS('Input Sheet'!$F$3:$F$1001,'Input Sheet'!$B$3:$B$1001,$H328,'Input Sheet'!$E$3:$E$1001,N$4)=0,"",SUMIFS('Input Sheet'!$F$3:$F$1001,'Input Sheet'!$B$3:$B$1001,$H328,'Input Sheet'!$E$3:$E$1001,N$4))</f>
        <v/>
      </c>
      <c r="O328" s="21" t="str">
        <f>IF(SUMIFS('Input Sheet'!$F$3:$F$1001,'Input Sheet'!$B$3:$B$1001,$H328,'Input Sheet'!$E$3:$E$1001,O$4)=0,"",SUMIFS('Input Sheet'!$F$3:$F$1001,'Input Sheet'!$B$3:$B$1001,$H328,'Input Sheet'!$E$3:$E$1001,O$4))</f>
        <v/>
      </c>
      <c r="P328" s="21" t="str">
        <f>IF(SUMIFS('Input Sheet'!$F$3:$F$1001,'Input Sheet'!$B$3:$B$1001,$H328,'Input Sheet'!$E$3:$E$1001,P$4)=0,"",SUMIFS('Input Sheet'!$F$3:$F$1001,'Input Sheet'!$B$3:$B$1001,$H328,'Input Sheet'!$E$3:$E$1001,P$4))</f>
        <v/>
      </c>
      <c r="Q328" s="21" t="str">
        <f>IF(SUMIFS('Input Sheet'!$F$3:$F$1001,'Input Sheet'!$B$3:$B$1001,$H328,'Input Sheet'!$E$3:$E$1001,Q$4)=0,"",SUMIFS('Input Sheet'!$F$3:$F$1001,'Input Sheet'!$B$3:$B$1001,$H328,'Input Sheet'!$E$3:$E$1001,Q$4))</f>
        <v/>
      </c>
      <c r="R328" s="21" t="str">
        <f>IF(SUMIFS('Input Sheet'!$F$3:$F$1001,'Input Sheet'!$B$3:$B$1001,$H328,'Input Sheet'!$E$3:$E$1001,R$4)=0,"",SUMIFS('Input Sheet'!$F$3:$F$1001,'Input Sheet'!$B$3:$B$1001,$H328,'Input Sheet'!$E$3:$E$1001,R$4))</f>
        <v/>
      </c>
      <c r="S328" s="21" t="str">
        <f>IF(SUMIFS('Input Sheet'!$F$3:$F$1001,'Input Sheet'!$B$3:$B$1001,$H328,'Input Sheet'!$E$3:$E$1001,S$4)=0,"",SUMIFS('Input Sheet'!$F$3:$F$1001,'Input Sheet'!$B$3:$B$1001,$H328,'Input Sheet'!$E$3:$E$1001,S$4))</f>
        <v/>
      </c>
      <c r="T328" s="22">
        <v>323</v>
      </c>
    </row>
    <row r="329" spans="1:20" ht="14.25" customHeight="1" x14ac:dyDescent="0.3">
      <c r="A329" s="4" t="str">
        <f>IF('Input Sheet'!B326=0,"",'Input Sheet'!B326)</f>
        <v/>
      </c>
      <c r="B329" s="24" t="b">
        <f t="shared" si="264"/>
        <v>0</v>
      </c>
      <c r="C329" s="4">
        <f>SUMIF('Input Sheet'!B$3:B$1000,A329,'Input Sheet'!C$3:C$1000)</f>
        <v>0</v>
      </c>
      <c r="D329" s="4">
        <f>SUMIF('Input Sheet'!B$3:B$1000,A329,'Input Sheet'!D$3:D$1000)</f>
        <v>0</v>
      </c>
      <c r="E329" s="4" t="str">
        <f t="shared" ref="E329:F329" ca="1" si="339">IFERROR(RANK(K329,K$6:K$1004,1),"")</f>
        <v/>
      </c>
      <c r="F329" s="4" t="str">
        <f t="shared" ca="1" si="339"/>
        <v/>
      </c>
      <c r="G329" s="4" t="str">
        <f t="shared" ca="1" si="266"/>
        <v/>
      </c>
      <c r="H329" s="4" t="str">
        <f t="shared" si="267"/>
        <v/>
      </c>
      <c r="I329" s="4" t="str">
        <f t="shared" si="268"/>
        <v/>
      </c>
      <c r="J329" s="4" t="str">
        <f t="shared" si="269"/>
        <v/>
      </c>
      <c r="K329" s="25" t="str">
        <f t="shared" ca="1" si="270"/>
        <v/>
      </c>
      <c r="L329" s="21" t="str">
        <f t="shared" ca="1" si="271"/>
        <v/>
      </c>
      <c r="M329" s="21" t="str">
        <f>IF(SUMIFS('Input Sheet'!$F$3:$F$1001,'Input Sheet'!$B$3:$B$1001,$H329,'Input Sheet'!$E$3:$E$1001,M$4)=0,"",SUMIFS('Input Sheet'!$F$3:$F$1001,'Input Sheet'!$B$3:$B$1001,$H329,'Input Sheet'!$E$3:$E$1001,M$4))</f>
        <v/>
      </c>
      <c r="N329" s="21" t="str">
        <f>IF(SUMIFS('Input Sheet'!$F$3:$F$1001,'Input Sheet'!$B$3:$B$1001,$H329,'Input Sheet'!$E$3:$E$1001,N$4)=0,"",SUMIFS('Input Sheet'!$F$3:$F$1001,'Input Sheet'!$B$3:$B$1001,$H329,'Input Sheet'!$E$3:$E$1001,N$4))</f>
        <v/>
      </c>
      <c r="O329" s="21" t="str">
        <f>IF(SUMIFS('Input Sheet'!$F$3:$F$1001,'Input Sheet'!$B$3:$B$1001,$H329,'Input Sheet'!$E$3:$E$1001,O$4)=0,"",SUMIFS('Input Sheet'!$F$3:$F$1001,'Input Sheet'!$B$3:$B$1001,$H329,'Input Sheet'!$E$3:$E$1001,O$4))</f>
        <v/>
      </c>
      <c r="P329" s="21" t="str">
        <f>IF(SUMIFS('Input Sheet'!$F$3:$F$1001,'Input Sheet'!$B$3:$B$1001,$H329,'Input Sheet'!$E$3:$E$1001,P$4)=0,"",SUMIFS('Input Sheet'!$F$3:$F$1001,'Input Sheet'!$B$3:$B$1001,$H329,'Input Sheet'!$E$3:$E$1001,P$4))</f>
        <v/>
      </c>
      <c r="Q329" s="21" t="str">
        <f>IF(SUMIFS('Input Sheet'!$F$3:$F$1001,'Input Sheet'!$B$3:$B$1001,$H329,'Input Sheet'!$E$3:$E$1001,Q$4)=0,"",SUMIFS('Input Sheet'!$F$3:$F$1001,'Input Sheet'!$B$3:$B$1001,$H329,'Input Sheet'!$E$3:$E$1001,Q$4))</f>
        <v/>
      </c>
      <c r="R329" s="21" t="str">
        <f>IF(SUMIFS('Input Sheet'!$F$3:$F$1001,'Input Sheet'!$B$3:$B$1001,$H329,'Input Sheet'!$E$3:$E$1001,R$4)=0,"",SUMIFS('Input Sheet'!$F$3:$F$1001,'Input Sheet'!$B$3:$B$1001,$H329,'Input Sheet'!$E$3:$E$1001,R$4))</f>
        <v/>
      </c>
      <c r="S329" s="21" t="str">
        <f>IF(SUMIFS('Input Sheet'!$F$3:$F$1001,'Input Sheet'!$B$3:$B$1001,$H329,'Input Sheet'!$E$3:$E$1001,S$4)=0,"",SUMIFS('Input Sheet'!$F$3:$F$1001,'Input Sheet'!$B$3:$B$1001,$H329,'Input Sheet'!$E$3:$E$1001,S$4))</f>
        <v/>
      </c>
      <c r="T329" s="22">
        <v>324</v>
      </c>
    </row>
    <row r="330" spans="1:20" ht="14.25" customHeight="1" x14ac:dyDescent="0.3">
      <c r="A330" s="4" t="str">
        <f>IF('Input Sheet'!B327=0,"",'Input Sheet'!B327)</f>
        <v/>
      </c>
      <c r="B330" s="24" t="b">
        <f t="shared" si="264"/>
        <v>0</v>
      </c>
      <c r="C330" s="4">
        <f>SUMIF('Input Sheet'!B$3:B$1000,A330,'Input Sheet'!C$3:C$1000)</f>
        <v>0</v>
      </c>
      <c r="D330" s="4">
        <f>SUMIF('Input Sheet'!B$3:B$1000,A330,'Input Sheet'!D$3:D$1000)</f>
        <v>0</v>
      </c>
      <c r="E330" s="4" t="str">
        <f t="shared" ref="E330:F330" ca="1" si="340">IFERROR(RANK(K330,K$6:K$1004,1),"")</f>
        <v/>
      </c>
      <c r="F330" s="4" t="str">
        <f t="shared" ca="1" si="340"/>
        <v/>
      </c>
      <c r="G330" s="4" t="str">
        <f t="shared" ca="1" si="266"/>
        <v/>
      </c>
      <c r="H330" s="4" t="str">
        <f t="shared" si="267"/>
        <v/>
      </c>
      <c r="I330" s="4" t="str">
        <f t="shared" si="268"/>
        <v/>
      </c>
      <c r="J330" s="4" t="str">
        <f t="shared" si="269"/>
        <v/>
      </c>
      <c r="K330" s="25" t="str">
        <f t="shared" ca="1" si="270"/>
        <v/>
      </c>
      <c r="L330" s="21" t="str">
        <f t="shared" ca="1" si="271"/>
        <v/>
      </c>
      <c r="M330" s="21" t="str">
        <f>IF(SUMIFS('Input Sheet'!$F$3:$F$1001,'Input Sheet'!$B$3:$B$1001,$H330,'Input Sheet'!$E$3:$E$1001,M$4)=0,"",SUMIFS('Input Sheet'!$F$3:$F$1001,'Input Sheet'!$B$3:$B$1001,$H330,'Input Sheet'!$E$3:$E$1001,M$4))</f>
        <v/>
      </c>
      <c r="N330" s="21" t="str">
        <f>IF(SUMIFS('Input Sheet'!$F$3:$F$1001,'Input Sheet'!$B$3:$B$1001,$H330,'Input Sheet'!$E$3:$E$1001,N$4)=0,"",SUMIFS('Input Sheet'!$F$3:$F$1001,'Input Sheet'!$B$3:$B$1001,$H330,'Input Sheet'!$E$3:$E$1001,N$4))</f>
        <v/>
      </c>
      <c r="O330" s="21" t="str">
        <f>IF(SUMIFS('Input Sheet'!$F$3:$F$1001,'Input Sheet'!$B$3:$B$1001,$H330,'Input Sheet'!$E$3:$E$1001,O$4)=0,"",SUMIFS('Input Sheet'!$F$3:$F$1001,'Input Sheet'!$B$3:$B$1001,$H330,'Input Sheet'!$E$3:$E$1001,O$4))</f>
        <v/>
      </c>
      <c r="P330" s="21" t="str">
        <f>IF(SUMIFS('Input Sheet'!$F$3:$F$1001,'Input Sheet'!$B$3:$B$1001,$H330,'Input Sheet'!$E$3:$E$1001,P$4)=0,"",SUMIFS('Input Sheet'!$F$3:$F$1001,'Input Sheet'!$B$3:$B$1001,$H330,'Input Sheet'!$E$3:$E$1001,P$4))</f>
        <v/>
      </c>
      <c r="Q330" s="21" t="str">
        <f>IF(SUMIFS('Input Sheet'!$F$3:$F$1001,'Input Sheet'!$B$3:$B$1001,$H330,'Input Sheet'!$E$3:$E$1001,Q$4)=0,"",SUMIFS('Input Sheet'!$F$3:$F$1001,'Input Sheet'!$B$3:$B$1001,$H330,'Input Sheet'!$E$3:$E$1001,Q$4))</f>
        <v/>
      </c>
      <c r="R330" s="21" t="str">
        <f>IF(SUMIFS('Input Sheet'!$F$3:$F$1001,'Input Sheet'!$B$3:$B$1001,$H330,'Input Sheet'!$E$3:$E$1001,R$4)=0,"",SUMIFS('Input Sheet'!$F$3:$F$1001,'Input Sheet'!$B$3:$B$1001,$H330,'Input Sheet'!$E$3:$E$1001,R$4))</f>
        <v/>
      </c>
      <c r="S330" s="21" t="str">
        <f>IF(SUMIFS('Input Sheet'!$F$3:$F$1001,'Input Sheet'!$B$3:$B$1001,$H330,'Input Sheet'!$E$3:$E$1001,S$4)=0,"",SUMIFS('Input Sheet'!$F$3:$F$1001,'Input Sheet'!$B$3:$B$1001,$H330,'Input Sheet'!$E$3:$E$1001,S$4))</f>
        <v/>
      </c>
      <c r="T330" s="22">
        <v>325</v>
      </c>
    </row>
    <row r="331" spans="1:20" ht="14.25" customHeight="1" x14ac:dyDescent="0.3">
      <c r="A331" s="4" t="str">
        <f>IF('Input Sheet'!B328=0,"",'Input Sheet'!B328)</f>
        <v/>
      </c>
      <c r="B331" s="24" t="b">
        <f t="shared" si="264"/>
        <v>0</v>
      </c>
      <c r="C331" s="4">
        <f>SUMIF('Input Sheet'!B$3:B$1000,A331,'Input Sheet'!C$3:C$1000)</f>
        <v>0</v>
      </c>
      <c r="D331" s="4">
        <f>SUMIF('Input Sheet'!B$3:B$1000,A331,'Input Sheet'!D$3:D$1000)</f>
        <v>0</v>
      </c>
      <c r="E331" s="4" t="str">
        <f t="shared" ref="E331:F331" ca="1" si="341">IFERROR(RANK(K331,K$6:K$1004,1),"")</f>
        <v/>
      </c>
      <c r="F331" s="4" t="str">
        <f t="shared" ca="1" si="341"/>
        <v/>
      </c>
      <c r="G331" s="4" t="str">
        <f t="shared" ca="1" si="266"/>
        <v/>
      </c>
      <c r="H331" s="4" t="str">
        <f t="shared" si="267"/>
        <v/>
      </c>
      <c r="I331" s="4" t="str">
        <f t="shared" si="268"/>
        <v/>
      </c>
      <c r="J331" s="4" t="str">
        <f t="shared" si="269"/>
        <v/>
      </c>
      <c r="K331" s="25" t="str">
        <f t="shared" ca="1" si="270"/>
        <v/>
      </c>
      <c r="L331" s="21" t="str">
        <f t="shared" ca="1" si="271"/>
        <v/>
      </c>
      <c r="M331" s="21" t="str">
        <f>IF(SUMIFS('Input Sheet'!$F$3:$F$1001,'Input Sheet'!$B$3:$B$1001,$H331,'Input Sheet'!$E$3:$E$1001,M$4)=0,"",SUMIFS('Input Sheet'!$F$3:$F$1001,'Input Sheet'!$B$3:$B$1001,$H331,'Input Sheet'!$E$3:$E$1001,M$4))</f>
        <v/>
      </c>
      <c r="N331" s="21" t="str">
        <f>IF(SUMIFS('Input Sheet'!$F$3:$F$1001,'Input Sheet'!$B$3:$B$1001,$H331,'Input Sheet'!$E$3:$E$1001,N$4)=0,"",SUMIFS('Input Sheet'!$F$3:$F$1001,'Input Sheet'!$B$3:$B$1001,$H331,'Input Sheet'!$E$3:$E$1001,N$4))</f>
        <v/>
      </c>
      <c r="O331" s="21" t="str">
        <f>IF(SUMIFS('Input Sheet'!$F$3:$F$1001,'Input Sheet'!$B$3:$B$1001,$H331,'Input Sheet'!$E$3:$E$1001,O$4)=0,"",SUMIFS('Input Sheet'!$F$3:$F$1001,'Input Sheet'!$B$3:$B$1001,$H331,'Input Sheet'!$E$3:$E$1001,O$4))</f>
        <v/>
      </c>
      <c r="P331" s="21" t="str">
        <f>IF(SUMIFS('Input Sheet'!$F$3:$F$1001,'Input Sheet'!$B$3:$B$1001,$H331,'Input Sheet'!$E$3:$E$1001,P$4)=0,"",SUMIFS('Input Sheet'!$F$3:$F$1001,'Input Sheet'!$B$3:$B$1001,$H331,'Input Sheet'!$E$3:$E$1001,P$4))</f>
        <v/>
      </c>
      <c r="Q331" s="21" t="str">
        <f>IF(SUMIFS('Input Sheet'!$F$3:$F$1001,'Input Sheet'!$B$3:$B$1001,$H331,'Input Sheet'!$E$3:$E$1001,Q$4)=0,"",SUMIFS('Input Sheet'!$F$3:$F$1001,'Input Sheet'!$B$3:$B$1001,$H331,'Input Sheet'!$E$3:$E$1001,Q$4))</f>
        <v/>
      </c>
      <c r="R331" s="21" t="str">
        <f>IF(SUMIFS('Input Sheet'!$F$3:$F$1001,'Input Sheet'!$B$3:$B$1001,$H331,'Input Sheet'!$E$3:$E$1001,R$4)=0,"",SUMIFS('Input Sheet'!$F$3:$F$1001,'Input Sheet'!$B$3:$B$1001,$H331,'Input Sheet'!$E$3:$E$1001,R$4))</f>
        <v/>
      </c>
      <c r="S331" s="21" t="str">
        <f>IF(SUMIFS('Input Sheet'!$F$3:$F$1001,'Input Sheet'!$B$3:$B$1001,$H331,'Input Sheet'!$E$3:$E$1001,S$4)=0,"",SUMIFS('Input Sheet'!$F$3:$F$1001,'Input Sheet'!$B$3:$B$1001,$H331,'Input Sheet'!$E$3:$E$1001,S$4))</f>
        <v/>
      </c>
      <c r="T331" s="22">
        <v>326</v>
      </c>
    </row>
    <row r="332" spans="1:20" ht="14.25" customHeight="1" x14ac:dyDescent="0.3">
      <c r="A332" s="4" t="str">
        <f>IF('Input Sheet'!B329=0,"",'Input Sheet'!B329)</f>
        <v/>
      </c>
      <c r="B332" s="24" t="b">
        <f t="shared" si="264"/>
        <v>0</v>
      </c>
      <c r="C332" s="4">
        <f>SUMIF('Input Sheet'!B$3:B$1000,A332,'Input Sheet'!C$3:C$1000)</f>
        <v>0</v>
      </c>
      <c r="D332" s="4">
        <f>SUMIF('Input Sheet'!B$3:B$1000,A332,'Input Sheet'!D$3:D$1000)</f>
        <v>0</v>
      </c>
      <c r="E332" s="4" t="str">
        <f t="shared" ref="E332:F332" ca="1" si="342">IFERROR(RANK(K332,K$6:K$1004,1),"")</f>
        <v/>
      </c>
      <c r="F332" s="4" t="str">
        <f t="shared" ca="1" si="342"/>
        <v/>
      </c>
      <c r="G332" s="4" t="str">
        <f t="shared" ca="1" si="266"/>
        <v/>
      </c>
      <c r="H332" s="4" t="str">
        <f t="shared" si="267"/>
        <v/>
      </c>
      <c r="I332" s="4" t="str">
        <f t="shared" si="268"/>
        <v/>
      </c>
      <c r="J332" s="4" t="str">
        <f t="shared" si="269"/>
        <v/>
      </c>
      <c r="K332" s="25" t="str">
        <f t="shared" ca="1" si="270"/>
        <v/>
      </c>
      <c r="L332" s="21" t="str">
        <f t="shared" ca="1" si="271"/>
        <v/>
      </c>
      <c r="M332" s="21" t="str">
        <f>IF(SUMIFS('Input Sheet'!$F$3:$F$1001,'Input Sheet'!$B$3:$B$1001,$H332,'Input Sheet'!$E$3:$E$1001,M$4)=0,"",SUMIFS('Input Sheet'!$F$3:$F$1001,'Input Sheet'!$B$3:$B$1001,$H332,'Input Sheet'!$E$3:$E$1001,M$4))</f>
        <v/>
      </c>
      <c r="N332" s="21" t="str">
        <f>IF(SUMIFS('Input Sheet'!$F$3:$F$1001,'Input Sheet'!$B$3:$B$1001,$H332,'Input Sheet'!$E$3:$E$1001,N$4)=0,"",SUMIFS('Input Sheet'!$F$3:$F$1001,'Input Sheet'!$B$3:$B$1001,$H332,'Input Sheet'!$E$3:$E$1001,N$4))</f>
        <v/>
      </c>
      <c r="O332" s="21" t="str">
        <f>IF(SUMIFS('Input Sheet'!$F$3:$F$1001,'Input Sheet'!$B$3:$B$1001,$H332,'Input Sheet'!$E$3:$E$1001,O$4)=0,"",SUMIFS('Input Sheet'!$F$3:$F$1001,'Input Sheet'!$B$3:$B$1001,$H332,'Input Sheet'!$E$3:$E$1001,O$4))</f>
        <v/>
      </c>
      <c r="P332" s="21" t="str">
        <f>IF(SUMIFS('Input Sheet'!$F$3:$F$1001,'Input Sheet'!$B$3:$B$1001,$H332,'Input Sheet'!$E$3:$E$1001,P$4)=0,"",SUMIFS('Input Sheet'!$F$3:$F$1001,'Input Sheet'!$B$3:$B$1001,$H332,'Input Sheet'!$E$3:$E$1001,P$4))</f>
        <v/>
      </c>
      <c r="Q332" s="21" t="str">
        <f>IF(SUMIFS('Input Sheet'!$F$3:$F$1001,'Input Sheet'!$B$3:$B$1001,$H332,'Input Sheet'!$E$3:$E$1001,Q$4)=0,"",SUMIFS('Input Sheet'!$F$3:$F$1001,'Input Sheet'!$B$3:$B$1001,$H332,'Input Sheet'!$E$3:$E$1001,Q$4))</f>
        <v/>
      </c>
      <c r="R332" s="21" t="str">
        <f>IF(SUMIFS('Input Sheet'!$F$3:$F$1001,'Input Sheet'!$B$3:$B$1001,$H332,'Input Sheet'!$E$3:$E$1001,R$4)=0,"",SUMIFS('Input Sheet'!$F$3:$F$1001,'Input Sheet'!$B$3:$B$1001,$H332,'Input Sheet'!$E$3:$E$1001,R$4))</f>
        <v/>
      </c>
      <c r="S332" s="21" t="str">
        <f>IF(SUMIFS('Input Sheet'!$F$3:$F$1001,'Input Sheet'!$B$3:$B$1001,$H332,'Input Sheet'!$E$3:$E$1001,S$4)=0,"",SUMIFS('Input Sheet'!$F$3:$F$1001,'Input Sheet'!$B$3:$B$1001,$H332,'Input Sheet'!$E$3:$E$1001,S$4))</f>
        <v/>
      </c>
      <c r="T332" s="22">
        <v>327</v>
      </c>
    </row>
    <row r="333" spans="1:20" ht="14.25" customHeight="1" x14ac:dyDescent="0.3">
      <c r="A333" s="4" t="str">
        <f>IF('Input Sheet'!B330=0,"",'Input Sheet'!B330)</f>
        <v/>
      </c>
      <c r="B333" s="24" t="b">
        <f t="shared" si="264"/>
        <v>0</v>
      </c>
      <c r="C333" s="4">
        <f>SUMIF('Input Sheet'!B$3:B$1000,A333,'Input Sheet'!C$3:C$1000)</f>
        <v>0</v>
      </c>
      <c r="D333" s="4">
        <f>SUMIF('Input Sheet'!B$3:B$1000,A333,'Input Sheet'!D$3:D$1000)</f>
        <v>0</v>
      </c>
      <c r="E333" s="4" t="str">
        <f t="shared" ref="E333:F333" ca="1" si="343">IFERROR(RANK(K333,K$6:K$1004,1),"")</f>
        <v/>
      </c>
      <c r="F333" s="4" t="str">
        <f t="shared" ca="1" si="343"/>
        <v/>
      </c>
      <c r="G333" s="4" t="str">
        <f t="shared" ca="1" si="266"/>
        <v/>
      </c>
      <c r="H333" s="4" t="str">
        <f t="shared" si="267"/>
        <v/>
      </c>
      <c r="I333" s="4" t="str">
        <f t="shared" si="268"/>
        <v/>
      </c>
      <c r="J333" s="4" t="str">
        <f t="shared" si="269"/>
        <v/>
      </c>
      <c r="K333" s="25" t="str">
        <f t="shared" ca="1" si="270"/>
        <v/>
      </c>
      <c r="L333" s="21" t="str">
        <f t="shared" ca="1" si="271"/>
        <v/>
      </c>
      <c r="M333" s="21" t="str">
        <f>IF(SUMIFS('Input Sheet'!$F$3:$F$1001,'Input Sheet'!$B$3:$B$1001,$H333,'Input Sheet'!$E$3:$E$1001,M$4)=0,"",SUMIFS('Input Sheet'!$F$3:$F$1001,'Input Sheet'!$B$3:$B$1001,$H333,'Input Sheet'!$E$3:$E$1001,M$4))</f>
        <v/>
      </c>
      <c r="N333" s="21" t="str">
        <f>IF(SUMIFS('Input Sheet'!$F$3:$F$1001,'Input Sheet'!$B$3:$B$1001,$H333,'Input Sheet'!$E$3:$E$1001,N$4)=0,"",SUMIFS('Input Sheet'!$F$3:$F$1001,'Input Sheet'!$B$3:$B$1001,$H333,'Input Sheet'!$E$3:$E$1001,N$4))</f>
        <v/>
      </c>
      <c r="O333" s="21" t="str">
        <f>IF(SUMIFS('Input Sheet'!$F$3:$F$1001,'Input Sheet'!$B$3:$B$1001,$H333,'Input Sheet'!$E$3:$E$1001,O$4)=0,"",SUMIFS('Input Sheet'!$F$3:$F$1001,'Input Sheet'!$B$3:$B$1001,$H333,'Input Sheet'!$E$3:$E$1001,O$4))</f>
        <v/>
      </c>
      <c r="P333" s="21" t="str">
        <f>IF(SUMIFS('Input Sheet'!$F$3:$F$1001,'Input Sheet'!$B$3:$B$1001,$H333,'Input Sheet'!$E$3:$E$1001,P$4)=0,"",SUMIFS('Input Sheet'!$F$3:$F$1001,'Input Sheet'!$B$3:$B$1001,$H333,'Input Sheet'!$E$3:$E$1001,P$4))</f>
        <v/>
      </c>
      <c r="Q333" s="21" t="str">
        <f>IF(SUMIFS('Input Sheet'!$F$3:$F$1001,'Input Sheet'!$B$3:$B$1001,$H333,'Input Sheet'!$E$3:$E$1001,Q$4)=0,"",SUMIFS('Input Sheet'!$F$3:$F$1001,'Input Sheet'!$B$3:$B$1001,$H333,'Input Sheet'!$E$3:$E$1001,Q$4))</f>
        <v/>
      </c>
      <c r="R333" s="21" t="str">
        <f>IF(SUMIFS('Input Sheet'!$F$3:$F$1001,'Input Sheet'!$B$3:$B$1001,$H333,'Input Sheet'!$E$3:$E$1001,R$4)=0,"",SUMIFS('Input Sheet'!$F$3:$F$1001,'Input Sheet'!$B$3:$B$1001,$H333,'Input Sheet'!$E$3:$E$1001,R$4))</f>
        <v/>
      </c>
      <c r="S333" s="21" t="str">
        <f>IF(SUMIFS('Input Sheet'!$F$3:$F$1001,'Input Sheet'!$B$3:$B$1001,$H333,'Input Sheet'!$E$3:$E$1001,S$4)=0,"",SUMIFS('Input Sheet'!$F$3:$F$1001,'Input Sheet'!$B$3:$B$1001,$H333,'Input Sheet'!$E$3:$E$1001,S$4))</f>
        <v/>
      </c>
      <c r="T333" s="22">
        <v>328</v>
      </c>
    </row>
    <row r="334" spans="1:20" ht="14.25" customHeight="1" x14ac:dyDescent="0.3">
      <c r="A334" s="4" t="str">
        <f>IF('Input Sheet'!B331=0,"",'Input Sheet'!B331)</f>
        <v/>
      </c>
      <c r="B334" s="24" t="b">
        <f t="shared" si="264"/>
        <v>0</v>
      </c>
      <c r="C334" s="4">
        <f>SUMIF('Input Sheet'!B$3:B$1000,A334,'Input Sheet'!C$3:C$1000)</f>
        <v>0</v>
      </c>
      <c r="D334" s="4">
        <f>SUMIF('Input Sheet'!B$3:B$1000,A334,'Input Sheet'!D$3:D$1000)</f>
        <v>0</v>
      </c>
      <c r="E334" s="4" t="str">
        <f t="shared" ref="E334:F334" ca="1" si="344">IFERROR(RANK(K334,K$6:K$1004,1),"")</f>
        <v/>
      </c>
      <c r="F334" s="4" t="str">
        <f t="shared" ca="1" si="344"/>
        <v/>
      </c>
      <c r="G334" s="4" t="str">
        <f t="shared" ca="1" si="266"/>
        <v/>
      </c>
      <c r="H334" s="4" t="str">
        <f t="shared" si="267"/>
        <v/>
      </c>
      <c r="I334" s="4" t="str">
        <f t="shared" si="268"/>
        <v/>
      </c>
      <c r="J334" s="4" t="str">
        <f t="shared" si="269"/>
        <v/>
      </c>
      <c r="K334" s="25" t="str">
        <f t="shared" ca="1" si="270"/>
        <v/>
      </c>
      <c r="L334" s="21" t="str">
        <f t="shared" ca="1" si="271"/>
        <v/>
      </c>
      <c r="M334" s="21" t="str">
        <f>IF(SUMIFS('Input Sheet'!$F$3:$F$1001,'Input Sheet'!$B$3:$B$1001,$H334,'Input Sheet'!$E$3:$E$1001,M$4)=0,"",SUMIFS('Input Sheet'!$F$3:$F$1001,'Input Sheet'!$B$3:$B$1001,$H334,'Input Sheet'!$E$3:$E$1001,M$4))</f>
        <v/>
      </c>
      <c r="N334" s="21" t="str">
        <f>IF(SUMIFS('Input Sheet'!$F$3:$F$1001,'Input Sheet'!$B$3:$B$1001,$H334,'Input Sheet'!$E$3:$E$1001,N$4)=0,"",SUMIFS('Input Sheet'!$F$3:$F$1001,'Input Sheet'!$B$3:$B$1001,$H334,'Input Sheet'!$E$3:$E$1001,N$4))</f>
        <v/>
      </c>
      <c r="O334" s="21" t="str">
        <f>IF(SUMIFS('Input Sheet'!$F$3:$F$1001,'Input Sheet'!$B$3:$B$1001,$H334,'Input Sheet'!$E$3:$E$1001,O$4)=0,"",SUMIFS('Input Sheet'!$F$3:$F$1001,'Input Sheet'!$B$3:$B$1001,$H334,'Input Sheet'!$E$3:$E$1001,O$4))</f>
        <v/>
      </c>
      <c r="P334" s="21" t="str">
        <f>IF(SUMIFS('Input Sheet'!$F$3:$F$1001,'Input Sheet'!$B$3:$B$1001,$H334,'Input Sheet'!$E$3:$E$1001,P$4)=0,"",SUMIFS('Input Sheet'!$F$3:$F$1001,'Input Sheet'!$B$3:$B$1001,$H334,'Input Sheet'!$E$3:$E$1001,P$4))</f>
        <v/>
      </c>
      <c r="Q334" s="21" t="str">
        <f>IF(SUMIFS('Input Sheet'!$F$3:$F$1001,'Input Sheet'!$B$3:$B$1001,$H334,'Input Sheet'!$E$3:$E$1001,Q$4)=0,"",SUMIFS('Input Sheet'!$F$3:$F$1001,'Input Sheet'!$B$3:$B$1001,$H334,'Input Sheet'!$E$3:$E$1001,Q$4))</f>
        <v/>
      </c>
      <c r="R334" s="21" t="str">
        <f>IF(SUMIFS('Input Sheet'!$F$3:$F$1001,'Input Sheet'!$B$3:$B$1001,$H334,'Input Sheet'!$E$3:$E$1001,R$4)=0,"",SUMIFS('Input Sheet'!$F$3:$F$1001,'Input Sheet'!$B$3:$B$1001,$H334,'Input Sheet'!$E$3:$E$1001,R$4))</f>
        <v/>
      </c>
      <c r="S334" s="21" t="str">
        <f>IF(SUMIFS('Input Sheet'!$F$3:$F$1001,'Input Sheet'!$B$3:$B$1001,$H334,'Input Sheet'!$E$3:$E$1001,S$4)=0,"",SUMIFS('Input Sheet'!$F$3:$F$1001,'Input Sheet'!$B$3:$B$1001,$H334,'Input Sheet'!$E$3:$E$1001,S$4))</f>
        <v/>
      </c>
      <c r="T334" s="22">
        <v>329</v>
      </c>
    </row>
    <row r="335" spans="1:20" ht="14.25" customHeight="1" x14ac:dyDescent="0.3">
      <c r="A335" s="4" t="str">
        <f>IF('Input Sheet'!B332=0,"",'Input Sheet'!B332)</f>
        <v/>
      </c>
      <c r="B335" s="24" t="b">
        <f t="shared" si="264"/>
        <v>0</v>
      </c>
      <c r="C335" s="4">
        <f>SUMIF('Input Sheet'!B$3:B$1000,A335,'Input Sheet'!C$3:C$1000)</f>
        <v>0</v>
      </c>
      <c r="D335" s="4">
        <f>SUMIF('Input Sheet'!B$3:B$1000,A335,'Input Sheet'!D$3:D$1000)</f>
        <v>0</v>
      </c>
      <c r="E335" s="4" t="str">
        <f t="shared" ref="E335:F335" ca="1" si="345">IFERROR(RANK(K335,K$6:K$1004,1),"")</f>
        <v/>
      </c>
      <c r="F335" s="4" t="str">
        <f t="shared" ca="1" si="345"/>
        <v/>
      </c>
      <c r="G335" s="4" t="str">
        <f t="shared" ca="1" si="266"/>
        <v/>
      </c>
      <c r="H335" s="4" t="str">
        <f t="shared" si="267"/>
        <v/>
      </c>
      <c r="I335" s="4" t="str">
        <f t="shared" si="268"/>
        <v/>
      </c>
      <c r="J335" s="4" t="str">
        <f t="shared" si="269"/>
        <v/>
      </c>
      <c r="K335" s="25" t="str">
        <f t="shared" ca="1" si="270"/>
        <v/>
      </c>
      <c r="L335" s="21" t="str">
        <f t="shared" ca="1" si="271"/>
        <v/>
      </c>
      <c r="M335" s="21" t="str">
        <f>IF(SUMIFS('Input Sheet'!$F$3:$F$1001,'Input Sheet'!$B$3:$B$1001,$H335,'Input Sheet'!$E$3:$E$1001,M$4)=0,"",SUMIFS('Input Sheet'!$F$3:$F$1001,'Input Sheet'!$B$3:$B$1001,$H335,'Input Sheet'!$E$3:$E$1001,M$4))</f>
        <v/>
      </c>
      <c r="N335" s="21" t="str">
        <f>IF(SUMIFS('Input Sheet'!$F$3:$F$1001,'Input Sheet'!$B$3:$B$1001,$H335,'Input Sheet'!$E$3:$E$1001,N$4)=0,"",SUMIFS('Input Sheet'!$F$3:$F$1001,'Input Sheet'!$B$3:$B$1001,$H335,'Input Sheet'!$E$3:$E$1001,N$4))</f>
        <v/>
      </c>
      <c r="O335" s="21" t="str">
        <f>IF(SUMIFS('Input Sheet'!$F$3:$F$1001,'Input Sheet'!$B$3:$B$1001,$H335,'Input Sheet'!$E$3:$E$1001,O$4)=0,"",SUMIFS('Input Sheet'!$F$3:$F$1001,'Input Sheet'!$B$3:$B$1001,$H335,'Input Sheet'!$E$3:$E$1001,O$4))</f>
        <v/>
      </c>
      <c r="P335" s="21" t="str">
        <f>IF(SUMIFS('Input Sheet'!$F$3:$F$1001,'Input Sheet'!$B$3:$B$1001,$H335,'Input Sheet'!$E$3:$E$1001,P$4)=0,"",SUMIFS('Input Sheet'!$F$3:$F$1001,'Input Sheet'!$B$3:$B$1001,$H335,'Input Sheet'!$E$3:$E$1001,P$4))</f>
        <v/>
      </c>
      <c r="Q335" s="21" t="str">
        <f>IF(SUMIFS('Input Sheet'!$F$3:$F$1001,'Input Sheet'!$B$3:$B$1001,$H335,'Input Sheet'!$E$3:$E$1001,Q$4)=0,"",SUMIFS('Input Sheet'!$F$3:$F$1001,'Input Sheet'!$B$3:$B$1001,$H335,'Input Sheet'!$E$3:$E$1001,Q$4))</f>
        <v/>
      </c>
      <c r="R335" s="21" t="str">
        <f>IF(SUMIFS('Input Sheet'!$F$3:$F$1001,'Input Sheet'!$B$3:$B$1001,$H335,'Input Sheet'!$E$3:$E$1001,R$4)=0,"",SUMIFS('Input Sheet'!$F$3:$F$1001,'Input Sheet'!$B$3:$B$1001,$H335,'Input Sheet'!$E$3:$E$1001,R$4))</f>
        <v/>
      </c>
      <c r="S335" s="21" t="str">
        <f>IF(SUMIFS('Input Sheet'!$F$3:$F$1001,'Input Sheet'!$B$3:$B$1001,$H335,'Input Sheet'!$E$3:$E$1001,S$4)=0,"",SUMIFS('Input Sheet'!$F$3:$F$1001,'Input Sheet'!$B$3:$B$1001,$H335,'Input Sheet'!$E$3:$E$1001,S$4))</f>
        <v/>
      </c>
      <c r="T335" s="22">
        <v>330</v>
      </c>
    </row>
    <row r="336" spans="1:20" ht="14.25" customHeight="1" x14ac:dyDescent="0.3">
      <c r="A336" s="4" t="str">
        <f>IF('Input Sheet'!B333=0,"",'Input Sheet'!B333)</f>
        <v/>
      </c>
      <c r="B336" s="24" t="b">
        <f t="shared" si="264"/>
        <v>0</v>
      </c>
      <c r="C336" s="4">
        <f>SUMIF('Input Sheet'!B$3:B$1000,A336,'Input Sheet'!C$3:C$1000)</f>
        <v>0</v>
      </c>
      <c r="D336" s="4">
        <f>SUMIF('Input Sheet'!B$3:B$1000,A336,'Input Sheet'!D$3:D$1000)</f>
        <v>0</v>
      </c>
      <c r="E336" s="4" t="str">
        <f t="shared" ref="E336:F336" ca="1" si="346">IFERROR(RANK(K336,K$6:K$1004,1),"")</f>
        <v/>
      </c>
      <c r="F336" s="4" t="str">
        <f t="shared" ca="1" si="346"/>
        <v/>
      </c>
      <c r="G336" s="4" t="str">
        <f t="shared" ca="1" si="266"/>
        <v/>
      </c>
      <c r="H336" s="4" t="str">
        <f t="shared" si="267"/>
        <v/>
      </c>
      <c r="I336" s="4" t="str">
        <f t="shared" si="268"/>
        <v/>
      </c>
      <c r="J336" s="4" t="str">
        <f t="shared" si="269"/>
        <v/>
      </c>
      <c r="K336" s="25" t="str">
        <f t="shared" ca="1" si="270"/>
        <v/>
      </c>
      <c r="L336" s="21" t="str">
        <f t="shared" ca="1" si="271"/>
        <v/>
      </c>
      <c r="M336" s="21" t="str">
        <f>IF(SUMIFS('Input Sheet'!$F$3:$F$1001,'Input Sheet'!$B$3:$B$1001,$H336,'Input Sheet'!$E$3:$E$1001,M$4)=0,"",SUMIFS('Input Sheet'!$F$3:$F$1001,'Input Sheet'!$B$3:$B$1001,$H336,'Input Sheet'!$E$3:$E$1001,M$4))</f>
        <v/>
      </c>
      <c r="N336" s="21" t="str">
        <f>IF(SUMIFS('Input Sheet'!$F$3:$F$1001,'Input Sheet'!$B$3:$B$1001,$H336,'Input Sheet'!$E$3:$E$1001,N$4)=0,"",SUMIFS('Input Sheet'!$F$3:$F$1001,'Input Sheet'!$B$3:$B$1001,$H336,'Input Sheet'!$E$3:$E$1001,N$4))</f>
        <v/>
      </c>
      <c r="O336" s="21" t="str">
        <f>IF(SUMIFS('Input Sheet'!$F$3:$F$1001,'Input Sheet'!$B$3:$B$1001,$H336,'Input Sheet'!$E$3:$E$1001,O$4)=0,"",SUMIFS('Input Sheet'!$F$3:$F$1001,'Input Sheet'!$B$3:$B$1001,$H336,'Input Sheet'!$E$3:$E$1001,O$4))</f>
        <v/>
      </c>
      <c r="P336" s="21" t="str">
        <f>IF(SUMIFS('Input Sheet'!$F$3:$F$1001,'Input Sheet'!$B$3:$B$1001,$H336,'Input Sheet'!$E$3:$E$1001,P$4)=0,"",SUMIFS('Input Sheet'!$F$3:$F$1001,'Input Sheet'!$B$3:$B$1001,$H336,'Input Sheet'!$E$3:$E$1001,P$4))</f>
        <v/>
      </c>
      <c r="Q336" s="21" t="str">
        <f>IF(SUMIFS('Input Sheet'!$F$3:$F$1001,'Input Sheet'!$B$3:$B$1001,$H336,'Input Sheet'!$E$3:$E$1001,Q$4)=0,"",SUMIFS('Input Sheet'!$F$3:$F$1001,'Input Sheet'!$B$3:$B$1001,$H336,'Input Sheet'!$E$3:$E$1001,Q$4))</f>
        <v/>
      </c>
      <c r="R336" s="21" t="str">
        <f>IF(SUMIFS('Input Sheet'!$F$3:$F$1001,'Input Sheet'!$B$3:$B$1001,$H336,'Input Sheet'!$E$3:$E$1001,R$4)=0,"",SUMIFS('Input Sheet'!$F$3:$F$1001,'Input Sheet'!$B$3:$B$1001,$H336,'Input Sheet'!$E$3:$E$1001,R$4))</f>
        <v/>
      </c>
      <c r="S336" s="21" t="str">
        <f>IF(SUMIFS('Input Sheet'!$F$3:$F$1001,'Input Sheet'!$B$3:$B$1001,$H336,'Input Sheet'!$E$3:$E$1001,S$4)=0,"",SUMIFS('Input Sheet'!$F$3:$F$1001,'Input Sheet'!$B$3:$B$1001,$H336,'Input Sheet'!$E$3:$E$1001,S$4))</f>
        <v/>
      </c>
      <c r="T336" s="22">
        <v>331</v>
      </c>
    </row>
    <row r="337" spans="1:20" ht="14.25" customHeight="1" x14ac:dyDescent="0.3">
      <c r="A337" s="4" t="str">
        <f>IF('Input Sheet'!B334=0,"",'Input Sheet'!B334)</f>
        <v/>
      </c>
      <c r="B337" s="24" t="b">
        <f t="shared" si="264"/>
        <v>0</v>
      </c>
      <c r="C337" s="4">
        <f>SUMIF('Input Sheet'!B$3:B$1000,A337,'Input Sheet'!C$3:C$1000)</f>
        <v>0</v>
      </c>
      <c r="D337" s="4">
        <f>SUMIF('Input Sheet'!B$3:B$1000,A337,'Input Sheet'!D$3:D$1000)</f>
        <v>0</v>
      </c>
      <c r="E337" s="4" t="str">
        <f t="shared" ref="E337:F337" ca="1" si="347">IFERROR(RANK(K337,K$6:K$1004,1),"")</f>
        <v/>
      </c>
      <c r="F337" s="4" t="str">
        <f t="shared" ca="1" si="347"/>
        <v/>
      </c>
      <c r="G337" s="4" t="str">
        <f t="shared" ca="1" si="266"/>
        <v/>
      </c>
      <c r="H337" s="4" t="str">
        <f t="shared" si="267"/>
        <v/>
      </c>
      <c r="I337" s="4" t="str">
        <f t="shared" si="268"/>
        <v/>
      </c>
      <c r="J337" s="4" t="str">
        <f t="shared" si="269"/>
        <v/>
      </c>
      <c r="K337" s="25" t="str">
        <f t="shared" ca="1" si="270"/>
        <v/>
      </c>
      <c r="L337" s="21" t="str">
        <f t="shared" ca="1" si="271"/>
        <v/>
      </c>
      <c r="M337" s="21" t="str">
        <f>IF(SUMIFS('Input Sheet'!$F$3:$F$1001,'Input Sheet'!$B$3:$B$1001,$H337,'Input Sheet'!$E$3:$E$1001,M$4)=0,"",SUMIFS('Input Sheet'!$F$3:$F$1001,'Input Sheet'!$B$3:$B$1001,$H337,'Input Sheet'!$E$3:$E$1001,M$4))</f>
        <v/>
      </c>
      <c r="N337" s="21" t="str">
        <f>IF(SUMIFS('Input Sheet'!$F$3:$F$1001,'Input Sheet'!$B$3:$B$1001,$H337,'Input Sheet'!$E$3:$E$1001,N$4)=0,"",SUMIFS('Input Sheet'!$F$3:$F$1001,'Input Sheet'!$B$3:$B$1001,$H337,'Input Sheet'!$E$3:$E$1001,N$4))</f>
        <v/>
      </c>
      <c r="O337" s="21" t="str">
        <f>IF(SUMIFS('Input Sheet'!$F$3:$F$1001,'Input Sheet'!$B$3:$B$1001,$H337,'Input Sheet'!$E$3:$E$1001,O$4)=0,"",SUMIFS('Input Sheet'!$F$3:$F$1001,'Input Sheet'!$B$3:$B$1001,$H337,'Input Sheet'!$E$3:$E$1001,O$4))</f>
        <v/>
      </c>
      <c r="P337" s="21" t="str">
        <f>IF(SUMIFS('Input Sheet'!$F$3:$F$1001,'Input Sheet'!$B$3:$B$1001,$H337,'Input Sheet'!$E$3:$E$1001,P$4)=0,"",SUMIFS('Input Sheet'!$F$3:$F$1001,'Input Sheet'!$B$3:$B$1001,$H337,'Input Sheet'!$E$3:$E$1001,P$4))</f>
        <v/>
      </c>
      <c r="Q337" s="21" t="str">
        <f>IF(SUMIFS('Input Sheet'!$F$3:$F$1001,'Input Sheet'!$B$3:$B$1001,$H337,'Input Sheet'!$E$3:$E$1001,Q$4)=0,"",SUMIFS('Input Sheet'!$F$3:$F$1001,'Input Sheet'!$B$3:$B$1001,$H337,'Input Sheet'!$E$3:$E$1001,Q$4))</f>
        <v/>
      </c>
      <c r="R337" s="21" t="str">
        <f>IF(SUMIFS('Input Sheet'!$F$3:$F$1001,'Input Sheet'!$B$3:$B$1001,$H337,'Input Sheet'!$E$3:$E$1001,R$4)=0,"",SUMIFS('Input Sheet'!$F$3:$F$1001,'Input Sheet'!$B$3:$B$1001,$H337,'Input Sheet'!$E$3:$E$1001,R$4))</f>
        <v/>
      </c>
      <c r="S337" s="21" t="str">
        <f>IF(SUMIFS('Input Sheet'!$F$3:$F$1001,'Input Sheet'!$B$3:$B$1001,$H337,'Input Sheet'!$E$3:$E$1001,S$4)=0,"",SUMIFS('Input Sheet'!$F$3:$F$1001,'Input Sheet'!$B$3:$B$1001,$H337,'Input Sheet'!$E$3:$E$1001,S$4))</f>
        <v/>
      </c>
      <c r="T337" s="22">
        <v>332</v>
      </c>
    </row>
    <row r="338" spans="1:20" ht="14.25" customHeight="1" x14ac:dyDescent="0.3">
      <c r="A338" s="4" t="str">
        <f>IF('Input Sheet'!B335=0,"",'Input Sheet'!B335)</f>
        <v/>
      </c>
      <c r="B338" s="24" t="b">
        <f t="shared" si="264"/>
        <v>0</v>
      </c>
      <c r="C338" s="4">
        <f>SUMIF('Input Sheet'!B$3:B$1000,A338,'Input Sheet'!C$3:C$1000)</f>
        <v>0</v>
      </c>
      <c r="D338" s="4">
        <f>SUMIF('Input Sheet'!B$3:B$1000,A338,'Input Sheet'!D$3:D$1000)</f>
        <v>0</v>
      </c>
      <c r="E338" s="4" t="str">
        <f t="shared" ref="E338:F338" ca="1" si="348">IFERROR(RANK(K338,K$6:K$1004,1),"")</f>
        <v/>
      </c>
      <c r="F338" s="4" t="str">
        <f t="shared" ca="1" si="348"/>
        <v/>
      </c>
      <c r="G338" s="4" t="str">
        <f t="shared" ca="1" si="266"/>
        <v/>
      </c>
      <c r="H338" s="4" t="str">
        <f t="shared" si="267"/>
        <v/>
      </c>
      <c r="I338" s="4" t="str">
        <f t="shared" si="268"/>
        <v/>
      </c>
      <c r="J338" s="4" t="str">
        <f t="shared" si="269"/>
        <v/>
      </c>
      <c r="K338" s="25" t="str">
        <f t="shared" ca="1" si="270"/>
        <v/>
      </c>
      <c r="L338" s="21" t="str">
        <f t="shared" ca="1" si="271"/>
        <v/>
      </c>
      <c r="M338" s="21" t="str">
        <f>IF(SUMIFS('Input Sheet'!$F$3:$F$1001,'Input Sheet'!$B$3:$B$1001,$H338,'Input Sheet'!$E$3:$E$1001,M$4)=0,"",SUMIFS('Input Sheet'!$F$3:$F$1001,'Input Sheet'!$B$3:$B$1001,$H338,'Input Sheet'!$E$3:$E$1001,M$4))</f>
        <v/>
      </c>
      <c r="N338" s="21" t="str">
        <f>IF(SUMIFS('Input Sheet'!$F$3:$F$1001,'Input Sheet'!$B$3:$B$1001,$H338,'Input Sheet'!$E$3:$E$1001,N$4)=0,"",SUMIFS('Input Sheet'!$F$3:$F$1001,'Input Sheet'!$B$3:$B$1001,$H338,'Input Sheet'!$E$3:$E$1001,N$4))</f>
        <v/>
      </c>
      <c r="O338" s="21" t="str">
        <f>IF(SUMIFS('Input Sheet'!$F$3:$F$1001,'Input Sheet'!$B$3:$B$1001,$H338,'Input Sheet'!$E$3:$E$1001,O$4)=0,"",SUMIFS('Input Sheet'!$F$3:$F$1001,'Input Sheet'!$B$3:$B$1001,$H338,'Input Sheet'!$E$3:$E$1001,O$4))</f>
        <v/>
      </c>
      <c r="P338" s="21" t="str">
        <f>IF(SUMIFS('Input Sheet'!$F$3:$F$1001,'Input Sheet'!$B$3:$B$1001,$H338,'Input Sheet'!$E$3:$E$1001,P$4)=0,"",SUMIFS('Input Sheet'!$F$3:$F$1001,'Input Sheet'!$B$3:$B$1001,$H338,'Input Sheet'!$E$3:$E$1001,P$4))</f>
        <v/>
      </c>
      <c r="Q338" s="21" t="str">
        <f>IF(SUMIFS('Input Sheet'!$F$3:$F$1001,'Input Sheet'!$B$3:$B$1001,$H338,'Input Sheet'!$E$3:$E$1001,Q$4)=0,"",SUMIFS('Input Sheet'!$F$3:$F$1001,'Input Sheet'!$B$3:$B$1001,$H338,'Input Sheet'!$E$3:$E$1001,Q$4))</f>
        <v/>
      </c>
      <c r="R338" s="21" t="str">
        <f>IF(SUMIFS('Input Sheet'!$F$3:$F$1001,'Input Sheet'!$B$3:$B$1001,$H338,'Input Sheet'!$E$3:$E$1001,R$4)=0,"",SUMIFS('Input Sheet'!$F$3:$F$1001,'Input Sheet'!$B$3:$B$1001,$H338,'Input Sheet'!$E$3:$E$1001,R$4))</f>
        <v/>
      </c>
      <c r="S338" s="21" t="str">
        <f>IF(SUMIFS('Input Sheet'!$F$3:$F$1001,'Input Sheet'!$B$3:$B$1001,$H338,'Input Sheet'!$E$3:$E$1001,S$4)=0,"",SUMIFS('Input Sheet'!$F$3:$F$1001,'Input Sheet'!$B$3:$B$1001,$H338,'Input Sheet'!$E$3:$E$1001,S$4))</f>
        <v/>
      </c>
      <c r="T338" s="22">
        <v>333</v>
      </c>
    </row>
    <row r="339" spans="1:20" ht="14.25" customHeight="1" x14ac:dyDescent="0.3">
      <c r="A339" s="4" t="str">
        <f>IF('Input Sheet'!B336=0,"",'Input Sheet'!B336)</f>
        <v/>
      </c>
      <c r="B339" s="24" t="b">
        <f t="shared" si="264"/>
        <v>0</v>
      </c>
      <c r="C339" s="4">
        <f>SUMIF('Input Sheet'!B$3:B$1000,A339,'Input Sheet'!C$3:C$1000)</f>
        <v>0</v>
      </c>
      <c r="D339" s="4">
        <f>SUMIF('Input Sheet'!B$3:B$1000,A339,'Input Sheet'!D$3:D$1000)</f>
        <v>0</v>
      </c>
      <c r="E339" s="4" t="str">
        <f t="shared" ref="E339:F339" ca="1" si="349">IFERROR(RANK(K339,K$6:K$1004,1),"")</f>
        <v/>
      </c>
      <c r="F339" s="4" t="str">
        <f t="shared" ca="1" si="349"/>
        <v/>
      </c>
      <c r="G339" s="4" t="str">
        <f t="shared" ca="1" si="266"/>
        <v/>
      </c>
      <c r="H339" s="4" t="str">
        <f t="shared" si="267"/>
        <v/>
      </c>
      <c r="I339" s="4" t="str">
        <f t="shared" si="268"/>
        <v/>
      </c>
      <c r="J339" s="4" t="str">
        <f t="shared" si="269"/>
        <v/>
      </c>
      <c r="K339" s="25" t="str">
        <f t="shared" ca="1" si="270"/>
        <v/>
      </c>
      <c r="L339" s="21" t="str">
        <f t="shared" ca="1" si="271"/>
        <v/>
      </c>
      <c r="M339" s="21" t="str">
        <f>IF(SUMIFS('Input Sheet'!$F$3:$F$1001,'Input Sheet'!$B$3:$B$1001,$H339,'Input Sheet'!$E$3:$E$1001,M$4)=0,"",SUMIFS('Input Sheet'!$F$3:$F$1001,'Input Sheet'!$B$3:$B$1001,$H339,'Input Sheet'!$E$3:$E$1001,M$4))</f>
        <v/>
      </c>
      <c r="N339" s="21" t="str">
        <f>IF(SUMIFS('Input Sheet'!$F$3:$F$1001,'Input Sheet'!$B$3:$B$1001,$H339,'Input Sheet'!$E$3:$E$1001,N$4)=0,"",SUMIFS('Input Sheet'!$F$3:$F$1001,'Input Sheet'!$B$3:$B$1001,$H339,'Input Sheet'!$E$3:$E$1001,N$4))</f>
        <v/>
      </c>
      <c r="O339" s="21" t="str">
        <f>IF(SUMIFS('Input Sheet'!$F$3:$F$1001,'Input Sheet'!$B$3:$B$1001,$H339,'Input Sheet'!$E$3:$E$1001,O$4)=0,"",SUMIFS('Input Sheet'!$F$3:$F$1001,'Input Sheet'!$B$3:$B$1001,$H339,'Input Sheet'!$E$3:$E$1001,O$4))</f>
        <v/>
      </c>
      <c r="P339" s="21" t="str">
        <f>IF(SUMIFS('Input Sheet'!$F$3:$F$1001,'Input Sheet'!$B$3:$B$1001,$H339,'Input Sheet'!$E$3:$E$1001,P$4)=0,"",SUMIFS('Input Sheet'!$F$3:$F$1001,'Input Sheet'!$B$3:$B$1001,$H339,'Input Sheet'!$E$3:$E$1001,P$4))</f>
        <v/>
      </c>
      <c r="Q339" s="21" t="str">
        <f>IF(SUMIFS('Input Sheet'!$F$3:$F$1001,'Input Sheet'!$B$3:$B$1001,$H339,'Input Sheet'!$E$3:$E$1001,Q$4)=0,"",SUMIFS('Input Sheet'!$F$3:$F$1001,'Input Sheet'!$B$3:$B$1001,$H339,'Input Sheet'!$E$3:$E$1001,Q$4))</f>
        <v/>
      </c>
      <c r="R339" s="21" t="str">
        <f>IF(SUMIFS('Input Sheet'!$F$3:$F$1001,'Input Sheet'!$B$3:$B$1001,$H339,'Input Sheet'!$E$3:$E$1001,R$4)=0,"",SUMIFS('Input Sheet'!$F$3:$F$1001,'Input Sheet'!$B$3:$B$1001,$H339,'Input Sheet'!$E$3:$E$1001,R$4))</f>
        <v/>
      </c>
      <c r="S339" s="21" t="str">
        <f>IF(SUMIFS('Input Sheet'!$F$3:$F$1001,'Input Sheet'!$B$3:$B$1001,$H339,'Input Sheet'!$E$3:$E$1001,S$4)=0,"",SUMIFS('Input Sheet'!$F$3:$F$1001,'Input Sheet'!$B$3:$B$1001,$H339,'Input Sheet'!$E$3:$E$1001,S$4))</f>
        <v/>
      </c>
      <c r="T339" s="22">
        <v>334</v>
      </c>
    </row>
    <row r="340" spans="1:20" ht="14.25" customHeight="1" x14ac:dyDescent="0.3">
      <c r="A340" s="4" t="str">
        <f>IF('Input Sheet'!B337=0,"",'Input Sheet'!B337)</f>
        <v/>
      </c>
      <c r="B340" s="24" t="b">
        <f t="shared" si="264"/>
        <v>0</v>
      </c>
      <c r="C340" s="4">
        <f>SUMIF('Input Sheet'!B$3:B$1000,A340,'Input Sheet'!C$3:C$1000)</f>
        <v>0</v>
      </c>
      <c r="D340" s="4">
        <f>SUMIF('Input Sheet'!B$3:B$1000,A340,'Input Sheet'!D$3:D$1000)</f>
        <v>0</v>
      </c>
      <c r="E340" s="4" t="str">
        <f t="shared" ref="E340:F340" ca="1" si="350">IFERROR(RANK(K340,K$6:K$1004,1),"")</f>
        <v/>
      </c>
      <c r="F340" s="4" t="str">
        <f t="shared" ca="1" si="350"/>
        <v/>
      </c>
      <c r="G340" s="4" t="str">
        <f t="shared" ca="1" si="266"/>
        <v/>
      </c>
      <c r="H340" s="4" t="str">
        <f t="shared" si="267"/>
        <v/>
      </c>
      <c r="I340" s="4" t="str">
        <f t="shared" si="268"/>
        <v/>
      </c>
      <c r="J340" s="4" t="str">
        <f t="shared" si="269"/>
        <v/>
      </c>
      <c r="K340" s="25" t="str">
        <f t="shared" ca="1" si="270"/>
        <v/>
      </c>
      <c r="L340" s="21" t="str">
        <f t="shared" ca="1" si="271"/>
        <v/>
      </c>
      <c r="M340" s="21" t="str">
        <f>IF(SUMIFS('Input Sheet'!$F$3:$F$1001,'Input Sheet'!$B$3:$B$1001,$H340,'Input Sheet'!$E$3:$E$1001,M$4)=0,"",SUMIFS('Input Sheet'!$F$3:$F$1001,'Input Sheet'!$B$3:$B$1001,$H340,'Input Sheet'!$E$3:$E$1001,M$4))</f>
        <v/>
      </c>
      <c r="N340" s="21" t="str">
        <f>IF(SUMIFS('Input Sheet'!$F$3:$F$1001,'Input Sheet'!$B$3:$B$1001,$H340,'Input Sheet'!$E$3:$E$1001,N$4)=0,"",SUMIFS('Input Sheet'!$F$3:$F$1001,'Input Sheet'!$B$3:$B$1001,$H340,'Input Sheet'!$E$3:$E$1001,N$4))</f>
        <v/>
      </c>
      <c r="O340" s="21" t="str">
        <f>IF(SUMIFS('Input Sheet'!$F$3:$F$1001,'Input Sheet'!$B$3:$B$1001,$H340,'Input Sheet'!$E$3:$E$1001,O$4)=0,"",SUMIFS('Input Sheet'!$F$3:$F$1001,'Input Sheet'!$B$3:$B$1001,$H340,'Input Sheet'!$E$3:$E$1001,O$4))</f>
        <v/>
      </c>
      <c r="P340" s="21" t="str">
        <f>IF(SUMIFS('Input Sheet'!$F$3:$F$1001,'Input Sheet'!$B$3:$B$1001,$H340,'Input Sheet'!$E$3:$E$1001,P$4)=0,"",SUMIFS('Input Sheet'!$F$3:$F$1001,'Input Sheet'!$B$3:$B$1001,$H340,'Input Sheet'!$E$3:$E$1001,P$4))</f>
        <v/>
      </c>
      <c r="Q340" s="21" t="str">
        <f>IF(SUMIFS('Input Sheet'!$F$3:$F$1001,'Input Sheet'!$B$3:$B$1001,$H340,'Input Sheet'!$E$3:$E$1001,Q$4)=0,"",SUMIFS('Input Sheet'!$F$3:$F$1001,'Input Sheet'!$B$3:$B$1001,$H340,'Input Sheet'!$E$3:$E$1001,Q$4))</f>
        <v/>
      </c>
      <c r="R340" s="21" t="str">
        <f>IF(SUMIFS('Input Sheet'!$F$3:$F$1001,'Input Sheet'!$B$3:$B$1001,$H340,'Input Sheet'!$E$3:$E$1001,R$4)=0,"",SUMIFS('Input Sheet'!$F$3:$F$1001,'Input Sheet'!$B$3:$B$1001,$H340,'Input Sheet'!$E$3:$E$1001,R$4))</f>
        <v/>
      </c>
      <c r="S340" s="21" t="str">
        <f>IF(SUMIFS('Input Sheet'!$F$3:$F$1001,'Input Sheet'!$B$3:$B$1001,$H340,'Input Sheet'!$E$3:$E$1001,S$4)=0,"",SUMIFS('Input Sheet'!$F$3:$F$1001,'Input Sheet'!$B$3:$B$1001,$H340,'Input Sheet'!$E$3:$E$1001,S$4))</f>
        <v/>
      </c>
      <c r="T340" s="22">
        <v>335</v>
      </c>
    </row>
    <row r="341" spans="1:20" ht="14.25" customHeight="1" x14ac:dyDescent="0.3">
      <c r="A341" s="4" t="str">
        <f>IF('Input Sheet'!B338=0,"",'Input Sheet'!B338)</f>
        <v/>
      </c>
      <c r="B341" s="24" t="b">
        <f t="shared" si="264"/>
        <v>0</v>
      </c>
      <c r="C341" s="4">
        <f>SUMIF('Input Sheet'!B$3:B$1000,A341,'Input Sheet'!C$3:C$1000)</f>
        <v>0</v>
      </c>
      <c r="D341" s="4">
        <f>SUMIF('Input Sheet'!B$3:B$1000,A341,'Input Sheet'!D$3:D$1000)</f>
        <v>0</v>
      </c>
      <c r="E341" s="4" t="str">
        <f t="shared" ref="E341:F341" ca="1" si="351">IFERROR(RANK(K341,K$6:K$1004,1),"")</f>
        <v/>
      </c>
      <c r="F341" s="4" t="str">
        <f t="shared" ca="1" si="351"/>
        <v/>
      </c>
      <c r="G341" s="4" t="str">
        <f t="shared" ca="1" si="266"/>
        <v/>
      </c>
      <c r="H341" s="4" t="str">
        <f t="shared" si="267"/>
        <v/>
      </c>
      <c r="I341" s="4" t="str">
        <f t="shared" si="268"/>
        <v/>
      </c>
      <c r="J341" s="4" t="str">
        <f t="shared" si="269"/>
        <v/>
      </c>
      <c r="K341" s="25" t="str">
        <f t="shared" ca="1" si="270"/>
        <v/>
      </c>
      <c r="L341" s="21" t="str">
        <f t="shared" ca="1" si="271"/>
        <v/>
      </c>
      <c r="M341" s="21" t="str">
        <f>IF(SUMIFS('Input Sheet'!$F$3:$F$1001,'Input Sheet'!$B$3:$B$1001,$H341,'Input Sheet'!$E$3:$E$1001,M$4)=0,"",SUMIFS('Input Sheet'!$F$3:$F$1001,'Input Sheet'!$B$3:$B$1001,$H341,'Input Sheet'!$E$3:$E$1001,M$4))</f>
        <v/>
      </c>
      <c r="N341" s="21" t="str">
        <f>IF(SUMIFS('Input Sheet'!$F$3:$F$1001,'Input Sheet'!$B$3:$B$1001,$H341,'Input Sheet'!$E$3:$E$1001,N$4)=0,"",SUMIFS('Input Sheet'!$F$3:$F$1001,'Input Sheet'!$B$3:$B$1001,$H341,'Input Sheet'!$E$3:$E$1001,N$4))</f>
        <v/>
      </c>
      <c r="O341" s="21" t="str">
        <f>IF(SUMIFS('Input Sheet'!$F$3:$F$1001,'Input Sheet'!$B$3:$B$1001,$H341,'Input Sheet'!$E$3:$E$1001,O$4)=0,"",SUMIFS('Input Sheet'!$F$3:$F$1001,'Input Sheet'!$B$3:$B$1001,$H341,'Input Sheet'!$E$3:$E$1001,O$4))</f>
        <v/>
      </c>
      <c r="P341" s="21" t="str">
        <f>IF(SUMIFS('Input Sheet'!$F$3:$F$1001,'Input Sheet'!$B$3:$B$1001,$H341,'Input Sheet'!$E$3:$E$1001,P$4)=0,"",SUMIFS('Input Sheet'!$F$3:$F$1001,'Input Sheet'!$B$3:$B$1001,$H341,'Input Sheet'!$E$3:$E$1001,P$4))</f>
        <v/>
      </c>
      <c r="Q341" s="21" t="str">
        <f>IF(SUMIFS('Input Sheet'!$F$3:$F$1001,'Input Sheet'!$B$3:$B$1001,$H341,'Input Sheet'!$E$3:$E$1001,Q$4)=0,"",SUMIFS('Input Sheet'!$F$3:$F$1001,'Input Sheet'!$B$3:$B$1001,$H341,'Input Sheet'!$E$3:$E$1001,Q$4))</f>
        <v/>
      </c>
      <c r="R341" s="21" t="str">
        <f>IF(SUMIFS('Input Sheet'!$F$3:$F$1001,'Input Sheet'!$B$3:$B$1001,$H341,'Input Sheet'!$E$3:$E$1001,R$4)=0,"",SUMIFS('Input Sheet'!$F$3:$F$1001,'Input Sheet'!$B$3:$B$1001,$H341,'Input Sheet'!$E$3:$E$1001,R$4))</f>
        <v/>
      </c>
      <c r="S341" s="21" t="str">
        <f>IF(SUMIFS('Input Sheet'!$F$3:$F$1001,'Input Sheet'!$B$3:$B$1001,$H341,'Input Sheet'!$E$3:$E$1001,S$4)=0,"",SUMIFS('Input Sheet'!$F$3:$F$1001,'Input Sheet'!$B$3:$B$1001,$H341,'Input Sheet'!$E$3:$E$1001,S$4))</f>
        <v/>
      </c>
      <c r="T341" s="22">
        <v>336</v>
      </c>
    </row>
    <row r="342" spans="1:20" ht="14.25" customHeight="1" x14ac:dyDescent="0.3">
      <c r="A342" s="4" t="str">
        <f>IF('Input Sheet'!B339=0,"",'Input Sheet'!B339)</f>
        <v/>
      </c>
      <c r="B342" s="24" t="b">
        <f t="shared" si="264"/>
        <v>0</v>
      </c>
      <c r="C342" s="4">
        <f>SUMIF('Input Sheet'!B$3:B$1000,A342,'Input Sheet'!C$3:C$1000)</f>
        <v>0</v>
      </c>
      <c r="D342" s="4">
        <f>SUMIF('Input Sheet'!B$3:B$1000,A342,'Input Sheet'!D$3:D$1000)</f>
        <v>0</v>
      </c>
      <c r="E342" s="4" t="str">
        <f t="shared" ref="E342:F342" ca="1" si="352">IFERROR(RANK(K342,K$6:K$1004,1),"")</f>
        <v/>
      </c>
      <c r="F342" s="4" t="str">
        <f t="shared" ca="1" si="352"/>
        <v/>
      </c>
      <c r="G342" s="4" t="str">
        <f t="shared" ca="1" si="266"/>
        <v/>
      </c>
      <c r="H342" s="4" t="str">
        <f t="shared" si="267"/>
        <v/>
      </c>
      <c r="I342" s="4" t="str">
        <f t="shared" si="268"/>
        <v/>
      </c>
      <c r="J342" s="4" t="str">
        <f t="shared" si="269"/>
        <v/>
      </c>
      <c r="K342" s="25" t="str">
        <f t="shared" ca="1" si="270"/>
        <v/>
      </c>
      <c r="L342" s="21" t="str">
        <f t="shared" ca="1" si="271"/>
        <v/>
      </c>
      <c r="M342" s="21" t="str">
        <f>IF(SUMIFS('Input Sheet'!$F$3:$F$1001,'Input Sheet'!$B$3:$B$1001,$H342,'Input Sheet'!$E$3:$E$1001,M$4)=0,"",SUMIFS('Input Sheet'!$F$3:$F$1001,'Input Sheet'!$B$3:$B$1001,$H342,'Input Sheet'!$E$3:$E$1001,M$4))</f>
        <v/>
      </c>
      <c r="N342" s="21" t="str">
        <f>IF(SUMIFS('Input Sheet'!$F$3:$F$1001,'Input Sheet'!$B$3:$B$1001,$H342,'Input Sheet'!$E$3:$E$1001,N$4)=0,"",SUMIFS('Input Sheet'!$F$3:$F$1001,'Input Sheet'!$B$3:$B$1001,$H342,'Input Sheet'!$E$3:$E$1001,N$4))</f>
        <v/>
      </c>
      <c r="O342" s="21" t="str">
        <f>IF(SUMIFS('Input Sheet'!$F$3:$F$1001,'Input Sheet'!$B$3:$B$1001,$H342,'Input Sheet'!$E$3:$E$1001,O$4)=0,"",SUMIFS('Input Sheet'!$F$3:$F$1001,'Input Sheet'!$B$3:$B$1001,$H342,'Input Sheet'!$E$3:$E$1001,O$4))</f>
        <v/>
      </c>
      <c r="P342" s="21" t="str">
        <f>IF(SUMIFS('Input Sheet'!$F$3:$F$1001,'Input Sheet'!$B$3:$B$1001,$H342,'Input Sheet'!$E$3:$E$1001,P$4)=0,"",SUMIFS('Input Sheet'!$F$3:$F$1001,'Input Sheet'!$B$3:$B$1001,$H342,'Input Sheet'!$E$3:$E$1001,P$4))</f>
        <v/>
      </c>
      <c r="Q342" s="21" t="str">
        <f>IF(SUMIFS('Input Sheet'!$F$3:$F$1001,'Input Sheet'!$B$3:$B$1001,$H342,'Input Sheet'!$E$3:$E$1001,Q$4)=0,"",SUMIFS('Input Sheet'!$F$3:$F$1001,'Input Sheet'!$B$3:$B$1001,$H342,'Input Sheet'!$E$3:$E$1001,Q$4))</f>
        <v/>
      </c>
      <c r="R342" s="21" t="str">
        <f>IF(SUMIFS('Input Sheet'!$F$3:$F$1001,'Input Sheet'!$B$3:$B$1001,$H342,'Input Sheet'!$E$3:$E$1001,R$4)=0,"",SUMIFS('Input Sheet'!$F$3:$F$1001,'Input Sheet'!$B$3:$B$1001,$H342,'Input Sheet'!$E$3:$E$1001,R$4))</f>
        <v/>
      </c>
      <c r="S342" s="21" t="str">
        <f>IF(SUMIFS('Input Sheet'!$F$3:$F$1001,'Input Sheet'!$B$3:$B$1001,$H342,'Input Sheet'!$E$3:$E$1001,S$4)=0,"",SUMIFS('Input Sheet'!$F$3:$F$1001,'Input Sheet'!$B$3:$B$1001,$H342,'Input Sheet'!$E$3:$E$1001,S$4))</f>
        <v/>
      </c>
      <c r="T342" s="22">
        <v>337</v>
      </c>
    </row>
    <row r="343" spans="1:20" ht="14.25" customHeight="1" x14ac:dyDescent="0.3">
      <c r="A343" s="4" t="str">
        <f>IF('Input Sheet'!B340=0,"",'Input Sheet'!B340)</f>
        <v/>
      </c>
      <c r="B343" s="24" t="b">
        <f t="shared" si="264"/>
        <v>0</v>
      </c>
      <c r="C343" s="4">
        <f>SUMIF('Input Sheet'!B$3:B$1000,A343,'Input Sheet'!C$3:C$1000)</f>
        <v>0</v>
      </c>
      <c r="D343" s="4">
        <f>SUMIF('Input Sheet'!B$3:B$1000,A343,'Input Sheet'!D$3:D$1000)</f>
        <v>0</v>
      </c>
      <c r="E343" s="4" t="str">
        <f t="shared" ref="E343:F343" ca="1" si="353">IFERROR(RANK(K343,K$6:K$1004,1),"")</f>
        <v/>
      </c>
      <c r="F343" s="4" t="str">
        <f t="shared" ca="1" si="353"/>
        <v/>
      </c>
      <c r="G343" s="4" t="str">
        <f t="shared" ca="1" si="266"/>
        <v/>
      </c>
      <c r="H343" s="4" t="str">
        <f t="shared" si="267"/>
        <v/>
      </c>
      <c r="I343" s="4" t="str">
        <f t="shared" si="268"/>
        <v/>
      </c>
      <c r="J343" s="4" t="str">
        <f t="shared" si="269"/>
        <v/>
      </c>
      <c r="K343" s="25" t="str">
        <f t="shared" ca="1" si="270"/>
        <v/>
      </c>
      <c r="L343" s="21" t="str">
        <f t="shared" ca="1" si="271"/>
        <v/>
      </c>
      <c r="M343" s="21" t="str">
        <f>IF(SUMIFS('Input Sheet'!$F$3:$F$1001,'Input Sheet'!$B$3:$B$1001,$H343,'Input Sheet'!$E$3:$E$1001,M$4)=0,"",SUMIFS('Input Sheet'!$F$3:$F$1001,'Input Sheet'!$B$3:$B$1001,$H343,'Input Sheet'!$E$3:$E$1001,M$4))</f>
        <v/>
      </c>
      <c r="N343" s="21" t="str">
        <f>IF(SUMIFS('Input Sheet'!$F$3:$F$1001,'Input Sheet'!$B$3:$B$1001,$H343,'Input Sheet'!$E$3:$E$1001,N$4)=0,"",SUMIFS('Input Sheet'!$F$3:$F$1001,'Input Sheet'!$B$3:$B$1001,$H343,'Input Sheet'!$E$3:$E$1001,N$4))</f>
        <v/>
      </c>
      <c r="O343" s="21" t="str">
        <f>IF(SUMIFS('Input Sheet'!$F$3:$F$1001,'Input Sheet'!$B$3:$B$1001,$H343,'Input Sheet'!$E$3:$E$1001,O$4)=0,"",SUMIFS('Input Sheet'!$F$3:$F$1001,'Input Sheet'!$B$3:$B$1001,$H343,'Input Sheet'!$E$3:$E$1001,O$4))</f>
        <v/>
      </c>
      <c r="P343" s="21" t="str">
        <f>IF(SUMIFS('Input Sheet'!$F$3:$F$1001,'Input Sheet'!$B$3:$B$1001,$H343,'Input Sheet'!$E$3:$E$1001,P$4)=0,"",SUMIFS('Input Sheet'!$F$3:$F$1001,'Input Sheet'!$B$3:$B$1001,$H343,'Input Sheet'!$E$3:$E$1001,P$4))</f>
        <v/>
      </c>
      <c r="Q343" s="21" t="str">
        <f>IF(SUMIFS('Input Sheet'!$F$3:$F$1001,'Input Sheet'!$B$3:$B$1001,$H343,'Input Sheet'!$E$3:$E$1001,Q$4)=0,"",SUMIFS('Input Sheet'!$F$3:$F$1001,'Input Sheet'!$B$3:$B$1001,$H343,'Input Sheet'!$E$3:$E$1001,Q$4))</f>
        <v/>
      </c>
      <c r="R343" s="21" t="str">
        <f>IF(SUMIFS('Input Sheet'!$F$3:$F$1001,'Input Sheet'!$B$3:$B$1001,$H343,'Input Sheet'!$E$3:$E$1001,R$4)=0,"",SUMIFS('Input Sheet'!$F$3:$F$1001,'Input Sheet'!$B$3:$B$1001,$H343,'Input Sheet'!$E$3:$E$1001,R$4))</f>
        <v/>
      </c>
      <c r="S343" s="21" t="str">
        <f>IF(SUMIFS('Input Sheet'!$F$3:$F$1001,'Input Sheet'!$B$3:$B$1001,$H343,'Input Sheet'!$E$3:$E$1001,S$4)=0,"",SUMIFS('Input Sheet'!$F$3:$F$1001,'Input Sheet'!$B$3:$B$1001,$H343,'Input Sheet'!$E$3:$E$1001,S$4))</f>
        <v/>
      </c>
      <c r="T343" s="22">
        <v>338</v>
      </c>
    </row>
    <row r="344" spans="1:20" ht="14.25" customHeight="1" x14ac:dyDescent="0.3">
      <c r="A344" s="4" t="str">
        <f>IF('Input Sheet'!B341=0,"",'Input Sheet'!B341)</f>
        <v/>
      </c>
      <c r="B344" s="24" t="b">
        <f t="shared" si="264"/>
        <v>0</v>
      </c>
      <c r="C344" s="4">
        <f>SUMIF('Input Sheet'!B$3:B$1000,A344,'Input Sheet'!C$3:C$1000)</f>
        <v>0</v>
      </c>
      <c r="D344" s="4">
        <f>SUMIF('Input Sheet'!B$3:B$1000,A344,'Input Sheet'!D$3:D$1000)</f>
        <v>0</v>
      </c>
      <c r="E344" s="4" t="str">
        <f t="shared" ref="E344:F344" ca="1" si="354">IFERROR(RANK(K344,K$6:K$1004,1),"")</f>
        <v/>
      </c>
      <c r="F344" s="4" t="str">
        <f t="shared" ca="1" si="354"/>
        <v/>
      </c>
      <c r="G344" s="4" t="str">
        <f t="shared" ca="1" si="266"/>
        <v/>
      </c>
      <c r="H344" s="4" t="str">
        <f t="shared" si="267"/>
        <v/>
      </c>
      <c r="I344" s="4" t="str">
        <f t="shared" si="268"/>
        <v/>
      </c>
      <c r="J344" s="4" t="str">
        <f t="shared" si="269"/>
        <v/>
      </c>
      <c r="K344" s="25" t="str">
        <f t="shared" ca="1" si="270"/>
        <v/>
      </c>
      <c r="L344" s="21" t="str">
        <f t="shared" ca="1" si="271"/>
        <v/>
      </c>
      <c r="M344" s="21" t="str">
        <f>IF(SUMIFS('Input Sheet'!$F$3:$F$1001,'Input Sheet'!$B$3:$B$1001,$H344,'Input Sheet'!$E$3:$E$1001,M$4)=0,"",SUMIFS('Input Sheet'!$F$3:$F$1001,'Input Sheet'!$B$3:$B$1001,$H344,'Input Sheet'!$E$3:$E$1001,M$4))</f>
        <v/>
      </c>
      <c r="N344" s="21" t="str">
        <f>IF(SUMIFS('Input Sheet'!$F$3:$F$1001,'Input Sheet'!$B$3:$B$1001,$H344,'Input Sheet'!$E$3:$E$1001,N$4)=0,"",SUMIFS('Input Sheet'!$F$3:$F$1001,'Input Sheet'!$B$3:$B$1001,$H344,'Input Sheet'!$E$3:$E$1001,N$4))</f>
        <v/>
      </c>
      <c r="O344" s="21" t="str">
        <f>IF(SUMIFS('Input Sheet'!$F$3:$F$1001,'Input Sheet'!$B$3:$B$1001,$H344,'Input Sheet'!$E$3:$E$1001,O$4)=0,"",SUMIFS('Input Sheet'!$F$3:$F$1001,'Input Sheet'!$B$3:$B$1001,$H344,'Input Sheet'!$E$3:$E$1001,O$4))</f>
        <v/>
      </c>
      <c r="P344" s="21" t="str">
        <f>IF(SUMIFS('Input Sheet'!$F$3:$F$1001,'Input Sheet'!$B$3:$B$1001,$H344,'Input Sheet'!$E$3:$E$1001,P$4)=0,"",SUMIFS('Input Sheet'!$F$3:$F$1001,'Input Sheet'!$B$3:$B$1001,$H344,'Input Sheet'!$E$3:$E$1001,P$4))</f>
        <v/>
      </c>
      <c r="Q344" s="21" t="str">
        <f>IF(SUMIFS('Input Sheet'!$F$3:$F$1001,'Input Sheet'!$B$3:$B$1001,$H344,'Input Sheet'!$E$3:$E$1001,Q$4)=0,"",SUMIFS('Input Sheet'!$F$3:$F$1001,'Input Sheet'!$B$3:$B$1001,$H344,'Input Sheet'!$E$3:$E$1001,Q$4))</f>
        <v/>
      </c>
      <c r="R344" s="21" t="str">
        <f>IF(SUMIFS('Input Sheet'!$F$3:$F$1001,'Input Sheet'!$B$3:$B$1001,$H344,'Input Sheet'!$E$3:$E$1001,R$4)=0,"",SUMIFS('Input Sheet'!$F$3:$F$1001,'Input Sheet'!$B$3:$B$1001,$H344,'Input Sheet'!$E$3:$E$1001,R$4))</f>
        <v/>
      </c>
      <c r="S344" s="21" t="str">
        <f>IF(SUMIFS('Input Sheet'!$F$3:$F$1001,'Input Sheet'!$B$3:$B$1001,$H344,'Input Sheet'!$E$3:$E$1001,S$4)=0,"",SUMIFS('Input Sheet'!$F$3:$F$1001,'Input Sheet'!$B$3:$B$1001,$H344,'Input Sheet'!$E$3:$E$1001,S$4))</f>
        <v/>
      </c>
      <c r="T344" s="22">
        <v>339</v>
      </c>
    </row>
    <row r="345" spans="1:20" ht="14.25" customHeight="1" x14ac:dyDescent="0.3">
      <c r="A345" s="4" t="str">
        <f>IF('Input Sheet'!B342=0,"",'Input Sheet'!B342)</f>
        <v/>
      </c>
      <c r="B345" s="24" t="b">
        <f t="shared" si="264"/>
        <v>0</v>
      </c>
      <c r="C345" s="4">
        <f>SUMIF('Input Sheet'!B$3:B$1000,A345,'Input Sheet'!C$3:C$1000)</f>
        <v>0</v>
      </c>
      <c r="D345" s="4">
        <f>SUMIF('Input Sheet'!B$3:B$1000,A345,'Input Sheet'!D$3:D$1000)</f>
        <v>0</v>
      </c>
      <c r="E345" s="4" t="str">
        <f t="shared" ref="E345:F345" ca="1" si="355">IFERROR(RANK(K345,K$6:K$1004,1),"")</f>
        <v/>
      </c>
      <c r="F345" s="4" t="str">
        <f t="shared" ca="1" si="355"/>
        <v/>
      </c>
      <c r="G345" s="4" t="str">
        <f t="shared" ca="1" si="266"/>
        <v/>
      </c>
      <c r="H345" s="4" t="str">
        <f t="shared" si="267"/>
        <v/>
      </c>
      <c r="I345" s="4" t="str">
        <f t="shared" si="268"/>
        <v/>
      </c>
      <c r="J345" s="4" t="str">
        <f t="shared" si="269"/>
        <v/>
      </c>
      <c r="K345" s="25" t="str">
        <f t="shared" ca="1" si="270"/>
        <v/>
      </c>
      <c r="L345" s="21" t="str">
        <f t="shared" ca="1" si="271"/>
        <v/>
      </c>
      <c r="M345" s="21" t="str">
        <f>IF(SUMIFS('Input Sheet'!$F$3:$F$1001,'Input Sheet'!$B$3:$B$1001,$H345,'Input Sheet'!$E$3:$E$1001,M$4)=0,"",SUMIFS('Input Sheet'!$F$3:$F$1001,'Input Sheet'!$B$3:$B$1001,$H345,'Input Sheet'!$E$3:$E$1001,M$4))</f>
        <v/>
      </c>
      <c r="N345" s="21" t="str">
        <f>IF(SUMIFS('Input Sheet'!$F$3:$F$1001,'Input Sheet'!$B$3:$B$1001,$H345,'Input Sheet'!$E$3:$E$1001,N$4)=0,"",SUMIFS('Input Sheet'!$F$3:$F$1001,'Input Sheet'!$B$3:$B$1001,$H345,'Input Sheet'!$E$3:$E$1001,N$4))</f>
        <v/>
      </c>
      <c r="O345" s="21" t="str">
        <f>IF(SUMIFS('Input Sheet'!$F$3:$F$1001,'Input Sheet'!$B$3:$B$1001,$H345,'Input Sheet'!$E$3:$E$1001,O$4)=0,"",SUMIFS('Input Sheet'!$F$3:$F$1001,'Input Sheet'!$B$3:$B$1001,$H345,'Input Sheet'!$E$3:$E$1001,O$4))</f>
        <v/>
      </c>
      <c r="P345" s="21" t="str">
        <f>IF(SUMIFS('Input Sheet'!$F$3:$F$1001,'Input Sheet'!$B$3:$B$1001,$H345,'Input Sheet'!$E$3:$E$1001,P$4)=0,"",SUMIFS('Input Sheet'!$F$3:$F$1001,'Input Sheet'!$B$3:$B$1001,$H345,'Input Sheet'!$E$3:$E$1001,P$4))</f>
        <v/>
      </c>
      <c r="Q345" s="21" t="str">
        <f>IF(SUMIFS('Input Sheet'!$F$3:$F$1001,'Input Sheet'!$B$3:$B$1001,$H345,'Input Sheet'!$E$3:$E$1001,Q$4)=0,"",SUMIFS('Input Sheet'!$F$3:$F$1001,'Input Sheet'!$B$3:$B$1001,$H345,'Input Sheet'!$E$3:$E$1001,Q$4))</f>
        <v/>
      </c>
      <c r="R345" s="21" t="str">
        <f>IF(SUMIFS('Input Sheet'!$F$3:$F$1001,'Input Sheet'!$B$3:$B$1001,$H345,'Input Sheet'!$E$3:$E$1001,R$4)=0,"",SUMIFS('Input Sheet'!$F$3:$F$1001,'Input Sheet'!$B$3:$B$1001,$H345,'Input Sheet'!$E$3:$E$1001,R$4))</f>
        <v/>
      </c>
      <c r="S345" s="21" t="str">
        <f>IF(SUMIFS('Input Sheet'!$F$3:$F$1001,'Input Sheet'!$B$3:$B$1001,$H345,'Input Sheet'!$E$3:$E$1001,S$4)=0,"",SUMIFS('Input Sheet'!$F$3:$F$1001,'Input Sheet'!$B$3:$B$1001,$H345,'Input Sheet'!$E$3:$E$1001,S$4))</f>
        <v/>
      </c>
      <c r="T345" s="22">
        <v>340</v>
      </c>
    </row>
    <row r="346" spans="1:20" ht="14.25" customHeight="1" x14ac:dyDescent="0.3">
      <c r="A346" s="4" t="str">
        <f>IF('Input Sheet'!B343=0,"",'Input Sheet'!B343)</f>
        <v/>
      </c>
      <c r="B346" s="24" t="b">
        <f t="shared" si="264"/>
        <v>0</v>
      </c>
      <c r="C346" s="4">
        <f>SUMIF('Input Sheet'!B$3:B$1000,A346,'Input Sheet'!C$3:C$1000)</f>
        <v>0</v>
      </c>
      <c r="D346" s="4">
        <f>SUMIF('Input Sheet'!B$3:B$1000,A346,'Input Sheet'!D$3:D$1000)</f>
        <v>0</v>
      </c>
      <c r="E346" s="4" t="str">
        <f t="shared" ref="E346:F346" ca="1" si="356">IFERROR(RANK(K346,K$6:K$1004,1),"")</f>
        <v/>
      </c>
      <c r="F346" s="4" t="str">
        <f t="shared" ca="1" si="356"/>
        <v/>
      </c>
      <c r="G346" s="4" t="str">
        <f t="shared" ca="1" si="266"/>
        <v/>
      </c>
      <c r="H346" s="4" t="str">
        <f t="shared" si="267"/>
        <v/>
      </c>
      <c r="I346" s="4" t="str">
        <f t="shared" si="268"/>
        <v/>
      </c>
      <c r="J346" s="4" t="str">
        <f t="shared" si="269"/>
        <v/>
      </c>
      <c r="K346" s="25" t="str">
        <f t="shared" ca="1" si="270"/>
        <v/>
      </c>
      <c r="L346" s="21" t="str">
        <f t="shared" ca="1" si="271"/>
        <v/>
      </c>
      <c r="M346" s="21" t="str">
        <f>IF(SUMIFS('Input Sheet'!$F$3:$F$1001,'Input Sheet'!$B$3:$B$1001,$H346,'Input Sheet'!$E$3:$E$1001,M$4)=0,"",SUMIFS('Input Sheet'!$F$3:$F$1001,'Input Sheet'!$B$3:$B$1001,$H346,'Input Sheet'!$E$3:$E$1001,M$4))</f>
        <v/>
      </c>
      <c r="N346" s="21" t="str">
        <f>IF(SUMIFS('Input Sheet'!$F$3:$F$1001,'Input Sheet'!$B$3:$B$1001,$H346,'Input Sheet'!$E$3:$E$1001,N$4)=0,"",SUMIFS('Input Sheet'!$F$3:$F$1001,'Input Sheet'!$B$3:$B$1001,$H346,'Input Sheet'!$E$3:$E$1001,N$4))</f>
        <v/>
      </c>
      <c r="O346" s="21" t="str">
        <f>IF(SUMIFS('Input Sheet'!$F$3:$F$1001,'Input Sheet'!$B$3:$B$1001,$H346,'Input Sheet'!$E$3:$E$1001,O$4)=0,"",SUMIFS('Input Sheet'!$F$3:$F$1001,'Input Sheet'!$B$3:$B$1001,$H346,'Input Sheet'!$E$3:$E$1001,O$4))</f>
        <v/>
      </c>
      <c r="P346" s="21" t="str">
        <f>IF(SUMIFS('Input Sheet'!$F$3:$F$1001,'Input Sheet'!$B$3:$B$1001,$H346,'Input Sheet'!$E$3:$E$1001,P$4)=0,"",SUMIFS('Input Sheet'!$F$3:$F$1001,'Input Sheet'!$B$3:$B$1001,$H346,'Input Sheet'!$E$3:$E$1001,P$4))</f>
        <v/>
      </c>
      <c r="Q346" s="21" t="str">
        <f>IF(SUMIFS('Input Sheet'!$F$3:$F$1001,'Input Sheet'!$B$3:$B$1001,$H346,'Input Sheet'!$E$3:$E$1001,Q$4)=0,"",SUMIFS('Input Sheet'!$F$3:$F$1001,'Input Sheet'!$B$3:$B$1001,$H346,'Input Sheet'!$E$3:$E$1001,Q$4))</f>
        <v/>
      </c>
      <c r="R346" s="21" t="str">
        <f>IF(SUMIFS('Input Sheet'!$F$3:$F$1001,'Input Sheet'!$B$3:$B$1001,$H346,'Input Sheet'!$E$3:$E$1001,R$4)=0,"",SUMIFS('Input Sheet'!$F$3:$F$1001,'Input Sheet'!$B$3:$B$1001,$H346,'Input Sheet'!$E$3:$E$1001,R$4))</f>
        <v/>
      </c>
      <c r="S346" s="21" t="str">
        <f>IF(SUMIFS('Input Sheet'!$F$3:$F$1001,'Input Sheet'!$B$3:$B$1001,$H346,'Input Sheet'!$E$3:$E$1001,S$4)=0,"",SUMIFS('Input Sheet'!$F$3:$F$1001,'Input Sheet'!$B$3:$B$1001,$H346,'Input Sheet'!$E$3:$E$1001,S$4))</f>
        <v/>
      </c>
      <c r="T346" s="22">
        <v>341</v>
      </c>
    </row>
    <row r="347" spans="1:20" ht="14.25" customHeight="1" x14ac:dyDescent="0.3">
      <c r="A347" s="4" t="str">
        <f>IF('Input Sheet'!B344=0,"",'Input Sheet'!B344)</f>
        <v/>
      </c>
      <c r="B347" s="24" t="b">
        <f t="shared" si="264"/>
        <v>0</v>
      </c>
      <c r="C347" s="4">
        <f>SUMIF('Input Sheet'!B$3:B$1000,A347,'Input Sheet'!C$3:C$1000)</f>
        <v>0</v>
      </c>
      <c r="D347" s="4">
        <f>SUMIF('Input Sheet'!B$3:B$1000,A347,'Input Sheet'!D$3:D$1000)</f>
        <v>0</v>
      </c>
      <c r="E347" s="4" t="str">
        <f t="shared" ref="E347:F347" ca="1" si="357">IFERROR(RANK(K347,K$6:K$1004,1),"")</f>
        <v/>
      </c>
      <c r="F347" s="4" t="str">
        <f t="shared" ca="1" si="357"/>
        <v/>
      </c>
      <c r="G347" s="4" t="str">
        <f t="shared" ca="1" si="266"/>
        <v/>
      </c>
      <c r="H347" s="4" t="str">
        <f t="shared" si="267"/>
        <v/>
      </c>
      <c r="I347" s="4" t="str">
        <f t="shared" si="268"/>
        <v/>
      </c>
      <c r="J347" s="4" t="str">
        <f t="shared" si="269"/>
        <v/>
      </c>
      <c r="K347" s="25" t="str">
        <f t="shared" ca="1" si="270"/>
        <v/>
      </c>
      <c r="L347" s="21" t="str">
        <f t="shared" ca="1" si="271"/>
        <v/>
      </c>
      <c r="M347" s="21" t="str">
        <f>IF(SUMIFS('Input Sheet'!$F$3:$F$1001,'Input Sheet'!$B$3:$B$1001,$H347,'Input Sheet'!$E$3:$E$1001,M$4)=0,"",SUMIFS('Input Sheet'!$F$3:$F$1001,'Input Sheet'!$B$3:$B$1001,$H347,'Input Sheet'!$E$3:$E$1001,M$4))</f>
        <v/>
      </c>
      <c r="N347" s="21" t="str">
        <f>IF(SUMIFS('Input Sheet'!$F$3:$F$1001,'Input Sheet'!$B$3:$B$1001,$H347,'Input Sheet'!$E$3:$E$1001,N$4)=0,"",SUMIFS('Input Sheet'!$F$3:$F$1001,'Input Sheet'!$B$3:$B$1001,$H347,'Input Sheet'!$E$3:$E$1001,N$4))</f>
        <v/>
      </c>
      <c r="O347" s="21" t="str">
        <f>IF(SUMIFS('Input Sheet'!$F$3:$F$1001,'Input Sheet'!$B$3:$B$1001,$H347,'Input Sheet'!$E$3:$E$1001,O$4)=0,"",SUMIFS('Input Sheet'!$F$3:$F$1001,'Input Sheet'!$B$3:$B$1001,$H347,'Input Sheet'!$E$3:$E$1001,O$4))</f>
        <v/>
      </c>
      <c r="P347" s="21" t="str">
        <f>IF(SUMIFS('Input Sheet'!$F$3:$F$1001,'Input Sheet'!$B$3:$B$1001,$H347,'Input Sheet'!$E$3:$E$1001,P$4)=0,"",SUMIFS('Input Sheet'!$F$3:$F$1001,'Input Sheet'!$B$3:$B$1001,$H347,'Input Sheet'!$E$3:$E$1001,P$4))</f>
        <v/>
      </c>
      <c r="Q347" s="21" t="str">
        <f>IF(SUMIFS('Input Sheet'!$F$3:$F$1001,'Input Sheet'!$B$3:$B$1001,$H347,'Input Sheet'!$E$3:$E$1001,Q$4)=0,"",SUMIFS('Input Sheet'!$F$3:$F$1001,'Input Sheet'!$B$3:$B$1001,$H347,'Input Sheet'!$E$3:$E$1001,Q$4))</f>
        <v/>
      </c>
      <c r="R347" s="21" t="str">
        <f>IF(SUMIFS('Input Sheet'!$F$3:$F$1001,'Input Sheet'!$B$3:$B$1001,$H347,'Input Sheet'!$E$3:$E$1001,R$4)=0,"",SUMIFS('Input Sheet'!$F$3:$F$1001,'Input Sheet'!$B$3:$B$1001,$H347,'Input Sheet'!$E$3:$E$1001,R$4))</f>
        <v/>
      </c>
      <c r="S347" s="21" t="str">
        <f>IF(SUMIFS('Input Sheet'!$F$3:$F$1001,'Input Sheet'!$B$3:$B$1001,$H347,'Input Sheet'!$E$3:$E$1001,S$4)=0,"",SUMIFS('Input Sheet'!$F$3:$F$1001,'Input Sheet'!$B$3:$B$1001,$H347,'Input Sheet'!$E$3:$E$1001,S$4))</f>
        <v/>
      </c>
      <c r="T347" s="22">
        <v>342</v>
      </c>
    </row>
    <row r="348" spans="1:20" ht="14.25" customHeight="1" x14ac:dyDescent="0.3">
      <c r="A348" s="4" t="str">
        <f>IF('Input Sheet'!B345=0,"",'Input Sheet'!B345)</f>
        <v/>
      </c>
      <c r="B348" s="24" t="b">
        <f t="shared" si="264"/>
        <v>0</v>
      </c>
      <c r="C348" s="4">
        <f>SUMIF('Input Sheet'!B$3:B$1000,A348,'Input Sheet'!C$3:C$1000)</f>
        <v>0</v>
      </c>
      <c r="D348" s="4">
        <f>SUMIF('Input Sheet'!B$3:B$1000,A348,'Input Sheet'!D$3:D$1000)</f>
        <v>0</v>
      </c>
      <c r="E348" s="4" t="str">
        <f t="shared" ref="E348:F348" ca="1" si="358">IFERROR(RANK(K348,K$6:K$1004,1),"")</f>
        <v/>
      </c>
      <c r="F348" s="4" t="str">
        <f t="shared" ca="1" si="358"/>
        <v/>
      </c>
      <c r="G348" s="4" t="str">
        <f t="shared" ca="1" si="266"/>
        <v/>
      </c>
      <c r="H348" s="4" t="str">
        <f t="shared" si="267"/>
        <v/>
      </c>
      <c r="I348" s="4" t="str">
        <f t="shared" si="268"/>
        <v/>
      </c>
      <c r="J348" s="4" t="str">
        <f t="shared" si="269"/>
        <v/>
      </c>
      <c r="K348" s="25" t="str">
        <f t="shared" ca="1" si="270"/>
        <v/>
      </c>
      <c r="L348" s="21" t="str">
        <f t="shared" ca="1" si="271"/>
        <v/>
      </c>
      <c r="M348" s="21" t="str">
        <f>IF(SUMIFS('Input Sheet'!$F$3:$F$1001,'Input Sheet'!$B$3:$B$1001,$H348,'Input Sheet'!$E$3:$E$1001,M$4)=0,"",SUMIFS('Input Sheet'!$F$3:$F$1001,'Input Sheet'!$B$3:$B$1001,$H348,'Input Sheet'!$E$3:$E$1001,M$4))</f>
        <v/>
      </c>
      <c r="N348" s="21" t="str">
        <f>IF(SUMIFS('Input Sheet'!$F$3:$F$1001,'Input Sheet'!$B$3:$B$1001,$H348,'Input Sheet'!$E$3:$E$1001,N$4)=0,"",SUMIFS('Input Sheet'!$F$3:$F$1001,'Input Sheet'!$B$3:$B$1001,$H348,'Input Sheet'!$E$3:$E$1001,N$4))</f>
        <v/>
      </c>
      <c r="O348" s="21" t="str">
        <f>IF(SUMIFS('Input Sheet'!$F$3:$F$1001,'Input Sheet'!$B$3:$B$1001,$H348,'Input Sheet'!$E$3:$E$1001,O$4)=0,"",SUMIFS('Input Sheet'!$F$3:$F$1001,'Input Sheet'!$B$3:$B$1001,$H348,'Input Sheet'!$E$3:$E$1001,O$4))</f>
        <v/>
      </c>
      <c r="P348" s="21" t="str">
        <f>IF(SUMIFS('Input Sheet'!$F$3:$F$1001,'Input Sheet'!$B$3:$B$1001,$H348,'Input Sheet'!$E$3:$E$1001,P$4)=0,"",SUMIFS('Input Sheet'!$F$3:$F$1001,'Input Sheet'!$B$3:$B$1001,$H348,'Input Sheet'!$E$3:$E$1001,P$4))</f>
        <v/>
      </c>
      <c r="Q348" s="21" t="str">
        <f>IF(SUMIFS('Input Sheet'!$F$3:$F$1001,'Input Sheet'!$B$3:$B$1001,$H348,'Input Sheet'!$E$3:$E$1001,Q$4)=0,"",SUMIFS('Input Sheet'!$F$3:$F$1001,'Input Sheet'!$B$3:$B$1001,$H348,'Input Sheet'!$E$3:$E$1001,Q$4))</f>
        <v/>
      </c>
      <c r="R348" s="21" t="str">
        <f>IF(SUMIFS('Input Sheet'!$F$3:$F$1001,'Input Sheet'!$B$3:$B$1001,$H348,'Input Sheet'!$E$3:$E$1001,R$4)=0,"",SUMIFS('Input Sheet'!$F$3:$F$1001,'Input Sheet'!$B$3:$B$1001,$H348,'Input Sheet'!$E$3:$E$1001,R$4))</f>
        <v/>
      </c>
      <c r="S348" s="21" t="str">
        <f>IF(SUMIFS('Input Sheet'!$F$3:$F$1001,'Input Sheet'!$B$3:$B$1001,$H348,'Input Sheet'!$E$3:$E$1001,S$4)=0,"",SUMIFS('Input Sheet'!$F$3:$F$1001,'Input Sheet'!$B$3:$B$1001,$H348,'Input Sheet'!$E$3:$E$1001,S$4))</f>
        <v/>
      </c>
      <c r="T348" s="22">
        <v>343</v>
      </c>
    </row>
    <row r="349" spans="1:20" ht="14.25" customHeight="1" x14ac:dyDescent="0.3">
      <c r="A349" s="4" t="str">
        <f>IF('Input Sheet'!B346=0,"",'Input Sheet'!B346)</f>
        <v/>
      </c>
      <c r="B349" s="24" t="b">
        <f t="shared" si="264"/>
        <v>0</v>
      </c>
      <c r="C349" s="4">
        <f>SUMIF('Input Sheet'!B$3:B$1000,A349,'Input Sheet'!C$3:C$1000)</f>
        <v>0</v>
      </c>
      <c r="D349" s="4">
        <f>SUMIF('Input Sheet'!B$3:B$1000,A349,'Input Sheet'!D$3:D$1000)</f>
        <v>0</v>
      </c>
      <c r="E349" s="4" t="str">
        <f t="shared" ref="E349:F349" ca="1" si="359">IFERROR(RANK(K349,K$6:K$1004,1),"")</f>
        <v/>
      </c>
      <c r="F349" s="4" t="str">
        <f t="shared" ca="1" si="359"/>
        <v/>
      </c>
      <c r="G349" s="4" t="str">
        <f t="shared" ca="1" si="266"/>
        <v/>
      </c>
      <c r="H349" s="4" t="str">
        <f t="shared" si="267"/>
        <v/>
      </c>
      <c r="I349" s="4" t="str">
        <f t="shared" si="268"/>
        <v/>
      </c>
      <c r="J349" s="4" t="str">
        <f t="shared" si="269"/>
        <v/>
      </c>
      <c r="K349" s="25" t="str">
        <f t="shared" ca="1" si="270"/>
        <v/>
      </c>
      <c r="L349" s="21" t="str">
        <f t="shared" ca="1" si="271"/>
        <v/>
      </c>
      <c r="M349" s="21" t="str">
        <f>IF(SUMIFS('Input Sheet'!$F$3:$F$1001,'Input Sheet'!$B$3:$B$1001,$H349,'Input Sheet'!$E$3:$E$1001,M$4)=0,"",SUMIFS('Input Sheet'!$F$3:$F$1001,'Input Sheet'!$B$3:$B$1001,$H349,'Input Sheet'!$E$3:$E$1001,M$4))</f>
        <v/>
      </c>
      <c r="N349" s="21" t="str">
        <f>IF(SUMIFS('Input Sheet'!$F$3:$F$1001,'Input Sheet'!$B$3:$B$1001,$H349,'Input Sheet'!$E$3:$E$1001,N$4)=0,"",SUMIFS('Input Sheet'!$F$3:$F$1001,'Input Sheet'!$B$3:$B$1001,$H349,'Input Sheet'!$E$3:$E$1001,N$4))</f>
        <v/>
      </c>
      <c r="O349" s="21" t="str">
        <f>IF(SUMIFS('Input Sheet'!$F$3:$F$1001,'Input Sheet'!$B$3:$B$1001,$H349,'Input Sheet'!$E$3:$E$1001,O$4)=0,"",SUMIFS('Input Sheet'!$F$3:$F$1001,'Input Sheet'!$B$3:$B$1001,$H349,'Input Sheet'!$E$3:$E$1001,O$4))</f>
        <v/>
      </c>
      <c r="P349" s="21" t="str">
        <f>IF(SUMIFS('Input Sheet'!$F$3:$F$1001,'Input Sheet'!$B$3:$B$1001,$H349,'Input Sheet'!$E$3:$E$1001,P$4)=0,"",SUMIFS('Input Sheet'!$F$3:$F$1001,'Input Sheet'!$B$3:$B$1001,$H349,'Input Sheet'!$E$3:$E$1001,P$4))</f>
        <v/>
      </c>
      <c r="Q349" s="21" t="str">
        <f>IF(SUMIFS('Input Sheet'!$F$3:$F$1001,'Input Sheet'!$B$3:$B$1001,$H349,'Input Sheet'!$E$3:$E$1001,Q$4)=0,"",SUMIFS('Input Sheet'!$F$3:$F$1001,'Input Sheet'!$B$3:$B$1001,$H349,'Input Sheet'!$E$3:$E$1001,Q$4))</f>
        <v/>
      </c>
      <c r="R349" s="21" t="str">
        <f>IF(SUMIFS('Input Sheet'!$F$3:$F$1001,'Input Sheet'!$B$3:$B$1001,$H349,'Input Sheet'!$E$3:$E$1001,R$4)=0,"",SUMIFS('Input Sheet'!$F$3:$F$1001,'Input Sheet'!$B$3:$B$1001,$H349,'Input Sheet'!$E$3:$E$1001,R$4))</f>
        <v/>
      </c>
      <c r="S349" s="21" t="str">
        <f>IF(SUMIFS('Input Sheet'!$F$3:$F$1001,'Input Sheet'!$B$3:$B$1001,$H349,'Input Sheet'!$E$3:$E$1001,S$4)=0,"",SUMIFS('Input Sheet'!$F$3:$F$1001,'Input Sheet'!$B$3:$B$1001,$H349,'Input Sheet'!$E$3:$E$1001,S$4))</f>
        <v/>
      </c>
      <c r="T349" s="22">
        <v>344</v>
      </c>
    </row>
    <row r="350" spans="1:20" ht="14.25" customHeight="1" x14ac:dyDescent="0.3">
      <c r="A350" s="4" t="str">
        <f>IF('Input Sheet'!B347=0,"",'Input Sheet'!B347)</f>
        <v/>
      </c>
      <c r="B350" s="24" t="b">
        <f t="shared" si="264"/>
        <v>0</v>
      </c>
      <c r="C350" s="4">
        <f>SUMIF('Input Sheet'!B$3:B$1000,A350,'Input Sheet'!C$3:C$1000)</f>
        <v>0</v>
      </c>
      <c r="D350" s="4">
        <f>SUMIF('Input Sheet'!B$3:B$1000,A350,'Input Sheet'!D$3:D$1000)</f>
        <v>0</v>
      </c>
      <c r="E350" s="4" t="str">
        <f t="shared" ref="E350:F350" ca="1" si="360">IFERROR(RANK(K350,K$6:K$1004,1),"")</f>
        <v/>
      </c>
      <c r="F350" s="4" t="str">
        <f t="shared" ca="1" si="360"/>
        <v/>
      </c>
      <c r="G350" s="4" t="str">
        <f t="shared" ca="1" si="266"/>
        <v/>
      </c>
      <c r="H350" s="4" t="str">
        <f t="shared" si="267"/>
        <v/>
      </c>
      <c r="I350" s="4" t="str">
        <f t="shared" si="268"/>
        <v/>
      </c>
      <c r="J350" s="4" t="str">
        <f t="shared" si="269"/>
        <v/>
      </c>
      <c r="K350" s="25" t="str">
        <f t="shared" ca="1" si="270"/>
        <v/>
      </c>
      <c r="L350" s="21" t="str">
        <f t="shared" ca="1" si="271"/>
        <v/>
      </c>
      <c r="M350" s="21" t="str">
        <f>IF(SUMIFS('Input Sheet'!$F$3:$F$1001,'Input Sheet'!$B$3:$B$1001,$H350,'Input Sheet'!$E$3:$E$1001,M$4)=0,"",SUMIFS('Input Sheet'!$F$3:$F$1001,'Input Sheet'!$B$3:$B$1001,$H350,'Input Sheet'!$E$3:$E$1001,M$4))</f>
        <v/>
      </c>
      <c r="N350" s="21" t="str">
        <f>IF(SUMIFS('Input Sheet'!$F$3:$F$1001,'Input Sheet'!$B$3:$B$1001,$H350,'Input Sheet'!$E$3:$E$1001,N$4)=0,"",SUMIFS('Input Sheet'!$F$3:$F$1001,'Input Sheet'!$B$3:$B$1001,$H350,'Input Sheet'!$E$3:$E$1001,N$4))</f>
        <v/>
      </c>
      <c r="O350" s="21" t="str">
        <f>IF(SUMIFS('Input Sheet'!$F$3:$F$1001,'Input Sheet'!$B$3:$B$1001,$H350,'Input Sheet'!$E$3:$E$1001,O$4)=0,"",SUMIFS('Input Sheet'!$F$3:$F$1001,'Input Sheet'!$B$3:$B$1001,$H350,'Input Sheet'!$E$3:$E$1001,O$4))</f>
        <v/>
      </c>
      <c r="P350" s="21" t="str">
        <f>IF(SUMIFS('Input Sheet'!$F$3:$F$1001,'Input Sheet'!$B$3:$B$1001,$H350,'Input Sheet'!$E$3:$E$1001,P$4)=0,"",SUMIFS('Input Sheet'!$F$3:$F$1001,'Input Sheet'!$B$3:$B$1001,$H350,'Input Sheet'!$E$3:$E$1001,P$4))</f>
        <v/>
      </c>
      <c r="Q350" s="21" t="str">
        <f>IF(SUMIFS('Input Sheet'!$F$3:$F$1001,'Input Sheet'!$B$3:$B$1001,$H350,'Input Sheet'!$E$3:$E$1001,Q$4)=0,"",SUMIFS('Input Sheet'!$F$3:$F$1001,'Input Sheet'!$B$3:$B$1001,$H350,'Input Sheet'!$E$3:$E$1001,Q$4))</f>
        <v/>
      </c>
      <c r="R350" s="21" t="str">
        <f>IF(SUMIFS('Input Sheet'!$F$3:$F$1001,'Input Sheet'!$B$3:$B$1001,$H350,'Input Sheet'!$E$3:$E$1001,R$4)=0,"",SUMIFS('Input Sheet'!$F$3:$F$1001,'Input Sheet'!$B$3:$B$1001,$H350,'Input Sheet'!$E$3:$E$1001,R$4))</f>
        <v/>
      </c>
      <c r="S350" s="21" t="str">
        <f>IF(SUMIFS('Input Sheet'!$F$3:$F$1001,'Input Sheet'!$B$3:$B$1001,$H350,'Input Sheet'!$E$3:$E$1001,S$4)=0,"",SUMIFS('Input Sheet'!$F$3:$F$1001,'Input Sheet'!$B$3:$B$1001,$H350,'Input Sheet'!$E$3:$E$1001,S$4))</f>
        <v/>
      </c>
      <c r="T350" s="22">
        <v>345</v>
      </c>
    </row>
    <row r="351" spans="1:20" ht="14.25" customHeight="1" x14ac:dyDescent="0.3">
      <c r="A351" s="4" t="str">
        <f>IF('Input Sheet'!B348=0,"",'Input Sheet'!B348)</f>
        <v/>
      </c>
      <c r="B351" s="24" t="b">
        <f t="shared" si="264"/>
        <v>0</v>
      </c>
      <c r="C351" s="4">
        <f>SUMIF('Input Sheet'!B$3:B$1000,A351,'Input Sheet'!C$3:C$1000)</f>
        <v>0</v>
      </c>
      <c r="D351" s="4">
        <f>SUMIF('Input Sheet'!B$3:B$1000,A351,'Input Sheet'!D$3:D$1000)</f>
        <v>0</v>
      </c>
      <c r="E351" s="4" t="str">
        <f t="shared" ref="E351:F351" ca="1" si="361">IFERROR(RANK(K351,K$6:K$1004,1),"")</f>
        <v/>
      </c>
      <c r="F351" s="4" t="str">
        <f t="shared" ca="1" si="361"/>
        <v/>
      </c>
      <c r="G351" s="4" t="str">
        <f t="shared" ca="1" si="266"/>
        <v/>
      </c>
      <c r="H351" s="4" t="str">
        <f t="shared" si="267"/>
        <v/>
      </c>
      <c r="I351" s="4" t="str">
        <f t="shared" si="268"/>
        <v/>
      </c>
      <c r="J351" s="4" t="str">
        <f t="shared" si="269"/>
        <v/>
      </c>
      <c r="K351" s="25" t="str">
        <f t="shared" ca="1" si="270"/>
        <v/>
      </c>
      <c r="L351" s="21" t="str">
        <f t="shared" ca="1" si="271"/>
        <v/>
      </c>
      <c r="M351" s="21" t="str">
        <f>IF(SUMIFS('Input Sheet'!$F$3:$F$1001,'Input Sheet'!$B$3:$B$1001,$H351,'Input Sheet'!$E$3:$E$1001,M$4)=0,"",SUMIFS('Input Sheet'!$F$3:$F$1001,'Input Sheet'!$B$3:$B$1001,$H351,'Input Sheet'!$E$3:$E$1001,M$4))</f>
        <v/>
      </c>
      <c r="N351" s="21" t="str">
        <f>IF(SUMIFS('Input Sheet'!$F$3:$F$1001,'Input Sheet'!$B$3:$B$1001,$H351,'Input Sheet'!$E$3:$E$1001,N$4)=0,"",SUMIFS('Input Sheet'!$F$3:$F$1001,'Input Sheet'!$B$3:$B$1001,$H351,'Input Sheet'!$E$3:$E$1001,N$4))</f>
        <v/>
      </c>
      <c r="O351" s="21" t="str">
        <f>IF(SUMIFS('Input Sheet'!$F$3:$F$1001,'Input Sheet'!$B$3:$B$1001,$H351,'Input Sheet'!$E$3:$E$1001,O$4)=0,"",SUMIFS('Input Sheet'!$F$3:$F$1001,'Input Sheet'!$B$3:$B$1001,$H351,'Input Sheet'!$E$3:$E$1001,O$4))</f>
        <v/>
      </c>
      <c r="P351" s="21" t="str">
        <f>IF(SUMIFS('Input Sheet'!$F$3:$F$1001,'Input Sheet'!$B$3:$B$1001,$H351,'Input Sheet'!$E$3:$E$1001,P$4)=0,"",SUMIFS('Input Sheet'!$F$3:$F$1001,'Input Sheet'!$B$3:$B$1001,$H351,'Input Sheet'!$E$3:$E$1001,P$4))</f>
        <v/>
      </c>
      <c r="Q351" s="21" t="str">
        <f>IF(SUMIFS('Input Sheet'!$F$3:$F$1001,'Input Sheet'!$B$3:$B$1001,$H351,'Input Sheet'!$E$3:$E$1001,Q$4)=0,"",SUMIFS('Input Sheet'!$F$3:$F$1001,'Input Sheet'!$B$3:$B$1001,$H351,'Input Sheet'!$E$3:$E$1001,Q$4))</f>
        <v/>
      </c>
      <c r="R351" s="21" t="str">
        <f>IF(SUMIFS('Input Sheet'!$F$3:$F$1001,'Input Sheet'!$B$3:$B$1001,$H351,'Input Sheet'!$E$3:$E$1001,R$4)=0,"",SUMIFS('Input Sheet'!$F$3:$F$1001,'Input Sheet'!$B$3:$B$1001,$H351,'Input Sheet'!$E$3:$E$1001,R$4))</f>
        <v/>
      </c>
      <c r="S351" s="21" t="str">
        <f>IF(SUMIFS('Input Sheet'!$F$3:$F$1001,'Input Sheet'!$B$3:$B$1001,$H351,'Input Sheet'!$E$3:$E$1001,S$4)=0,"",SUMIFS('Input Sheet'!$F$3:$F$1001,'Input Sheet'!$B$3:$B$1001,$H351,'Input Sheet'!$E$3:$E$1001,S$4))</f>
        <v/>
      </c>
      <c r="T351" s="22">
        <v>346</v>
      </c>
    </row>
    <row r="352" spans="1:20" ht="14.25" customHeight="1" x14ac:dyDescent="0.3">
      <c r="A352" s="4" t="str">
        <f>IF('Input Sheet'!B349=0,"",'Input Sheet'!B349)</f>
        <v/>
      </c>
      <c r="B352" s="24" t="b">
        <f t="shared" si="264"/>
        <v>0</v>
      </c>
      <c r="C352" s="4">
        <f>SUMIF('Input Sheet'!B$3:B$1000,A352,'Input Sheet'!C$3:C$1000)</f>
        <v>0</v>
      </c>
      <c r="D352" s="4">
        <f>SUMIF('Input Sheet'!B$3:B$1000,A352,'Input Sheet'!D$3:D$1000)</f>
        <v>0</v>
      </c>
      <c r="E352" s="4" t="str">
        <f t="shared" ref="E352:F352" ca="1" si="362">IFERROR(RANK(K352,K$6:K$1004,1),"")</f>
        <v/>
      </c>
      <c r="F352" s="4" t="str">
        <f t="shared" ca="1" si="362"/>
        <v/>
      </c>
      <c r="G352" s="4" t="str">
        <f t="shared" ca="1" si="266"/>
        <v/>
      </c>
      <c r="H352" s="4" t="str">
        <f t="shared" si="267"/>
        <v/>
      </c>
      <c r="I352" s="4" t="str">
        <f t="shared" si="268"/>
        <v/>
      </c>
      <c r="J352" s="4" t="str">
        <f t="shared" si="269"/>
        <v/>
      </c>
      <c r="K352" s="25" t="str">
        <f t="shared" ca="1" si="270"/>
        <v/>
      </c>
      <c r="L352" s="21" t="str">
        <f t="shared" ca="1" si="271"/>
        <v/>
      </c>
      <c r="M352" s="21" t="str">
        <f>IF(SUMIFS('Input Sheet'!$F$3:$F$1001,'Input Sheet'!$B$3:$B$1001,$H352,'Input Sheet'!$E$3:$E$1001,M$4)=0,"",SUMIFS('Input Sheet'!$F$3:$F$1001,'Input Sheet'!$B$3:$B$1001,$H352,'Input Sheet'!$E$3:$E$1001,M$4))</f>
        <v/>
      </c>
      <c r="N352" s="21" t="str">
        <f>IF(SUMIFS('Input Sheet'!$F$3:$F$1001,'Input Sheet'!$B$3:$B$1001,$H352,'Input Sheet'!$E$3:$E$1001,N$4)=0,"",SUMIFS('Input Sheet'!$F$3:$F$1001,'Input Sheet'!$B$3:$B$1001,$H352,'Input Sheet'!$E$3:$E$1001,N$4))</f>
        <v/>
      </c>
      <c r="O352" s="21" t="str">
        <f>IF(SUMIFS('Input Sheet'!$F$3:$F$1001,'Input Sheet'!$B$3:$B$1001,$H352,'Input Sheet'!$E$3:$E$1001,O$4)=0,"",SUMIFS('Input Sheet'!$F$3:$F$1001,'Input Sheet'!$B$3:$B$1001,$H352,'Input Sheet'!$E$3:$E$1001,O$4))</f>
        <v/>
      </c>
      <c r="P352" s="21" t="str">
        <f>IF(SUMIFS('Input Sheet'!$F$3:$F$1001,'Input Sheet'!$B$3:$B$1001,$H352,'Input Sheet'!$E$3:$E$1001,P$4)=0,"",SUMIFS('Input Sheet'!$F$3:$F$1001,'Input Sheet'!$B$3:$B$1001,$H352,'Input Sheet'!$E$3:$E$1001,P$4))</f>
        <v/>
      </c>
      <c r="Q352" s="21" t="str">
        <f>IF(SUMIFS('Input Sheet'!$F$3:$F$1001,'Input Sheet'!$B$3:$B$1001,$H352,'Input Sheet'!$E$3:$E$1001,Q$4)=0,"",SUMIFS('Input Sheet'!$F$3:$F$1001,'Input Sheet'!$B$3:$B$1001,$H352,'Input Sheet'!$E$3:$E$1001,Q$4))</f>
        <v/>
      </c>
      <c r="R352" s="21" t="str">
        <f>IF(SUMIFS('Input Sheet'!$F$3:$F$1001,'Input Sheet'!$B$3:$B$1001,$H352,'Input Sheet'!$E$3:$E$1001,R$4)=0,"",SUMIFS('Input Sheet'!$F$3:$F$1001,'Input Sheet'!$B$3:$B$1001,$H352,'Input Sheet'!$E$3:$E$1001,R$4))</f>
        <v/>
      </c>
      <c r="S352" s="21" t="str">
        <f>IF(SUMIFS('Input Sheet'!$F$3:$F$1001,'Input Sheet'!$B$3:$B$1001,$H352,'Input Sheet'!$E$3:$E$1001,S$4)=0,"",SUMIFS('Input Sheet'!$F$3:$F$1001,'Input Sheet'!$B$3:$B$1001,$H352,'Input Sheet'!$E$3:$E$1001,S$4))</f>
        <v/>
      </c>
      <c r="T352" s="22">
        <v>347</v>
      </c>
    </row>
    <row r="353" spans="1:20" ht="14.25" customHeight="1" x14ac:dyDescent="0.3">
      <c r="A353" s="4" t="str">
        <f>IF('Input Sheet'!B350=0,"",'Input Sheet'!B350)</f>
        <v/>
      </c>
      <c r="B353" s="24" t="b">
        <f t="shared" si="264"/>
        <v>0</v>
      </c>
      <c r="C353" s="4">
        <f>SUMIF('Input Sheet'!B$3:B$1000,A353,'Input Sheet'!C$3:C$1000)</f>
        <v>0</v>
      </c>
      <c r="D353" s="4">
        <f>SUMIF('Input Sheet'!B$3:B$1000,A353,'Input Sheet'!D$3:D$1000)</f>
        <v>0</v>
      </c>
      <c r="E353" s="4" t="str">
        <f t="shared" ref="E353:F353" ca="1" si="363">IFERROR(RANK(K353,K$6:K$1004,1),"")</f>
        <v/>
      </c>
      <c r="F353" s="4" t="str">
        <f t="shared" ca="1" si="363"/>
        <v/>
      </c>
      <c r="G353" s="4" t="str">
        <f t="shared" ca="1" si="266"/>
        <v/>
      </c>
      <c r="H353" s="4" t="str">
        <f t="shared" si="267"/>
        <v/>
      </c>
      <c r="I353" s="4" t="str">
        <f t="shared" si="268"/>
        <v/>
      </c>
      <c r="J353" s="4" t="str">
        <f t="shared" si="269"/>
        <v/>
      </c>
      <c r="K353" s="25" t="str">
        <f t="shared" ca="1" si="270"/>
        <v/>
      </c>
      <c r="L353" s="21" t="str">
        <f t="shared" ca="1" si="271"/>
        <v/>
      </c>
      <c r="M353" s="21" t="str">
        <f>IF(SUMIFS('Input Sheet'!$F$3:$F$1001,'Input Sheet'!$B$3:$B$1001,$H353,'Input Sheet'!$E$3:$E$1001,M$4)=0,"",SUMIFS('Input Sheet'!$F$3:$F$1001,'Input Sheet'!$B$3:$B$1001,$H353,'Input Sheet'!$E$3:$E$1001,M$4))</f>
        <v/>
      </c>
      <c r="N353" s="21" t="str">
        <f>IF(SUMIFS('Input Sheet'!$F$3:$F$1001,'Input Sheet'!$B$3:$B$1001,$H353,'Input Sheet'!$E$3:$E$1001,N$4)=0,"",SUMIFS('Input Sheet'!$F$3:$F$1001,'Input Sheet'!$B$3:$B$1001,$H353,'Input Sheet'!$E$3:$E$1001,N$4))</f>
        <v/>
      </c>
      <c r="O353" s="21" t="str">
        <f>IF(SUMIFS('Input Sheet'!$F$3:$F$1001,'Input Sheet'!$B$3:$B$1001,$H353,'Input Sheet'!$E$3:$E$1001,O$4)=0,"",SUMIFS('Input Sheet'!$F$3:$F$1001,'Input Sheet'!$B$3:$B$1001,$H353,'Input Sheet'!$E$3:$E$1001,O$4))</f>
        <v/>
      </c>
      <c r="P353" s="21" t="str">
        <f>IF(SUMIFS('Input Sheet'!$F$3:$F$1001,'Input Sheet'!$B$3:$B$1001,$H353,'Input Sheet'!$E$3:$E$1001,P$4)=0,"",SUMIFS('Input Sheet'!$F$3:$F$1001,'Input Sheet'!$B$3:$B$1001,$H353,'Input Sheet'!$E$3:$E$1001,P$4))</f>
        <v/>
      </c>
      <c r="Q353" s="21" t="str">
        <f>IF(SUMIFS('Input Sheet'!$F$3:$F$1001,'Input Sheet'!$B$3:$B$1001,$H353,'Input Sheet'!$E$3:$E$1001,Q$4)=0,"",SUMIFS('Input Sheet'!$F$3:$F$1001,'Input Sheet'!$B$3:$B$1001,$H353,'Input Sheet'!$E$3:$E$1001,Q$4))</f>
        <v/>
      </c>
      <c r="R353" s="21" t="str">
        <f>IF(SUMIFS('Input Sheet'!$F$3:$F$1001,'Input Sheet'!$B$3:$B$1001,$H353,'Input Sheet'!$E$3:$E$1001,R$4)=0,"",SUMIFS('Input Sheet'!$F$3:$F$1001,'Input Sheet'!$B$3:$B$1001,$H353,'Input Sheet'!$E$3:$E$1001,R$4))</f>
        <v/>
      </c>
      <c r="S353" s="21" t="str">
        <f>IF(SUMIFS('Input Sheet'!$F$3:$F$1001,'Input Sheet'!$B$3:$B$1001,$H353,'Input Sheet'!$E$3:$E$1001,S$4)=0,"",SUMIFS('Input Sheet'!$F$3:$F$1001,'Input Sheet'!$B$3:$B$1001,$H353,'Input Sheet'!$E$3:$E$1001,S$4))</f>
        <v/>
      </c>
      <c r="T353" s="22">
        <v>348</v>
      </c>
    </row>
    <row r="354" spans="1:20" ht="14.25" customHeight="1" x14ac:dyDescent="0.3">
      <c r="A354" s="4" t="str">
        <f>IF('Input Sheet'!B351=0,"",'Input Sheet'!B351)</f>
        <v/>
      </c>
      <c r="B354" s="24" t="b">
        <f t="shared" si="264"/>
        <v>0</v>
      </c>
      <c r="C354" s="4">
        <f>SUMIF('Input Sheet'!B$3:B$1000,A354,'Input Sheet'!C$3:C$1000)</f>
        <v>0</v>
      </c>
      <c r="D354" s="4">
        <f>SUMIF('Input Sheet'!B$3:B$1000,A354,'Input Sheet'!D$3:D$1000)</f>
        <v>0</v>
      </c>
      <c r="E354" s="4" t="str">
        <f t="shared" ref="E354:F354" ca="1" si="364">IFERROR(RANK(K354,K$6:K$1004,1),"")</f>
        <v/>
      </c>
      <c r="F354" s="4" t="str">
        <f t="shared" ca="1" si="364"/>
        <v/>
      </c>
      <c r="G354" s="4" t="str">
        <f t="shared" ca="1" si="266"/>
        <v/>
      </c>
      <c r="H354" s="4" t="str">
        <f t="shared" si="267"/>
        <v/>
      </c>
      <c r="I354" s="4" t="str">
        <f t="shared" si="268"/>
        <v/>
      </c>
      <c r="J354" s="4" t="str">
        <f t="shared" si="269"/>
        <v/>
      </c>
      <c r="K354" s="25" t="str">
        <f t="shared" ca="1" si="270"/>
        <v/>
      </c>
      <c r="L354" s="21" t="str">
        <f t="shared" ca="1" si="271"/>
        <v/>
      </c>
      <c r="M354" s="21" t="str">
        <f>IF(SUMIFS('Input Sheet'!$F$3:$F$1001,'Input Sheet'!$B$3:$B$1001,$H354,'Input Sheet'!$E$3:$E$1001,M$4)=0,"",SUMIFS('Input Sheet'!$F$3:$F$1001,'Input Sheet'!$B$3:$B$1001,$H354,'Input Sheet'!$E$3:$E$1001,M$4))</f>
        <v/>
      </c>
      <c r="N354" s="21" t="str">
        <f>IF(SUMIFS('Input Sheet'!$F$3:$F$1001,'Input Sheet'!$B$3:$B$1001,$H354,'Input Sheet'!$E$3:$E$1001,N$4)=0,"",SUMIFS('Input Sheet'!$F$3:$F$1001,'Input Sheet'!$B$3:$B$1001,$H354,'Input Sheet'!$E$3:$E$1001,N$4))</f>
        <v/>
      </c>
      <c r="O354" s="21" t="str">
        <f>IF(SUMIFS('Input Sheet'!$F$3:$F$1001,'Input Sheet'!$B$3:$B$1001,$H354,'Input Sheet'!$E$3:$E$1001,O$4)=0,"",SUMIFS('Input Sheet'!$F$3:$F$1001,'Input Sheet'!$B$3:$B$1001,$H354,'Input Sheet'!$E$3:$E$1001,O$4))</f>
        <v/>
      </c>
      <c r="P354" s="21" t="str">
        <f>IF(SUMIFS('Input Sheet'!$F$3:$F$1001,'Input Sheet'!$B$3:$B$1001,$H354,'Input Sheet'!$E$3:$E$1001,P$4)=0,"",SUMIFS('Input Sheet'!$F$3:$F$1001,'Input Sheet'!$B$3:$B$1001,$H354,'Input Sheet'!$E$3:$E$1001,P$4))</f>
        <v/>
      </c>
      <c r="Q354" s="21" t="str">
        <f>IF(SUMIFS('Input Sheet'!$F$3:$F$1001,'Input Sheet'!$B$3:$B$1001,$H354,'Input Sheet'!$E$3:$E$1001,Q$4)=0,"",SUMIFS('Input Sheet'!$F$3:$F$1001,'Input Sheet'!$B$3:$B$1001,$H354,'Input Sheet'!$E$3:$E$1001,Q$4))</f>
        <v/>
      </c>
      <c r="R354" s="21" t="str">
        <f>IF(SUMIFS('Input Sheet'!$F$3:$F$1001,'Input Sheet'!$B$3:$B$1001,$H354,'Input Sheet'!$E$3:$E$1001,R$4)=0,"",SUMIFS('Input Sheet'!$F$3:$F$1001,'Input Sheet'!$B$3:$B$1001,$H354,'Input Sheet'!$E$3:$E$1001,R$4))</f>
        <v/>
      </c>
      <c r="S354" s="21" t="str">
        <f>IF(SUMIFS('Input Sheet'!$F$3:$F$1001,'Input Sheet'!$B$3:$B$1001,$H354,'Input Sheet'!$E$3:$E$1001,S$4)=0,"",SUMIFS('Input Sheet'!$F$3:$F$1001,'Input Sheet'!$B$3:$B$1001,$H354,'Input Sheet'!$E$3:$E$1001,S$4))</f>
        <v/>
      </c>
      <c r="T354" s="22">
        <v>349</v>
      </c>
    </row>
    <row r="355" spans="1:20" ht="14.25" customHeight="1" x14ac:dyDescent="0.3">
      <c r="A355" s="4" t="str">
        <f>IF('Input Sheet'!B352=0,"",'Input Sheet'!B352)</f>
        <v/>
      </c>
      <c r="B355" s="24" t="b">
        <f t="shared" si="264"/>
        <v>0</v>
      </c>
      <c r="C355" s="4">
        <f>SUMIF('Input Sheet'!B$3:B$1000,A355,'Input Sheet'!C$3:C$1000)</f>
        <v>0</v>
      </c>
      <c r="D355" s="4">
        <f>SUMIF('Input Sheet'!B$3:B$1000,A355,'Input Sheet'!D$3:D$1000)</f>
        <v>0</v>
      </c>
      <c r="E355" s="4" t="str">
        <f t="shared" ref="E355:F355" ca="1" si="365">IFERROR(RANK(K355,K$6:K$1004,1),"")</f>
        <v/>
      </c>
      <c r="F355" s="4" t="str">
        <f t="shared" ca="1" si="365"/>
        <v/>
      </c>
      <c r="G355" s="4" t="str">
        <f t="shared" ca="1" si="266"/>
        <v/>
      </c>
      <c r="H355" s="4" t="str">
        <f t="shared" si="267"/>
        <v/>
      </c>
      <c r="I355" s="4" t="str">
        <f t="shared" si="268"/>
        <v/>
      </c>
      <c r="J355" s="4" t="str">
        <f t="shared" si="269"/>
        <v/>
      </c>
      <c r="K355" s="25" t="str">
        <f t="shared" ca="1" si="270"/>
        <v/>
      </c>
      <c r="L355" s="21" t="str">
        <f t="shared" ca="1" si="271"/>
        <v/>
      </c>
      <c r="M355" s="21" t="str">
        <f>IF(SUMIFS('Input Sheet'!$F$3:$F$1001,'Input Sheet'!$B$3:$B$1001,$H355,'Input Sheet'!$E$3:$E$1001,M$4)=0,"",SUMIFS('Input Sheet'!$F$3:$F$1001,'Input Sheet'!$B$3:$B$1001,$H355,'Input Sheet'!$E$3:$E$1001,M$4))</f>
        <v/>
      </c>
      <c r="N355" s="21" t="str">
        <f>IF(SUMIFS('Input Sheet'!$F$3:$F$1001,'Input Sheet'!$B$3:$B$1001,$H355,'Input Sheet'!$E$3:$E$1001,N$4)=0,"",SUMIFS('Input Sheet'!$F$3:$F$1001,'Input Sheet'!$B$3:$B$1001,$H355,'Input Sheet'!$E$3:$E$1001,N$4))</f>
        <v/>
      </c>
      <c r="O355" s="21" t="str">
        <f>IF(SUMIFS('Input Sheet'!$F$3:$F$1001,'Input Sheet'!$B$3:$B$1001,$H355,'Input Sheet'!$E$3:$E$1001,O$4)=0,"",SUMIFS('Input Sheet'!$F$3:$F$1001,'Input Sheet'!$B$3:$B$1001,$H355,'Input Sheet'!$E$3:$E$1001,O$4))</f>
        <v/>
      </c>
      <c r="P355" s="21" t="str">
        <f>IF(SUMIFS('Input Sheet'!$F$3:$F$1001,'Input Sheet'!$B$3:$B$1001,$H355,'Input Sheet'!$E$3:$E$1001,P$4)=0,"",SUMIFS('Input Sheet'!$F$3:$F$1001,'Input Sheet'!$B$3:$B$1001,$H355,'Input Sheet'!$E$3:$E$1001,P$4))</f>
        <v/>
      </c>
      <c r="Q355" s="21" t="str">
        <f>IF(SUMIFS('Input Sheet'!$F$3:$F$1001,'Input Sheet'!$B$3:$B$1001,$H355,'Input Sheet'!$E$3:$E$1001,Q$4)=0,"",SUMIFS('Input Sheet'!$F$3:$F$1001,'Input Sheet'!$B$3:$B$1001,$H355,'Input Sheet'!$E$3:$E$1001,Q$4))</f>
        <v/>
      </c>
      <c r="R355" s="21" t="str">
        <f>IF(SUMIFS('Input Sheet'!$F$3:$F$1001,'Input Sheet'!$B$3:$B$1001,$H355,'Input Sheet'!$E$3:$E$1001,R$4)=0,"",SUMIFS('Input Sheet'!$F$3:$F$1001,'Input Sheet'!$B$3:$B$1001,$H355,'Input Sheet'!$E$3:$E$1001,R$4))</f>
        <v/>
      </c>
      <c r="S355" s="21" t="str">
        <f>IF(SUMIFS('Input Sheet'!$F$3:$F$1001,'Input Sheet'!$B$3:$B$1001,$H355,'Input Sheet'!$E$3:$E$1001,S$4)=0,"",SUMIFS('Input Sheet'!$F$3:$F$1001,'Input Sheet'!$B$3:$B$1001,$H355,'Input Sheet'!$E$3:$E$1001,S$4))</f>
        <v/>
      </c>
      <c r="T355" s="22">
        <v>350</v>
      </c>
    </row>
    <row r="356" spans="1:20" ht="14.25" customHeight="1" x14ac:dyDescent="0.3">
      <c r="A356" s="4" t="str">
        <f>IF('Input Sheet'!B353=0,"",'Input Sheet'!B353)</f>
        <v/>
      </c>
      <c r="B356" s="24" t="b">
        <f t="shared" si="264"/>
        <v>0</v>
      </c>
      <c r="C356" s="4">
        <f>SUMIF('Input Sheet'!B$3:B$1000,A356,'Input Sheet'!C$3:C$1000)</f>
        <v>0</v>
      </c>
      <c r="D356" s="4">
        <f>SUMIF('Input Sheet'!B$3:B$1000,A356,'Input Sheet'!D$3:D$1000)</f>
        <v>0</v>
      </c>
      <c r="E356" s="4" t="str">
        <f t="shared" ref="E356:F356" ca="1" si="366">IFERROR(RANK(K356,K$6:K$1004,1),"")</f>
        <v/>
      </c>
      <c r="F356" s="4" t="str">
        <f t="shared" ca="1" si="366"/>
        <v/>
      </c>
      <c r="G356" s="4" t="str">
        <f t="shared" ca="1" si="266"/>
        <v/>
      </c>
      <c r="H356" s="4" t="str">
        <f t="shared" si="267"/>
        <v/>
      </c>
      <c r="I356" s="4" t="str">
        <f t="shared" si="268"/>
        <v/>
      </c>
      <c r="J356" s="4" t="str">
        <f t="shared" si="269"/>
        <v/>
      </c>
      <c r="K356" s="25" t="str">
        <f t="shared" ca="1" si="270"/>
        <v/>
      </c>
      <c r="L356" s="21" t="str">
        <f t="shared" ca="1" si="271"/>
        <v/>
      </c>
      <c r="M356" s="21" t="str">
        <f>IF(SUMIFS('Input Sheet'!$F$3:$F$1001,'Input Sheet'!$B$3:$B$1001,$H356,'Input Sheet'!$E$3:$E$1001,M$4)=0,"",SUMIFS('Input Sheet'!$F$3:$F$1001,'Input Sheet'!$B$3:$B$1001,$H356,'Input Sheet'!$E$3:$E$1001,M$4))</f>
        <v/>
      </c>
      <c r="N356" s="21" t="str">
        <f>IF(SUMIFS('Input Sheet'!$F$3:$F$1001,'Input Sheet'!$B$3:$B$1001,$H356,'Input Sheet'!$E$3:$E$1001,N$4)=0,"",SUMIFS('Input Sheet'!$F$3:$F$1001,'Input Sheet'!$B$3:$B$1001,$H356,'Input Sheet'!$E$3:$E$1001,N$4))</f>
        <v/>
      </c>
      <c r="O356" s="21" t="str">
        <f>IF(SUMIFS('Input Sheet'!$F$3:$F$1001,'Input Sheet'!$B$3:$B$1001,$H356,'Input Sheet'!$E$3:$E$1001,O$4)=0,"",SUMIFS('Input Sheet'!$F$3:$F$1001,'Input Sheet'!$B$3:$B$1001,$H356,'Input Sheet'!$E$3:$E$1001,O$4))</f>
        <v/>
      </c>
      <c r="P356" s="21" t="str">
        <f>IF(SUMIFS('Input Sheet'!$F$3:$F$1001,'Input Sheet'!$B$3:$B$1001,$H356,'Input Sheet'!$E$3:$E$1001,P$4)=0,"",SUMIFS('Input Sheet'!$F$3:$F$1001,'Input Sheet'!$B$3:$B$1001,$H356,'Input Sheet'!$E$3:$E$1001,P$4))</f>
        <v/>
      </c>
      <c r="Q356" s="21" t="str">
        <f>IF(SUMIFS('Input Sheet'!$F$3:$F$1001,'Input Sheet'!$B$3:$B$1001,$H356,'Input Sheet'!$E$3:$E$1001,Q$4)=0,"",SUMIFS('Input Sheet'!$F$3:$F$1001,'Input Sheet'!$B$3:$B$1001,$H356,'Input Sheet'!$E$3:$E$1001,Q$4))</f>
        <v/>
      </c>
      <c r="R356" s="21" t="str">
        <f>IF(SUMIFS('Input Sheet'!$F$3:$F$1001,'Input Sheet'!$B$3:$B$1001,$H356,'Input Sheet'!$E$3:$E$1001,R$4)=0,"",SUMIFS('Input Sheet'!$F$3:$F$1001,'Input Sheet'!$B$3:$B$1001,$H356,'Input Sheet'!$E$3:$E$1001,R$4))</f>
        <v/>
      </c>
      <c r="S356" s="21" t="str">
        <f>IF(SUMIFS('Input Sheet'!$F$3:$F$1001,'Input Sheet'!$B$3:$B$1001,$H356,'Input Sheet'!$E$3:$E$1001,S$4)=0,"",SUMIFS('Input Sheet'!$F$3:$F$1001,'Input Sheet'!$B$3:$B$1001,$H356,'Input Sheet'!$E$3:$E$1001,S$4))</f>
        <v/>
      </c>
      <c r="T356" s="22">
        <v>351</v>
      </c>
    </row>
    <row r="357" spans="1:20" ht="14.25" customHeight="1" x14ac:dyDescent="0.3">
      <c r="A357" s="4" t="str">
        <f>IF('Input Sheet'!B354=0,"",'Input Sheet'!B354)</f>
        <v/>
      </c>
      <c r="B357" s="24" t="b">
        <f t="shared" si="264"/>
        <v>0</v>
      </c>
      <c r="C357" s="4">
        <f>SUMIF('Input Sheet'!B$3:B$1000,A357,'Input Sheet'!C$3:C$1000)</f>
        <v>0</v>
      </c>
      <c r="D357" s="4">
        <f>SUMIF('Input Sheet'!B$3:B$1000,A357,'Input Sheet'!D$3:D$1000)</f>
        <v>0</v>
      </c>
      <c r="E357" s="4" t="str">
        <f t="shared" ref="E357:F357" ca="1" si="367">IFERROR(RANK(K357,K$6:K$1004,1),"")</f>
        <v/>
      </c>
      <c r="F357" s="4" t="str">
        <f t="shared" ca="1" si="367"/>
        <v/>
      </c>
      <c r="G357" s="4" t="str">
        <f t="shared" ca="1" si="266"/>
        <v/>
      </c>
      <c r="H357" s="4" t="str">
        <f t="shared" si="267"/>
        <v/>
      </c>
      <c r="I357" s="4" t="str">
        <f t="shared" si="268"/>
        <v/>
      </c>
      <c r="J357" s="4" t="str">
        <f t="shared" si="269"/>
        <v/>
      </c>
      <c r="K357" s="25" t="str">
        <f t="shared" ca="1" si="270"/>
        <v/>
      </c>
      <c r="L357" s="21" t="str">
        <f t="shared" ca="1" si="271"/>
        <v/>
      </c>
      <c r="M357" s="21" t="str">
        <f>IF(SUMIFS('Input Sheet'!$F$3:$F$1001,'Input Sheet'!$B$3:$B$1001,$H357,'Input Sheet'!$E$3:$E$1001,M$4)=0,"",SUMIFS('Input Sheet'!$F$3:$F$1001,'Input Sheet'!$B$3:$B$1001,$H357,'Input Sheet'!$E$3:$E$1001,M$4))</f>
        <v/>
      </c>
      <c r="N357" s="21" t="str">
        <f>IF(SUMIFS('Input Sheet'!$F$3:$F$1001,'Input Sheet'!$B$3:$B$1001,$H357,'Input Sheet'!$E$3:$E$1001,N$4)=0,"",SUMIFS('Input Sheet'!$F$3:$F$1001,'Input Sheet'!$B$3:$B$1001,$H357,'Input Sheet'!$E$3:$E$1001,N$4))</f>
        <v/>
      </c>
      <c r="O357" s="21" t="str">
        <f>IF(SUMIFS('Input Sheet'!$F$3:$F$1001,'Input Sheet'!$B$3:$B$1001,$H357,'Input Sheet'!$E$3:$E$1001,O$4)=0,"",SUMIFS('Input Sheet'!$F$3:$F$1001,'Input Sheet'!$B$3:$B$1001,$H357,'Input Sheet'!$E$3:$E$1001,O$4))</f>
        <v/>
      </c>
      <c r="P357" s="21" t="str">
        <f>IF(SUMIFS('Input Sheet'!$F$3:$F$1001,'Input Sheet'!$B$3:$B$1001,$H357,'Input Sheet'!$E$3:$E$1001,P$4)=0,"",SUMIFS('Input Sheet'!$F$3:$F$1001,'Input Sheet'!$B$3:$B$1001,$H357,'Input Sheet'!$E$3:$E$1001,P$4))</f>
        <v/>
      </c>
      <c r="Q357" s="21" t="str">
        <f>IF(SUMIFS('Input Sheet'!$F$3:$F$1001,'Input Sheet'!$B$3:$B$1001,$H357,'Input Sheet'!$E$3:$E$1001,Q$4)=0,"",SUMIFS('Input Sheet'!$F$3:$F$1001,'Input Sheet'!$B$3:$B$1001,$H357,'Input Sheet'!$E$3:$E$1001,Q$4))</f>
        <v/>
      </c>
      <c r="R357" s="21" t="str">
        <f>IF(SUMIFS('Input Sheet'!$F$3:$F$1001,'Input Sheet'!$B$3:$B$1001,$H357,'Input Sheet'!$E$3:$E$1001,R$4)=0,"",SUMIFS('Input Sheet'!$F$3:$F$1001,'Input Sheet'!$B$3:$B$1001,$H357,'Input Sheet'!$E$3:$E$1001,R$4))</f>
        <v/>
      </c>
      <c r="S357" s="21" t="str">
        <f>IF(SUMIFS('Input Sheet'!$F$3:$F$1001,'Input Sheet'!$B$3:$B$1001,$H357,'Input Sheet'!$E$3:$E$1001,S$4)=0,"",SUMIFS('Input Sheet'!$F$3:$F$1001,'Input Sheet'!$B$3:$B$1001,$H357,'Input Sheet'!$E$3:$E$1001,S$4))</f>
        <v/>
      </c>
      <c r="T357" s="22">
        <v>352</v>
      </c>
    </row>
    <row r="358" spans="1:20" ht="14.25" customHeight="1" x14ac:dyDescent="0.3">
      <c r="A358" s="4" t="str">
        <f>IF('Input Sheet'!B355=0,"",'Input Sheet'!B355)</f>
        <v/>
      </c>
      <c r="B358" s="24" t="b">
        <f t="shared" si="264"/>
        <v>0</v>
      </c>
      <c r="C358" s="4">
        <f>SUMIF('Input Sheet'!B$3:B$1000,A358,'Input Sheet'!C$3:C$1000)</f>
        <v>0</v>
      </c>
      <c r="D358" s="4">
        <f>SUMIF('Input Sheet'!B$3:B$1000,A358,'Input Sheet'!D$3:D$1000)</f>
        <v>0</v>
      </c>
      <c r="E358" s="4" t="str">
        <f t="shared" ref="E358:F358" ca="1" si="368">IFERROR(RANK(K358,K$6:K$1004,1),"")</f>
        <v/>
      </c>
      <c r="F358" s="4" t="str">
        <f t="shared" ca="1" si="368"/>
        <v/>
      </c>
      <c r="G358" s="4" t="str">
        <f t="shared" ca="1" si="266"/>
        <v/>
      </c>
      <c r="H358" s="4" t="str">
        <f t="shared" si="267"/>
        <v/>
      </c>
      <c r="I358" s="4" t="str">
        <f t="shared" si="268"/>
        <v/>
      </c>
      <c r="J358" s="4" t="str">
        <f t="shared" si="269"/>
        <v/>
      </c>
      <c r="K358" s="25" t="str">
        <f t="shared" ca="1" si="270"/>
        <v/>
      </c>
      <c r="L358" s="21" t="str">
        <f t="shared" ca="1" si="271"/>
        <v/>
      </c>
      <c r="M358" s="21" t="str">
        <f>IF(SUMIFS('Input Sheet'!$F$3:$F$1001,'Input Sheet'!$B$3:$B$1001,$H358,'Input Sheet'!$E$3:$E$1001,M$4)=0,"",SUMIFS('Input Sheet'!$F$3:$F$1001,'Input Sheet'!$B$3:$B$1001,$H358,'Input Sheet'!$E$3:$E$1001,M$4))</f>
        <v/>
      </c>
      <c r="N358" s="21" t="str">
        <f>IF(SUMIFS('Input Sheet'!$F$3:$F$1001,'Input Sheet'!$B$3:$B$1001,$H358,'Input Sheet'!$E$3:$E$1001,N$4)=0,"",SUMIFS('Input Sheet'!$F$3:$F$1001,'Input Sheet'!$B$3:$B$1001,$H358,'Input Sheet'!$E$3:$E$1001,N$4))</f>
        <v/>
      </c>
      <c r="O358" s="21" t="str">
        <f>IF(SUMIFS('Input Sheet'!$F$3:$F$1001,'Input Sheet'!$B$3:$B$1001,$H358,'Input Sheet'!$E$3:$E$1001,O$4)=0,"",SUMIFS('Input Sheet'!$F$3:$F$1001,'Input Sheet'!$B$3:$B$1001,$H358,'Input Sheet'!$E$3:$E$1001,O$4))</f>
        <v/>
      </c>
      <c r="P358" s="21" t="str">
        <f>IF(SUMIFS('Input Sheet'!$F$3:$F$1001,'Input Sheet'!$B$3:$B$1001,$H358,'Input Sheet'!$E$3:$E$1001,P$4)=0,"",SUMIFS('Input Sheet'!$F$3:$F$1001,'Input Sheet'!$B$3:$B$1001,$H358,'Input Sheet'!$E$3:$E$1001,P$4))</f>
        <v/>
      </c>
      <c r="Q358" s="21" t="str">
        <f>IF(SUMIFS('Input Sheet'!$F$3:$F$1001,'Input Sheet'!$B$3:$B$1001,$H358,'Input Sheet'!$E$3:$E$1001,Q$4)=0,"",SUMIFS('Input Sheet'!$F$3:$F$1001,'Input Sheet'!$B$3:$B$1001,$H358,'Input Sheet'!$E$3:$E$1001,Q$4))</f>
        <v/>
      </c>
      <c r="R358" s="21" t="str">
        <f>IF(SUMIFS('Input Sheet'!$F$3:$F$1001,'Input Sheet'!$B$3:$B$1001,$H358,'Input Sheet'!$E$3:$E$1001,R$4)=0,"",SUMIFS('Input Sheet'!$F$3:$F$1001,'Input Sheet'!$B$3:$B$1001,$H358,'Input Sheet'!$E$3:$E$1001,R$4))</f>
        <v/>
      </c>
      <c r="S358" s="21" t="str">
        <f>IF(SUMIFS('Input Sheet'!$F$3:$F$1001,'Input Sheet'!$B$3:$B$1001,$H358,'Input Sheet'!$E$3:$E$1001,S$4)=0,"",SUMIFS('Input Sheet'!$F$3:$F$1001,'Input Sheet'!$B$3:$B$1001,$H358,'Input Sheet'!$E$3:$E$1001,S$4))</f>
        <v/>
      </c>
      <c r="T358" s="22">
        <v>353</v>
      </c>
    </row>
    <row r="359" spans="1:20" ht="14.25" customHeight="1" x14ac:dyDescent="0.3">
      <c r="A359" s="4" t="str">
        <f>IF('Input Sheet'!B356=0,"",'Input Sheet'!B356)</f>
        <v/>
      </c>
      <c r="B359" s="24" t="b">
        <f t="shared" si="264"/>
        <v>0</v>
      </c>
      <c r="C359" s="4">
        <f>SUMIF('Input Sheet'!B$3:B$1000,A359,'Input Sheet'!C$3:C$1000)</f>
        <v>0</v>
      </c>
      <c r="D359" s="4">
        <f>SUMIF('Input Sheet'!B$3:B$1000,A359,'Input Sheet'!D$3:D$1000)</f>
        <v>0</v>
      </c>
      <c r="E359" s="4" t="str">
        <f t="shared" ref="E359:F359" ca="1" si="369">IFERROR(RANK(K359,K$6:K$1004,1),"")</f>
        <v/>
      </c>
      <c r="F359" s="4" t="str">
        <f t="shared" ca="1" si="369"/>
        <v/>
      </c>
      <c r="G359" s="4" t="str">
        <f t="shared" ca="1" si="266"/>
        <v/>
      </c>
      <c r="H359" s="4" t="str">
        <f t="shared" si="267"/>
        <v/>
      </c>
      <c r="I359" s="4" t="str">
        <f t="shared" si="268"/>
        <v/>
      </c>
      <c r="J359" s="4" t="str">
        <f t="shared" si="269"/>
        <v/>
      </c>
      <c r="K359" s="25" t="str">
        <f t="shared" ca="1" si="270"/>
        <v/>
      </c>
      <c r="L359" s="21" t="str">
        <f t="shared" ca="1" si="271"/>
        <v/>
      </c>
      <c r="M359" s="21" t="str">
        <f>IF(SUMIFS('Input Sheet'!$F$3:$F$1001,'Input Sheet'!$B$3:$B$1001,$H359,'Input Sheet'!$E$3:$E$1001,M$4)=0,"",SUMIFS('Input Sheet'!$F$3:$F$1001,'Input Sheet'!$B$3:$B$1001,$H359,'Input Sheet'!$E$3:$E$1001,M$4))</f>
        <v/>
      </c>
      <c r="N359" s="21" t="str">
        <f>IF(SUMIFS('Input Sheet'!$F$3:$F$1001,'Input Sheet'!$B$3:$B$1001,$H359,'Input Sheet'!$E$3:$E$1001,N$4)=0,"",SUMIFS('Input Sheet'!$F$3:$F$1001,'Input Sheet'!$B$3:$B$1001,$H359,'Input Sheet'!$E$3:$E$1001,N$4))</f>
        <v/>
      </c>
      <c r="O359" s="21" t="str">
        <f>IF(SUMIFS('Input Sheet'!$F$3:$F$1001,'Input Sheet'!$B$3:$B$1001,$H359,'Input Sheet'!$E$3:$E$1001,O$4)=0,"",SUMIFS('Input Sheet'!$F$3:$F$1001,'Input Sheet'!$B$3:$B$1001,$H359,'Input Sheet'!$E$3:$E$1001,O$4))</f>
        <v/>
      </c>
      <c r="P359" s="21" t="str">
        <f>IF(SUMIFS('Input Sheet'!$F$3:$F$1001,'Input Sheet'!$B$3:$B$1001,$H359,'Input Sheet'!$E$3:$E$1001,P$4)=0,"",SUMIFS('Input Sheet'!$F$3:$F$1001,'Input Sheet'!$B$3:$B$1001,$H359,'Input Sheet'!$E$3:$E$1001,P$4))</f>
        <v/>
      </c>
      <c r="Q359" s="21" t="str">
        <f>IF(SUMIFS('Input Sheet'!$F$3:$F$1001,'Input Sheet'!$B$3:$B$1001,$H359,'Input Sheet'!$E$3:$E$1001,Q$4)=0,"",SUMIFS('Input Sheet'!$F$3:$F$1001,'Input Sheet'!$B$3:$B$1001,$H359,'Input Sheet'!$E$3:$E$1001,Q$4))</f>
        <v/>
      </c>
      <c r="R359" s="21" t="str">
        <f>IF(SUMIFS('Input Sheet'!$F$3:$F$1001,'Input Sheet'!$B$3:$B$1001,$H359,'Input Sheet'!$E$3:$E$1001,R$4)=0,"",SUMIFS('Input Sheet'!$F$3:$F$1001,'Input Sheet'!$B$3:$B$1001,$H359,'Input Sheet'!$E$3:$E$1001,R$4))</f>
        <v/>
      </c>
      <c r="S359" s="21" t="str">
        <f>IF(SUMIFS('Input Sheet'!$F$3:$F$1001,'Input Sheet'!$B$3:$B$1001,$H359,'Input Sheet'!$E$3:$E$1001,S$4)=0,"",SUMIFS('Input Sheet'!$F$3:$F$1001,'Input Sheet'!$B$3:$B$1001,$H359,'Input Sheet'!$E$3:$E$1001,S$4))</f>
        <v/>
      </c>
      <c r="T359" s="22">
        <v>354</v>
      </c>
    </row>
    <row r="360" spans="1:20" ht="14.25" customHeight="1" x14ac:dyDescent="0.3">
      <c r="A360" s="4" t="str">
        <f>IF('Input Sheet'!B357=0,"",'Input Sheet'!B357)</f>
        <v/>
      </c>
      <c r="B360" s="24" t="b">
        <f t="shared" si="264"/>
        <v>0</v>
      </c>
      <c r="C360" s="4">
        <f>SUMIF('Input Sheet'!B$3:B$1000,A360,'Input Sheet'!C$3:C$1000)</f>
        <v>0</v>
      </c>
      <c r="D360" s="4">
        <f>SUMIF('Input Sheet'!B$3:B$1000,A360,'Input Sheet'!D$3:D$1000)</f>
        <v>0</v>
      </c>
      <c r="E360" s="4" t="str">
        <f t="shared" ref="E360:F360" ca="1" si="370">IFERROR(RANK(K360,K$6:K$1004,1),"")</f>
        <v/>
      </c>
      <c r="F360" s="4" t="str">
        <f t="shared" ca="1" si="370"/>
        <v/>
      </c>
      <c r="G360" s="4" t="str">
        <f t="shared" ca="1" si="266"/>
        <v/>
      </c>
      <c r="H360" s="4" t="str">
        <f t="shared" si="267"/>
        <v/>
      </c>
      <c r="I360" s="4" t="str">
        <f t="shared" si="268"/>
        <v/>
      </c>
      <c r="J360" s="4" t="str">
        <f t="shared" si="269"/>
        <v/>
      </c>
      <c r="K360" s="25" t="str">
        <f t="shared" ca="1" si="270"/>
        <v/>
      </c>
      <c r="L360" s="21" t="str">
        <f t="shared" ca="1" si="271"/>
        <v/>
      </c>
      <c r="M360" s="21" t="str">
        <f>IF(SUMIFS('Input Sheet'!$F$3:$F$1001,'Input Sheet'!$B$3:$B$1001,$H360,'Input Sheet'!$E$3:$E$1001,M$4)=0,"",SUMIFS('Input Sheet'!$F$3:$F$1001,'Input Sheet'!$B$3:$B$1001,$H360,'Input Sheet'!$E$3:$E$1001,M$4))</f>
        <v/>
      </c>
      <c r="N360" s="21" t="str">
        <f>IF(SUMIFS('Input Sheet'!$F$3:$F$1001,'Input Sheet'!$B$3:$B$1001,$H360,'Input Sheet'!$E$3:$E$1001,N$4)=0,"",SUMIFS('Input Sheet'!$F$3:$F$1001,'Input Sheet'!$B$3:$B$1001,$H360,'Input Sheet'!$E$3:$E$1001,N$4))</f>
        <v/>
      </c>
      <c r="O360" s="21" t="str">
        <f>IF(SUMIFS('Input Sheet'!$F$3:$F$1001,'Input Sheet'!$B$3:$B$1001,$H360,'Input Sheet'!$E$3:$E$1001,O$4)=0,"",SUMIFS('Input Sheet'!$F$3:$F$1001,'Input Sheet'!$B$3:$B$1001,$H360,'Input Sheet'!$E$3:$E$1001,O$4))</f>
        <v/>
      </c>
      <c r="P360" s="21" t="str">
        <f>IF(SUMIFS('Input Sheet'!$F$3:$F$1001,'Input Sheet'!$B$3:$B$1001,$H360,'Input Sheet'!$E$3:$E$1001,P$4)=0,"",SUMIFS('Input Sheet'!$F$3:$F$1001,'Input Sheet'!$B$3:$B$1001,$H360,'Input Sheet'!$E$3:$E$1001,P$4))</f>
        <v/>
      </c>
      <c r="Q360" s="21" t="str">
        <f>IF(SUMIFS('Input Sheet'!$F$3:$F$1001,'Input Sheet'!$B$3:$B$1001,$H360,'Input Sheet'!$E$3:$E$1001,Q$4)=0,"",SUMIFS('Input Sheet'!$F$3:$F$1001,'Input Sheet'!$B$3:$B$1001,$H360,'Input Sheet'!$E$3:$E$1001,Q$4))</f>
        <v/>
      </c>
      <c r="R360" s="21" t="str">
        <f>IF(SUMIFS('Input Sheet'!$F$3:$F$1001,'Input Sheet'!$B$3:$B$1001,$H360,'Input Sheet'!$E$3:$E$1001,R$4)=0,"",SUMIFS('Input Sheet'!$F$3:$F$1001,'Input Sheet'!$B$3:$B$1001,$H360,'Input Sheet'!$E$3:$E$1001,R$4))</f>
        <v/>
      </c>
      <c r="S360" s="21" t="str">
        <f>IF(SUMIFS('Input Sheet'!$F$3:$F$1001,'Input Sheet'!$B$3:$B$1001,$H360,'Input Sheet'!$E$3:$E$1001,S$4)=0,"",SUMIFS('Input Sheet'!$F$3:$F$1001,'Input Sheet'!$B$3:$B$1001,$H360,'Input Sheet'!$E$3:$E$1001,S$4))</f>
        <v/>
      </c>
      <c r="T360" s="22">
        <v>355</v>
      </c>
    </row>
    <row r="361" spans="1:20" ht="14.25" customHeight="1" x14ac:dyDescent="0.3">
      <c r="A361" s="4" t="str">
        <f>IF('Input Sheet'!B358=0,"",'Input Sheet'!B358)</f>
        <v/>
      </c>
      <c r="B361" s="24" t="b">
        <f t="shared" si="264"/>
        <v>0</v>
      </c>
      <c r="C361" s="4">
        <f>SUMIF('Input Sheet'!B$3:B$1000,A361,'Input Sheet'!C$3:C$1000)</f>
        <v>0</v>
      </c>
      <c r="D361" s="4">
        <f>SUMIF('Input Sheet'!B$3:B$1000,A361,'Input Sheet'!D$3:D$1000)</f>
        <v>0</v>
      </c>
      <c r="E361" s="4" t="str">
        <f t="shared" ref="E361:F361" ca="1" si="371">IFERROR(RANK(K361,K$6:K$1004,1),"")</f>
        <v/>
      </c>
      <c r="F361" s="4" t="str">
        <f t="shared" ca="1" si="371"/>
        <v/>
      </c>
      <c r="G361" s="4" t="str">
        <f t="shared" ca="1" si="266"/>
        <v/>
      </c>
      <c r="H361" s="4" t="str">
        <f t="shared" si="267"/>
        <v/>
      </c>
      <c r="I361" s="4" t="str">
        <f t="shared" si="268"/>
        <v/>
      </c>
      <c r="J361" s="4" t="str">
        <f t="shared" si="269"/>
        <v/>
      </c>
      <c r="K361" s="25" t="str">
        <f t="shared" ca="1" si="270"/>
        <v/>
      </c>
      <c r="L361" s="21" t="str">
        <f t="shared" ca="1" si="271"/>
        <v/>
      </c>
      <c r="M361" s="21" t="str">
        <f>IF(SUMIFS('Input Sheet'!$F$3:$F$1001,'Input Sheet'!$B$3:$B$1001,$H361,'Input Sheet'!$E$3:$E$1001,M$4)=0,"",SUMIFS('Input Sheet'!$F$3:$F$1001,'Input Sheet'!$B$3:$B$1001,$H361,'Input Sheet'!$E$3:$E$1001,M$4))</f>
        <v/>
      </c>
      <c r="N361" s="21" t="str">
        <f>IF(SUMIFS('Input Sheet'!$F$3:$F$1001,'Input Sheet'!$B$3:$B$1001,$H361,'Input Sheet'!$E$3:$E$1001,N$4)=0,"",SUMIFS('Input Sheet'!$F$3:$F$1001,'Input Sheet'!$B$3:$B$1001,$H361,'Input Sheet'!$E$3:$E$1001,N$4))</f>
        <v/>
      </c>
      <c r="O361" s="21" t="str">
        <f>IF(SUMIFS('Input Sheet'!$F$3:$F$1001,'Input Sheet'!$B$3:$B$1001,$H361,'Input Sheet'!$E$3:$E$1001,O$4)=0,"",SUMIFS('Input Sheet'!$F$3:$F$1001,'Input Sheet'!$B$3:$B$1001,$H361,'Input Sheet'!$E$3:$E$1001,O$4))</f>
        <v/>
      </c>
      <c r="P361" s="21" t="str">
        <f>IF(SUMIFS('Input Sheet'!$F$3:$F$1001,'Input Sheet'!$B$3:$B$1001,$H361,'Input Sheet'!$E$3:$E$1001,P$4)=0,"",SUMIFS('Input Sheet'!$F$3:$F$1001,'Input Sheet'!$B$3:$B$1001,$H361,'Input Sheet'!$E$3:$E$1001,P$4))</f>
        <v/>
      </c>
      <c r="Q361" s="21" t="str">
        <f>IF(SUMIFS('Input Sheet'!$F$3:$F$1001,'Input Sheet'!$B$3:$B$1001,$H361,'Input Sheet'!$E$3:$E$1001,Q$4)=0,"",SUMIFS('Input Sheet'!$F$3:$F$1001,'Input Sheet'!$B$3:$B$1001,$H361,'Input Sheet'!$E$3:$E$1001,Q$4))</f>
        <v/>
      </c>
      <c r="R361" s="21" t="str">
        <f>IF(SUMIFS('Input Sheet'!$F$3:$F$1001,'Input Sheet'!$B$3:$B$1001,$H361,'Input Sheet'!$E$3:$E$1001,R$4)=0,"",SUMIFS('Input Sheet'!$F$3:$F$1001,'Input Sheet'!$B$3:$B$1001,$H361,'Input Sheet'!$E$3:$E$1001,R$4))</f>
        <v/>
      </c>
      <c r="S361" s="21" t="str">
        <f>IF(SUMIFS('Input Sheet'!$F$3:$F$1001,'Input Sheet'!$B$3:$B$1001,$H361,'Input Sheet'!$E$3:$E$1001,S$4)=0,"",SUMIFS('Input Sheet'!$F$3:$F$1001,'Input Sheet'!$B$3:$B$1001,$H361,'Input Sheet'!$E$3:$E$1001,S$4))</f>
        <v/>
      </c>
      <c r="T361" s="22">
        <v>356</v>
      </c>
    </row>
    <row r="362" spans="1:20" ht="14.25" customHeight="1" x14ac:dyDescent="0.3">
      <c r="A362" s="4" t="str">
        <f>IF('Input Sheet'!B359=0,"",'Input Sheet'!B359)</f>
        <v/>
      </c>
      <c r="B362" s="24" t="b">
        <f t="shared" si="264"/>
        <v>0</v>
      </c>
      <c r="C362" s="4">
        <f>SUMIF('Input Sheet'!B$3:B$1000,A362,'Input Sheet'!C$3:C$1000)</f>
        <v>0</v>
      </c>
      <c r="D362" s="4">
        <f>SUMIF('Input Sheet'!B$3:B$1000,A362,'Input Sheet'!D$3:D$1000)</f>
        <v>0</v>
      </c>
      <c r="E362" s="4" t="str">
        <f t="shared" ref="E362:F362" ca="1" si="372">IFERROR(RANK(K362,K$6:K$1004,1),"")</f>
        <v/>
      </c>
      <c r="F362" s="4" t="str">
        <f t="shared" ca="1" si="372"/>
        <v/>
      </c>
      <c r="G362" s="4" t="str">
        <f t="shared" ca="1" si="266"/>
        <v/>
      </c>
      <c r="H362" s="4" t="str">
        <f t="shared" si="267"/>
        <v/>
      </c>
      <c r="I362" s="4" t="str">
        <f t="shared" si="268"/>
        <v/>
      </c>
      <c r="J362" s="4" t="str">
        <f t="shared" si="269"/>
        <v/>
      </c>
      <c r="K362" s="25" t="str">
        <f t="shared" ca="1" si="270"/>
        <v/>
      </c>
      <c r="L362" s="21" t="str">
        <f t="shared" ca="1" si="271"/>
        <v/>
      </c>
      <c r="M362" s="21" t="str">
        <f>IF(SUMIFS('Input Sheet'!$F$3:$F$1001,'Input Sheet'!$B$3:$B$1001,$H362,'Input Sheet'!$E$3:$E$1001,M$4)=0,"",SUMIFS('Input Sheet'!$F$3:$F$1001,'Input Sheet'!$B$3:$B$1001,$H362,'Input Sheet'!$E$3:$E$1001,M$4))</f>
        <v/>
      </c>
      <c r="N362" s="21" t="str">
        <f>IF(SUMIFS('Input Sheet'!$F$3:$F$1001,'Input Sheet'!$B$3:$B$1001,$H362,'Input Sheet'!$E$3:$E$1001,N$4)=0,"",SUMIFS('Input Sheet'!$F$3:$F$1001,'Input Sheet'!$B$3:$B$1001,$H362,'Input Sheet'!$E$3:$E$1001,N$4))</f>
        <v/>
      </c>
      <c r="O362" s="21" t="str">
        <f>IF(SUMIFS('Input Sheet'!$F$3:$F$1001,'Input Sheet'!$B$3:$B$1001,$H362,'Input Sheet'!$E$3:$E$1001,O$4)=0,"",SUMIFS('Input Sheet'!$F$3:$F$1001,'Input Sheet'!$B$3:$B$1001,$H362,'Input Sheet'!$E$3:$E$1001,O$4))</f>
        <v/>
      </c>
      <c r="P362" s="21" t="str">
        <f>IF(SUMIFS('Input Sheet'!$F$3:$F$1001,'Input Sheet'!$B$3:$B$1001,$H362,'Input Sheet'!$E$3:$E$1001,P$4)=0,"",SUMIFS('Input Sheet'!$F$3:$F$1001,'Input Sheet'!$B$3:$B$1001,$H362,'Input Sheet'!$E$3:$E$1001,P$4))</f>
        <v/>
      </c>
      <c r="Q362" s="21" t="str">
        <f>IF(SUMIFS('Input Sheet'!$F$3:$F$1001,'Input Sheet'!$B$3:$B$1001,$H362,'Input Sheet'!$E$3:$E$1001,Q$4)=0,"",SUMIFS('Input Sheet'!$F$3:$F$1001,'Input Sheet'!$B$3:$B$1001,$H362,'Input Sheet'!$E$3:$E$1001,Q$4))</f>
        <v/>
      </c>
      <c r="R362" s="21" t="str">
        <f>IF(SUMIFS('Input Sheet'!$F$3:$F$1001,'Input Sheet'!$B$3:$B$1001,$H362,'Input Sheet'!$E$3:$E$1001,R$4)=0,"",SUMIFS('Input Sheet'!$F$3:$F$1001,'Input Sheet'!$B$3:$B$1001,$H362,'Input Sheet'!$E$3:$E$1001,R$4))</f>
        <v/>
      </c>
      <c r="S362" s="21" t="str">
        <f>IF(SUMIFS('Input Sheet'!$F$3:$F$1001,'Input Sheet'!$B$3:$B$1001,$H362,'Input Sheet'!$E$3:$E$1001,S$4)=0,"",SUMIFS('Input Sheet'!$F$3:$F$1001,'Input Sheet'!$B$3:$B$1001,$H362,'Input Sheet'!$E$3:$E$1001,S$4))</f>
        <v/>
      </c>
      <c r="T362" s="22">
        <v>357</v>
      </c>
    </row>
    <row r="363" spans="1:20" ht="14.25" customHeight="1" x14ac:dyDescent="0.3">
      <c r="A363" s="4" t="str">
        <f>IF('Input Sheet'!B360=0,"",'Input Sheet'!B360)</f>
        <v/>
      </c>
      <c r="B363" s="24" t="b">
        <f t="shared" si="264"/>
        <v>0</v>
      </c>
      <c r="C363" s="4">
        <f>SUMIF('Input Sheet'!B$3:B$1000,A363,'Input Sheet'!C$3:C$1000)</f>
        <v>0</v>
      </c>
      <c r="D363" s="4">
        <f>SUMIF('Input Sheet'!B$3:B$1000,A363,'Input Sheet'!D$3:D$1000)</f>
        <v>0</v>
      </c>
      <c r="E363" s="4" t="str">
        <f t="shared" ref="E363:F363" ca="1" si="373">IFERROR(RANK(K363,K$6:K$1004,1),"")</f>
        <v/>
      </c>
      <c r="F363" s="4" t="str">
        <f t="shared" ca="1" si="373"/>
        <v/>
      </c>
      <c r="G363" s="4" t="str">
        <f t="shared" ca="1" si="266"/>
        <v/>
      </c>
      <c r="H363" s="4" t="str">
        <f t="shared" si="267"/>
        <v/>
      </c>
      <c r="I363" s="4" t="str">
        <f t="shared" si="268"/>
        <v/>
      </c>
      <c r="J363" s="4" t="str">
        <f t="shared" si="269"/>
        <v/>
      </c>
      <c r="K363" s="25" t="str">
        <f t="shared" ca="1" si="270"/>
        <v/>
      </c>
      <c r="L363" s="21" t="str">
        <f t="shared" ca="1" si="271"/>
        <v/>
      </c>
      <c r="M363" s="21" t="str">
        <f>IF(SUMIFS('Input Sheet'!$F$3:$F$1001,'Input Sheet'!$B$3:$B$1001,$H363,'Input Sheet'!$E$3:$E$1001,M$4)=0,"",SUMIFS('Input Sheet'!$F$3:$F$1001,'Input Sheet'!$B$3:$B$1001,$H363,'Input Sheet'!$E$3:$E$1001,M$4))</f>
        <v/>
      </c>
      <c r="N363" s="21" t="str">
        <f>IF(SUMIFS('Input Sheet'!$F$3:$F$1001,'Input Sheet'!$B$3:$B$1001,$H363,'Input Sheet'!$E$3:$E$1001,N$4)=0,"",SUMIFS('Input Sheet'!$F$3:$F$1001,'Input Sheet'!$B$3:$B$1001,$H363,'Input Sheet'!$E$3:$E$1001,N$4))</f>
        <v/>
      </c>
      <c r="O363" s="21" t="str">
        <f>IF(SUMIFS('Input Sheet'!$F$3:$F$1001,'Input Sheet'!$B$3:$B$1001,$H363,'Input Sheet'!$E$3:$E$1001,O$4)=0,"",SUMIFS('Input Sheet'!$F$3:$F$1001,'Input Sheet'!$B$3:$B$1001,$H363,'Input Sheet'!$E$3:$E$1001,O$4))</f>
        <v/>
      </c>
      <c r="P363" s="21" t="str">
        <f>IF(SUMIFS('Input Sheet'!$F$3:$F$1001,'Input Sheet'!$B$3:$B$1001,$H363,'Input Sheet'!$E$3:$E$1001,P$4)=0,"",SUMIFS('Input Sheet'!$F$3:$F$1001,'Input Sheet'!$B$3:$B$1001,$H363,'Input Sheet'!$E$3:$E$1001,P$4))</f>
        <v/>
      </c>
      <c r="Q363" s="21" t="str">
        <f>IF(SUMIFS('Input Sheet'!$F$3:$F$1001,'Input Sheet'!$B$3:$B$1001,$H363,'Input Sheet'!$E$3:$E$1001,Q$4)=0,"",SUMIFS('Input Sheet'!$F$3:$F$1001,'Input Sheet'!$B$3:$B$1001,$H363,'Input Sheet'!$E$3:$E$1001,Q$4))</f>
        <v/>
      </c>
      <c r="R363" s="21" t="str">
        <f>IF(SUMIFS('Input Sheet'!$F$3:$F$1001,'Input Sheet'!$B$3:$B$1001,$H363,'Input Sheet'!$E$3:$E$1001,R$4)=0,"",SUMIFS('Input Sheet'!$F$3:$F$1001,'Input Sheet'!$B$3:$B$1001,$H363,'Input Sheet'!$E$3:$E$1001,R$4))</f>
        <v/>
      </c>
      <c r="S363" s="21" t="str">
        <f>IF(SUMIFS('Input Sheet'!$F$3:$F$1001,'Input Sheet'!$B$3:$B$1001,$H363,'Input Sheet'!$E$3:$E$1001,S$4)=0,"",SUMIFS('Input Sheet'!$F$3:$F$1001,'Input Sheet'!$B$3:$B$1001,$H363,'Input Sheet'!$E$3:$E$1001,S$4))</f>
        <v/>
      </c>
      <c r="T363" s="22">
        <v>358</v>
      </c>
    </row>
    <row r="364" spans="1:20" ht="14.25" customHeight="1" x14ac:dyDescent="0.3">
      <c r="A364" s="4" t="str">
        <f>IF('Input Sheet'!B361=0,"",'Input Sheet'!B361)</f>
        <v/>
      </c>
      <c r="B364" s="24" t="b">
        <f t="shared" si="264"/>
        <v>0</v>
      </c>
      <c r="C364" s="4">
        <f>SUMIF('Input Sheet'!B$3:B$1000,A364,'Input Sheet'!C$3:C$1000)</f>
        <v>0</v>
      </c>
      <c r="D364" s="4">
        <f>SUMIF('Input Sheet'!B$3:B$1000,A364,'Input Sheet'!D$3:D$1000)</f>
        <v>0</v>
      </c>
      <c r="E364" s="4" t="str">
        <f t="shared" ref="E364:F364" ca="1" si="374">IFERROR(RANK(K364,K$6:K$1004,1),"")</f>
        <v/>
      </c>
      <c r="F364" s="4" t="str">
        <f t="shared" ca="1" si="374"/>
        <v/>
      </c>
      <c r="G364" s="4" t="str">
        <f t="shared" ca="1" si="266"/>
        <v/>
      </c>
      <c r="H364" s="4" t="str">
        <f t="shared" si="267"/>
        <v/>
      </c>
      <c r="I364" s="4" t="str">
        <f t="shared" si="268"/>
        <v/>
      </c>
      <c r="J364" s="4" t="str">
        <f t="shared" si="269"/>
        <v/>
      </c>
      <c r="K364" s="25" t="str">
        <f t="shared" ca="1" si="270"/>
        <v/>
      </c>
      <c r="L364" s="21" t="str">
        <f t="shared" ca="1" si="271"/>
        <v/>
      </c>
      <c r="M364" s="21" t="str">
        <f>IF(SUMIFS('Input Sheet'!$F$3:$F$1001,'Input Sheet'!$B$3:$B$1001,$H364,'Input Sheet'!$E$3:$E$1001,M$4)=0,"",SUMIFS('Input Sheet'!$F$3:$F$1001,'Input Sheet'!$B$3:$B$1001,$H364,'Input Sheet'!$E$3:$E$1001,M$4))</f>
        <v/>
      </c>
      <c r="N364" s="21" t="str">
        <f>IF(SUMIFS('Input Sheet'!$F$3:$F$1001,'Input Sheet'!$B$3:$B$1001,$H364,'Input Sheet'!$E$3:$E$1001,N$4)=0,"",SUMIFS('Input Sheet'!$F$3:$F$1001,'Input Sheet'!$B$3:$B$1001,$H364,'Input Sheet'!$E$3:$E$1001,N$4))</f>
        <v/>
      </c>
      <c r="O364" s="21" t="str">
        <f>IF(SUMIFS('Input Sheet'!$F$3:$F$1001,'Input Sheet'!$B$3:$B$1001,$H364,'Input Sheet'!$E$3:$E$1001,O$4)=0,"",SUMIFS('Input Sheet'!$F$3:$F$1001,'Input Sheet'!$B$3:$B$1001,$H364,'Input Sheet'!$E$3:$E$1001,O$4))</f>
        <v/>
      </c>
      <c r="P364" s="21" t="str">
        <f>IF(SUMIFS('Input Sheet'!$F$3:$F$1001,'Input Sheet'!$B$3:$B$1001,$H364,'Input Sheet'!$E$3:$E$1001,P$4)=0,"",SUMIFS('Input Sheet'!$F$3:$F$1001,'Input Sheet'!$B$3:$B$1001,$H364,'Input Sheet'!$E$3:$E$1001,P$4))</f>
        <v/>
      </c>
      <c r="Q364" s="21" t="str">
        <f>IF(SUMIFS('Input Sheet'!$F$3:$F$1001,'Input Sheet'!$B$3:$B$1001,$H364,'Input Sheet'!$E$3:$E$1001,Q$4)=0,"",SUMIFS('Input Sheet'!$F$3:$F$1001,'Input Sheet'!$B$3:$B$1001,$H364,'Input Sheet'!$E$3:$E$1001,Q$4))</f>
        <v/>
      </c>
      <c r="R364" s="21" t="str">
        <f>IF(SUMIFS('Input Sheet'!$F$3:$F$1001,'Input Sheet'!$B$3:$B$1001,$H364,'Input Sheet'!$E$3:$E$1001,R$4)=0,"",SUMIFS('Input Sheet'!$F$3:$F$1001,'Input Sheet'!$B$3:$B$1001,$H364,'Input Sheet'!$E$3:$E$1001,R$4))</f>
        <v/>
      </c>
      <c r="S364" s="21" t="str">
        <f>IF(SUMIFS('Input Sheet'!$F$3:$F$1001,'Input Sheet'!$B$3:$B$1001,$H364,'Input Sheet'!$E$3:$E$1001,S$4)=0,"",SUMIFS('Input Sheet'!$F$3:$F$1001,'Input Sheet'!$B$3:$B$1001,$H364,'Input Sheet'!$E$3:$E$1001,S$4))</f>
        <v/>
      </c>
      <c r="T364" s="22">
        <v>359</v>
      </c>
    </row>
    <row r="365" spans="1:20" ht="14.25" customHeight="1" x14ac:dyDescent="0.3">
      <c r="A365" s="4" t="str">
        <f>IF('Input Sheet'!B362=0,"",'Input Sheet'!B362)</f>
        <v/>
      </c>
      <c r="B365" s="24" t="b">
        <f t="shared" si="264"/>
        <v>0</v>
      </c>
      <c r="C365" s="4">
        <f>SUMIF('Input Sheet'!B$3:B$1000,A365,'Input Sheet'!C$3:C$1000)</f>
        <v>0</v>
      </c>
      <c r="D365" s="4">
        <f>SUMIF('Input Sheet'!B$3:B$1000,A365,'Input Sheet'!D$3:D$1000)</f>
        <v>0</v>
      </c>
      <c r="E365" s="4" t="str">
        <f t="shared" ref="E365:F365" ca="1" si="375">IFERROR(RANK(K365,K$6:K$1004,1),"")</f>
        <v/>
      </c>
      <c r="F365" s="4" t="str">
        <f t="shared" ca="1" si="375"/>
        <v/>
      </c>
      <c r="G365" s="4" t="str">
        <f t="shared" ca="1" si="266"/>
        <v/>
      </c>
      <c r="H365" s="4" t="str">
        <f t="shared" si="267"/>
        <v/>
      </c>
      <c r="I365" s="4" t="str">
        <f t="shared" si="268"/>
        <v/>
      </c>
      <c r="J365" s="4" t="str">
        <f t="shared" si="269"/>
        <v/>
      </c>
      <c r="K365" s="25" t="str">
        <f t="shared" ca="1" si="270"/>
        <v/>
      </c>
      <c r="L365" s="21" t="str">
        <f t="shared" ca="1" si="271"/>
        <v/>
      </c>
      <c r="M365" s="21" t="str">
        <f>IF(SUMIFS('Input Sheet'!$F$3:$F$1001,'Input Sheet'!$B$3:$B$1001,$H365,'Input Sheet'!$E$3:$E$1001,M$4)=0,"",SUMIFS('Input Sheet'!$F$3:$F$1001,'Input Sheet'!$B$3:$B$1001,$H365,'Input Sheet'!$E$3:$E$1001,M$4))</f>
        <v/>
      </c>
      <c r="N365" s="21" t="str">
        <f>IF(SUMIFS('Input Sheet'!$F$3:$F$1001,'Input Sheet'!$B$3:$B$1001,$H365,'Input Sheet'!$E$3:$E$1001,N$4)=0,"",SUMIFS('Input Sheet'!$F$3:$F$1001,'Input Sheet'!$B$3:$B$1001,$H365,'Input Sheet'!$E$3:$E$1001,N$4))</f>
        <v/>
      </c>
      <c r="O365" s="21" t="str">
        <f>IF(SUMIFS('Input Sheet'!$F$3:$F$1001,'Input Sheet'!$B$3:$B$1001,$H365,'Input Sheet'!$E$3:$E$1001,O$4)=0,"",SUMIFS('Input Sheet'!$F$3:$F$1001,'Input Sheet'!$B$3:$B$1001,$H365,'Input Sheet'!$E$3:$E$1001,O$4))</f>
        <v/>
      </c>
      <c r="P365" s="21" t="str">
        <f>IF(SUMIFS('Input Sheet'!$F$3:$F$1001,'Input Sheet'!$B$3:$B$1001,$H365,'Input Sheet'!$E$3:$E$1001,P$4)=0,"",SUMIFS('Input Sheet'!$F$3:$F$1001,'Input Sheet'!$B$3:$B$1001,$H365,'Input Sheet'!$E$3:$E$1001,P$4))</f>
        <v/>
      </c>
      <c r="Q365" s="21" t="str">
        <f>IF(SUMIFS('Input Sheet'!$F$3:$F$1001,'Input Sheet'!$B$3:$B$1001,$H365,'Input Sheet'!$E$3:$E$1001,Q$4)=0,"",SUMIFS('Input Sheet'!$F$3:$F$1001,'Input Sheet'!$B$3:$B$1001,$H365,'Input Sheet'!$E$3:$E$1001,Q$4))</f>
        <v/>
      </c>
      <c r="R365" s="21" t="str">
        <f>IF(SUMIFS('Input Sheet'!$F$3:$F$1001,'Input Sheet'!$B$3:$B$1001,$H365,'Input Sheet'!$E$3:$E$1001,R$4)=0,"",SUMIFS('Input Sheet'!$F$3:$F$1001,'Input Sheet'!$B$3:$B$1001,$H365,'Input Sheet'!$E$3:$E$1001,R$4))</f>
        <v/>
      </c>
      <c r="S365" s="21" t="str">
        <f>IF(SUMIFS('Input Sheet'!$F$3:$F$1001,'Input Sheet'!$B$3:$B$1001,$H365,'Input Sheet'!$E$3:$E$1001,S$4)=0,"",SUMIFS('Input Sheet'!$F$3:$F$1001,'Input Sheet'!$B$3:$B$1001,$H365,'Input Sheet'!$E$3:$E$1001,S$4))</f>
        <v/>
      </c>
      <c r="T365" s="22">
        <v>360</v>
      </c>
    </row>
    <row r="366" spans="1:20" ht="14.25" customHeight="1" x14ac:dyDescent="0.3">
      <c r="A366" s="4" t="str">
        <f>IF('Input Sheet'!B363=0,"",'Input Sheet'!B363)</f>
        <v/>
      </c>
      <c r="B366" s="24" t="b">
        <f t="shared" si="264"/>
        <v>0</v>
      </c>
      <c r="C366" s="4">
        <f>SUMIF('Input Sheet'!B$3:B$1000,A366,'Input Sheet'!C$3:C$1000)</f>
        <v>0</v>
      </c>
      <c r="D366" s="4">
        <f>SUMIF('Input Sheet'!B$3:B$1000,A366,'Input Sheet'!D$3:D$1000)</f>
        <v>0</v>
      </c>
      <c r="E366" s="4" t="str">
        <f t="shared" ref="E366:F366" ca="1" si="376">IFERROR(RANK(K366,K$6:K$1004,1),"")</f>
        <v/>
      </c>
      <c r="F366" s="4" t="str">
        <f t="shared" ca="1" si="376"/>
        <v/>
      </c>
      <c r="G366" s="4" t="str">
        <f t="shared" ca="1" si="266"/>
        <v/>
      </c>
      <c r="H366" s="4" t="str">
        <f t="shared" si="267"/>
        <v/>
      </c>
      <c r="I366" s="4" t="str">
        <f t="shared" si="268"/>
        <v/>
      </c>
      <c r="J366" s="4" t="str">
        <f t="shared" si="269"/>
        <v/>
      </c>
      <c r="K366" s="25" t="str">
        <f t="shared" ca="1" si="270"/>
        <v/>
      </c>
      <c r="L366" s="21" t="str">
        <f t="shared" ca="1" si="271"/>
        <v/>
      </c>
      <c r="M366" s="21" t="str">
        <f>IF(SUMIFS('Input Sheet'!$F$3:$F$1001,'Input Sheet'!$B$3:$B$1001,$H366,'Input Sheet'!$E$3:$E$1001,M$4)=0,"",SUMIFS('Input Sheet'!$F$3:$F$1001,'Input Sheet'!$B$3:$B$1001,$H366,'Input Sheet'!$E$3:$E$1001,M$4))</f>
        <v/>
      </c>
      <c r="N366" s="21" t="str">
        <f>IF(SUMIFS('Input Sheet'!$F$3:$F$1001,'Input Sheet'!$B$3:$B$1001,$H366,'Input Sheet'!$E$3:$E$1001,N$4)=0,"",SUMIFS('Input Sheet'!$F$3:$F$1001,'Input Sheet'!$B$3:$B$1001,$H366,'Input Sheet'!$E$3:$E$1001,N$4))</f>
        <v/>
      </c>
      <c r="O366" s="21" t="str">
        <f>IF(SUMIFS('Input Sheet'!$F$3:$F$1001,'Input Sheet'!$B$3:$B$1001,$H366,'Input Sheet'!$E$3:$E$1001,O$4)=0,"",SUMIFS('Input Sheet'!$F$3:$F$1001,'Input Sheet'!$B$3:$B$1001,$H366,'Input Sheet'!$E$3:$E$1001,O$4))</f>
        <v/>
      </c>
      <c r="P366" s="21" t="str">
        <f>IF(SUMIFS('Input Sheet'!$F$3:$F$1001,'Input Sheet'!$B$3:$B$1001,$H366,'Input Sheet'!$E$3:$E$1001,P$4)=0,"",SUMIFS('Input Sheet'!$F$3:$F$1001,'Input Sheet'!$B$3:$B$1001,$H366,'Input Sheet'!$E$3:$E$1001,P$4))</f>
        <v/>
      </c>
      <c r="Q366" s="21" t="str">
        <f>IF(SUMIFS('Input Sheet'!$F$3:$F$1001,'Input Sheet'!$B$3:$B$1001,$H366,'Input Sheet'!$E$3:$E$1001,Q$4)=0,"",SUMIFS('Input Sheet'!$F$3:$F$1001,'Input Sheet'!$B$3:$B$1001,$H366,'Input Sheet'!$E$3:$E$1001,Q$4))</f>
        <v/>
      </c>
      <c r="R366" s="21" t="str">
        <f>IF(SUMIFS('Input Sheet'!$F$3:$F$1001,'Input Sheet'!$B$3:$B$1001,$H366,'Input Sheet'!$E$3:$E$1001,R$4)=0,"",SUMIFS('Input Sheet'!$F$3:$F$1001,'Input Sheet'!$B$3:$B$1001,$H366,'Input Sheet'!$E$3:$E$1001,R$4))</f>
        <v/>
      </c>
      <c r="S366" s="21" t="str">
        <f>IF(SUMIFS('Input Sheet'!$F$3:$F$1001,'Input Sheet'!$B$3:$B$1001,$H366,'Input Sheet'!$E$3:$E$1001,S$4)=0,"",SUMIFS('Input Sheet'!$F$3:$F$1001,'Input Sheet'!$B$3:$B$1001,$H366,'Input Sheet'!$E$3:$E$1001,S$4))</f>
        <v/>
      </c>
      <c r="T366" s="22">
        <v>361</v>
      </c>
    </row>
    <row r="367" spans="1:20" ht="14.25" customHeight="1" x14ac:dyDescent="0.3">
      <c r="A367" s="4" t="str">
        <f>IF('Input Sheet'!B364=0,"",'Input Sheet'!B364)</f>
        <v/>
      </c>
      <c r="B367" s="24" t="b">
        <f t="shared" si="264"/>
        <v>0</v>
      </c>
      <c r="C367" s="4">
        <f>SUMIF('Input Sheet'!B$3:B$1000,A367,'Input Sheet'!C$3:C$1000)</f>
        <v>0</v>
      </c>
      <c r="D367" s="4">
        <f>SUMIF('Input Sheet'!B$3:B$1000,A367,'Input Sheet'!D$3:D$1000)</f>
        <v>0</v>
      </c>
      <c r="E367" s="4" t="str">
        <f t="shared" ref="E367:F367" ca="1" si="377">IFERROR(RANK(K367,K$6:K$1004,1),"")</f>
        <v/>
      </c>
      <c r="F367" s="4" t="str">
        <f t="shared" ca="1" si="377"/>
        <v/>
      </c>
      <c r="G367" s="4" t="str">
        <f t="shared" ca="1" si="266"/>
        <v/>
      </c>
      <c r="H367" s="4" t="str">
        <f t="shared" si="267"/>
        <v/>
      </c>
      <c r="I367" s="4" t="str">
        <f t="shared" si="268"/>
        <v/>
      </c>
      <c r="J367" s="4" t="str">
        <f t="shared" si="269"/>
        <v/>
      </c>
      <c r="K367" s="25" t="str">
        <f t="shared" ca="1" si="270"/>
        <v/>
      </c>
      <c r="L367" s="21" t="str">
        <f t="shared" ca="1" si="271"/>
        <v/>
      </c>
      <c r="M367" s="21" t="str">
        <f>IF(SUMIFS('Input Sheet'!$F$3:$F$1001,'Input Sheet'!$B$3:$B$1001,$H367,'Input Sheet'!$E$3:$E$1001,M$4)=0,"",SUMIFS('Input Sheet'!$F$3:$F$1001,'Input Sheet'!$B$3:$B$1001,$H367,'Input Sheet'!$E$3:$E$1001,M$4))</f>
        <v/>
      </c>
      <c r="N367" s="21" t="str">
        <f>IF(SUMIFS('Input Sheet'!$F$3:$F$1001,'Input Sheet'!$B$3:$B$1001,$H367,'Input Sheet'!$E$3:$E$1001,N$4)=0,"",SUMIFS('Input Sheet'!$F$3:$F$1001,'Input Sheet'!$B$3:$B$1001,$H367,'Input Sheet'!$E$3:$E$1001,N$4))</f>
        <v/>
      </c>
      <c r="O367" s="21" t="str">
        <f>IF(SUMIFS('Input Sheet'!$F$3:$F$1001,'Input Sheet'!$B$3:$B$1001,$H367,'Input Sheet'!$E$3:$E$1001,O$4)=0,"",SUMIFS('Input Sheet'!$F$3:$F$1001,'Input Sheet'!$B$3:$B$1001,$H367,'Input Sheet'!$E$3:$E$1001,O$4))</f>
        <v/>
      </c>
      <c r="P367" s="21" t="str">
        <f>IF(SUMIFS('Input Sheet'!$F$3:$F$1001,'Input Sheet'!$B$3:$B$1001,$H367,'Input Sheet'!$E$3:$E$1001,P$4)=0,"",SUMIFS('Input Sheet'!$F$3:$F$1001,'Input Sheet'!$B$3:$B$1001,$H367,'Input Sheet'!$E$3:$E$1001,P$4))</f>
        <v/>
      </c>
      <c r="Q367" s="21" t="str">
        <f>IF(SUMIFS('Input Sheet'!$F$3:$F$1001,'Input Sheet'!$B$3:$B$1001,$H367,'Input Sheet'!$E$3:$E$1001,Q$4)=0,"",SUMIFS('Input Sheet'!$F$3:$F$1001,'Input Sheet'!$B$3:$B$1001,$H367,'Input Sheet'!$E$3:$E$1001,Q$4))</f>
        <v/>
      </c>
      <c r="R367" s="21" t="str">
        <f>IF(SUMIFS('Input Sheet'!$F$3:$F$1001,'Input Sheet'!$B$3:$B$1001,$H367,'Input Sheet'!$E$3:$E$1001,R$4)=0,"",SUMIFS('Input Sheet'!$F$3:$F$1001,'Input Sheet'!$B$3:$B$1001,$H367,'Input Sheet'!$E$3:$E$1001,R$4))</f>
        <v/>
      </c>
      <c r="S367" s="21" t="str">
        <f>IF(SUMIFS('Input Sheet'!$F$3:$F$1001,'Input Sheet'!$B$3:$B$1001,$H367,'Input Sheet'!$E$3:$E$1001,S$4)=0,"",SUMIFS('Input Sheet'!$F$3:$F$1001,'Input Sheet'!$B$3:$B$1001,$H367,'Input Sheet'!$E$3:$E$1001,S$4))</f>
        <v/>
      </c>
      <c r="T367" s="22">
        <v>362</v>
      </c>
    </row>
    <row r="368" spans="1:20" ht="14.25" customHeight="1" x14ac:dyDescent="0.3">
      <c r="A368" s="4" t="str">
        <f>IF('Input Sheet'!B365=0,"",'Input Sheet'!B365)</f>
        <v/>
      </c>
      <c r="B368" s="24" t="b">
        <f t="shared" si="264"/>
        <v>0</v>
      </c>
      <c r="C368" s="4">
        <f>SUMIF('Input Sheet'!B$3:B$1000,A368,'Input Sheet'!C$3:C$1000)</f>
        <v>0</v>
      </c>
      <c r="D368" s="4">
        <f>SUMIF('Input Sheet'!B$3:B$1000,A368,'Input Sheet'!D$3:D$1000)</f>
        <v>0</v>
      </c>
      <c r="E368" s="4" t="str">
        <f t="shared" ref="E368:F368" ca="1" si="378">IFERROR(RANK(K368,K$6:K$1004,1),"")</f>
        <v/>
      </c>
      <c r="F368" s="4" t="str">
        <f t="shared" ca="1" si="378"/>
        <v/>
      </c>
      <c r="G368" s="4" t="str">
        <f t="shared" ca="1" si="266"/>
        <v/>
      </c>
      <c r="H368" s="4" t="str">
        <f t="shared" si="267"/>
        <v/>
      </c>
      <c r="I368" s="4" t="str">
        <f t="shared" si="268"/>
        <v/>
      </c>
      <c r="J368" s="4" t="str">
        <f t="shared" si="269"/>
        <v/>
      </c>
      <c r="K368" s="25" t="str">
        <f t="shared" ca="1" si="270"/>
        <v/>
      </c>
      <c r="L368" s="21" t="str">
        <f t="shared" ca="1" si="271"/>
        <v/>
      </c>
      <c r="M368" s="21" t="str">
        <f>IF(SUMIFS('Input Sheet'!$F$3:$F$1001,'Input Sheet'!$B$3:$B$1001,$H368,'Input Sheet'!$E$3:$E$1001,M$4)=0,"",SUMIFS('Input Sheet'!$F$3:$F$1001,'Input Sheet'!$B$3:$B$1001,$H368,'Input Sheet'!$E$3:$E$1001,M$4))</f>
        <v/>
      </c>
      <c r="N368" s="21" t="str">
        <f>IF(SUMIFS('Input Sheet'!$F$3:$F$1001,'Input Sheet'!$B$3:$B$1001,$H368,'Input Sheet'!$E$3:$E$1001,N$4)=0,"",SUMIFS('Input Sheet'!$F$3:$F$1001,'Input Sheet'!$B$3:$B$1001,$H368,'Input Sheet'!$E$3:$E$1001,N$4))</f>
        <v/>
      </c>
      <c r="O368" s="21" t="str">
        <f>IF(SUMIFS('Input Sheet'!$F$3:$F$1001,'Input Sheet'!$B$3:$B$1001,$H368,'Input Sheet'!$E$3:$E$1001,O$4)=0,"",SUMIFS('Input Sheet'!$F$3:$F$1001,'Input Sheet'!$B$3:$B$1001,$H368,'Input Sheet'!$E$3:$E$1001,O$4))</f>
        <v/>
      </c>
      <c r="P368" s="21" t="str">
        <f>IF(SUMIFS('Input Sheet'!$F$3:$F$1001,'Input Sheet'!$B$3:$B$1001,$H368,'Input Sheet'!$E$3:$E$1001,P$4)=0,"",SUMIFS('Input Sheet'!$F$3:$F$1001,'Input Sheet'!$B$3:$B$1001,$H368,'Input Sheet'!$E$3:$E$1001,P$4))</f>
        <v/>
      </c>
      <c r="Q368" s="21" t="str">
        <f>IF(SUMIFS('Input Sheet'!$F$3:$F$1001,'Input Sheet'!$B$3:$B$1001,$H368,'Input Sheet'!$E$3:$E$1001,Q$4)=0,"",SUMIFS('Input Sheet'!$F$3:$F$1001,'Input Sheet'!$B$3:$B$1001,$H368,'Input Sheet'!$E$3:$E$1001,Q$4))</f>
        <v/>
      </c>
      <c r="R368" s="21" t="str">
        <f>IF(SUMIFS('Input Sheet'!$F$3:$F$1001,'Input Sheet'!$B$3:$B$1001,$H368,'Input Sheet'!$E$3:$E$1001,R$4)=0,"",SUMIFS('Input Sheet'!$F$3:$F$1001,'Input Sheet'!$B$3:$B$1001,$H368,'Input Sheet'!$E$3:$E$1001,R$4))</f>
        <v/>
      </c>
      <c r="S368" s="21" t="str">
        <f>IF(SUMIFS('Input Sheet'!$F$3:$F$1001,'Input Sheet'!$B$3:$B$1001,$H368,'Input Sheet'!$E$3:$E$1001,S$4)=0,"",SUMIFS('Input Sheet'!$F$3:$F$1001,'Input Sheet'!$B$3:$B$1001,$H368,'Input Sheet'!$E$3:$E$1001,S$4))</f>
        <v/>
      </c>
      <c r="T368" s="22">
        <v>363</v>
      </c>
    </row>
    <row r="369" spans="1:20" ht="14.25" customHeight="1" x14ac:dyDescent="0.3">
      <c r="A369" s="4" t="str">
        <f>IF('Input Sheet'!B366=0,"",'Input Sheet'!B366)</f>
        <v/>
      </c>
      <c r="B369" s="24" t="b">
        <f t="shared" si="264"/>
        <v>0</v>
      </c>
      <c r="C369" s="4">
        <f>SUMIF('Input Sheet'!B$3:B$1000,A369,'Input Sheet'!C$3:C$1000)</f>
        <v>0</v>
      </c>
      <c r="D369" s="4">
        <f>SUMIF('Input Sheet'!B$3:B$1000,A369,'Input Sheet'!D$3:D$1000)</f>
        <v>0</v>
      </c>
      <c r="E369" s="4" t="str">
        <f t="shared" ref="E369:F369" ca="1" si="379">IFERROR(RANK(K369,K$6:K$1004,1),"")</f>
        <v/>
      </c>
      <c r="F369" s="4" t="str">
        <f t="shared" ca="1" si="379"/>
        <v/>
      </c>
      <c r="G369" s="4" t="str">
        <f t="shared" ca="1" si="266"/>
        <v/>
      </c>
      <c r="H369" s="4" t="str">
        <f t="shared" si="267"/>
        <v/>
      </c>
      <c r="I369" s="4" t="str">
        <f t="shared" si="268"/>
        <v/>
      </c>
      <c r="J369" s="4" t="str">
        <f t="shared" si="269"/>
        <v/>
      </c>
      <c r="K369" s="25" t="str">
        <f t="shared" ca="1" si="270"/>
        <v/>
      </c>
      <c r="L369" s="21" t="str">
        <f t="shared" ca="1" si="271"/>
        <v/>
      </c>
      <c r="M369" s="21" t="str">
        <f>IF(SUMIFS('Input Sheet'!$F$3:$F$1001,'Input Sheet'!$B$3:$B$1001,$H369,'Input Sheet'!$E$3:$E$1001,M$4)=0,"",SUMIFS('Input Sheet'!$F$3:$F$1001,'Input Sheet'!$B$3:$B$1001,$H369,'Input Sheet'!$E$3:$E$1001,M$4))</f>
        <v/>
      </c>
      <c r="N369" s="21" t="str">
        <f>IF(SUMIFS('Input Sheet'!$F$3:$F$1001,'Input Sheet'!$B$3:$B$1001,$H369,'Input Sheet'!$E$3:$E$1001,N$4)=0,"",SUMIFS('Input Sheet'!$F$3:$F$1001,'Input Sheet'!$B$3:$B$1001,$H369,'Input Sheet'!$E$3:$E$1001,N$4))</f>
        <v/>
      </c>
      <c r="O369" s="21" t="str">
        <f>IF(SUMIFS('Input Sheet'!$F$3:$F$1001,'Input Sheet'!$B$3:$B$1001,$H369,'Input Sheet'!$E$3:$E$1001,O$4)=0,"",SUMIFS('Input Sheet'!$F$3:$F$1001,'Input Sheet'!$B$3:$B$1001,$H369,'Input Sheet'!$E$3:$E$1001,O$4))</f>
        <v/>
      </c>
      <c r="P369" s="21" t="str">
        <f>IF(SUMIFS('Input Sheet'!$F$3:$F$1001,'Input Sheet'!$B$3:$B$1001,$H369,'Input Sheet'!$E$3:$E$1001,P$4)=0,"",SUMIFS('Input Sheet'!$F$3:$F$1001,'Input Sheet'!$B$3:$B$1001,$H369,'Input Sheet'!$E$3:$E$1001,P$4))</f>
        <v/>
      </c>
      <c r="Q369" s="21" t="str">
        <f>IF(SUMIFS('Input Sheet'!$F$3:$F$1001,'Input Sheet'!$B$3:$B$1001,$H369,'Input Sheet'!$E$3:$E$1001,Q$4)=0,"",SUMIFS('Input Sheet'!$F$3:$F$1001,'Input Sheet'!$B$3:$B$1001,$H369,'Input Sheet'!$E$3:$E$1001,Q$4))</f>
        <v/>
      </c>
      <c r="R369" s="21" t="str">
        <f>IF(SUMIFS('Input Sheet'!$F$3:$F$1001,'Input Sheet'!$B$3:$B$1001,$H369,'Input Sheet'!$E$3:$E$1001,R$4)=0,"",SUMIFS('Input Sheet'!$F$3:$F$1001,'Input Sheet'!$B$3:$B$1001,$H369,'Input Sheet'!$E$3:$E$1001,R$4))</f>
        <v/>
      </c>
      <c r="S369" s="21" t="str">
        <f>IF(SUMIFS('Input Sheet'!$F$3:$F$1001,'Input Sheet'!$B$3:$B$1001,$H369,'Input Sheet'!$E$3:$E$1001,S$4)=0,"",SUMIFS('Input Sheet'!$F$3:$F$1001,'Input Sheet'!$B$3:$B$1001,$H369,'Input Sheet'!$E$3:$E$1001,S$4))</f>
        <v/>
      </c>
      <c r="T369" s="22">
        <v>364</v>
      </c>
    </row>
    <row r="370" spans="1:20" ht="14.25" customHeight="1" x14ac:dyDescent="0.3">
      <c r="A370" s="4" t="str">
        <f>IF('Input Sheet'!B367=0,"",'Input Sheet'!B367)</f>
        <v/>
      </c>
      <c r="B370" s="24" t="b">
        <f t="shared" si="264"/>
        <v>0</v>
      </c>
      <c r="C370" s="4">
        <f>SUMIF('Input Sheet'!B$3:B$1000,A370,'Input Sheet'!C$3:C$1000)</f>
        <v>0</v>
      </c>
      <c r="D370" s="4">
        <f>SUMIF('Input Sheet'!B$3:B$1000,A370,'Input Sheet'!D$3:D$1000)</f>
        <v>0</v>
      </c>
      <c r="E370" s="4" t="str">
        <f t="shared" ref="E370:F370" ca="1" si="380">IFERROR(RANK(K370,K$6:K$1004,1),"")</f>
        <v/>
      </c>
      <c r="F370" s="4" t="str">
        <f t="shared" ca="1" si="380"/>
        <v/>
      </c>
      <c r="G370" s="4" t="str">
        <f t="shared" ca="1" si="266"/>
        <v/>
      </c>
      <c r="H370" s="4" t="str">
        <f t="shared" si="267"/>
        <v/>
      </c>
      <c r="I370" s="4" t="str">
        <f t="shared" si="268"/>
        <v/>
      </c>
      <c r="J370" s="4" t="str">
        <f t="shared" si="269"/>
        <v/>
      </c>
      <c r="K370" s="25" t="str">
        <f t="shared" ca="1" si="270"/>
        <v/>
      </c>
      <c r="L370" s="21" t="str">
        <f t="shared" ca="1" si="271"/>
        <v/>
      </c>
      <c r="M370" s="21" t="str">
        <f>IF(SUMIFS('Input Sheet'!$F$3:$F$1001,'Input Sheet'!$B$3:$B$1001,$H370,'Input Sheet'!$E$3:$E$1001,M$4)=0,"",SUMIFS('Input Sheet'!$F$3:$F$1001,'Input Sheet'!$B$3:$B$1001,$H370,'Input Sheet'!$E$3:$E$1001,M$4))</f>
        <v/>
      </c>
      <c r="N370" s="21" t="str">
        <f>IF(SUMIFS('Input Sheet'!$F$3:$F$1001,'Input Sheet'!$B$3:$B$1001,$H370,'Input Sheet'!$E$3:$E$1001,N$4)=0,"",SUMIFS('Input Sheet'!$F$3:$F$1001,'Input Sheet'!$B$3:$B$1001,$H370,'Input Sheet'!$E$3:$E$1001,N$4))</f>
        <v/>
      </c>
      <c r="O370" s="21" t="str">
        <f>IF(SUMIFS('Input Sheet'!$F$3:$F$1001,'Input Sheet'!$B$3:$B$1001,$H370,'Input Sheet'!$E$3:$E$1001,O$4)=0,"",SUMIFS('Input Sheet'!$F$3:$F$1001,'Input Sheet'!$B$3:$B$1001,$H370,'Input Sheet'!$E$3:$E$1001,O$4))</f>
        <v/>
      </c>
      <c r="P370" s="21" t="str">
        <f>IF(SUMIFS('Input Sheet'!$F$3:$F$1001,'Input Sheet'!$B$3:$B$1001,$H370,'Input Sheet'!$E$3:$E$1001,P$4)=0,"",SUMIFS('Input Sheet'!$F$3:$F$1001,'Input Sheet'!$B$3:$B$1001,$H370,'Input Sheet'!$E$3:$E$1001,P$4))</f>
        <v/>
      </c>
      <c r="Q370" s="21" t="str">
        <f>IF(SUMIFS('Input Sheet'!$F$3:$F$1001,'Input Sheet'!$B$3:$B$1001,$H370,'Input Sheet'!$E$3:$E$1001,Q$4)=0,"",SUMIFS('Input Sheet'!$F$3:$F$1001,'Input Sheet'!$B$3:$B$1001,$H370,'Input Sheet'!$E$3:$E$1001,Q$4))</f>
        <v/>
      </c>
      <c r="R370" s="21" t="str">
        <f>IF(SUMIFS('Input Sheet'!$F$3:$F$1001,'Input Sheet'!$B$3:$B$1001,$H370,'Input Sheet'!$E$3:$E$1001,R$4)=0,"",SUMIFS('Input Sheet'!$F$3:$F$1001,'Input Sheet'!$B$3:$B$1001,$H370,'Input Sheet'!$E$3:$E$1001,R$4))</f>
        <v/>
      </c>
      <c r="S370" s="21" t="str">
        <f>IF(SUMIFS('Input Sheet'!$F$3:$F$1001,'Input Sheet'!$B$3:$B$1001,$H370,'Input Sheet'!$E$3:$E$1001,S$4)=0,"",SUMIFS('Input Sheet'!$F$3:$F$1001,'Input Sheet'!$B$3:$B$1001,$H370,'Input Sheet'!$E$3:$E$1001,S$4))</f>
        <v/>
      </c>
      <c r="T370" s="22">
        <v>365</v>
      </c>
    </row>
    <row r="371" spans="1:20" ht="14.25" customHeight="1" x14ac:dyDescent="0.3">
      <c r="A371" s="4" t="str">
        <f>IF('Input Sheet'!B368=0,"",'Input Sheet'!B368)</f>
        <v/>
      </c>
      <c r="B371" s="24" t="b">
        <f t="shared" si="264"/>
        <v>0</v>
      </c>
      <c r="C371" s="4">
        <f>SUMIF('Input Sheet'!B$3:B$1000,A371,'Input Sheet'!C$3:C$1000)</f>
        <v>0</v>
      </c>
      <c r="D371" s="4">
        <f>SUMIF('Input Sheet'!B$3:B$1000,A371,'Input Sheet'!D$3:D$1000)</f>
        <v>0</v>
      </c>
      <c r="E371" s="4" t="str">
        <f t="shared" ref="E371:F371" ca="1" si="381">IFERROR(RANK(K371,K$6:K$1004,1),"")</f>
        <v/>
      </c>
      <c r="F371" s="4" t="str">
        <f t="shared" ca="1" si="381"/>
        <v/>
      </c>
      <c r="G371" s="4" t="str">
        <f t="shared" ca="1" si="266"/>
        <v/>
      </c>
      <c r="H371" s="4" t="str">
        <f t="shared" si="267"/>
        <v/>
      </c>
      <c r="I371" s="4" t="str">
        <f t="shared" si="268"/>
        <v/>
      </c>
      <c r="J371" s="4" t="str">
        <f t="shared" si="269"/>
        <v/>
      </c>
      <c r="K371" s="25" t="str">
        <f t="shared" ca="1" si="270"/>
        <v/>
      </c>
      <c r="L371" s="21" t="str">
        <f t="shared" ca="1" si="271"/>
        <v/>
      </c>
      <c r="M371" s="21" t="str">
        <f>IF(SUMIFS('Input Sheet'!$F$3:$F$1001,'Input Sheet'!$B$3:$B$1001,$H371,'Input Sheet'!$E$3:$E$1001,M$4)=0,"",SUMIFS('Input Sheet'!$F$3:$F$1001,'Input Sheet'!$B$3:$B$1001,$H371,'Input Sheet'!$E$3:$E$1001,M$4))</f>
        <v/>
      </c>
      <c r="N371" s="21" t="str">
        <f>IF(SUMIFS('Input Sheet'!$F$3:$F$1001,'Input Sheet'!$B$3:$B$1001,$H371,'Input Sheet'!$E$3:$E$1001,N$4)=0,"",SUMIFS('Input Sheet'!$F$3:$F$1001,'Input Sheet'!$B$3:$B$1001,$H371,'Input Sheet'!$E$3:$E$1001,N$4))</f>
        <v/>
      </c>
      <c r="O371" s="21" t="str">
        <f>IF(SUMIFS('Input Sheet'!$F$3:$F$1001,'Input Sheet'!$B$3:$B$1001,$H371,'Input Sheet'!$E$3:$E$1001,O$4)=0,"",SUMIFS('Input Sheet'!$F$3:$F$1001,'Input Sheet'!$B$3:$B$1001,$H371,'Input Sheet'!$E$3:$E$1001,O$4))</f>
        <v/>
      </c>
      <c r="P371" s="21" t="str">
        <f>IF(SUMIFS('Input Sheet'!$F$3:$F$1001,'Input Sheet'!$B$3:$B$1001,$H371,'Input Sheet'!$E$3:$E$1001,P$4)=0,"",SUMIFS('Input Sheet'!$F$3:$F$1001,'Input Sheet'!$B$3:$B$1001,$H371,'Input Sheet'!$E$3:$E$1001,P$4))</f>
        <v/>
      </c>
      <c r="Q371" s="21" t="str">
        <f>IF(SUMIFS('Input Sheet'!$F$3:$F$1001,'Input Sheet'!$B$3:$B$1001,$H371,'Input Sheet'!$E$3:$E$1001,Q$4)=0,"",SUMIFS('Input Sheet'!$F$3:$F$1001,'Input Sheet'!$B$3:$B$1001,$H371,'Input Sheet'!$E$3:$E$1001,Q$4))</f>
        <v/>
      </c>
      <c r="R371" s="21" t="str">
        <f>IF(SUMIFS('Input Sheet'!$F$3:$F$1001,'Input Sheet'!$B$3:$B$1001,$H371,'Input Sheet'!$E$3:$E$1001,R$4)=0,"",SUMIFS('Input Sheet'!$F$3:$F$1001,'Input Sheet'!$B$3:$B$1001,$H371,'Input Sheet'!$E$3:$E$1001,R$4))</f>
        <v/>
      </c>
      <c r="S371" s="21" t="str">
        <f>IF(SUMIFS('Input Sheet'!$F$3:$F$1001,'Input Sheet'!$B$3:$B$1001,$H371,'Input Sheet'!$E$3:$E$1001,S$4)=0,"",SUMIFS('Input Sheet'!$F$3:$F$1001,'Input Sheet'!$B$3:$B$1001,$H371,'Input Sheet'!$E$3:$E$1001,S$4))</f>
        <v/>
      </c>
      <c r="T371" s="22">
        <v>366</v>
      </c>
    </row>
    <row r="372" spans="1:20" ht="14.25" customHeight="1" x14ac:dyDescent="0.3">
      <c r="A372" s="4" t="str">
        <f>IF('Input Sheet'!B369=0,"",'Input Sheet'!B369)</f>
        <v/>
      </c>
      <c r="B372" s="24" t="b">
        <f t="shared" si="264"/>
        <v>0</v>
      </c>
      <c r="C372" s="4">
        <f>SUMIF('Input Sheet'!B$3:B$1000,A372,'Input Sheet'!C$3:C$1000)</f>
        <v>0</v>
      </c>
      <c r="D372" s="4">
        <f>SUMIF('Input Sheet'!B$3:B$1000,A372,'Input Sheet'!D$3:D$1000)</f>
        <v>0</v>
      </c>
      <c r="E372" s="4" t="str">
        <f t="shared" ref="E372:F372" ca="1" si="382">IFERROR(RANK(K372,K$6:K$1004,1),"")</f>
        <v/>
      </c>
      <c r="F372" s="4" t="str">
        <f t="shared" ca="1" si="382"/>
        <v/>
      </c>
      <c r="G372" s="4" t="str">
        <f t="shared" ca="1" si="266"/>
        <v/>
      </c>
      <c r="H372" s="4" t="str">
        <f t="shared" si="267"/>
        <v/>
      </c>
      <c r="I372" s="4" t="str">
        <f t="shared" si="268"/>
        <v/>
      </c>
      <c r="J372" s="4" t="str">
        <f t="shared" si="269"/>
        <v/>
      </c>
      <c r="K372" s="25" t="str">
        <f t="shared" ca="1" si="270"/>
        <v/>
      </c>
      <c r="L372" s="21" t="str">
        <f t="shared" ca="1" si="271"/>
        <v/>
      </c>
      <c r="M372" s="21" t="str">
        <f>IF(SUMIFS('Input Sheet'!$F$3:$F$1001,'Input Sheet'!$B$3:$B$1001,$H372,'Input Sheet'!$E$3:$E$1001,M$4)=0,"",SUMIFS('Input Sheet'!$F$3:$F$1001,'Input Sheet'!$B$3:$B$1001,$H372,'Input Sheet'!$E$3:$E$1001,M$4))</f>
        <v/>
      </c>
      <c r="N372" s="21" t="str">
        <f>IF(SUMIFS('Input Sheet'!$F$3:$F$1001,'Input Sheet'!$B$3:$B$1001,$H372,'Input Sheet'!$E$3:$E$1001,N$4)=0,"",SUMIFS('Input Sheet'!$F$3:$F$1001,'Input Sheet'!$B$3:$B$1001,$H372,'Input Sheet'!$E$3:$E$1001,N$4))</f>
        <v/>
      </c>
      <c r="O372" s="21" t="str">
        <f>IF(SUMIFS('Input Sheet'!$F$3:$F$1001,'Input Sheet'!$B$3:$B$1001,$H372,'Input Sheet'!$E$3:$E$1001,O$4)=0,"",SUMIFS('Input Sheet'!$F$3:$F$1001,'Input Sheet'!$B$3:$B$1001,$H372,'Input Sheet'!$E$3:$E$1001,O$4))</f>
        <v/>
      </c>
      <c r="P372" s="21" t="str">
        <f>IF(SUMIFS('Input Sheet'!$F$3:$F$1001,'Input Sheet'!$B$3:$B$1001,$H372,'Input Sheet'!$E$3:$E$1001,P$4)=0,"",SUMIFS('Input Sheet'!$F$3:$F$1001,'Input Sheet'!$B$3:$B$1001,$H372,'Input Sheet'!$E$3:$E$1001,P$4))</f>
        <v/>
      </c>
      <c r="Q372" s="21" t="str">
        <f>IF(SUMIFS('Input Sheet'!$F$3:$F$1001,'Input Sheet'!$B$3:$B$1001,$H372,'Input Sheet'!$E$3:$E$1001,Q$4)=0,"",SUMIFS('Input Sheet'!$F$3:$F$1001,'Input Sheet'!$B$3:$B$1001,$H372,'Input Sheet'!$E$3:$E$1001,Q$4))</f>
        <v/>
      </c>
      <c r="R372" s="21" t="str">
        <f>IF(SUMIFS('Input Sheet'!$F$3:$F$1001,'Input Sheet'!$B$3:$B$1001,$H372,'Input Sheet'!$E$3:$E$1001,R$4)=0,"",SUMIFS('Input Sheet'!$F$3:$F$1001,'Input Sheet'!$B$3:$B$1001,$H372,'Input Sheet'!$E$3:$E$1001,R$4))</f>
        <v/>
      </c>
      <c r="S372" s="21" t="str">
        <f>IF(SUMIFS('Input Sheet'!$F$3:$F$1001,'Input Sheet'!$B$3:$B$1001,$H372,'Input Sheet'!$E$3:$E$1001,S$4)=0,"",SUMIFS('Input Sheet'!$F$3:$F$1001,'Input Sheet'!$B$3:$B$1001,$H372,'Input Sheet'!$E$3:$E$1001,S$4))</f>
        <v/>
      </c>
      <c r="T372" s="22">
        <v>367</v>
      </c>
    </row>
    <row r="373" spans="1:20" ht="14.25" customHeight="1" x14ac:dyDescent="0.3">
      <c r="A373" s="4" t="str">
        <f>IF('Input Sheet'!B370=0,"",'Input Sheet'!B370)</f>
        <v/>
      </c>
      <c r="B373" s="24" t="b">
        <f t="shared" si="264"/>
        <v>0</v>
      </c>
      <c r="C373" s="4">
        <f>SUMIF('Input Sheet'!B$3:B$1000,A373,'Input Sheet'!C$3:C$1000)</f>
        <v>0</v>
      </c>
      <c r="D373" s="4">
        <f>SUMIF('Input Sheet'!B$3:B$1000,A373,'Input Sheet'!D$3:D$1000)</f>
        <v>0</v>
      </c>
      <c r="E373" s="4" t="str">
        <f t="shared" ref="E373:F373" ca="1" si="383">IFERROR(RANK(K373,K$6:K$1004,1),"")</f>
        <v/>
      </c>
      <c r="F373" s="4" t="str">
        <f t="shared" ca="1" si="383"/>
        <v/>
      </c>
      <c r="G373" s="4" t="str">
        <f t="shared" ca="1" si="266"/>
        <v/>
      </c>
      <c r="H373" s="4" t="str">
        <f t="shared" si="267"/>
        <v/>
      </c>
      <c r="I373" s="4" t="str">
        <f t="shared" si="268"/>
        <v/>
      </c>
      <c r="J373" s="4" t="str">
        <f t="shared" si="269"/>
        <v/>
      </c>
      <c r="K373" s="25" t="str">
        <f t="shared" ca="1" si="270"/>
        <v/>
      </c>
      <c r="L373" s="21" t="str">
        <f t="shared" ca="1" si="271"/>
        <v/>
      </c>
      <c r="M373" s="21" t="str">
        <f>IF(SUMIFS('Input Sheet'!$F$3:$F$1001,'Input Sheet'!$B$3:$B$1001,$H373,'Input Sheet'!$E$3:$E$1001,M$4)=0,"",SUMIFS('Input Sheet'!$F$3:$F$1001,'Input Sheet'!$B$3:$B$1001,$H373,'Input Sheet'!$E$3:$E$1001,M$4))</f>
        <v/>
      </c>
      <c r="N373" s="21" t="str">
        <f>IF(SUMIFS('Input Sheet'!$F$3:$F$1001,'Input Sheet'!$B$3:$B$1001,$H373,'Input Sheet'!$E$3:$E$1001,N$4)=0,"",SUMIFS('Input Sheet'!$F$3:$F$1001,'Input Sheet'!$B$3:$B$1001,$H373,'Input Sheet'!$E$3:$E$1001,N$4))</f>
        <v/>
      </c>
      <c r="O373" s="21" t="str">
        <f>IF(SUMIFS('Input Sheet'!$F$3:$F$1001,'Input Sheet'!$B$3:$B$1001,$H373,'Input Sheet'!$E$3:$E$1001,O$4)=0,"",SUMIFS('Input Sheet'!$F$3:$F$1001,'Input Sheet'!$B$3:$B$1001,$H373,'Input Sheet'!$E$3:$E$1001,O$4))</f>
        <v/>
      </c>
      <c r="P373" s="21" t="str">
        <f>IF(SUMIFS('Input Sheet'!$F$3:$F$1001,'Input Sheet'!$B$3:$B$1001,$H373,'Input Sheet'!$E$3:$E$1001,P$4)=0,"",SUMIFS('Input Sheet'!$F$3:$F$1001,'Input Sheet'!$B$3:$B$1001,$H373,'Input Sheet'!$E$3:$E$1001,P$4))</f>
        <v/>
      </c>
      <c r="Q373" s="21" t="str">
        <f>IF(SUMIFS('Input Sheet'!$F$3:$F$1001,'Input Sheet'!$B$3:$B$1001,$H373,'Input Sheet'!$E$3:$E$1001,Q$4)=0,"",SUMIFS('Input Sheet'!$F$3:$F$1001,'Input Sheet'!$B$3:$B$1001,$H373,'Input Sheet'!$E$3:$E$1001,Q$4))</f>
        <v/>
      </c>
      <c r="R373" s="21" t="str">
        <f>IF(SUMIFS('Input Sheet'!$F$3:$F$1001,'Input Sheet'!$B$3:$B$1001,$H373,'Input Sheet'!$E$3:$E$1001,R$4)=0,"",SUMIFS('Input Sheet'!$F$3:$F$1001,'Input Sheet'!$B$3:$B$1001,$H373,'Input Sheet'!$E$3:$E$1001,R$4))</f>
        <v/>
      </c>
      <c r="S373" s="21" t="str">
        <f>IF(SUMIFS('Input Sheet'!$F$3:$F$1001,'Input Sheet'!$B$3:$B$1001,$H373,'Input Sheet'!$E$3:$E$1001,S$4)=0,"",SUMIFS('Input Sheet'!$F$3:$F$1001,'Input Sheet'!$B$3:$B$1001,$H373,'Input Sheet'!$E$3:$E$1001,S$4))</f>
        <v/>
      </c>
      <c r="T373" s="22">
        <v>368</v>
      </c>
    </row>
    <row r="374" spans="1:20" ht="14.25" customHeight="1" x14ac:dyDescent="0.3">
      <c r="A374" s="4" t="str">
        <f>IF('Input Sheet'!B371=0,"",'Input Sheet'!B371)</f>
        <v/>
      </c>
      <c r="B374" s="24" t="b">
        <f t="shared" si="264"/>
        <v>0</v>
      </c>
      <c r="C374" s="4">
        <f>SUMIF('Input Sheet'!B$3:B$1000,A374,'Input Sheet'!C$3:C$1000)</f>
        <v>0</v>
      </c>
      <c r="D374" s="4">
        <f>SUMIF('Input Sheet'!B$3:B$1000,A374,'Input Sheet'!D$3:D$1000)</f>
        <v>0</v>
      </c>
      <c r="E374" s="4" t="str">
        <f t="shared" ref="E374:F374" ca="1" si="384">IFERROR(RANK(K374,K$6:K$1004,1),"")</f>
        <v/>
      </c>
      <c r="F374" s="4" t="str">
        <f t="shared" ca="1" si="384"/>
        <v/>
      </c>
      <c r="G374" s="4" t="str">
        <f t="shared" ca="1" si="266"/>
        <v/>
      </c>
      <c r="H374" s="4" t="str">
        <f t="shared" si="267"/>
        <v/>
      </c>
      <c r="I374" s="4" t="str">
        <f t="shared" si="268"/>
        <v/>
      </c>
      <c r="J374" s="4" t="str">
        <f t="shared" si="269"/>
        <v/>
      </c>
      <c r="K374" s="25" t="str">
        <f t="shared" ca="1" si="270"/>
        <v/>
      </c>
      <c r="L374" s="21" t="str">
        <f t="shared" ca="1" si="271"/>
        <v/>
      </c>
      <c r="M374" s="21" t="str">
        <f>IF(SUMIFS('Input Sheet'!$F$3:$F$1001,'Input Sheet'!$B$3:$B$1001,$H374,'Input Sheet'!$E$3:$E$1001,M$4)=0,"",SUMIFS('Input Sheet'!$F$3:$F$1001,'Input Sheet'!$B$3:$B$1001,$H374,'Input Sheet'!$E$3:$E$1001,M$4))</f>
        <v/>
      </c>
      <c r="N374" s="21" t="str">
        <f>IF(SUMIFS('Input Sheet'!$F$3:$F$1001,'Input Sheet'!$B$3:$B$1001,$H374,'Input Sheet'!$E$3:$E$1001,N$4)=0,"",SUMIFS('Input Sheet'!$F$3:$F$1001,'Input Sheet'!$B$3:$B$1001,$H374,'Input Sheet'!$E$3:$E$1001,N$4))</f>
        <v/>
      </c>
      <c r="O374" s="21" t="str">
        <f>IF(SUMIFS('Input Sheet'!$F$3:$F$1001,'Input Sheet'!$B$3:$B$1001,$H374,'Input Sheet'!$E$3:$E$1001,O$4)=0,"",SUMIFS('Input Sheet'!$F$3:$F$1001,'Input Sheet'!$B$3:$B$1001,$H374,'Input Sheet'!$E$3:$E$1001,O$4))</f>
        <v/>
      </c>
      <c r="P374" s="21" t="str">
        <f>IF(SUMIFS('Input Sheet'!$F$3:$F$1001,'Input Sheet'!$B$3:$B$1001,$H374,'Input Sheet'!$E$3:$E$1001,P$4)=0,"",SUMIFS('Input Sheet'!$F$3:$F$1001,'Input Sheet'!$B$3:$B$1001,$H374,'Input Sheet'!$E$3:$E$1001,P$4))</f>
        <v/>
      </c>
      <c r="Q374" s="21" t="str">
        <f>IF(SUMIFS('Input Sheet'!$F$3:$F$1001,'Input Sheet'!$B$3:$B$1001,$H374,'Input Sheet'!$E$3:$E$1001,Q$4)=0,"",SUMIFS('Input Sheet'!$F$3:$F$1001,'Input Sheet'!$B$3:$B$1001,$H374,'Input Sheet'!$E$3:$E$1001,Q$4))</f>
        <v/>
      </c>
      <c r="R374" s="21" t="str">
        <f>IF(SUMIFS('Input Sheet'!$F$3:$F$1001,'Input Sheet'!$B$3:$B$1001,$H374,'Input Sheet'!$E$3:$E$1001,R$4)=0,"",SUMIFS('Input Sheet'!$F$3:$F$1001,'Input Sheet'!$B$3:$B$1001,$H374,'Input Sheet'!$E$3:$E$1001,R$4))</f>
        <v/>
      </c>
      <c r="S374" s="21" t="str">
        <f>IF(SUMIFS('Input Sheet'!$F$3:$F$1001,'Input Sheet'!$B$3:$B$1001,$H374,'Input Sheet'!$E$3:$E$1001,S$4)=0,"",SUMIFS('Input Sheet'!$F$3:$F$1001,'Input Sheet'!$B$3:$B$1001,$H374,'Input Sheet'!$E$3:$E$1001,S$4))</f>
        <v/>
      </c>
      <c r="T374" s="22">
        <v>369</v>
      </c>
    </row>
    <row r="375" spans="1:20" ht="14.25" customHeight="1" x14ac:dyDescent="0.3">
      <c r="A375" s="4" t="str">
        <f>IF('Input Sheet'!B372=0,"",'Input Sheet'!B372)</f>
        <v/>
      </c>
      <c r="B375" s="24" t="b">
        <f t="shared" si="264"/>
        <v>0</v>
      </c>
      <c r="C375" s="4">
        <f>SUMIF('Input Sheet'!B$3:B$1000,A375,'Input Sheet'!C$3:C$1000)</f>
        <v>0</v>
      </c>
      <c r="D375" s="4">
        <f>SUMIF('Input Sheet'!B$3:B$1000,A375,'Input Sheet'!D$3:D$1000)</f>
        <v>0</v>
      </c>
      <c r="E375" s="4" t="str">
        <f t="shared" ref="E375:F375" ca="1" si="385">IFERROR(RANK(K375,K$6:K$1004,1),"")</f>
        <v/>
      </c>
      <c r="F375" s="4" t="str">
        <f t="shared" ca="1" si="385"/>
        <v/>
      </c>
      <c r="G375" s="4" t="str">
        <f t="shared" ca="1" si="266"/>
        <v/>
      </c>
      <c r="H375" s="4" t="str">
        <f t="shared" si="267"/>
        <v/>
      </c>
      <c r="I375" s="4" t="str">
        <f t="shared" si="268"/>
        <v/>
      </c>
      <c r="J375" s="4" t="str">
        <f t="shared" si="269"/>
        <v/>
      </c>
      <c r="K375" s="25" t="str">
        <f t="shared" ca="1" si="270"/>
        <v/>
      </c>
      <c r="L375" s="21" t="str">
        <f t="shared" ca="1" si="271"/>
        <v/>
      </c>
      <c r="M375" s="21" t="str">
        <f>IF(SUMIFS('Input Sheet'!$F$3:$F$1001,'Input Sheet'!$B$3:$B$1001,$H375,'Input Sheet'!$E$3:$E$1001,M$4)=0,"",SUMIFS('Input Sheet'!$F$3:$F$1001,'Input Sheet'!$B$3:$B$1001,$H375,'Input Sheet'!$E$3:$E$1001,M$4))</f>
        <v/>
      </c>
      <c r="N375" s="21" t="str">
        <f>IF(SUMIFS('Input Sheet'!$F$3:$F$1001,'Input Sheet'!$B$3:$B$1001,$H375,'Input Sheet'!$E$3:$E$1001,N$4)=0,"",SUMIFS('Input Sheet'!$F$3:$F$1001,'Input Sheet'!$B$3:$B$1001,$H375,'Input Sheet'!$E$3:$E$1001,N$4))</f>
        <v/>
      </c>
      <c r="O375" s="21" t="str">
        <f>IF(SUMIFS('Input Sheet'!$F$3:$F$1001,'Input Sheet'!$B$3:$B$1001,$H375,'Input Sheet'!$E$3:$E$1001,O$4)=0,"",SUMIFS('Input Sheet'!$F$3:$F$1001,'Input Sheet'!$B$3:$B$1001,$H375,'Input Sheet'!$E$3:$E$1001,O$4))</f>
        <v/>
      </c>
      <c r="P375" s="21" t="str">
        <f>IF(SUMIFS('Input Sheet'!$F$3:$F$1001,'Input Sheet'!$B$3:$B$1001,$H375,'Input Sheet'!$E$3:$E$1001,P$4)=0,"",SUMIFS('Input Sheet'!$F$3:$F$1001,'Input Sheet'!$B$3:$B$1001,$H375,'Input Sheet'!$E$3:$E$1001,P$4))</f>
        <v/>
      </c>
      <c r="Q375" s="21" t="str">
        <f>IF(SUMIFS('Input Sheet'!$F$3:$F$1001,'Input Sheet'!$B$3:$B$1001,$H375,'Input Sheet'!$E$3:$E$1001,Q$4)=0,"",SUMIFS('Input Sheet'!$F$3:$F$1001,'Input Sheet'!$B$3:$B$1001,$H375,'Input Sheet'!$E$3:$E$1001,Q$4))</f>
        <v/>
      </c>
      <c r="R375" s="21" t="str">
        <f>IF(SUMIFS('Input Sheet'!$F$3:$F$1001,'Input Sheet'!$B$3:$B$1001,$H375,'Input Sheet'!$E$3:$E$1001,R$4)=0,"",SUMIFS('Input Sheet'!$F$3:$F$1001,'Input Sheet'!$B$3:$B$1001,$H375,'Input Sheet'!$E$3:$E$1001,R$4))</f>
        <v/>
      </c>
      <c r="S375" s="21" t="str">
        <f>IF(SUMIFS('Input Sheet'!$F$3:$F$1001,'Input Sheet'!$B$3:$B$1001,$H375,'Input Sheet'!$E$3:$E$1001,S$4)=0,"",SUMIFS('Input Sheet'!$F$3:$F$1001,'Input Sheet'!$B$3:$B$1001,$H375,'Input Sheet'!$E$3:$E$1001,S$4))</f>
        <v/>
      </c>
      <c r="T375" s="22">
        <v>370</v>
      </c>
    </row>
    <row r="376" spans="1:20" ht="14.25" customHeight="1" x14ac:dyDescent="0.3">
      <c r="A376" s="4" t="str">
        <f>IF('Input Sheet'!B373=0,"",'Input Sheet'!B373)</f>
        <v/>
      </c>
      <c r="B376" s="24" t="b">
        <f t="shared" si="264"/>
        <v>0</v>
      </c>
      <c r="C376" s="4">
        <f>SUMIF('Input Sheet'!B$3:B$1000,A376,'Input Sheet'!C$3:C$1000)</f>
        <v>0</v>
      </c>
      <c r="D376" s="4">
        <f>SUMIF('Input Sheet'!B$3:B$1000,A376,'Input Sheet'!D$3:D$1000)</f>
        <v>0</v>
      </c>
      <c r="E376" s="4" t="str">
        <f t="shared" ref="E376:F376" ca="1" si="386">IFERROR(RANK(K376,K$6:K$1004,1),"")</f>
        <v/>
      </c>
      <c r="F376" s="4" t="str">
        <f t="shared" ca="1" si="386"/>
        <v/>
      </c>
      <c r="G376" s="4" t="str">
        <f t="shared" ca="1" si="266"/>
        <v/>
      </c>
      <c r="H376" s="4" t="str">
        <f t="shared" si="267"/>
        <v/>
      </c>
      <c r="I376" s="4" t="str">
        <f t="shared" si="268"/>
        <v/>
      </c>
      <c r="J376" s="4" t="str">
        <f t="shared" si="269"/>
        <v/>
      </c>
      <c r="K376" s="25" t="str">
        <f t="shared" ca="1" si="270"/>
        <v/>
      </c>
      <c r="L376" s="21" t="str">
        <f t="shared" ca="1" si="271"/>
        <v/>
      </c>
      <c r="M376" s="21" t="str">
        <f>IF(SUMIFS('Input Sheet'!$F$3:$F$1001,'Input Sheet'!$B$3:$B$1001,$H376,'Input Sheet'!$E$3:$E$1001,M$4)=0,"",SUMIFS('Input Sheet'!$F$3:$F$1001,'Input Sheet'!$B$3:$B$1001,$H376,'Input Sheet'!$E$3:$E$1001,M$4))</f>
        <v/>
      </c>
      <c r="N376" s="21" t="str">
        <f>IF(SUMIFS('Input Sheet'!$F$3:$F$1001,'Input Sheet'!$B$3:$B$1001,$H376,'Input Sheet'!$E$3:$E$1001,N$4)=0,"",SUMIFS('Input Sheet'!$F$3:$F$1001,'Input Sheet'!$B$3:$B$1001,$H376,'Input Sheet'!$E$3:$E$1001,N$4))</f>
        <v/>
      </c>
      <c r="O376" s="21" t="str">
        <f>IF(SUMIFS('Input Sheet'!$F$3:$F$1001,'Input Sheet'!$B$3:$B$1001,$H376,'Input Sheet'!$E$3:$E$1001,O$4)=0,"",SUMIFS('Input Sheet'!$F$3:$F$1001,'Input Sheet'!$B$3:$B$1001,$H376,'Input Sheet'!$E$3:$E$1001,O$4))</f>
        <v/>
      </c>
      <c r="P376" s="21" t="str">
        <f>IF(SUMIFS('Input Sheet'!$F$3:$F$1001,'Input Sheet'!$B$3:$B$1001,$H376,'Input Sheet'!$E$3:$E$1001,P$4)=0,"",SUMIFS('Input Sheet'!$F$3:$F$1001,'Input Sheet'!$B$3:$B$1001,$H376,'Input Sheet'!$E$3:$E$1001,P$4))</f>
        <v/>
      </c>
      <c r="Q376" s="21" t="str">
        <f>IF(SUMIFS('Input Sheet'!$F$3:$F$1001,'Input Sheet'!$B$3:$B$1001,$H376,'Input Sheet'!$E$3:$E$1001,Q$4)=0,"",SUMIFS('Input Sheet'!$F$3:$F$1001,'Input Sheet'!$B$3:$B$1001,$H376,'Input Sheet'!$E$3:$E$1001,Q$4))</f>
        <v/>
      </c>
      <c r="R376" s="21" t="str">
        <f>IF(SUMIFS('Input Sheet'!$F$3:$F$1001,'Input Sheet'!$B$3:$B$1001,$H376,'Input Sheet'!$E$3:$E$1001,R$4)=0,"",SUMIFS('Input Sheet'!$F$3:$F$1001,'Input Sheet'!$B$3:$B$1001,$H376,'Input Sheet'!$E$3:$E$1001,R$4))</f>
        <v/>
      </c>
      <c r="S376" s="21" t="str">
        <f>IF(SUMIFS('Input Sheet'!$F$3:$F$1001,'Input Sheet'!$B$3:$B$1001,$H376,'Input Sheet'!$E$3:$E$1001,S$4)=0,"",SUMIFS('Input Sheet'!$F$3:$F$1001,'Input Sheet'!$B$3:$B$1001,$H376,'Input Sheet'!$E$3:$E$1001,S$4))</f>
        <v/>
      </c>
      <c r="T376" s="22">
        <v>371</v>
      </c>
    </row>
    <row r="377" spans="1:20" ht="14.25" customHeight="1" x14ac:dyDescent="0.3">
      <c r="A377" s="4" t="str">
        <f>IF('Input Sheet'!B374=0,"",'Input Sheet'!B374)</f>
        <v/>
      </c>
      <c r="B377" s="24" t="b">
        <f t="shared" si="264"/>
        <v>0</v>
      </c>
      <c r="C377" s="4">
        <f>SUMIF('Input Sheet'!B$3:B$1000,A377,'Input Sheet'!C$3:C$1000)</f>
        <v>0</v>
      </c>
      <c r="D377" s="4">
        <f>SUMIF('Input Sheet'!B$3:B$1000,A377,'Input Sheet'!D$3:D$1000)</f>
        <v>0</v>
      </c>
      <c r="E377" s="4" t="str">
        <f t="shared" ref="E377:F377" ca="1" si="387">IFERROR(RANK(K377,K$6:K$1004,1),"")</f>
        <v/>
      </c>
      <c r="F377" s="4" t="str">
        <f t="shared" ca="1" si="387"/>
        <v/>
      </c>
      <c r="G377" s="4" t="str">
        <f t="shared" ca="1" si="266"/>
        <v/>
      </c>
      <c r="H377" s="4" t="str">
        <f t="shared" si="267"/>
        <v/>
      </c>
      <c r="I377" s="4" t="str">
        <f t="shared" si="268"/>
        <v/>
      </c>
      <c r="J377" s="4" t="str">
        <f t="shared" si="269"/>
        <v/>
      </c>
      <c r="K377" s="25" t="str">
        <f t="shared" ca="1" si="270"/>
        <v/>
      </c>
      <c r="L377" s="21" t="str">
        <f t="shared" ca="1" si="271"/>
        <v/>
      </c>
      <c r="M377" s="21" t="str">
        <f>IF(SUMIFS('Input Sheet'!$F$3:$F$1001,'Input Sheet'!$B$3:$B$1001,$H377,'Input Sheet'!$E$3:$E$1001,M$4)=0,"",SUMIFS('Input Sheet'!$F$3:$F$1001,'Input Sheet'!$B$3:$B$1001,$H377,'Input Sheet'!$E$3:$E$1001,M$4))</f>
        <v/>
      </c>
      <c r="N377" s="21" t="str">
        <f>IF(SUMIFS('Input Sheet'!$F$3:$F$1001,'Input Sheet'!$B$3:$B$1001,$H377,'Input Sheet'!$E$3:$E$1001,N$4)=0,"",SUMIFS('Input Sheet'!$F$3:$F$1001,'Input Sheet'!$B$3:$B$1001,$H377,'Input Sheet'!$E$3:$E$1001,N$4))</f>
        <v/>
      </c>
      <c r="O377" s="21" t="str">
        <f>IF(SUMIFS('Input Sheet'!$F$3:$F$1001,'Input Sheet'!$B$3:$B$1001,$H377,'Input Sheet'!$E$3:$E$1001,O$4)=0,"",SUMIFS('Input Sheet'!$F$3:$F$1001,'Input Sheet'!$B$3:$B$1001,$H377,'Input Sheet'!$E$3:$E$1001,O$4))</f>
        <v/>
      </c>
      <c r="P377" s="21" t="str">
        <f>IF(SUMIFS('Input Sheet'!$F$3:$F$1001,'Input Sheet'!$B$3:$B$1001,$H377,'Input Sheet'!$E$3:$E$1001,P$4)=0,"",SUMIFS('Input Sheet'!$F$3:$F$1001,'Input Sheet'!$B$3:$B$1001,$H377,'Input Sheet'!$E$3:$E$1001,P$4))</f>
        <v/>
      </c>
      <c r="Q377" s="21" t="str">
        <f>IF(SUMIFS('Input Sheet'!$F$3:$F$1001,'Input Sheet'!$B$3:$B$1001,$H377,'Input Sheet'!$E$3:$E$1001,Q$4)=0,"",SUMIFS('Input Sheet'!$F$3:$F$1001,'Input Sheet'!$B$3:$B$1001,$H377,'Input Sheet'!$E$3:$E$1001,Q$4))</f>
        <v/>
      </c>
      <c r="R377" s="21" t="str">
        <f>IF(SUMIFS('Input Sheet'!$F$3:$F$1001,'Input Sheet'!$B$3:$B$1001,$H377,'Input Sheet'!$E$3:$E$1001,R$4)=0,"",SUMIFS('Input Sheet'!$F$3:$F$1001,'Input Sheet'!$B$3:$B$1001,$H377,'Input Sheet'!$E$3:$E$1001,R$4))</f>
        <v/>
      </c>
      <c r="S377" s="21" t="str">
        <f>IF(SUMIFS('Input Sheet'!$F$3:$F$1001,'Input Sheet'!$B$3:$B$1001,$H377,'Input Sheet'!$E$3:$E$1001,S$4)=0,"",SUMIFS('Input Sheet'!$F$3:$F$1001,'Input Sheet'!$B$3:$B$1001,$H377,'Input Sheet'!$E$3:$E$1001,S$4))</f>
        <v/>
      </c>
      <c r="T377" s="22">
        <v>372</v>
      </c>
    </row>
    <row r="378" spans="1:20" ht="14.25" customHeight="1" x14ac:dyDescent="0.3">
      <c r="A378" s="4" t="str">
        <f>IF('Input Sheet'!B375=0,"",'Input Sheet'!B375)</f>
        <v/>
      </c>
      <c r="B378" s="24" t="b">
        <f t="shared" si="264"/>
        <v>0</v>
      </c>
      <c r="C378" s="4">
        <f>SUMIF('Input Sheet'!B$3:B$1000,A378,'Input Sheet'!C$3:C$1000)</f>
        <v>0</v>
      </c>
      <c r="D378" s="4">
        <f>SUMIF('Input Sheet'!B$3:B$1000,A378,'Input Sheet'!D$3:D$1000)</f>
        <v>0</v>
      </c>
      <c r="E378" s="4" t="str">
        <f t="shared" ref="E378:F378" ca="1" si="388">IFERROR(RANK(K378,K$6:K$1004,1),"")</f>
        <v/>
      </c>
      <c r="F378" s="4" t="str">
        <f t="shared" ca="1" si="388"/>
        <v/>
      </c>
      <c r="G378" s="4" t="str">
        <f t="shared" ca="1" si="266"/>
        <v/>
      </c>
      <c r="H378" s="4" t="str">
        <f t="shared" si="267"/>
        <v/>
      </c>
      <c r="I378" s="4" t="str">
        <f t="shared" si="268"/>
        <v/>
      </c>
      <c r="J378" s="4" t="str">
        <f t="shared" si="269"/>
        <v/>
      </c>
      <c r="K378" s="25" t="str">
        <f t="shared" ca="1" si="270"/>
        <v/>
      </c>
      <c r="L378" s="21" t="str">
        <f t="shared" ca="1" si="271"/>
        <v/>
      </c>
      <c r="M378" s="21" t="str">
        <f>IF(SUMIFS('Input Sheet'!$F$3:$F$1001,'Input Sheet'!$B$3:$B$1001,$H378,'Input Sheet'!$E$3:$E$1001,M$4)=0,"",SUMIFS('Input Sheet'!$F$3:$F$1001,'Input Sheet'!$B$3:$B$1001,$H378,'Input Sheet'!$E$3:$E$1001,M$4))</f>
        <v/>
      </c>
      <c r="N378" s="21" t="str">
        <f>IF(SUMIFS('Input Sheet'!$F$3:$F$1001,'Input Sheet'!$B$3:$B$1001,$H378,'Input Sheet'!$E$3:$E$1001,N$4)=0,"",SUMIFS('Input Sheet'!$F$3:$F$1001,'Input Sheet'!$B$3:$B$1001,$H378,'Input Sheet'!$E$3:$E$1001,N$4))</f>
        <v/>
      </c>
      <c r="O378" s="21" t="str">
        <f>IF(SUMIFS('Input Sheet'!$F$3:$F$1001,'Input Sheet'!$B$3:$B$1001,$H378,'Input Sheet'!$E$3:$E$1001,O$4)=0,"",SUMIFS('Input Sheet'!$F$3:$F$1001,'Input Sheet'!$B$3:$B$1001,$H378,'Input Sheet'!$E$3:$E$1001,O$4))</f>
        <v/>
      </c>
      <c r="P378" s="21" t="str">
        <f>IF(SUMIFS('Input Sheet'!$F$3:$F$1001,'Input Sheet'!$B$3:$B$1001,$H378,'Input Sheet'!$E$3:$E$1001,P$4)=0,"",SUMIFS('Input Sheet'!$F$3:$F$1001,'Input Sheet'!$B$3:$B$1001,$H378,'Input Sheet'!$E$3:$E$1001,P$4))</f>
        <v/>
      </c>
      <c r="Q378" s="21" t="str">
        <f>IF(SUMIFS('Input Sheet'!$F$3:$F$1001,'Input Sheet'!$B$3:$B$1001,$H378,'Input Sheet'!$E$3:$E$1001,Q$4)=0,"",SUMIFS('Input Sheet'!$F$3:$F$1001,'Input Sheet'!$B$3:$B$1001,$H378,'Input Sheet'!$E$3:$E$1001,Q$4))</f>
        <v/>
      </c>
      <c r="R378" s="21" t="str">
        <f>IF(SUMIFS('Input Sheet'!$F$3:$F$1001,'Input Sheet'!$B$3:$B$1001,$H378,'Input Sheet'!$E$3:$E$1001,R$4)=0,"",SUMIFS('Input Sheet'!$F$3:$F$1001,'Input Sheet'!$B$3:$B$1001,$H378,'Input Sheet'!$E$3:$E$1001,R$4))</f>
        <v/>
      </c>
      <c r="S378" s="21" t="str">
        <f>IF(SUMIFS('Input Sheet'!$F$3:$F$1001,'Input Sheet'!$B$3:$B$1001,$H378,'Input Sheet'!$E$3:$E$1001,S$4)=0,"",SUMIFS('Input Sheet'!$F$3:$F$1001,'Input Sheet'!$B$3:$B$1001,$H378,'Input Sheet'!$E$3:$E$1001,S$4))</f>
        <v/>
      </c>
      <c r="T378" s="22">
        <v>373</v>
      </c>
    </row>
    <row r="379" spans="1:20" ht="14.25" customHeight="1" x14ac:dyDescent="0.3">
      <c r="A379" s="4" t="str">
        <f>IF('Input Sheet'!B376=0,"",'Input Sheet'!B376)</f>
        <v/>
      </c>
      <c r="B379" s="24" t="b">
        <f t="shared" si="264"/>
        <v>0</v>
      </c>
      <c r="C379" s="4">
        <f>SUMIF('Input Sheet'!B$3:B$1000,A379,'Input Sheet'!C$3:C$1000)</f>
        <v>0</v>
      </c>
      <c r="D379" s="4">
        <f>SUMIF('Input Sheet'!B$3:B$1000,A379,'Input Sheet'!D$3:D$1000)</f>
        <v>0</v>
      </c>
      <c r="E379" s="4" t="str">
        <f t="shared" ref="E379:F379" ca="1" si="389">IFERROR(RANK(K379,K$6:K$1004,1),"")</f>
        <v/>
      </c>
      <c r="F379" s="4" t="str">
        <f t="shared" ca="1" si="389"/>
        <v/>
      </c>
      <c r="G379" s="4" t="str">
        <f t="shared" ca="1" si="266"/>
        <v/>
      </c>
      <c r="H379" s="4" t="str">
        <f t="shared" si="267"/>
        <v/>
      </c>
      <c r="I379" s="4" t="str">
        <f t="shared" si="268"/>
        <v/>
      </c>
      <c r="J379" s="4" t="str">
        <f t="shared" si="269"/>
        <v/>
      </c>
      <c r="K379" s="25" t="str">
        <f t="shared" ca="1" si="270"/>
        <v/>
      </c>
      <c r="L379" s="21" t="str">
        <f t="shared" ca="1" si="271"/>
        <v/>
      </c>
      <c r="M379" s="21" t="str">
        <f>IF(SUMIFS('Input Sheet'!$F$3:$F$1001,'Input Sheet'!$B$3:$B$1001,$H379,'Input Sheet'!$E$3:$E$1001,M$4)=0,"",SUMIFS('Input Sheet'!$F$3:$F$1001,'Input Sheet'!$B$3:$B$1001,$H379,'Input Sheet'!$E$3:$E$1001,M$4))</f>
        <v/>
      </c>
      <c r="N379" s="21" t="str">
        <f>IF(SUMIFS('Input Sheet'!$F$3:$F$1001,'Input Sheet'!$B$3:$B$1001,$H379,'Input Sheet'!$E$3:$E$1001,N$4)=0,"",SUMIFS('Input Sheet'!$F$3:$F$1001,'Input Sheet'!$B$3:$B$1001,$H379,'Input Sheet'!$E$3:$E$1001,N$4))</f>
        <v/>
      </c>
      <c r="O379" s="21" t="str">
        <f>IF(SUMIFS('Input Sheet'!$F$3:$F$1001,'Input Sheet'!$B$3:$B$1001,$H379,'Input Sheet'!$E$3:$E$1001,O$4)=0,"",SUMIFS('Input Sheet'!$F$3:$F$1001,'Input Sheet'!$B$3:$B$1001,$H379,'Input Sheet'!$E$3:$E$1001,O$4))</f>
        <v/>
      </c>
      <c r="P379" s="21" t="str">
        <f>IF(SUMIFS('Input Sheet'!$F$3:$F$1001,'Input Sheet'!$B$3:$B$1001,$H379,'Input Sheet'!$E$3:$E$1001,P$4)=0,"",SUMIFS('Input Sheet'!$F$3:$F$1001,'Input Sheet'!$B$3:$B$1001,$H379,'Input Sheet'!$E$3:$E$1001,P$4))</f>
        <v/>
      </c>
      <c r="Q379" s="21" t="str">
        <f>IF(SUMIFS('Input Sheet'!$F$3:$F$1001,'Input Sheet'!$B$3:$B$1001,$H379,'Input Sheet'!$E$3:$E$1001,Q$4)=0,"",SUMIFS('Input Sheet'!$F$3:$F$1001,'Input Sheet'!$B$3:$B$1001,$H379,'Input Sheet'!$E$3:$E$1001,Q$4))</f>
        <v/>
      </c>
      <c r="R379" s="21" t="str">
        <f>IF(SUMIFS('Input Sheet'!$F$3:$F$1001,'Input Sheet'!$B$3:$B$1001,$H379,'Input Sheet'!$E$3:$E$1001,R$4)=0,"",SUMIFS('Input Sheet'!$F$3:$F$1001,'Input Sheet'!$B$3:$B$1001,$H379,'Input Sheet'!$E$3:$E$1001,R$4))</f>
        <v/>
      </c>
      <c r="S379" s="21" t="str">
        <f>IF(SUMIFS('Input Sheet'!$F$3:$F$1001,'Input Sheet'!$B$3:$B$1001,$H379,'Input Sheet'!$E$3:$E$1001,S$4)=0,"",SUMIFS('Input Sheet'!$F$3:$F$1001,'Input Sheet'!$B$3:$B$1001,$H379,'Input Sheet'!$E$3:$E$1001,S$4))</f>
        <v/>
      </c>
      <c r="T379" s="22">
        <v>374</v>
      </c>
    </row>
    <row r="380" spans="1:20" ht="14.25" customHeight="1" x14ac:dyDescent="0.3">
      <c r="A380" s="4" t="str">
        <f>IF('Input Sheet'!B377=0,"",'Input Sheet'!B377)</f>
        <v/>
      </c>
      <c r="B380" s="24" t="b">
        <f t="shared" si="264"/>
        <v>0</v>
      </c>
      <c r="C380" s="4">
        <f>SUMIF('Input Sheet'!B$3:B$1000,A380,'Input Sheet'!C$3:C$1000)</f>
        <v>0</v>
      </c>
      <c r="D380" s="4">
        <f>SUMIF('Input Sheet'!B$3:B$1000,A380,'Input Sheet'!D$3:D$1000)</f>
        <v>0</v>
      </c>
      <c r="E380" s="4" t="str">
        <f t="shared" ref="E380:F380" ca="1" si="390">IFERROR(RANK(K380,K$6:K$1004,1),"")</f>
        <v/>
      </c>
      <c r="F380" s="4" t="str">
        <f t="shared" ca="1" si="390"/>
        <v/>
      </c>
      <c r="G380" s="4" t="str">
        <f t="shared" ca="1" si="266"/>
        <v/>
      </c>
      <c r="H380" s="4" t="str">
        <f t="shared" si="267"/>
        <v/>
      </c>
      <c r="I380" s="4" t="str">
        <f t="shared" si="268"/>
        <v/>
      </c>
      <c r="J380" s="4" t="str">
        <f t="shared" si="269"/>
        <v/>
      </c>
      <c r="K380" s="25" t="str">
        <f t="shared" ca="1" si="270"/>
        <v/>
      </c>
      <c r="L380" s="21" t="str">
        <f t="shared" ca="1" si="271"/>
        <v/>
      </c>
      <c r="M380" s="21" t="str">
        <f>IF(SUMIFS('Input Sheet'!$F$3:$F$1001,'Input Sheet'!$B$3:$B$1001,$H380,'Input Sheet'!$E$3:$E$1001,M$4)=0,"",SUMIFS('Input Sheet'!$F$3:$F$1001,'Input Sheet'!$B$3:$B$1001,$H380,'Input Sheet'!$E$3:$E$1001,M$4))</f>
        <v/>
      </c>
      <c r="N380" s="21" t="str">
        <f>IF(SUMIFS('Input Sheet'!$F$3:$F$1001,'Input Sheet'!$B$3:$B$1001,$H380,'Input Sheet'!$E$3:$E$1001,N$4)=0,"",SUMIFS('Input Sheet'!$F$3:$F$1001,'Input Sheet'!$B$3:$B$1001,$H380,'Input Sheet'!$E$3:$E$1001,N$4))</f>
        <v/>
      </c>
      <c r="O380" s="21" t="str">
        <f>IF(SUMIFS('Input Sheet'!$F$3:$F$1001,'Input Sheet'!$B$3:$B$1001,$H380,'Input Sheet'!$E$3:$E$1001,O$4)=0,"",SUMIFS('Input Sheet'!$F$3:$F$1001,'Input Sheet'!$B$3:$B$1001,$H380,'Input Sheet'!$E$3:$E$1001,O$4))</f>
        <v/>
      </c>
      <c r="P380" s="21" t="str">
        <f>IF(SUMIFS('Input Sheet'!$F$3:$F$1001,'Input Sheet'!$B$3:$B$1001,$H380,'Input Sheet'!$E$3:$E$1001,P$4)=0,"",SUMIFS('Input Sheet'!$F$3:$F$1001,'Input Sheet'!$B$3:$B$1001,$H380,'Input Sheet'!$E$3:$E$1001,P$4))</f>
        <v/>
      </c>
      <c r="Q380" s="21" t="str">
        <f>IF(SUMIFS('Input Sheet'!$F$3:$F$1001,'Input Sheet'!$B$3:$B$1001,$H380,'Input Sheet'!$E$3:$E$1001,Q$4)=0,"",SUMIFS('Input Sheet'!$F$3:$F$1001,'Input Sheet'!$B$3:$B$1001,$H380,'Input Sheet'!$E$3:$E$1001,Q$4))</f>
        <v/>
      </c>
      <c r="R380" s="21" t="str">
        <f>IF(SUMIFS('Input Sheet'!$F$3:$F$1001,'Input Sheet'!$B$3:$B$1001,$H380,'Input Sheet'!$E$3:$E$1001,R$4)=0,"",SUMIFS('Input Sheet'!$F$3:$F$1001,'Input Sheet'!$B$3:$B$1001,$H380,'Input Sheet'!$E$3:$E$1001,R$4))</f>
        <v/>
      </c>
      <c r="S380" s="21" t="str">
        <f>IF(SUMIFS('Input Sheet'!$F$3:$F$1001,'Input Sheet'!$B$3:$B$1001,$H380,'Input Sheet'!$E$3:$E$1001,S$4)=0,"",SUMIFS('Input Sheet'!$F$3:$F$1001,'Input Sheet'!$B$3:$B$1001,$H380,'Input Sheet'!$E$3:$E$1001,S$4))</f>
        <v/>
      </c>
      <c r="T380" s="22">
        <v>375</v>
      </c>
    </row>
    <row r="381" spans="1:20" ht="14.25" customHeight="1" x14ac:dyDescent="0.3">
      <c r="A381" s="4" t="str">
        <f>IF('Input Sheet'!B378=0,"",'Input Sheet'!B378)</f>
        <v/>
      </c>
      <c r="B381" s="24" t="b">
        <f t="shared" si="264"/>
        <v>0</v>
      </c>
      <c r="C381" s="4">
        <f>SUMIF('Input Sheet'!B$3:B$1000,A381,'Input Sheet'!C$3:C$1000)</f>
        <v>0</v>
      </c>
      <c r="D381" s="4">
        <f>SUMIF('Input Sheet'!B$3:B$1000,A381,'Input Sheet'!D$3:D$1000)</f>
        <v>0</v>
      </c>
      <c r="E381" s="4" t="str">
        <f t="shared" ref="E381:F381" ca="1" si="391">IFERROR(RANK(K381,K$6:K$1004,1),"")</f>
        <v/>
      </c>
      <c r="F381" s="4" t="str">
        <f t="shared" ca="1" si="391"/>
        <v/>
      </c>
      <c r="G381" s="4" t="str">
        <f t="shared" ca="1" si="266"/>
        <v/>
      </c>
      <c r="H381" s="4" t="str">
        <f t="shared" si="267"/>
        <v/>
      </c>
      <c r="I381" s="4" t="str">
        <f t="shared" si="268"/>
        <v/>
      </c>
      <c r="J381" s="4" t="str">
        <f t="shared" si="269"/>
        <v/>
      </c>
      <c r="K381" s="25" t="str">
        <f t="shared" ca="1" si="270"/>
        <v/>
      </c>
      <c r="L381" s="21" t="str">
        <f t="shared" ca="1" si="271"/>
        <v/>
      </c>
      <c r="M381" s="21" t="str">
        <f>IF(SUMIFS('Input Sheet'!$F$3:$F$1001,'Input Sheet'!$B$3:$B$1001,$H381,'Input Sheet'!$E$3:$E$1001,M$4)=0,"",SUMIFS('Input Sheet'!$F$3:$F$1001,'Input Sheet'!$B$3:$B$1001,$H381,'Input Sheet'!$E$3:$E$1001,M$4))</f>
        <v/>
      </c>
      <c r="N381" s="21" t="str">
        <f>IF(SUMIFS('Input Sheet'!$F$3:$F$1001,'Input Sheet'!$B$3:$B$1001,$H381,'Input Sheet'!$E$3:$E$1001,N$4)=0,"",SUMIFS('Input Sheet'!$F$3:$F$1001,'Input Sheet'!$B$3:$B$1001,$H381,'Input Sheet'!$E$3:$E$1001,N$4))</f>
        <v/>
      </c>
      <c r="O381" s="21" t="str">
        <f>IF(SUMIFS('Input Sheet'!$F$3:$F$1001,'Input Sheet'!$B$3:$B$1001,$H381,'Input Sheet'!$E$3:$E$1001,O$4)=0,"",SUMIFS('Input Sheet'!$F$3:$F$1001,'Input Sheet'!$B$3:$B$1001,$H381,'Input Sheet'!$E$3:$E$1001,O$4))</f>
        <v/>
      </c>
      <c r="P381" s="21" t="str">
        <f>IF(SUMIFS('Input Sheet'!$F$3:$F$1001,'Input Sheet'!$B$3:$B$1001,$H381,'Input Sheet'!$E$3:$E$1001,P$4)=0,"",SUMIFS('Input Sheet'!$F$3:$F$1001,'Input Sheet'!$B$3:$B$1001,$H381,'Input Sheet'!$E$3:$E$1001,P$4))</f>
        <v/>
      </c>
      <c r="Q381" s="21" t="str">
        <f>IF(SUMIFS('Input Sheet'!$F$3:$F$1001,'Input Sheet'!$B$3:$B$1001,$H381,'Input Sheet'!$E$3:$E$1001,Q$4)=0,"",SUMIFS('Input Sheet'!$F$3:$F$1001,'Input Sheet'!$B$3:$B$1001,$H381,'Input Sheet'!$E$3:$E$1001,Q$4))</f>
        <v/>
      </c>
      <c r="R381" s="21" t="str">
        <f>IF(SUMIFS('Input Sheet'!$F$3:$F$1001,'Input Sheet'!$B$3:$B$1001,$H381,'Input Sheet'!$E$3:$E$1001,R$4)=0,"",SUMIFS('Input Sheet'!$F$3:$F$1001,'Input Sheet'!$B$3:$B$1001,$H381,'Input Sheet'!$E$3:$E$1001,R$4))</f>
        <v/>
      </c>
      <c r="S381" s="21" t="str">
        <f>IF(SUMIFS('Input Sheet'!$F$3:$F$1001,'Input Sheet'!$B$3:$B$1001,$H381,'Input Sheet'!$E$3:$E$1001,S$4)=0,"",SUMIFS('Input Sheet'!$F$3:$F$1001,'Input Sheet'!$B$3:$B$1001,$H381,'Input Sheet'!$E$3:$E$1001,S$4))</f>
        <v/>
      </c>
      <c r="T381" s="22">
        <v>376</v>
      </c>
    </row>
    <row r="382" spans="1:20" ht="14.25" customHeight="1" x14ac:dyDescent="0.3">
      <c r="A382" s="4" t="str">
        <f>IF('Input Sheet'!B379=0,"",'Input Sheet'!B379)</f>
        <v/>
      </c>
      <c r="B382" s="24" t="b">
        <f t="shared" si="264"/>
        <v>0</v>
      </c>
      <c r="C382" s="4">
        <f>SUMIF('Input Sheet'!B$3:B$1000,A382,'Input Sheet'!C$3:C$1000)</f>
        <v>0</v>
      </c>
      <c r="D382" s="4">
        <f>SUMIF('Input Sheet'!B$3:B$1000,A382,'Input Sheet'!D$3:D$1000)</f>
        <v>0</v>
      </c>
      <c r="E382" s="4" t="str">
        <f t="shared" ref="E382:F382" ca="1" si="392">IFERROR(RANK(K382,K$6:K$1004,1),"")</f>
        <v/>
      </c>
      <c r="F382" s="4" t="str">
        <f t="shared" ca="1" si="392"/>
        <v/>
      </c>
      <c r="G382" s="4" t="str">
        <f t="shared" ca="1" si="266"/>
        <v/>
      </c>
      <c r="H382" s="4" t="str">
        <f t="shared" si="267"/>
        <v/>
      </c>
      <c r="I382" s="4" t="str">
        <f t="shared" si="268"/>
        <v/>
      </c>
      <c r="J382" s="4" t="str">
        <f t="shared" si="269"/>
        <v/>
      </c>
      <c r="K382" s="25" t="str">
        <f t="shared" ca="1" si="270"/>
        <v/>
      </c>
      <c r="L382" s="21" t="str">
        <f t="shared" ca="1" si="271"/>
        <v/>
      </c>
      <c r="M382" s="21" t="str">
        <f>IF(SUMIFS('Input Sheet'!$F$3:$F$1001,'Input Sheet'!$B$3:$B$1001,$H382,'Input Sheet'!$E$3:$E$1001,M$4)=0,"",SUMIFS('Input Sheet'!$F$3:$F$1001,'Input Sheet'!$B$3:$B$1001,$H382,'Input Sheet'!$E$3:$E$1001,M$4))</f>
        <v/>
      </c>
      <c r="N382" s="21" t="str">
        <f>IF(SUMIFS('Input Sheet'!$F$3:$F$1001,'Input Sheet'!$B$3:$B$1001,$H382,'Input Sheet'!$E$3:$E$1001,N$4)=0,"",SUMIFS('Input Sheet'!$F$3:$F$1001,'Input Sheet'!$B$3:$B$1001,$H382,'Input Sheet'!$E$3:$E$1001,N$4))</f>
        <v/>
      </c>
      <c r="O382" s="21" t="str">
        <f>IF(SUMIFS('Input Sheet'!$F$3:$F$1001,'Input Sheet'!$B$3:$B$1001,$H382,'Input Sheet'!$E$3:$E$1001,O$4)=0,"",SUMIFS('Input Sheet'!$F$3:$F$1001,'Input Sheet'!$B$3:$B$1001,$H382,'Input Sheet'!$E$3:$E$1001,O$4))</f>
        <v/>
      </c>
      <c r="P382" s="21" t="str">
        <f>IF(SUMIFS('Input Sheet'!$F$3:$F$1001,'Input Sheet'!$B$3:$B$1001,$H382,'Input Sheet'!$E$3:$E$1001,P$4)=0,"",SUMIFS('Input Sheet'!$F$3:$F$1001,'Input Sheet'!$B$3:$B$1001,$H382,'Input Sheet'!$E$3:$E$1001,P$4))</f>
        <v/>
      </c>
      <c r="Q382" s="21" t="str">
        <f>IF(SUMIFS('Input Sheet'!$F$3:$F$1001,'Input Sheet'!$B$3:$B$1001,$H382,'Input Sheet'!$E$3:$E$1001,Q$4)=0,"",SUMIFS('Input Sheet'!$F$3:$F$1001,'Input Sheet'!$B$3:$B$1001,$H382,'Input Sheet'!$E$3:$E$1001,Q$4))</f>
        <v/>
      </c>
      <c r="R382" s="21" t="str">
        <f>IF(SUMIFS('Input Sheet'!$F$3:$F$1001,'Input Sheet'!$B$3:$B$1001,$H382,'Input Sheet'!$E$3:$E$1001,R$4)=0,"",SUMIFS('Input Sheet'!$F$3:$F$1001,'Input Sheet'!$B$3:$B$1001,$H382,'Input Sheet'!$E$3:$E$1001,R$4))</f>
        <v/>
      </c>
      <c r="S382" s="21" t="str">
        <f>IF(SUMIFS('Input Sheet'!$F$3:$F$1001,'Input Sheet'!$B$3:$B$1001,$H382,'Input Sheet'!$E$3:$E$1001,S$4)=0,"",SUMIFS('Input Sheet'!$F$3:$F$1001,'Input Sheet'!$B$3:$B$1001,$H382,'Input Sheet'!$E$3:$E$1001,S$4))</f>
        <v/>
      </c>
      <c r="T382" s="22">
        <v>377</v>
      </c>
    </row>
    <row r="383" spans="1:20" ht="14.25" customHeight="1" x14ac:dyDescent="0.3">
      <c r="A383" s="4" t="str">
        <f>IF('Input Sheet'!B380=0,"",'Input Sheet'!B380)</f>
        <v/>
      </c>
      <c r="B383" s="24" t="b">
        <f t="shared" si="264"/>
        <v>0</v>
      </c>
      <c r="C383" s="4">
        <f>SUMIF('Input Sheet'!B$3:B$1000,A383,'Input Sheet'!C$3:C$1000)</f>
        <v>0</v>
      </c>
      <c r="D383" s="4">
        <f>SUMIF('Input Sheet'!B$3:B$1000,A383,'Input Sheet'!D$3:D$1000)</f>
        <v>0</v>
      </c>
      <c r="E383" s="4" t="str">
        <f t="shared" ref="E383:F383" ca="1" si="393">IFERROR(RANK(K383,K$6:K$1004,1),"")</f>
        <v/>
      </c>
      <c r="F383" s="4" t="str">
        <f t="shared" ca="1" si="393"/>
        <v/>
      </c>
      <c r="G383" s="4" t="str">
        <f t="shared" ca="1" si="266"/>
        <v/>
      </c>
      <c r="H383" s="4" t="str">
        <f t="shared" si="267"/>
        <v/>
      </c>
      <c r="I383" s="4" t="str">
        <f t="shared" si="268"/>
        <v/>
      </c>
      <c r="J383" s="4" t="str">
        <f t="shared" si="269"/>
        <v/>
      </c>
      <c r="K383" s="25" t="str">
        <f t="shared" ca="1" si="270"/>
        <v/>
      </c>
      <c r="L383" s="21" t="str">
        <f t="shared" ca="1" si="271"/>
        <v/>
      </c>
      <c r="M383" s="21" t="str">
        <f>IF(SUMIFS('Input Sheet'!$F$3:$F$1001,'Input Sheet'!$B$3:$B$1001,$H383,'Input Sheet'!$E$3:$E$1001,M$4)=0,"",SUMIFS('Input Sheet'!$F$3:$F$1001,'Input Sheet'!$B$3:$B$1001,$H383,'Input Sheet'!$E$3:$E$1001,M$4))</f>
        <v/>
      </c>
      <c r="N383" s="21" t="str">
        <f>IF(SUMIFS('Input Sheet'!$F$3:$F$1001,'Input Sheet'!$B$3:$B$1001,$H383,'Input Sheet'!$E$3:$E$1001,N$4)=0,"",SUMIFS('Input Sheet'!$F$3:$F$1001,'Input Sheet'!$B$3:$B$1001,$H383,'Input Sheet'!$E$3:$E$1001,N$4))</f>
        <v/>
      </c>
      <c r="O383" s="21" t="str">
        <f>IF(SUMIFS('Input Sheet'!$F$3:$F$1001,'Input Sheet'!$B$3:$B$1001,$H383,'Input Sheet'!$E$3:$E$1001,O$4)=0,"",SUMIFS('Input Sheet'!$F$3:$F$1001,'Input Sheet'!$B$3:$B$1001,$H383,'Input Sheet'!$E$3:$E$1001,O$4))</f>
        <v/>
      </c>
      <c r="P383" s="21" t="str">
        <f>IF(SUMIFS('Input Sheet'!$F$3:$F$1001,'Input Sheet'!$B$3:$B$1001,$H383,'Input Sheet'!$E$3:$E$1001,P$4)=0,"",SUMIFS('Input Sheet'!$F$3:$F$1001,'Input Sheet'!$B$3:$B$1001,$H383,'Input Sheet'!$E$3:$E$1001,P$4))</f>
        <v/>
      </c>
      <c r="Q383" s="21" t="str">
        <f>IF(SUMIFS('Input Sheet'!$F$3:$F$1001,'Input Sheet'!$B$3:$B$1001,$H383,'Input Sheet'!$E$3:$E$1001,Q$4)=0,"",SUMIFS('Input Sheet'!$F$3:$F$1001,'Input Sheet'!$B$3:$B$1001,$H383,'Input Sheet'!$E$3:$E$1001,Q$4))</f>
        <v/>
      </c>
      <c r="R383" s="21" t="str">
        <f>IF(SUMIFS('Input Sheet'!$F$3:$F$1001,'Input Sheet'!$B$3:$B$1001,$H383,'Input Sheet'!$E$3:$E$1001,R$4)=0,"",SUMIFS('Input Sheet'!$F$3:$F$1001,'Input Sheet'!$B$3:$B$1001,$H383,'Input Sheet'!$E$3:$E$1001,R$4))</f>
        <v/>
      </c>
      <c r="S383" s="21" t="str">
        <f>IF(SUMIFS('Input Sheet'!$F$3:$F$1001,'Input Sheet'!$B$3:$B$1001,$H383,'Input Sheet'!$E$3:$E$1001,S$4)=0,"",SUMIFS('Input Sheet'!$F$3:$F$1001,'Input Sheet'!$B$3:$B$1001,$H383,'Input Sheet'!$E$3:$E$1001,S$4))</f>
        <v/>
      </c>
      <c r="T383" s="22">
        <v>378</v>
      </c>
    </row>
    <row r="384" spans="1:20" ht="14.25" customHeight="1" x14ac:dyDescent="0.3">
      <c r="A384" s="4" t="str">
        <f>IF('Input Sheet'!B381=0,"",'Input Sheet'!B381)</f>
        <v/>
      </c>
      <c r="B384" s="24" t="b">
        <f t="shared" si="264"/>
        <v>0</v>
      </c>
      <c r="C384" s="4">
        <f>SUMIF('Input Sheet'!B$3:B$1000,A384,'Input Sheet'!C$3:C$1000)</f>
        <v>0</v>
      </c>
      <c r="D384" s="4">
        <f>SUMIF('Input Sheet'!B$3:B$1000,A384,'Input Sheet'!D$3:D$1000)</f>
        <v>0</v>
      </c>
      <c r="E384" s="4" t="str">
        <f t="shared" ref="E384:F384" ca="1" si="394">IFERROR(RANK(K384,K$6:K$1004,1),"")</f>
        <v/>
      </c>
      <c r="F384" s="4" t="str">
        <f t="shared" ca="1" si="394"/>
        <v/>
      </c>
      <c r="G384" s="4" t="str">
        <f t="shared" ca="1" si="266"/>
        <v/>
      </c>
      <c r="H384" s="4" t="str">
        <f t="shared" si="267"/>
        <v/>
      </c>
      <c r="I384" s="4" t="str">
        <f t="shared" si="268"/>
        <v/>
      </c>
      <c r="J384" s="4" t="str">
        <f t="shared" si="269"/>
        <v/>
      </c>
      <c r="K384" s="25" t="str">
        <f t="shared" ca="1" si="270"/>
        <v/>
      </c>
      <c r="L384" s="21" t="str">
        <f t="shared" ca="1" si="271"/>
        <v/>
      </c>
      <c r="M384" s="21" t="str">
        <f>IF(SUMIFS('Input Sheet'!$F$3:$F$1001,'Input Sheet'!$B$3:$B$1001,$H384,'Input Sheet'!$E$3:$E$1001,M$4)=0,"",SUMIFS('Input Sheet'!$F$3:$F$1001,'Input Sheet'!$B$3:$B$1001,$H384,'Input Sheet'!$E$3:$E$1001,M$4))</f>
        <v/>
      </c>
      <c r="N384" s="21" t="str">
        <f>IF(SUMIFS('Input Sheet'!$F$3:$F$1001,'Input Sheet'!$B$3:$B$1001,$H384,'Input Sheet'!$E$3:$E$1001,N$4)=0,"",SUMIFS('Input Sheet'!$F$3:$F$1001,'Input Sheet'!$B$3:$B$1001,$H384,'Input Sheet'!$E$3:$E$1001,N$4))</f>
        <v/>
      </c>
      <c r="O384" s="21" t="str">
        <f>IF(SUMIFS('Input Sheet'!$F$3:$F$1001,'Input Sheet'!$B$3:$B$1001,$H384,'Input Sheet'!$E$3:$E$1001,O$4)=0,"",SUMIFS('Input Sheet'!$F$3:$F$1001,'Input Sheet'!$B$3:$B$1001,$H384,'Input Sheet'!$E$3:$E$1001,O$4))</f>
        <v/>
      </c>
      <c r="P384" s="21" t="str">
        <f>IF(SUMIFS('Input Sheet'!$F$3:$F$1001,'Input Sheet'!$B$3:$B$1001,$H384,'Input Sheet'!$E$3:$E$1001,P$4)=0,"",SUMIFS('Input Sheet'!$F$3:$F$1001,'Input Sheet'!$B$3:$B$1001,$H384,'Input Sheet'!$E$3:$E$1001,P$4))</f>
        <v/>
      </c>
      <c r="Q384" s="21" t="str">
        <f>IF(SUMIFS('Input Sheet'!$F$3:$F$1001,'Input Sheet'!$B$3:$B$1001,$H384,'Input Sheet'!$E$3:$E$1001,Q$4)=0,"",SUMIFS('Input Sheet'!$F$3:$F$1001,'Input Sheet'!$B$3:$B$1001,$H384,'Input Sheet'!$E$3:$E$1001,Q$4))</f>
        <v/>
      </c>
      <c r="R384" s="21" t="str">
        <f>IF(SUMIFS('Input Sheet'!$F$3:$F$1001,'Input Sheet'!$B$3:$B$1001,$H384,'Input Sheet'!$E$3:$E$1001,R$4)=0,"",SUMIFS('Input Sheet'!$F$3:$F$1001,'Input Sheet'!$B$3:$B$1001,$H384,'Input Sheet'!$E$3:$E$1001,R$4))</f>
        <v/>
      </c>
      <c r="S384" s="21" t="str">
        <f>IF(SUMIFS('Input Sheet'!$F$3:$F$1001,'Input Sheet'!$B$3:$B$1001,$H384,'Input Sheet'!$E$3:$E$1001,S$4)=0,"",SUMIFS('Input Sheet'!$F$3:$F$1001,'Input Sheet'!$B$3:$B$1001,$H384,'Input Sheet'!$E$3:$E$1001,S$4))</f>
        <v/>
      </c>
      <c r="T384" s="22">
        <v>379</v>
      </c>
    </row>
    <row r="385" spans="1:20" ht="14.25" customHeight="1" x14ac:dyDescent="0.3">
      <c r="A385" s="4" t="str">
        <f>IF('Input Sheet'!B382=0,"",'Input Sheet'!B382)</f>
        <v/>
      </c>
      <c r="B385" s="24" t="b">
        <f t="shared" si="264"/>
        <v>0</v>
      </c>
      <c r="C385" s="4">
        <f>SUMIF('Input Sheet'!B$3:B$1000,A385,'Input Sheet'!C$3:C$1000)</f>
        <v>0</v>
      </c>
      <c r="D385" s="4">
        <f>SUMIF('Input Sheet'!B$3:B$1000,A385,'Input Sheet'!D$3:D$1000)</f>
        <v>0</v>
      </c>
      <c r="E385" s="4" t="str">
        <f t="shared" ref="E385:F385" ca="1" si="395">IFERROR(RANK(K385,K$6:K$1004,1),"")</f>
        <v/>
      </c>
      <c r="F385" s="4" t="str">
        <f t="shared" ca="1" si="395"/>
        <v/>
      </c>
      <c r="G385" s="4" t="str">
        <f t="shared" ca="1" si="266"/>
        <v/>
      </c>
      <c r="H385" s="4" t="str">
        <f t="shared" si="267"/>
        <v/>
      </c>
      <c r="I385" s="4" t="str">
        <f t="shared" si="268"/>
        <v/>
      </c>
      <c r="J385" s="4" t="str">
        <f t="shared" si="269"/>
        <v/>
      </c>
      <c r="K385" s="25" t="str">
        <f t="shared" ca="1" si="270"/>
        <v/>
      </c>
      <c r="L385" s="21" t="str">
        <f t="shared" ca="1" si="271"/>
        <v/>
      </c>
      <c r="M385" s="21" t="str">
        <f>IF(SUMIFS('Input Sheet'!$F$3:$F$1001,'Input Sheet'!$B$3:$B$1001,$H385,'Input Sheet'!$E$3:$E$1001,M$4)=0,"",SUMIFS('Input Sheet'!$F$3:$F$1001,'Input Sheet'!$B$3:$B$1001,$H385,'Input Sheet'!$E$3:$E$1001,M$4))</f>
        <v/>
      </c>
      <c r="N385" s="21" t="str">
        <f>IF(SUMIFS('Input Sheet'!$F$3:$F$1001,'Input Sheet'!$B$3:$B$1001,$H385,'Input Sheet'!$E$3:$E$1001,N$4)=0,"",SUMIFS('Input Sheet'!$F$3:$F$1001,'Input Sheet'!$B$3:$B$1001,$H385,'Input Sheet'!$E$3:$E$1001,N$4))</f>
        <v/>
      </c>
      <c r="O385" s="21" t="str">
        <f>IF(SUMIFS('Input Sheet'!$F$3:$F$1001,'Input Sheet'!$B$3:$B$1001,$H385,'Input Sheet'!$E$3:$E$1001,O$4)=0,"",SUMIFS('Input Sheet'!$F$3:$F$1001,'Input Sheet'!$B$3:$B$1001,$H385,'Input Sheet'!$E$3:$E$1001,O$4))</f>
        <v/>
      </c>
      <c r="P385" s="21" t="str">
        <f>IF(SUMIFS('Input Sheet'!$F$3:$F$1001,'Input Sheet'!$B$3:$B$1001,$H385,'Input Sheet'!$E$3:$E$1001,P$4)=0,"",SUMIFS('Input Sheet'!$F$3:$F$1001,'Input Sheet'!$B$3:$B$1001,$H385,'Input Sheet'!$E$3:$E$1001,P$4))</f>
        <v/>
      </c>
      <c r="Q385" s="21" t="str">
        <f>IF(SUMIFS('Input Sheet'!$F$3:$F$1001,'Input Sheet'!$B$3:$B$1001,$H385,'Input Sheet'!$E$3:$E$1001,Q$4)=0,"",SUMIFS('Input Sheet'!$F$3:$F$1001,'Input Sheet'!$B$3:$B$1001,$H385,'Input Sheet'!$E$3:$E$1001,Q$4))</f>
        <v/>
      </c>
      <c r="R385" s="21" t="str">
        <f>IF(SUMIFS('Input Sheet'!$F$3:$F$1001,'Input Sheet'!$B$3:$B$1001,$H385,'Input Sheet'!$E$3:$E$1001,R$4)=0,"",SUMIFS('Input Sheet'!$F$3:$F$1001,'Input Sheet'!$B$3:$B$1001,$H385,'Input Sheet'!$E$3:$E$1001,R$4))</f>
        <v/>
      </c>
      <c r="S385" s="21" t="str">
        <f>IF(SUMIFS('Input Sheet'!$F$3:$F$1001,'Input Sheet'!$B$3:$B$1001,$H385,'Input Sheet'!$E$3:$E$1001,S$4)=0,"",SUMIFS('Input Sheet'!$F$3:$F$1001,'Input Sheet'!$B$3:$B$1001,$H385,'Input Sheet'!$E$3:$E$1001,S$4))</f>
        <v/>
      </c>
      <c r="T385" s="22">
        <v>380</v>
      </c>
    </row>
    <row r="386" spans="1:20" ht="14.25" customHeight="1" x14ac:dyDescent="0.3">
      <c r="A386" s="4" t="str">
        <f>IF('Input Sheet'!B383=0,"",'Input Sheet'!B383)</f>
        <v/>
      </c>
      <c r="B386" s="24" t="b">
        <f t="shared" si="264"/>
        <v>0</v>
      </c>
      <c r="C386" s="4">
        <f>SUMIF('Input Sheet'!B$3:B$1000,A386,'Input Sheet'!C$3:C$1000)</f>
        <v>0</v>
      </c>
      <c r="D386" s="4">
        <f>SUMIF('Input Sheet'!B$3:B$1000,A386,'Input Sheet'!D$3:D$1000)</f>
        <v>0</v>
      </c>
      <c r="E386" s="4" t="str">
        <f t="shared" ref="E386:F386" ca="1" si="396">IFERROR(RANK(K386,K$6:K$1004,1),"")</f>
        <v/>
      </c>
      <c r="F386" s="4" t="str">
        <f t="shared" ca="1" si="396"/>
        <v/>
      </c>
      <c r="G386" s="4" t="str">
        <f t="shared" ca="1" si="266"/>
        <v/>
      </c>
      <c r="H386" s="4" t="str">
        <f t="shared" si="267"/>
        <v/>
      </c>
      <c r="I386" s="4" t="str">
        <f t="shared" si="268"/>
        <v/>
      </c>
      <c r="J386" s="4" t="str">
        <f t="shared" si="269"/>
        <v/>
      </c>
      <c r="K386" s="25" t="str">
        <f t="shared" ca="1" si="270"/>
        <v/>
      </c>
      <c r="L386" s="21" t="str">
        <f t="shared" ca="1" si="271"/>
        <v/>
      </c>
      <c r="M386" s="21" t="str">
        <f>IF(SUMIFS('Input Sheet'!$F$3:$F$1001,'Input Sheet'!$B$3:$B$1001,$H386,'Input Sheet'!$E$3:$E$1001,M$4)=0,"",SUMIFS('Input Sheet'!$F$3:$F$1001,'Input Sheet'!$B$3:$B$1001,$H386,'Input Sheet'!$E$3:$E$1001,M$4))</f>
        <v/>
      </c>
      <c r="N386" s="21" t="str">
        <f>IF(SUMIFS('Input Sheet'!$F$3:$F$1001,'Input Sheet'!$B$3:$B$1001,$H386,'Input Sheet'!$E$3:$E$1001,N$4)=0,"",SUMIFS('Input Sheet'!$F$3:$F$1001,'Input Sheet'!$B$3:$B$1001,$H386,'Input Sheet'!$E$3:$E$1001,N$4))</f>
        <v/>
      </c>
      <c r="O386" s="21" t="str">
        <f>IF(SUMIFS('Input Sheet'!$F$3:$F$1001,'Input Sheet'!$B$3:$B$1001,$H386,'Input Sheet'!$E$3:$E$1001,O$4)=0,"",SUMIFS('Input Sheet'!$F$3:$F$1001,'Input Sheet'!$B$3:$B$1001,$H386,'Input Sheet'!$E$3:$E$1001,O$4))</f>
        <v/>
      </c>
      <c r="P386" s="21" t="str">
        <f>IF(SUMIFS('Input Sheet'!$F$3:$F$1001,'Input Sheet'!$B$3:$B$1001,$H386,'Input Sheet'!$E$3:$E$1001,P$4)=0,"",SUMIFS('Input Sheet'!$F$3:$F$1001,'Input Sheet'!$B$3:$B$1001,$H386,'Input Sheet'!$E$3:$E$1001,P$4))</f>
        <v/>
      </c>
      <c r="Q386" s="21" t="str">
        <f>IF(SUMIFS('Input Sheet'!$F$3:$F$1001,'Input Sheet'!$B$3:$B$1001,$H386,'Input Sheet'!$E$3:$E$1001,Q$4)=0,"",SUMIFS('Input Sheet'!$F$3:$F$1001,'Input Sheet'!$B$3:$B$1001,$H386,'Input Sheet'!$E$3:$E$1001,Q$4))</f>
        <v/>
      </c>
      <c r="R386" s="21" t="str">
        <f>IF(SUMIFS('Input Sheet'!$F$3:$F$1001,'Input Sheet'!$B$3:$B$1001,$H386,'Input Sheet'!$E$3:$E$1001,R$4)=0,"",SUMIFS('Input Sheet'!$F$3:$F$1001,'Input Sheet'!$B$3:$B$1001,$H386,'Input Sheet'!$E$3:$E$1001,R$4))</f>
        <v/>
      </c>
      <c r="S386" s="21" t="str">
        <f>IF(SUMIFS('Input Sheet'!$F$3:$F$1001,'Input Sheet'!$B$3:$B$1001,$H386,'Input Sheet'!$E$3:$E$1001,S$4)=0,"",SUMIFS('Input Sheet'!$F$3:$F$1001,'Input Sheet'!$B$3:$B$1001,$H386,'Input Sheet'!$E$3:$E$1001,S$4))</f>
        <v/>
      </c>
      <c r="T386" s="22">
        <v>381</v>
      </c>
    </row>
    <row r="387" spans="1:20" ht="14.25" customHeight="1" x14ac:dyDescent="0.3">
      <c r="A387" s="4" t="str">
        <f>IF('Input Sheet'!B384=0,"",'Input Sheet'!B384)</f>
        <v/>
      </c>
      <c r="B387" s="24" t="b">
        <f t="shared" si="264"/>
        <v>0</v>
      </c>
      <c r="C387" s="4">
        <f>SUMIF('Input Sheet'!B$3:B$1000,A387,'Input Sheet'!C$3:C$1000)</f>
        <v>0</v>
      </c>
      <c r="D387" s="4">
        <f>SUMIF('Input Sheet'!B$3:B$1000,A387,'Input Sheet'!D$3:D$1000)</f>
        <v>0</v>
      </c>
      <c r="E387" s="4" t="str">
        <f t="shared" ref="E387:F387" ca="1" si="397">IFERROR(RANK(K387,K$6:K$1004,1),"")</f>
        <v/>
      </c>
      <c r="F387" s="4" t="str">
        <f t="shared" ca="1" si="397"/>
        <v/>
      </c>
      <c r="G387" s="4" t="str">
        <f t="shared" ca="1" si="266"/>
        <v/>
      </c>
      <c r="H387" s="4" t="str">
        <f t="shared" si="267"/>
        <v/>
      </c>
      <c r="I387" s="4" t="str">
        <f t="shared" si="268"/>
        <v/>
      </c>
      <c r="J387" s="4" t="str">
        <f t="shared" si="269"/>
        <v/>
      </c>
      <c r="K387" s="25" t="str">
        <f t="shared" ca="1" si="270"/>
        <v/>
      </c>
      <c r="L387" s="21" t="str">
        <f t="shared" ca="1" si="271"/>
        <v/>
      </c>
      <c r="M387" s="21" t="str">
        <f>IF(SUMIFS('Input Sheet'!$F$3:$F$1001,'Input Sheet'!$B$3:$B$1001,$H387,'Input Sheet'!$E$3:$E$1001,M$4)=0,"",SUMIFS('Input Sheet'!$F$3:$F$1001,'Input Sheet'!$B$3:$B$1001,$H387,'Input Sheet'!$E$3:$E$1001,M$4))</f>
        <v/>
      </c>
      <c r="N387" s="21" t="str">
        <f>IF(SUMIFS('Input Sheet'!$F$3:$F$1001,'Input Sheet'!$B$3:$B$1001,$H387,'Input Sheet'!$E$3:$E$1001,N$4)=0,"",SUMIFS('Input Sheet'!$F$3:$F$1001,'Input Sheet'!$B$3:$B$1001,$H387,'Input Sheet'!$E$3:$E$1001,N$4))</f>
        <v/>
      </c>
      <c r="O387" s="21" t="str">
        <f>IF(SUMIFS('Input Sheet'!$F$3:$F$1001,'Input Sheet'!$B$3:$B$1001,$H387,'Input Sheet'!$E$3:$E$1001,O$4)=0,"",SUMIFS('Input Sheet'!$F$3:$F$1001,'Input Sheet'!$B$3:$B$1001,$H387,'Input Sheet'!$E$3:$E$1001,O$4))</f>
        <v/>
      </c>
      <c r="P387" s="21" t="str">
        <f>IF(SUMIFS('Input Sheet'!$F$3:$F$1001,'Input Sheet'!$B$3:$B$1001,$H387,'Input Sheet'!$E$3:$E$1001,P$4)=0,"",SUMIFS('Input Sheet'!$F$3:$F$1001,'Input Sheet'!$B$3:$B$1001,$H387,'Input Sheet'!$E$3:$E$1001,P$4))</f>
        <v/>
      </c>
      <c r="Q387" s="21" t="str">
        <f>IF(SUMIFS('Input Sheet'!$F$3:$F$1001,'Input Sheet'!$B$3:$B$1001,$H387,'Input Sheet'!$E$3:$E$1001,Q$4)=0,"",SUMIFS('Input Sheet'!$F$3:$F$1001,'Input Sheet'!$B$3:$B$1001,$H387,'Input Sheet'!$E$3:$E$1001,Q$4))</f>
        <v/>
      </c>
      <c r="R387" s="21" t="str">
        <f>IF(SUMIFS('Input Sheet'!$F$3:$F$1001,'Input Sheet'!$B$3:$B$1001,$H387,'Input Sheet'!$E$3:$E$1001,R$4)=0,"",SUMIFS('Input Sheet'!$F$3:$F$1001,'Input Sheet'!$B$3:$B$1001,$H387,'Input Sheet'!$E$3:$E$1001,R$4))</f>
        <v/>
      </c>
      <c r="S387" s="21" t="str">
        <f>IF(SUMIFS('Input Sheet'!$F$3:$F$1001,'Input Sheet'!$B$3:$B$1001,$H387,'Input Sheet'!$E$3:$E$1001,S$4)=0,"",SUMIFS('Input Sheet'!$F$3:$F$1001,'Input Sheet'!$B$3:$B$1001,$H387,'Input Sheet'!$E$3:$E$1001,S$4))</f>
        <v/>
      </c>
      <c r="T387" s="22">
        <v>382</v>
      </c>
    </row>
    <row r="388" spans="1:20" ht="14.25" customHeight="1" x14ac:dyDescent="0.3">
      <c r="A388" s="4" t="str">
        <f>IF('Input Sheet'!B385=0,"",'Input Sheet'!B385)</f>
        <v/>
      </c>
      <c r="B388" s="24" t="b">
        <f t="shared" si="264"/>
        <v>0</v>
      </c>
      <c r="C388" s="4">
        <f>SUMIF('Input Sheet'!B$3:B$1000,A388,'Input Sheet'!C$3:C$1000)</f>
        <v>0</v>
      </c>
      <c r="D388" s="4">
        <f>SUMIF('Input Sheet'!B$3:B$1000,A388,'Input Sheet'!D$3:D$1000)</f>
        <v>0</v>
      </c>
      <c r="E388" s="4" t="str">
        <f t="shared" ref="E388:F388" ca="1" si="398">IFERROR(RANK(K388,K$6:K$1004,1),"")</f>
        <v/>
      </c>
      <c r="F388" s="4" t="str">
        <f t="shared" ca="1" si="398"/>
        <v/>
      </c>
      <c r="G388" s="4" t="str">
        <f t="shared" ca="1" si="266"/>
        <v/>
      </c>
      <c r="H388" s="4" t="str">
        <f t="shared" si="267"/>
        <v/>
      </c>
      <c r="I388" s="4" t="str">
        <f t="shared" si="268"/>
        <v/>
      </c>
      <c r="J388" s="4" t="str">
        <f t="shared" si="269"/>
        <v/>
      </c>
      <c r="K388" s="25" t="str">
        <f t="shared" ca="1" si="270"/>
        <v/>
      </c>
      <c r="L388" s="21" t="str">
        <f t="shared" ca="1" si="271"/>
        <v/>
      </c>
      <c r="M388" s="21" t="str">
        <f>IF(SUMIFS('Input Sheet'!$F$3:$F$1001,'Input Sheet'!$B$3:$B$1001,$H388,'Input Sheet'!$E$3:$E$1001,M$4)=0,"",SUMIFS('Input Sheet'!$F$3:$F$1001,'Input Sheet'!$B$3:$B$1001,$H388,'Input Sheet'!$E$3:$E$1001,M$4))</f>
        <v/>
      </c>
      <c r="N388" s="21" t="str">
        <f>IF(SUMIFS('Input Sheet'!$F$3:$F$1001,'Input Sheet'!$B$3:$B$1001,$H388,'Input Sheet'!$E$3:$E$1001,N$4)=0,"",SUMIFS('Input Sheet'!$F$3:$F$1001,'Input Sheet'!$B$3:$B$1001,$H388,'Input Sheet'!$E$3:$E$1001,N$4))</f>
        <v/>
      </c>
      <c r="O388" s="21" t="str">
        <f>IF(SUMIFS('Input Sheet'!$F$3:$F$1001,'Input Sheet'!$B$3:$B$1001,$H388,'Input Sheet'!$E$3:$E$1001,O$4)=0,"",SUMIFS('Input Sheet'!$F$3:$F$1001,'Input Sheet'!$B$3:$B$1001,$H388,'Input Sheet'!$E$3:$E$1001,O$4))</f>
        <v/>
      </c>
      <c r="P388" s="21" t="str">
        <f>IF(SUMIFS('Input Sheet'!$F$3:$F$1001,'Input Sheet'!$B$3:$B$1001,$H388,'Input Sheet'!$E$3:$E$1001,P$4)=0,"",SUMIFS('Input Sheet'!$F$3:$F$1001,'Input Sheet'!$B$3:$B$1001,$H388,'Input Sheet'!$E$3:$E$1001,P$4))</f>
        <v/>
      </c>
      <c r="Q388" s="21" t="str">
        <f>IF(SUMIFS('Input Sheet'!$F$3:$F$1001,'Input Sheet'!$B$3:$B$1001,$H388,'Input Sheet'!$E$3:$E$1001,Q$4)=0,"",SUMIFS('Input Sheet'!$F$3:$F$1001,'Input Sheet'!$B$3:$B$1001,$H388,'Input Sheet'!$E$3:$E$1001,Q$4))</f>
        <v/>
      </c>
      <c r="R388" s="21" t="str">
        <f>IF(SUMIFS('Input Sheet'!$F$3:$F$1001,'Input Sheet'!$B$3:$B$1001,$H388,'Input Sheet'!$E$3:$E$1001,R$4)=0,"",SUMIFS('Input Sheet'!$F$3:$F$1001,'Input Sheet'!$B$3:$B$1001,$H388,'Input Sheet'!$E$3:$E$1001,R$4))</f>
        <v/>
      </c>
      <c r="S388" s="21" t="str">
        <f>IF(SUMIFS('Input Sheet'!$F$3:$F$1001,'Input Sheet'!$B$3:$B$1001,$H388,'Input Sheet'!$E$3:$E$1001,S$4)=0,"",SUMIFS('Input Sheet'!$F$3:$F$1001,'Input Sheet'!$B$3:$B$1001,$H388,'Input Sheet'!$E$3:$E$1001,S$4))</f>
        <v/>
      </c>
      <c r="T388" s="22">
        <v>383</v>
      </c>
    </row>
    <row r="389" spans="1:20" ht="14.25" customHeight="1" x14ac:dyDescent="0.3">
      <c r="A389" s="4" t="str">
        <f>IF('Input Sheet'!B386=0,"",'Input Sheet'!B386)</f>
        <v/>
      </c>
      <c r="B389" s="24" t="b">
        <f t="shared" si="264"/>
        <v>0</v>
      </c>
      <c r="C389" s="4">
        <f>SUMIF('Input Sheet'!B$3:B$1000,A389,'Input Sheet'!C$3:C$1000)</f>
        <v>0</v>
      </c>
      <c r="D389" s="4">
        <f>SUMIF('Input Sheet'!B$3:B$1000,A389,'Input Sheet'!D$3:D$1000)</f>
        <v>0</v>
      </c>
      <c r="E389" s="4" t="str">
        <f t="shared" ref="E389:F389" ca="1" si="399">IFERROR(RANK(K389,K$6:K$1004,1),"")</f>
        <v/>
      </c>
      <c r="F389" s="4" t="str">
        <f t="shared" ca="1" si="399"/>
        <v/>
      </c>
      <c r="G389" s="4" t="str">
        <f t="shared" ca="1" si="266"/>
        <v/>
      </c>
      <c r="H389" s="4" t="str">
        <f t="shared" si="267"/>
        <v/>
      </c>
      <c r="I389" s="4" t="str">
        <f t="shared" si="268"/>
        <v/>
      </c>
      <c r="J389" s="4" t="str">
        <f t="shared" si="269"/>
        <v/>
      </c>
      <c r="K389" s="25" t="str">
        <f t="shared" ca="1" si="270"/>
        <v/>
      </c>
      <c r="L389" s="21" t="str">
        <f t="shared" ca="1" si="271"/>
        <v/>
      </c>
      <c r="M389" s="21" t="str">
        <f>IF(SUMIFS('Input Sheet'!$F$3:$F$1001,'Input Sheet'!$B$3:$B$1001,$H389,'Input Sheet'!$E$3:$E$1001,M$4)=0,"",SUMIFS('Input Sheet'!$F$3:$F$1001,'Input Sheet'!$B$3:$B$1001,$H389,'Input Sheet'!$E$3:$E$1001,M$4))</f>
        <v/>
      </c>
      <c r="N389" s="21" t="str">
        <f>IF(SUMIFS('Input Sheet'!$F$3:$F$1001,'Input Sheet'!$B$3:$B$1001,$H389,'Input Sheet'!$E$3:$E$1001,N$4)=0,"",SUMIFS('Input Sheet'!$F$3:$F$1001,'Input Sheet'!$B$3:$B$1001,$H389,'Input Sheet'!$E$3:$E$1001,N$4))</f>
        <v/>
      </c>
      <c r="O389" s="21" t="str">
        <f>IF(SUMIFS('Input Sheet'!$F$3:$F$1001,'Input Sheet'!$B$3:$B$1001,$H389,'Input Sheet'!$E$3:$E$1001,O$4)=0,"",SUMIFS('Input Sheet'!$F$3:$F$1001,'Input Sheet'!$B$3:$B$1001,$H389,'Input Sheet'!$E$3:$E$1001,O$4))</f>
        <v/>
      </c>
      <c r="P389" s="21" t="str">
        <f>IF(SUMIFS('Input Sheet'!$F$3:$F$1001,'Input Sheet'!$B$3:$B$1001,$H389,'Input Sheet'!$E$3:$E$1001,P$4)=0,"",SUMIFS('Input Sheet'!$F$3:$F$1001,'Input Sheet'!$B$3:$B$1001,$H389,'Input Sheet'!$E$3:$E$1001,P$4))</f>
        <v/>
      </c>
      <c r="Q389" s="21" t="str">
        <f>IF(SUMIFS('Input Sheet'!$F$3:$F$1001,'Input Sheet'!$B$3:$B$1001,$H389,'Input Sheet'!$E$3:$E$1001,Q$4)=0,"",SUMIFS('Input Sheet'!$F$3:$F$1001,'Input Sheet'!$B$3:$B$1001,$H389,'Input Sheet'!$E$3:$E$1001,Q$4))</f>
        <v/>
      </c>
      <c r="R389" s="21" t="str">
        <f>IF(SUMIFS('Input Sheet'!$F$3:$F$1001,'Input Sheet'!$B$3:$B$1001,$H389,'Input Sheet'!$E$3:$E$1001,R$4)=0,"",SUMIFS('Input Sheet'!$F$3:$F$1001,'Input Sheet'!$B$3:$B$1001,$H389,'Input Sheet'!$E$3:$E$1001,R$4))</f>
        <v/>
      </c>
      <c r="S389" s="21" t="str">
        <f>IF(SUMIFS('Input Sheet'!$F$3:$F$1001,'Input Sheet'!$B$3:$B$1001,$H389,'Input Sheet'!$E$3:$E$1001,S$4)=0,"",SUMIFS('Input Sheet'!$F$3:$F$1001,'Input Sheet'!$B$3:$B$1001,$H389,'Input Sheet'!$E$3:$E$1001,S$4))</f>
        <v/>
      </c>
      <c r="T389" s="22">
        <v>384</v>
      </c>
    </row>
    <row r="390" spans="1:20" ht="14.25" customHeight="1" x14ac:dyDescent="0.3">
      <c r="A390" s="4" t="str">
        <f>IF('Input Sheet'!B387=0,"",'Input Sheet'!B387)</f>
        <v/>
      </c>
      <c r="B390" s="24" t="b">
        <f t="shared" si="264"/>
        <v>0</v>
      </c>
      <c r="C390" s="4">
        <f>SUMIF('Input Sheet'!B$3:B$1000,A390,'Input Sheet'!C$3:C$1000)</f>
        <v>0</v>
      </c>
      <c r="D390" s="4">
        <f>SUMIF('Input Sheet'!B$3:B$1000,A390,'Input Sheet'!D$3:D$1000)</f>
        <v>0</v>
      </c>
      <c r="E390" s="4" t="str">
        <f t="shared" ref="E390:F390" ca="1" si="400">IFERROR(RANK(K390,K$6:K$1004,1),"")</f>
        <v/>
      </c>
      <c r="F390" s="4" t="str">
        <f t="shared" ca="1" si="400"/>
        <v/>
      </c>
      <c r="G390" s="4" t="str">
        <f t="shared" ca="1" si="266"/>
        <v/>
      </c>
      <c r="H390" s="4" t="str">
        <f t="shared" si="267"/>
        <v/>
      </c>
      <c r="I390" s="4" t="str">
        <f t="shared" si="268"/>
        <v/>
      </c>
      <c r="J390" s="4" t="str">
        <f t="shared" si="269"/>
        <v/>
      </c>
      <c r="K390" s="25" t="str">
        <f t="shared" ca="1" si="270"/>
        <v/>
      </c>
      <c r="L390" s="21" t="str">
        <f t="shared" ca="1" si="271"/>
        <v/>
      </c>
      <c r="M390" s="21" t="str">
        <f>IF(SUMIFS('Input Sheet'!$F$3:$F$1001,'Input Sheet'!$B$3:$B$1001,$H390,'Input Sheet'!$E$3:$E$1001,M$4)=0,"",SUMIFS('Input Sheet'!$F$3:$F$1001,'Input Sheet'!$B$3:$B$1001,$H390,'Input Sheet'!$E$3:$E$1001,M$4))</f>
        <v/>
      </c>
      <c r="N390" s="21" t="str">
        <f>IF(SUMIFS('Input Sheet'!$F$3:$F$1001,'Input Sheet'!$B$3:$B$1001,$H390,'Input Sheet'!$E$3:$E$1001,N$4)=0,"",SUMIFS('Input Sheet'!$F$3:$F$1001,'Input Sheet'!$B$3:$B$1001,$H390,'Input Sheet'!$E$3:$E$1001,N$4))</f>
        <v/>
      </c>
      <c r="O390" s="21" t="str">
        <f>IF(SUMIFS('Input Sheet'!$F$3:$F$1001,'Input Sheet'!$B$3:$B$1001,$H390,'Input Sheet'!$E$3:$E$1001,O$4)=0,"",SUMIFS('Input Sheet'!$F$3:$F$1001,'Input Sheet'!$B$3:$B$1001,$H390,'Input Sheet'!$E$3:$E$1001,O$4))</f>
        <v/>
      </c>
      <c r="P390" s="21" t="str">
        <f>IF(SUMIFS('Input Sheet'!$F$3:$F$1001,'Input Sheet'!$B$3:$B$1001,$H390,'Input Sheet'!$E$3:$E$1001,P$4)=0,"",SUMIFS('Input Sheet'!$F$3:$F$1001,'Input Sheet'!$B$3:$B$1001,$H390,'Input Sheet'!$E$3:$E$1001,P$4))</f>
        <v/>
      </c>
      <c r="Q390" s="21" t="str">
        <f>IF(SUMIFS('Input Sheet'!$F$3:$F$1001,'Input Sheet'!$B$3:$B$1001,$H390,'Input Sheet'!$E$3:$E$1001,Q$4)=0,"",SUMIFS('Input Sheet'!$F$3:$F$1001,'Input Sheet'!$B$3:$B$1001,$H390,'Input Sheet'!$E$3:$E$1001,Q$4))</f>
        <v/>
      </c>
      <c r="R390" s="21" t="str">
        <f>IF(SUMIFS('Input Sheet'!$F$3:$F$1001,'Input Sheet'!$B$3:$B$1001,$H390,'Input Sheet'!$E$3:$E$1001,R$4)=0,"",SUMIFS('Input Sheet'!$F$3:$F$1001,'Input Sheet'!$B$3:$B$1001,$H390,'Input Sheet'!$E$3:$E$1001,R$4))</f>
        <v/>
      </c>
      <c r="S390" s="21" t="str">
        <f>IF(SUMIFS('Input Sheet'!$F$3:$F$1001,'Input Sheet'!$B$3:$B$1001,$H390,'Input Sheet'!$E$3:$E$1001,S$4)=0,"",SUMIFS('Input Sheet'!$F$3:$F$1001,'Input Sheet'!$B$3:$B$1001,$H390,'Input Sheet'!$E$3:$E$1001,S$4))</f>
        <v/>
      </c>
      <c r="T390" s="22">
        <v>385</v>
      </c>
    </row>
    <row r="391" spans="1:20" ht="14.25" customHeight="1" x14ac:dyDescent="0.3">
      <c r="A391" s="4" t="str">
        <f>IF('Input Sheet'!B388=0,"",'Input Sheet'!B388)</f>
        <v/>
      </c>
      <c r="B391" s="24" t="b">
        <f t="shared" si="264"/>
        <v>0</v>
      </c>
      <c r="C391" s="4">
        <f>SUMIF('Input Sheet'!B$3:B$1000,A391,'Input Sheet'!C$3:C$1000)</f>
        <v>0</v>
      </c>
      <c r="D391" s="4">
        <f>SUMIF('Input Sheet'!B$3:B$1000,A391,'Input Sheet'!D$3:D$1000)</f>
        <v>0</v>
      </c>
      <c r="E391" s="4" t="str">
        <f t="shared" ref="E391:F391" ca="1" si="401">IFERROR(RANK(K391,K$6:K$1004,1),"")</f>
        <v/>
      </c>
      <c r="F391" s="4" t="str">
        <f t="shared" ca="1" si="401"/>
        <v/>
      </c>
      <c r="G391" s="4" t="str">
        <f t="shared" ca="1" si="266"/>
        <v/>
      </c>
      <c r="H391" s="4" t="str">
        <f t="shared" si="267"/>
        <v/>
      </c>
      <c r="I391" s="4" t="str">
        <f t="shared" si="268"/>
        <v/>
      </c>
      <c r="J391" s="4" t="str">
        <f t="shared" si="269"/>
        <v/>
      </c>
      <c r="K391" s="25" t="str">
        <f t="shared" ca="1" si="270"/>
        <v/>
      </c>
      <c r="L391" s="21" t="str">
        <f t="shared" ca="1" si="271"/>
        <v/>
      </c>
      <c r="M391" s="21" t="str">
        <f>IF(SUMIFS('Input Sheet'!$F$3:$F$1001,'Input Sheet'!$B$3:$B$1001,$H391,'Input Sheet'!$E$3:$E$1001,M$4)=0,"",SUMIFS('Input Sheet'!$F$3:$F$1001,'Input Sheet'!$B$3:$B$1001,$H391,'Input Sheet'!$E$3:$E$1001,M$4))</f>
        <v/>
      </c>
      <c r="N391" s="21" t="str">
        <f>IF(SUMIFS('Input Sheet'!$F$3:$F$1001,'Input Sheet'!$B$3:$B$1001,$H391,'Input Sheet'!$E$3:$E$1001,N$4)=0,"",SUMIFS('Input Sheet'!$F$3:$F$1001,'Input Sheet'!$B$3:$B$1001,$H391,'Input Sheet'!$E$3:$E$1001,N$4))</f>
        <v/>
      </c>
      <c r="O391" s="21" t="str">
        <f>IF(SUMIFS('Input Sheet'!$F$3:$F$1001,'Input Sheet'!$B$3:$B$1001,$H391,'Input Sheet'!$E$3:$E$1001,O$4)=0,"",SUMIFS('Input Sheet'!$F$3:$F$1001,'Input Sheet'!$B$3:$B$1001,$H391,'Input Sheet'!$E$3:$E$1001,O$4))</f>
        <v/>
      </c>
      <c r="P391" s="21" t="str">
        <f>IF(SUMIFS('Input Sheet'!$F$3:$F$1001,'Input Sheet'!$B$3:$B$1001,$H391,'Input Sheet'!$E$3:$E$1001,P$4)=0,"",SUMIFS('Input Sheet'!$F$3:$F$1001,'Input Sheet'!$B$3:$B$1001,$H391,'Input Sheet'!$E$3:$E$1001,P$4))</f>
        <v/>
      </c>
      <c r="Q391" s="21" t="str">
        <f>IF(SUMIFS('Input Sheet'!$F$3:$F$1001,'Input Sheet'!$B$3:$B$1001,$H391,'Input Sheet'!$E$3:$E$1001,Q$4)=0,"",SUMIFS('Input Sheet'!$F$3:$F$1001,'Input Sheet'!$B$3:$B$1001,$H391,'Input Sheet'!$E$3:$E$1001,Q$4))</f>
        <v/>
      </c>
      <c r="R391" s="21" t="str">
        <f>IF(SUMIFS('Input Sheet'!$F$3:$F$1001,'Input Sheet'!$B$3:$B$1001,$H391,'Input Sheet'!$E$3:$E$1001,R$4)=0,"",SUMIFS('Input Sheet'!$F$3:$F$1001,'Input Sheet'!$B$3:$B$1001,$H391,'Input Sheet'!$E$3:$E$1001,R$4))</f>
        <v/>
      </c>
      <c r="S391" s="21" t="str">
        <f>IF(SUMIFS('Input Sheet'!$F$3:$F$1001,'Input Sheet'!$B$3:$B$1001,$H391,'Input Sheet'!$E$3:$E$1001,S$4)=0,"",SUMIFS('Input Sheet'!$F$3:$F$1001,'Input Sheet'!$B$3:$B$1001,$H391,'Input Sheet'!$E$3:$E$1001,S$4))</f>
        <v/>
      </c>
      <c r="T391" s="22">
        <v>386</v>
      </c>
    </row>
    <row r="392" spans="1:20" ht="14.25" customHeight="1" x14ac:dyDescent="0.3">
      <c r="A392" s="4" t="str">
        <f>IF('Input Sheet'!B389=0,"",'Input Sheet'!B389)</f>
        <v/>
      </c>
      <c r="B392" s="24" t="b">
        <f t="shared" si="264"/>
        <v>0</v>
      </c>
      <c r="C392" s="4">
        <f>SUMIF('Input Sheet'!B$3:B$1000,A392,'Input Sheet'!C$3:C$1000)</f>
        <v>0</v>
      </c>
      <c r="D392" s="4">
        <f>SUMIF('Input Sheet'!B$3:B$1000,A392,'Input Sheet'!D$3:D$1000)</f>
        <v>0</v>
      </c>
      <c r="E392" s="4" t="str">
        <f t="shared" ref="E392:F392" ca="1" si="402">IFERROR(RANK(K392,K$6:K$1004,1),"")</f>
        <v/>
      </c>
      <c r="F392" s="4" t="str">
        <f t="shared" ca="1" si="402"/>
        <v/>
      </c>
      <c r="G392" s="4" t="str">
        <f t="shared" ca="1" si="266"/>
        <v/>
      </c>
      <c r="H392" s="4" t="str">
        <f t="shared" si="267"/>
        <v/>
      </c>
      <c r="I392" s="4" t="str">
        <f t="shared" si="268"/>
        <v/>
      </c>
      <c r="J392" s="4" t="str">
        <f t="shared" si="269"/>
        <v/>
      </c>
      <c r="K392" s="25" t="str">
        <f t="shared" ca="1" si="270"/>
        <v/>
      </c>
      <c r="L392" s="21" t="str">
        <f t="shared" ca="1" si="271"/>
        <v/>
      </c>
      <c r="M392" s="21" t="str">
        <f>IF(SUMIFS('Input Sheet'!$F$3:$F$1001,'Input Sheet'!$B$3:$B$1001,$H392,'Input Sheet'!$E$3:$E$1001,M$4)=0,"",SUMIFS('Input Sheet'!$F$3:$F$1001,'Input Sheet'!$B$3:$B$1001,$H392,'Input Sheet'!$E$3:$E$1001,M$4))</f>
        <v/>
      </c>
      <c r="N392" s="21" t="str">
        <f>IF(SUMIFS('Input Sheet'!$F$3:$F$1001,'Input Sheet'!$B$3:$B$1001,$H392,'Input Sheet'!$E$3:$E$1001,N$4)=0,"",SUMIFS('Input Sheet'!$F$3:$F$1001,'Input Sheet'!$B$3:$B$1001,$H392,'Input Sheet'!$E$3:$E$1001,N$4))</f>
        <v/>
      </c>
      <c r="O392" s="21" t="str">
        <f>IF(SUMIFS('Input Sheet'!$F$3:$F$1001,'Input Sheet'!$B$3:$B$1001,$H392,'Input Sheet'!$E$3:$E$1001,O$4)=0,"",SUMIFS('Input Sheet'!$F$3:$F$1001,'Input Sheet'!$B$3:$B$1001,$H392,'Input Sheet'!$E$3:$E$1001,O$4))</f>
        <v/>
      </c>
      <c r="P392" s="21" t="str">
        <f>IF(SUMIFS('Input Sheet'!$F$3:$F$1001,'Input Sheet'!$B$3:$B$1001,$H392,'Input Sheet'!$E$3:$E$1001,P$4)=0,"",SUMIFS('Input Sheet'!$F$3:$F$1001,'Input Sheet'!$B$3:$B$1001,$H392,'Input Sheet'!$E$3:$E$1001,P$4))</f>
        <v/>
      </c>
      <c r="Q392" s="21" t="str">
        <f>IF(SUMIFS('Input Sheet'!$F$3:$F$1001,'Input Sheet'!$B$3:$B$1001,$H392,'Input Sheet'!$E$3:$E$1001,Q$4)=0,"",SUMIFS('Input Sheet'!$F$3:$F$1001,'Input Sheet'!$B$3:$B$1001,$H392,'Input Sheet'!$E$3:$E$1001,Q$4))</f>
        <v/>
      </c>
      <c r="R392" s="21" t="str">
        <f>IF(SUMIFS('Input Sheet'!$F$3:$F$1001,'Input Sheet'!$B$3:$B$1001,$H392,'Input Sheet'!$E$3:$E$1001,R$4)=0,"",SUMIFS('Input Sheet'!$F$3:$F$1001,'Input Sheet'!$B$3:$B$1001,$H392,'Input Sheet'!$E$3:$E$1001,R$4))</f>
        <v/>
      </c>
      <c r="S392" s="21" t="str">
        <f>IF(SUMIFS('Input Sheet'!$F$3:$F$1001,'Input Sheet'!$B$3:$B$1001,$H392,'Input Sheet'!$E$3:$E$1001,S$4)=0,"",SUMIFS('Input Sheet'!$F$3:$F$1001,'Input Sheet'!$B$3:$B$1001,$H392,'Input Sheet'!$E$3:$E$1001,S$4))</f>
        <v/>
      </c>
      <c r="T392" s="22">
        <v>387</v>
      </c>
    </row>
    <row r="393" spans="1:20" ht="14.25" customHeight="1" x14ac:dyDescent="0.3">
      <c r="A393" s="4" t="str">
        <f>IF('Input Sheet'!B390=0,"",'Input Sheet'!B390)</f>
        <v/>
      </c>
      <c r="B393" s="24" t="b">
        <f t="shared" si="264"/>
        <v>0</v>
      </c>
      <c r="C393" s="4">
        <f>SUMIF('Input Sheet'!B$3:B$1000,A393,'Input Sheet'!C$3:C$1000)</f>
        <v>0</v>
      </c>
      <c r="D393" s="4">
        <f>SUMIF('Input Sheet'!B$3:B$1000,A393,'Input Sheet'!D$3:D$1000)</f>
        <v>0</v>
      </c>
      <c r="E393" s="4" t="str">
        <f t="shared" ref="E393:F393" ca="1" si="403">IFERROR(RANK(K393,K$6:K$1004,1),"")</f>
        <v/>
      </c>
      <c r="F393" s="4" t="str">
        <f t="shared" ca="1" si="403"/>
        <v/>
      </c>
      <c r="G393" s="4" t="str">
        <f t="shared" ca="1" si="266"/>
        <v/>
      </c>
      <c r="H393" s="4" t="str">
        <f t="shared" si="267"/>
        <v/>
      </c>
      <c r="I393" s="4" t="str">
        <f t="shared" si="268"/>
        <v/>
      </c>
      <c r="J393" s="4" t="str">
        <f t="shared" si="269"/>
        <v/>
      </c>
      <c r="K393" s="25" t="str">
        <f t="shared" ca="1" si="270"/>
        <v/>
      </c>
      <c r="L393" s="21" t="str">
        <f t="shared" ca="1" si="271"/>
        <v/>
      </c>
      <c r="M393" s="21" t="str">
        <f>IF(SUMIFS('Input Sheet'!$F$3:$F$1001,'Input Sheet'!$B$3:$B$1001,$H393,'Input Sheet'!$E$3:$E$1001,M$4)=0,"",SUMIFS('Input Sheet'!$F$3:$F$1001,'Input Sheet'!$B$3:$B$1001,$H393,'Input Sheet'!$E$3:$E$1001,M$4))</f>
        <v/>
      </c>
      <c r="N393" s="21" t="str">
        <f>IF(SUMIFS('Input Sheet'!$F$3:$F$1001,'Input Sheet'!$B$3:$B$1001,$H393,'Input Sheet'!$E$3:$E$1001,N$4)=0,"",SUMIFS('Input Sheet'!$F$3:$F$1001,'Input Sheet'!$B$3:$B$1001,$H393,'Input Sheet'!$E$3:$E$1001,N$4))</f>
        <v/>
      </c>
      <c r="O393" s="21" t="str">
        <f>IF(SUMIFS('Input Sheet'!$F$3:$F$1001,'Input Sheet'!$B$3:$B$1001,$H393,'Input Sheet'!$E$3:$E$1001,O$4)=0,"",SUMIFS('Input Sheet'!$F$3:$F$1001,'Input Sheet'!$B$3:$B$1001,$H393,'Input Sheet'!$E$3:$E$1001,O$4))</f>
        <v/>
      </c>
      <c r="P393" s="21" t="str">
        <f>IF(SUMIFS('Input Sheet'!$F$3:$F$1001,'Input Sheet'!$B$3:$B$1001,$H393,'Input Sheet'!$E$3:$E$1001,P$4)=0,"",SUMIFS('Input Sheet'!$F$3:$F$1001,'Input Sheet'!$B$3:$B$1001,$H393,'Input Sheet'!$E$3:$E$1001,P$4))</f>
        <v/>
      </c>
      <c r="Q393" s="21" t="str">
        <f>IF(SUMIFS('Input Sheet'!$F$3:$F$1001,'Input Sheet'!$B$3:$B$1001,$H393,'Input Sheet'!$E$3:$E$1001,Q$4)=0,"",SUMIFS('Input Sheet'!$F$3:$F$1001,'Input Sheet'!$B$3:$B$1001,$H393,'Input Sheet'!$E$3:$E$1001,Q$4))</f>
        <v/>
      </c>
      <c r="R393" s="21" t="str">
        <f>IF(SUMIFS('Input Sheet'!$F$3:$F$1001,'Input Sheet'!$B$3:$B$1001,$H393,'Input Sheet'!$E$3:$E$1001,R$4)=0,"",SUMIFS('Input Sheet'!$F$3:$F$1001,'Input Sheet'!$B$3:$B$1001,$H393,'Input Sheet'!$E$3:$E$1001,R$4))</f>
        <v/>
      </c>
      <c r="S393" s="21" t="str">
        <f>IF(SUMIFS('Input Sheet'!$F$3:$F$1001,'Input Sheet'!$B$3:$B$1001,$H393,'Input Sheet'!$E$3:$E$1001,S$4)=0,"",SUMIFS('Input Sheet'!$F$3:$F$1001,'Input Sheet'!$B$3:$B$1001,$H393,'Input Sheet'!$E$3:$E$1001,S$4))</f>
        <v/>
      </c>
      <c r="T393" s="22">
        <v>388</v>
      </c>
    </row>
    <row r="394" spans="1:20" ht="14.25" customHeight="1" x14ac:dyDescent="0.3">
      <c r="A394" s="4" t="str">
        <f>IF('Input Sheet'!B391=0,"",'Input Sheet'!B391)</f>
        <v/>
      </c>
      <c r="B394" s="24" t="b">
        <f t="shared" si="264"/>
        <v>0</v>
      </c>
      <c r="C394" s="4">
        <f>SUMIF('Input Sheet'!B$3:B$1000,A394,'Input Sheet'!C$3:C$1000)</f>
        <v>0</v>
      </c>
      <c r="D394" s="4">
        <f>SUMIF('Input Sheet'!B$3:B$1000,A394,'Input Sheet'!D$3:D$1000)</f>
        <v>0</v>
      </c>
      <c r="E394" s="4" t="str">
        <f t="shared" ref="E394:F394" ca="1" si="404">IFERROR(RANK(K394,K$6:K$1004,1),"")</f>
        <v/>
      </c>
      <c r="F394" s="4" t="str">
        <f t="shared" ca="1" si="404"/>
        <v/>
      </c>
      <c r="G394" s="4" t="str">
        <f t="shared" ca="1" si="266"/>
        <v/>
      </c>
      <c r="H394" s="4" t="str">
        <f t="shared" si="267"/>
        <v/>
      </c>
      <c r="I394" s="4" t="str">
        <f t="shared" si="268"/>
        <v/>
      </c>
      <c r="J394" s="4" t="str">
        <f t="shared" si="269"/>
        <v/>
      </c>
      <c r="K394" s="25" t="str">
        <f t="shared" ca="1" si="270"/>
        <v/>
      </c>
      <c r="L394" s="21" t="str">
        <f t="shared" ca="1" si="271"/>
        <v/>
      </c>
      <c r="M394" s="21" t="str">
        <f>IF(SUMIFS('Input Sheet'!$F$3:$F$1001,'Input Sheet'!$B$3:$B$1001,$H394,'Input Sheet'!$E$3:$E$1001,M$4)=0,"",SUMIFS('Input Sheet'!$F$3:$F$1001,'Input Sheet'!$B$3:$B$1001,$H394,'Input Sheet'!$E$3:$E$1001,M$4))</f>
        <v/>
      </c>
      <c r="N394" s="21" t="str">
        <f>IF(SUMIFS('Input Sheet'!$F$3:$F$1001,'Input Sheet'!$B$3:$B$1001,$H394,'Input Sheet'!$E$3:$E$1001,N$4)=0,"",SUMIFS('Input Sheet'!$F$3:$F$1001,'Input Sheet'!$B$3:$B$1001,$H394,'Input Sheet'!$E$3:$E$1001,N$4))</f>
        <v/>
      </c>
      <c r="O394" s="21" t="str">
        <f>IF(SUMIFS('Input Sheet'!$F$3:$F$1001,'Input Sheet'!$B$3:$B$1001,$H394,'Input Sheet'!$E$3:$E$1001,O$4)=0,"",SUMIFS('Input Sheet'!$F$3:$F$1001,'Input Sheet'!$B$3:$B$1001,$H394,'Input Sheet'!$E$3:$E$1001,O$4))</f>
        <v/>
      </c>
      <c r="P394" s="21" t="str">
        <f>IF(SUMIFS('Input Sheet'!$F$3:$F$1001,'Input Sheet'!$B$3:$B$1001,$H394,'Input Sheet'!$E$3:$E$1001,P$4)=0,"",SUMIFS('Input Sheet'!$F$3:$F$1001,'Input Sheet'!$B$3:$B$1001,$H394,'Input Sheet'!$E$3:$E$1001,P$4))</f>
        <v/>
      </c>
      <c r="Q394" s="21" t="str">
        <f>IF(SUMIFS('Input Sheet'!$F$3:$F$1001,'Input Sheet'!$B$3:$B$1001,$H394,'Input Sheet'!$E$3:$E$1001,Q$4)=0,"",SUMIFS('Input Sheet'!$F$3:$F$1001,'Input Sheet'!$B$3:$B$1001,$H394,'Input Sheet'!$E$3:$E$1001,Q$4))</f>
        <v/>
      </c>
      <c r="R394" s="21" t="str">
        <f>IF(SUMIFS('Input Sheet'!$F$3:$F$1001,'Input Sheet'!$B$3:$B$1001,$H394,'Input Sheet'!$E$3:$E$1001,R$4)=0,"",SUMIFS('Input Sheet'!$F$3:$F$1001,'Input Sheet'!$B$3:$B$1001,$H394,'Input Sheet'!$E$3:$E$1001,R$4))</f>
        <v/>
      </c>
      <c r="S394" s="21" t="str">
        <f>IF(SUMIFS('Input Sheet'!$F$3:$F$1001,'Input Sheet'!$B$3:$B$1001,$H394,'Input Sheet'!$E$3:$E$1001,S$4)=0,"",SUMIFS('Input Sheet'!$F$3:$F$1001,'Input Sheet'!$B$3:$B$1001,$H394,'Input Sheet'!$E$3:$E$1001,S$4))</f>
        <v/>
      </c>
      <c r="T394" s="22">
        <v>389</v>
      </c>
    </row>
    <row r="395" spans="1:20" ht="14.25" customHeight="1" x14ac:dyDescent="0.3">
      <c r="A395" s="4" t="str">
        <f>IF('Input Sheet'!B392=0,"",'Input Sheet'!B392)</f>
        <v/>
      </c>
      <c r="B395" s="24" t="b">
        <f t="shared" si="264"/>
        <v>0</v>
      </c>
      <c r="C395" s="4">
        <f>SUMIF('Input Sheet'!B$3:B$1000,A395,'Input Sheet'!C$3:C$1000)</f>
        <v>0</v>
      </c>
      <c r="D395" s="4">
        <f>SUMIF('Input Sheet'!B$3:B$1000,A395,'Input Sheet'!D$3:D$1000)</f>
        <v>0</v>
      </c>
      <c r="E395" s="4" t="str">
        <f t="shared" ref="E395:F395" ca="1" si="405">IFERROR(RANK(K395,K$6:K$1004,1),"")</f>
        <v/>
      </c>
      <c r="F395" s="4" t="str">
        <f t="shared" ca="1" si="405"/>
        <v/>
      </c>
      <c r="G395" s="4" t="str">
        <f t="shared" ca="1" si="266"/>
        <v/>
      </c>
      <c r="H395" s="4" t="str">
        <f t="shared" si="267"/>
        <v/>
      </c>
      <c r="I395" s="4" t="str">
        <f t="shared" si="268"/>
        <v/>
      </c>
      <c r="J395" s="4" t="str">
        <f t="shared" si="269"/>
        <v/>
      </c>
      <c r="K395" s="25" t="str">
        <f t="shared" ca="1" si="270"/>
        <v/>
      </c>
      <c r="L395" s="21" t="str">
        <f t="shared" ca="1" si="271"/>
        <v/>
      </c>
      <c r="M395" s="21" t="str">
        <f>IF(SUMIFS('Input Sheet'!$F$3:$F$1001,'Input Sheet'!$B$3:$B$1001,$H395,'Input Sheet'!$E$3:$E$1001,M$4)=0,"",SUMIFS('Input Sheet'!$F$3:$F$1001,'Input Sheet'!$B$3:$B$1001,$H395,'Input Sheet'!$E$3:$E$1001,M$4))</f>
        <v/>
      </c>
      <c r="N395" s="21" t="str">
        <f>IF(SUMIFS('Input Sheet'!$F$3:$F$1001,'Input Sheet'!$B$3:$B$1001,$H395,'Input Sheet'!$E$3:$E$1001,N$4)=0,"",SUMIFS('Input Sheet'!$F$3:$F$1001,'Input Sheet'!$B$3:$B$1001,$H395,'Input Sheet'!$E$3:$E$1001,N$4))</f>
        <v/>
      </c>
      <c r="O395" s="21" t="str">
        <f>IF(SUMIFS('Input Sheet'!$F$3:$F$1001,'Input Sheet'!$B$3:$B$1001,$H395,'Input Sheet'!$E$3:$E$1001,O$4)=0,"",SUMIFS('Input Sheet'!$F$3:$F$1001,'Input Sheet'!$B$3:$B$1001,$H395,'Input Sheet'!$E$3:$E$1001,O$4))</f>
        <v/>
      </c>
      <c r="P395" s="21" t="str">
        <f>IF(SUMIFS('Input Sheet'!$F$3:$F$1001,'Input Sheet'!$B$3:$B$1001,$H395,'Input Sheet'!$E$3:$E$1001,P$4)=0,"",SUMIFS('Input Sheet'!$F$3:$F$1001,'Input Sheet'!$B$3:$B$1001,$H395,'Input Sheet'!$E$3:$E$1001,P$4))</f>
        <v/>
      </c>
      <c r="Q395" s="21" t="str">
        <f>IF(SUMIFS('Input Sheet'!$F$3:$F$1001,'Input Sheet'!$B$3:$B$1001,$H395,'Input Sheet'!$E$3:$E$1001,Q$4)=0,"",SUMIFS('Input Sheet'!$F$3:$F$1001,'Input Sheet'!$B$3:$B$1001,$H395,'Input Sheet'!$E$3:$E$1001,Q$4))</f>
        <v/>
      </c>
      <c r="R395" s="21" t="str">
        <f>IF(SUMIFS('Input Sheet'!$F$3:$F$1001,'Input Sheet'!$B$3:$B$1001,$H395,'Input Sheet'!$E$3:$E$1001,R$4)=0,"",SUMIFS('Input Sheet'!$F$3:$F$1001,'Input Sheet'!$B$3:$B$1001,$H395,'Input Sheet'!$E$3:$E$1001,R$4))</f>
        <v/>
      </c>
      <c r="S395" s="21" t="str">
        <f>IF(SUMIFS('Input Sheet'!$F$3:$F$1001,'Input Sheet'!$B$3:$B$1001,$H395,'Input Sheet'!$E$3:$E$1001,S$4)=0,"",SUMIFS('Input Sheet'!$F$3:$F$1001,'Input Sheet'!$B$3:$B$1001,$H395,'Input Sheet'!$E$3:$E$1001,S$4))</f>
        <v/>
      </c>
      <c r="T395" s="22">
        <v>390</v>
      </c>
    </row>
    <row r="396" spans="1:20" ht="14.25" customHeight="1" x14ac:dyDescent="0.3">
      <c r="A396" s="4" t="str">
        <f>IF('Input Sheet'!B393=0,"",'Input Sheet'!B393)</f>
        <v/>
      </c>
      <c r="B396" s="24" t="b">
        <f t="shared" si="264"/>
        <v>0</v>
      </c>
      <c r="C396" s="4">
        <f>SUMIF('Input Sheet'!B$3:B$1000,A396,'Input Sheet'!C$3:C$1000)</f>
        <v>0</v>
      </c>
      <c r="D396" s="4">
        <f>SUMIF('Input Sheet'!B$3:B$1000,A396,'Input Sheet'!D$3:D$1000)</f>
        <v>0</v>
      </c>
      <c r="E396" s="4" t="str">
        <f t="shared" ref="E396:F396" ca="1" si="406">IFERROR(RANK(K396,K$6:K$1004,1),"")</f>
        <v/>
      </c>
      <c r="F396" s="4" t="str">
        <f t="shared" ca="1" si="406"/>
        <v/>
      </c>
      <c r="G396" s="4" t="str">
        <f t="shared" ca="1" si="266"/>
        <v/>
      </c>
      <c r="H396" s="4" t="str">
        <f t="shared" si="267"/>
        <v/>
      </c>
      <c r="I396" s="4" t="str">
        <f t="shared" si="268"/>
        <v/>
      </c>
      <c r="J396" s="4" t="str">
        <f t="shared" si="269"/>
        <v/>
      </c>
      <c r="K396" s="25" t="str">
        <f t="shared" ca="1" si="270"/>
        <v/>
      </c>
      <c r="L396" s="21" t="str">
        <f t="shared" ca="1" si="271"/>
        <v/>
      </c>
      <c r="M396" s="21" t="str">
        <f>IF(SUMIFS('Input Sheet'!$F$3:$F$1001,'Input Sheet'!$B$3:$B$1001,$H396,'Input Sheet'!$E$3:$E$1001,M$4)=0,"",SUMIFS('Input Sheet'!$F$3:$F$1001,'Input Sheet'!$B$3:$B$1001,$H396,'Input Sheet'!$E$3:$E$1001,M$4))</f>
        <v/>
      </c>
      <c r="N396" s="21" t="str">
        <f>IF(SUMIFS('Input Sheet'!$F$3:$F$1001,'Input Sheet'!$B$3:$B$1001,$H396,'Input Sheet'!$E$3:$E$1001,N$4)=0,"",SUMIFS('Input Sheet'!$F$3:$F$1001,'Input Sheet'!$B$3:$B$1001,$H396,'Input Sheet'!$E$3:$E$1001,N$4))</f>
        <v/>
      </c>
      <c r="O396" s="21" t="str">
        <f>IF(SUMIFS('Input Sheet'!$F$3:$F$1001,'Input Sheet'!$B$3:$B$1001,$H396,'Input Sheet'!$E$3:$E$1001,O$4)=0,"",SUMIFS('Input Sheet'!$F$3:$F$1001,'Input Sheet'!$B$3:$B$1001,$H396,'Input Sheet'!$E$3:$E$1001,O$4))</f>
        <v/>
      </c>
      <c r="P396" s="21" t="str">
        <f>IF(SUMIFS('Input Sheet'!$F$3:$F$1001,'Input Sheet'!$B$3:$B$1001,$H396,'Input Sheet'!$E$3:$E$1001,P$4)=0,"",SUMIFS('Input Sheet'!$F$3:$F$1001,'Input Sheet'!$B$3:$B$1001,$H396,'Input Sheet'!$E$3:$E$1001,P$4))</f>
        <v/>
      </c>
      <c r="Q396" s="21" t="str">
        <f>IF(SUMIFS('Input Sheet'!$F$3:$F$1001,'Input Sheet'!$B$3:$B$1001,$H396,'Input Sheet'!$E$3:$E$1001,Q$4)=0,"",SUMIFS('Input Sheet'!$F$3:$F$1001,'Input Sheet'!$B$3:$B$1001,$H396,'Input Sheet'!$E$3:$E$1001,Q$4))</f>
        <v/>
      </c>
      <c r="R396" s="21" t="str">
        <f>IF(SUMIFS('Input Sheet'!$F$3:$F$1001,'Input Sheet'!$B$3:$B$1001,$H396,'Input Sheet'!$E$3:$E$1001,R$4)=0,"",SUMIFS('Input Sheet'!$F$3:$F$1001,'Input Sheet'!$B$3:$B$1001,$H396,'Input Sheet'!$E$3:$E$1001,R$4))</f>
        <v/>
      </c>
      <c r="S396" s="21" t="str">
        <f>IF(SUMIFS('Input Sheet'!$F$3:$F$1001,'Input Sheet'!$B$3:$B$1001,$H396,'Input Sheet'!$E$3:$E$1001,S$4)=0,"",SUMIFS('Input Sheet'!$F$3:$F$1001,'Input Sheet'!$B$3:$B$1001,$H396,'Input Sheet'!$E$3:$E$1001,S$4))</f>
        <v/>
      </c>
      <c r="T396" s="22">
        <v>391</v>
      </c>
    </row>
    <row r="397" spans="1:20" ht="14.25" customHeight="1" x14ac:dyDescent="0.3">
      <c r="A397" s="4" t="str">
        <f>IF('Input Sheet'!B394=0,"",'Input Sheet'!B394)</f>
        <v/>
      </c>
      <c r="B397" s="24" t="b">
        <f t="shared" si="264"/>
        <v>0</v>
      </c>
      <c r="C397" s="4">
        <f>SUMIF('Input Sheet'!B$3:B$1000,A397,'Input Sheet'!C$3:C$1000)</f>
        <v>0</v>
      </c>
      <c r="D397" s="4">
        <f>SUMIF('Input Sheet'!B$3:B$1000,A397,'Input Sheet'!D$3:D$1000)</f>
        <v>0</v>
      </c>
      <c r="E397" s="4" t="str">
        <f t="shared" ref="E397:F397" ca="1" si="407">IFERROR(RANK(K397,K$6:K$1004,1),"")</f>
        <v/>
      </c>
      <c r="F397" s="4" t="str">
        <f t="shared" ca="1" si="407"/>
        <v/>
      </c>
      <c r="G397" s="4" t="str">
        <f t="shared" ca="1" si="266"/>
        <v/>
      </c>
      <c r="H397" s="4" t="str">
        <f t="shared" si="267"/>
        <v/>
      </c>
      <c r="I397" s="4" t="str">
        <f t="shared" si="268"/>
        <v/>
      </c>
      <c r="J397" s="4" t="str">
        <f t="shared" si="269"/>
        <v/>
      </c>
      <c r="K397" s="25" t="str">
        <f t="shared" ca="1" si="270"/>
        <v/>
      </c>
      <c r="L397" s="21" t="str">
        <f t="shared" ca="1" si="271"/>
        <v/>
      </c>
      <c r="M397" s="21" t="str">
        <f>IF(SUMIFS('Input Sheet'!$F$3:$F$1001,'Input Sheet'!$B$3:$B$1001,$H397,'Input Sheet'!$E$3:$E$1001,M$4)=0,"",SUMIFS('Input Sheet'!$F$3:$F$1001,'Input Sheet'!$B$3:$B$1001,$H397,'Input Sheet'!$E$3:$E$1001,M$4))</f>
        <v/>
      </c>
      <c r="N397" s="21" t="str">
        <f>IF(SUMIFS('Input Sheet'!$F$3:$F$1001,'Input Sheet'!$B$3:$B$1001,$H397,'Input Sheet'!$E$3:$E$1001,N$4)=0,"",SUMIFS('Input Sheet'!$F$3:$F$1001,'Input Sheet'!$B$3:$B$1001,$H397,'Input Sheet'!$E$3:$E$1001,N$4))</f>
        <v/>
      </c>
      <c r="O397" s="21" t="str">
        <f>IF(SUMIFS('Input Sheet'!$F$3:$F$1001,'Input Sheet'!$B$3:$B$1001,$H397,'Input Sheet'!$E$3:$E$1001,O$4)=0,"",SUMIFS('Input Sheet'!$F$3:$F$1001,'Input Sheet'!$B$3:$B$1001,$H397,'Input Sheet'!$E$3:$E$1001,O$4))</f>
        <v/>
      </c>
      <c r="P397" s="21" t="str">
        <f>IF(SUMIFS('Input Sheet'!$F$3:$F$1001,'Input Sheet'!$B$3:$B$1001,$H397,'Input Sheet'!$E$3:$E$1001,P$4)=0,"",SUMIFS('Input Sheet'!$F$3:$F$1001,'Input Sheet'!$B$3:$B$1001,$H397,'Input Sheet'!$E$3:$E$1001,P$4))</f>
        <v/>
      </c>
      <c r="Q397" s="21" t="str">
        <f>IF(SUMIFS('Input Sheet'!$F$3:$F$1001,'Input Sheet'!$B$3:$B$1001,$H397,'Input Sheet'!$E$3:$E$1001,Q$4)=0,"",SUMIFS('Input Sheet'!$F$3:$F$1001,'Input Sheet'!$B$3:$B$1001,$H397,'Input Sheet'!$E$3:$E$1001,Q$4))</f>
        <v/>
      </c>
      <c r="R397" s="21" t="str">
        <f>IF(SUMIFS('Input Sheet'!$F$3:$F$1001,'Input Sheet'!$B$3:$B$1001,$H397,'Input Sheet'!$E$3:$E$1001,R$4)=0,"",SUMIFS('Input Sheet'!$F$3:$F$1001,'Input Sheet'!$B$3:$B$1001,$H397,'Input Sheet'!$E$3:$E$1001,R$4))</f>
        <v/>
      </c>
      <c r="S397" s="21" t="str">
        <f>IF(SUMIFS('Input Sheet'!$F$3:$F$1001,'Input Sheet'!$B$3:$B$1001,$H397,'Input Sheet'!$E$3:$E$1001,S$4)=0,"",SUMIFS('Input Sheet'!$F$3:$F$1001,'Input Sheet'!$B$3:$B$1001,$H397,'Input Sheet'!$E$3:$E$1001,S$4))</f>
        <v/>
      </c>
      <c r="T397" s="22">
        <v>392</v>
      </c>
    </row>
    <row r="398" spans="1:20" ht="14.25" customHeight="1" x14ac:dyDescent="0.3">
      <c r="A398" s="4" t="str">
        <f>IF('Input Sheet'!B395=0,"",'Input Sheet'!B395)</f>
        <v/>
      </c>
      <c r="B398" s="24" t="b">
        <f t="shared" si="264"/>
        <v>0</v>
      </c>
      <c r="C398" s="4">
        <f>SUMIF('Input Sheet'!B$3:B$1000,A398,'Input Sheet'!C$3:C$1000)</f>
        <v>0</v>
      </c>
      <c r="D398" s="4">
        <f>SUMIF('Input Sheet'!B$3:B$1000,A398,'Input Sheet'!D$3:D$1000)</f>
        <v>0</v>
      </c>
      <c r="E398" s="4" t="str">
        <f t="shared" ref="E398:F398" ca="1" si="408">IFERROR(RANK(K398,K$6:K$1004,1),"")</f>
        <v/>
      </c>
      <c r="F398" s="4" t="str">
        <f t="shared" ca="1" si="408"/>
        <v/>
      </c>
      <c r="G398" s="4" t="str">
        <f t="shared" ca="1" si="266"/>
        <v/>
      </c>
      <c r="H398" s="4" t="str">
        <f t="shared" si="267"/>
        <v/>
      </c>
      <c r="I398" s="4" t="str">
        <f t="shared" si="268"/>
        <v/>
      </c>
      <c r="J398" s="4" t="str">
        <f t="shared" si="269"/>
        <v/>
      </c>
      <c r="K398" s="25" t="str">
        <f t="shared" ca="1" si="270"/>
        <v/>
      </c>
      <c r="L398" s="21" t="str">
        <f t="shared" ca="1" si="271"/>
        <v/>
      </c>
      <c r="M398" s="21" t="str">
        <f>IF(SUMIFS('Input Sheet'!$F$3:$F$1001,'Input Sheet'!$B$3:$B$1001,$H398,'Input Sheet'!$E$3:$E$1001,M$4)=0,"",SUMIFS('Input Sheet'!$F$3:$F$1001,'Input Sheet'!$B$3:$B$1001,$H398,'Input Sheet'!$E$3:$E$1001,M$4))</f>
        <v/>
      </c>
      <c r="N398" s="21" t="str">
        <f>IF(SUMIFS('Input Sheet'!$F$3:$F$1001,'Input Sheet'!$B$3:$B$1001,$H398,'Input Sheet'!$E$3:$E$1001,N$4)=0,"",SUMIFS('Input Sheet'!$F$3:$F$1001,'Input Sheet'!$B$3:$B$1001,$H398,'Input Sheet'!$E$3:$E$1001,N$4))</f>
        <v/>
      </c>
      <c r="O398" s="21" t="str">
        <f>IF(SUMIFS('Input Sheet'!$F$3:$F$1001,'Input Sheet'!$B$3:$B$1001,$H398,'Input Sheet'!$E$3:$E$1001,O$4)=0,"",SUMIFS('Input Sheet'!$F$3:$F$1001,'Input Sheet'!$B$3:$B$1001,$H398,'Input Sheet'!$E$3:$E$1001,O$4))</f>
        <v/>
      </c>
      <c r="P398" s="21" t="str">
        <f>IF(SUMIFS('Input Sheet'!$F$3:$F$1001,'Input Sheet'!$B$3:$B$1001,$H398,'Input Sheet'!$E$3:$E$1001,P$4)=0,"",SUMIFS('Input Sheet'!$F$3:$F$1001,'Input Sheet'!$B$3:$B$1001,$H398,'Input Sheet'!$E$3:$E$1001,P$4))</f>
        <v/>
      </c>
      <c r="Q398" s="21" t="str">
        <f>IF(SUMIFS('Input Sheet'!$F$3:$F$1001,'Input Sheet'!$B$3:$B$1001,$H398,'Input Sheet'!$E$3:$E$1001,Q$4)=0,"",SUMIFS('Input Sheet'!$F$3:$F$1001,'Input Sheet'!$B$3:$B$1001,$H398,'Input Sheet'!$E$3:$E$1001,Q$4))</f>
        <v/>
      </c>
      <c r="R398" s="21" t="str">
        <f>IF(SUMIFS('Input Sheet'!$F$3:$F$1001,'Input Sheet'!$B$3:$B$1001,$H398,'Input Sheet'!$E$3:$E$1001,R$4)=0,"",SUMIFS('Input Sheet'!$F$3:$F$1001,'Input Sheet'!$B$3:$B$1001,$H398,'Input Sheet'!$E$3:$E$1001,R$4))</f>
        <v/>
      </c>
      <c r="S398" s="21" t="str">
        <f>IF(SUMIFS('Input Sheet'!$F$3:$F$1001,'Input Sheet'!$B$3:$B$1001,$H398,'Input Sheet'!$E$3:$E$1001,S$4)=0,"",SUMIFS('Input Sheet'!$F$3:$F$1001,'Input Sheet'!$B$3:$B$1001,$H398,'Input Sheet'!$E$3:$E$1001,S$4))</f>
        <v/>
      </c>
      <c r="T398" s="22">
        <v>393</v>
      </c>
    </row>
    <row r="399" spans="1:20" ht="14.25" customHeight="1" x14ac:dyDescent="0.3">
      <c r="A399" s="4" t="str">
        <f>IF('Input Sheet'!B396=0,"",'Input Sheet'!B396)</f>
        <v/>
      </c>
      <c r="B399" s="24" t="b">
        <f t="shared" si="264"/>
        <v>0</v>
      </c>
      <c r="C399" s="4">
        <f>SUMIF('Input Sheet'!B$3:B$1000,A399,'Input Sheet'!C$3:C$1000)</f>
        <v>0</v>
      </c>
      <c r="D399" s="4">
        <f>SUMIF('Input Sheet'!B$3:B$1000,A399,'Input Sheet'!D$3:D$1000)</f>
        <v>0</v>
      </c>
      <c r="E399" s="4" t="str">
        <f t="shared" ref="E399:F399" ca="1" si="409">IFERROR(RANK(K399,K$6:K$1004,1),"")</f>
        <v/>
      </c>
      <c r="F399" s="4" t="str">
        <f t="shared" ca="1" si="409"/>
        <v/>
      </c>
      <c r="G399" s="4" t="str">
        <f t="shared" ca="1" si="266"/>
        <v/>
      </c>
      <c r="H399" s="4" t="str">
        <f t="shared" si="267"/>
        <v/>
      </c>
      <c r="I399" s="4" t="str">
        <f t="shared" si="268"/>
        <v/>
      </c>
      <c r="J399" s="4" t="str">
        <f t="shared" si="269"/>
        <v/>
      </c>
      <c r="K399" s="25" t="str">
        <f t="shared" ca="1" si="270"/>
        <v/>
      </c>
      <c r="L399" s="21" t="str">
        <f t="shared" ca="1" si="271"/>
        <v/>
      </c>
      <c r="M399" s="21" t="str">
        <f>IF(SUMIFS('Input Sheet'!$F$3:$F$1001,'Input Sheet'!$B$3:$B$1001,$H399,'Input Sheet'!$E$3:$E$1001,M$4)=0,"",SUMIFS('Input Sheet'!$F$3:$F$1001,'Input Sheet'!$B$3:$B$1001,$H399,'Input Sheet'!$E$3:$E$1001,M$4))</f>
        <v/>
      </c>
      <c r="N399" s="21" t="str">
        <f>IF(SUMIFS('Input Sheet'!$F$3:$F$1001,'Input Sheet'!$B$3:$B$1001,$H399,'Input Sheet'!$E$3:$E$1001,N$4)=0,"",SUMIFS('Input Sheet'!$F$3:$F$1001,'Input Sheet'!$B$3:$B$1001,$H399,'Input Sheet'!$E$3:$E$1001,N$4))</f>
        <v/>
      </c>
      <c r="O399" s="21" t="str">
        <f>IF(SUMIFS('Input Sheet'!$F$3:$F$1001,'Input Sheet'!$B$3:$B$1001,$H399,'Input Sheet'!$E$3:$E$1001,O$4)=0,"",SUMIFS('Input Sheet'!$F$3:$F$1001,'Input Sheet'!$B$3:$B$1001,$H399,'Input Sheet'!$E$3:$E$1001,O$4))</f>
        <v/>
      </c>
      <c r="P399" s="21" t="str">
        <f>IF(SUMIFS('Input Sheet'!$F$3:$F$1001,'Input Sheet'!$B$3:$B$1001,$H399,'Input Sheet'!$E$3:$E$1001,P$4)=0,"",SUMIFS('Input Sheet'!$F$3:$F$1001,'Input Sheet'!$B$3:$B$1001,$H399,'Input Sheet'!$E$3:$E$1001,P$4))</f>
        <v/>
      </c>
      <c r="Q399" s="21" t="str">
        <f>IF(SUMIFS('Input Sheet'!$F$3:$F$1001,'Input Sheet'!$B$3:$B$1001,$H399,'Input Sheet'!$E$3:$E$1001,Q$4)=0,"",SUMIFS('Input Sheet'!$F$3:$F$1001,'Input Sheet'!$B$3:$B$1001,$H399,'Input Sheet'!$E$3:$E$1001,Q$4))</f>
        <v/>
      </c>
      <c r="R399" s="21" t="str">
        <f>IF(SUMIFS('Input Sheet'!$F$3:$F$1001,'Input Sheet'!$B$3:$B$1001,$H399,'Input Sheet'!$E$3:$E$1001,R$4)=0,"",SUMIFS('Input Sheet'!$F$3:$F$1001,'Input Sheet'!$B$3:$B$1001,$H399,'Input Sheet'!$E$3:$E$1001,R$4))</f>
        <v/>
      </c>
      <c r="S399" s="21" t="str">
        <f>IF(SUMIFS('Input Sheet'!$F$3:$F$1001,'Input Sheet'!$B$3:$B$1001,$H399,'Input Sheet'!$E$3:$E$1001,S$4)=0,"",SUMIFS('Input Sheet'!$F$3:$F$1001,'Input Sheet'!$B$3:$B$1001,$H399,'Input Sheet'!$E$3:$E$1001,S$4))</f>
        <v/>
      </c>
      <c r="T399" s="22">
        <v>394</v>
      </c>
    </row>
    <row r="400" spans="1:20" ht="14.25" customHeight="1" x14ac:dyDescent="0.3">
      <c r="A400" s="4" t="str">
        <f>IF('Input Sheet'!B397=0,"",'Input Sheet'!B397)</f>
        <v/>
      </c>
      <c r="B400" s="24" t="b">
        <f t="shared" si="264"/>
        <v>0</v>
      </c>
      <c r="C400" s="4">
        <f>SUMIF('Input Sheet'!B$3:B$1000,A400,'Input Sheet'!C$3:C$1000)</f>
        <v>0</v>
      </c>
      <c r="D400" s="4">
        <f>SUMIF('Input Sheet'!B$3:B$1000,A400,'Input Sheet'!D$3:D$1000)</f>
        <v>0</v>
      </c>
      <c r="E400" s="4" t="str">
        <f t="shared" ref="E400:F400" ca="1" si="410">IFERROR(RANK(K400,K$6:K$1004,1),"")</f>
        <v/>
      </c>
      <c r="F400" s="4" t="str">
        <f t="shared" ca="1" si="410"/>
        <v/>
      </c>
      <c r="G400" s="4" t="str">
        <f t="shared" ca="1" si="266"/>
        <v/>
      </c>
      <c r="H400" s="4" t="str">
        <f t="shared" si="267"/>
        <v/>
      </c>
      <c r="I400" s="4" t="str">
        <f t="shared" si="268"/>
        <v/>
      </c>
      <c r="J400" s="4" t="str">
        <f t="shared" si="269"/>
        <v/>
      </c>
      <c r="K400" s="25" t="str">
        <f t="shared" ca="1" si="270"/>
        <v/>
      </c>
      <c r="L400" s="21" t="str">
        <f t="shared" ca="1" si="271"/>
        <v/>
      </c>
      <c r="M400" s="21" t="str">
        <f>IF(SUMIFS('Input Sheet'!$F$3:$F$1001,'Input Sheet'!$B$3:$B$1001,$H400,'Input Sheet'!$E$3:$E$1001,M$4)=0,"",SUMIFS('Input Sheet'!$F$3:$F$1001,'Input Sheet'!$B$3:$B$1001,$H400,'Input Sheet'!$E$3:$E$1001,M$4))</f>
        <v/>
      </c>
      <c r="N400" s="21" t="str">
        <f>IF(SUMIFS('Input Sheet'!$F$3:$F$1001,'Input Sheet'!$B$3:$B$1001,$H400,'Input Sheet'!$E$3:$E$1001,N$4)=0,"",SUMIFS('Input Sheet'!$F$3:$F$1001,'Input Sheet'!$B$3:$B$1001,$H400,'Input Sheet'!$E$3:$E$1001,N$4))</f>
        <v/>
      </c>
      <c r="O400" s="21" t="str">
        <f>IF(SUMIFS('Input Sheet'!$F$3:$F$1001,'Input Sheet'!$B$3:$B$1001,$H400,'Input Sheet'!$E$3:$E$1001,O$4)=0,"",SUMIFS('Input Sheet'!$F$3:$F$1001,'Input Sheet'!$B$3:$B$1001,$H400,'Input Sheet'!$E$3:$E$1001,O$4))</f>
        <v/>
      </c>
      <c r="P400" s="21" t="str">
        <f>IF(SUMIFS('Input Sheet'!$F$3:$F$1001,'Input Sheet'!$B$3:$B$1001,$H400,'Input Sheet'!$E$3:$E$1001,P$4)=0,"",SUMIFS('Input Sheet'!$F$3:$F$1001,'Input Sheet'!$B$3:$B$1001,$H400,'Input Sheet'!$E$3:$E$1001,P$4))</f>
        <v/>
      </c>
      <c r="Q400" s="21" t="str">
        <f>IF(SUMIFS('Input Sheet'!$F$3:$F$1001,'Input Sheet'!$B$3:$B$1001,$H400,'Input Sheet'!$E$3:$E$1001,Q$4)=0,"",SUMIFS('Input Sheet'!$F$3:$F$1001,'Input Sheet'!$B$3:$B$1001,$H400,'Input Sheet'!$E$3:$E$1001,Q$4))</f>
        <v/>
      </c>
      <c r="R400" s="21" t="str">
        <f>IF(SUMIFS('Input Sheet'!$F$3:$F$1001,'Input Sheet'!$B$3:$B$1001,$H400,'Input Sheet'!$E$3:$E$1001,R$4)=0,"",SUMIFS('Input Sheet'!$F$3:$F$1001,'Input Sheet'!$B$3:$B$1001,$H400,'Input Sheet'!$E$3:$E$1001,R$4))</f>
        <v/>
      </c>
      <c r="S400" s="21" t="str">
        <f>IF(SUMIFS('Input Sheet'!$F$3:$F$1001,'Input Sheet'!$B$3:$B$1001,$H400,'Input Sheet'!$E$3:$E$1001,S$4)=0,"",SUMIFS('Input Sheet'!$F$3:$F$1001,'Input Sheet'!$B$3:$B$1001,$H400,'Input Sheet'!$E$3:$E$1001,S$4))</f>
        <v/>
      </c>
      <c r="T400" s="22">
        <v>395</v>
      </c>
    </row>
    <row r="401" spans="1:20" ht="14.25" customHeight="1" x14ac:dyDescent="0.3">
      <c r="A401" s="4" t="str">
        <f>IF('Input Sheet'!B398=0,"",'Input Sheet'!B398)</f>
        <v/>
      </c>
      <c r="B401" s="24" t="b">
        <f t="shared" si="264"/>
        <v>0</v>
      </c>
      <c r="C401" s="4">
        <f>SUMIF('Input Sheet'!B$3:B$1000,A401,'Input Sheet'!C$3:C$1000)</f>
        <v>0</v>
      </c>
      <c r="D401" s="4">
        <f>SUMIF('Input Sheet'!B$3:B$1000,A401,'Input Sheet'!D$3:D$1000)</f>
        <v>0</v>
      </c>
      <c r="E401" s="4" t="str">
        <f t="shared" ref="E401:F401" ca="1" si="411">IFERROR(RANK(K401,K$6:K$1004,1),"")</f>
        <v/>
      </c>
      <c r="F401" s="4" t="str">
        <f t="shared" ca="1" si="411"/>
        <v/>
      </c>
      <c r="G401" s="4" t="str">
        <f t="shared" ca="1" si="266"/>
        <v/>
      </c>
      <c r="H401" s="4" t="str">
        <f t="shared" si="267"/>
        <v/>
      </c>
      <c r="I401" s="4" t="str">
        <f t="shared" si="268"/>
        <v/>
      </c>
      <c r="J401" s="4" t="str">
        <f t="shared" si="269"/>
        <v/>
      </c>
      <c r="K401" s="25" t="str">
        <f t="shared" ca="1" si="270"/>
        <v/>
      </c>
      <c r="L401" s="21" t="str">
        <f t="shared" ca="1" si="271"/>
        <v/>
      </c>
      <c r="M401" s="21" t="str">
        <f>IF(SUMIFS('Input Sheet'!$F$3:$F$1001,'Input Sheet'!$B$3:$B$1001,$H401,'Input Sheet'!$E$3:$E$1001,M$4)=0,"",SUMIFS('Input Sheet'!$F$3:$F$1001,'Input Sheet'!$B$3:$B$1001,$H401,'Input Sheet'!$E$3:$E$1001,M$4))</f>
        <v/>
      </c>
      <c r="N401" s="21" t="str">
        <f>IF(SUMIFS('Input Sheet'!$F$3:$F$1001,'Input Sheet'!$B$3:$B$1001,$H401,'Input Sheet'!$E$3:$E$1001,N$4)=0,"",SUMIFS('Input Sheet'!$F$3:$F$1001,'Input Sheet'!$B$3:$B$1001,$H401,'Input Sheet'!$E$3:$E$1001,N$4))</f>
        <v/>
      </c>
      <c r="O401" s="21" t="str">
        <f>IF(SUMIFS('Input Sheet'!$F$3:$F$1001,'Input Sheet'!$B$3:$B$1001,$H401,'Input Sheet'!$E$3:$E$1001,O$4)=0,"",SUMIFS('Input Sheet'!$F$3:$F$1001,'Input Sheet'!$B$3:$B$1001,$H401,'Input Sheet'!$E$3:$E$1001,O$4))</f>
        <v/>
      </c>
      <c r="P401" s="21" t="str">
        <f>IF(SUMIFS('Input Sheet'!$F$3:$F$1001,'Input Sheet'!$B$3:$B$1001,$H401,'Input Sheet'!$E$3:$E$1001,P$4)=0,"",SUMIFS('Input Sheet'!$F$3:$F$1001,'Input Sheet'!$B$3:$B$1001,$H401,'Input Sheet'!$E$3:$E$1001,P$4))</f>
        <v/>
      </c>
      <c r="Q401" s="21" t="str">
        <f>IF(SUMIFS('Input Sheet'!$F$3:$F$1001,'Input Sheet'!$B$3:$B$1001,$H401,'Input Sheet'!$E$3:$E$1001,Q$4)=0,"",SUMIFS('Input Sheet'!$F$3:$F$1001,'Input Sheet'!$B$3:$B$1001,$H401,'Input Sheet'!$E$3:$E$1001,Q$4))</f>
        <v/>
      </c>
      <c r="R401" s="21" t="str">
        <f>IF(SUMIFS('Input Sheet'!$F$3:$F$1001,'Input Sheet'!$B$3:$B$1001,$H401,'Input Sheet'!$E$3:$E$1001,R$4)=0,"",SUMIFS('Input Sheet'!$F$3:$F$1001,'Input Sheet'!$B$3:$B$1001,$H401,'Input Sheet'!$E$3:$E$1001,R$4))</f>
        <v/>
      </c>
      <c r="S401" s="21" t="str">
        <f>IF(SUMIFS('Input Sheet'!$F$3:$F$1001,'Input Sheet'!$B$3:$B$1001,$H401,'Input Sheet'!$E$3:$E$1001,S$4)=0,"",SUMIFS('Input Sheet'!$F$3:$F$1001,'Input Sheet'!$B$3:$B$1001,$H401,'Input Sheet'!$E$3:$E$1001,S$4))</f>
        <v/>
      </c>
      <c r="T401" s="22">
        <v>396</v>
      </c>
    </row>
    <row r="402" spans="1:20" ht="14.25" customHeight="1" x14ac:dyDescent="0.3">
      <c r="A402" s="4" t="str">
        <f>IF('Input Sheet'!B399=0,"",'Input Sheet'!B399)</f>
        <v/>
      </c>
      <c r="B402" s="24" t="b">
        <f t="shared" si="264"/>
        <v>0</v>
      </c>
      <c r="C402" s="4">
        <f>SUMIF('Input Sheet'!B$3:B$1000,A402,'Input Sheet'!C$3:C$1000)</f>
        <v>0</v>
      </c>
      <c r="D402" s="4">
        <f>SUMIF('Input Sheet'!B$3:B$1000,A402,'Input Sheet'!D$3:D$1000)</f>
        <v>0</v>
      </c>
      <c r="E402" s="4" t="str">
        <f t="shared" ref="E402:F402" ca="1" si="412">IFERROR(RANK(K402,K$6:K$1004,1),"")</f>
        <v/>
      </c>
      <c r="F402" s="4" t="str">
        <f t="shared" ca="1" si="412"/>
        <v/>
      </c>
      <c r="G402" s="4" t="str">
        <f t="shared" ca="1" si="266"/>
        <v/>
      </c>
      <c r="H402" s="4" t="str">
        <f t="shared" si="267"/>
        <v/>
      </c>
      <c r="I402" s="4" t="str">
        <f t="shared" si="268"/>
        <v/>
      </c>
      <c r="J402" s="4" t="str">
        <f t="shared" si="269"/>
        <v/>
      </c>
      <c r="K402" s="25" t="str">
        <f t="shared" ca="1" si="270"/>
        <v/>
      </c>
      <c r="L402" s="21" t="str">
        <f t="shared" ca="1" si="271"/>
        <v/>
      </c>
      <c r="M402" s="21" t="str">
        <f>IF(SUMIFS('Input Sheet'!$F$3:$F$1001,'Input Sheet'!$B$3:$B$1001,$H402,'Input Sheet'!$E$3:$E$1001,M$4)=0,"",SUMIFS('Input Sheet'!$F$3:$F$1001,'Input Sheet'!$B$3:$B$1001,$H402,'Input Sheet'!$E$3:$E$1001,M$4))</f>
        <v/>
      </c>
      <c r="N402" s="21" t="str">
        <f>IF(SUMIFS('Input Sheet'!$F$3:$F$1001,'Input Sheet'!$B$3:$B$1001,$H402,'Input Sheet'!$E$3:$E$1001,N$4)=0,"",SUMIFS('Input Sheet'!$F$3:$F$1001,'Input Sheet'!$B$3:$B$1001,$H402,'Input Sheet'!$E$3:$E$1001,N$4))</f>
        <v/>
      </c>
      <c r="O402" s="21" t="str">
        <f>IF(SUMIFS('Input Sheet'!$F$3:$F$1001,'Input Sheet'!$B$3:$B$1001,$H402,'Input Sheet'!$E$3:$E$1001,O$4)=0,"",SUMIFS('Input Sheet'!$F$3:$F$1001,'Input Sheet'!$B$3:$B$1001,$H402,'Input Sheet'!$E$3:$E$1001,O$4))</f>
        <v/>
      </c>
      <c r="P402" s="21" t="str">
        <f>IF(SUMIFS('Input Sheet'!$F$3:$F$1001,'Input Sheet'!$B$3:$B$1001,$H402,'Input Sheet'!$E$3:$E$1001,P$4)=0,"",SUMIFS('Input Sheet'!$F$3:$F$1001,'Input Sheet'!$B$3:$B$1001,$H402,'Input Sheet'!$E$3:$E$1001,P$4))</f>
        <v/>
      </c>
      <c r="Q402" s="21" t="str">
        <f>IF(SUMIFS('Input Sheet'!$F$3:$F$1001,'Input Sheet'!$B$3:$B$1001,$H402,'Input Sheet'!$E$3:$E$1001,Q$4)=0,"",SUMIFS('Input Sheet'!$F$3:$F$1001,'Input Sheet'!$B$3:$B$1001,$H402,'Input Sheet'!$E$3:$E$1001,Q$4))</f>
        <v/>
      </c>
      <c r="R402" s="21" t="str">
        <f>IF(SUMIFS('Input Sheet'!$F$3:$F$1001,'Input Sheet'!$B$3:$B$1001,$H402,'Input Sheet'!$E$3:$E$1001,R$4)=0,"",SUMIFS('Input Sheet'!$F$3:$F$1001,'Input Sheet'!$B$3:$B$1001,$H402,'Input Sheet'!$E$3:$E$1001,R$4))</f>
        <v/>
      </c>
      <c r="S402" s="21" t="str">
        <f>IF(SUMIFS('Input Sheet'!$F$3:$F$1001,'Input Sheet'!$B$3:$B$1001,$H402,'Input Sheet'!$E$3:$E$1001,S$4)=0,"",SUMIFS('Input Sheet'!$F$3:$F$1001,'Input Sheet'!$B$3:$B$1001,$H402,'Input Sheet'!$E$3:$E$1001,S$4))</f>
        <v/>
      </c>
      <c r="T402" s="22">
        <v>397</v>
      </c>
    </row>
    <row r="403" spans="1:20" ht="14.25" customHeight="1" x14ac:dyDescent="0.3">
      <c r="A403" s="4" t="str">
        <f>IF('Input Sheet'!B400=0,"",'Input Sheet'!B400)</f>
        <v/>
      </c>
      <c r="B403" s="24" t="b">
        <f t="shared" si="264"/>
        <v>0</v>
      </c>
      <c r="C403" s="4">
        <f>SUMIF('Input Sheet'!B$3:B$1000,A403,'Input Sheet'!C$3:C$1000)</f>
        <v>0</v>
      </c>
      <c r="D403" s="4">
        <f>SUMIF('Input Sheet'!B$3:B$1000,A403,'Input Sheet'!D$3:D$1000)</f>
        <v>0</v>
      </c>
      <c r="E403" s="4" t="str">
        <f t="shared" ref="E403:F403" ca="1" si="413">IFERROR(RANK(K403,K$6:K$1004,1),"")</f>
        <v/>
      </c>
      <c r="F403" s="4" t="str">
        <f t="shared" ca="1" si="413"/>
        <v/>
      </c>
      <c r="G403" s="4" t="str">
        <f t="shared" ca="1" si="266"/>
        <v/>
      </c>
      <c r="H403" s="4" t="str">
        <f t="shared" si="267"/>
        <v/>
      </c>
      <c r="I403" s="4" t="str">
        <f t="shared" si="268"/>
        <v/>
      </c>
      <c r="J403" s="4" t="str">
        <f t="shared" si="269"/>
        <v/>
      </c>
      <c r="K403" s="25" t="str">
        <f t="shared" ca="1" si="270"/>
        <v/>
      </c>
      <c r="L403" s="21" t="str">
        <f t="shared" ca="1" si="271"/>
        <v/>
      </c>
      <c r="M403" s="21" t="str">
        <f>IF(SUMIFS('Input Sheet'!$F$3:$F$1001,'Input Sheet'!$B$3:$B$1001,$H403,'Input Sheet'!$E$3:$E$1001,M$4)=0,"",SUMIFS('Input Sheet'!$F$3:$F$1001,'Input Sheet'!$B$3:$B$1001,$H403,'Input Sheet'!$E$3:$E$1001,M$4))</f>
        <v/>
      </c>
      <c r="N403" s="21" t="str">
        <f>IF(SUMIFS('Input Sheet'!$F$3:$F$1001,'Input Sheet'!$B$3:$B$1001,$H403,'Input Sheet'!$E$3:$E$1001,N$4)=0,"",SUMIFS('Input Sheet'!$F$3:$F$1001,'Input Sheet'!$B$3:$B$1001,$H403,'Input Sheet'!$E$3:$E$1001,N$4))</f>
        <v/>
      </c>
      <c r="O403" s="21" t="str">
        <f>IF(SUMIFS('Input Sheet'!$F$3:$F$1001,'Input Sheet'!$B$3:$B$1001,$H403,'Input Sheet'!$E$3:$E$1001,O$4)=0,"",SUMIFS('Input Sheet'!$F$3:$F$1001,'Input Sheet'!$B$3:$B$1001,$H403,'Input Sheet'!$E$3:$E$1001,O$4))</f>
        <v/>
      </c>
      <c r="P403" s="21" t="str">
        <f>IF(SUMIFS('Input Sheet'!$F$3:$F$1001,'Input Sheet'!$B$3:$B$1001,$H403,'Input Sheet'!$E$3:$E$1001,P$4)=0,"",SUMIFS('Input Sheet'!$F$3:$F$1001,'Input Sheet'!$B$3:$B$1001,$H403,'Input Sheet'!$E$3:$E$1001,P$4))</f>
        <v/>
      </c>
      <c r="Q403" s="21" t="str">
        <f>IF(SUMIFS('Input Sheet'!$F$3:$F$1001,'Input Sheet'!$B$3:$B$1001,$H403,'Input Sheet'!$E$3:$E$1001,Q$4)=0,"",SUMIFS('Input Sheet'!$F$3:$F$1001,'Input Sheet'!$B$3:$B$1001,$H403,'Input Sheet'!$E$3:$E$1001,Q$4))</f>
        <v/>
      </c>
      <c r="R403" s="21" t="str">
        <f>IF(SUMIFS('Input Sheet'!$F$3:$F$1001,'Input Sheet'!$B$3:$B$1001,$H403,'Input Sheet'!$E$3:$E$1001,R$4)=0,"",SUMIFS('Input Sheet'!$F$3:$F$1001,'Input Sheet'!$B$3:$B$1001,$H403,'Input Sheet'!$E$3:$E$1001,R$4))</f>
        <v/>
      </c>
      <c r="S403" s="21" t="str">
        <f>IF(SUMIFS('Input Sheet'!$F$3:$F$1001,'Input Sheet'!$B$3:$B$1001,$H403,'Input Sheet'!$E$3:$E$1001,S$4)=0,"",SUMIFS('Input Sheet'!$F$3:$F$1001,'Input Sheet'!$B$3:$B$1001,$H403,'Input Sheet'!$E$3:$E$1001,S$4))</f>
        <v/>
      </c>
      <c r="T403" s="22">
        <v>398</v>
      </c>
    </row>
    <row r="404" spans="1:20" ht="14.25" customHeight="1" x14ac:dyDescent="0.3">
      <c r="A404" s="4" t="str">
        <f>IF('Input Sheet'!B401=0,"",'Input Sheet'!B401)</f>
        <v/>
      </c>
      <c r="B404" s="24" t="b">
        <f t="shared" si="264"/>
        <v>0</v>
      </c>
      <c r="C404" s="4">
        <f>SUMIF('Input Sheet'!B$3:B$1000,A404,'Input Sheet'!C$3:C$1000)</f>
        <v>0</v>
      </c>
      <c r="D404" s="4">
        <f>SUMIF('Input Sheet'!B$3:B$1000,A404,'Input Sheet'!D$3:D$1000)</f>
        <v>0</v>
      </c>
      <c r="E404" s="4" t="str">
        <f t="shared" ref="E404:F404" ca="1" si="414">IFERROR(RANK(K404,K$6:K$1004,1),"")</f>
        <v/>
      </c>
      <c r="F404" s="4" t="str">
        <f t="shared" ca="1" si="414"/>
        <v/>
      </c>
      <c r="G404" s="4" t="str">
        <f t="shared" ca="1" si="266"/>
        <v/>
      </c>
      <c r="H404" s="4" t="str">
        <f t="shared" si="267"/>
        <v/>
      </c>
      <c r="I404" s="4" t="str">
        <f t="shared" si="268"/>
        <v/>
      </c>
      <c r="J404" s="4" t="str">
        <f t="shared" si="269"/>
        <v/>
      </c>
      <c r="K404" s="25" t="str">
        <f t="shared" ca="1" si="270"/>
        <v/>
      </c>
      <c r="L404" s="21" t="str">
        <f t="shared" ca="1" si="271"/>
        <v/>
      </c>
      <c r="M404" s="21" t="str">
        <f>IF(SUMIFS('Input Sheet'!$F$3:$F$1001,'Input Sheet'!$B$3:$B$1001,$H404,'Input Sheet'!$E$3:$E$1001,M$4)=0,"",SUMIFS('Input Sheet'!$F$3:$F$1001,'Input Sheet'!$B$3:$B$1001,$H404,'Input Sheet'!$E$3:$E$1001,M$4))</f>
        <v/>
      </c>
      <c r="N404" s="21" t="str">
        <f>IF(SUMIFS('Input Sheet'!$F$3:$F$1001,'Input Sheet'!$B$3:$B$1001,$H404,'Input Sheet'!$E$3:$E$1001,N$4)=0,"",SUMIFS('Input Sheet'!$F$3:$F$1001,'Input Sheet'!$B$3:$B$1001,$H404,'Input Sheet'!$E$3:$E$1001,N$4))</f>
        <v/>
      </c>
      <c r="O404" s="21" t="str">
        <f>IF(SUMIFS('Input Sheet'!$F$3:$F$1001,'Input Sheet'!$B$3:$B$1001,$H404,'Input Sheet'!$E$3:$E$1001,O$4)=0,"",SUMIFS('Input Sheet'!$F$3:$F$1001,'Input Sheet'!$B$3:$B$1001,$H404,'Input Sheet'!$E$3:$E$1001,O$4))</f>
        <v/>
      </c>
      <c r="P404" s="21" t="str">
        <f>IF(SUMIFS('Input Sheet'!$F$3:$F$1001,'Input Sheet'!$B$3:$B$1001,$H404,'Input Sheet'!$E$3:$E$1001,P$4)=0,"",SUMIFS('Input Sheet'!$F$3:$F$1001,'Input Sheet'!$B$3:$B$1001,$H404,'Input Sheet'!$E$3:$E$1001,P$4))</f>
        <v/>
      </c>
      <c r="Q404" s="21" t="str">
        <f>IF(SUMIFS('Input Sheet'!$F$3:$F$1001,'Input Sheet'!$B$3:$B$1001,$H404,'Input Sheet'!$E$3:$E$1001,Q$4)=0,"",SUMIFS('Input Sheet'!$F$3:$F$1001,'Input Sheet'!$B$3:$B$1001,$H404,'Input Sheet'!$E$3:$E$1001,Q$4))</f>
        <v/>
      </c>
      <c r="R404" s="21" t="str">
        <f>IF(SUMIFS('Input Sheet'!$F$3:$F$1001,'Input Sheet'!$B$3:$B$1001,$H404,'Input Sheet'!$E$3:$E$1001,R$4)=0,"",SUMIFS('Input Sheet'!$F$3:$F$1001,'Input Sheet'!$B$3:$B$1001,$H404,'Input Sheet'!$E$3:$E$1001,R$4))</f>
        <v/>
      </c>
      <c r="S404" s="21" t="str">
        <f>IF(SUMIFS('Input Sheet'!$F$3:$F$1001,'Input Sheet'!$B$3:$B$1001,$H404,'Input Sheet'!$E$3:$E$1001,S$4)=0,"",SUMIFS('Input Sheet'!$F$3:$F$1001,'Input Sheet'!$B$3:$B$1001,$H404,'Input Sheet'!$E$3:$E$1001,S$4))</f>
        <v/>
      </c>
      <c r="T404" s="22">
        <v>399</v>
      </c>
    </row>
    <row r="405" spans="1:20" ht="14.25" customHeight="1" x14ac:dyDescent="0.3">
      <c r="A405" s="4" t="str">
        <f>IF('Input Sheet'!B402=0,"",'Input Sheet'!B402)</f>
        <v/>
      </c>
      <c r="B405" s="24" t="b">
        <f t="shared" si="264"/>
        <v>0</v>
      </c>
      <c r="C405" s="4">
        <f>SUMIF('Input Sheet'!B$3:B$1000,A405,'Input Sheet'!C$3:C$1000)</f>
        <v>0</v>
      </c>
      <c r="D405" s="4">
        <f>SUMIF('Input Sheet'!B$3:B$1000,A405,'Input Sheet'!D$3:D$1000)</f>
        <v>0</v>
      </c>
      <c r="E405" s="4" t="str">
        <f t="shared" ref="E405:F405" ca="1" si="415">IFERROR(RANK(K405,K$6:K$1004,1),"")</f>
        <v/>
      </c>
      <c r="F405" s="4" t="str">
        <f t="shared" ca="1" si="415"/>
        <v/>
      </c>
      <c r="G405" s="4" t="str">
        <f t="shared" ca="1" si="266"/>
        <v/>
      </c>
      <c r="H405" s="4" t="str">
        <f t="shared" si="267"/>
        <v/>
      </c>
      <c r="I405" s="4" t="str">
        <f t="shared" si="268"/>
        <v/>
      </c>
      <c r="J405" s="4" t="str">
        <f t="shared" si="269"/>
        <v/>
      </c>
      <c r="K405" s="25" t="str">
        <f t="shared" ca="1" si="270"/>
        <v/>
      </c>
      <c r="L405" s="21" t="str">
        <f t="shared" ca="1" si="271"/>
        <v/>
      </c>
      <c r="M405" s="21" t="str">
        <f>IF(SUMIFS('Input Sheet'!$F$3:$F$1001,'Input Sheet'!$B$3:$B$1001,$H405,'Input Sheet'!$E$3:$E$1001,M$4)=0,"",SUMIFS('Input Sheet'!$F$3:$F$1001,'Input Sheet'!$B$3:$B$1001,$H405,'Input Sheet'!$E$3:$E$1001,M$4))</f>
        <v/>
      </c>
      <c r="N405" s="21" t="str">
        <f>IF(SUMIFS('Input Sheet'!$F$3:$F$1001,'Input Sheet'!$B$3:$B$1001,$H405,'Input Sheet'!$E$3:$E$1001,N$4)=0,"",SUMIFS('Input Sheet'!$F$3:$F$1001,'Input Sheet'!$B$3:$B$1001,$H405,'Input Sheet'!$E$3:$E$1001,N$4))</f>
        <v/>
      </c>
      <c r="O405" s="21" t="str">
        <f>IF(SUMIFS('Input Sheet'!$F$3:$F$1001,'Input Sheet'!$B$3:$B$1001,$H405,'Input Sheet'!$E$3:$E$1001,O$4)=0,"",SUMIFS('Input Sheet'!$F$3:$F$1001,'Input Sheet'!$B$3:$B$1001,$H405,'Input Sheet'!$E$3:$E$1001,O$4))</f>
        <v/>
      </c>
      <c r="P405" s="21" t="str">
        <f>IF(SUMIFS('Input Sheet'!$F$3:$F$1001,'Input Sheet'!$B$3:$B$1001,$H405,'Input Sheet'!$E$3:$E$1001,P$4)=0,"",SUMIFS('Input Sheet'!$F$3:$F$1001,'Input Sheet'!$B$3:$B$1001,$H405,'Input Sheet'!$E$3:$E$1001,P$4))</f>
        <v/>
      </c>
      <c r="Q405" s="21" t="str">
        <f>IF(SUMIFS('Input Sheet'!$F$3:$F$1001,'Input Sheet'!$B$3:$B$1001,$H405,'Input Sheet'!$E$3:$E$1001,Q$4)=0,"",SUMIFS('Input Sheet'!$F$3:$F$1001,'Input Sheet'!$B$3:$B$1001,$H405,'Input Sheet'!$E$3:$E$1001,Q$4))</f>
        <v/>
      </c>
      <c r="R405" s="21" t="str">
        <f>IF(SUMIFS('Input Sheet'!$F$3:$F$1001,'Input Sheet'!$B$3:$B$1001,$H405,'Input Sheet'!$E$3:$E$1001,R$4)=0,"",SUMIFS('Input Sheet'!$F$3:$F$1001,'Input Sheet'!$B$3:$B$1001,$H405,'Input Sheet'!$E$3:$E$1001,R$4))</f>
        <v/>
      </c>
      <c r="S405" s="21" t="str">
        <f>IF(SUMIFS('Input Sheet'!$F$3:$F$1001,'Input Sheet'!$B$3:$B$1001,$H405,'Input Sheet'!$E$3:$E$1001,S$4)=0,"",SUMIFS('Input Sheet'!$F$3:$F$1001,'Input Sheet'!$B$3:$B$1001,$H405,'Input Sheet'!$E$3:$E$1001,S$4))</f>
        <v/>
      </c>
      <c r="T405" s="22">
        <v>400</v>
      </c>
    </row>
    <row r="406" spans="1:20" ht="14.25" customHeight="1" x14ac:dyDescent="0.3">
      <c r="A406" s="4" t="str">
        <f>IF('Input Sheet'!B403=0,"",'Input Sheet'!B403)</f>
        <v/>
      </c>
      <c r="B406" s="24" t="b">
        <f t="shared" si="264"/>
        <v>0</v>
      </c>
      <c r="C406" s="4">
        <f>SUMIF('Input Sheet'!B$3:B$1000,A406,'Input Sheet'!C$3:C$1000)</f>
        <v>0</v>
      </c>
      <c r="D406" s="4">
        <f>SUMIF('Input Sheet'!B$3:B$1000,A406,'Input Sheet'!D$3:D$1000)</f>
        <v>0</v>
      </c>
      <c r="E406" s="4" t="str">
        <f t="shared" ref="E406:F406" ca="1" si="416">IFERROR(RANK(K406,K$6:K$1004,1),"")</f>
        <v/>
      </c>
      <c r="F406" s="4" t="str">
        <f t="shared" ca="1" si="416"/>
        <v/>
      </c>
      <c r="G406" s="4" t="str">
        <f t="shared" ca="1" si="266"/>
        <v/>
      </c>
      <c r="H406" s="4" t="str">
        <f t="shared" si="267"/>
        <v/>
      </c>
      <c r="I406" s="4" t="str">
        <f t="shared" si="268"/>
        <v/>
      </c>
      <c r="J406" s="4" t="str">
        <f t="shared" si="269"/>
        <v/>
      </c>
      <c r="K406" s="25" t="str">
        <f t="shared" ca="1" si="270"/>
        <v/>
      </c>
      <c r="L406" s="21" t="str">
        <f t="shared" ca="1" si="271"/>
        <v/>
      </c>
      <c r="M406" s="21" t="str">
        <f>IF(SUMIFS('Input Sheet'!$F$3:$F$1001,'Input Sheet'!$B$3:$B$1001,$H406,'Input Sheet'!$E$3:$E$1001,M$4)=0,"",SUMIFS('Input Sheet'!$F$3:$F$1001,'Input Sheet'!$B$3:$B$1001,$H406,'Input Sheet'!$E$3:$E$1001,M$4))</f>
        <v/>
      </c>
      <c r="N406" s="21" t="str">
        <f>IF(SUMIFS('Input Sheet'!$F$3:$F$1001,'Input Sheet'!$B$3:$B$1001,$H406,'Input Sheet'!$E$3:$E$1001,N$4)=0,"",SUMIFS('Input Sheet'!$F$3:$F$1001,'Input Sheet'!$B$3:$B$1001,$H406,'Input Sheet'!$E$3:$E$1001,N$4))</f>
        <v/>
      </c>
      <c r="O406" s="21" t="str">
        <f>IF(SUMIFS('Input Sheet'!$F$3:$F$1001,'Input Sheet'!$B$3:$B$1001,$H406,'Input Sheet'!$E$3:$E$1001,O$4)=0,"",SUMIFS('Input Sheet'!$F$3:$F$1001,'Input Sheet'!$B$3:$B$1001,$H406,'Input Sheet'!$E$3:$E$1001,O$4))</f>
        <v/>
      </c>
      <c r="P406" s="21" t="str">
        <f>IF(SUMIFS('Input Sheet'!$F$3:$F$1001,'Input Sheet'!$B$3:$B$1001,$H406,'Input Sheet'!$E$3:$E$1001,P$4)=0,"",SUMIFS('Input Sheet'!$F$3:$F$1001,'Input Sheet'!$B$3:$B$1001,$H406,'Input Sheet'!$E$3:$E$1001,P$4))</f>
        <v/>
      </c>
      <c r="Q406" s="21" t="str">
        <f>IF(SUMIFS('Input Sheet'!$F$3:$F$1001,'Input Sheet'!$B$3:$B$1001,$H406,'Input Sheet'!$E$3:$E$1001,Q$4)=0,"",SUMIFS('Input Sheet'!$F$3:$F$1001,'Input Sheet'!$B$3:$B$1001,$H406,'Input Sheet'!$E$3:$E$1001,Q$4))</f>
        <v/>
      </c>
      <c r="R406" s="21" t="str">
        <f>IF(SUMIFS('Input Sheet'!$F$3:$F$1001,'Input Sheet'!$B$3:$B$1001,$H406,'Input Sheet'!$E$3:$E$1001,R$4)=0,"",SUMIFS('Input Sheet'!$F$3:$F$1001,'Input Sheet'!$B$3:$B$1001,$H406,'Input Sheet'!$E$3:$E$1001,R$4))</f>
        <v/>
      </c>
      <c r="S406" s="21" t="str">
        <f>IF(SUMIFS('Input Sheet'!$F$3:$F$1001,'Input Sheet'!$B$3:$B$1001,$H406,'Input Sheet'!$E$3:$E$1001,S$4)=0,"",SUMIFS('Input Sheet'!$F$3:$F$1001,'Input Sheet'!$B$3:$B$1001,$H406,'Input Sheet'!$E$3:$E$1001,S$4))</f>
        <v/>
      </c>
      <c r="T406" s="22">
        <v>401</v>
      </c>
    </row>
    <row r="407" spans="1:20" ht="14.25" customHeight="1" x14ac:dyDescent="0.3">
      <c r="A407" s="4" t="str">
        <f>IF('Input Sheet'!B404=0,"",'Input Sheet'!B404)</f>
        <v/>
      </c>
      <c r="B407" s="24" t="b">
        <f t="shared" si="264"/>
        <v>0</v>
      </c>
      <c r="C407" s="4">
        <f>SUMIF('Input Sheet'!B$3:B$1000,A407,'Input Sheet'!C$3:C$1000)</f>
        <v>0</v>
      </c>
      <c r="D407" s="4">
        <f>SUMIF('Input Sheet'!B$3:B$1000,A407,'Input Sheet'!D$3:D$1000)</f>
        <v>0</v>
      </c>
      <c r="E407" s="4" t="str">
        <f t="shared" ref="E407:F407" ca="1" si="417">IFERROR(RANK(K407,K$6:K$1004,1),"")</f>
        <v/>
      </c>
      <c r="F407" s="4" t="str">
        <f t="shared" ca="1" si="417"/>
        <v/>
      </c>
      <c r="G407" s="4" t="str">
        <f t="shared" ca="1" si="266"/>
        <v/>
      </c>
      <c r="H407" s="4" t="str">
        <f t="shared" si="267"/>
        <v/>
      </c>
      <c r="I407" s="4" t="str">
        <f t="shared" si="268"/>
        <v/>
      </c>
      <c r="J407" s="4" t="str">
        <f t="shared" si="269"/>
        <v/>
      </c>
      <c r="K407" s="25" t="str">
        <f t="shared" ca="1" si="270"/>
        <v/>
      </c>
      <c r="L407" s="21" t="str">
        <f t="shared" ca="1" si="271"/>
        <v/>
      </c>
      <c r="M407" s="21" t="str">
        <f>IF(SUMIFS('Input Sheet'!$F$3:$F$1001,'Input Sheet'!$B$3:$B$1001,$H407,'Input Sheet'!$E$3:$E$1001,M$4)=0,"",SUMIFS('Input Sheet'!$F$3:$F$1001,'Input Sheet'!$B$3:$B$1001,$H407,'Input Sheet'!$E$3:$E$1001,M$4))</f>
        <v/>
      </c>
      <c r="N407" s="21" t="str">
        <f>IF(SUMIFS('Input Sheet'!$F$3:$F$1001,'Input Sheet'!$B$3:$B$1001,$H407,'Input Sheet'!$E$3:$E$1001,N$4)=0,"",SUMIFS('Input Sheet'!$F$3:$F$1001,'Input Sheet'!$B$3:$B$1001,$H407,'Input Sheet'!$E$3:$E$1001,N$4))</f>
        <v/>
      </c>
      <c r="O407" s="21" t="str">
        <f>IF(SUMIFS('Input Sheet'!$F$3:$F$1001,'Input Sheet'!$B$3:$B$1001,$H407,'Input Sheet'!$E$3:$E$1001,O$4)=0,"",SUMIFS('Input Sheet'!$F$3:$F$1001,'Input Sheet'!$B$3:$B$1001,$H407,'Input Sheet'!$E$3:$E$1001,O$4))</f>
        <v/>
      </c>
      <c r="P407" s="21" t="str">
        <f>IF(SUMIFS('Input Sheet'!$F$3:$F$1001,'Input Sheet'!$B$3:$B$1001,$H407,'Input Sheet'!$E$3:$E$1001,P$4)=0,"",SUMIFS('Input Sheet'!$F$3:$F$1001,'Input Sheet'!$B$3:$B$1001,$H407,'Input Sheet'!$E$3:$E$1001,P$4))</f>
        <v/>
      </c>
      <c r="Q407" s="21" t="str">
        <f>IF(SUMIFS('Input Sheet'!$F$3:$F$1001,'Input Sheet'!$B$3:$B$1001,$H407,'Input Sheet'!$E$3:$E$1001,Q$4)=0,"",SUMIFS('Input Sheet'!$F$3:$F$1001,'Input Sheet'!$B$3:$B$1001,$H407,'Input Sheet'!$E$3:$E$1001,Q$4))</f>
        <v/>
      </c>
      <c r="R407" s="21" t="str">
        <f>IF(SUMIFS('Input Sheet'!$F$3:$F$1001,'Input Sheet'!$B$3:$B$1001,$H407,'Input Sheet'!$E$3:$E$1001,R$4)=0,"",SUMIFS('Input Sheet'!$F$3:$F$1001,'Input Sheet'!$B$3:$B$1001,$H407,'Input Sheet'!$E$3:$E$1001,R$4))</f>
        <v/>
      </c>
      <c r="S407" s="21" t="str">
        <f>IF(SUMIFS('Input Sheet'!$F$3:$F$1001,'Input Sheet'!$B$3:$B$1001,$H407,'Input Sheet'!$E$3:$E$1001,S$4)=0,"",SUMIFS('Input Sheet'!$F$3:$F$1001,'Input Sheet'!$B$3:$B$1001,$H407,'Input Sheet'!$E$3:$E$1001,S$4))</f>
        <v/>
      </c>
      <c r="T407" s="22">
        <v>402</v>
      </c>
    </row>
    <row r="408" spans="1:20" ht="14.25" customHeight="1" x14ac:dyDescent="0.3">
      <c r="A408" s="4" t="str">
        <f>IF('Input Sheet'!B405=0,"",'Input Sheet'!B405)</f>
        <v/>
      </c>
      <c r="B408" s="24" t="b">
        <f t="shared" si="264"/>
        <v>0</v>
      </c>
      <c r="C408" s="4">
        <f>SUMIF('Input Sheet'!B$3:B$1000,A408,'Input Sheet'!C$3:C$1000)</f>
        <v>0</v>
      </c>
      <c r="D408" s="4">
        <f>SUMIF('Input Sheet'!B$3:B$1000,A408,'Input Sheet'!D$3:D$1000)</f>
        <v>0</v>
      </c>
      <c r="E408" s="4" t="str">
        <f t="shared" ref="E408:F408" ca="1" si="418">IFERROR(RANK(K408,K$6:K$1004,1),"")</f>
        <v/>
      </c>
      <c r="F408" s="4" t="str">
        <f t="shared" ca="1" si="418"/>
        <v/>
      </c>
      <c r="G408" s="4" t="str">
        <f t="shared" ca="1" si="266"/>
        <v/>
      </c>
      <c r="H408" s="4" t="str">
        <f t="shared" si="267"/>
        <v/>
      </c>
      <c r="I408" s="4" t="str">
        <f t="shared" si="268"/>
        <v/>
      </c>
      <c r="J408" s="4" t="str">
        <f t="shared" si="269"/>
        <v/>
      </c>
      <c r="K408" s="25" t="str">
        <f t="shared" ca="1" si="270"/>
        <v/>
      </c>
      <c r="L408" s="21" t="str">
        <f t="shared" ca="1" si="271"/>
        <v/>
      </c>
      <c r="M408" s="21" t="str">
        <f>IF(SUMIFS('Input Sheet'!$F$3:$F$1001,'Input Sheet'!$B$3:$B$1001,$H408,'Input Sheet'!$E$3:$E$1001,M$4)=0,"",SUMIFS('Input Sheet'!$F$3:$F$1001,'Input Sheet'!$B$3:$B$1001,$H408,'Input Sheet'!$E$3:$E$1001,M$4))</f>
        <v/>
      </c>
      <c r="N408" s="21" t="str">
        <f>IF(SUMIFS('Input Sheet'!$F$3:$F$1001,'Input Sheet'!$B$3:$B$1001,$H408,'Input Sheet'!$E$3:$E$1001,N$4)=0,"",SUMIFS('Input Sheet'!$F$3:$F$1001,'Input Sheet'!$B$3:$B$1001,$H408,'Input Sheet'!$E$3:$E$1001,N$4))</f>
        <v/>
      </c>
      <c r="O408" s="21" t="str">
        <f>IF(SUMIFS('Input Sheet'!$F$3:$F$1001,'Input Sheet'!$B$3:$B$1001,$H408,'Input Sheet'!$E$3:$E$1001,O$4)=0,"",SUMIFS('Input Sheet'!$F$3:$F$1001,'Input Sheet'!$B$3:$B$1001,$H408,'Input Sheet'!$E$3:$E$1001,O$4))</f>
        <v/>
      </c>
      <c r="P408" s="21" t="str">
        <f>IF(SUMIFS('Input Sheet'!$F$3:$F$1001,'Input Sheet'!$B$3:$B$1001,$H408,'Input Sheet'!$E$3:$E$1001,P$4)=0,"",SUMIFS('Input Sheet'!$F$3:$F$1001,'Input Sheet'!$B$3:$B$1001,$H408,'Input Sheet'!$E$3:$E$1001,P$4))</f>
        <v/>
      </c>
      <c r="Q408" s="21" t="str">
        <f>IF(SUMIFS('Input Sheet'!$F$3:$F$1001,'Input Sheet'!$B$3:$B$1001,$H408,'Input Sheet'!$E$3:$E$1001,Q$4)=0,"",SUMIFS('Input Sheet'!$F$3:$F$1001,'Input Sheet'!$B$3:$B$1001,$H408,'Input Sheet'!$E$3:$E$1001,Q$4))</f>
        <v/>
      </c>
      <c r="R408" s="21" t="str">
        <f>IF(SUMIFS('Input Sheet'!$F$3:$F$1001,'Input Sheet'!$B$3:$B$1001,$H408,'Input Sheet'!$E$3:$E$1001,R$4)=0,"",SUMIFS('Input Sheet'!$F$3:$F$1001,'Input Sheet'!$B$3:$B$1001,$H408,'Input Sheet'!$E$3:$E$1001,R$4))</f>
        <v/>
      </c>
      <c r="S408" s="21" t="str">
        <f>IF(SUMIFS('Input Sheet'!$F$3:$F$1001,'Input Sheet'!$B$3:$B$1001,$H408,'Input Sheet'!$E$3:$E$1001,S$4)=0,"",SUMIFS('Input Sheet'!$F$3:$F$1001,'Input Sheet'!$B$3:$B$1001,$H408,'Input Sheet'!$E$3:$E$1001,S$4))</f>
        <v/>
      </c>
      <c r="T408" s="22">
        <v>403</v>
      </c>
    </row>
    <row r="409" spans="1:20" ht="14.25" customHeight="1" x14ac:dyDescent="0.3">
      <c r="A409" s="4" t="str">
        <f>IF('Input Sheet'!B406=0,"",'Input Sheet'!B406)</f>
        <v/>
      </c>
      <c r="B409" s="24" t="b">
        <f t="shared" si="264"/>
        <v>0</v>
      </c>
      <c r="C409" s="4">
        <f>SUMIF('Input Sheet'!B$3:B$1000,A409,'Input Sheet'!C$3:C$1000)</f>
        <v>0</v>
      </c>
      <c r="D409" s="4">
        <f>SUMIF('Input Sheet'!B$3:B$1000,A409,'Input Sheet'!D$3:D$1000)</f>
        <v>0</v>
      </c>
      <c r="E409" s="4" t="str">
        <f t="shared" ref="E409:F409" ca="1" si="419">IFERROR(RANK(K409,K$6:K$1004,1),"")</f>
        <v/>
      </c>
      <c r="F409" s="4" t="str">
        <f t="shared" ca="1" si="419"/>
        <v/>
      </c>
      <c r="G409" s="4" t="str">
        <f t="shared" ca="1" si="266"/>
        <v/>
      </c>
      <c r="H409" s="4" t="str">
        <f t="shared" si="267"/>
        <v/>
      </c>
      <c r="I409" s="4" t="str">
        <f t="shared" si="268"/>
        <v/>
      </c>
      <c r="J409" s="4" t="str">
        <f t="shared" si="269"/>
        <v/>
      </c>
      <c r="K409" s="25" t="str">
        <f t="shared" ca="1" si="270"/>
        <v/>
      </c>
      <c r="L409" s="21" t="str">
        <f t="shared" ca="1" si="271"/>
        <v/>
      </c>
      <c r="M409" s="21" t="str">
        <f>IF(SUMIFS('Input Sheet'!$F$3:$F$1001,'Input Sheet'!$B$3:$B$1001,$H409,'Input Sheet'!$E$3:$E$1001,M$4)=0,"",SUMIFS('Input Sheet'!$F$3:$F$1001,'Input Sheet'!$B$3:$B$1001,$H409,'Input Sheet'!$E$3:$E$1001,M$4))</f>
        <v/>
      </c>
      <c r="N409" s="21" t="str">
        <f>IF(SUMIFS('Input Sheet'!$F$3:$F$1001,'Input Sheet'!$B$3:$B$1001,$H409,'Input Sheet'!$E$3:$E$1001,N$4)=0,"",SUMIFS('Input Sheet'!$F$3:$F$1001,'Input Sheet'!$B$3:$B$1001,$H409,'Input Sheet'!$E$3:$E$1001,N$4))</f>
        <v/>
      </c>
      <c r="O409" s="21" t="str">
        <f>IF(SUMIFS('Input Sheet'!$F$3:$F$1001,'Input Sheet'!$B$3:$B$1001,$H409,'Input Sheet'!$E$3:$E$1001,O$4)=0,"",SUMIFS('Input Sheet'!$F$3:$F$1001,'Input Sheet'!$B$3:$B$1001,$H409,'Input Sheet'!$E$3:$E$1001,O$4))</f>
        <v/>
      </c>
      <c r="P409" s="21" t="str">
        <f>IF(SUMIFS('Input Sheet'!$F$3:$F$1001,'Input Sheet'!$B$3:$B$1001,$H409,'Input Sheet'!$E$3:$E$1001,P$4)=0,"",SUMIFS('Input Sheet'!$F$3:$F$1001,'Input Sheet'!$B$3:$B$1001,$H409,'Input Sheet'!$E$3:$E$1001,P$4))</f>
        <v/>
      </c>
      <c r="Q409" s="21" t="str">
        <f>IF(SUMIFS('Input Sheet'!$F$3:$F$1001,'Input Sheet'!$B$3:$B$1001,$H409,'Input Sheet'!$E$3:$E$1001,Q$4)=0,"",SUMIFS('Input Sheet'!$F$3:$F$1001,'Input Sheet'!$B$3:$B$1001,$H409,'Input Sheet'!$E$3:$E$1001,Q$4))</f>
        <v/>
      </c>
      <c r="R409" s="21" t="str">
        <f>IF(SUMIFS('Input Sheet'!$F$3:$F$1001,'Input Sheet'!$B$3:$B$1001,$H409,'Input Sheet'!$E$3:$E$1001,R$4)=0,"",SUMIFS('Input Sheet'!$F$3:$F$1001,'Input Sheet'!$B$3:$B$1001,$H409,'Input Sheet'!$E$3:$E$1001,R$4))</f>
        <v/>
      </c>
      <c r="S409" s="21" t="str">
        <f>IF(SUMIFS('Input Sheet'!$F$3:$F$1001,'Input Sheet'!$B$3:$B$1001,$H409,'Input Sheet'!$E$3:$E$1001,S$4)=0,"",SUMIFS('Input Sheet'!$F$3:$F$1001,'Input Sheet'!$B$3:$B$1001,$H409,'Input Sheet'!$E$3:$E$1001,S$4))</f>
        <v/>
      </c>
      <c r="T409" s="22">
        <v>404</v>
      </c>
    </row>
    <row r="410" spans="1:20" ht="14.25" customHeight="1" x14ac:dyDescent="0.3">
      <c r="A410" s="4" t="str">
        <f>IF('Input Sheet'!B407=0,"",'Input Sheet'!B407)</f>
        <v/>
      </c>
      <c r="B410" s="24" t="b">
        <f t="shared" si="264"/>
        <v>0</v>
      </c>
      <c r="C410" s="4">
        <f>SUMIF('Input Sheet'!B$3:B$1000,A410,'Input Sheet'!C$3:C$1000)</f>
        <v>0</v>
      </c>
      <c r="D410" s="4">
        <f>SUMIF('Input Sheet'!B$3:B$1000,A410,'Input Sheet'!D$3:D$1000)</f>
        <v>0</v>
      </c>
      <c r="E410" s="4" t="str">
        <f t="shared" ref="E410:F410" ca="1" si="420">IFERROR(RANK(K410,K$6:K$1004,1),"")</f>
        <v/>
      </c>
      <c r="F410" s="4" t="str">
        <f t="shared" ca="1" si="420"/>
        <v/>
      </c>
      <c r="G410" s="4" t="str">
        <f t="shared" ca="1" si="266"/>
        <v/>
      </c>
      <c r="H410" s="4" t="str">
        <f t="shared" si="267"/>
        <v/>
      </c>
      <c r="I410" s="4" t="str">
        <f t="shared" si="268"/>
        <v/>
      </c>
      <c r="J410" s="4" t="str">
        <f t="shared" si="269"/>
        <v/>
      </c>
      <c r="K410" s="25" t="str">
        <f t="shared" ca="1" si="270"/>
        <v/>
      </c>
      <c r="L410" s="21" t="str">
        <f t="shared" ca="1" si="271"/>
        <v/>
      </c>
      <c r="M410" s="21" t="str">
        <f>IF(SUMIFS('Input Sheet'!$F$3:$F$1001,'Input Sheet'!$B$3:$B$1001,$H410,'Input Sheet'!$E$3:$E$1001,M$4)=0,"",SUMIFS('Input Sheet'!$F$3:$F$1001,'Input Sheet'!$B$3:$B$1001,$H410,'Input Sheet'!$E$3:$E$1001,M$4))</f>
        <v/>
      </c>
      <c r="N410" s="21" t="str">
        <f>IF(SUMIFS('Input Sheet'!$F$3:$F$1001,'Input Sheet'!$B$3:$B$1001,$H410,'Input Sheet'!$E$3:$E$1001,N$4)=0,"",SUMIFS('Input Sheet'!$F$3:$F$1001,'Input Sheet'!$B$3:$B$1001,$H410,'Input Sheet'!$E$3:$E$1001,N$4))</f>
        <v/>
      </c>
      <c r="O410" s="21" t="str">
        <f>IF(SUMIFS('Input Sheet'!$F$3:$F$1001,'Input Sheet'!$B$3:$B$1001,$H410,'Input Sheet'!$E$3:$E$1001,O$4)=0,"",SUMIFS('Input Sheet'!$F$3:$F$1001,'Input Sheet'!$B$3:$B$1001,$H410,'Input Sheet'!$E$3:$E$1001,O$4))</f>
        <v/>
      </c>
      <c r="P410" s="21" t="str">
        <f>IF(SUMIFS('Input Sheet'!$F$3:$F$1001,'Input Sheet'!$B$3:$B$1001,$H410,'Input Sheet'!$E$3:$E$1001,P$4)=0,"",SUMIFS('Input Sheet'!$F$3:$F$1001,'Input Sheet'!$B$3:$B$1001,$H410,'Input Sheet'!$E$3:$E$1001,P$4))</f>
        <v/>
      </c>
      <c r="Q410" s="21" t="str">
        <f>IF(SUMIFS('Input Sheet'!$F$3:$F$1001,'Input Sheet'!$B$3:$B$1001,$H410,'Input Sheet'!$E$3:$E$1001,Q$4)=0,"",SUMIFS('Input Sheet'!$F$3:$F$1001,'Input Sheet'!$B$3:$B$1001,$H410,'Input Sheet'!$E$3:$E$1001,Q$4))</f>
        <v/>
      </c>
      <c r="R410" s="21" t="str">
        <f>IF(SUMIFS('Input Sheet'!$F$3:$F$1001,'Input Sheet'!$B$3:$B$1001,$H410,'Input Sheet'!$E$3:$E$1001,R$4)=0,"",SUMIFS('Input Sheet'!$F$3:$F$1001,'Input Sheet'!$B$3:$B$1001,$H410,'Input Sheet'!$E$3:$E$1001,R$4))</f>
        <v/>
      </c>
      <c r="S410" s="21" t="str">
        <f>IF(SUMIFS('Input Sheet'!$F$3:$F$1001,'Input Sheet'!$B$3:$B$1001,$H410,'Input Sheet'!$E$3:$E$1001,S$4)=0,"",SUMIFS('Input Sheet'!$F$3:$F$1001,'Input Sheet'!$B$3:$B$1001,$H410,'Input Sheet'!$E$3:$E$1001,S$4))</f>
        <v/>
      </c>
      <c r="T410" s="22">
        <v>405</v>
      </c>
    </row>
    <row r="411" spans="1:20" ht="14.25" customHeight="1" x14ac:dyDescent="0.3">
      <c r="A411" s="4" t="str">
        <f>IF('Input Sheet'!B408=0,"",'Input Sheet'!B408)</f>
        <v/>
      </c>
      <c r="B411" s="24" t="b">
        <f t="shared" si="264"/>
        <v>0</v>
      </c>
      <c r="C411" s="4">
        <f>SUMIF('Input Sheet'!B$3:B$1000,A411,'Input Sheet'!C$3:C$1000)</f>
        <v>0</v>
      </c>
      <c r="D411" s="4">
        <f>SUMIF('Input Sheet'!B$3:B$1000,A411,'Input Sheet'!D$3:D$1000)</f>
        <v>0</v>
      </c>
      <c r="E411" s="4" t="str">
        <f t="shared" ref="E411:F411" ca="1" si="421">IFERROR(RANK(K411,K$6:K$1004,1),"")</f>
        <v/>
      </c>
      <c r="F411" s="4" t="str">
        <f t="shared" ca="1" si="421"/>
        <v/>
      </c>
      <c r="G411" s="4" t="str">
        <f t="shared" ca="1" si="266"/>
        <v/>
      </c>
      <c r="H411" s="4" t="str">
        <f t="shared" si="267"/>
        <v/>
      </c>
      <c r="I411" s="4" t="str">
        <f t="shared" si="268"/>
        <v/>
      </c>
      <c r="J411" s="4" t="str">
        <f t="shared" si="269"/>
        <v/>
      </c>
      <c r="K411" s="25" t="str">
        <f t="shared" ca="1" si="270"/>
        <v/>
      </c>
      <c r="L411" s="21" t="str">
        <f t="shared" ca="1" si="271"/>
        <v/>
      </c>
      <c r="M411" s="21" t="str">
        <f>IF(SUMIFS('Input Sheet'!$F$3:$F$1001,'Input Sheet'!$B$3:$B$1001,$H411,'Input Sheet'!$E$3:$E$1001,M$4)=0,"",SUMIFS('Input Sheet'!$F$3:$F$1001,'Input Sheet'!$B$3:$B$1001,$H411,'Input Sheet'!$E$3:$E$1001,M$4))</f>
        <v/>
      </c>
      <c r="N411" s="21" t="str">
        <f>IF(SUMIFS('Input Sheet'!$F$3:$F$1001,'Input Sheet'!$B$3:$B$1001,$H411,'Input Sheet'!$E$3:$E$1001,N$4)=0,"",SUMIFS('Input Sheet'!$F$3:$F$1001,'Input Sheet'!$B$3:$B$1001,$H411,'Input Sheet'!$E$3:$E$1001,N$4))</f>
        <v/>
      </c>
      <c r="O411" s="21" t="str">
        <f>IF(SUMIFS('Input Sheet'!$F$3:$F$1001,'Input Sheet'!$B$3:$B$1001,$H411,'Input Sheet'!$E$3:$E$1001,O$4)=0,"",SUMIFS('Input Sheet'!$F$3:$F$1001,'Input Sheet'!$B$3:$B$1001,$H411,'Input Sheet'!$E$3:$E$1001,O$4))</f>
        <v/>
      </c>
      <c r="P411" s="21" t="str">
        <f>IF(SUMIFS('Input Sheet'!$F$3:$F$1001,'Input Sheet'!$B$3:$B$1001,$H411,'Input Sheet'!$E$3:$E$1001,P$4)=0,"",SUMIFS('Input Sheet'!$F$3:$F$1001,'Input Sheet'!$B$3:$B$1001,$H411,'Input Sheet'!$E$3:$E$1001,P$4))</f>
        <v/>
      </c>
      <c r="Q411" s="21" t="str">
        <f>IF(SUMIFS('Input Sheet'!$F$3:$F$1001,'Input Sheet'!$B$3:$B$1001,$H411,'Input Sheet'!$E$3:$E$1001,Q$4)=0,"",SUMIFS('Input Sheet'!$F$3:$F$1001,'Input Sheet'!$B$3:$B$1001,$H411,'Input Sheet'!$E$3:$E$1001,Q$4))</f>
        <v/>
      </c>
      <c r="R411" s="21" t="str">
        <f>IF(SUMIFS('Input Sheet'!$F$3:$F$1001,'Input Sheet'!$B$3:$B$1001,$H411,'Input Sheet'!$E$3:$E$1001,R$4)=0,"",SUMIFS('Input Sheet'!$F$3:$F$1001,'Input Sheet'!$B$3:$B$1001,$H411,'Input Sheet'!$E$3:$E$1001,R$4))</f>
        <v/>
      </c>
      <c r="S411" s="21" t="str">
        <f>IF(SUMIFS('Input Sheet'!$F$3:$F$1001,'Input Sheet'!$B$3:$B$1001,$H411,'Input Sheet'!$E$3:$E$1001,S$4)=0,"",SUMIFS('Input Sheet'!$F$3:$F$1001,'Input Sheet'!$B$3:$B$1001,$H411,'Input Sheet'!$E$3:$E$1001,S$4))</f>
        <v/>
      </c>
      <c r="T411" s="22">
        <v>406</v>
      </c>
    </row>
    <row r="412" spans="1:20" ht="14.25" customHeight="1" x14ac:dyDescent="0.3">
      <c r="A412" s="4" t="str">
        <f>IF('Input Sheet'!B409=0,"",'Input Sheet'!B409)</f>
        <v/>
      </c>
      <c r="B412" s="24" t="b">
        <f t="shared" si="264"/>
        <v>0</v>
      </c>
      <c r="C412" s="4">
        <f>SUMIF('Input Sheet'!B$3:B$1000,A412,'Input Sheet'!C$3:C$1000)</f>
        <v>0</v>
      </c>
      <c r="D412" s="4">
        <f>SUMIF('Input Sheet'!B$3:B$1000,A412,'Input Sheet'!D$3:D$1000)</f>
        <v>0</v>
      </c>
      <c r="E412" s="4" t="str">
        <f t="shared" ref="E412:F412" ca="1" si="422">IFERROR(RANK(K412,K$6:K$1004,1),"")</f>
        <v/>
      </c>
      <c r="F412" s="4" t="str">
        <f t="shared" ca="1" si="422"/>
        <v/>
      </c>
      <c r="G412" s="4" t="str">
        <f t="shared" ca="1" si="266"/>
        <v/>
      </c>
      <c r="H412" s="4" t="str">
        <f t="shared" si="267"/>
        <v/>
      </c>
      <c r="I412" s="4" t="str">
        <f t="shared" si="268"/>
        <v/>
      </c>
      <c r="J412" s="4" t="str">
        <f t="shared" si="269"/>
        <v/>
      </c>
      <c r="K412" s="25" t="str">
        <f t="shared" ca="1" si="270"/>
        <v/>
      </c>
      <c r="L412" s="21" t="str">
        <f t="shared" ca="1" si="271"/>
        <v/>
      </c>
      <c r="M412" s="21" t="str">
        <f>IF(SUMIFS('Input Sheet'!$F$3:$F$1001,'Input Sheet'!$B$3:$B$1001,$H412,'Input Sheet'!$E$3:$E$1001,M$4)=0,"",SUMIFS('Input Sheet'!$F$3:$F$1001,'Input Sheet'!$B$3:$B$1001,$H412,'Input Sheet'!$E$3:$E$1001,M$4))</f>
        <v/>
      </c>
      <c r="N412" s="21" t="str">
        <f>IF(SUMIFS('Input Sheet'!$F$3:$F$1001,'Input Sheet'!$B$3:$B$1001,$H412,'Input Sheet'!$E$3:$E$1001,N$4)=0,"",SUMIFS('Input Sheet'!$F$3:$F$1001,'Input Sheet'!$B$3:$B$1001,$H412,'Input Sheet'!$E$3:$E$1001,N$4))</f>
        <v/>
      </c>
      <c r="O412" s="21" t="str">
        <f>IF(SUMIFS('Input Sheet'!$F$3:$F$1001,'Input Sheet'!$B$3:$B$1001,$H412,'Input Sheet'!$E$3:$E$1001,O$4)=0,"",SUMIFS('Input Sheet'!$F$3:$F$1001,'Input Sheet'!$B$3:$B$1001,$H412,'Input Sheet'!$E$3:$E$1001,O$4))</f>
        <v/>
      </c>
      <c r="P412" s="21" t="str">
        <f>IF(SUMIFS('Input Sheet'!$F$3:$F$1001,'Input Sheet'!$B$3:$B$1001,$H412,'Input Sheet'!$E$3:$E$1001,P$4)=0,"",SUMIFS('Input Sheet'!$F$3:$F$1001,'Input Sheet'!$B$3:$B$1001,$H412,'Input Sheet'!$E$3:$E$1001,P$4))</f>
        <v/>
      </c>
      <c r="Q412" s="21" t="str">
        <f>IF(SUMIFS('Input Sheet'!$F$3:$F$1001,'Input Sheet'!$B$3:$B$1001,$H412,'Input Sheet'!$E$3:$E$1001,Q$4)=0,"",SUMIFS('Input Sheet'!$F$3:$F$1001,'Input Sheet'!$B$3:$B$1001,$H412,'Input Sheet'!$E$3:$E$1001,Q$4))</f>
        <v/>
      </c>
      <c r="R412" s="21" t="str">
        <f>IF(SUMIFS('Input Sheet'!$F$3:$F$1001,'Input Sheet'!$B$3:$B$1001,$H412,'Input Sheet'!$E$3:$E$1001,R$4)=0,"",SUMIFS('Input Sheet'!$F$3:$F$1001,'Input Sheet'!$B$3:$B$1001,$H412,'Input Sheet'!$E$3:$E$1001,R$4))</f>
        <v/>
      </c>
      <c r="S412" s="21" t="str">
        <f>IF(SUMIFS('Input Sheet'!$F$3:$F$1001,'Input Sheet'!$B$3:$B$1001,$H412,'Input Sheet'!$E$3:$E$1001,S$4)=0,"",SUMIFS('Input Sheet'!$F$3:$F$1001,'Input Sheet'!$B$3:$B$1001,$H412,'Input Sheet'!$E$3:$E$1001,S$4))</f>
        <v/>
      </c>
      <c r="T412" s="22">
        <v>407</v>
      </c>
    </row>
    <row r="413" spans="1:20" ht="14.25" customHeight="1" x14ac:dyDescent="0.3">
      <c r="A413" s="4" t="str">
        <f>IF('Input Sheet'!B410=0,"",'Input Sheet'!B410)</f>
        <v/>
      </c>
      <c r="B413" s="24" t="b">
        <f t="shared" si="264"/>
        <v>0</v>
      </c>
      <c r="C413" s="4">
        <f>SUMIF('Input Sheet'!B$3:B$1000,A413,'Input Sheet'!C$3:C$1000)</f>
        <v>0</v>
      </c>
      <c r="D413" s="4">
        <f>SUMIF('Input Sheet'!B$3:B$1000,A413,'Input Sheet'!D$3:D$1000)</f>
        <v>0</v>
      </c>
      <c r="E413" s="4" t="str">
        <f t="shared" ref="E413:F413" ca="1" si="423">IFERROR(RANK(K413,K$6:K$1004,1),"")</f>
        <v/>
      </c>
      <c r="F413" s="4" t="str">
        <f t="shared" ca="1" si="423"/>
        <v/>
      </c>
      <c r="G413" s="4" t="str">
        <f t="shared" ca="1" si="266"/>
        <v/>
      </c>
      <c r="H413" s="4" t="str">
        <f t="shared" si="267"/>
        <v/>
      </c>
      <c r="I413" s="4" t="str">
        <f t="shared" si="268"/>
        <v/>
      </c>
      <c r="J413" s="4" t="str">
        <f t="shared" si="269"/>
        <v/>
      </c>
      <c r="K413" s="25" t="str">
        <f t="shared" ca="1" si="270"/>
        <v/>
      </c>
      <c r="L413" s="21" t="str">
        <f t="shared" ca="1" si="271"/>
        <v/>
      </c>
      <c r="M413" s="21" t="str">
        <f>IF(SUMIFS('Input Sheet'!$F$3:$F$1001,'Input Sheet'!$B$3:$B$1001,$H413,'Input Sheet'!$E$3:$E$1001,M$4)=0,"",SUMIFS('Input Sheet'!$F$3:$F$1001,'Input Sheet'!$B$3:$B$1001,$H413,'Input Sheet'!$E$3:$E$1001,M$4))</f>
        <v/>
      </c>
      <c r="N413" s="21" t="str">
        <f>IF(SUMIFS('Input Sheet'!$F$3:$F$1001,'Input Sheet'!$B$3:$B$1001,$H413,'Input Sheet'!$E$3:$E$1001,N$4)=0,"",SUMIFS('Input Sheet'!$F$3:$F$1001,'Input Sheet'!$B$3:$B$1001,$H413,'Input Sheet'!$E$3:$E$1001,N$4))</f>
        <v/>
      </c>
      <c r="O413" s="21" t="str">
        <f>IF(SUMIFS('Input Sheet'!$F$3:$F$1001,'Input Sheet'!$B$3:$B$1001,$H413,'Input Sheet'!$E$3:$E$1001,O$4)=0,"",SUMIFS('Input Sheet'!$F$3:$F$1001,'Input Sheet'!$B$3:$B$1001,$H413,'Input Sheet'!$E$3:$E$1001,O$4))</f>
        <v/>
      </c>
      <c r="P413" s="21" t="str">
        <f>IF(SUMIFS('Input Sheet'!$F$3:$F$1001,'Input Sheet'!$B$3:$B$1001,$H413,'Input Sheet'!$E$3:$E$1001,P$4)=0,"",SUMIFS('Input Sheet'!$F$3:$F$1001,'Input Sheet'!$B$3:$B$1001,$H413,'Input Sheet'!$E$3:$E$1001,P$4))</f>
        <v/>
      </c>
      <c r="Q413" s="21" t="str">
        <f>IF(SUMIFS('Input Sheet'!$F$3:$F$1001,'Input Sheet'!$B$3:$B$1001,$H413,'Input Sheet'!$E$3:$E$1001,Q$4)=0,"",SUMIFS('Input Sheet'!$F$3:$F$1001,'Input Sheet'!$B$3:$B$1001,$H413,'Input Sheet'!$E$3:$E$1001,Q$4))</f>
        <v/>
      </c>
      <c r="R413" s="21" t="str">
        <f>IF(SUMIFS('Input Sheet'!$F$3:$F$1001,'Input Sheet'!$B$3:$B$1001,$H413,'Input Sheet'!$E$3:$E$1001,R$4)=0,"",SUMIFS('Input Sheet'!$F$3:$F$1001,'Input Sheet'!$B$3:$B$1001,$H413,'Input Sheet'!$E$3:$E$1001,R$4))</f>
        <v/>
      </c>
      <c r="S413" s="21" t="str">
        <f>IF(SUMIFS('Input Sheet'!$F$3:$F$1001,'Input Sheet'!$B$3:$B$1001,$H413,'Input Sheet'!$E$3:$E$1001,S$4)=0,"",SUMIFS('Input Sheet'!$F$3:$F$1001,'Input Sheet'!$B$3:$B$1001,$H413,'Input Sheet'!$E$3:$E$1001,S$4))</f>
        <v/>
      </c>
      <c r="T413" s="22">
        <v>408</v>
      </c>
    </row>
    <row r="414" spans="1:20" ht="14.25" customHeight="1" x14ac:dyDescent="0.3">
      <c r="A414" s="4" t="str">
        <f>IF('Input Sheet'!B411=0,"",'Input Sheet'!B411)</f>
        <v/>
      </c>
      <c r="B414" s="24" t="b">
        <f t="shared" si="264"/>
        <v>0</v>
      </c>
      <c r="C414" s="4">
        <f>SUMIF('Input Sheet'!B$3:B$1000,A414,'Input Sheet'!C$3:C$1000)</f>
        <v>0</v>
      </c>
      <c r="D414" s="4">
        <f>SUMIF('Input Sheet'!B$3:B$1000,A414,'Input Sheet'!D$3:D$1000)</f>
        <v>0</v>
      </c>
      <c r="E414" s="4" t="str">
        <f t="shared" ref="E414:F414" ca="1" si="424">IFERROR(RANK(K414,K$6:K$1004,1),"")</f>
        <v/>
      </c>
      <c r="F414" s="4" t="str">
        <f t="shared" ca="1" si="424"/>
        <v/>
      </c>
      <c r="G414" s="4" t="str">
        <f t="shared" ca="1" si="266"/>
        <v/>
      </c>
      <c r="H414" s="4" t="str">
        <f t="shared" si="267"/>
        <v/>
      </c>
      <c r="I414" s="4" t="str">
        <f t="shared" si="268"/>
        <v/>
      </c>
      <c r="J414" s="4" t="str">
        <f t="shared" si="269"/>
        <v/>
      </c>
      <c r="K414" s="25" t="str">
        <f t="shared" ca="1" si="270"/>
        <v/>
      </c>
      <c r="L414" s="21" t="str">
        <f t="shared" ca="1" si="271"/>
        <v/>
      </c>
      <c r="M414" s="21" t="str">
        <f>IF(SUMIFS('Input Sheet'!$F$3:$F$1001,'Input Sheet'!$B$3:$B$1001,$H414,'Input Sheet'!$E$3:$E$1001,M$4)=0,"",SUMIFS('Input Sheet'!$F$3:$F$1001,'Input Sheet'!$B$3:$B$1001,$H414,'Input Sheet'!$E$3:$E$1001,M$4))</f>
        <v/>
      </c>
      <c r="N414" s="21" t="str">
        <f>IF(SUMIFS('Input Sheet'!$F$3:$F$1001,'Input Sheet'!$B$3:$B$1001,$H414,'Input Sheet'!$E$3:$E$1001,N$4)=0,"",SUMIFS('Input Sheet'!$F$3:$F$1001,'Input Sheet'!$B$3:$B$1001,$H414,'Input Sheet'!$E$3:$E$1001,N$4))</f>
        <v/>
      </c>
      <c r="O414" s="21" t="str">
        <f>IF(SUMIFS('Input Sheet'!$F$3:$F$1001,'Input Sheet'!$B$3:$B$1001,$H414,'Input Sheet'!$E$3:$E$1001,O$4)=0,"",SUMIFS('Input Sheet'!$F$3:$F$1001,'Input Sheet'!$B$3:$B$1001,$H414,'Input Sheet'!$E$3:$E$1001,O$4))</f>
        <v/>
      </c>
      <c r="P414" s="21" t="str">
        <f>IF(SUMIFS('Input Sheet'!$F$3:$F$1001,'Input Sheet'!$B$3:$B$1001,$H414,'Input Sheet'!$E$3:$E$1001,P$4)=0,"",SUMIFS('Input Sheet'!$F$3:$F$1001,'Input Sheet'!$B$3:$B$1001,$H414,'Input Sheet'!$E$3:$E$1001,P$4))</f>
        <v/>
      </c>
      <c r="Q414" s="21" t="str">
        <f>IF(SUMIFS('Input Sheet'!$F$3:$F$1001,'Input Sheet'!$B$3:$B$1001,$H414,'Input Sheet'!$E$3:$E$1001,Q$4)=0,"",SUMIFS('Input Sheet'!$F$3:$F$1001,'Input Sheet'!$B$3:$B$1001,$H414,'Input Sheet'!$E$3:$E$1001,Q$4))</f>
        <v/>
      </c>
      <c r="R414" s="21" t="str">
        <f>IF(SUMIFS('Input Sheet'!$F$3:$F$1001,'Input Sheet'!$B$3:$B$1001,$H414,'Input Sheet'!$E$3:$E$1001,R$4)=0,"",SUMIFS('Input Sheet'!$F$3:$F$1001,'Input Sheet'!$B$3:$B$1001,$H414,'Input Sheet'!$E$3:$E$1001,R$4))</f>
        <v/>
      </c>
      <c r="S414" s="21" t="str">
        <f>IF(SUMIFS('Input Sheet'!$F$3:$F$1001,'Input Sheet'!$B$3:$B$1001,$H414,'Input Sheet'!$E$3:$E$1001,S$4)=0,"",SUMIFS('Input Sheet'!$F$3:$F$1001,'Input Sheet'!$B$3:$B$1001,$H414,'Input Sheet'!$E$3:$E$1001,S$4))</f>
        <v/>
      </c>
      <c r="T414" s="22">
        <v>409</v>
      </c>
    </row>
    <row r="415" spans="1:20" ht="14.25" customHeight="1" x14ac:dyDescent="0.3">
      <c r="A415" s="4" t="str">
        <f>IF('Input Sheet'!B412=0,"",'Input Sheet'!B412)</f>
        <v/>
      </c>
      <c r="B415" s="24" t="b">
        <f t="shared" si="264"/>
        <v>0</v>
      </c>
      <c r="C415" s="4">
        <f>SUMIF('Input Sheet'!B$3:B$1000,A415,'Input Sheet'!C$3:C$1000)</f>
        <v>0</v>
      </c>
      <c r="D415" s="4">
        <f>SUMIF('Input Sheet'!B$3:B$1000,A415,'Input Sheet'!D$3:D$1000)</f>
        <v>0</v>
      </c>
      <c r="E415" s="4" t="str">
        <f t="shared" ref="E415:F415" ca="1" si="425">IFERROR(RANK(K415,K$6:K$1004,1),"")</f>
        <v/>
      </c>
      <c r="F415" s="4" t="str">
        <f t="shared" ca="1" si="425"/>
        <v/>
      </c>
      <c r="G415" s="4" t="str">
        <f t="shared" ca="1" si="266"/>
        <v/>
      </c>
      <c r="H415" s="4" t="str">
        <f t="shared" si="267"/>
        <v/>
      </c>
      <c r="I415" s="4" t="str">
        <f t="shared" si="268"/>
        <v/>
      </c>
      <c r="J415" s="4" t="str">
        <f t="shared" si="269"/>
        <v/>
      </c>
      <c r="K415" s="25" t="str">
        <f t="shared" ca="1" si="270"/>
        <v/>
      </c>
      <c r="L415" s="21" t="str">
        <f t="shared" ca="1" si="271"/>
        <v/>
      </c>
      <c r="M415" s="21" t="str">
        <f>IF(SUMIFS('Input Sheet'!$F$3:$F$1001,'Input Sheet'!$B$3:$B$1001,$H415,'Input Sheet'!$E$3:$E$1001,M$4)=0,"",SUMIFS('Input Sheet'!$F$3:$F$1001,'Input Sheet'!$B$3:$B$1001,$H415,'Input Sheet'!$E$3:$E$1001,M$4))</f>
        <v/>
      </c>
      <c r="N415" s="21" t="str">
        <f>IF(SUMIFS('Input Sheet'!$F$3:$F$1001,'Input Sheet'!$B$3:$B$1001,$H415,'Input Sheet'!$E$3:$E$1001,N$4)=0,"",SUMIFS('Input Sheet'!$F$3:$F$1001,'Input Sheet'!$B$3:$B$1001,$H415,'Input Sheet'!$E$3:$E$1001,N$4))</f>
        <v/>
      </c>
      <c r="O415" s="21" t="str">
        <f>IF(SUMIFS('Input Sheet'!$F$3:$F$1001,'Input Sheet'!$B$3:$B$1001,$H415,'Input Sheet'!$E$3:$E$1001,O$4)=0,"",SUMIFS('Input Sheet'!$F$3:$F$1001,'Input Sheet'!$B$3:$B$1001,$H415,'Input Sheet'!$E$3:$E$1001,O$4))</f>
        <v/>
      </c>
      <c r="P415" s="21" t="str">
        <f>IF(SUMIFS('Input Sheet'!$F$3:$F$1001,'Input Sheet'!$B$3:$B$1001,$H415,'Input Sheet'!$E$3:$E$1001,P$4)=0,"",SUMIFS('Input Sheet'!$F$3:$F$1001,'Input Sheet'!$B$3:$B$1001,$H415,'Input Sheet'!$E$3:$E$1001,P$4))</f>
        <v/>
      </c>
      <c r="Q415" s="21" t="str">
        <f>IF(SUMIFS('Input Sheet'!$F$3:$F$1001,'Input Sheet'!$B$3:$B$1001,$H415,'Input Sheet'!$E$3:$E$1001,Q$4)=0,"",SUMIFS('Input Sheet'!$F$3:$F$1001,'Input Sheet'!$B$3:$B$1001,$H415,'Input Sheet'!$E$3:$E$1001,Q$4))</f>
        <v/>
      </c>
      <c r="R415" s="21" t="str">
        <f>IF(SUMIFS('Input Sheet'!$F$3:$F$1001,'Input Sheet'!$B$3:$B$1001,$H415,'Input Sheet'!$E$3:$E$1001,R$4)=0,"",SUMIFS('Input Sheet'!$F$3:$F$1001,'Input Sheet'!$B$3:$B$1001,$H415,'Input Sheet'!$E$3:$E$1001,R$4))</f>
        <v/>
      </c>
      <c r="S415" s="21" t="str">
        <f>IF(SUMIFS('Input Sheet'!$F$3:$F$1001,'Input Sheet'!$B$3:$B$1001,$H415,'Input Sheet'!$E$3:$E$1001,S$4)=0,"",SUMIFS('Input Sheet'!$F$3:$F$1001,'Input Sheet'!$B$3:$B$1001,$H415,'Input Sheet'!$E$3:$E$1001,S$4))</f>
        <v/>
      </c>
      <c r="T415" s="22">
        <v>410</v>
      </c>
    </row>
    <row r="416" spans="1:20" ht="14.25" customHeight="1" x14ac:dyDescent="0.3">
      <c r="A416" s="4" t="str">
        <f>IF('Input Sheet'!B413=0,"",'Input Sheet'!B413)</f>
        <v/>
      </c>
      <c r="B416" s="24" t="b">
        <f t="shared" si="264"/>
        <v>0</v>
      </c>
      <c r="C416" s="4">
        <f>SUMIF('Input Sheet'!B$3:B$1000,A416,'Input Sheet'!C$3:C$1000)</f>
        <v>0</v>
      </c>
      <c r="D416" s="4">
        <f>SUMIF('Input Sheet'!B$3:B$1000,A416,'Input Sheet'!D$3:D$1000)</f>
        <v>0</v>
      </c>
      <c r="E416" s="4" t="str">
        <f t="shared" ref="E416:F416" ca="1" si="426">IFERROR(RANK(K416,K$6:K$1004,1),"")</f>
        <v/>
      </c>
      <c r="F416" s="4" t="str">
        <f t="shared" ca="1" si="426"/>
        <v/>
      </c>
      <c r="G416" s="4" t="str">
        <f t="shared" ca="1" si="266"/>
        <v/>
      </c>
      <c r="H416" s="4" t="str">
        <f t="shared" si="267"/>
        <v/>
      </c>
      <c r="I416" s="4" t="str">
        <f t="shared" si="268"/>
        <v/>
      </c>
      <c r="J416" s="4" t="str">
        <f t="shared" si="269"/>
        <v/>
      </c>
      <c r="K416" s="25" t="str">
        <f t="shared" ca="1" si="270"/>
        <v/>
      </c>
      <c r="L416" s="21" t="str">
        <f t="shared" ca="1" si="271"/>
        <v/>
      </c>
      <c r="M416" s="21" t="str">
        <f>IF(SUMIFS('Input Sheet'!$F$3:$F$1001,'Input Sheet'!$B$3:$B$1001,$H416,'Input Sheet'!$E$3:$E$1001,M$4)=0,"",SUMIFS('Input Sheet'!$F$3:$F$1001,'Input Sheet'!$B$3:$B$1001,$H416,'Input Sheet'!$E$3:$E$1001,M$4))</f>
        <v/>
      </c>
      <c r="N416" s="21" t="str">
        <f>IF(SUMIFS('Input Sheet'!$F$3:$F$1001,'Input Sheet'!$B$3:$B$1001,$H416,'Input Sheet'!$E$3:$E$1001,N$4)=0,"",SUMIFS('Input Sheet'!$F$3:$F$1001,'Input Sheet'!$B$3:$B$1001,$H416,'Input Sheet'!$E$3:$E$1001,N$4))</f>
        <v/>
      </c>
      <c r="O416" s="21" t="str">
        <f>IF(SUMIFS('Input Sheet'!$F$3:$F$1001,'Input Sheet'!$B$3:$B$1001,$H416,'Input Sheet'!$E$3:$E$1001,O$4)=0,"",SUMIFS('Input Sheet'!$F$3:$F$1001,'Input Sheet'!$B$3:$B$1001,$H416,'Input Sheet'!$E$3:$E$1001,O$4))</f>
        <v/>
      </c>
      <c r="P416" s="21" t="str">
        <f>IF(SUMIFS('Input Sheet'!$F$3:$F$1001,'Input Sheet'!$B$3:$B$1001,$H416,'Input Sheet'!$E$3:$E$1001,P$4)=0,"",SUMIFS('Input Sheet'!$F$3:$F$1001,'Input Sheet'!$B$3:$B$1001,$H416,'Input Sheet'!$E$3:$E$1001,P$4))</f>
        <v/>
      </c>
      <c r="Q416" s="21" t="str">
        <f>IF(SUMIFS('Input Sheet'!$F$3:$F$1001,'Input Sheet'!$B$3:$B$1001,$H416,'Input Sheet'!$E$3:$E$1001,Q$4)=0,"",SUMIFS('Input Sheet'!$F$3:$F$1001,'Input Sheet'!$B$3:$B$1001,$H416,'Input Sheet'!$E$3:$E$1001,Q$4))</f>
        <v/>
      </c>
      <c r="R416" s="21" t="str">
        <f>IF(SUMIFS('Input Sheet'!$F$3:$F$1001,'Input Sheet'!$B$3:$B$1001,$H416,'Input Sheet'!$E$3:$E$1001,R$4)=0,"",SUMIFS('Input Sheet'!$F$3:$F$1001,'Input Sheet'!$B$3:$B$1001,$H416,'Input Sheet'!$E$3:$E$1001,R$4))</f>
        <v/>
      </c>
      <c r="S416" s="21" t="str">
        <f>IF(SUMIFS('Input Sheet'!$F$3:$F$1001,'Input Sheet'!$B$3:$B$1001,$H416,'Input Sheet'!$E$3:$E$1001,S$4)=0,"",SUMIFS('Input Sheet'!$F$3:$F$1001,'Input Sheet'!$B$3:$B$1001,$H416,'Input Sheet'!$E$3:$E$1001,S$4))</f>
        <v/>
      </c>
      <c r="T416" s="22">
        <v>411</v>
      </c>
    </row>
    <row r="417" spans="1:20" ht="14.25" customHeight="1" x14ac:dyDescent="0.3">
      <c r="A417" s="4" t="str">
        <f>IF('Input Sheet'!B414=0,"",'Input Sheet'!B414)</f>
        <v/>
      </c>
      <c r="B417" s="24" t="b">
        <f t="shared" si="264"/>
        <v>0</v>
      </c>
      <c r="C417" s="4">
        <f>SUMIF('Input Sheet'!B$3:B$1000,A417,'Input Sheet'!C$3:C$1000)</f>
        <v>0</v>
      </c>
      <c r="D417" s="4">
        <f>SUMIF('Input Sheet'!B$3:B$1000,A417,'Input Sheet'!D$3:D$1000)</f>
        <v>0</v>
      </c>
      <c r="E417" s="4" t="str">
        <f t="shared" ref="E417:F417" ca="1" si="427">IFERROR(RANK(K417,K$6:K$1004,1),"")</f>
        <v/>
      </c>
      <c r="F417" s="4" t="str">
        <f t="shared" ca="1" si="427"/>
        <v/>
      </c>
      <c r="G417" s="4" t="str">
        <f t="shared" ca="1" si="266"/>
        <v/>
      </c>
      <c r="H417" s="4" t="str">
        <f t="shared" si="267"/>
        <v/>
      </c>
      <c r="I417" s="4" t="str">
        <f t="shared" si="268"/>
        <v/>
      </c>
      <c r="J417" s="4" t="str">
        <f t="shared" si="269"/>
        <v/>
      </c>
      <c r="K417" s="25" t="str">
        <f t="shared" ca="1" si="270"/>
        <v/>
      </c>
      <c r="L417" s="21" t="str">
        <f t="shared" ca="1" si="271"/>
        <v/>
      </c>
      <c r="M417" s="21" t="str">
        <f>IF(SUMIFS('Input Sheet'!$F$3:$F$1001,'Input Sheet'!$B$3:$B$1001,$H417,'Input Sheet'!$E$3:$E$1001,M$4)=0,"",SUMIFS('Input Sheet'!$F$3:$F$1001,'Input Sheet'!$B$3:$B$1001,$H417,'Input Sheet'!$E$3:$E$1001,M$4))</f>
        <v/>
      </c>
      <c r="N417" s="21" t="str">
        <f>IF(SUMIFS('Input Sheet'!$F$3:$F$1001,'Input Sheet'!$B$3:$B$1001,$H417,'Input Sheet'!$E$3:$E$1001,N$4)=0,"",SUMIFS('Input Sheet'!$F$3:$F$1001,'Input Sheet'!$B$3:$B$1001,$H417,'Input Sheet'!$E$3:$E$1001,N$4))</f>
        <v/>
      </c>
      <c r="O417" s="21" t="str">
        <f>IF(SUMIFS('Input Sheet'!$F$3:$F$1001,'Input Sheet'!$B$3:$B$1001,$H417,'Input Sheet'!$E$3:$E$1001,O$4)=0,"",SUMIFS('Input Sheet'!$F$3:$F$1001,'Input Sheet'!$B$3:$B$1001,$H417,'Input Sheet'!$E$3:$E$1001,O$4))</f>
        <v/>
      </c>
      <c r="P417" s="21" t="str">
        <f>IF(SUMIFS('Input Sheet'!$F$3:$F$1001,'Input Sheet'!$B$3:$B$1001,$H417,'Input Sheet'!$E$3:$E$1001,P$4)=0,"",SUMIFS('Input Sheet'!$F$3:$F$1001,'Input Sheet'!$B$3:$B$1001,$H417,'Input Sheet'!$E$3:$E$1001,P$4))</f>
        <v/>
      </c>
      <c r="Q417" s="21" t="str">
        <f>IF(SUMIFS('Input Sheet'!$F$3:$F$1001,'Input Sheet'!$B$3:$B$1001,$H417,'Input Sheet'!$E$3:$E$1001,Q$4)=0,"",SUMIFS('Input Sheet'!$F$3:$F$1001,'Input Sheet'!$B$3:$B$1001,$H417,'Input Sheet'!$E$3:$E$1001,Q$4))</f>
        <v/>
      </c>
      <c r="R417" s="21" t="str">
        <f>IF(SUMIFS('Input Sheet'!$F$3:$F$1001,'Input Sheet'!$B$3:$B$1001,$H417,'Input Sheet'!$E$3:$E$1001,R$4)=0,"",SUMIFS('Input Sheet'!$F$3:$F$1001,'Input Sheet'!$B$3:$B$1001,$H417,'Input Sheet'!$E$3:$E$1001,R$4))</f>
        <v/>
      </c>
      <c r="S417" s="21" t="str">
        <f>IF(SUMIFS('Input Sheet'!$F$3:$F$1001,'Input Sheet'!$B$3:$B$1001,$H417,'Input Sheet'!$E$3:$E$1001,S$4)=0,"",SUMIFS('Input Sheet'!$F$3:$F$1001,'Input Sheet'!$B$3:$B$1001,$H417,'Input Sheet'!$E$3:$E$1001,S$4))</f>
        <v/>
      </c>
      <c r="T417" s="22">
        <v>412</v>
      </c>
    </row>
    <row r="418" spans="1:20" ht="14.25" customHeight="1" x14ac:dyDescent="0.3">
      <c r="A418" s="4" t="str">
        <f>IF('Input Sheet'!B415=0,"",'Input Sheet'!B415)</f>
        <v/>
      </c>
      <c r="B418" s="24" t="b">
        <f t="shared" si="264"/>
        <v>0</v>
      </c>
      <c r="C418" s="4">
        <f>SUMIF('Input Sheet'!B$3:B$1000,A418,'Input Sheet'!C$3:C$1000)</f>
        <v>0</v>
      </c>
      <c r="D418" s="4">
        <f>SUMIF('Input Sheet'!B$3:B$1000,A418,'Input Sheet'!D$3:D$1000)</f>
        <v>0</v>
      </c>
      <c r="E418" s="4" t="str">
        <f t="shared" ref="E418:F418" ca="1" si="428">IFERROR(RANK(K418,K$6:K$1004,1),"")</f>
        <v/>
      </c>
      <c r="F418" s="4" t="str">
        <f t="shared" ca="1" si="428"/>
        <v/>
      </c>
      <c r="G418" s="4" t="str">
        <f t="shared" ca="1" si="266"/>
        <v/>
      </c>
      <c r="H418" s="4" t="str">
        <f t="shared" si="267"/>
        <v/>
      </c>
      <c r="I418" s="4" t="str">
        <f t="shared" si="268"/>
        <v/>
      </c>
      <c r="J418" s="4" t="str">
        <f t="shared" si="269"/>
        <v/>
      </c>
      <c r="K418" s="25" t="str">
        <f t="shared" ca="1" si="270"/>
        <v/>
      </c>
      <c r="L418" s="21" t="str">
        <f t="shared" ca="1" si="271"/>
        <v/>
      </c>
      <c r="M418" s="21" t="str">
        <f>IF(SUMIFS('Input Sheet'!$F$3:$F$1001,'Input Sheet'!$B$3:$B$1001,$H418,'Input Sheet'!$E$3:$E$1001,M$4)=0,"",SUMIFS('Input Sheet'!$F$3:$F$1001,'Input Sheet'!$B$3:$B$1001,$H418,'Input Sheet'!$E$3:$E$1001,M$4))</f>
        <v/>
      </c>
      <c r="N418" s="21" t="str">
        <f>IF(SUMIFS('Input Sheet'!$F$3:$F$1001,'Input Sheet'!$B$3:$B$1001,$H418,'Input Sheet'!$E$3:$E$1001,N$4)=0,"",SUMIFS('Input Sheet'!$F$3:$F$1001,'Input Sheet'!$B$3:$B$1001,$H418,'Input Sheet'!$E$3:$E$1001,N$4))</f>
        <v/>
      </c>
      <c r="O418" s="21" t="str">
        <f>IF(SUMIFS('Input Sheet'!$F$3:$F$1001,'Input Sheet'!$B$3:$B$1001,$H418,'Input Sheet'!$E$3:$E$1001,O$4)=0,"",SUMIFS('Input Sheet'!$F$3:$F$1001,'Input Sheet'!$B$3:$B$1001,$H418,'Input Sheet'!$E$3:$E$1001,O$4))</f>
        <v/>
      </c>
      <c r="P418" s="21" t="str">
        <f>IF(SUMIFS('Input Sheet'!$F$3:$F$1001,'Input Sheet'!$B$3:$B$1001,$H418,'Input Sheet'!$E$3:$E$1001,P$4)=0,"",SUMIFS('Input Sheet'!$F$3:$F$1001,'Input Sheet'!$B$3:$B$1001,$H418,'Input Sheet'!$E$3:$E$1001,P$4))</f>
        <v/>
      </c>
      <c r="Q418" s="21" t="str">
        <f>IF(SUMIFS('Input Sheet'!$F$3:$F$1001,'Input Sheet'!$B$3:$B$1001,$H418,'Input Sheet'!$E$3:$E$1001,Q$4)=0,"",SUMIFS('Input Sheet'!$F$3:$F$1001,'Input Sheet'!$B$3:$B$1001,$H418,'Input Sheet'!$E$3:$E$1001,Q$4))</f>
        <v/>
      </c>
      <c r="R418" s="21" t="str">
        <f>IF(SUMIFS('Input Sheet'!$F$3:$F$1001,'Input Sheet'!$B$3:$B$1001,$H418,'Input Sheet'!$E$3:$E$1001,R$4)=0,"",SUMIFS('Input Sheet'!$F$3:$F$1001,'Input Sheet'!$B$3:$B$1001,$H418,'Input Sheet'!$E$3:$E$1001,R$4))</f>
        <v/>
      </c>
      <c r="S418" s="21" t="str">
        <f>IF(SUMIFS('Input Sheet'!$F$3:$F$1001,'Input Sheet'!$B$3:$B$1001,$H418,'Input Sheet'!$E$3:$E$1001,S$4)=0,"",SUMIFS('Input Sheet'!$F$3:$F$1001,'Input Sheet'!$B$3:$B$1001,$H418,'Input Sheet'!$E$3:$E$1001,S$4))</f>
        <v/>
      </c>
      <c r="T418" s="22">
        <v>413</v>
      </c>
    </row>
    <row r="419" spans="1:20" ht="14.25" customHeight="1" x14ac:dyDescent="0.3">
      <c r="A419" s="4" t="str">
        <f>IF('Input Sheet'!B416=0,"",'Input Sheet'!B416)</f>
        <v/>
      </c>
      <c r="B419" s="24" t="b">
        <f t="shared" si="264"/>
        <v>0</v>
      </c>
      <c r="C419" s="4">
        <f>SUMIF('Input Sheet'!B$3:B$1000,A419,'Input Sheet'!C$3:C$1000)</f>
        <v>0</v>
      </c>
      <c r="D419" s="4">
        <f>SUMIF('Input Sheet'!B$3:B$1000,A419,'Input Sheet'!D$3:D$1000)</f>
        <v>0</v>
      </c>
      <c r="E419" s="4" t="str">
        <f t="shared" ref="E419:F419" ca="1" si="429">IFERROR(RANK(K419,K$6:K$1004,1),"")</f>
        <v/>
      </c>
      <c r="F419" s="4" t="str">
        <f t="shared" ca="1" si="429"/>
        <v/>
      </c>
      <c r="G419" s="4" t="str">
        <f t="shared" ca="1" si="266"/>
        <v/>
      </c>
      <c r="H419" s="4" t="str">
        <f t="shared" si="267"/>
        <v/>
      </c>
      <c r="I419" s="4" t="str">
        <f t="shared" si="268"/>
        <v/>
      </c>
      <c r="J419" s="4" t="str">
        <f t="shared" si="269"/>
        <v/>
      </c>
      <c r="K419" s="25" t="str">
        <f t="shared" ca="1" si="270"/>
        <v/>
      </c>
      <c r="L419" s="21" t="str">
        <f t="shared" ca="1" si="271"/>
        <v/>
      </c>
      <c r="M419" s="21" t="str">
        <f>IF(SUMIFS('Input Sheet'!$F$3:$F$1001,'Input Sheet'!$B$3:$B$1001,$H419,'Input Sheet'!$E$3:$E$1001,M$4)=0,"",SUMIFS('Input Sheet'!$F$3:$F$1001,'Input Sheet'!$B$3:$B$1001,$H419,'Input Sheet'!$E$3:$E$1001,M$4))</f>
        <v/>
      </c>
      <c r="N419" s="21" t="str">
        <f>IF(SUMIFS('Input Sheet'!$F$3:$F$1001,'Input Sheet'!$B$3:$B$1001,$H419,'Input Sheet'!$E$3:$E$1001,N$4)=0,"",SUMIFS('Input Sheet'!$F$3:$F$1001,'Input Sheet'!$B$3:$B$1001,$H419,'Input Sheet'!$E$3:$E$1001,N$4))</f>
        <v/>
      </c>
      <c r="O419" s="21" t="str">
        <f>IF(SUMIFS('Input Sheet'!$F$3:$F$1001,'Input Sheet'!$B$3:$B$1001,$H419,'Input Sheet'!$E$3:$E$1001,O$4)=0,"",SUMIFS('Input Sheet'!$F$3:$F$1001,'Input Sheet'!$B$3:$B$1001,$H419,'Input Sheet'!$E$3:$E$1001,O$4))</f>
        <v/>
      </c>
      <c r="P419" s="21" t="str">
        <f>IF(SUMIFS('Input Sheet'!$F$3:$F$1001,'Input Sheet'!$B$3:$B$1001,$H419,'Input Sheet'!$E$3:$E$1001,P$4)=0,"",SUMIFS('Input Sheet'!$F$3:$F$1001,'Input Sheet'!$B$3:$B$1001,$H419,'Input Sheet'!$E$3:$E$1001,P$4))</f>
        <v/>
      </c>
      <c r="Q419" s="21" t="str">
        <f>IF(SUMIFS('Input Sheet'!$F$3:$F$1001,'Input Sheet'!$B$3:$B$1001,$H419,'Input Sheet'!$E$3:$E$1001,Q$4)=0,"",SUMIFS('Input Sheet'!$F$3:$F$1001,'Input Sheet'!$B$3:$B$1001,$H419,'Input Sheet'!$E$3:$E$1001,Q$4))</f>
        <v/>
      </c>
      <c r="R419" s="21" t="str">
        <f>IF(SUMIFS('Input Sheet'!$F$3:$F$1001,'Input Sheet'!$B$3:$B$1001,$H419,'Input Sheet'!$E$3:$E$1001,R$4)=0,"",SUMIFS('Input Sheet'!$F$3:$F$1001,'Input Sheet'!$B$3:$B$1001,$H419,'Input Sheet'!$E$3:$E$1001,R$4))</f>
        <v/>
      </c>
      <c r="S419" s="21" t="str">
        <f>IF(SUMIFS('Input Sheet'!$F$3:$F$1001,'Input Sheet'!$B$3:$B$1001,$H419,'Input Sheet'!$E$3:$E$1001,S$4)=0,"",SUMIFS('Input Sheet'!$F$3:$F$1001,'Input Sheet'!$B$3:$B$1001,$H419,'Input Sheet'!$E$3:$E$1001,S$4))</f>
        <v/>
      </c>
      <c r="T419" s="22">
        <v>414</v>
      </c>
    </row>
    <row r="420" spans="1:20" ht="14.25" customHeight="1" x14ac:dyDescent="0.3">
      <c r="A420" s="4" t="str">
        <f>IF('Input Sheet'!B417=0,"",'Input Sheet'!B417)</f>
        <v/>
      </c>
      <c r="B420" s="24" t="b">
        <f t="shared" si="264"/>
        <v>0</v>
      </c>
      <c r="C420" s="4">
        <f>SUMIF('Input Sheet'!B$3:B$1000,A420,'Input Sheet'!C$3:C$1000)</f>
        <v>0</v>
      </c>
      <c r="D420" s="4">
        <f>SUMIF('Input Sheet'!B$3:B$1000,A420,'Input Sheet'!D$3:D$1000)</f>
        <v>0</v>
      </c>
      <c r="E420" s="4" t="str">
        <f t="shared" ref="E420:F420" ca="1" si="430">IFERROR(RANK(K420,K$6:K$1004,1),"")</f>
        <v/>
      </c>
      <c r="F420" s="4" t="str">
        <f t="shared" ca="1" si="430"/>
        <v/>
      </c>
      <c r="G420" s="4" t="str">
        <f t="shared" ca="1" si="266"/>
        <v/>
      </c>
      <c r="H420" s="4" t="str">
        <f t="shared" si="267"/>
        <v/>
      </c>
      <c r="I420" s="4" t="str">
        <f t="shared" si="268"/>
        <v/>
      </c>
      <c r="J420" s="4" t="str">
        <f t="shared" si="269"/>
        <v/>
      </c>
      <c r="K420" s="25" t="str">
        <f t="shared" ca="1" si="270"/>
        <v/>
      </c>
      <c r="L420" s="21" t="str">
        <f t="shared" ca="1" si="271"/>
        <v/>
      </c>
      <c r="M420" s="21" t="str">
        <f>IF(SUMIFS('Input Sheet'!$F$3:$F$1001,'Input Sheet'!$B$3:$B$1001,$H420,'Input Sheet'!$E$3:$E$1001,M$4)=0,"",SUMIFS('Input Sheet'!$F$3:$F$1001,'Input Sheet'!$B$3:$B$1001,$H420,'Input Sheet'!$E$3:$E$1001,M$4))</f>
        <v/>
      </c>
      <c r="N420" s="21" t="str">
        <f>IF(SUMIFS('Input Sheet'!$F$3:$F$1001,'Input Sheet'!$B$3:$B$1001,$H420,'Input Sheet'!$E$3:$E$1001,N$4)=0,"",SUMIFS('Input Sheet'!$F$3:$F$1001,'Input Sheet'!$B$3:$B$1001,$H420,'Input Sheet'!$E$3:$E$1001,N$4))</f>
        <v/>
      </c>
      <c r="O420" s="21" t="str">
        <f>IF(SUMIFS('Input Sheet'!$F$3:$F$1001,'Input Sheet'!$B$3:$B$1001,$H420,'Input Sheet'!$E$3:$E$1001,O$4)=0,"",SUMIFS('Input Sheet'!$F$3:$F$1001,'Input Sheet'!$B$3:$B$1001,$H420,'Input Sheet'!$E$3:$E$1001,O$4))</f>
        <v/>
      </c>
      <c r="P420" s="21" t="str">
        <f>IF(SUMIFS('Input Sheet'!$F$3:$F$1001,'Input Sheet'!$B$3:$B$1001,$H420,'Input Sheet'!$E$3:$E$1001,P$4)=0,"",SUMIFS('Input Sheet'!$F$3:$F$1001,'Input Sheet'!$B$3:$B$1001,$H420,'Input Sheet'!$E$3:$E$1001,P$4))</f>
        <v/>
      </c>
      <c r="Q420" s="21" t="str">
        <f>IF(SUMIFS('Input Sheet'!$F$3:$F$1001,'Input Sheet'!$B$3:$B$1001,$H420,'Input Sheet'!$E$3:$E$1001,Q$4)=0,"",SUMIFS('Input Sheet'!$F$3:$F$1001,'Input Sheet'!$B$3:$B$1001,$H420,'Input Sheet'!$E$3:$E$1001,Q$4))</f>
        <v/>
      </c>
      <c r="R420" s="21" t="str">
        <f>IF(SUMIFS('Input Sheet'!$F$3:$F$1001,'Input Sheet'!$B$3:$B$1001,$H420,'Input Sheet'!$E$3:$E$1001,R$4)=0,"",SUMIFS('Input Sheet'!$F$3:$F$1001,'Input Sheet'!$B$3:$B$1001,$H420,'Input Sheet'!$E$3:$E$1001,R$4))</f>
        <v/>
      </c>
      <c r="S420" s="21" t="str">
        <f>IF(SUMIFS('Input Sheet'!$F$3:$F$1001,'Input Sheet'!$B$3:$B$1001,$H420,'Input Sheet'!$E$3:$E$1001,S$4)=0,"",SUMIFS('Input Sheet'!$F$3:$F$1001,'Input Sheet'!$B$3:$B$1001,$H420,'Input Sheet'!$E$3:$E$1001,S$4))</f>
        <v/>
      </c>
      <c r="T420" s="22">
        <v>415</v>
      </c>
    </row>
    <row r="421" spans="1:20" ht="14.25" customHeight="1" x14ac:dyDescent="0.3">
      <c r="A421" s="4" t="str">
        <f>IF('Input Sheet'!B418=0,"",'Input Sheet'!B418)</f>
        <v/>
      </c>
      <c r="B421" s="24" t="b">
        <f t="shared" si="264"/>
        <v>0</v>
      </c>
      <c r="C421" s="4">
        <f>SUMIF('Input Sheet'!B$3:B$1000,A421,'Input Sheet'!C$3:C$1000)</f>
        <v>0</v>
      </c>
      <c r="D421" s="4">
        <f>SUMIF('Input Sheet'!B$3:B$1000,A421,'Input Sheet'!D$3:D$1000)</f>
        <v>0</v>
      </c>
      <c r="E421" s="4" t="str">
        <f t="shared" ref="E421:F421" ca="1" si="431">IFERROR(RANK(K421,K$6:K$1004,1),"")</f>
        <v/>
      </c>
      <c r="F421" s="4" t="str">
        <f t="shared" ca="1" si="431"/>
        <v/>
      </c>
      <c r="G421" s="4" t="str">
        <f t="shared" ca="1" si="266"/>
        <v/>
      </c>
      <c r="H421" s="4" t="str">
        <f t="shared" si="267"/>
        <v/>
      </c>
      <c r="I421" s="4" t="str">
        <f t="shared" si="268"/>
        <v/>
      </c>
      <c r="J421" s="4" t="str">
        <f t="shared" si="269"/>
        <v/>
      </c>
      <c r="K421" s="25" t="str">
        <f t="shared" ca="1" si="270"/>
        <v/>
      </c>
      <c r="L421" s="21" t="str">
        <f t="shared" ca="1" si="271"/>
        <v/>
      </c>
      <c r="M421" s="21" t="str">
        <f>IF(SUMIFS('Input Sheet'!$F$3:$F$1001,'Input Sheet'!$B$3:$B$1001,$H421,'Input Sheet'!$E$3:$E$1001,M$4)=0,"",SUMIFS('Input Sheet'!$F$3:$F$1001,'Input Sheet'!$B$3:$B$1001,$H421,'Input Sheet'!$E$3:$E$1001,M$4))</f>
        <v/>
      </c>
      <c r="N421" s="21" t="str">
        <f>IF(SUMIFS('Input Sheet'!$F$3:$F$1001,'Input Sheet'!$B$3:$B$1001,$H421,'Input Sheet'!$E$3:$E$1001,N$4)=0,"",SUMIFS('Input Sheet'!$F$3:$F$1001,'Input Sheet'!$B$3:$B$1001,$H421,'Input Sheet'!$E$3:$E$1001,N$4))</f>
        <v/>
      </c>
      <c r="O421" s="21" t="str">
        <f>IF(SUMIFS('Input Sheet'!$F$3:$F$1001,'Input Sheet'!$B$3:$B$1001,$H421,'Input Sheet'!$E$3:$E$1001,O$4)=0,"",SUMIFS('Input Sheet'!$F$3:$F$1001,'Input Sheet'!$B$3:$B$1001,$H421,'Input Sheet'!$E$3:$E$1001,O$4))</f>
        <v/>
      </c>
      <c r="P421" s="21" t="str">
        <f>IF(SUMIFS('Input Sheet'!$F$3:$F$1001,'Input Sheet'!$B$3:$B$1001,$H421,'Input Sheet'!$E$3:$E$1001,P$4)=0,"",SUMIFS('Input Sheet'!$F$3:$F$1001,'Input Sheet'!$B$3:$B$1001,$H421,'Input Sheet'!$E$3:$E$1001,P$4))</f>
        <v/>
      </c>
      <c r="Q421" s="21" t="str">
        <f>IF(SUMIFS('Input Sheet'!$F$3:$F$1001,'Input Sheet'!$B$3:$B$1001,$H421,'Input Sheet'!$E$3:$E$1001,Q$4)=0,"",SUMIFS('Input Sheet'!$F$3:$F$1001,'Input Sheet'!$B$3:$B$1001,$H421,'Input Sheet'!$E$3:$E$1001,Q$4))</f>
        <v/>
      </c>
      <c r="R421" s="21" t="str">
        <f>IF(SUMIFS('Input Sheet'!$F$3:$F$1001,'Input Sheet'!$B$3:$B$1001,$H421,'Input Sheet'!$E$3:$E$1001,R$4)=0,"",SUMIFS('Input Sheet'!$F$3:$F$1001,'Input Sheet'!$B$3:$B$1001,$H421,'Input Sheet'!$E$3:$E$1001,R$4))</f>
        <v/>
      </c>
      <c r="S421" s="21" t="str">
        <f>IF(SUMIFS('Input Sheet'!$F$3:$F$1001,'Input Sheet'!$B$3:$B$1001,$H421,'Input Sheet'!$E$3:$E$1001,S$4)=0,"",SUMIFS('Input Sheet'!$F$3:$F$1001,'Input Sheet'!$B$3:$B$1001,$H421,'Input Sheet'!$E$3:$E$1001,S$4))</f>
        <v/>
      </c>
      <c r="T421" s="22">
        <v>416</v>
      </c>
    </row>
    <row r="422" spans="1:20" ht="14.25" customHeight="1" x14ac:dyDescent="0.3">
      <c r="A422" s="4" t="str">
        <f>IF('Input Sheet'!B419=0,"",'Input Sheet'!B419)</f>
        <v/>
      </c>
      <c r="B422" s="24" t="b">
        <f t="shared" si="264"/>
        <v>0</v>
      </c>
      <c r="C422" s="4">
        <f>SUMIF('Input Sheet'!B$3:B$1000,A422,'Input Sheet'!C$3:C$1000)</f>
        <v>0</v>
      </c>
      <c r="D422" s="4">
        <f>SUMIF('Input Sheet'!B$3:B$1000,A422,'Input Sheet'!D$3:D$1000)</f>
        <v>0</v>
      </c>
      <c r="E422" s="4" t="str">
        <f t="shared" ref="E422:F422" ca="1" si="432">IFERROR(RANK(K422,K$6:K$1004,1),"")</f>
        <v/>
      </c>
      <c r="F422" s="4" t="str">
        <f t="shared" ca="1" si="432"/>
        <v/>
      </c>
      <c r="G422" s="4" t="str">
        <f t="shared" ca="1" si="266"/>
        <v/>
      </c>
      <c r="H422" s="4" t="str">
        <f t="shared" si="267"/>
        <v/>
      </c>
      <c r="I422" s="4" t="str">
        <f t="shared" si="268"/>
        <v/>
      </c>
      <c r="J422" s="4" t="str">
        <f t="shared" si="269"/>
        <v/>
      </c>
      <c r="K422" s="25" t="str">
        <f t="shared" ca="1" si="270"/>
        <v/>
      </c>
      <c r="L422" s="21" t="str">
        <f t="shared" ca="1" si="271"/>
        <v/>
      </c>
      <c r="M422" s="21" t="str">
        <f>IF(SUMIFS('Input Sheet'!$F$3:$F$1001,'Input Sheet'!$B$3:$B$1001,$H422,'Input Sheet'!$E$3:$E$1001,M$4)=0,"",SUMIFS('Input Sheet'!$F$3:$F$1001,'Input Sheet'!$B$3:$B$1001,$H422,'Input Sheet'!$E$3:$E$1001,M$4))</f>
        <v/>
      </c>
      <c r="N422" s="21" t="str">
        <f>IF(SUMIFS('Input Sheet'!$F$3:$F$1001,'Input Sheet'!$B$3:$B$1001,$H422,'Input Sheet'!$E$3:$E$1001,N$4)=0,"",SUMIFS('Input Sheet'!$F$3:$F$1001,'Input Sheet'!$B$3:$B$1001,$H422,'Input Sheet'!$E$3:$E$1001,N$4))</f>
        <v/>
      </c>
      <c r="O422" s="21" t="str">
        <f>IF(SUMIFS('Input Sheet'!$F$3:$F$1001,'Input Sheet'!$B$3:$B$1001,$H422,'Input Sheet'!$E$3:$E$1001,O$4)=0,"",SUMIFS('Input Sheet'!$F$3:$F$1001,'Input Sheet'!$B$3:$B$1001,$H422,'Input Sheet'!$E$3:$E$1001,O$4))</f>
        <v/>
      </c>
      <c r="P422" s="21" t="str">
        <f>IF(SUMIFS('Input Sheet'!$F$3:$F$1001,'Input Sheet'!$B$3:$B$1001,$H422,'Input Sheet'!$E$3:$E$1001,P$4)=0,"",SUMIFS('Input Sheet'!$F$3:$F$1001,'Input Sheet'!$B$3:$B$1001,$H422,'Input Sheet'!$E$3:$E$1001,P$4))</f>
        <v/>
      </c>
      <c r="Q422" s="21" t="str">
        <f>IF(SUMIFS('Input Sheet'!$F$3:$F$1001,'Input Sheet'!$B$3:$B$1001,$H422,'Input Sheet'!$E$3:$E$1001,Q$4)=0,"",SUMIFS('Input Sheet'!$F$3:$F$1001,'Input Sheet'!$B$3:$B$1001,$H422,'Input Sheet'!$E$3:$E$1001,Q$4))</f>
        <v/>
      </c>
      <c r="R422" s="21" t="str">
        <f>IF(SUMIFS('Input Sheet'!$F$3:$F$1001,'Input Sheet'!$B$3:$B$1001,$H422,'Input Sheet'!$E$3:$E$1001,R$4)=0,"",SUMIFS('Input Sheet'!$F$3:$F$1001,'Input Sheet'!$B$3:$B$1001,$H422,'Input Sheet'!$E$3:$E$1001,R$4))</f>
        <v/>
      </c>
      <c r="S422" s="21" t="str">
        <f>IF(SUMIFS('Input Sheet'!$F$3:$F$1001,'Input Sheet'!$B$3:$B$1001,$H422,'Input Sheet'!$E$3:$E$1001,S$4)=0,"",SUMIFS('Input Sheet'!$F$3:$F$1001,'Input Sheet'!$B$3:$B$1001,$H422,'Input Sheet'!$E$3:$E$1001,S$4))</f>
        <v/>
      </c>
      <c r="T422" s="22">
        <v>417</v>
      </c>
    </row>
    <row r="423" spans="1:20" ht="14.25" customHeight="1" x14ac:dyDescent="0.3">
      <c r="A423" s="4" t="str">
        <f>IF('Input Sheet'!B420=0,"",'Input Sheet'!B420)</f>
        <v/>
      </c>
      <c r="B423" s="24" t="b">
        <f t="shared" si="264"/>
        <v>0</v>
      </c>
      <c r="C423" s="4">
        <f>SUMIF('Input Sheet'!B$3:B$1000,A423,'Input Sheet'!C$3:C$1000)</f>
        <v>0</v>
      </c>
      <c r="D423" s="4">
        <f>SUMIF('Input Sheet'!B$3:B$1000,A423,'Input Sheet'!D$3:D$1000)</f>
        <v>0</v>
      </c>
      <c r="E423" s="4" t="str">
        <f t="shared" ref="E423:F423" ca="1" si="433">IFERROR(RANK(K423,K$6:K$1004,1),"")</f>
        <v/>
      </c>
      <c r="F423" s="4" t="str">
        <f t="shared" ca="1" si="433"/>
        <v/>
      </c>
      <c r="G423" s="4" t="str">
        <f t="shared" ca="1" si="266"/>
        <v/>
      </c>
      <c r="H423" s="4" t="str">
        <f t="shared" si="267"/>
        <v/>
      </c>
      <c r="I423" s="4" t="str">
        <f t="shared" si="268"/>
        <v/>
      </c>
      <c r="J423" s="4" t="str">
        <f t="shared" si="269"/>
        <v/>
      </c>
      <c r="K423" s="25" t="str">
        <f t="shared" ca="1" si="270"/>
        <v/>
      </c>
      <c r="L423" s="21" t="str">
        <f t="shared" ca="1" si="271"/>
        <v/>
      </c>
      <c r="M423" s="21" t="str">
        <f>IF(SUMIFS('Input Sheet'!$F$3:$F$1001,'Input Sheet'!$B$3:$B$1001,$H423,'Input Sheet'!$E$3:$E$1001,M$4)=0,"",SUMIFS('Input Sheet'!$F$3:$F$1001,'Input Sheet'!$B$3:$B$1001,$H423,'Input Sheet'!$E$3:$E$1001,M$4))</f>
        <v/>
      </c>
      <c r="N423" s="21" t="str">
        <f>IF(SUMIFS('Input Sheet'!$F$3:$F$1001,'Input Sheet'!$B$3:$B$1001,$H423,'Input Sheet'!$E$3:$E$1001,N$4)=0,"",SUMIFS('Input Sheet'!$F$3:$F$1001,'Input Sheet'!$B$3:$B$1001,$H423,'Input Sheet'!$E$3:$E$1001,N$4))</f>
        <v/>
      </c>
      <c r="O423" s="21" t="str">
        <f>IF(SUMIFS('Input Sheet'!$F$3:$F$1001,'Input Sheet'!$B$3:$B$1001,$H423,'Input Sheet'!$E$3:$E$1001,O$4)=0,"",SUMIFS('Input Sheet'!$F$3:$F$1001,'Input Sheet'!$B$3:$B$1001,$H423,'Input Sheet'!$E$3:$E$1001,O$4))</f>
        <v/>
      </c>
      <c r="P423" s="21" t="str">
        <f>IF(SUMIFS('Input Sheet'!$F$3:$F$1001,'Input Sheet'!$B$3:$B$1001,$H423,'Input Sheet'!$E$3:$E$1001,P$4)=0,"",SUMIFS('Input Sheet'!$F$3:$F$1001,'Input Sheet'!$B$3:$B$1001,$H423,'Input Sheet'!$E$3:$E$1001,P$4))</f>
        <v/>
      </c>
      <c r="Q423" s="21" t="str">
        <f>IF(SUMIFS('Input Sheet'!$F$3:$F$1001,'Input Sheet'!$B$3:$B$1001,$H423,'Input Sheet'!$E$3:$E$1001,Q$4)=0,"",SUMIFS('Input Sheet'!$F$3:$F$1001,'Input Sheet'!$B$3:$B$1001,$H423,'Input Sheet'!$E$3:$E$1001,Q$4))</f>
        <v/>
      </c>
      <c r="R423" s="21" t="str">
        <f>IF(SUMIFS('Input Sheet'!$F$3:$F$1001,'Input Sheet'!$B$3:$B$1001,$H423,'Input Sheet'!$E$3:$E$1001,R$4)=0,"",SUMIFS('Input Sheet'!$F$3:$F$1001,'Input Sheet'!$B$3:$B$1001,$H423,'Input Sheet'!$E$3:$E$1001,R$4))</f>
        <v/>
      </c>
      <c r="S423" s="21" t="str">
        <f>IF(SUMIFS('Input Sheet'!$F$3:$F$1001,'Input Sheet'!$B$3:$B$1001,$H423,'Input Sheet'!$E$3:$E$1001,S$4)=0,"",SUMIFS('Input Sheet'!$F$3:$F$1001,'Input Sheet'!$B$3:$B$1001,$H423,'Input Sheet'!$E$3:$E$1001,S$4))</f>
        <v/>
      </c>
      <c r="T423" s="22">
        <v>418</v>
      </c>
    </row>
    <row r="424" spans="1:20" ht="14.25" customHeight="1" x14ac:dyDescent="0.3">
      <c r="A424" s="4" t="str">
        <f>IF('Input Sheet'!B421=0,"",'Input Sheet'!B421)</f>
        <v/>
      </c>
      <c r="B424" s="24" t="b">
        <f t="shared" si="264"/>
        <v>0</v>
      </c>
      <c r="C424" s="4">
        <f>SUMIF('Input Sheet'!B$3:B$1000,A424,'Input Sheet'!C$3:C$1000)</f>
        <v>0</v>
      </c>
      <c r="D424" s="4">
        <f>SUMIF('Input Sheet'!B$3:B$1000,A424,'Input Sheet'!D$3:D$1000)</f>
        <v>0</v>
      </c>
      <c r="E424" s="4" t="str">
        <f t="shared" ref="E424:F424" ca="1" si="434">IFERROR(RANK(K424,K$6:K$1004,1),"")</f>
        <v/>
      </c>
      <c r="F424" s="4" t="str">
        <f t="shared" ca="1" si="434"/>
        <v/>
      </c>
      <c r="G424" s="4" t="str">
        <f t="shared" ca="1" si="266"/>
        <v/>
      </c>
      <c r="H424" s="4" t="str">
        <f t="shared" si="267"/>
        <v/>
      </c>
      <c r="I424" s="4" t="str">
        <f t="shared" si="268"/>
        <v/>
      </c>
      <c r="J424" s="4" t="str">
        <f t="shared" si="269"/>
        <v/>
      </c>
      <c r="K424" s="25" t="str">
        <f t="shared" ca="1" si="270"/>
        <v/>
      </c>
      <c r="L424" s="21" t="str">
        <f t="shared" ca="1" si="271"/>
        <v/>
      </c>
      <c r="M424" s="21" t="str">
        <f>IF(SUMIFS('Input Sheet'!$F$3:$F$1001,'Input Sheet'!$B$3:$B$1001,$H424,'Input Sheet'!$E$3:$E$1001,M$4)=0,"",SUMIFS('Input Sheet'!$F$3:$F$1001,'Input Sheet'!$B$3:$B$1001,$H424,'Input Sheet'!$E$3:$E$1001,M$4))</f>
        <v/>
      </c>
      <c r="N424" s="21" t="str">
        <f>IF(SUMIFS('Input Sheet'!$F$3:$F$1001,'Input Sheet'!$B$3:$B$1001,$H424,'Input Sheet'!$E$3:$E$1001,N$4)=0,"",SUMIFS('Input Sheet'!$F$3:$F$1001,'Input Sheet'!$B$3:$B$1001,$H424,'Input Sheet'!$E$3:$E$1001,N$4))</f>
        <v/>
      </c>
      <c r="O424" s="21" t="str">
        <f>IF(SUMIFS('Input Sheet'!$F$3:$F$1001,'Input Sheet'!$B$3:$B$1001,$H424,'Input Sheet'!$E$3:$E$1001,O$4)=0,"",SUMIFS('Input Sheet'!$F$3:$F$1001,'Input Sheet'!$B$3:$B$1001,$H424,'Input Sheet'!$E$3:$E$1001,O$4))</f>
        <v/>
      </c>
      <c r="P424" s="21" t="str">
        <f>IF(SUMIFS('Input Sheet'!$F$3:$F$1001,'Input Sheet'!$B$3:$B$1001,$H424,'Input Sheet'!$E$3:$E$1001,P$4)=0,"",SUMIFS('Input Sheet'!$F$3:$F$1001,'Input Sheet'!$B$3:$B$1001,$H424,'Input Sheet'!$E$3:$E$1001,P$4))</f>
        <v/>
      </c>
      <c r="Q424" s="21" t="str">
        <f>IF(SUMIFS('Input Sheet'!$F$3:$F$1001,'Input Sheet'!$B$3:$B$1001,$H424,'Input Sheet'!$E$3:$E$1001,Q$4)=0,"",SUMIFS('Input Sheet'!$F$3:$F$1001,'Input Sheet'!$B$3:$B$1001,$H424,'Input Sheet'!$E$3:$E$1001,Q$4))</f>
        <v/>
      </c>
      <c r="R424" s="21" t="str">
        <f>IF(SUMIFS('Input Sheet'!$F$3:$F$1001,'Input Sheet'!$B$3:$B$1001,$H424,'Input Sheet'!$E$3:$E$1001,R$4)=0,"",SUMIFS('Input Sheet'!$F$3:$F$1001,'Input Sheet'!$B$3:$B$1001,$H424,'Input Sheet'!$E$3:$E$1001,R$4))</f>
        <v/>
      </c>
      <c r="S424" s="21" t="str">
        <f>IF(SUMIFS('Input Sheet'!$F$3:$F$1001,'Input Sheet'!$B$3:$B$1001,$H424,'Input Sheet'!$E$3:$E$1001,S$4)=0,"",SUMIFS('Input Sheet'!$F$3:$F$1001,'Input Sheet'!$B$3:$B$1001,$H424,'Input Sheet'!$E$3:$E$1001,S$4))</f>
        <v/>
      </c>
      <c r="T424" s="22">
        <v>419</v>
      </c>
    </row>
    <row r="425" spans="1:20" ht="14.25" customHeight="1" x14ac:dyDescent="0.3">
      <c r="A425" s="4" t="str">
        <f>IF('Input Sheet'!B422=0,"",'Input Sheet'!B422)</f>
        <v/>
      </c>
      <c r="B425" s="24" t="b">
        <f t="shared" si="264"/>
        <v>0</v>
      </c>
      <c r="C425" s="4">
        <f>SUMIF('Input Sheet'!B$3:B$1000,A425,'Input Sheet'!C$3:C$1000)</f>
        <v>0</v>
      </c>
      <c r="D425" s="4">
        <f>SUMIF('Input Sheet'!B$3:B$1000,A425,'Input Sheet'!D$3:D$1000)</f>
        <v>0</v>
      </c>
      <c r="E425" s="4" t="str">
        <f t="shared" ref="E425:F425" ca="1" si="435">IFERROR(RANK(K425,K$6:K$1004,1),"")</f>
        <v/>
      </c>
      <c r="F425" s="4" t="str">
        <f t="shared" ca="1" si="435"/>
        <v/>
      </c>
      <c r="G425" s="4" t="str">
        <f t="shared" ca="1" si="266"/>
        <v/>
      </c>
      <c r="H425" s="4" t="str">
        <f t="shared" si="267"/>
        <v/>
      </c>
      <c r="I425" s="4" t="str">
        <f t="shared" si="268"/>
        <v/>
      </c>
      <c r="J425" s="4" t="str">
        <f t="shared" si="269"/>
        <v/>
      </c>
      <c r="K425" s="25" t="str">
        <f t="shared" ca="1" si="270"/>
        <v/>
      </c>
      <c r="L425" s="21" t="str">
        <f t="shared" ca="1" si="271"/>
        <v/>
      </c>
      <c r="M425" s="21" t="str">
        <f>IF(SUMIFS('Input Sheet'!$F$3:$F$1001,'Input Sheet'!$B$3:$B$1001,$H425,'Input Sheet'!$E$3:$E$1001,M$4)=0,"",SUMIFS('Input Sheet'!$F$3:$F$1001,'Input Sheet'!$B$3:$B$1001,$H425,'Input Sheet'!$E$3:$E$1001,M$4))</f>
        <v/>
      </c>
      <c r="N425" s="21" t="str">
        <f>IF(SUMIFS('Input Sheet'!$F$3:$F$1001,'Input Sheet'!$B$3:$B$1001,$H425,'Input Sheet'!$E$3:$E$1001,N$4)=0,"",SUMIFS('Input Sheet'!$F$3:$F$1001,'Input Sheet'!$B$3:$B$1001,$H425,'Input Sheet'!$E$3:$E$1001,N$4))</f>
        <v/>
      </c>
      <c r="O425" s="21" t="str">
        <f>IF(SUMIFS('Input Sheet'!$F$3:$F$1001,'Input Sheet'!$B$3:$B$1001,$H425,'Input Sheet'!$E$3:$E$1001,O$4)=0,"",SUMIFS('Input Sheet'!$F$3:$F$1001,'Input Sheet'!$B$3:$B$1001,$H425,'Input Sheet'!$E$3:$E$1001,O$4))</f>
        <v/>
      </c>
      <c r="P425" s="21" t="str">
        <f>IF(SUMIFS('Input Sheet'!$F$3:$F$1001,'Input Sheet'!$B$3:$B$1001,$H425,'Input Sheet'!$E$3:$E$1001,P$4)=0,"",SUMIFS('Input Sheet'!$F$3:$F$1001,'Input Sheet'!$B$3:$B$1001,$H425,'Input Sheet'!$E$3:$E$1001,P$4))</f>
        <v/>
      </c>
      <c r="Q425" s="21" t="str">
        <f>IF(SUMIFS('Input Sheet'!$F$3:$F$1001,'Input Sheet'!$B$3:$B$1001,$H425,'Input Sheet'!$E$3:$E$1001,Q$4)=0,"",SUMIFS('Input Sheet'!$F$3:$F$1001,'Input Sheet'!$B$3:$B$1001,$H425,'Input Sheet'!$E$3:$E$1001,Q$4))</f>
        <v/>
      </c>
      <c r="R425" s="21" t="str">
        <f>IF(SUMIFS('Input Sheet'!$F$3:$F$1001,'Input Sheet'!$B$3:$B$1001,$H425,'Input Sheet'!$E$3:$E$1001,R$4)=0,"",SUMIFS('Input Sheet'!$F$3:$F$1001,'Input Sheet'!$B$3:$B$1001,$H425,'Input Sheet'!$E$3:$E$1001,R$4))</f>
        <v/>
      </c>
      <c r="S425" s="21" t="str">
        <f>IF(SUMIFS('Input Sheet'!$F$3:$F$1001,'Input Sheet'!$B$3:$B$1001,$H425,'Input Sheet'!$E$3:$E$1001,S$4)=0,"",SUMIFS('Input Sheet'!$F$3:$F$1001,'Input Sheet'!$B$3:$B$1001,$H425,'Input Sheet'!$E$3:$E$1001,S$4))</f>
        <v/>
      </c>
      <c r="T425" s="22">
        <v>420</v>
      </c>
    </row>
    <row r="426" spans="1:20" ht="14.25" customHeight="1" x14ac:dyDescent="0.3">
      <c r="A426" s="4" t="str">
        <f>IF('Input Sheet'!B423=0,"",'Input Sheet'!B423)</f>
        <v/>
      </c>
      <c r="B426" s="24" t="b">
        <f t="shared" si="264"/>
        <v>0</v>
      </c>
      <c r="C426" s="4">
        <f>SUMIF('Input Sheet'!B$3:B$1000,A426,'Input Sheet'!C$3:C$1000)</f>
        <v>0</v>
      </c>
      <c r="D426" s="4">
        <f>SUMIF('Input Sheet'!B$3:B$1000,A426,'Input Sheet'!D$3:D$1000)</f>
        <v>0</v>
      </c>
      <c r="E426" s="4" t="str">
        <f t="shared" ref="E426:F426" ca="1" si="436">IFERROR(RANK(K426,K$6:K$1004,1),"")</f>
        <v/>
      </c>
      <c r="F426" s="4" t="str">
        <f t="shared" ca="1" si="436"/>
        <v/>
      </c>
      <c r="G426" s="4" t="str">
        <f t="shared" ca="1" si="266"/>
        <v/>
      </c>
      <c r="H426" s="4" t="str">
        <f t="shared" si="267"/>
        <v/>
      </c>
      <c r="I426" s="4" t="str">
        <f t="shared" si="268"/>
        <v/>
      </c>
      <c r="J426" s="4" t="str">
        <f t="shared" si="269"/>
        <v/>
      </c>
      <c r="K426" s="25" t="str">
        <f t="shared" ca="1" si="270"/>
        <v/>
      </c>
      <c r="L426" s="21" t="str">
        <f t="shared" ca="1" si="271"/>
        <v/>
      </c>
      <c r="M426" s="21" t="str">
        <f>IF(SUMIFS('Input Sheet'!$F$3:$F$1001,'Input Sheet'!$B$3:$B$1001,$H426,'Input Sheet'!$E$3:$E$1001,M$4)=0,"",SUMIFS('Input Sheet'!$F$3:$F$1001,'Input Sheet'!$B$3:$B$1001,$H426,'Input Sheet'!$E$3:$E$1001,M$4))</f>
        <v/>
      </c>
      <c r="N426" s="21" t="str">
        <f>IF(SUMIFS('Input Sheet'!$F$3:$F$1001,'Input Sheet'!$B$3:$B$1001,$H426,'Input Sheet'!$E$3:$E$1001,N$4)=0,"",SUMIFS('Input Sheet'!$F$3:$F$1001,'Input Sheet'!$B$3:$B$1001,$H426,'Input Sheet'!$E$3:$E$1001,N$4))</f>
        <v/>
      </c>
      <c r="O426" s="21" t="str">
        <f>IF(SUMIFS('Input Sheet'!$F$3:$F$1001,'Input Sheet'!$B$3:$B$1001,$H426,'Input Sheet'!$E$3:$E$1001,O$4)=0,"",SUMIFS('Input Sheet'!$F$3:$F$1001,'Input Sheet'!$B$3:$B$1001,$H426,'Input Sheet'!$E$3:$E$1001,O$4))</f>
        <v/>
      </c>
      <c r="P426" s="21" t="str">
        <f>IF(SUMIFS('Input Sheet'!$F$3:$F$1001,'Input Sheet'!$B$3:$B$1001,$H426,'Input Sheet'!$E$3:$E$1001,P$4)=0,"",SUMIFS('Input Sheet'!$F$3:$F$1001,'Input Sheet'!$B$3:$B$1001,$H426,'Input Sheet'!$E$3:$E$1001,P$4))</f>
        <v/>
      </c>
      <c r="Q426" s="21" t="str">
        <f>IF(SUMIFS('Input Sheet'!$F$3:$F$1001,'Input Sheet'!$B$3:$B$1001,$H426,'Input Sheet'!$E$3:$E$1001,Q$4)=0,"",SUMIFS('Input Sheet'!$F$3:$F$1001,'Input Sheet'!$B$3:$B$1001,$H426,'Input Sheet'!$E$3:$E$1001,Q$4))</f>
        <v/>
      </c>
      <c r="R426" s="21" t="str">
        <f>IF(SUMIFS('Input Sheet'!$F$3:$F$1001,'Input Sheet'!$B$3:$B$1001,$H426,'Input Sheet'!$E$3:$E$1001,R$4)=0,"",SUMIFS('Input Sheet'!$F$3:$F$1001,'Input Sheet'!$B$3:$B$1001,$H426,'Input Sheet'!$E$3:$E$1001,R$4))</f>
        <v/>
      </c>
      <c r="S426" s="21" t="str">
        <f>IF(SUMIFS('Input Sheet'!$F$3:$F$1001,'Input Sheet'!$B$3:$B$1001,$H426,'Input Sheet'!$E$3:$E$1001,S$4)=0,"",SUMIFS('Input Sheet'!$F$3:$F$1001,'Input Sheet'!$B$3:$B$1001,$H426,'Input Sheet'!$E$3:$E$1001,S$4))</f>
        <v/>
      </c>
      <c r="T426" s="22">
        <v>421</v>
      </c>
    </row>
    <row r="427" spans="1:20" ht="14.25" customHeight="1" x14ac:dyDescent="0.3">
      <c r="A427" s="4" t="str">
        <f>IF('Input Sheet'!B424=0,"",'Input Sheet'!B424)</f>
        <v/>
      </c>
      <c r="B427" s="24" t="b">
        <f t="shared" si="264"/>
        <v>0</v>
      </c>
      <c r="C427" s="4">
        <f>SUMIF('Input Sheet'!B$3:B$1000,A427,'Input Sheet'!C$3:C$1000)</f>
        <v>0</v>
      </c>
      <c r="D427" s="4">
        <f>SUMIF('Input Sheet'!B$3:B$1000,A427,'Input Sheet'!D$3:D$1000)</f>
        <v>0</v>
      </c>
      <c r="E427" s="4" t="str">
        <f t="shared" ref="E427:F427" ca="1" si="437">IFERROR(RANK(K427,K$6:K$1004,1),"")</f>
        <v/>
      </c>
      <c r="F427" s="4" t="str">
        <f t="shared" ca="1" si="437"/>
        <v/>
      </c>
      <c r="G427" s="4" t="str">
        <f t="shared" ca="1" si="266"/>
        <v/>
      </c>
      <c r="H427" s="4" t="str">
        <f t="shared" si="267"/>
        <v/>
      </c>
      <c r="I427" s="4" t="str">
        <f t="shared" si="268"/>
        <v/>
      </c>
      <c r="J427" s="4" t="str">
        <f t="shared" si="269"/>
        <v/>
      </c>
      <c r="K427" s="25" t="str">
        <f t="shared" ca="1" si="270"/>
        <v/>
      </c>
      <c r="L427" s="21" t="str">
        <f t="shared" ca="1" si="271"/>
        <v/>
      </c>
      <c r="M427" s="21" t="str">
        <f>IF(SUMIFS('Input Sheet'!$F$3:$F$1001,'Input Sheet'!$B$3:$B$1001,$H427,'Input Sheet'!$E$3:$E$1001,M$4)=0,"",SUMIFS('Input Sheet'!$F$3:$F$1001,'Input Sheet'!$B$3:$B$1001,$H427,'Input Sheet'!$E$3:$E$1001,M$4))</f>
        <v/>
      </c>
      <c r="N427" s="21" t="str">
        <f>IF(SUMIFS('Input Sheet'!$F$3:$F$1001,'Input Sheet'!$B$3:$B$1001,$H427,'Input Sheet'!$E$3:$E$1001,N$4)=0,"",SUMIFS('Input Sheet'!$F$3:$F$1001,'Input Sheet'!$B$3:$B$1001,$H427,'Input Sheet'!$E$3:$E$1001,N$4))</f>
        <v/>
      </c>
      <c r="O427" s="21" t="str">
        <f>IF(SUMIFS('Input Sheet'!$F$3:$F$1001,'Input Sheet'!$B$3:$B$1001,$H427,'Input Sheet'!$E$3:$E$1001,O$4)=0,"",SUMIFS('Input Sheet'!$F$3:$F$1001,'Input Sheet'!$B$3:$B$1001,$H427,'Input Sheet'!$E$3:$E$1001,O$4))</f>
        <v/>
      </c>
      <c r="P427" s="21" t="str">
        <f>IF(SUMIFS('Input Sheet'!$F$3:$F$1001,'Input Sheet'!$B$3:$B$1001,$H427,'Input Sheet'!$E$3:$E$1001,P$4)=0,"",SUMIFS('Input Sheet'!$F$3:$F$1001,'Input Sheet'!$B$3:$B$1001,$H427,'Input Sheet'!$E$3:$E$1001,P$4))</f>
        <v/>
      </c>
      <c r="Q427" s="21" t="str">
        <f>IF(SUMIFS('Input Sheet'!$F$3:$F$1001,'Input Sheet'!$B$3:$B$1001,$H427,'Input Sheet'!$E$3:$E$1001,Q$4)=0,"",SUMIFS('Input Sheet'!$F$3:$F$1001,'Input Sheet'!$B$3:$B$1001,$H427,'Input Sheet'!$E$3:$E$1001,Q$4))</f>
        <v/>
      </c>
      <c r="R427" s="21" t="str">
        <f>IF(SUMIFS('Input Sheet'!$F$3:$F$1001,'Input Sheet'!$B$3:$B$1001,$H427,'Input Sheet'!$E$3:$E$1001,R$4)=0,"",SUMIFS('Input Sheet'!$F$3:$F$1001,'Input Sheet'!$B$3:$B$1001,$H427,'Input Sheet'!$E$3:$E$1001,R$4))</f>
        <v/>
      </c>
      <c r="S427" s="21" t="str">
        <f>IF(SUMIFS('Input Sheet'!$F$3:$F$1001,'Input Sheet'!$B$3:$B$1001,$H427,'Input Sheet'!$E$3:$E$1001,S$4)=0,"",SUMIFS('Input Sheet'!$F$3:$F$1001,'Input Sheet'!$B$3:$B$1001,$H427,'Input Sheet'!$E$3:$E$1001,S$4))</f>
        <v/>
      </c>
      <c r="T427" s="22">
        <v>422</v>
      </c>
    </row>
    <row r="428" spans="1:20" ht="14.25" customHeight="1" x14ac:dyDescent="0.3">
      <c r="A428" s="4" t="str">
        <f>IF('Input Sheet'!B425=0,"",'Input Sheet'!B425)</f>
        <v/>
      </c>
      <c r="B428" s="24" t="b">
        <f t="shared" si="264"/>
        <v>0</v>
      </c>
      <c r="C428" s="4">
        <f>SUMIF('Input Sheet'!B$3:B$1000,A428,'Input Sheet'!C$3:C$1000)</f>
        <v>0</v>
      </c>
      <c r="D428" s="4">
        <f>SUMIF('Input Sheet'!B$3:B$1000,A428,'Input Sheet'!D$3:D$1000)</f>
        <v>0</v>
      </c>
      <c r="E428" s="4" t="str">
        <f t="shared" ref="E428:F428" ca="1" si="438">IFERROR(RANK(K428,K$6:K$1004,1),"")</f>
        <v/>
      </c>
      <c r="F428" s="4" t="str">
        <f t="shared" ca="1" si="438"/>
        <v/>
      </c>
      <c r="G428" s="4" t="str">
        <f t="shared" ca="1" si="266"/>
        <v/>
      </c>
      <c r="H428" s="4" t="str">
        <f t="shared" si="267"/>
        <v/>
      </c>
      <c r="I428" s="4" t="str">
        <f t="shared" si="268"/>
        <v/>
      </c>
      <c r="J428" s="4" t="str">
        <f t="shared" si="269"/>
        <v/>
      </c>
      <c r="K428" s="25" t="str">
        <f t="shared" ca="1" si="270"/>
        <v/>
      </c>
      <c r="L428" s="21" t="str">
        <f t="shared" ca="1" si="271"/>
        <v/>
      </c>
      <c r="M428" s="21" t="str">
        <f>IF(SUMIFS('Input Sheet'!$F$3:$F$1001,'Input Sheet'!$B$3:$B$1001,$H428,'Input Sheet'!$E$3:$E$1001,M$4)=0,"",SUMIFS('Input Sheet'!$F$3:$F$1001,'Input Sheet'!$B$3:$B$1001,$H428,'Input Sheet'!$E$3:$E$1001,M$4))</f>
        <v/>
      </c>
      <c r="N428" s="21" t="str">
        <f>IF(SUMIFS('Input Sheet'!$F$3:$F$1001,'Input Sheet'!$B$3:$B$1001,$H428,'Input Sheet'!$E$3:$E$1001,N$4)=0,"",SUMIFS('Input Sheet'!$F$3:$F$1001,'Input Sheet'!$B$3:$B$1001,$H428,'Input Sheet'!$E$3:$E$1001,N$4))</f>
        <v/>
      </c>
      <c r="O428" s="21" t="str">
        <f>IF(SUMIFS('Input Sheet'!$F$3:$F$1001,'Input Sheet'!$B$3:$B$1001,$H428,'Input Sheet'!$E$3:$E$1001,O$4)=0,"",SUMIFS('Input Sheet'!$F$3:$F$1001,'Input Sheet'!$B$3:$B$1001,$H428,'Input Sheet'!$E$3:$E$1001,O$4))</f>
        <v/>
      </c>
      <c r="P428" s="21" t="str">
        <f>IF(SUMIFS('Input Sheet'!$F$3:$F$1001,'Input Sheet'!$B$3:$B$1001,$H428,'Input Sheet'!$E$3:$E$1001,P$4)=0,"",SUMIFS('Input Sheet'!$F$3:$F$1001,'Input Sheet'!$B$3:$B$1001,$H428,'Input Sheet'!$E$3:$E$1001,P$4))</f>
        <v/>
      </c>
      <c r="Q428" s="21" t="str">
        <f>IF(SUMIFS('Input Sheet'!$F$3:$F$1001,'Input Sheet'!$B$3:$B$1001,$H428,'Input Sheet'!$E$3:$E$1001,Q$4)=0,"",SUMIFS('Input Sheet'!$F$3:$F$1001,'Input Sheet'!$B$3:$B$1001,$H428,'Input Sheet'!$E$3:$E$1001,Q$4))</f>
        <v/>
      </c>
      <c r="R428" s="21" t="str">
        <f>IF(SUMIFS('Input Sheet'!$F$3:$F$1001,'Input Sheet'!$B$3:$B$1001,$H428,'Input Sheet'!$E$3:$E$1001,R$4)=0,"",SUMIFS('Input Sheet'!$F$3:$F$1001,'Input Sheet'!$B$3:$B$1001,$H428,'Input Sheet'!$E$3:$E$1001,R$4))</f>
        <v/>
      </c>
      <c r="S428" s="21" t="str">
        <f>IF(SUMIFS('Input Sheet'!$F$3:$F$1001,'Input Sheet'!$B$3:$B$1001,$H428,'Input Sheet'!$E$3:$E$1001,S$4)=0,"",SUMIFS('Input Sheet'!$F$3:$F$1001,'Input Sheet'!$B$3:$B$1001,$H428,'Input Sheet'!$E$3:$E$1001,S$4))</f>
        <v/>
      </c>
      <c r="T428" s="22">
        <v>423</v>
      </c>
    </row>
    <row r="429" spans="1:20" ht="14.25" customHeight="1" x14ac:dyDescent="0.3">
      <c r="A429" s="4" t="str">
        <f>IF('Input Sheet'!B426=0,"",'Input Sheet'!B426)</f>
        <v/>
      </c>
      <c r="B429" s="24" t="b">
        <f t="shared" si="264"/>
        <v>0</v>
      </c>
      <c r="C429" s="4">
        <f>SUMIF('Input Sheet'!B$3:B$1000,A429,'Input Sheet'!C$3:C$1000)</f>
        <v>0</v>
      </c>
      <c r="D429" s="4">
        <f>SUMIF('Input Sheet'!B$3:B$1000,A429,'Input Sheet'!D$3:D$1000)</f>
        <v>0</v>
      </c>
      <c r="E429" s="4" t="str">
        <f t="shared" ref="E429:F429" ca="1" si="439">IFERROR(RANK(K429,K$6:K$1004,1),"")</f>
        <v/>
      </c>
      <c r="F429" s="4" t="str">
        <f t="shared" ca="1" si="439"/>
        <v/>
      </c>
      <c r="G429" s="4" t="str">
        <f t="shared" ca="1" si="266"/>
        <v/>
      </c>
      <c r="H429" s="4" t="str">
        <f t="shared" si="267"/>
        <v/>
      </c>
      <c r="I429" s="4" t="str">
        <f t="shared" si="268"/>
        <v/>
      </c>
      <c r="J429" s="4" t="str">
        <f t="shared" si="269"/>
        <v/>
      </c>
      <c r="K429" s="25" t="str">
        <f t="shared" ca="1" si="270"/>
        <v/>
      </c>
      <c r="L429" s="21" t="str">
        <f t="shared" ca="1" si="271"/>
        <v/>
      </c>
      <c r="M429" s="21" t="str">
        <f>IF(SUMIFS('Input Sheet'!$F$3:$F$1001,'Input Sheet'!$B$3:$B$1001,$H429,'Input Sheet'!$E$3:$E$1001,M$4)=0,"",SUMIFS('Input Sheet'!$F$3:$F$1001,'Input Sheet'!$B$3:$B$1001,$H429,'Input Sheet'!$E$3:$E$1001,M$4))</f>
        <v/>
      </c>
      <c r="N429" s="21" t="str">
        <f>IF(SUMIFS('Input Sheet'!$F$3:$F$1001,'Input Sheet'!$B$3:$B$1001,$H429,'Input Sheet'!$E$3:$E$1001,N$4)=0,"",SUMIFS('Input Sheet'!$F$3:$F$1001,'Input Sheet'!$B$3:$B$1001,$H429,'Input Sheet'!$E$3:$E$1001,N$4))</f>
        <v/>
      </c>
      <c r="O429" s="21" t="str">
        <f>IF(SUMIFS('Input Sheet'!$F$3:$F$1001,'Input Sheet'!$B$3:$B$1001,$H429,'Input Sheet'!$E$3:$E$1001,O$4)=0,"",SUMIFS('Input Sheet'!$F$3:$F$1001,'Input Sheet'!$B$3:$B$1001,$H429,'Input Sheet'!$E$3:$E$1001,O$4))</f>
        <v/>
      </c>
      <c r="P429" s="21" t="str">
        <f>IF(SUMIFS('Input Sheet'!$F$3:$F$1001,'Input Sheet'!$B$3:$B$1001,$H429,'Input Sheet'!$E$3:$E$1001,P$4)=0,"",SUMIFS('Input Sheet'!$F$3:$F$1001,'Input Sheet'!$B$3:$B$1001,$H429,'Input Sheet'!$E$3:$E$1001,P$4))</f>
        <v/>
      </c>
      <c r="Q429" s="21" t="str">
        <f>IF(SUMIFS('Input Sheet'!$F$3:$F$1001,'Input Sheet'!$B$3:$B$1001,$H429,'Input Sheet'!$E$3:$E$1001,Q$4)=0,"",SUMIFS('Input Sheet'!$F$3:$F$1001,'Input Sheet'!$B$3:$B$1001,$H429,'Input Sheet'!$E$3:$E$1001,Q$4))</f>
        <v/>
      </c>
      <c r="R429" s="21" t="str">
        <f>IF(SUMIFS('Input Sheet'!$F$3:$F$1001,'Input Sheet'!$B$3:$B$1001,$H429,'Input Sheet'!$E$3:$E$1001,R$4)=0,"",SUMIFS('Input Sheet'!$F$3:$F$1001,'Input Sheet'!$B$3:$B$1001,$H429,'Input Sheet'!$E$3:$E$1001,R$4))</f>
        <v/>
      </c>
      <c r="S429" s="21" t="str">
        <f>IF(SUMIFS('Input Sheet'!$F$3:$F$1001,'Input Sheet'!$B$3:$B$1001,$H429,'Input Sheet'!$E$3:$E$1001,S$4)=0,"",SUMIFS('Input Sheet'!$F$3:$F$1001,'Input Sheet'!$B$3:$B$1001,$H429,'Input Sheet'!$E$3:$E$1001,S$4))</f>
        <v/>
      </c>
      <c r="T429" s="22">
        <v>424</v>
      </c>
    </row>
    <row r="430" spans="1:20" ht="14.25" customHeight="1" x14ac:dyDescent="0.3">
      <c r="A430" s="4" t="str">
        <f>IF('Input Sheet'!B427=0,"",'Input Sheet'!B427)</f>
        <v/>
      </c>
      <c r="B430" s="24" t="b">
        <f t="shared" si="264"/>
        <v>0</v>
      </c>
      <c r="C430" s="4">
        <f>SUMIF('Input Sheet'!B$3:B$1000,A430,'Input Sheet'!C$3:C$1000)</f>
        <v>0</v>
      </c>
      <c r="D430" s="4">
        <f>SUMIF('Input Sheet'!B$3:B$1000,A430,'Input Sheet'!D$3:D$1000)</f>
        <v>0</v>
      </c>
      <c r="E430" s="4" t="str">
        <f t="shared" ref="E430:F430" ca="1" si="440">IFERROR(RANK(K430,K$6:K$1004,1),"")</f>
        <v/>
      </c>
      <c r="F430" s="4" t="str">
        <f t="shared" ca="1" si="440"/>
        <v/>
      </c>
      <c r="G430" s="4" t="str">
        <f t="shared" ca="1" si="266"/>
        <v/>
      </c>
      <c r="H430" s="4" t="str">
        <f t="shared" si="267"/>
        <v/>
      </c>
      <c r="I430" s="4" t="str">
        <f t="shared" si="268"/>
        <v/>
      </c>
      <c r="J430" s="4" t="str">
        <f t="shared" si="269"/>
        <v/>
      </c>
      <c r="K430" s="25" t="str">
        <f t="shared" ca="1" si="270"/>
        <v/>
      </c>
      <c r="L430" s="21" t="str">
        <f t="shared" ca="1" si="271"/>
        <v/>
      </c>
      <c r="M430" s="21" t="str">
        <f>IF(SUMIFS('Input Sheet'!$F$3:$F$1001,'Input Sheet'!$B$3:$B$1001,$H430,'Input Sheet'!$E$3:$E$1001,M$4)=0,"",SUMIFS('Input Sheet'!$F$3:$F$1001,'Input Sheet'!$B$3:$B$1001,$H430,'Input Sheet'!$E$3:$E$1001,M$4))</f>
        <v/>
      </c>
      <c r="N430" s="21" t="str">
        <f>IF(SUMIFS('Input Sheet'!$F$3:$F$1001,'Input Sheet'!$B$3:$B$1001,$H430,'Input Sheet'!$E$3:$E$1001,N$4)=0,"",SUMIFS('Input Sheet'!$F$3:$F$1001,'Input Sheet'!$B$3:$B$1001,$H430,'Input Sheet'!$E$3:$E$1001,N$4))</f>
        <v/>
      </c>
      <c r="O430" s="21" t="str">
        <f>IF(SUMIFS('Input Sheet'!$F$3:$F$1001,'Input Sheet'!$B$3:$B$1001,$H430,'Input Sheet'!$E$3:$E$1001,O$4)=0,"",SUMIFS('Input Sheet'!$F$3:$F$1001,'Input Sheet'!$B$3:$B$1001,$H430,'Input Sheet'!$E$3:$E$1001,O$4))</f>
        <v/>
      </c>
      <c r="P430" s="21" t="str">
        <f>IF(SUMIFS('Input Sheet'!$F$3:$F$1001,'Input Sheet'!$B$3:$B$1001,$H430,'Input Sheet'!$E$3:$E$1001,P$4)=0,"",SUMIFS('Input Sheet'!$F$3:$F$1001,'Input Sheet'!$B$3:$B$1001,$H430,'Input Sheet'!$E$3:$E$1001,P$4))</f>
        <v/>
      </c>
      <c r="Q430" s="21" t="str">
        <f>IF(SUMIFS('Input Sheet'!$F$3:$F$1001,'Input Sheet'!$B$3:$B$1001,$H430,'Input Sheet'!$E$3:$E$1001,Q$4)=0,"",SUMIFS('Input Sheet'!$F$3:$F$1001,'Input Sheet'!$B$3:$B$1001,$H430,'Input Sheet'!$E$3:$E$1001,Q$4))</f>
        <v/>
      </c>
      <c r="R430" s="21" t="str">
        <f>IF(SUMIFS('Input Sheet'!$F$3:$F$1001,'Input Sheet'!$B$3:$B$1001,$H430,'Input Sheet'!$E$3:$E$1001,R$4)=0,"",SUMIFS('Input Sheet'!$F$3:$F$1001,'Input Sheet'!$B$3:$B$1001,$H430,'Input Sheet'!$E$3:$E$1001,R$4))</f>
        <v/>
      </c>
      <c r="S430" s="21" t="str">
        <f>IF(SUMIFS('Input Sheet'!$F$3:$F$1001,'Input Sheet'!$B$3:$B$1001,$H430,'Input Sheet'!$E$3:$E$1001,S$4)=0,"",SUMIFS('Input Sheet'!$F$3:$F$1001,'Input Sheet'!$B$3:$B$1001,$H430,'Input Sheet'!$E$3:$E$1001,S$4))</f>
        <v/>
      </c>
      <c r="T430" s="22">
        <v>425</v>
      </c>
    </row>
    <row r="431" spans="1:20" ht="14.25" customHeight="1" x14ac:dyDescent="0.3">
      <c r="A431" s="4" t="str">
        <f>IF('Input Sheet'!B428=0,"",'Input Sheet'!B428)</f>
        <v/>
      </c>
      <c r="B431" s="24" t="b">
        <f t="shared" si="264"/>
        <v>0</v>
      </c>
      <c r="C431" s="4">
        <f>SUMIF('Input Sheet'!B$3:B$1000,A431,'Input Sheet'!C$3:C$1000)</f>
        <v>0</v>
      </c>
      <c r="D431" s="4">
        <f>SUMIF('Input Sheet'!B$3:B$1000,A431,'Input Sheet'!D$3:D$1000)</f>
        <v>0</v>
      </c>
      <c r="E431" s="4" t="str">
        <f t="shared" ref="E431:F431" ca="1" si="441">IFERROR(RANK(K431,K$6:K$1004,1),"")</f>
        <v/>
      </c>
      <c r="F431" s="4" t="str">
        <f t="shared" ca="1" si="441"/>
        <v/>
      </c>
      <c r="G431" s="4" t="str">
        <f t="shared" ca="1" si="266"/>
        <v/>
      </c>
      <c r="H431" s="4" t="str">
        <f t="shared" si="267"/>
        <v/>
      </c>
      <c r="I431" s="4" t="str">
        <f t="shared" si="268"/>
        <v/>
      </c>
      <c r="J431" s="4" t="str">
        <f t="shared" si="269"/>
        <v/>
      </c>
      <c r="K431" s="25" t="str">
        <f t="shared" ca="1" si="270"/>
        <v/>
      </c>
      <c r="L431" s="21" t="str">
        <f t="shared" ca="1" si="271"/>
        <v/>
      </c>
      <c r="M431" s="21" t="str">
        <f>IF(SUMIFS('Input Sheet'!$F$3:$F$1001,'Input Sheet'!$B$3:$B$1001,$H431,'Input Sheet'!$E$3:$E$1001,M$4)=0,"",SUMIFS('Input Sheet'!$F$3:$F$1001,'Input Sheet'!$B$3:$B$1001,$H431,'Input Sheet'!$E$3:$E$1001,M$4))</f>
        <v/>
      </c>
      <c r="N431" s="21" t="str">
        <f>IF(SUMIFS('Input Sheet'!$F$3:$F$1001,'Input Sheet'!$B$3:$B$1001,$H431,'Input Sheet'!$E$3:$E$1001,N$4)=0,"",SUMIFS('Input Sheet'!$F$3:$F$1001,'Input Sheet'!$B$3:$B$1001,$H431,'Input Sheet'!$E$3:$E$1001,N$4))</f>
        <v/>
      </c>
      <c r="O431" s="21" t="str">
        <f>IF(SUMIFS('Input Sheet'!$F$3:$F$1001,'Input Sheet'!$B$3:$B$1001,$H431,'Input Sheet'!$E$3:$E$1001,O$4)=0,"",SUMIFS('Input Sheet'!$F$3:$F$1001,'Input Sheet'!$B$3:$B$1001,$H431,'Input Sheet'!$E$3:$E$1001,O$4))</f>
        <v/>
      </c>
      <c r="P431" s="21" t="str">
        <f>IF(SUMIFS('Input Sheet'!$F$3:$F$1001,'Input Sheet'!$B$3:$B$1001,$H431,'Input Sheet'!$E$3:$E$1001,P$4)=0,"",SUMIFS('Input Sheet'!$F$3:$F$1001,'Input Sheet'!$B$3:$B$1001,$H431,'Input Sheet'!$E$3:$E$1001,P$4))</f>
        <v/>
      </c>
      <c r="Q431" s="21" t="str">
        <f>IF(SUMIFS('Input Sheet'!$F$3:$F$1001,'Input Sheet'!$B$3:$B$1001,$H431,'Input Sheet'!$E$3:$E$1001,Q$4)=0,"",SUMIFS('Input Sheet'!$F$3:$F$1001,'Input Sheet'!$B$3:$B$1001,$H431,'Input Sheet'!$E$3:$E$1001,Q$4))</f>
        <v/>
      </c>
      <c r="R431" s="21" t="str">
        <f>IF(SUMIFS('Input Sheet'!$F$3:$F$1001,'Input Sheet'!$B$3:$B$1001,$H431,'Input Sheet'!$E$3:$E$1001,R$4)=0,"",SUMIFS('Input Sheet'!$F$3:$F$1001,'Input Sheet'!$B$3:$B$1001,$H431,'Input Sheet'!$E$3:$E$1001,R$4))</f>
        <v/>
      </c>
      <c r="S431" s="21" t="str">
        <f>IF(SUMIFS('Input Sheet'!$F$3:$F$1001,'Input Sheet'!$B$3:$B$1001,$H431,'Input Sheet'!$E$3:$E$1001,S$4)=0,"",SUMIFS('Input Sheet'!$F$3:$F$1001,'Input Sheet'!$B$3:$B$1001,$H431,'Input Sheet'!$E$3:$E$1001,S$4))</f>
        <v/>
      </c>
      <c r="T431" s="22">
        <v>426</v>
      </c>
    </row>
    <row r="432" spans="1:20" ht="14.25" customHeight="1" x14ac:dyDescent="0.3">
      <c r="A432" s="4" t="str">
        <f>IF('Input Sheet'!B429=0,"",'Input Sheet'!B429)</f>
        <v/>
      </c>
      <c r="B432" s="24" t="b">
        <f t="shared" si="264"/>
        <v>0</v>
      </c>
      <c r="C432" s="4">
        <f>SUMIF('Input Sheet'!B$3:B$1000,A432,'Input Sheet'!C$3:C$1000)</f>
        <v>0</v>
      </c>
      <c r="D432" s="4">
        <f>SUMIF('Input Sheet'!B$3:B$1000,A432,'Input Sheet'!D$3:D$1000)</f>
        <v>0</v>
      </c>
      <c r="E432" s="4" t="str">
        <f t="shared" ref="E432:F432" ca="1" si="442">IFERROR(RANK(K432,K$6:K$1004,1),"")</f>
        <v/>
      </c>
      <c r="F432" s="4" t="str">
        <f t="shared" ca="1" si="442"/>
        <v/>
      </c>
      <c r="G432" s="4" t="str">
        <f t="shared" ca="1" si="266"/>
        <v/>
      </c>
      <c r="H432" s="4" t="str">
        <f t="shared" si="267"/>
        <v/>
      </c>
      <c r="I432" s="4" t="str">
        <f t="shared" si="268"/>
        <v/>
      </c>
      <c r="J432" s="4" t="str">
        <f t="shared" si="269"/>
        <v/>
      </c>
      <c r="K432" s="25" t="str">
        <f t="shared" ca="1" si="270"/>
        <v/>
      </c>
      <c r="L432" s="21" t="str">
        <f t="shared" ca="1" si="271"/>
        <v/>
      </c>
      <c r="M432" s="21" t="str">
        <f>IF(SUMIFS('Input Sheet'!$F$3:$F$1001,'Input Sheet'!$B$3:$B$1001,$H432,'Input Sheet'!$E$3:$E$1001,M$4)=0,"",SUMIFS('Input Sheet'!$F$3:$F$1001,'Input Sheet'!$B$3:$B$1001,$H432,'Input Sheet'!$E$3:$E$1001,M$4))</f>
        <v/>
      </c>
      <c r="N432" s="21" t="str">
        <f>IF(SUMIFS('Input Sheet'!$F$3:$F$1001,'Input Sheet'!$B$3:$B$1001,$H432,'Input Sheet'!$E$3:$E$1001,N$4)=0,"",SUMIFS('Input Sheet'!$F$3:$F$1001,'Input Sheet'!$B$3:$B$1001,$H432,'Input Sheet'!$E$3:$E$1001,N$4))</f>
        <v/>
      </c>
      <c r="O432" s="21" t="str">
        <f>IF(SUMIFS('Input Sheet'!$F$3:$F$1001,'Input Sheet'!$B$3:$B$1001,$H432,'Input Sheet'!$E$3:$E$1001,O$4)=0,"",SUMIFS('Input Sheet'!$F$3:$F$1001,'Input Sheet'!$B$3:$B$1001,$H432,'Input Sheet'!$E$3:$E$1001,O$4))</f>
        <v/>
      </c>
      <c r="P432" s="21" t="str">
        <f>IF(SUMIFS('Input Sheet'!$F$3:$F$1001,'Input Sheet'!$B$3:$B$1001,$H432,'Input Sheet'!$E$3:$E$1001,P$4)=0,"",SUMIFS('Input Sheet'!$F$3:$F$1001,'Input Sheet'!$B$3:$B$1001,$H432,'Input Sheet'!$E$3:$E$1001,P$4))</f>
        <v/>
      </c>
      <c r="Q432" s="21" t="str">
        <f>IF(SUMIFS('Input Sheet'!$F$3:$F$1001,'Input Sheet'!$B$3:$B$1001,$H432,'Input Sheet'!$E$3:$E$1001,Q$4)=0,"",SUMIFS('Input Sheet'!$F$3:$F$1001,'Input Sheet'!$B$3:$B$1001,$H432,'Input Sheet'!$E$3:$E$1001,Q$4))</f>
        <v/>
      </c>
      <c r="R432" s="21" t="str">
        <f>IF(SUMIFS('Input Sheet'!$F$3:$F$1001,'Input Sheet'!$B$3:$B$1001,$H432,'Input Sheet'!$E$3:$E$1001,R$4)=0,"",SUMIFS('Input Sheet'!$F$3:$F$1001,'Input Sheet'!$B$3:$B$1001,$H432,'Input Sheet'!$E$3:$E$1001,R$4))</f>
        <v/>
      </c>
      <c r="S432" s="21" t="str">
        <f>IF(SUMIFS('Input Sheet'!$F$3:$F$1001,'Input Sheet'!$B$3:$B$1001,$H432,'Input Sheet'!$E$3:$E$1001,S$4)=0,"",SUMIFS('Input Sheet'!$F$3:$F$1001,'Input Sheet'!$B$3:$B$1001,$H432,'Input Sheet'!$E$3:$E$1001,S$4))</f>
        <v/>
      </c>
      <c r="T432" s="22">
        <v>427</v>
      </c>
    </row>
    <row r="433" spans="1:20" ht="14.25" customHeight="1" x14ac:dyDescent="0.3">
      <c r="A433" s="4" t="str">
        <f>IF('Input Sheet'!B430=0,"",'Input Sheet'!B430)</f>
        <v/>
      </c>
      <c r="B433" s="24" t="b">
        <f t="shared" si="264"/>
        <v>0</v>
      </c>
      <c r="C433" s="4">
        <f>SUMIF('Input Sheet'!B$3:B$1000,A433,'Input Sheet'!C$3:C$1000)</f>
        <v>0</v>
      </c>
      <c r="D433" s="4">
        <f>SUMIF('Input Sheet'!B$3:B$1000,A433,'Input Sheet'!D$3:D$1000)</f>
        <v>0</v>
      </c>
      <c r="E433" s="4" t="str">
        <f t="shared" ref="E433:F433" ca="1" si="443">IFERROR(RANK(K433,K$6:K$1004,1),"")</f>
        <v/>
      </c>
      <c r="F433" s="4" t="str">
        <f t="shared" ca="1" si="443"/>
        <v/>
      </c>
      <c r="G433" s="4" t="str">
        <f t="shared" ca="1" si="266"/>
        <v/>
      </c>
      <c r="H433" s="4" t="str">
        <f t="shared" si="267"/>
        <v/>
      </c>
      <c r="I433" s="4" t="str">
        <f t="shared" si="268"/>
        <v/>
      </c>
      <c r="J433" s="4" t="str">
        <f t="shared" si="269"/>
        <v/>
      </c>
      <c r="K433" s="25" t="str">
        <f t="shared" ca="1" si="270"/>
        <v/>
      </c>
      <c r="L433" s="21" t="str">
        <f t="shared" ca="1" si="271"/>
        <v/>
      </c>
      <c r="M433" s="21" t="str">
        <f>IF(SUMIFS('Input Sheet'!$F$3:$F$1001,'Input Sheet'!$B$3:$B$1001,$H433,'Input Sheet'!$E$3:$E$1001,M$4)=0,"",SUMIFS('Input Sheet'!$F$3:$F$1001,'Input Sheet'!$B$3:$B$1001,$H433,'Input Sheet'!$E$3:$E$1001,M$4))</f>
        <v/>
      </c>
      <c r="N433" s="21" t="str">
        <f>IF(SUMIFS('Input Sheet'!$F$3:$F$1001,'Input Sheet'!$B$3:$B$1001,$H433,'Input Sheet'!$E$3:$E$1001,N$4)=0,"",SUMIFS('Input Sheet'!$F$3:$F$1001,'Input Sheet'!$B$3:$B$1001,$H433,'Input Sheet'!$E$3:$E$1001,N$4))</f>
        <v/>
      </c>
      <c r="O433" s="21" t="str">
        <f>IF(SUMIFS('Input Sheet'!$F$3:$F$1001,'Input Sheet'!$B$3:$B$1001,$H433,'Input Sheet'!$E$3:$E$1001,O$4)=0,"",SUMIFS('Input Sheet'!$F$3:$F$1001,'Input Sheet'!$B$3:$B$1001,$H433,'Input Sheet'!$E$3:$E$1001,O$4))</f>
        <v/>
      </c>
      <c r="P433" s="21" t="str">
        <f>IF(SUMIFS('Input Sheet'!$F$3:$F$1001,'Input Sheet'!$B$3:$B$1001,$H433,'Input Sheet'!$E$3:$E$1001,P$4)=0,"",SUMIFS('Input Sheet'!$F$3:$F$1001,'Input Sheet'!$B$3:$B$1001,$H433,'Input Sheet'!$E$3:$E$1001,P$4))</f>
        <v/>
      </c>
      <c r="Q433" s="21" t="str">
        <f>IF(SUMIFS('Input Sheet'!$F$3:$F$1001,'Input Sheet'!$B$3:$B$1001,$H433,'Input Sheet'!$E$3:$E$1001,Q$4)=0,"",SUMIFS('Input Sheet'!$F$3:$F$1001,'Input Sheet'!$B$3:$B$1001,$H433,'Input Sheet'!$E$3:$E$1001,Q$4))</f>
        <v/>
      </c>
      <c r="R433" s="21" t="str">
        <f>IF(SUMIFS('Input Sheet'!$F$3:$F$1001,'Input Sheet'!$B$3:$B$1001,$H433,'Input Sheet'!$E$3:$E$1001,R$4)=0,"",SUMIFS('Input Sheet'!$F$3:$F$1001,'Input Sheet'!$B$3:$B$1001,$H433,'Input Sheet'!$E$3:$E$1001,R$4))</f>
        <v/>
      </c>
      <c r="S433" s="21" t="str">
        <f>IF(SUMIFS('Input Sheet'!$F$3:$F$1001,'Input Sheet'!$B$3:$B$1001,$H433,'Input Sheet'!$E$3:$E$1001,S$4)=0,"",SUMIFS('Input Sheet'!$F$3:$F$1001,'Input Sheet'!$B$3:$B$1001,$H433,'Input Sheet'!$E$3:$E$1001,S$4))</f>
        <v/>
      </c>
      <c r="T433" s="22">
        <v>428</v>
      </c>
    </row>
    <row r="434" spans="1:20" ht="14.25" customHeight="1" x14ac:dyDescent="0.3">
      <c r="A434" s="4" t="str">
        <f>IF('Input Sheet'!B431=0,"",'Input Sheet'!B431)</f>
        <v/>
      </c>
      <c r="B434" s="24" t="b">
        <f t="shared" si="264"/>
        <v>0</v>
      </c>
      <c r="C434" s="4">
        <f>SUMIF('Input Sheet'!B$3:B$1000,A434,'Input Sheet'!C$3:C$1000)</f>
        <v>0</v>
      </c>
      <c r="D434" s="4">
        <f>SUMIF('Input Sheet'!B$3:B$1000,A434,'Input Sheet'!D$3:D$1000)</f>
        <v>0</v>
      </c>
      <c r="E434" s="4" t="str">
        <f t="shared" ref="E434:F434" ca="1" si="444">IFERROR(RANK(K434,K$6:K$1004,1),"")</f>
        <v/>
      </c>
      <c r="F434" s="4" t="str">
        <f t="shared" ca="1" si="444"/>
        <v/>
      </c>
      <c r="G434" s="4" t="str">
        <f t="shared" ca="1" si="266"/>
        <v/>
      </c>
      <c r="H434" s="4" t="str">
        <f t="shared" si="267"/>
        <v/>
      </c>
      <c r="I434" s="4" t="str">
        <f t="shared" si="268"/>
        <v/>
      </c>
      <c r="J434" s="4" t="str">
        <f t="shared" si="269"/>
        <v/>
      </c>
      <c r="K434" s="25" t="str">
        <f t="shared" ca="1" si="270"/>
        <v/>
      </c>
      <c r="L434" s="21" t="str">
        <f t="shared" ca="1" si="271"/>
        <v/>
      </c>
      <c r="M434" s="21" t="str">
        <f>IF(SUMIFS('Input Sheet'!$F$3:$F$1001,'Input Sheet'!$B$3:$B$1001,$H434,'Input Sheet'!$E$3:$E$1001,M$4)=0,"",SUMIFS('Input Sheet'!$F$3:$F$1001,'Input Sheet'!$B$3:$B$1001,$H434,'Input Sheet'!$E$3:$E$1001,M$4))</f>
        <v/>
      </c>
      <c r="N434" s="21" t="str">
        <f>IF(SUMIFS('Input Sheet'!$F$3:$F$1001,'Input Sheet'!$B$3:$B$1001,$H434,'Input Sheet'!$E$3:$E$1001,N$4)=0,"",SUMIFS('Input Sheet'!$F$3:$F$1001,'Input Sheet'!$B$3:$B$1001,$H434,'Input Sheet'!$E$3:$E$1001,N$4))</f>
        <v/>
      </c>
      <c r="O434" s="21" t="str">
        <f>IF(SUMIFS('Input Sheet'!$F$3:$F$1001,'Input Sheet'!$B$3:$B$1001,$H434,'Input Sheet'!$E$3:$E$1001,O$4)=0,"",SUMIFS('Input Sheet'!$F$3:$F$1001,'Input Sheet'!$B$3:$B$1001,$H434,'Input Sheet'!$E$3:$E$1001,O$4))</f>
        <v/>
      </c>
      <c r="P434" s="21" t="str">
        <f>IF(SUMIFS('Input Sheet'!$F$3:$F$1001,'Input Sheet'!$B$3:$B$1001,$H434,'Input Sheet'!$E$3:$E$1001,P$4)=0,"",SUMIFS('Input Sheet'!$F$3:$F$1001,'Input Sheet'!$B$3:$B$1001,$H434,'Input Sheet'!$E$3:$E$1001,P$4))</f>
        <v/>
      </c>
      <c r="Q434" s="21" t="str">
        <f>IF(SUMIFS('Input Sheet'!$F$3:$F$1001,'Input Sheet'!$B$3:$B$1001,$H434,'Input Sheet'!$E$3:$E$1001,Q$4)=0,"",SUMIFS('Input Sheet'!$F$3:$F$1001,'Input Sheet'!$B$3:$B$1001,$H434,'Input Sheet'!$E$3:$E$1001,Q$4))</f>
        <v/>
      </c>
      <c r="R434" s="21" t="str">
        <f>IF(SUMIFS('Input Sheet'!$F$3:$F$1001,'Input Sheet'!$B$3:$B$1001,$H434,'Input Sheet'!$E$3:$E$1001,R$4)=0,"",SUMIFS('Input Sheet'!$F$3:$F$1001,'Input Sheet'!$B$3:$B$1001,$H434,'Input Sheet'!$E$3:$E$1001,R$4))</f>
        <v/>
      </c>
      <c r="S434" s="21" t="str">
        <f>IF(SUMIFS('Input Sheet'!$F$3:$F$1001,'Input Sheet'!$B$3:$B$1001,$H434,'Input Sheet'!$E$3:$E$1001,S$4)=0,"",SUMIFS('Input Sheet'!$F$3:$F$1001,'Input Sheet'!$B$3:$B$1001,$H434,'Input Sheet'!$E$3:$E$1001,S$4))</f>
        <v/>
      </c>
      <c r="T434" s="22">
        <v>429</v>
      </c>
    </row>
    <row r="435" spans="1:20" ht="14.25" customHeight="1" x14ac:dyDescent="0.3">
      <c r="A435" s="4" t="str">
        <f>IF('Input Sheet'!B432=0,"",'Input Sheet'!B432)</f>
        <v/>
      </c>
      <c r="B435" s="24" t="b">
        <f t="shared" si="264"/>
        <v>0</v>
      </c>
      <c r="C435" s="4">
        <f>SUMIF('Input Sheet'!B$3:B$1000,A435,'Input Sheet'!C$3:C$1000)</f>
        <v>0</v>
      </c>
      <c r="D435" s="4">
        <f>SUMIF('Input Sheet'!B$3:B$1000,A435,'Input Sheet'!D$3:D$1000)</f>
        <v>0</v>
      </c>
      <c r="E435" s="4" t="str">
        <f t="shared" ref="E435:F435" ca="1" si="445">IFERROR(RANK(K435,K$6:K$1004,1),"")</f>
        <v/>
      </c>
      <c r="F435" s="4" t="str">
        <f t="shared" ca="1" si="445"/>
        <v/>
      </c>
      <c r="G435" s="4" t="str">
        <f t="shared" ca="1" si="266"/>
        <v/>
      </c>
      <c r="H435" s="4" t="str">
        <f t="shared" si="267"/>
        <v/>
      </c>
      <c r="I435" s="4" t="str">
        <f t="shared" si="268"/>
        <v/>
      </c>
      <c r="J435" s="4" t="str">
        <f t="shared" si="269"/>
        <v/>
      </c>
      <c r="K435" s="25" t="str">
        <f t="shared" ca="1" si="270"/>
        <v/>
      </c>
      <c r="L435" s="21" t="str">
        <f t="shared" ca="1" si="271"/>
        <v/>
      </c>
      <c r="M435" s="21" t="str">
        <f>IF(SUMIFS('Input Sheet'!$F$3:$F$1001,'Input Sheet'!$B$3:$B$1001,$H435,'Input Sheet'!$E$3:$E$1001,M$4)=0,"",SUMIFS('Input Sheet'!$F$3:$F$1001,'Input Sheet'!$B$3:$B$1001,$H435,'Input Sheet'!$E$3:$E$1001,M$4))</f>
        <v/>
      </c>
      <c r="N435" s="21" t="str">
        <f>IF(SUMIFS('Input Sheet'!$F$3:$F$1001,'Input Sheet'!$B$3:$B$1001,$H435,'Input Sheet'!$E$3:$E$1001,N$4)=0,"",SUMIFS('Input Sheet'!$F$3:$F$1001,'Input Sheet'!$B$3:$B$1001,$H435,'Input Sheet'!$E$3:$E$1001,N$4))</f>
        <v/>
      </c>
      <c r="O435" s="21" t="str">
        <f>IF(SUMIFS('Input Sheet'!$F$3:$F$1001,'Input Sheet'!$B$3:$B$1001,$H435,'Input Sheet'!$E$3:$E$1001,O$4)=0,"",SUMIFS('Input Sheet'!$F$3:$F$1001,'Input Sheet'!$B$3:$B$1001,$H435,'Input Sheet'!$E$3:$E$1001,O$4))</f>
        <v/>
      </c>
      <c r="P435" s="21" t="str">
        <f>IF(SUMIFS('Input Sheet'!$F$3:$F$1001,'Input Sheet'!$B$3:$B$1001,$H435,'Input Sheet'!$E$3:$E$1001,P$4)=0,"",SUMIFS('Input Sheet'!$F$3:$F$1001,'Input Sheet'!$B$3:$B$1001,$H435,'Input Sheet'!$E$3:$E$1001,P$4))</f>
        <v/>
      </c>
      <c r="Q435" s="21" t="str">
        <f>IF(SUMIFS('Input Sheet'!$F$3:$F$1001,'Input Sheet'!$B$3:$B$1001,$H435,'Input Sheet'!$E$3:$E$1001,Q$4)=0,"",SUMIFS('Input Sheet'!$F$3:$F$1001,'Input Sheet'!$B$3:$B$1001,$H435,'Input Sheet'!$E$3:$E$1001,Q$4))</f>
        <v/>
      </c>
      <c r="R435" s="21" t="str">
        <f>IF(SUMIFS('Input Sheet'!$F$3:$F$1001,'Input Sheet'!$B$3:$B$1001,$H435,'Input Sheet'!$E$3:$E$1001,R$4)=0,"",SUMIFS('Input Sheet'!$F$3:$F$1001,'Input Sheet'!$B$3:$B$1001,$H435,'Input Sheet'!$E$3:$E$1001,R$4))</f>
        <v/>
      </c>
      <c r="S435" s="21" t="str">
        <f>IF(SUMIFS('Input Sheet'!$F$3:$F$1001,'Input Sheet'!$B$3:$B$1001,$H435,'Input Sheet'!$E$3:$E$1001,S$4)=0,"",SUMIFS('Input Sheet'!$F$3:$F$1001,'Input Sheet'!$B$3:$B$1001,$H435,'Input Sheet'!$E$3:$E$1001,S$4))</f>
        <v/>
      </c>
      <c r="T435" s="22">
        <v>430</v>
      </c>
    </row>
    <row r="436" spans="1:20" ht="14.25" customHeight="1" x14ac:dyDescent="0.3">
      <c r="A436" s="4" t="str">
        <f>IF('Input Sheet'!B433=0,"",'Input Sheet'!B433)</f>
        <v/>
      </c>
      <c r="B436" s="24" t="b">
        <f t="shared" si="264"/>
        <v>0</v>
      </c>
      <c r="C436" s="4">
        <f>SUMIF('Input Sheet'!B$3:B$1000,A436,'Input Sheet'!C$3:C$1000)</f>
        <v>0</v>
      </c>
      <c r="D436" s="4">
        <f>SUMIF('Input Sheet'!B$3:B$1000,A436,'Input Sheet'!D$3:D$1000)</f>
        <v>0</v>
      </c>
      <c r="E436" s="4" t="str">
        <f t="shared" ref="E436:F436" ca="1" si="446">IFERROR(RANK(K436,K$6:K$1004,1),"")</f>
        <v/>
      </c>
      <c r="F436" s="4" t="str">
        <f t="shared" ca="1" si="446"/>
        <v/>
      </c>
      <c r="G436" s="4" t="str">
        <f t="shared" ca="1" si="266"/>
        <v/>
      </c>
      <c r="H436" s="4" t="str">
        <f t="shared" si="267"/>
        <v/>
      </c>
      <c r="I436" s="4" t="str">
        <f t="shared" si="268"/>
        <v/>
      </c>
      <c r="J436" s="4" t="str">
        <f t="shared" si="269"/>
        <v/>
      </c>
      <c r="K436" s="25" t="str">
        <f t="shared" ca="1" si="270"/>
        <v/>
      </c>
      <c r="L436" s="21" t="str">
        <f t="shared" ca="1" si="271"/>
        <v/>
      </c>
      <c r="M436" s="21" t="str">
        <f>IF(SUMIFS('Input Sheet'!$F$3:$F$1001,'Input Sheet'!$B$3:$B$1001,$H436,'Input Sheet'!$E$3:$E$1001,M$4)=0,"",SUMIFS('Input Sheet'!$F$3:$F$1001,'Input Sheet'!$B$3:$B$1001,$H436,'Input Sheet'!$E$3:$E$1001,M$4))</f>
        <v/>
      </c>
      <c r="N436" s="21" t="str">
        <f>IF(SUMIFS('Input Sheet'!$F$3:$F$1001,'Input Sheet'!$B$3:$B$1001,$H436,'Input Sheet'!$E$3:$E$1001,N$4)=0,"",SUMIFS('Input Sheet'!$F$3:$F$1001,'Input Sheet'!$B$3:$B$1001,$H436,'Input Sheet'!$E$3:$E$1001,N$4))</f>
        <v/>
      </c>
      <c r="O436" s="21" t="str">
        <f>IF(SUMIFS('Input Sheet'!$F$3:$F$1001,'Input Sheet'!$B$3:$B$1001,$H436,'Input Sheet'!$E$3:$E$1001,O$4)=0,"",SUMIFS('Input Sheet'!$F$3:$F$1001,'Input Sheet'!$B$3:$B$1001,$H436,'Input Sheet'!$E$3:$E$1001,O$4))</f>
        <v/>
      </c>
      <c r="P436" s="21" t="str">
        <f>IF(SUMIFS('Input Sheet'!$F$3:$F$1001,'Input Sheet'!$B$3:$B$1001,$H436,'Input Sheet'!$E$3:$E$1001,P$4)=0,"",SUMIFS('Input Sheet'!$F$3:$F$1001,'Input Sheet'!$B$3:$B$1001,$H436,'Input Sheet'!$E$3:$E$1001,P$4))</f>
        <v/>
      </c>
      <c r="Q436" s="21" t="str">
        <f>IF(SUMIFS('Input Sheet'!$F$3:$F$1001,'Input Sheet'!$B$3:$B$1001,$H436,'Input Sheet'!$E$3:$E$1001,Q$4)=0,"",SUMIFS('Input Sheet'!$F$3:$F$1001,'Input Sheet'!$B$3:$B$1001,$H436,'Input Sheet'!$E$3:$E$1001,Q$4))</f>
        <v/>
      </c>
      <c r="R436" s="21" t="str">
        <f>IF(SUMIFS('Input Sheet'!$F$3:$F$1001,'Input Sheet'!$B$3:$B$1001,$H436,'Input Sheet'!$E$3:$E$1001,R$4)=0,"",SUMIFS('Input Sheet'!$F$3:$F$1001,'Input Sheet'!$B$3:$B$1001,$H436,'Input Sheet'!$E$3:$E$1001,R$4))</f>
        <v/>
      </c>
      <c r="S436" s="21" t="str">
        <f>IF(SUMIFS('Input Sheet'!$F$3:$F$1001,'Input Sheet'!$B$3:$B$1001,$H436,'Input Sheet'!$E$3:$E$1001,S$4)=0,"",SUMIFS('Input Sheet'!$F$3:$F$1001,'Input Sheet'!$B$3:$B$1001,$H436,'Input Sheet'!$E$3:$E$1001,S$4))</f>
        <v/>
      </c>
      <c r="T436" s="22">
        <v>431</v>
      </c>
    </row>
    <row r="437" spans="1:20" ht="14.25" customHeight="1" x14ac:dyDescent="0.3">
      <c r="A437" s="4" t="str">
        <f>IF('Input Sheet'!B434=0,"",'Input Sheet'!B434)</f>
        <v/>
      </c>
      <c r="B437" s="24" t="b">
        <f t="shared" si="264"/>
        <v>0</v>
      </c>
      <c r="C437" s="4">
        <f>SUMIF('Input Sheet'!B$3:B$1000,A437,'Input Sheet'!C$3:C$1000)</f>
        <v>0</v>
      </c>
      <c r="D437" s="4">
        <f>SUMIF('Input Sheet'!B$3:B$1000,A437,'Input Sheet'!D$3:D$1000)</f>
        <v>0</v>
      </c>
      <c r="E437" s="4" t="str">
        <f t="shared" ref="E437:F437" ca="1" si="447">IFERROR(RANK(K437,K$6:K$1004,1),"")</f>
        <v/>
      </c>
      <c r="F437" s="4" t="str">
        <f t="shared" ca="1" si="447"/>
        <v/>
      </c>
      <c r="G437" s="4" t="str">
        <f t="shared" ca="1" si="266"/>
        <v/>
      </c>
      <c r="H437" s="4" t="str">
        <f t="shared" si="267"/>
        <v/>
      </c>
      <c r="I437" s="4" t="str">
        <f t="shared" si="268"/>
        <v/>
      </c>
      <c r="J437" s="4" t="str">
        <f t="shared" si="269"/>
        <v/>
      </c>
      <c r="K437" s="25" t="str">
        <f t="shared" ca="1" si="270"/>
        <v/>
      </c>
      <c r="L437" s="21" t="str">
        <f t="shared" ca="1" si="271"/>
        <v/>
      </c>
      <c r="M437" s="21" t="str">
        <f>IF(SUMIFS('Input Sheet'!$F$3:$F$1001,'Input Sheet'!$B$3:$B$1001,$H437,'Input Sheet'!$E$3:$E$1001,M$4)=0,"",SUMIFS('Input Sheet'!$F$3:$F$1001,'Input Sheet'!$B$3:$B$1001,$H437,'Input Sheet'!$E$3:$E$1001,M$4))</f>
        <v/>
      </c>
      <c r="N437" s="21" t="str">
        <f>IF(SUMIFS('Input Sheet'!$F$3:$F$1001,'Input Sheet'!$B$3:$B$1001,$H437,'Input Sheet'!$E$3:$E$1001,N$4)=0,"",SUMIFS('Input Sheet'!$F$3:$F$1001,'Input Sheet'!$B$3:$B$1001,$H437,'Input Sheet'!$E$3:$E$1001,N$4))</f>
        <v/>
      </c>
      <c r="O437" s="21" t="str">
        <f>IF(SUMIFS('Input Sheet'!$F$3:$F$1001,'Input Sheet'!$B$3:$B$1001,$H437,'Input Sheet'!$E$3:$E$1001,O$4)=0,"",SUMIFS('Input Sheet'!$F$3:$F$1001,'Input Sheet'!$B$3:$B$1001,$H437,'Input Sheet'!$E$3:$E$1001,O$4))</f>
        <v/>
      </c>
      <c r="P437" s="21" t="str">
        <f>IF(SUMIFS('Input Sheet'!$F$3:$F$1001,'Input Sheet'!$B$3:$B$1001,$H437,'Input Sheet'!$E$3:$E$1001,P$4)=0,"",SUMIFS('Input Sheet'!$F$3:$F$1001,'Input Sheet'!$B$3:$B$1001,$H437,'Input Sheet'!$E$3:$E$1001,P$4))</f>
        <v/>
      </c>
      <c r="Q437" s="21" t="str">
        <f>IF(SUMIFS('Input Sheet'!$F$3:$F$1001,'Input Sheet'!$B$3:$B$1001,$H437,'Input Sheet'!$E$3:$E$1001,Q$4)=0,"",SUMIFS('Input Sheet'!$F$3:$F$1001,'Input Sheet'!$B$3:$B$1001,$H437,'Input Sheet'!$E$3:$E$1001,Q$4))</f>
        <v/>
      </c>
      <c r="R437" s="21" t="str">
        <f>IF(SUMIFS('Input Sheet'!$F$3:$F$1001,'Input Sheet'!$B$3:$B$1001,$H437,'Input Sheet'!$E$3:$E$1001,R$4)=0,"",SUMIFS('Input Sheet'!$F$3:$F$1001,'Input Sheet'!$B$3:$B$1001,$H437,'Input Sheet'!$E$3:$E$1001,R$4))</f>
        <v/>
      </c>
      <c r="S437" s="21" t="str">
        <f>IF(SUMIFS('Input Sheet'!$F$3:$F$1001,'Input Sheet'!$B$3:$B$1001,$H437,'Input Sheet'!$E$3:$E$1001,S$4)=0,"",SUMIFS('Input Sheet'!$F$3:$F$1001,'Input Sheet'!$B$3:$B$1001,$H437,'Input Sheet'!$E$3:$E$1001,S$4))</f>
        <v/>
      </c>
      <c r="T437" s="22">
        <v>432</v>
      </c>
    </row>
    <row r="438" spans="1:20" ht="14.25" customHeight="1" x14ac:dyDescent="0.3">
      <c r="A438" s="4" t="str">
        <f>IF('Input Sheet'!B435=0,"",'Input Sheet'!B435)</f>
        <v/>
      </c>
      <c r="B438" s="24" t="b">
        <f t="shared" si="264"/>
        <v>0</v>
      </c>
      <c r="C438" s="4">
        <f>SUMIF('Input Sheet'!B$3:B$1000,A438,'Input Sheet'!C$3:C$1000)</f>
        <v>0</v>
      </c>
      <c r="D438" s="4">
        <f>SUMIF('Input Sheet'!B$3:B$1000,A438,'Input Sheet'!D$3:D$1000)</f>
        <v>0</v>
      </c>
      <c r="E438" s="4" t="str">
        <f t="shared" ref="E438:F438" ca="1" si="448">IFERROR(RANK(K438,K$6:K$1004,1),"")</f>
        <v/>
      </c>
      <c r="F438" s="4" t="str">
        <f t="shared" ca="1" si="448"/>
        <v/>
      </c>
      <c r="G438" s="4" t="str">
        <f t="shared" ca="1" si="266"/>
        <v/>
      </c>
      <c r="H438" s="4" t="str">
        <f t="shared" si="267"/>
        <v/>
      </c>
      <c r="I438" s="4" t="str">
        <f t="shared" si="268"/>
        <v/>
      </c>
      <c r="J438" s="4" t="str">
        <f t="shared" si="269"/>
        <v/>
      </c>
      <c r="K438" s="25" t="str">
        <f t="shared" ca="1" si="270"/>
        <v/>
      </c>
      <c r="L438" s="21" t="str">
        <f t="shared" ca="1" si="271"/>
        <v/>
      </c>
      <c r="M438" s="21" t="str">
        <f>IF(SUMIFS('Input Sheet'!$F$3:$F$1001,'Input Sheet'!$B$3:$B$1001,$H438,'Input Sheet'!$E$3:$E$1001,M$4)=0,"",SUMIFS('Input Sheet'!$F$3:$F$1001,'Input Sheet'!$B$3:$B$1001,$H438,'Input Sheet'!$E$3:$E$1001,M$4))</f>
        <v/>
      </c>
      <c r="N438" s="21" t="str">
        <f>IF(SUMIFS('Input Sheet'!$F$3:$F$1001,'Input Sheet'!$B$3:$B$1001,$H438,'Input Sheet'!$E$3:$E$1001,N$4)=0,"",SUMIFS('Input Sheet'!$F$3:$F$1001,'Input Sheet'!$B$3:$B$1001,$H438,'Input Sheet'!$E$3:$E$1001,N$4))</f>
        <v/>
      </c>
      <c r="O438" s="21" t="str">
        <f>IF(SUMIFS('Input Sheet'!$F$3:$F$1001,'Input Sheet'!$B$3:$B$1001,$H438,'Input Sheet'!$E$3:$E$1001,O$4)=0,"",SUMIFS('Input Sheet'!$F$3:$F$1001,'Input Sheet'!$B$3:$B$1001,$H438,'Input Sheet'!$E$3:$E$1001,O$4))</f>
        <v/>
      </c>
      <c r="P438" s="21" t="str">
        <f>IF(SUMIFS('Input Sheet'!$F$3:$F$1001,'Input Sheet'!$B$3:$B$1001,$H438,'Input Sheet'!$E$3:$E$1001,P$4)=0,"",SUMIFS('Input Sheet'!$F$3:$F$1001,'Input Sheet'!$B$3:$B$1001,$H438,'Input Sheet'!$E$3:$E$1001,P$4))</f>
        <v/>
      </c>
      <c r="Q438" s="21" t="str">
        <f>IF(SUMIFS('Input Sheet'!$F$3:$F$1001,'Input Sheet'!$B$3:$B$1001,$H438,'Input Sheet'!$E$3:$E$1001,Q$4)=0,"",SUMIFS('Input Sheet'!$F$3:$F$1001,'Input Sheet'!$B$3:$B$1001,$H438,'Input Sheet'!$E$3:$E$1001,Q$4))</f>
        <v/>
      </c>
      <c r="R438" s="21" t="str">
        <f>IF(SUMIFS('Input Sheet'!$F$3:$F$1001,'Input Sheet'!$B$3:$B$1001,$H438,'Input Sheet'!$E$3:$E$1001,R$4)=0,"",SUMIFS('Input Sheet'!$F$3:$F$1001,'Input Sheet'!$B$3:$B$1001,$H438,'Input Sheet'!$E$3:$E$1001,R$4))</f>
        <v/>
      </c>
      <c r="S438" s="21" t="str">
        <f>IF(SUMIFS('Input Sheet'!$F$3:$F$1001,'Input Sheet'!$B$3:$B$1001,$H438,'Input Sheet'!$E$3:$E$1001,S$4)=0,"",SUMIFS('Input Sheet'!$F$3:$F$1001,'Input Sheet'!$B$3:$B$1001,$H438,'Input Sheet'!$E$3:$E$1001,S$4))</f>
        <v/>
      </c>
      <c r="T438" s="22">
        <v>433</v>
      </c>
    </row>
    <row r="439" spans="1:20" ht="14.25" customHeight="1" x14ac:dyDescent="0.3">
      <c r="A439" s="4" t="str">
        <f>IF('Input Sheet'!B436=0,"",'Input Sheet'!B436)</f>
        <v/>
      </c>
      <c r="B439" s="24" t="b">
        <f t="shared" si="264"/>
        <v>0</v>
      </c>
      <c r="C439" s="4">
        <f>SUMIF('Input Sheet'!B$3:B$1000,A439,'Input Sheet'!C$3:C$1000)</f>
        <v>0</v>
      </c>
      <c r="D439" s="4">
        <f>SUMIF('Input Sheet'!B$3:B$1000,A439,'Input Sheet'!D$3:D$1000)</f>
        <v>0</v>
      </c>
      <c r="E439" s="4" t="str">
        <f t="shared" ref="E439:F439" ca="1" si="449">IFERROR(RANK(K439,K$6:K$1004,1),"")</f>
        <v/>
      </c>
      <c r="F439" s="4" t="str">
        <f t="shared" ca="1" si="449"/>
        <v/>
      </c>
      <c r="G439" s="4" t="str">
        <f t="shared" ca="1" si="266"/>
        <v/>
      </c>
      <c r="H439" s="4" t="str">
        <f t="shared" si="267"/>
        <v/>
      </c>
      <c r="I439" s="4" t="str">
        <f t="shared" si="268"/>
        <v/>
      </c>
      <c r="J439" s="4" t="str">
        <f t="shared" si="269"/>
        <v/>
      </c>
      <c r="K439" s="25" t="str">
        <f t="shared" ca="1" si="270"/>
        <v/>
      </c>
      <c r="L439" s="21" t="str">
        <f t="shared" ca="1" si="271"/>
        <v/>
      </c>
      <c r="M439" s="21" t="str">
        <f>IF(SUMIFS('Input Sheet'!$F$3:$F$1001,'Input Sheet'!$B$3:$B$1001,$H439,'Input Sheet'!$E$3:$E$1001,M$4)=0,"",SUMIFS('Input Sheet'!$F$3:$F$1001,'Input Sheet'!$B$3:$B$1001,$H439,'Input Sheet'!$E$3:$E$1001,M$4))</f>
        <v/>
      </c>
      <c r="N439" s="21" t="str">
        <f>IF(SUMIFS('Input Sheet'!$F$3:$F$1001,'Input Sheet'!$B$3:$B$1001,$H439,'Input Sheet'!$E$3:$E$1001,N$4)=0,"",SUMIFS('Input Sheet'!$F$3:$F$1001,'Input Sheet'!$B$3:$B$1001,$H439,'Input Sheet'!$E$3:$E$1001,N$4))</f>
        <v/>
      </c>
      <c r="O439" s="21" t="str">
        <f>IF(SUMIFS('Input Sheet'!$F$3:$F$1001,'Input Sheet'!$B$3:$B$1001,$H439,'Input Sheet'!$E$3:$E$1001,O$4)=0,"",SUMIFS('Input Sheet'!$F$3:$F$1001,'Input Sheet'!$B$3:$B$1001,$H439,'Input Sheet'!$E$3:$E$1001,O$4))</f>
        <v/>
      </c>
      <c r="P439" s="21" t="str">
        <f>IF(SUMIFS('Input Sheet'!$F$3:$F$1001,'Input Sheet'!$B$3:$B$1001,$H439,'Input Sheet'!$E$3:$E$1001,P$4)=0,"",SUMIFS('Input Sheet'!$F$3:$F$1001,'Input Sheet'!$B$3:$B$1001,$H439,'Input Sheet'!$E$3:$E$1001,P$4))</f>
        <v/>
      </c>
      <c r="Q439" s="21" t="str">
        <f>IF(SUMIFS('Input Sheet'!$F$3:$F$1001,'Input Sheet'!$B$3:$B$1001,$H439,'Input Sheet'!$E$3:$E$1001,Q$4)=0,"",SUMIFS('Input Sheet'!$F$3:$F$1001,'Input Sheet'!$B$3:$B$1001,$H439,'Input Sheet'!$E$3:$E$1001,Q$4))</f>
        <v/>
      </c>
      <c r="R439" s="21" t="str">
        <f>IF(SUMIFS('Input Sheet'!$F$3:$F$1001,'Input Sheet'!$B$3:$B$1001,$H439,'Input Sheet'!$E$3:$E$1001,R$4)=0,"",SUMIFS('Input Sheet'!$F$3:$F$1001,'Input Sheet'!$B$3:$B$1001,$H439,'Input Sheet'!$E$3:$E$1001,R$4))</f>
        <v/>
      </c>
      <c r="S439" s="21" t="str">
        <f>IF(SUMIFS('Input Sheet'!$F$3:$F$1001,'Input Sheet'!$B$3:$B$1001,$H439,'Input Sheet'!$E$3:$E$1001,S$4)=0,"",SUMIFS('Input Sheet'!$F$3:$F$1001,'Input Sheet'!$B$3:$B$1001,$H439,'Input Sheet'!$E$3:$E$1001,S$4))</f>
        <v/>
      </c>
      <c r="T439" s="22">
        <v>434</v>
      </c>
    </row>
    <row r="440" spans="1:20" ht="14.25" customHeight="1" x14ac:dyDescent="0.3">
      <c r="A440" s="4" t="str">
        <f>IF('Input Sheet'!B437=0,"",'Input Sheet'!B437)</f>
        <v/>
      </c>
      <c r="B440" s="24" t="b">
        <f t="shared" si="264"/>
        <v>0</v>
      </c>
      <c r="C440" s="4">
        <f>SUMIF('Input Sheet'!B$3:B$1000,A440,'Input Sheet'!C$3:C$1000)</f>
        <v>0</v>
      </c>
      <c r="D440" s="4">
        <f>SUMIF('Input Sheet'!B$3:B$1000,A440,'Input Sheet'!D$3:D$1000)</f>
        <v>0</v>
      </c>
      <c r="E440" s="4" t="str">
        <f t="shared" ref="E440:F440" ca="1" si="450">IFERROR(RANK(K440,K$6:K$1004,1),"")</f>
        <v/>
      </c>
      <c r="F440" s="4" t="str">
        <f t="shared" ca="1" si="450"/>
        <v/>
      </c>
      <c r="G440" s="4" t="str">
        <f t="shared" ca="1" si="266"/>
        <v/>
      </c>
      <c r="H440" s="4" t="str">
        <f t="shared" si="267"/>
        <v/>
      </c>
      <c r="I440" s="4" t="str">
        <f t="shared" si="268"/>
        <v/>
      </c>
      <c r="J440" s="4" t="str">
        <f t="shared" si="269"/>
        <v/>
      </c>
      <c r="K440" s="25" t="str">
        <f t="shared" ca="1" si="270"/>
        <v/>
      </c>
      <c r="L440" s="21" t="str">
        <f t="shared" ca="1" si="271"/>
        <v/>
      </c>
      <c r="M440" s="21" t="str">
        <f>IF(SUMIFS('Input Sheet'!$F$3:$F$1001,'Input Sheet'!$B$3:$B$1001,$H440,'Input Sheet'!$E$3:$E$1001,M$4)=0,"",SUMIFS('Input Sheet'!$F$3:$F$1001,'Input Sheet'!$B$3:$B$1001,$H440,'Input Sheet'!$E$3:$E$1001,M$4))</f>
        <v/>
      </c>
      <c r="N440" s="21" t="str">
        <f>IF(SUMIFS('Input Sheet'!$F$3:$F$1001,'Input Sheet'!$B$3:$B$1001,$H440,'Input Sheet'!$E$3:$E$1001,N$4)=0,"",SUMIFS('Input Sheet'!$F$3:$F$1001,'Input Sheet'!$B$3:$B$1001,$H440,'Input Sheet'!$E$3:$E$1001,N$4))</f>
        <v/>
      </c>
      <c r="O440" s="21" t="str">
        <f>IF(SUMIFS('Input Sheet'!$F$3:$F$1001,'Input Sheet'!$B$3:$B$1001,$H440,'Input Sheet'!$E$3:$E$1001,O$4)=0,"",SUMIFS('Input Sheet'!$F$3:$F$1001,'Input Sheet'!$B$3:$B$1001,$H440,'Input Sheet'!$E$3:$E$1001,O$4))</f>
        <v/>
      </c>
      <c r="P440" s="21" t="str">
        <f>IF(SUMIFS('Input Sheet'!$F$3:$F$1001,'Input Sheet'!$B$3:$B$1001,$H440,'Input Sheet'!$E$3:$E$1001,P$4)=0,"",SUMIFS('Input Sheet'!$F$3:$F$1001,'Input Sheet'!$B$3:$B$1001,$H440,'Input Sheet'!$E$3:$E$1001,P$4))</f>
        <v/>
      </c>
      <c r="Q440" s="21" t="str">
        <f>IF(SUMIFS('Input Sheet'!$F$3:$F$1001,'Input Sheet'!$B$3:$B$1001,$H440,'Input Sheet'!$E$3:$E$1001,Q$4)=0,"",SUMIFS('Input Sheet'!$F$3:$F$1001,'Input Sheet'!$B$3:$B$1001,$H440,'Input Sheet'!$E$3:$E$1001,Q$4))</f>
        <v/>
      </c>
      <c r="R440" s="21" t="str">
        <f>IF(SUMIFS('Input Sheet'!$F$3:$F$1001,'Input Sheet'!$B$3:$B$1001,$H440,'Input Sheet'!$E$3:$E$1001,R$4)=0,"",SUMIFS('Input Sheet'!$F$3:$F$1001,'Input Sheet'!$B$3:$B$1001,$H440,'Input Sheet'!$E$3:$E$1001,R$4))</f>
        <v/>
      </c>
      <c r="S440" s="21" t="str">
        <f>IF(SUMIFS('Input Sheet'!$F$3:$F$1001,'Input Sheet'!$B$3:$B$1001,$H440,'Input Sheet'!$E$3:$E$1001,S$4)=0,"",SUMIFS('Input Sheet'!$F$3:$F$1001,'Input Sheet'!$B$3:$B$1001,$H440,'Input Sheet'!$E$3:$E$1001,S$4))</f>
        <v/>
      </c>
      <c r="T440" s="22">
        <v>435</v>
      </c>
    </row>
    <row r="441" spans="1:20" ht="14.25" customHeight="1" x14ac:dyDescent="0.3">
      <c r="A441" s="4" t="str">
        <f>IF('Input Sheet'!B438=0,"",'Input Sheet'!B438)</f>
        <v/>
      </c>
      <c r="B441" s="24" t="b">
        <f t="shared" si="264"/>
        <v>0</v>
      </c>
      <c r="C441" s="4">
        <f>SUMIF('Input Sheet'!B$3:B$1000,A441,'Input Sheet'!C$3:C$1000)</f>
        <v>0</v>
      </c>
      <c r="D441" s="4">
        <f>SUMIF('Input Sheet'!B$3:B$1000,A441,'Input Sheet'!D$3:D$1000)</f>
        <v>0</v>
      </c>
      <c r="E441" s="4" t="str">
        <f t="shared" ref="E441:F441" ca="1" si="451">IFERROR(RANK(K441,K$6:K$1004,1),"")</f>
        <v/>
      </c>
      <c r="F441" s="4" t="str">
        <f t="shared" ca="1" si="451"/>
        <v/>
      </c>
      <c r="G441" s="4" t="str">
        <f t="shared" ca="1" si="266"/>
        <v/>
      </c>
      <c r="H441" s="4" t="str">
        <f t="shared" si="267"/>
        <v/>
      </c>
      <c r="I441" s="4" t="str">
        <f t="shared" si="268"/>
        <v/>
      </c>
      <c r="J441" s="4" t="str">
        <f t="shared" si="269"/>
        <v/>
      </c>
      <c r="K441" s="25" t="str">
        <f t="shared" ca="1" si="270"/>
        <v/>
      </c>
      <c r="L441" s="21" t="str">
        <f t="shared" ca="1" si="271"/>
        <v/>
      </c>
      <c r="M441" s="21" t="str">
        <f>IF(SUMIFS('Input Sheet'!$F$3:$F$1001,'Input Sheet'!$B$3:$B$1001,$H441,'Input Sheet'!$E$3:$E$1001,M$4)=0,"",SUMIFS('Input Sheet'!$F$3:$F$1001,'Input Sheet'!$B$3:$B$1001,$H441,'Input Sheet'!$E$3:$E$1001,M$4))</f>
        <v/>
      </c>
      <c r="N441" s="21" t="str">
        <f>IF(SUMIFS('Input Sheet'!$F$3:$F$1001,'Input Sheet'!$B$3:$B$1001,$H441,'Input Sheet'!$E$3:$E$1001,N$4)=0,"",SUMIFS('Input Sheet'!$F$3:$F$1001,'Input Sheet'!$B$3:$B$1001,$H441,'Input Sheet'!$E$3:$E$1001,N$4))</f>
        <v/>
      </c>
      <c r="O441" s="21" t="str">
        <f>IF(SUMIFS('Input Sheet'!$F$3:$F$1001,'Input Sheet'!$B$3:$B$1001,$H441,'Input Sheet'!$E$3:$E$1001,O$4)=0,"",SUMIFS('Input Sheet'!$F$3:$F$1001,'Input Sheet'!$B$3:$B$1001,$H441,'Input Sheet'!$E$3:$E$1001,O$4))</f>
        <v/>
      </c>
      <c r="P441" s="21" t="str">
        <f>IF(SUMIFS('Input Sheet'!$F$3:$F$1001,'Input Sheet'!$B$3:$B$1001,$H441,'Input Sheet'!$E$3:$E$1001,P$4)=0,"",SUMIFS('Input Sheet'!$F$3:$F$1001,'Input Sheet'!$B$3:$B$1001,$H441,'Input Sheet'!$E$3:$E$1001,P$4))</f>
        <v/>
      </c>
      <c r="Q441" s="21" t="str">
        <f>IF(SUMIFS('Input Sheet'!$F$3:$F$1001,'Input Sheet'!$B$3:$B$1001,$H441,'Input Sheet'!$E$3:$E$1001,Q$4)=0,"",SUMIFS('Input Sheet'!$F$3:$F$1001,'Input Sheet'!$B$3:$B$1001,$H441,'Input Sheet'!$E$3:$E$1001,Q$4))</f>
        <v/>
      </c>
      <c r="R441" s="21" t="str">
        <f>IF(SUMIFS('Input Sheet'!$F$3:$F$1001,'Input Sheet'!$B$3:$B$1001,$H441,'Input Sheet'!$E$3:$E$1001,R$4)=0,"",SUMIFS('Input Sheet'!$F$3:$F$1001,'Input Sheet'!$B$3:$B$1001,$H441,'Input Sheet'!$E$3:$E$1001,R$4))</f>
        <v/>
      </c>
      <c r="S441" s="21" t="str">
        <f>IF(SUMIFS('Input Sheet'!$F$3:$F$1001,'Input Sheet'!$B$3:$B$1001,$H441,'Input Sheet'!$E$3:$E$1001,S$4)=0,"",SUMIFS('Input Sheet'!$F$3:$F$1001,'Input Sheet'!$B$3:$B$1001,$H441,'Input Sheet'!$E$3:$E$1001,S$4))</f>
        <v/>
      </c>
      <c r="T441" s="22">
        <v>436</v>
      </c>
    </row>
    <row r="442" spans="1:20" ht="14.25" customHeight="1" x14ac:dyDescent="0.3">
      <c r="A442" s="4" t="str">
        <f>IF('Input Sheet'!B439=0,"",'Input Sheet'!B439)</f>
        <v/>
      </c>
      <c r="B442" s="24" t="b">
        <f t="shared" si="264"/>
        <v>0</v>
      </c>
      <c r="C442" s="4">
        <f>SUMIF('Input Sheet'!B$3:B$1000,A442,'Input Sheet'!C$3:C$1000)</f>
        <v>0</v>
      </c>
      <c r="D442" s="4">
        <f>SUMIF('Input Sheet'!B$3:B$1000,A442,'Input Sheet'!D$3:D$1000)</f>
        <v>0</v>
      </c>
      <c r="E442" s="4" t="str">
        <f t="shared" ref="E442:F442" ca="1" si="452">IFERROR(RANK(K442,K$6:K$1004,1),"")</f>
        <v/>
      </c>
      <c r="F442" s="4" t="str">
        <f t="shared" ca="1" si="452"/>
        <v/>
      </c>
      <c r="G442" s="4" t="str">
        <f t="shared" ca="1" si="266"/>
        <v/>
      </c>
      <c r="H442" s="4" t="str">
        <f t="shared" si="267"/>
        <v/>
      </c>
      <c r="I442" s="4" t="str">
        <f t="shared" si="268"/>
        <v/>
      </c>
      <c r="J442" s="4" t="str">
        <f t="shared" si="269"/>
        <v/>
      </c>
      <c r="K442" s="25" t="str">
        <f t="shared" ca="1" si="270"/>
        <v/>
      </c>
      <c r="L442" s="21" t="str">
        <f t="shared" ca="1" si="271"/>
        <v/>
      </c>
      <c r="M442" s="21" t="str">
        <f>IF(SUMIFS('Input Sheet'!$F$3:$F$1001,'Input Sheet'!$B$3:$B$1001,$H442,'Input Sheet'!$E$3:$E$1001,M$4)=0,"",SUMIFS('Input Sheet'!$F$3:$F$1001,'Input Sheet'!$B$3:$B$1001,$H442,'Input Sheet'!$E$3:$E$1001,M$4))</f>
        <v/>
      </c>
      <c r="N442" s="21" t="str">
        <f>IF(SUMIFS('Input Sheet'!$F$3:$F$1001,'Input Sheet'!$B$3:$B$1001,$H442,'Input Sheet'!$E$3:$E$1001,N$4)=0,"",SUMIFS('Input Sheet'!$F$3:$F$1001,'Input Sheet'!$B$3:$B$1001,$H442,'Input Sheet'!$E$3:$E$1001,N$4))</f>
        <v/>
      </c>
      <c r="O442" s="21" t="str">
        <f>IF(SUMIFS('Input Sheet'!$F$3:$F$1001,'Input Sheet'!$B$3:$B$1001,$H442,'Input Sheet'!$E$3:$E$1001,O$4)=0,"",SUMIFS('Input Sheet'!$F$3:$F$1001,'Input Sheet'!$B$3:$B$1001,$H442,'Input Sheet'!$E$3:$E$1001,O$4))</f>
        <v/>
      </c>
      <c r="P442" s="21" t="str">
        <f>IF(SUMIFS('Input Sheet'!$F$3:$F$1001,'Input Sheet'!$B$3:$B$1001,$H442,'Input Sheet'!$E$3:$E$1001,P$4)=0,"",SUMIFS('Input Sheet'!$F$3:$F$1001,'Input Sheet'!$B$3:$B$1001,$H442,'Input Sheet'!$E$3:$E$1001,P$4))</f>
        <v/>
      </c>
      <c r="Q442" s="21" t="str">
        <f>IF(SUMIFS('Input Sheet'!$F$3:$F$1001,'Input Sheet'!$B$3:$B$1001,$H442,'Input Sheet'!$E$3:$E$1001,Q$4)=0,"",SUMIFS('Input Sheet'!$F$3:$F$1001,'Input Sheet'!$B$3:$B$1001,$H442,'Input Sheet'!$E$3:$E$1001,Q$4))</f>
        <v/>
      </c>
      <c r="R442" s="21" t="str">
        <f>IF(SUMIFS('Input Sheet'!$F$3:$F$1001,'Input Sheet'!$B$3:$B$1001,$H442,'Input Sheet'!$E$3:$E$1001,R$4)=0,"",SUMIFS('Input Sheet'!$F$3:$F$1001,'Input Sheet'!$B$3:$B$1001,$H442,'Input Sheet'!$E$3:$E$1001,R$4))</f>
        <v/>
      </c>
      <c r="S442" s="21" t="str">
        <f>IF(SUMIFS('Input Sheet'!$F$3:$F$1001,'Input Sheet'!$B$3:$B$1001,$H442,'Input Sheet'!$E$3:$E$1001,S$4)=0,"",SUMIFS('Input Sheet'!$F$3:$F$1001,'Input Sheet'!$B$3:$B$1001,$H442,'Input Sheet'!$E$3:$E$1001,S$4))</f>
        <v/>
      </c>
      <c r="T442" s="22">
        <v>437</v>
      </c>
    </row>
    <row r="443" spans="1:20" ht="14.25" customHeight="1" x14ac:dyDescent="0.3">
      <c r="A443" s="4" t="str">
        <f>IF('Input Sheet'!B440=0,"",'Input Sheet'!B440)</f>
        <v/>
      </c>
      <c r="B443" s="24" t="b">
        <f t="shared" si="264"/>
        <v>0</v>
      </c>
      <c r="C443" s="4">
        <f>SUMIF('Input Sheet'!B$3:B$1000,A443,'Input Sheet'!C$3:C$1000)</f>
        <v>0</v>
      </c>
      <c r="D443" s="4">
        <f>SUMIF('Input Sheet'!B$3:B$1000,A443,'Input Sheet'!D$3:D$1000)</f>
        <v>0</v>
      </c>
      <c r="E443" s="4" t="str">
        <f t="shared" ref="E443:F443" ca="1" si="453">IFERROR(RANK(K443,K$6:K$1004,1),"")</f>
        <v/>
      </c>
      <c r="F443" s="4" t="str">
        <f t="shared" ca="1" si="453"/>
        <v/>
      </c>
      <c r="G443" s="4" t="str">
        <f t="shared" ca="1" si="266"/>
        <v/>
      </c>
      <c r="H443" s="4" t="str">
        <f t="shared" si="267"/>
        <v/>
      </c>
      <c r="I443" s="4" t="str">
        <f t="shared" si="268"/>
        <v/>
      </c>
      <c r="J443" s="4" t="str">
        <f t="shared" si="269"/>
        <v/>
      </c>
      <c r="K443" s="25" t="str">
        <f t="shared" ca="1" si="270"/>
        <v/>
      </c>
      <c r="L443" s="21" t="str">
        <f t="shared" ca="1" si="271"/>
        <v/>
      </c>
      <c r="M443" s="21" t="str">
        <f>IF(SUMIFS('Input Sheet'!$F$3:$F$1001,'Input Sheet'!$B$3:$B$1001,$H443,'Input Sheet'!$E$3:$E$1001,M$4)=0,"",SUMIFS('Input Sheet'!$F$3:$F$1001,'Input Sheet'!$B$3:$B$1001,$H443,'Input Sheet'!$E$3:$E$1001,M$4))</f>
        <v/>
      </c>
      <c r="N443" s="21" t="str">
        <f>IF(SUMIFS('Input Sheet'!$F$3:$F$1001,'Input Sheet'!$B$3:$B$1001,$H443,'Input Sheet'!$E$3:$E$1001,N$4)=0,"",SUMIFS('Input Sheet'!$F$3:$F$1001,'Input Sheet'!$B$3:$B$1001,$H443,'Input Sheet'!$E$3:$E$1001,N$4))</f>
        <v/>
      </c>
      <c r="O443" s="21" t="str">
        <f>IF(SUMIFS('Input Sheet'!$F$3:$F$1001,'Input Sheet'!$B$3:$B$1001,$H443,'Input Sheet'!$E$3:$E$1001,O$4)=0,"",SUMIFS('Input Sheet'!$F$3:$F$1001,'Input Sheet'!$B$3:$B$1001,$H443,'Input Sheet'!$E$3:$E$1001,O$4))</f>
        <v/>
      </c>
      <c r="P443" s="21" t="str">
        <f>IF(SUMIFS('Input Sheet'!$F$3:$F$1001,'Input Sheet'!$B$3:$B$1001,$H443,'Input Sheet'!$E$3:$E$1001,P$4)=0,"",SUMIFS('Input Sheet'!$F$3:$F$1001,'Input Sheet'!$B$3:$B$1001,$H443,'Input Sheet'!$E$3:$E$1001,P$4))</f>
        <v/>
      </c>
      <c r="Q443" s="21" t="str">
        <f>IF(SUMIFS('Input Sheet'!$F$3:$F$1001,'Input Sheet'!$B$3:$B$1001,$H443,'Input Sheet'!$E$3:$E$1001,Q$4)=0,"",SUMIFS('Input Sheet'!$F$3:$F$1001,'Input Sheet'!$B$3:$B$1001,$H443,'Input Sheet'!$E$3:$E$1001,Q$4))</f>
        <v/>
      </c>
      <c r="R443" s="21" t="str">
        <f>IF(SUMIFS('Input Sheet'!$F$3:$F$1001,'Input Sheet'!$B$3:$B$1001,$H443,'Input Sheet'!$E$3:$E$1001,R$4)=0,"",SUMIFS('Input Sheet'!$F$3:$F$1001,'Input Sheet'!$B$3:$B$1001,$H443,'Input Sheet'!$E$3:$E$1001,R$4))</f>
        <v/>
      </c>
      <c r="S443" s="21" t="str">
        <f>IF(SUMIFS('Input Sheet'!$F$3:$F$1001,'Input Sheet'!$B$3:$B$1001,$H443,'Input Sheet'!$E$3:$E$1001,S$4)=0,"",SUMIFS('Input Sheet'!$F$3:$F$1001,'Input Sheet'!$B$3:$B$1001,$H443,'Input Sheet'!$E$3:$E$1001,S$4))</f>
        <v/>
      </c>
      <c r="T443" s="22">
        <v>438</v>
      </c>
    </row>
    <row r="444" spans="1:20" ht="14.25" customHeight="1" x14ac:dyDescent="0.3">
      <c r="A444" s="4" t="str">
        <f>IF('Input Sheet'!B441=0,"",'Input Sheet'!B441)</f>
        <v/>
      </c>
      <c r="B444" s="24" t="b">
        <f t="shared" si="264"/>
        <v>0</v>
      </c>
      <c r="C444" s="4">
        <f>SUMIF('Input Sheet'!B$3:B$1000,A444,'Input Sheet'!C$3:C$1000)</f>
        <v>0</v>
      </c>
      <c r="D444" s="4">
        <f>SUMIF('Input Sheet'!B$3:B$1000,A444,'Input Sheet'!D$3:D$1000)</f>
        <v>0</v>
      </c>
      <c r="E444" s="4" t="str">
        <f t="shared" ref="E444:F444" ca="1" si="454">IFERROR(RANK(K444,K$6:K$1004,1),"")</f>
        <v/>
      </c>
      <c r="F444" s="4" t="str">
        <f t="shared" ca="1" si="454"/>
        <v/>
      </c>
      <c r="G444" s="4" t="str">
        <f t="shared" ca="1" si="266"/>
        <v/>
      </c>
      <c r="H444" s="4" t="str">
        <f t="shared" si="267"/>
        <v/>
      </c>
      <c r="I444" s="4" t="str">
        <f t="shared" si="268"/>
        <v/>
      </c>
      <c r="J444" s="4" t="str">
        <f t="shared" si="269"/>
        <v/>
      </c>
      <c r="K444" s="25" t="str">
        <f t="shared" ca="1" si="270"/>
        <v/>
      </c>
      <c r="L444" s="21" t="str">
        <f t="shared" ca="1" si="271"/>
        <v/>
      </c>
      <c r="M444" s="21" t="str">
        <f>IF(SUMIFS('Input Sheet'!$F$3:$F$1001,'Input Sheet'!$B$3:$B$1001,$H444,'Input Sheet'!$E$3:$E$1001,M$4)=0,"",SUMIFS('Input Sheet'!$F$3:$F$1001,'Input Sheet'!$B$3:$B$1001,$H444,'Input Sheet'!$E$3:$E$1001,M$4))</f>
        <v/>
      </c>
      <c r="N444" s="21" t="str">
        <f>IF(SUMIFS('Input Sheet'!$F$3:$F$1001,'Input Sheet'!$B$3:$B$1001,$H444,'Input Sheet'!$E$3:$E$1001,N$4)=0,"",SUMIFS('Input Sheet'!$F$3:$F$1001,'Input Sheet'!$B$3:$B$1001,$H444,'Input Sheet'!$E$3:$E$1001,N$4))</f>
        <v/>
      </c>
      <c r="O444" s="21" t="str">
        <f>IF(SUMIFS('Input Sheet'!$F$3:$F$1001,'Input Sheet'!$B$3:$B$1001,$H444,'Input Sheet'!$E$3:$E$1001,O$4)=0,"",SUMIFS('Input Sheet'!$F$3:$F$1001,'Input Sheet'!$B$3:$B$1001,$H444,'Input Sheet'!$E$3:$E$1001,O$4))</f>
        <v/>
      </c>
      <c r="P444" s="21" t="str">
        <f>IF(SUMIFS('Input Sheet'!$F$3:$F$1001,'Input Sheet'!$B$3:$B$1001,$H444,'Input Sheet'!$E$3:$E$1001,P$4)=0,"",SUMIFS('Input Sheet'!$F$3:$F$1001,'Input Sheet'!$B$3:$B$1001,$H444,'Input Sheet'!$E$3:$E$1001,P$4))</f>
        <v/>
      </c>
      <c r="Q444" s="21" t="str">
        <f>IF(SUMIFS('Input Sheet'!$F$3:$F$1001,'Input Sheet'!$B$3:$B$1001,$H444,'Input Sheet'!$E$3:$E$1001,Q$4)=0,"",SUMIFS('Input Sheet'!$F$3:$F$1001,'Input Sheet'!$B$3:$B$1001,$H444,'Input Sheet'!$E$3:$E$1001,Q$4))</f>
        <v/>
      </c>
      <c r="R444" s="21" t="str">
        <f>IF(SUMIFS('Input Sheet'!$F$3:$F$1001,'Input Sheet'!$B$3:$B$1001,$H444,'Input Sheet'!$E$3:$E$1001,R$4)=0,"",SUMIFS('Input Sheet'!$F$3:$F$1001,'Input Sheet'!$B$3:$B$1001,$H444,'Input Sheet'!$E$3:$E$1001,R$4))</f>
        <v/>
      </c>
      <c r="S444" s="21" t="str">
        <f>IF(SUMIFS('Input Sheet'!$F$3:$F$1001,'Input Sheet'!$B$3:$B$1001,$H444,'Input Sheet'!$E$3:$E$1001,S$4)=0,"",SUMIFS('Input Sheet'!$F$3:$F$1001,'Input Sheet'!$B$3:$B$1001,$H444,'Input Sheet'!$E$3:$E$1001,S$4))</f>
        <v/>
      </c>
      <c r="T444" s="22">
        <v>439</v>
      </c>
    </row>
    <row r="445" spans="1:20" ht="14.25" customHeight="1" x14ac:dyDescent="0.3">
      <c r="A445" s="4" t="str">
        <f>IF('Input Sheet'!B442=0,"",'Input Sheet'!B442)</f>
        <v/>
      </c>
      <c r="B445" s="24" t="b">
        <f t="shared" si="264"/>
        <v>0</v>
      </c>
      <c r="C445" s="4">
        <f>SUMIF('Input Sheet'!B$3:B$1000,A445,'Input Sheet'!C$3:C$1000)</f>
        <v>0</v>
      </c>
      <c r="D445" s="4">
        <f>SUMIF('Input Sheet'!B$3:B$1000,A445,'Input Sheet'!D$3:D$1000)</f>
        <v>0</v>
      </c>
      <c r="E445" s="4" t="str">
        <f t="shared" ref="E445:F445" ca="1" si="455">IFERROR(RANK(K445,K$6:K$1004,1),"")</f>
        <v/>
      </c>
      <c r="F445" s="4" t="str">
        <f t="shared" ca="1" si="455"/>
        <v/>
      </c>
      <c r="G445" s="4" t="str">
        <f t="shared" ca="1" si="266"/>
        <v/>
      </c>
      <c r="H445" s="4" t="str">
        <f t="shared" si="267"/>
        <v/>
      </c>
      <c r="I445" s="4" t="str">
        <f t="shared" si="268"/>
        <v/>
      </c>
      <c r="J445" s="4" t="str">
        <f t="shared" si="269"/>
        <v/>
      </c>
      <c r="K445" s="25" t="str">
        <f t="shared" ca="1" si="270"/>
        <v/>
      </c>
      <c r="L445" s="21" t="str">
        <f t="shared" ca="1" si="271"/>
        <v/>
      </c>
      <c r="M445" s="21" t="str">
        <f>IF(SUMIFS('Input Sheet'!$F$3:$F$1001,'Input Sheet'!$B$3:$B$1001,$H445,'Input Sheet'!$E$3:$E$1001,M$4)=0,"",SUMIFS('Input Sheet'!$F$3:$F$1001,'Input Sheet'!$B$3:$B$1001,$H445,'Input Sheet'!$E$3:$E$1001,M$4))</f>
        <v/>
      </c>
      <c r="N445" s="21" t="str">
        <f>IF(SUMIFS('Input Sheet'!$F$3:$F$1001,'Input Sheet'!$B$3:$B$1001,$H445,'Input Sheet'!$E$3:$E$1001,N$4)=0,"",SUMIFS('Input Sheet'!$F$3:$F$1001,'Input Sheet'!$B$3:$B$1001,$H445,'Input Sheet'!$E$3:$E$1001,N$4))</f>
        <v/>
      </c>
      <c r="O445" s="21" t="str">
        <f>IF(SUMIFS('Input Sheet'!$F$3:$F$1001,'Input Sheet'!$B$3:$B$1001,$H445,'Input Sheet'!$E$3:$E$1001,O$4)=0,"",SUMIFS('Input Sheet'!$F$3:$F$1001,'Input Sheet'!$B$3:$B$1001,$H445,'Input Sheet'!$E$3:$E$1001,O$4))</f>
        <v/>
      </c>
      <c r="P445" s="21" t="str">
        <f>IF(SUMIFS('Input Sheet'!$F$3:$F$1001,'Input Sheet'!$B$3:$B$1001,$H445,'Input Sheet'!$E$3:$E$1001,P$4)=0,"",SUMIFS('Input Sheet'!$F$3:$F$1001,'Input Sheet'!$B$3:$B$1001,$H445,'Input Sheet'!$E$3:$E$1001,P$4))</f>
        <v/>
      </c>
      <c r="Q445" s="21" t="str">
        <f>IF(SUMIFS('Input Sheet'!$F$3:$F$1001,'Input Sheet'!$B$3:$B$1001,$H445,'Input Sheet'!$E$3:$E$1001,Q$4)=0,"",SUMIFS('Input Sheet'!$F$3:$F$1001,'Input Sheet'!$B$3:$B$1001,$H445,'Input Sheet'!$E$3:$E$1001,Q$4))</f>
        <v/>
      </c>
      <c r="R445" s="21" t="str">
        <f>IF(SUMIFS('Input Sheet'!$F$3:$F$1001,'Input Sheet'!$B$3:$B$1001,$H445,'Input Sheet'!$E$3:$E$1001,R$4)=0,"",SUMIFS('Input Sheet'!$F$3:$F$1001,'Input Sheet'!$B$3:$B$1001,$H445,'Input Sheet'!$E$3:$E$1001,R$4))</f>
        <v/>
      </c>
      <c r="S445" s="21" t="str">
        <f>IF(SUMIFS('Input Sheet'!$F$3:$F$1001,'Input Sheet'!$B$3:$B$1001,$H445,'Input Sheet'!$E$3:$E$1001,S$4)=0,"",SUMIFS('Input Sheet'!$F$3:$F$1001,'Input Sheet'!$B$3:$B$1001,$H445,'Input Sheet'!$E$3:$E$1001,S$4))</f>
        <v/>
      </c>
      <c r="T445" s="22">
        <v>440</v>
      </c>
    </row>
    <row r="446" spans="1:20" ht="14.25" customHeight="1" x14ac:dyDescent="0.3">
      <c r="A446" s="4" t="str">
        <f>IF('Input Sheet'!B443=0,"",'Input Sheet'!B443)</f>
        <v/>
      </c>
      <c r="B446" s="24" t="b">
        <f t="shared" si="264"/>
        <v>0</v>
      </c>
      <c r="C446" s="4">
        <f>SUMIF('Input Sheet'!B$3:B$1000,A446,'Input Sheet'!C$3:C$1000)</f>
        <v>0</v>
      </c>
      <c r="D446" s="4">
        <f>SUMIF('Input Sheet'!B$3:B$1000,A446,'Input Sheet'!D$3:D$1000)</f>
        <v>0</v>
      </c>
      <c r="E446" s="4" t="str">
        <f t="shared" ref="E446:F446" ca="1" si="456">IFERROR(RANK(K446,K$6:K$1004,1),"")</f>
        <v/>
      </c>
      <c r="F446" s="4" t="str">
        <f t="shared" ca="1" si="456"/>
        <v/>
      </c>
      <c r="G446" s="4" t="str">
        <f t="shared" ca="1" si="266"/>
        <v/>
      </c>
      <c r="H446" s="4" t="str">
        <f t="shared" si="267"/>
        <v/>
      </c>
      <c r="I446" s="4" t="str">
        <f t="shared" si="268"/>
        <v/>
      </c>
      <c r="J446" s="4" t="str">
        <f t="shared" si="269"/>
        <v/>
      </c>
      <c r="K446" s="25" t="str">
        <f t="shared" ca="1" si="270"/>
        <v/>
      </c>
      <c r="L446" s="21" t="str">
        <f t="shared" ca="1" si="271"/>
        <v/>
      </c>
      <c r="M446" s="21" t="str">
        <f>IF(SUMIFS('Input Sheet'!$F$3:$F$1001,'Input Sheet'!$B$3:$B$1001,$H446,'Input Sheet'!$E$3:$E$1001,M$4)=0,"",SUMIFS('Input Sheet'!$F$3:$F$1001,'Input Sheet'!$B$3:$B$1001,$H446,'Input Sheet'!$E$3:$E$1001,M$4))</f>
        <v/>
      </c>
      <c r="N446" s="21" t="str">
        <f>IF(SUMIFS('Input Sheet'!$F$3:$F$1001,'Input Sheet'!$B$3:$B$1001,$H446,'Input Sheet'!$E$3:$E$1001,N$4)=0,"",SUMIFS('Input Sheet'!$F$3:$F$1001,'Input Sheet'!$B$3:$B$1001,$H446,'Input Sheet'!$E$3:$E$1001,N$4))</f>
        <v/>
      </c>
      <c r="O446" s="21" t="str">
        <f>IF(SUMIFS('Input Sheet'!$F$3:$F$1001,'Input Sheet'!$B$3:$B$1001,$H446,'Input Sheet'!$E$3:$E$1001,O$4)=0,"",SUMIFS('Input Sheet'!$F$3:$F$1001,'Input Sheet'!$B$3:$B$1001,$H446,'Input Sheet'!$E$3:$E$1001,O$4))</f>
        <v/>
      </c>
      <c r="P446" s="21" t="str">
        <f>IF(SUMIFS('Input Sheet'!$F$3:$F$1001,'Input Sheet'!$B$3:$B$1001,$H446,'Input Sheet'!$E$3:$E$1001,P$4)=0,"",SUMIFS('Input Sheet'!$F$3:$F$1001,'Input Sheet'!$B$3:$B$1001,$H446,'Input Sheet'!$E$3:$E$1001,P$4))</f>
        <v/>
      </c>
      <c r="Q446" s="21" t="str">
        <f>IF(SUMIFS('Input Sheet'!$F$3:$F$1001,'Input Sheet'!$B$3:$B$1001,$H446,'Input Sheet'!$E$3:$E$1001,Q$4)=0,"",SUMIFS('Input Sheet'!$F$3:$F$1001,'Input Sheet'!$B$3:$B$1001,$H446,'Input Sheet'!$E$3:$E$1001,Q$4))</f>
        <v/>
      </c>
      <c r="R446" s="21" t="str">
        <f>IF(SUMIFS('Input Sheet'!$F$3:$F$1001,'Input Sheet'!$B$3:$B$1001,$H446,'Input Sheet'!$E$3:$E$1001,R$4)=0,"",SUMIFS('Input Sheet'!$F$3:$F$1001,'Input Sheet'!$B$3:$B$1001,$H446,'Input Sheet'!$E$3:$E$1001,R$4))</f>
        <v/>
      </c>
      <c r="S446" s="21" t="str">
        <f>IF(SUMIFS('Input Sheet'!$F$3:$F$1001,'Input Sheet'!$B$3:$B$1001,$H446,'Input Sheet'!$E$3:$E$1001,S$4)=0,"",SUMIFS('Input Sheet'!$F$3:$F$1001,'Input Sheet'!$B$3:$B$1001,$H446,'Input Sheet'!$E$3:$E$1001,S$4))</f>
        <v/>
      </c>
      <c r="T446" s="22">
        <v>441</v>
      </c>
    </row>
    <row r="447" spans="1:20" ht="14.25" customHeight="1" x14ac:dyDescent="0.3">
      <c r="A447" s="4" t="str">
        <f>IF('Input Sheet'!B444=0,"",'Input Sheet'!B444)</f>
        <v/>
      </c>
      <c r="B447" s="24" t="b">
        <f t="shared" si="264"/>
        <v>0</v>
      </c>
      <c r="C447" s="4">
        <f>SUMIF('Input Sheet'!B$3:B$1000,A447,'Input Sheet'!C$3:C$1000)</f>
        <v>0</v>
      </c>
      <c r="D447" s="4">
        <f>SUMIF('Input Sheet'!B$3:B$1000,A447,'Input Sheet'!D$3:D$1000)</f>
        <v>0</v>
      </c>
      <c r="E447" s="4" t="str">
        <f t="shared" ref="E447:F447" ca="1" si="457">IFERROR(RANK(K447,K$6:K$1004,1),"")</f>
        <v/>
      </c>
      <c r="F447" s="4" t="str">
        <f t="shared" ca="1" si="457"/>
        <v/>
      </c>
      <c r="G447" s="4" t="str">
        <f t="shared" ca="1" si="266"/>
        <v/>
      </c>
      <c r="H447" s="4" t="str">
        <f t="shared" si="267"/>
        <v/>
      </c>
      <c r="I447" s="4" t="str">
        <f t="shared" si="268"/>
        <v/>
      </c>
      <c r="J447" s="4" t="str">
        <f t="shared" si="269"/>
        <v/>
      </c>
      <c r="K447" s="25" t="str">
        <f t="shared" ca="1" si="270"/>
        <v/>
      </c>
      <c r="L447" s="21" t="str">
        <f t="shared" ca="1" si="271"/>
        <v/>
      </c>
      <c r="M447" s="21" t="str">
        <f>IF(SUMIFS('Input Sheet'!$F$3:$F$1001,'Input Sheet'!$B$3:$B$1001,$H447,'Input Sheet'!$E$3:$E$1001,M$4)=0,"",SUMIFS('Input Sheet'!$F$3:$F$1001,'Input Sheet'!$B$3:$B$1001,$H447,'Input Sheet'!$E$3:$E$1001,M$4))</f>
        <v/>
      </c>
      <c r="N447" s="21" t="str">
        <f>IF(SUMIFS('Input Sheet'!$F$3:$F$1001,'Input Sheet'!$B$3:$B$1001,$H447,'Input Sheet'!$E$3:$E$1001,N$4)=0,"",SUMIFS('Input Sheet'!$F$3:$F$1001,'Input Sheet'!$B$3:$B$1001,$H447,'Input Sheet'!$E$3:$E$1001,N$4))</f>
        <v/>
      </c>
      <c r="O447" s="21" t="str">
        <f>IF(SUMIFS('Input Sheet'!$F$3:$F$1001,'Input Sheet'!$B$3:$B$1001,$H447,'Input Sheet'!$E$3:$E$1001,O$4)=0,"",SUMIFS('Input Sheet'!$F$3:$F$1001,'Input Sheet'!$B$3:$B$1001,$H447,'Input Sheet'!$E$3:$E$1001,O$4))</f>
        <v/>
      </c>
      <c r="P447" s="21" t="str">
        <f>IF(SUMIFS('Input Sheet'!$F$3:$F$1001,'Input Sheet'!$B$3:$B$1001,$H447,'Input Sheet'!$E$3:$E$1001,P$4)=0,"",SUMIFS('Input Sheet'!$F$3:$F$1001,'Input Sheet'!$B$3:$B$1001,$H447,'Input Sheet'!$E$3:$E$1001,P$4))</f>
        <v/>
      </c>
      <c r="Q447" s="21" t="str">
        <f>IF(SUMIFS('Input Sheet'!$F$3:$F$1001,'Input Sheet'!$B$3:$B$1001,$H447,'Input Sheet'!$E$3:$E$1001,Q$4)=0,"",SUMIFS('Input Sheet'!$F$3:$F$1001,'Input Sheet'!$B$3:$B$1001,$H447,'Input Sheet'!$E$3:$E$1001,Q$4))</f>
        <v/>
      </c>
      <c r="R447" s="21" t="str">
        <f>IF(SUMIFS('Input Sheet'!$F$3:$F$1001,'Input Sheet'!$B$3:$B$1001,$H447,'Input Sheet'!$E$3:$E$1001,R$4)=0,"",SUMIFS('Input Sheet'!$F$3:$F$1001,'Input Sheet'!$B$3:$B$1001,$H447,'Input Sheet'!$E$3:$E$1001,R$4))</f>
        <v/>
      </c>
      <c r="S447" s="21" t="str">
        <f>IF(SUMIFS('Input Sheet'!$F$3:$F$1001,'Input Sheet'!$B$3:$B$1001,$H447,'Input Sheet'!$E$3:$E$1001,S$4)=0,"",SUMIFS('Input Sheet'!$F$3:$F$1001,'Input Sheet'!$B$3:$B$1001,$H447,'Input Sheet'!$E$3:$E$1001,S$4))</f>
        <v/>
      </c>
      <c r="T447" s="22">
        <v>442</v>
      </c>
    </row>
    <row r="448" spans="1:20" ht="14.25" customHeight="1" x14ac:dyDescent="0.3">
      <c r="A448" s="4" t="str">
        <f>IF('Input Sheet'!B445=0,"",'Input Sheet'!B445)</f>
        <v/>
      </c>
      <c r="B448" s="24" t="b">
        <f t="shared" si="264"/>
        <v>0</v>
      </c>
      <c r="C448" s="4">
        <f>SUMIF('Input Sheet'!B$3:B$1000,A448,'Input Sheet'!C$3:C$1000)</f>
        <v>0</v>
      </c>
      <c r="D448" s="4">
        <f>SUMIF('Input Sheet'!B$3:B$1000,A448,'Input Sheet'!D$3:D$1000)</f>
        <v>0</v>
      </c>
      <c r="E448" s="4" t="str">
        <f t="shared" ref="E448:F448" ca="1" si="458">IFERROR(RANK(K448,K$6:K$1004,1),"")</f>
        <v/>
      </c>
      <c r="F448" s="4" t="str">
        <f t="shared" ca="1" si="458"/>
        <v/>
      </c>
      <c r="G448" s="4" t="str">
        <f t="shared" ca="1" si="266"/>
        <v/>
      </c>
      <c r="H448" s="4" t="str">
        <f t="shared" si="267"/>
        <v/>
      </c>
      <c r="I448" s="4" t="str">
        <f t="shared" si="268"/>
        <v/>
      </c>
      <c r="J448" s="4" t="str">
        <f t="shared" si="269"/>
        <v/>
      </c>
      <c r="K448" s="25" t="str">
        <f t="shared" ca="1" si="270"/>
        <v/>
      </c>
      <c r="L448" s="21" t="str">
        <f t="shared" ca="1" si="271"/>
        <v/>
      </c>
      <c r="M448" s="21" t="str">
        <f>IF(SUMIFS('Input Sheet'!$F$3:$F$1001,'Input Sheet'!$B$3:$B$1001,$H448,'Input Sheet'!$E$3:$E$1001,M$4)=0,"",SUMIFS('Input Sheet'!$F$3:$F$1001,'Input Sheet'!$B$3:$B$1001,$H448,'Input Sheet'!$E$3:$E$1001,M$4))</f>
        <v/>
      </c>
      <c r="N448" s="21" t="str">
        <f>IF(SUMIFS('Input Sheet'!$F$3:$F$1001,'Input Sheet'!$B$3:$B$1001,$H448,'Input Sheet'!$E$3:$E$1001,N$4)=0,"",SUMIFS('Input Sheet'!$F$3:$F$1001,'Input Sheet'!$B$3:$B$1001,$H448,'Input Sheet'!$E$3:$E$1001,N$4))</f>
        <v/>
      </c>
      <c r="O448" s="21" t="str">
        <f>IF(SUMIFS('Input Sheet'!$F$3:$F$1001,'Input Sheet'!$B$3:$B$1001,$H448,'Input Sheet'!$E$3:$E$1001,O$4)=0,"",SUMIFS('Input Sheet'!$F$3:$F$1001,'Input Sheet'!$B$3:$B$1001,$H448,'Input Sheet'!$E$3:$E$1001,O$4))</f>
        <v/>
      </c>
      <c r="P448" s="21" t="str">
        <f>IF(SUMIFS('Input Sheet'!$F$3:$F$1001,'Input Sheet'!$B$3:$B$1001,$H448,'Input Sheet'!$E$3:$E$1001,P$4)=0,"",SUMIFS('Input Sheet'!$F$3:$F$1001,'Input Sheet'!$B$3:$B$1001,$H448,'Input Sheet'!$E$3:$E$1001,P$4))</f>
        <v/>
      </c>
      <c r="Q448" s="21" t="str">
        <f>IF(SUMIFS('Input Sheet'!$F$3:$F$1001,'Input Sheet'!$B$3:$B$1001,$H448,'Input Sheet'!$E$3:$E$1001,Q$4)=0,"",SUMIFS('Input Sheet'!$F$3:$F$1001,'Input Sheet'!$B$3:$B$1001,$H448,'Input Sheet'!$E$3:$E$1001,Q$4))</f>
        <v/>
      </c>
      <c r="R448" s="21" t="str">
        <f>IF(SUMIFS('Input Sheet'!$F$3:$F$1001,'Input Sheet'!$B$3:$B$1001,$H448,'Input Sheet'!$E$3:$E$1001,R$4)=0,"",SUMIFS('Input Sheet'!$F$3:$F$1001,'Input Sheet'!$B$3:$B$1001,$H448,'Input Sheet'!$E$3:$E$1001,R$4))</f>
        <v/>
      </c>
      <c r="S448" s="21" t="str">
        <f>IF(SUMIFS('Input Sheet'!$F$3:$F$1001,'Input Sheet'!$B$3:$B$1001,$H448,'Input Sheet'!$E$3:$E$1001,S$4)=0,"",SUMIFS('Input Sheet'!$F$3:$F$1001,'Input Sheet'!$B$3:$B$1001,$H448,'Input Sheet'!$E$3:$E$1001,S$4))</f>
        <v/>
      </c>
      <c r="T448" s="22">
        <v>443</v>
      </c>
    </row>
    <row r="449" spans="1:20" ht="14.25" customHeight="1" x14ac:dyDescent="0.3">
      <c r="A449" s="4" t="str">
        <f>IF('Input Sheet'!B446=0,"",'Input Sheet'!B446)</f>
        <v/>
      </c>
      <c r="B449" s="24" t="b">
        <f t="shared" si="264"/>
        <v>0</v>
      </c>
      <c r="C449" s="4">
        <f>SUMIF('Input Sheet'!B$3:B$1000,A449,'Input Sheet'!C$3:C$1000)</f>
        <v>0</v>
      </c>
      <c r="D449" s="4">
        <f>SUMIF('Input Sheet'!B$3:B$1000,A449,'Input Sheet'!D$3:D$1000)</f>
        <v>0</v>
      </c>
      <c r="E449" s="4" t="str">
        <f t="shared" ref="E449:F449" ca="1" si="459">IFERROR(RANK(K449,K$6:K$1004,1),"")</f>
        <v/>
      </c>
      <c r="F449" s="4" t="str">
        <f t="shared" ca="1" si="459"/>
        <v/>
      </c>
      <c r="G449" s="4" t="str">
        <f t="shared" ca="1" si="266"/>
        <v/>
      </c>
      <c r="H449" s="4" t="str">
        <f t="shared" si="267"/>
        <v/>
      </c>
      <c r="I449" s="4" t="str">
        <f t="shared" si="268"/>
        <v/>
      </c>
      <c r="J449" s="4" t="str">
        <f t="shared" si="269"/>
        <v/>
      </c>
      <c r="K449" s="25" t="str">
        <f t="shared" ca="1" si="270"/>
        <v/>
      </c>
      <c r="L449" s="21" t="str">
        <f t="shared" ca="1" si="271"/>
        <v/>
      </c>
      <c r="M449" s="21" t="str">
        <f>IF(SUMIFS('Input Sheet'!$F$3:$F$1001,'Input Sheet'!$B$3:$B$1001,$H449,'Input Sheet'!$E$3:$E$1001,M$4)=0,"",SUMIFS('Input Sheet'!$F$3:$F$1001,'Input Sheet'!$B$3:$B$1001,$H449,'Input Sheet'!$E$3:$E$1001,M$4))</f>
        <v/>
      </c>
      <c r="N449" s="21" t="str">
        <f>IF(SUMIFS('Input Sheet'!$F$3:$F$1001,'Input Sheet'!$B$3:$B$1001,$H449,'Input Sheet'!$E$3:$E$1001,N$4)=0,"",SUMIFS('Input Sheet'!$F$3:$F$1001,'Input Sheet'!$B$3:$B$1001,$H449,'Input Sheet'!$E$3:$E$1001,N$4))</f>
        <v/>
      </c>
      <c r="O449" s="21" t="str">
        <f>IF(SUMIFS('Input Sheet'!$F$3:$F$1001,'Input Sheet'!$B$3:$B$1001,$H449,'Input Sheet'!$E$3:$E$1001,O$4)=0,"",SUMIFS('Input Sheet'!$F$3:$F$1001,'Input Sheet'!$B$3:$B$1001,$H449,'Input Sheet'!$E$3:$E$1001,O$4))</f>
        <v/>
      </c>
      <c r="P449" s="21" t="str">
        <f>IF(SUMIFS('Input Sheet'!$F$3:$F$1001,'Input Sheet'!$B$3:$B$1001,$H449,'Input Sheet'!$E$3:$E$1001,P$4)=0,"",SUMIFS('Input Sheet'!$F$3:$F$1001,'Input Sheet'!$B$3:$B$1001,$H449,'Input Sheet'!$E$3:$E$1001,P$4))</f>
        <v/>
      </c>
      <c r="Q449" s="21" t="str">
        <f>IF(SUMIFS('Input Sheet'!$F$3:$F$1001,'Input Sheet'!$B$3:$B$1001,$H449,'Input Sheet'!$E$3:$E$1001,Q$4)=0,"",SUMIFS('Input Sheet'!$F$3:$F$1001,'Input Sheet'!$B$3:$B$1001,$H449,'Input Sheet'!$E$3:$E$1001,Q$4))</f>
        <v/>
      </c>
      <c r="R449" s="21" t="str">
        <f>IF(SUMIFS('Input Sheet'!$F$3:$F$1001,'Input Sheet'!$B$3:$B$1001,$H449,'Input Sheet'!$E$3:$E$1001,R$4)=0,"",SUMIFS('Input Sheet'!$F$3:$F$1001,'Input Sheet'!$B$3:$B$1001,$H449,'Input Sheet'!$E$3:$E$1001,R$4))</f>
        <v/>
      </c>
      <c r="S449" s="21" t="str">
        <f>IF(SUMIFS('Input Sheet'!$F$3:$F$1001,'Input Sheet'!$B$3:$B$1001,$H449,'Input Sheet'!$E$3:$E$1001,S$4)=0,"",SUMIFS('Input Sheet'!$F$3:$F$1001,'Input Sheet'!$B$3:$B$1001,$H449,'Input Sheet'!$E$3:$E$1001,S$4))</f>
        <v/>
      </c>
      <c r="T449" s="22">
        <v>444</v>
      </c>
    </row>
    <row r="450" spans="1:20" ht="14.25" customHeight="1" x14ac:dyDescent="0.3">
      <c r="A450" s="4" t="str">
        <f>IF('Input Sheet'!B447=0,"",'Input Sheet'!B447)</f>
        <v/>
      </c>
      <c r="B450" s="24" t="b">
        <f t="shared" si="264"/>
        <v>0</v>
      </c>
      <c r="C450" s="4">
        <f>SUMIF('Input Sheet'!B$3:B$1000,A450,'Input Sheet'!C$3:C$1000)</f>
        <v>0</v>
      </c>
      <c r="D450" s="4">
        <f>SUMIF('Input Sheet'!B$3:B$1000,A450,'Input Sheet'!D$3:D$1000)</f>
        <v>0</v>
      </c>
      <c r="E450" s="4" t="str">
        <f t="shared" ref="E450:F450" ca="1" si="460">IFERROR(RANK(K450,K$6:K$1004,1),"")</f>
        <v/>
      </c>
      <c r="F450" s="4" t="str">
        <f t="shared" ca="1" si="460"/>
        <v/>
      </c>
      <c r="G450" s="4" t="str">
        <f t="shared" ca="1" si="266"/>
        <v/>
      </c>
      <c r="H450" s="4" t="str">
        <f t="shared" si="267"/>
        <v/>
      </c>
      <c r="I450" s="4" t="str">
        <f t="shared" si="268"/>
        <v/>
      </c>
      <c r="J450" s="4" t="str">
        <f t="shared" si="269"/>
        <v/>
      </c>
      <c r="K450" s="25" t="str">
        <f t="shared" ca="1" si="270"/>
        <v/>
      </c>
      <c r="L450" s="21" t="str">
        <f t="shared" ca="1" si="271"/>
        <v/>
      </c>
      <c r="M450" s="21" t="str">
        <f>IF(SUMIFS('Input Sheet'!$F$3:$F$1001,'Input Sheet'!$B$3:$B$1001,$H450,'Input Sheet'!$E$3:$E$1001,M$4)=0,"",SUMIFS('Input Sheet'!$F$3:$F$1001,'Input Sheet'!$B$3:$B$1001,$H450,'Input Sheet'!$E$3:$E$1001,M$4))</f>
        <v/>
      </c>
      <c r="N450" s="21" t="str">
        <f>IF(SUMIFS('Input Sheet'!$F$3:$F$1001,'Input Sheet'!$B$3:$B$1001,$H450,'Input Sheet'!$E$3:$E$1001,N$4)=0,"",SUMIFS('Input Sheet'!$F$3:$F$1001,'Input Sheet'!$B$3:$B$1001,$H450,'Input Sheet'!$E$3:$E$1001,N$4))</f>
        <v/>
      </c>
      <c r="O450" s="21" t="str">
        <f>IF(SUMIFS('Input Sheet'!$F$3:$F$1001,'Input Sheet'!$B$3:$B$1001,$H450,'Input Sheet'!$E$3:$E$1001,O$4)=0,"",SUMIFS('Input Sheet'!$F$3:$F$1001,'Input Sheet'!$B$3:$B$1001,$H450,'Input Sheet'!$E$3:$E$1001,O$4))</f>
        <v/>
      </c>
      <c r="P450" s="21" t="str">
        <f>IF(SUMIFS('Input Sheet'!$F$3:$F$1001,'Input Sheet'!$B$3:$B$1001,$H450,'Input Sheet'!$E$3:$E$1001,P$4)=0,"",SUMIFS('Input Sheet'!$F$3:$F$1001,'Input Sheet'!$B$3:$B$1001,$H450,'Input Sheet'!$E$3:$E$1001,P$4))</f>
        <v/>
      </c>
      <c r="Q450" s="21" t="str">
        <f>IF(SUMIFS('Input Sheet'!$F$3:$F$1001,'Input Sheet'!$B$3:$B$1001,$H450,'Input Sheet'!$E$3:$E$1001,Q$4)=0,"",SUMIFS('Input Sheet'!$F$3:$F$1001,'Input Sheet'!$B$3:$B$1001,$H450,'Input Sheet'!$E$3:$E$1001,Q$4))</f>
        <v/>
      </c>
      <c r="R450" s="21" t="str">
        <f>IF(SUMIFS('Input Sheet'!$F$3:$F$1001,'Input Sheet'!$B$3:$B$1001,$H450,'Input Sheet'!$E$3:$E$1001,R$4)=0,"",SUMIFS('Input Sheet'!$F$3:$F$1001,'Input Sheet'!$B$3:$B$1001,$H450,'Input Sheet'!$E$3:$E$1001,R$4))</f>
        <v/>
      </c>
      <c r="S450" s="21" t="str">
        <f>IF(SUMIFS('Input Sheet'!$F$3:$F$1001,'Input Sheet'!$B$3:$B$1001,$H450,'Input Sheet'!$E$3:$E$1001,S$4)=0,"",SUMIFS('Input Sheet'!$F$3:$F$1001,'Input Sheet'!$B$3:$B$1001,$H450,'Input Sheet'!$E$3:$E$1001,S$4))</f>
        <v/>
      </c>
      <c r="T450" s="22">
        <v>445</v>
      </c>
    </row>
    <row r="451" spans="1:20" ht="14.25" customHeight="1" x14ac:dyDescent="0.3">
      <c r="A451" s="4" t="str">
        <f>IF('Input Sheet'!B448=0,"",'Input Sheet'!B448)</f>
        <v/>
      </c>
      <c r="B451" s="24" t="b">
        <f t="shared" si="264"/>
        <v>0</v>
      </c>
      <c r="C451" s="4">
        <f>SUMIF('Input Sheet'!B$3:B$1000,A451,'Input Sheet'!C$3:C$1000)</f>
        <v>0</v>
      </c>
      <c r="D451" s="4">
        <f>SUMIF('Input Sheet'!B$3:B$1000,A451,'Input Sheet'!D$3:D$1000)</f>
        <v>0</v>
      </c>
      <c r="E451" s="4" t="str">
        <f t="shared" ref="E451:F451" ca="1" si="461">IFERROR(RANK(K451,K$6:K$1004,1),"")</f>
        <v/>
      </c>
      <c r="F451" s="4" t="str">
        <f t="shared" ca="1" si="461"/>
        <v/>
      </c>
      <c r="G451" s="4" t="str">
        <f t="shared" ca="1" si="266"/>
        <v/>
      </c>
      <c r="H451" s="4" t="str">
        <f t="shared" si="267"/>
        <v/>
      </c>
      <c r="I451" s="4" t="str">
        <f t="shared" si="268"/>
        <v/>
      </c>
      <c r="J451" s="4" t="str">
        <f t="shared" si="269"/>
        <v/>
      </c>
      <c r="K451" s="25" t="str">
        <f t="shared" ca="1" si="270"/>
        <v/>
      </c>
      <c r="L451" s="21" t="str">
        <f t="shared" ca="1" si="271"/>
        <v/>
      </c>
      <c r="M451" s="21" t="str">
        <f>IF(SUMIFS('Input Sheet'!$F$3:$F$1001,'Input Sheet'!$B$3:$B$1001,$H451,'Input Sheet'!$E$3:$E$1001,M$4)=0,"",SUMIFS('Input Sheet'!$F$3:$F$1001,'Input Sheet'!$B$3:$B$1001,$H451,'Input Sheet'!$E$3:$E$1001,M$4))</f>
        <v/>
      </c>
      <c r="N451" s="21" t="str">
        <f>IF(SUMIFS('Input Sheet'!$F$3:$F$1001,'Input Sheet'!$B$3:$B$1001,$H451,'Input Sheet'!$E$3:$E$1001,N$4)=0,"",SUMIFS('Input Sheet'!$F$3:$F$1001,'Input Sheet'!$B$3:$B$1001,$H451,'Input Sheet'!$E$3:$E$1001,N$4))</f>
        <v/>
      </c>
      <c r="O451" s="21" t="str">
        <f>IF(SUMIFS('Input Sheet'!$F$3:$F$1001,'Input Sheet'!$B$3:$B$1001,$H451,'Input Sheet'!$E$3:$E$1001,O$4)=0,"",SUMIFS('Input Sheet'!$F$3:$F$1001,'Input Sheet'!$B$3:$B$1001,$H451,'Input Sheet'!$E$3:$E$1001,O$4))</f>
        <v/>
      </c>
      <c r="P451" s="21" t="str">
        <f>IF(SUMIFS('Input Sheet'!$F$3:$F$1001,'Input Sheet'!$B$3:$B$1001,$H451,'Input Sheet'!$E$3:$E$1001,P$4)=0,"",SUMIFS('Input Sheet'!$F$3:$F$1001,'Input Sheet'!$B$3:$B$1001,$H451,'Input Sheet'!$E$3:$E$1001,P$4))</f>
        <v/>
      </c>
      <c r="Q451" s="21" t="str">
        <f>IF(SUMIFS('Input Sheet'!$F$3:$F$1001,'Input Sheet'!$B$3:$B$1001,$H451,'Input Sheet'!$E$3:$E$1001,Q$4)=0,"",SUMIFS('Input Sheet'!$F$3:$F$1001,'Input Sheet'!$B$3:$B$1001,$H451,'Input Sheet'!$E$3:$E$1001,Q$4))</f>
        <v/>
      </c>
      <c r="R451" s="21" t="str">
        <f>IF(SUMIFS('Input Sheet'!$F$3:$F$1001,'Input Sheet'!$B$3:$B$1001,$H451,'Input Sheet'!$E$3:$E$1001,R$4)=0,"",SUMIFS('Input Sheet'!$F$3:$F$1001,'Input Sheet'!$B$3:$B$1001,$H451,'Input Sheet'!$E$3:$E$1001,R$4))</f>
        <v/>
      </c>
      <c r="S451" s="21" t="str">
        <f>IF(SUMIFS('Input Sheet'!$F$3:$F$1001,'Input Sheet'!$B$3:$B$1001,$H451,'Input Sheet'!$E$3:$E$1001,S$4)=0,"",SUMIFS('Input Sheet'!$F$3:$F$1001,'Input Sheet'!$B$3:$B$1001,$H451,'Input Sheet'!$E$3:$E$1001,S$4))</f>
        <v/>
      </c>
      <c r="T451" s="22">
        <v>446</v>
      </c>
    </row>
    <row r="452" spans="1:20" ht="14.25" customHeight="1" x14ac:dyDescent="0.3">
      <c r="A452" s="4" t="str">
        <f>IF('Input Sheet'!B449=0,"",'Input Sheet'!B449)</f>
        <v/>
      </c>
      <c r="B452" s="24" t="b">
        <f t="shared" si="264"/>
        <v>0</v>
      </c>
      <c r="C452" s="4">
        <f>SUMIF('Input Sheet'!B$3:B$1000,A452,'Input Sheet'!C$3:C$1000)</f>
        <v>0</v>
      </c>
      <c r="D452" s="4">
        <f>SUMIF('Input Sheet'!B$3:B$1000,A452,'Input Sheet'!D$3:D$1000)</f>
        <v>0</v>
      </c>
      <c r="E452" s="4" t="str">
        <f t="shared" ref="E452:F452" ca="1" si="462">IFERROR(RANK(K452,K$6:K$1004,1),"")</f>
        <v/>
      </c>
      <c r="F452" s="4" t="str">
        <f t="shared" ca="1" si="462"/>
        <v/>
      </c>
      <c r="G452" s="4" t="str">
        <f t="shared" ca="1" si="266"/>
        <v/>
      </c>
      <c r="H452" s="4" t="str">
        <f t="shared" si="267"/>
        <v/>
      </c>
      <c r="I452" s="4" t="str">
        <f t="shared" si="268"/>
        <v/>
      </c>
      <c r="J452" s="4" t="str">
        <f t="shared" si="269"/>
        <v/>
      </c>
      <c r="K452" s="25" t="str">
        <f t="shared" ca="1" si="270"/>
        <v/>
      </c>
      <c r="L452" s="21" t="str">
        <f t="shared" ca="1" si="271"/>
        <v/>
      </c>
      <c r="M452" s="21" t="str">
        <f>IF(SUMIFS('Input Sheet'!$F$3:$F$1001,'Input Sheet'!$B$3:$B$1001,$H452,'Input Sheet'!$E$3:$E$1001,M$4)=0,"",SUMIFS('Input Sheet'!$F$3:$F$1001,'Input Sheet'!$B$3:$B$1001,$H452,'Input Sheet'!$E$3:$E$1001,M$4))</f>
        <v/>
      </c>
      <c r="N452" s="21" t="str">
        <f>IF(SUMIFS('Input Sheet'!$F$3:$F$1001,'Input Sheet'!$B$3:$B$1001,$H452,'Input Sheet'!$E$3:$E$1001,N$4)=0,"",SUMIFS('Input Sheet'!$F$3:$F$1001,'Input Sheet'!$B$3:$B$1001,$H452,'Input Sheet'!$E$3:$E$1001,N$4))</f>
        <v/>
      </c>
      <c r="O452" s="21" t="str">
        <f>IF(SUMIFS('Input Sheet'!$F$3:$F$1001,'Input Sheet'!$B$3:$B$1001,$H452,'Input Sheet'!$E$3:$E$1001,O$4)=0,"",SUMIFS('Input Sheet'!$F$3:$F$1001,'Input Sheet'!$B$3:$B$1001,$H452,'Input Sheet'!$E$3:$E$1001,O$4))</f>
        <v/>
      </c>
      <c r="P452" s="21" t="str">
        <f>IF(SUMIFS('Input Sheet'!$F$3:$F$1001,'Input Sheet'!$B$3:$B$1001,$H452,'Input Sheet'!$E$3:$E$1001,P$4)=0,"",SUMIFS('Input Sheet'!$F$3:$F$1001,'Input Sheet'!$B$3:$B$1001,$H452,'Input Sheet'!$E$3:$E$1001,P$4))</f>
        <v/>
      </c>
      <c r="Q452" s="21" t="str">
        <f>IF(SUMIFS('Input Sheet'!$F$3:$F$1001,'Input Sheet'!$B$3:$B$1001,$H452,'Input Sheet'!$E$3:$E$1001,Q$4)=0,"",SUMIFS('Input Sheet'!$F$3:$F$1001,'Input Sheet'!$B$3:$B$1001,$H452,'Input Sheet'!$E$3:$E$1001,Q$4))</f>
        <v/>
      </c>
      <c r="R452" s="21" t="str">
        <f>IF(SUMIFS('Input Sheet'!$F$3:$F$1001,'Input Sheet'!$B$3:$B$1001,$H452,'Input Sheet'!$E$3:$E$1001,R$4)=0,"",SUMIFS('Input Sheet'!$F$3:$F$1001,'Input Sheet'!$B$3:$B$1001,$H452,'Input Sheet'!$E$3:$E$1001,R$4))</f>
        <v/>
      </c>
      <c r="S452" s="21" t="str">
        <f>IF(SUMIFS('Input Sheet'!$F$3:$F$1001,'Input Sheet'!$B$3:$B$1001,$H452,'Input Sheet'!$E$3:$E$1001,S$4)=0,"",SUMIFS('Input Sheet'!$F$3:$F$1001,'Input Sheet'!$B$3:$B$1001,$H452,'Input Sheet'!$E$3:$E$1001,S$4))</f>
        <v/>
      </c>
      <c r="T452" s="22">
        <v>447</v>
      </c>
    </row>
    <row r="453" spans="1:20" ht="14.25" customHeight="1" x14ac:dyDescent="0.3">
      <c r="A453" s="4" t="str">
        <f>IF('Input Sheet'!B450=0,"",'Input Sheet'!B450)</f>
        <v/>
      </c>
      <c r="B453" s="24" t="b">
        <f t="shared" si="264"/>
        <v>0</v>
      </c>
      <c r="C453" s="4">
        <f>SUMIF('Input Sheet'!B$3:B$1000,A453,'Input Sheet'!C$3:C$1000)</f>
        <v>0</v>
      </c>
      <c r="D453" s="4">
        <f>SUMIF('Input Sheet'!B$3:B$1000,A453,'Input Sheet'!D$3:D$1000)</f>
        <v>0</v>
      </c>
      <c r="E453" s="4" t="str">
        <f t="shared" ref="E453:F453" ca="1" si="463">IFERROR(RANK(K453,K$6:K$1004,1),"")</f>
        <v/>
      </c>
      <c r="F453" s="4" t="str">
        <f t="shared" ca="1" si="463"/>
        <v/>
      </c>
      <c r="G453" s="4" t="str">
        <f t="shared" ca="1" si="266"/>
        <v/>
      </c>
      <c r="H453" s="4" t="str">
        <f t="shared" si="267"/>
        <v/>
      </c>
      <c r="I453" s="4" t="str">
        <f t="shared" si="268"/>
        <v/>
      </c>
      <c r="J453" s="4" t="str">
        <f t="shared" si="269"/>
        <v/>
      </c>
      <c r="K453" s="25" t="str">
        <f t="shared" ca="1" si="270"/>
        <v/>
      </c>
      <c r="L453" s="21" t="str">
        <f t="shared" ca="1" si="271"/>
        <v/>
      </c>
      <c r="M453" s="21" t="str">
        <f>IF(SUMIFS('Input Sheet'!$F$3:$F$1001,'Input Sheet'!$B$3:$B$1001,$H453,'Input Sheet'!$E$3:$E$1001,M$4)=0,"",SUMIFS('Input Sheet'!$F$3:$F$1001,'Input Sheet'!$B$3:$B$1001,$H453,'Input Sheet'!$E$3:$E$1001,M$4))</f>
        <v/>
      </c>
      <c r="N453" s="21" t="str">
        <f>IF(SUMIFS('Input Sheet'!$F$3:$F$1001,'Input Sheet'!$B$3:$B$1001,$H453,'Input Sheet'!$E$3:$E$1001,N$4)=0,"",SUMIFS('Input Sheet'!$F$3:$F$1001,'Input Sheet'!$B$3:$B$1001,$H453,'Input Sheet'!$E$3:$E$1001,N$4))</f>
        <v/>
      </c>
      <c r="O453" s="21" t="str">
        <f>IF(SUMIFS('Input Sheet'!$F$3:$F$1001,'Input Sheet'!$B$3:$B$1001,$H453,'Input Sheet'!$E$3:$E$1001,O$4)=0,"",SUMIFS('Input Sheet'!$F$3:$F$1001,'Input Sheet'!$B$3:$B$1001,$H453,'Input Sheet'!$E$3:$E$1001,O$4))</f>
        <v/>
      </c>
      <c r="P453" s="21" t="str">
        <f>IF(SUMIFS('Input Sheet'!$F$3:$F$1001,'Input Sheet'!$B$3:$B$1001,$H453,'Input Sheet'!$E$3:$E$1001,P$4)=0,"",SUMIFS('Input Sheet'!$F$3:$F$1001,'Input Sheet'!$B$3:$B$1001,$H453,'Input Sheet'!$E$3:$E$1001,P$4))</f>
        <v/>
      </c>
      <c r="Q453" s="21" t="str">
        <f>IF(SUMIFS('Input Sheet'!$F$3:$F$1001,'Input Sheet'!$B$3:$B$1001,$H453,'Input Sheet'!$E$3:$E$1001,Q$4)=0,"",SUMIFS('Input Sheet'!$F$3:$F$1001,'Input Sheet'!$B$3:$B$1001,$H453,'Input Sheet'!$E$3:$E$1001,Q$4))</f>
        <v/>
      </c>
      <c r="R453" s="21" t="str">
        <f>IF(SUMIFS('Input Sheet'!$F$3:$F$1001,'Input Sheet'!$B$3:$B$1001,$H453,'Input Sheet'!$E$3:$E$1001,R$4)=0,"",SUMIFS('Input Sheet'!$F$3:$F$1001,'Input Sheet'!$B$3:$B$1001,$H453,'Input Sheet'!$E$3:$E$1001,R$4))</f>
        <v/>
      </c>
      <c r="S453" s="21" t="str">
        <f>IF(SUMIFS('Input Sheet'!$F$3:$F$1001,'Input Sheet'!$B$3:$B$1001,$H453,'Input Sheet'!$E$3:$E$1001,S$4)=0,"",SUMIFS('Input Sheet'!$F$3:$F$1001,'Input Sheet'!$B$3:$B$1001,$H453,'Input Sheet'!$E$3:$E$1001,S$4))</f>
        <v/>
      </c>
      <c r="T453" s="22">
        <v>448</v>
      </c>
    </row>
    <row r="454" spans="1:20" ht="14.25" customHeight="1" x14ac:dyDescent="0.3">
      <c r="A454" s="4" t="str">
        <f>IF('Input Sheet'!B451=0,"",'Input Sheet'!B451)</f>
        <v/>
      </c>
      <c r="B454" s="24" t="b">
        <f t="shared" si="264"/>
        <v>0</v>
      </c>
      <c r="C454" s="4">
        <f>SUMIF('Input Sheet'!B$3:B$1000,A454,'Input Sheet'!C$3:C$1000)</f>
        <v>0</v>
      </c>
      <c r="D454" s="4">
        <f>SUMIF('Input Sheet'!B$3:B$1000,A454,'Input Sheet'!D$3:D$1000)</f>
        <v>0</v>
      </c>
      <c r="E454" s="4" t="str">
        <f t="shared" ref="E454:F454" ca="1" si="464">IFERROR(RANK(K454,K$6:K$1004,1),"")</f>
        <v/>
      </c>
      <c r="F454" s="4" t="str">
        <f t="shared" ca="1" si="464"/>
        <v/>
      </c>
      <c r="G454" s="4" t="str">
        <f t="shared" ca="1" si="266"/>
        <v/>
      </c>
      <c r="H454" s="4" t="str">
        <f t="shared" si="267"/>
        <v/>
      </c>
      <c r="I454" s="4" t="str">
        <f t="shared" si="268"/>
        <v/>
      </c>
      <c r="J454" s="4" t="str">
        <f t="shared" si="269"/>
        <v/>
      </c>
      <c r="K454" s="25" t="str">
        <f t="shared" ca="1" si="270"/>
        <v/>
      </c>
      <c r="L454" s="21" t="str">
        <f t="shared" ca="1" si="271"/>
        <v/>
      </c>
      <c r="M454" s="21" t="str">
        <f>IF(SUMIFS('Input Sheet'!$F$3:$F$1001,'Input Sheet'!$B$3:$B$1001,$H454,'Input Sheet'!$E$3:$E$1001,M$4)=0,"",SUMIFS('Input Sheet'!$F$3:$F$1001,'Input Sheet'!$B$3:$B$1001,$H454,'Input Sheet'!$E$3:$E$1001,M$4))</f>
        <v/>
      </c>
      <c r="N454" s="21" t="str">
        <f>IF(SUMIFS('Input Sheet'!$F$3:$F$1001,'Input Sheet'!$B$3:$B$1001,$H454,'Input Sheet'!$E$3:$E$1001,N$4)=0,"",SUMIFS('Input Sheet'!$F$3:$F$1001,'Input Sheet'!$B$3:$B$1001,$H454,'Input Sheet'!$E$3:$E$1001,N$4))</f>
        <v/>
      </c>
      <c r="O454" s="21" t="str">
        <f>IF(SUMIFS('Input Sheet'!$F$3:$F$1001,'Input Sheet'!$B$3:$B$1001,$H454,'Input Sheet'!$E$3:$E$1001,O$4)=0,"",SUMIFS('Input Sheet'!$F$3:$F$1001,'Input Sheet'!$B$3:$B$1001,$H454,'Input Sheet'!$E$3:$E$1001,O$4))</f>
        <v/>
      </c>
      <c r="P454" s="21" t="str">
        <f>IF(SUMIFS('Input Sheet'!$F$3:$F$1001,'Input Sheet'!$B$3:$B$1001,$H454,'Input Sheet'!$E$3:$E$1001,P$4)=0,"",SUMIFS('Input Sheet'!$F$3:$F$1001,'Input Sheet'!$B$3:$B$1001,$H454,'Input Sheet'!$E$3:$E$1001,P$4))</f>
        <v/>
      </c>
      <c r="Q454" s="21" t="str">
        <f>IF(SUMIFS('Input Sheet'!$F$3:$F$1001,'Input Sheet'!$B$3:$B$1001,$H454,'Input Sheet'!$E$3:$E$1001,Q$4)=0,"",SUMIFS('Input Sheet'!$F$3:$F$1001,'Input Sheet'!$B$3:$B$1001,$H454,'Input Sheet'!$E$3:$E$1001,Q$4))</f>
        <v/>
      </c>
      <c r="R454" s="21" t="str">
        <f>IF(SUMIFS('Input Sheet'!$F$3:$F$1001,'Input Sheet'!$B$3:$B$1001,$H454,'Input Sheet'!$E$3:$E$1001,R$4)=0,"",SUMIFS('Input Sheet'!$F$3:$F$1001,'Input Sheet'!$B$3:$B$1001,$H454,'Input Sheet'!$E$3:$E$1001,R$4))</f>
        <v/>
      </c>
      <c r="S454" s="21" t="str">
        <f>IF(SUMIFS('Input Sheet'!$F$3:$F$1001,'Input Sheet'!$B$3:$B$1001,$H454,'Input Sheet'!$E$3:$E$1001,S$4)=0,"",SUMIFS('Input Sheet'!$F$3:$F$1001,'Input Sheet'!$B$3:$B$1001,$H454,'Input Sheet'!$E$3:$E$1001,S$4))</f>
        <v/>
      </c>
      <c r="T454" s="22">
        <v>449</v>
      </c>
    </row>
    <row r="455" spans="1:20" ht="14.25" customHeight="1" x14ac:dyDescent="0.3">
      <c r="A455" s="4" t="str">
        <f>IF('Input Sheet'!B452=0,"",'Input Sheet'!B452)</f>
        <v/>
      </c>
      <c r="B455" s="24" t="b">
        <f t="shared" si="264"/>
        <v>0</v>
      </c>
      <c r="C455" s="4">
        <f>SUMIF('Input Sheet'!B$3:B$1000,A455,'Input Sheet'!C$3:C$1000)</f>
        <v>0</v>
      </c>
      <c r="D455" s="4">
        <f>SUMIF('Input Sheet'!B$3:B$1000,A455,'Input Sheet'!D$3:D$1000)</f>
        <v>0</v>
      </c>
      <c r="E455" s="4" t="str">
        <f t="shared" ref="E455:F455" ca="1" si="465">IFERROR(RANK(K455,K$6:K$1004,1),"")</f>
        <v/>
      </c>
      <c r="F455" s="4" t="str">
        <f t="shared" ca="1" si="465"/>
        <v/>
      </c>
      <c r="G455" s="4" t="str">
        <f t="shared" ca="1" si="266"/>
        <v/>
      </c>
      <c r="H455" s="4" t="str">
        <f t="shared" si="267"/>
        <v/>
      </c>
      <c r="I455" s="4" t="str">
        <f t="shared" si="268"/>
        <v/>
      </c>
      <c r="J455" s="4" t="str">
        <f t="shared" si="269"/>
        <v/>
      </c>
      <c r="K455" s="25" t="str">
        <f t="shared" ca="1" si="270"/>
        <v/>
      </c>
      <c r="L455" s="21" t="str">
        <f t="shared" ca="1" si="271"/>
        <v/>
      </c>
      <c r="M455" s="21" t="str">
        <f>IF(SUMIFS('Input Sheet'!$F$3:$F$1001,'Input Sheet'!$B$3:$B$1001,$H455,'Input Sheet'!$E$3:$E$1001,M$4)=0,"",SUMIFS('Input Sheet'!$F$3:$F$1001,'Input Sheet'!$B$3:$B$1001,$H455,'Input Sheet'!$E$3:$E$1001,M$4))</f>
        <v/>
      </c>
      <c r="N455" s="21" t="str">
        <f>IF(SUMIFS('Input Sheet'!$F$3:$F$1001,'Input Sheet'!$B$3:$B$1001,$H455,'Input Sheet'!$E$3:$E$1001,N$4)=0,"",SUMIFS('Input Sheet'!$F$3:$F$1001,'Input Sheet'!$B$3:$B$1001,$H455,'Input Sheet'!$E$3:$E$1001,N$4))</f>
        <v/>
      </c>
      <c r="O455" s="21" t="str">
        <f>IF(SUMIFS('Input Sheet'!$F$3:$F$1001,'Input Sheet'!$B$3:$B$1001,$H455,'Input Sheet'!$E$3:$E$1001,O$4)=0,"",SUMIFS('Input Sheet'!$F$3:$F$1001,'Input Sheet'!$B$3:$B$1001,$H455,'Input Sheet'!$E$3:$E$1001,O$4))</f>
        <v/>
      </c>
      <c r="P455" s="21" t="str">
        <f>IF(SUMIFS('Input Sheet'!$F$3:$F$1001,'Input Sheet'!$B$3:$B$1001,$H455,'Input Sheet'!$E$3:$E$1001,P$4)=0,"",SUMIFS('Input Sheet'!$F$3:$F$1001,'Input Sheet'!$B$3:$B$1001,$H455,'Input Sheet'!$E$3:$E$1001,P$4))</f>
        <v/>
      </c>
      <c r="Q455" s="21" t="str">
        <f>IF(SUMIFS('Input Sheet'!$F$3:$F$1001,'Input Sheet'!$B$3:$B$1001,$H455,'Input Sheet'!$E$3:$E$1001,Q$4)=0,"",SUMIFS('Input Sheet'!$F$3:$F$1001,'Input Sheet'!$B$3:$B$1001,$H455,'Input Sheet'!$E$3:$E$1001,Q$4))</f>
        <v/>
      </c>
      <c r="R455" s="21" t="str">
        <f>IF(SUMIFS('Input Sheet'!$F$3:$F$1001,'Input Sheet'!$B$3:$B$1001,$H455,'Input Sheet'!$E$3:$E$1001,R$4)=0,"",SUMIFS('Input Sheet'!$F$3:$F$1001,'Input Sheet'!$B$3:$B$1001,$H455,'Input Sheet'!$E$3:$E$1001,R$4))</f>
        <v/>
      </c>
      <c r="S455" s="21" t="str">
        <f>IF(SUMIFS('Input Sheet'!$F$3:$F$1001,'Input Sheet'!$B$3:$B$1001,$H455,'Input Sheet'!$E$3:$E$1001,S$4)=0,"",SUMIFS('Input Sheet'!$F$3:$F$1001,'Input Sheet'!$B$3:$B$1001,$H455,'Input Sheet'!$E$3:$E$1001,S$4))</f>
        <v/>
      </c>
      <c r="T455" s="22">
        <v>450</v>
      </c>
    </row>
    <row r="456" spans="1:20" ht="14.25" customHeight="1" x14ac:dyDescent="0.3">
      <c r="A456" s="4" t="str">
        <f>IF('Input Sheet'!B453=0,"",'Input Sheet'!B453)</f>
        <v/>
      </c>
      <c r="B456" s="24" t="b">
        <f t="shared" si="264"/>
        <v>0</v>
      </c>
      <c r="C456" s="4">
        <f>SUMIF('Input Sheet'!B$3:B$1000,A456,'Input Sheet'!C$3:C$1000)</f>
        <v>0</v>
      </c>
      <c r="D456" s="4">
        <f>SUMIF('Input Sheet'!B$3:B$1000,A456,'Input Sheet'!D$3:D$1000)</f>
        <v>0</v>
      </c>
      <c r="E456" s="4" t="str">
        <f t="shared" ref="E456:F456" ca="1" si="466">IFERROR(RANK(K456,K$6:K$1004,1),"")</f>
        <v/>
      </c>
      <c r="F456" s="4" t="str">
        <f t="shared" ca="1" si="466"/>
        <v/>
      </c>
      <c r="G456" s="4" t="str">
        <f t="shared" ca="1" si="266"/>
        <v/>
      </c>
      <c r="H456" s="4" t="str">
        <f t="shared" si="267"/>
        <v/>
      </c>
      <c r="I456" s="4" t="str">
        <f t="shared" si="268"/>
        <v/>
      </c>
      <c r="J456" s="4" t="str">
        <f t="shared" si="269"/>
        <v/>
      </c>
      <c r="K456" s="25" t="str">
        <f t="shared" ca="1" si="270"/>
        <v/>
      </c>
      <c r="L456" s="21" t="str">
        <f t="shared" ca="1" si="271"/>
        <v/>
      </c>
      <c r="M456" s="21" t="str">
        <f>IF(SUMIFS('Input Sheet'!$F$3:$F$1001,'Input Sheet'!$B$3:$B$1001,$H456,'Input Sheet'!$E$3:$E$1001,M$4)=0,"",SUMIFS('Input Sheet'!$F$3:$F$1001,'Input Sheet'!$B$3:$B$1001,$H456,'Input Sheet'!$E$3:$E$1001,M$4))</f>
        <v/>
      </c>
      <c r="N456" s="21" t="str">
        <f>IF(SUMIFS('Input Sheet'!$F$3:$F$1001,'Input Sheet'!$B$3:$B$1001,$H456,'Input Sheet'!$E$3:$E$1001,N$4)=0,"",SUMIFS('Input Sheet'!$F$3:$F$1001,'Input Sheet'!$B$3:$B$1001,$H456,'Input Sheet'!$E$3:$E$1001,N$4))</f>
        <v/>
      </c>
      <c r="O456" s="21" t="str">
        <f>IF(SUMIFS('Input Sheet'!$F$3:$F$1001,'Input Sheet'!$B$3:$B$1001,$H456,'Input Sheet'!$E$3:$E$1001,O$4)=0,"",SUMIFS('Input Sheet'!$F$3:$F$1001,'Input Sheet'!$B$3:$B$1001,$H456,'Input Sheet'!$E$3:$E$1001,O$4))</f>
        <v/>
      </c>
      <c r="P456" s="21" t="str">
        <f>IF(SUMIFS('Input Sheet'!$F$3:$F$1001,'Input Sheet'!$B$3:$B$1001,$H456,'Input Sheet'!$E$3:$E$1001,P$4)=0,"",SUMIFS('Input Sheet'!$F$3:$F$1001,'Input Sheet'!$B$3:$B$1001,$H456,'Input Sheet'!$E$3:$E$1001,P$4))</f>
        <v/>
      </c>
      <c r="Q456" s="21" t="str">
        <f>IF(SUMIFS('Input Sheet'!$F$3:$F$1001,'Input Sheet'!$B$3:$B$1001,$H456,'Input Sheet'!$E$3:$E$1001,Q$4)=0,"",SUMIFS('Input Sheet'!$F$3:$F$1001,'Input Sheet'!$B$3:$B$1001,$H456,'Input Sheet'!$E$3:$E$1001,Q$4))</f>
        <v/>
      </c>
      <c r="R456" s="21" t="str">
        <f>IF(SUMIFS('Input Sheet'!$F$3:$F$1001,'Input Sheet'!$B$3:$B$1001,$H456,'Input Sheet'!$E$3:$E$1001,R$4)=0,"",SUMIFS('Input Sheet'!$F$3:$F$1001,'Input Sheet'!$B$3:$B$1001,$H456,'Input Sheet'!$E$3:$E$1001,R$4))</f>
        <v/>
      </c>
      <c r="S456" s="21" t="str">
        <f>IF(SUMIFS('Input Sheet'!$F$3:$F$1001,'Input Sheet'!$B$3:$B$1001,$H456,'Input Sheet'!$E$3:$E$1001,S$4)=0,"",SUMIFS('Input Sheet'!$F$3:$F$1001,'Input Sheet'!$B$3:$B$1001,$H456,'Input Sheet'!$E$3:$E$1001,S$4))</f>
        <v/>
      </c>
      <c r="T456" s="22">
        <v>451</v>
      </c>
    </row>
    <row r="457" spans="1:20" ht="14.25" customHeight="1" x14ac:dyDescent="0.3">
      <c r="A457" s="4" t="str">
        <f>IF('Input Sheet'!B454=0,"",'Input Sheet'!B454)</f>
        <v/>
      </c>
      <c r="B457" s="24" t="b">
        <f t="shared" si="264"/>
        <v>0</v>
      </c>
      <c r="C457" s="4">
        <f>SUMIF('Input Sheet'!B$3:B$1000,A457,'Input Sheet'!C$3:C$1000)</f>
        <v>0</v>
      </c>
      <c r="D457" s="4">
        <f>SUMIF('Input Sheet'!B$3:B$1000,A457,'Input Sheet'!D$3:D$1000)</f>
        <v>0</v>
      </c>
      <c r="E457" s="4" t="str">
        <f t="shared" ref="E457:F457" ca="1" si="467">IFERROR(RANK(K457,K$6:K$1004,1),"")</f>
        <v/>
      </c>
      <c r="F457" s="4" t="str">
        <f t="shared" ca="1" si="467"/>
        <v/>
      </c>
      <c r="G457" s="4" t="str">
        <f t="shared" ca="1" si="266"/>
        <v/>
      </c>
      <c r="H457" s="4" t="str">
        <f t="shared" si="267"/>
        <v/>
      </c>
      <c r="I457" s="4" t="str">
        <f t="shared" si="268"/>
        <v/>
      </c>
      <c r="J457" s="4" t="str">
        <f t="shared" si="269"/>
        <v/>
      </c>
      <c r="K457" s="25" t="str">
        <f t="shared" ca="1" si="270"/>
        <v/>
      </c>
      <c r="L457" s="21" t="str">
        <f t="shared" ca="1" si="271"/>
        <v/>
      </c>
      <c r="M457" s="21" t="str">
        <f>IF(SUMIFS('Input Sheet'!$F$3:$F$1001,'Input Sheet'!$B$3:$B$1001,$H457,'Input Sheet'!$E$3:$E$1001,M$4)=0,"",SUMIFS('Input Sheet'!$F$3:$F$1001,'Input Sheet'!$B$3:$B$1001,$H457,'Input Sheet'!$E$3:$E$1001,M$4))</f>
        <v/>
      </c>
      <c r="N457" s="21" t="str">
        <f>IF(SUMIFS('Input Sheet'!$F$3:$F$1001,'Input Sheet'!$B$3:$B$1001,$H457,'Input Sheet'!$E$3:$E$1001,N$4)=0,"",SUMIFS('Input Sheet'!$F$3:$F$1001,'Input Sheet'!$B$3:$B$1001,$H457,'Input Sheet'!$E$3:$E$1001,N$4))</f>
        <v/>
      </c>
      <c r="O457" s="21" t="str">
        <f>IF(SUMIFS('Input Sheet'!$F$3:$F$1001,'Input Sheet'!$B$3:$B$1001,$H457,'Input Sheet'!$E$3:$E$1001,O$4)=0,"",SUMIFS('Input Sheet'!$F$3:$F$1001,'Input Sheet'!$B$3:$B$1001,$H457,'Input Sheet'!$E$3:$E$1001,O$4))</f>
        <v/>
      </c>
      <c r="P457" s="21" t="str">
        <f>IF(SUMIFS('Input Sheet'!$F$3:$F$1001,'Input Sheet'!$B$3:$B$1001,$H457,'Input Sheet'!$E$3:$E$1001,P$4)=0,"",SUMIFS('Input Sheet'!$F$3:$F$1001,'Input Sheet'!$B$3:$B$1001,$H457,'Input Sheet'!$E$3:$E$1001,P$4))</f>
        <v/>
      </c>
      <c r="Q457" s="21" t="str">
        <f>IF(SUMIFS('Input Sheet'!$F$3:$F$1001,'Input Sheet'!$B$3:$B$1001,$H457,'Input Sheet'!$E$3:$E$1001,Q$4)=0,"",SUMIFS('Input Sheet'!$F$3:$F$1001,'Input Sheet'!$B$3:$B$1001,$H457,'Input Sheet'!$E$3:$E$1001,Q$4))</f>
        <v/>
      </c>
      <c r="R457" s="21" t="str">
        <f>IF(SUMIFS('Input Sheet'!$F$3:$F$1001,'Input Sheet'!$B$3:$B$1001,$H457,'Input Sheet'!$E$3:$E$1001,R$4)=0,"",SUMIFS('Input Sheet'!$F$3:$F$1001,'Input Sheet'!$B$3:$B$1001,$H457,'Input Sheet'!$E$3:$E$1001,R$4))</f>
        <v/>
      </c>
      <c r="S457" s="21" t="str">
        <f>IF(SUMIFS('Input Sheet'!$F$3:$F$1001,'Input Sheet'!$B$3:$B$1001,$H457,'Input Sheet'!$E$3:$E$1001,S$4)=0,"",SUMIFS('Input Sheet'!$F$3:$F$1001,'Input Sheet'!$B$3:$B$1001,$H457,'Input Sheet'!$E$3:$E$1001,S$4))</f>
        <v/>
      </c>
      <c r="T457" s="22">
        <v>452</v>
      </c>
    </row>
    <row r="458" spans="1:20" ht="14.25" customHeight="1" x14ac:dyDescent="0.3">
      <c r="A458" s="4" t="str">
        <f>IF('Input Sheet'!B455=0,"",'Input Sheet'!B455)</f>
        <v/>
      </c>
      <c r="B458" s="24" t="b">
        <f t="shared" si="264"/>
        <v>0</v>
      </c>
      <c r="C458" s="4">
        <f>SUMIF('Input Sheet'!B$3:B$1000,A458,'Input Sheet'!C$3:C$1000)</f>
        <v>0</v>
      </c>
      <c r="D458" s="4">
        <f>SUMIF('Input Sheet'!B$3:B$1000,A458,'Input Sheet'!D$3:D$1000)</f>
        <v>0</v>
      </c>
      <c r="E458" s="4" t="str">
        <f t="shared" ref="E458:F458" ca="1" si="468">IFERROR(RANK(K458,K$6:K$1004,1),"")</f>
        <v/>
      </c>
      <c r="F458" s="4" t="str">
        <f t="shared" ca="1" si="468"/>
        <v/>
      </c>
      <c r="G458" s="4" t="str">
        <f t="shared" ca="1" si="266"/>
        <v/>
      </c>
      <c r="H458" s="4" t="str">
        <f t="shared" si="267"/>
        <v/>
      </c>
      <c r="I458" s="4" t="str">
        <f t="shared" si="268"/>
        <v/>
      </c>
      <c r="J458" s="4" t="str">
        <f t="shared" si="269"/>
        <v/>
      </c>
      <c r="K458" s="25" t="str">
        <f t="shared" ca="1" si="270"/>
        <v/>
      </c>
      <c r="L458" s="21" t="str">
        <f t="shared" ca="1" si="271"/>
        <v/>
      </c>
      <c r="M458" s="21" t="str">
        <f>IF(SUMIFS('Input Sheet'!$F$3:$F$1001,'Input Sheet'!$B$3:$B$1001,$H458,'Input Sheet'!$E$3:$E$1001,M$4)=0,"",SUMIFS('Input Sheet'!$F$3:$F$1001,'Input Sheet'!$B$3:$B$1001,$H458,'Input Sheet'!$E$3:$E$1001,M$4))</f>
        <v/>
      </c>
      <c r="N458" s="21" t="str">
        <f>IF(SUMIFS('Input Sheet'!$F$3:$F$1001,'Input Sheet'!$B$3:$B$1001,$H458,'Input Sheet'!$E$3:$E$1001,N$4)=0,"",SUMIFS('Input Sheet'!$F$3:$F$1001,'Input Sheet'!$B$3:$B$1001,$H458,'Input Sheet'!$E$3:$E$1001,N$4))</f>
        <v/>
      </c>
      <c r="O458" s="21" t="str">
        <f>IF(SUMIFS('Input Sheet'!$F$3:$F$1001,'Input Sheet'!$B$3:$B$1001,$H458,'Input Sheet'!$E$3:$E$1001,O$4)=0,"",SUMIFS('Input Sheet'!$F$3:$F$1001,'Input Sheet'!$B$3:$B$1001,$H458,'Input Sheet'!$E$3:$E$1001,O$4))</f>
        <v/>
      </c>
      <c r="P458" s="21" t="str">
        <f>IF(SUMIFS('Input Sheet'!$F$3:$F$1001,'Input Sheet'!$B$3:$B$1001,$H458,'Input Sheet'!$E$3:$E$1001,P$4)=0,"",SUMIFS('Input Sheet'!$F$3:$F$1001,'Input Sheet'!$B$3:$B$1001,$H458,'Input Sheet'!$E$3:$E$1001,P$4))</f>
        <v/>
      </c>
      <c r="Q458" s="21" t="str">
        <f>IF(SUMIFS('Input Sheet'!$F$3:$F$1001,'Input Sheet'!$B$3:$B$1001,$H458,'Input Sheet'!$E$3:$E$1001,Q$4)=0,"",SUMIFS('Input Sheet'!$F$3:$F$1001,'Input Sheet'!$B$3:$B$1001,$H458,'Input Sheet'!$E$3:$E$1001,Q$4))</f>
        <v/>
      </c>
      <c r="R458" s="21" t="str">
        <f>IF(SUMIFS('Input Sheet'!$F$3:$F$1001,'Input Sheet'!$B$3:$B$1001,$H458,'Input Sheet'!$E$3:$E$1001,R$4)=0,"",SUMIFS('Input Sheet'!$F$3:$F$1001,'Input Sheet'!$B$3:$B$1001,$H458,'Input Sheet'!$E$3:$E$1001,R$4))</f>
        <v/>
      </c>
      <c r="S458" s="21" t="str">
        <f>IF(SUMIFS('Input Sheet'!$F$3:$F$1001,'Input Sheet'!$B$3:$B$1001,$H458,'Input Sheet'!$E$3:$E$1001,S$4)=0,"",SUMIFS('Input Sheet'!$F$3:$F$1001,'Input Sheet'!$B$3:$B$1001,$H458,'Input Sheet'!$E$3:$E$1001,S$4))</f>
        <v/>
      </c>
      <c r="T458" s="22">
        <v>453</v>
      </c>
    </row>
    <row r="459" spans="1:20" ht="14.25" customHeight="1" x14ac:dyDescent="0.3">
      <c r="A459" s="4" t="str">
        <f>IF('Input Sheet'!B456=0,"",'Input Sheet'!B456)</f>
        <v/>
      </c>
      <c r="B459" s="24" t="b">
        <f t="shared" si="264"/>
        <v>0</v>
      </c>
      <c r="C459" s="4">
        <f>SUMIF('Input Sheet'!B$3:B$1000,A459,'Input Sheet'!C$3:C$1000)</f>
        <v>0</v>
      </c>
      <c r="D459" s="4">
        <f>SUMIF('Input Sheet'!B$3:B$1000,A459,'Input Sheet'!D$3:D$1000)</f>
        <v>0</v>
      </c>
      <c r="E459" s="4" t="str">
        <f t="shared" ref="E459:F459" ca="1" si="469">IFERROR(RANK(K459,K$6:K$1004,1),"")</f>
        <v/>
      </c>
      <c r="F459" s="4" t="str">
        <f t="shared" ca="1" si="469"/>
        <v/>
      </c>
      <c r="G459" s="4" t="str">
        <f t="shared" ca="1" si="266"/>
        <v/>
      </c>
      <c r="H459" s="4" t="str">
        <f t="shared" si="267"/>
        <v/>
      </c>
      <c r="I459" s="4" t="str">
        <f t="shared" si="268"/>
        <v/>
      </c>
      <c r="J459" s="4" t="str">
        <f t="shared" si="269"/>
        <v/>
      </c>
      <c r="K459" s="25" t="str">
        <f t="shared" ca="1" si="270"/>
        <v/>
      </c>
      <c r="L459" s="21" t="str">
        <f t="shared" ca="1" si="271"/>
        <v/>
      </c>
      <c r="M459" s="21" t="str">
        <f>IF(SUMIFS('Input Sheet'!$F$3:$F$1001,'Input Sheet'!$B$3:$B$1001,$H459,'Input Sheet'!$E$3:$E$1001,M$4)=0,"",SUMIFS('Input Sheet'!$F$3:$F$1001,'Input Sheet'!$B$3:$B$1001,$H459,'Input Sheet'!$E$3:$E$1001,M$4))</f>
        <v/>
      </c>
      <c r="N459" s="21" t="str">
        <f>IF(SUMIFS('Input Sheet'!$F$3:$F$1001,'Input Sheet'!$B$3:$B$1001,$H459,'Input Sheet'!$E$3:$E$1001,N$4)=0,"",SUMIFS('Input Sheet'!$F$3:$F$1001,'Input Sheet'!$B$3:$B$1001,$H459,'Input Sheet'!$E$3:$E$1001,N$4))</f>
        <v/>
      </c>
      <c r="O459" s="21" t="str">
        <f>IF(SUMIFS('Input Sheet'!$F$3:$F$1001,'Input Sheet'!$B$3:$B$1001,$H459,'Input Sheet'!$E$3:$E$1001,O$4)=0,"",SUMIFS('Input Sheet'!$F$3:$F$1001,'Input Sheet'!$B$3:$B$1001,$H459,'Input Sheet'!$E$3:$E$1001,O$4))</f>
        <v/>
      </c>
      <c r="P459" s="21" t="str">
        <f>IF(SUMIFS('Input Sheet'!$F$3:$F$1001,'Input Sheet'!$B$3:$B$1001,$H459,'Input Sheet'!$E$3:$E$1001,P$4)=0,"",SUMIFS('Input Sheet'!$F$3:$F$1001,'Input Sheet'!$B$3:$B$1001,$H459,'Input Sheet'!$E$3:$E$1001,P$4))</f>
        <v/>
      </c>
      <c r="Q459" s="21" t="str">
        <f>IF(SUMIFS('Input Sheet'!$F$3:$F$1001,'Input Sheet'!$B$3:$B$1001,$H459,'Input Sheet'!$E$3:$E$1001,Q$4)=0,"",SUMIFS('Input Sheet'!$F$3:$F$1001,'Input Sheet'!$B$3:$B$1001,$H459,'Input Sheet'!$E$3:$E$1001,Q$4))</f>
        <v/>
      </c>
      <c r="R459" s="21" t="str">
        <f>IF(SUMIFS('Input Sheet'!$F$3:$F$1001,'Input Sheet'!$B$3:$B$1001,$H459,'Input Sheet'!$E$3:$E$1001,R$4)=0,"",SUMIFS('Input Sheet'!$F$3:$F$1001,'Input Sheet'!$B$3:$B$1001,$H459,'Input Sheet'!$E$3:$E$1001,R$4))</f>
        <v/>
      </c>
      <c r="S459" s="21" t="str">
        <f>IF(SUMIFS('Input Sheet'!$F$3:$F$1001,'Input Sheet'!$B$3:$B$1001,$H459,'Input Sheet'!$E$3:$E$1001,S$4)=0,"",SUMIFS('Input Sheet'!$F$3:$F$1001,'Input Sheet'!$B$3:$B$1001,$H459,'Input Sheet'!$E$3:$E$1001,S$4))</f>
        <v/>
      </c>
      <c r="T459" s="22">
        <v>454</v>
      </c>
    </row>
    <row r="460" spans="1:20" ht="14.25" customHeight="1" x14ac:dyDescent="0.3">
      <c r="A460" s="4" t="str">
        <f>IF('Input Sheet'!B457=0,"",'Input Sheet'!B457)</f>
        <v/>
      </c>
      <c r="B460" s="24" t="b">
        <f t="shared" si="264"/>
        <v>0</v>
      </c>
      <c r="C460" s="4">
        <f>SUMIF('Input Sheet'!B$3:B$1000,A460,'Input Sheet'!C$3:C$1000)</f>
        <v>0</v>
      </c>
      <c r="D460" s="4">
        <f>SUMIF('Input Sheet'!B$3:B$1000,A460,'Input Sheet'!D$3:D$1000)</f>
        <v>0</v>
      </c>
      <c r="E460" s="4" t="str">
        <f t="shared" ref="E460:F460" ca="1" si="470">IFERROR(RANK(K460,K$6:K$1004,1),"")</f>
        <v/>
      </c>
      <c r="F460" s="4" t="str">
        <f t="shared" ca="1" si="470"/>
        <v/>
      </c>
      <c r="G460" s="4" t="str">
        <f t="shared" ca="1" si="266"/>
        <v/>
      </c>
      <c r="H460" s="4" t="str">
        <f t="shared" si="267"/>
        <v/>
      </c>
      <c r="I460" s="4" t="str">
        <f t="shared" si="268"/>
        <v/>
      </c>
      <c r="J460" s="4" t="str">
        <f t="shared" si="269"/>
        <v/>
      </c>
      <c r="K460" s="25" t="str">
        <f t="shared" ca="1" si="270"/>
        <v/>
      </c>
      <c r="L460" s="21" t="str">
        <f t="shared" ca="1" si="271"/>
        <v/>
      </c>
      <c r="M460" s="21" t="str">
        <f>IF(SUMIFS('Input Sheet'!$F$3:$F$1001,'Input Sheet'!$B$3:$B$1001,$H460,'Input Sheet'!$E$3:$E$1001,M$4)=0,"",SUMIFS('Input Sheet'!$F$3:$F$1001,'Input Sheet'!$B$3:$B$1001,$H460,'Input Sheet'!$E$3:$E$1001,M$4))</f>
        <v/>
      </c>
      <c r="N460" s="21" t="str">
        <f>IF(SUMIFS('Input Sheet'!$F$3:$F$1001,'Input Sheet'!$B$3:$B$1001,$H460,'Input Sheet'!$E$3:$E$1001,N$4)=0,"",SUMIFS('Input Sheet'!$F$3:$F$1001,'Input Sheet'!$B$3:$B$1001,$H460,'Input Sheet'!$E$3:$E$1001,N$4))</f>
        <v/>
      </c>
      <c r="O460" s="21" t="str">
        <f>IF(SUMIFS('Input Sheet'!$F$3:$F$1001,'Input Sheet'!$B$3:$B$1001,$H460,'Input Sheet'!$E$3:$E$1001,O$4)=0,"",SUMIFS('Input Sheet'!$F$3:$F$1001,'Input Sheet'!$B$3:$B$1001,$H460,'Input Sheet'!$E$3:$E$1001,O$4))</f>
        <v/>
      </c>
      <c r="P460" s="21" t="str">
        <f>IF(SUMIFS('Input Sheet'!$F$3:$F$1001,'Input Sheet'!$B$3:$B$1001,$H460,'Input Sheet'!$E$3:$E$1001,P$4)=0,"",SUMIFS('Input Sheet'!$F$3:$F$1001,'Input Sheet'!$B$3:$B$1001,$H460,'Input Sheet'!$E$3:$E$1001,P$4))</f>
        <v/>
      </c>
      <c r="Q460" s="21" t="str">
        <f>IF(SUMIFS('Input Sheet'!$F$3:$F$1001,'Input Sheet'!$B$3:$B$1001,$H460,'Input Sheet'!$E$3:$E$1001,Q$4)=0,"",SUMIFS('Input Sheet'!$F$3:$F$1001,'Input Sheet'!$B$3:$B$1001,$H460,'Input Sheet'!$E$3:$E$1001,Q$4))</f>
        <v/>
      </c>
      <c r="R460" s="21" t="str">
        <f>IF(SUMIFS('Input Sheet'!$F$3:$F$1001,'Input Sheet'!$B$3:$B$1001,$H460,'Input Sheet'!$E$3:$E$1001,R$4)=0,"",SUMIFS('Input Sheet'!$F$3:$F$1001,'Input Sheet'!$B$3:$B$1001,$H460,'Input Sheet'!$E$3:$E$1001,R$4))</f>
        <v/>
      </c>
      <c r="S460" s="21" t="str">
        <f>IF(SUMIFS('Input Sheet'!$F$3:$F$1001,'Input Sheet'!$B$3:$B$1001,$H460,'Input Sheet'!$E$3:$E$1001,S$4)=0,"",SUMIFS('Input Sheet'!$F$3:$F$1001,'Input Sheet'!$B$3:$B$1001,$H460,'Input Sheet'!$E$3:$E$1001,S$4))</f>
        <v/>
      </c>
      <c r="T460" s="22">
        <v>455</v>
      </c>
    </row>
    <row r="461" spans="1:20" ht="14.25" customHeight="1" x14ac:dyDescent="0.3">
      <c r="A461" s="4" t="str">
        <f>IF('Input Sheet'!B458=0,"",'Input Sheet'!B458)</f>
        <v/>
      </c>
      <c r="B461" s="24" t="b">
        <f t="shared" si="264"/>
        <v>0</v>
      </c>
      <c r="C461" s="4">
        <f>SUMIF('Input Sheet'!B$3:B$1000,A461,'Input Sheet'!C$3:C$1000)</f>
        <v>0</v>
      </c>
      <c r="D461" s="4">
        <f>SUMIF('Input Sheet'!B$3:B$1000,A461,'Input Sheet'!D$3:D$1000)</f>
        <v>0</v>
      </c>
      <c r="E461" s="4" t="str">
        <f t="shared" ref="E461:F461" ca="1" si="471">IFERROR(RANK(K461,K$6:K$1004,1),"")</f>
        <v/>
      </c>
      <c r="F461" s="4" t="str">
        <f t="shared" ca="1" si="471"/>
        <v/>
      </c>
      <c r="G461" s="4" t="str">
        <f t="shared" ca="1" si="266"/>
        <v/>
      </c>
      <c r="H461" s="4" t="str">
        <f t="shared" si="267"/>
        <v/>
      </c>
      <c r="I461" s="4" t="str">
        <f t="shared" si="268"/>
        <v/>
      </c>
      <c r="J461" s="4" t="str">
        <f t="shared" si="269"/>
        <v/>
      </c>
      <c r="K461" s="25" t="str">
        <f t="shared" ca="1" si="270"/>
        <v/>
      </c>
      <c r="L461" s="21" t="str">
        <f t="shared" ca="1" si="271"/>
        <v/>
      </c>
      <c r="M461" s="21" t="str">
        <f>IF(SUMIFS('Input Sheet'!$F$3:$F$1001,'Input Sheet'!$B$3:$B$1001,$H461,'Input Sheet'!$E$3:$E$1001,M$4)=0,"",SUMIFS('Input Sheet'!$F$3:$F$1001,'Input Sheet'!$B$3:$B$1001,$H461,'Input Sheet'!$E$3:$E$1001,M$4))</f>
        <v/>
      </c>
      <c r="N461" s="21" t="str">
        <f>IF(SUMIFS('Input Sheet'!$F$3:$F$1001,'Input Sheet'!$B$3:$B$1001,$H461,'Input Sheet'!$E$3:$E$1001,N$4)=0,"",SUMIFS('Input Sheet'!$F$3:$F$1001,'Input Sheet'!$B$3:$B$1001,$H461,'Input Sheet'!$E$3:$E$1001,N$4))</f>
        <v/>
      </c>
      <c r="O461" s="21" t="str">
        <f>IF(SUMIFS('Input Sheet'!$F$3:$F$1001,'Input Sheet'!$B$3:$B$1001,$H461,'Input Sheet'!$E$3:$E$1001,O$4)=0,"",SUMIFS('Input Sheet'!$F$3:$F$1001,'Input Sheet'!$B$3:$B$1001,$H461,'Input Sheet'!$E$3:$E$1001,O$4))</f>
        <v/>
      </c>
      <c r="P461" s="21" t="str">
        <f>IF(SUMIFS('Input Sheet'!$F$3:$F$1001,'Input Sheet'!$B$3:$B$1001,$H461,'Input Sheet'!$E$3:$E$1001,P$4)=0,"",SUMIFS('Input Sheet'!$F$3:$F$1001,'Input Sheet'!$B$3:$B$1001,$H461,'Input Sheet'!$E$3:$E$1001,P$4))</f>
        <v/>
      </c>
      <c r="Q461" s="21" t="str">
        <f>IF(SUMIFS('Input Sheet'!$F$3:$F$1001,'Input Sheet'!$B$3:$B$1001,$H461,'Input Sheet'!$E$3:$E$1001,Q$4)=0,"",SUMIFS('Input Sheet'!$F$3:$F$1001,'Input Sheet'!$B$3:$B$1001,$H461,'Input Sheet'!$E$3:$E$1001,Q$4))</f>
        <v/>
      </c>
      <c r="R461" s="21" t="str">
        <f>IF(SUMIFS('Input Sheet'!$F$3:$F$1001,'Input Sheet'!$B$3:$B$1001,$H461,'Input Sheet'!$E$3:$E$1001,R$4)=0,"",SUMIFS('Input Sheet'!$F$3:$F$1001,'Input Sheet'!$B$3:$B$1001,$H461,'Input Sheet'!$E$3:$E$1001,R$4))</f>
        <v/>
      </c>
      <c r="S461" s="21" t="str">
        <f>IF(SUMIFS('Input Sheet'!$F$3:$F$1001,'Input Sheet'!$B$3:$B$1001,$H461,'Input Sheet'!$E$3:$E$1001,S$4)=0,"",SUMIFS('Input Sheet'!$F$3:$F$1001,'Input Sheet'!$B$3:$B$1001,$H461,'Input Sheet'!$E$3:$E$1001,S$4))</f>
        <v/>
      </c>
      <c r="T461" s="22">
        <v>456</v>
      </c>
    </row>
    <row r="462" spans="1:20" ht="14.25" customHeight="1" x14ac:dyDescent="0.3">
      <c r="A462" s="4" t="str">
        <f>IF('Input Sheet'!B459=0,"",'Input Sheet'!B459)</f>
        <v/>
      </c>
      <c r="B462" s="24" t="b">
        <f t="shared" si="264"/>
        <v>0</v>
      </c>
      <c r="C462" s="4">
        <f>SUMIF('Input Sheet'!B$3:B$1000,A462,'Input Sheet'!C$3:C$1000)</f>
        <v>0</v>
      </c>
      <c r="D462" s="4">
        <f>SUMIF('Input Sheet'!B$3:B$1000,A462,'Input Sheet'!D$3:D$1000)</f>
        <v>0</v>
      </c>
      <c r="E462" s="4" t="str">
        <f t="shared" ref="E462:F462" ca="1" si="472">IFERROR(RANK(K462,K$6:K$1004,1),"")</f>
        <v/>
      </c>
      <c r="F462" s="4" t="str">
        <f t="shared" ca="1" si="472"/>
        <v/>
      </c>
      <c r="G462" s="4" t="str">
        <f t="shared" ca="1" si="266"/>
        <v/>
      </c>
      <c r="H462" s="4" t="str">
        <f t="shared" si="267"/>
        <v/>
      </c>
      <c r="I462" s="4" t="str">
        <f t="shared" si="268"/>
        <v/>
      </c>
      <c r="J462" s="4" t="str">
        <f t="shared" si="269"/>
        <v/>
      </c>
      <c r="K462" s="25" t="str">
        <f t="shared" ca="1" si="270"/>
        <v/>
      </c>
      <c r="L462" s="21" t="str">
        <f t="shared" ca="1" si="271"/>
        <v/>
      </c>
      <c r="M462" s="21" t="str">
        <f>IF(SUMIFS('Input Sheet'!$F$3:$F$1001,'Input Sheet'!$B$3:$B$1001,$H462,'Input Sheet'!$E$3:$E$1001,M$4)=0,"",SUMIFS('Input Sheet'!$F$3:$F$1001,'Input Sheet'!$B$3:$B$1001,$H462,'Input Sheet'!$E$3:$E$1001,M$4))</f>
        <v/>
      </c>
      <c r="N462" s="21" t="str">
        <f>IF(SUMIFS('Input Sheet'!$F$3:$F$1001,'Input Sheet'!$B$3:$B$1001,$H462,'Input Sheet'!$E$3:$E$1001,N$4)=0,"",SUMIFS('Input Sheet'!$F$3:$F$1001,'Input Sheet'!$B$3:$B$1001,$H462,'Input Sheet'!$E$3:$E$1001,N$4))</f>
        <v/>
      </c>
      <c r="O462" s="21" t="str">
        <f>IF(SUMIFS('Input Sheet'!$F$3:$F$1001,'Input Sheet'!$B$3:$B$1001,$H462,'Input Sheet'!$E$3:$E$1001,O$4)=0,"",SUMIFS('Input Sheet'!$F$3:$F$1001,'Input Sheet'!$B$3:$B$1001,$H462,'Input Sheet'!$E$3:$E$1001,O$4))</f>
        <v/>
      </c>
      <c r="P462" s="21" t="str">
        <f>IF(SUMIFS('Input Sheet'!$F$3:$F$1001,'Input Sheet'!$B$3:$B$1001,$H462,'Input Sheet'!$E$3:$E$1001,P$4)=0,"",SUMIFS('Input Sheet'!$F$3:$F$1001,'Input Sheet'!$B$3:$B$1001,$H462,'Input Sheet'!$E$3:$E$1001,P$4))</f>
        <v/>
      </c>
      <c r="Q462" s="21" t="str">
        <f>IF(SUMIFS('Input Sheet'!$F$3:$F$1001,'Input Sheet'!$B$3:$B$1001,$H462,'Input Sheet'!$E$3:$E$1001,Q$4)=0,"",SUMIFS('Input Sheet'!$F$3:$F$1001,'Input Sheet'!$B$3:$B$1001,$H462,'Input Sheet'!$E$3:$E$1001,Q$4))</f>
        <v/>
      </c>
      <c r="R462" s="21" t="str">
        <f>IF(SUMIFS('Input Sheet'!$F$3:$F$1001,'Input Sheet'!$B$3:$B$1001,$H462,'Input Sheet'!$E$3:$E$1001,R$4)=0,"",SUMIFS('Input Sheet'!$F$3:$F$1001,'Input Sheet'!$B$3:$B$1001,$H462,'Input Sheet'!$E$3:$E$1001,R$4))</f>
        <v/>
      </c>
      <c r="S462" s="21" t="str">
        <f>IF(SUMIFS('Input Sheet'!$F$3:$F$1001,'Input Sheet'!$B$3:$B$1001,$H462,'Input Sheet'!$E$3:$E$1001,S$4)=0,"",SUMIFS('Input Sheet'!$F$3:$F$1001,'Input Sheet'!$B$3:$B$1001,$H462,'Input Sheet'!$E$3:$E$1001,S$4))</f>
        <v/>
      </c>
      <c r="T462" s="22">
        <v>457</v>
      </c>
    </row>
    <row r="463" spans="1:20" ht="14.25" customHeight="1" x14ac:dyDescent="0.3">
      <c r="A463" s="4" t="str">
        <f>IF('Input Sheet'!B460=0,"",'Input Sheet'!B460)</f>
        <v/>
      </c>
      <c r="B463" s="24" t="b">
        <f t="shared" si="264"/>
        <v>0</v>
      </c>
      <c r="C463" s="4">
        <f>SUMIF('Input Sheet'!B$3:B$1000,A463,'Input Sheet'!C$3:C$1000)</f>
        <v>0</v>
      </c>
      <c r="D463" s="4">
        <f>SUMIF('Input Sheet'!B$3:B$1000,A463,'Input Sheet'!D$3:D$1000)</f>
        <v>0</v>
      </c>
      <c r="E463" s="4" t="str">
        <f t="shared" ref="E463:F463" ca="1" si="473">IFERROR(RANK(K463,K$6:K$1004,1),"")</f>
        <v/>
      </c>
      <c r="F463" s="4" t="str">
        <f t="shared" ca="1" si="473"/>
        <v/>
      </c>
      <c r="G463" s="4" t="str">
        <f t="shared" ca="1" si="266"/>
        <v/>
      </c>
      <c r="H463" s="4" t="str">
        <f t="shared" si="267"/>
        <v/>
      </c>
      <c r="I463" s="4" t="str">
        <f t="shared" si="268"/>
        <v/>
      </c>
      <c r="J463" s="4" t="str">
        <f t="shared" si="269"/>
        <v/>
      </c>
      <c r="K463" s="25" t="str">
        <f t="shared" ca="1" si="270"/>
        <v/>
      </c>
      <c r="L463" s="21" t="str">
        <f t="shared" ca="1" si="271"/>
        <v/>
      </c>
      <c r="M463" s="21" t="str">
        <f>IF(SUMIFS('Input Sheet'!$F$3:$F$1001,'Input Sheet'!$B$3:$B$1001,$H463,'Input Sheet'!$E$3:$E$1001,M$4)=0,"",SUMIFS('Input Sheet'!$F$3:$F$1001,'Input Sheet'!$B$3:$B$1001,$H463,'Input Sheet'!$E$3:$E$1001,M$4))</f>
        <v/>
      </c>
      <c r="N463" s="21" t="str">
        <f>IF(SUMIFS('Input Sheet'!$F$3:$F$1001,'Input Sheet'!$B$3:$B$1001,$H463,'Input Sheet'!$E$3:$E$1001,N$4)=0,"",SUMIFS('Input Sheet'!$F$3:$F$1001,'Input Sheet'!$B$3:$B$1001,$H463,'Input Sheet'!$E$3:$E$1001,N$4))</f>
        <v/>
      </c>
      <c r="O463" s="21" t="str">
        <f>IF(SUMIFS('Input Sheet'!$F$3:$F$1001,'Input Sheet'!$B$3:$B$1001,$H463,'Input Sheet'!$E$3:$E$1001,O$4)=0,"",SUMIFS('Input Sheet'!$F$3:$F$1001,'Input Sheet'!$B$3:$B$1001,$H463,'Input Sheet'!$E$3:$E$1001,O$4))</f>
        <v/>
      </c>
      <c r="P463" s="21" t="str">
        <f>IF(SUMIFS('Input Sheet'!$F$3:$F$1001,'Input Sheet'!$B$3:$B$1001,$H463,'Input Sheet'!$E$3:$E$1001,P$4)=0,"",SUMIFS('Input Sheet'!$F$3:$F$1001,'Input Sheet'!$B$3:$B$1001,$H463,'Input Sheet'!$E$3:$E$1001,P$4))</f>
        <v/>
      </c>
      <c r="Q463" s="21" t="str">
        <f>IF(SUMIFS('Input Sheet'!$F$3:$F$1001,'Input Sheet'!$B$3:$B$1001,$H463,'Input Sheet'!$E$3:$E$1001,Q$4)=0,"",SUMIFS('Input Sheet'!$F$3:$F$1001,'Input Sheet'!$B$3:$B$1001,$H463,'Input Sheet'!$E$3:$E$1001,Q$4))</f>
        <v/>
      </c>
      <c r="R463" s="21" t="str">
        <f>IF(SUMIFS('Input Sheet'!$F$3:$F$1001,'Input Sheet'!$B$3:$B$1001,$H463,'Input Sheet'!$E$3:$E$1001,R$4)=0,"",SUMIFS('Input Sheet'!$F$3:$F$1001,'Input Sheet'!$B$3:$B$1001,$H463,'Input Sheet'!$E$3:$E$1001,R$4))</f>
        <v/>
      </c>
      <c r="S463" s="21" t="str">
        <f>IF(SUMIFS('Input Sheet'!$F$3:$F$1001,'Input Sheet'!$B$3:$B$1001,$H463,'Input Sheet'!$E$3:$E$1001,S$4)=0,"",SUMIFS('Input Sheet'!$F$3:$F$1001,'Input Sheet'!$B$3:$B$1001,$H463,'Input Sheet'!$E$3:$E$1001,S$4))</f>
        <v/>
      </c>
      <c r="T463" s="22">
        <v>458</v>
      </c>
    </row>
    <row r="464" spans="1:20" ht="14.25" customHeight="1" x14ac:dyDescent="0.3">
      <c r="A464" s="4" t="str">
        <f>IF('Input Sheet'!B461=0,"",'Input Sheet'!B461)</f>
        <v/>
      </c>
      <c r="B464" s="24" t="b">
        <f t="shared" si="264"/>
        <v>0</v>
      </c>
      <c r="C464" s="4">
        <f>SUMIF('Input Sheet'!B$3:B$1000,A464,'Input Sheet'!C$3:C$1000)</f>
        <v>0</v>
      </c>
      <c r="D464" s="4">
        <f>SUMIF('Input Sheet'!B$3:B$1000,A464,'Input Sheet'!D$3:D$1000)</f>
        <v>0</v>
      </c>
      <c r="E464" s="4" t="str">
        <f t="shared" ref="E464:F464" ca="1" si="474">IFERROR(RANK(K464,K$6:K$1004,1),"")</f>
        <v/>
      </c>
      <c r="F464" s="4" t="str">
        <f t="shared" ca="1" si="474"/>
        <v/>
      </c>
      <c r="G464" s="4" t="str">
        <f t="shared" ca="1" si="266"/>
        <v/>
      </c>
      <c r="H464" s="4" t="str">
        <f t="shared" si="267"/>
        <v/>
      </c>
      <c r="I464" s="4" t="str">
        <f t="shared" si="268"/>
        <v/>
      </c>
      <c r="J464" s="4" t="str">
        <f t="shared" si="269"/>
        <v/>
      </c>
      <c r="K464" s="25" t="str">
        <f t="shared" ca="1" si="270"/>
        <v/>
      </c>
      <c r="L464" s="21" t="str">
        <f t="shared" ca="1" si="271"/>
        <v/>
      </c>
      <c r="M464" s="21" t="str">
        <f>IF(SUMIFS('Input Sheet'!$F$3:$F$1001,'Input Sheet'!$B$3:$B$1001,$H464,'Input Sheet'!$E$3:$E$1001,M$4)=0,"",SUMIFS('Input Sheet'!$F$3:$F$1001,'Input Sheet'!$B$3:$B$1001,$H464,'Input Sheet'!$E$3:$E$1001,M$4))</f>
        <v/>
      </c>
      <c r="N464" s="21" t="str">
        <f>IF(SUMIFS('Input Sheet'!$F$3:$F$1001,'Input Sheet'!$B$3:$B$1001,$H464,'Input Sheet'!$E$3:$E$1001,N$4)=0,"",SUMIFS('Input Sheet'!$F$3:$F$1001,'Input Sheet'!$B$3:$B$1001,$H464,'Input Sheet'!$E$3:$E$1001,N$4))</f>
        <v/>
      </c>
      <c r="O464" s="21" t="str">
        <f>IF(SUMIFS('Input Sheet'!$F$3:$F$1001,'Input Sheet'!$B$3:$B$1001,$H464,'Input Sheet'!$E$3:$E$1001,O$4)=0,"",SUMIFS('Input Sheet'!$F$3:$F$1001,'Input Sheet'!$B$3:$B$1001,$H464,'Input Sheet'!$E$3:$E$1001,O$4))</f>
        <v/>
      </c>
      <c r="P464" s="21" t="str">
        <f>IF(SUMIFS('Input Sheet'!$F$3:$F$1001,'Input Sheet'!$B$3:$B$1001,$H464,'Input Sheet'!$E$3:$E$1001,P$4)=0,"",SUMIFS('Input Sheet'!$F$3:$F$1001,'Input Sheet'!$B$3:$B$1001,$H464,'Input Sheet'!$E$3:$E$1001,P$4))</f>
        <v/>
      </c>
      <c r="Q464" s="21" t="str">
        <f>IF(SUMIFS('Input Sheet'!$F$3:$F$1001,'Input Sheet'!$B$3:$B$1001,$H464,'Input Sheet'!$E$3:$E$1001,Q$4)=0,"",SUMIFS('Input Sheet'!$F$3:$F$1001,'Input Sheet'!$B$3:$B$1001,$H464,'Input Sheet'!$E$3:$E$1001,Q$4))</f>
        <v/>
      </c>
      <c r="R464" s="21" t="str">
        <f>IF(SUMIFS('Input Sheet'!$F$3:$F$1001,'Input Sheet'!$B$3:$B$1001,$H464,'Input Sheet'!$E$3:$E$1001,R$4)=0,"",SUMIFS('Input Sheet'!$F$3:$F$1001,'Input Sheet'!$B$3:$B$1001,$H464,'Input Sheet'!$E$3:$E$1001,R$4))</f>
        <v/>
      </c>
      <c r="S464" s="21" t="str">
        <f>IF(SUMIFS('Input Sheet'!$F$3:$F$1001,'Input Sheet'!$B$3:$B$1001,$H464,'Input Sheet'!$E$3:$E$1001,S$4)=0,"",SUMIFS('Input Sheet'!$F$3:$F$1001,'Input Sheet'!$B$3:$B$1001,$H464,'Input Sheet'!$E$3:$E$1001,S$4))</f>
        <v/>
      </c>
      <c r="T464" s="22">
        <v>459</v>
      </c>
    </row>
    <row r="465" spans="1:20" ht="14.25" customHeight="1" x14ac:dyDescent="0.3">
      <c r="A465" s="4" t="str">
        <f>IF('Input Sheet'!B462=0,"",'Input Sheet'!B462)</f>
        <v/>
      </c>
      <c r="B465" s="24" t="b">
        <f t="shared" si="264"/>
        <v>0</v>
      </c>
      <c r="C465" s="4">
        <f>SUMIF('Input Sheet'!B$3:B$1000,A465,'Input Sheet'!C$3:C$1000)</f>
        <v>0</v>
      </c>
      <c r="D465" s="4">
        <f>SUMIF('Input Sheet'!B$3:B$1000,A465,'Input Sheet'!D$3:D$1000)</f>
        <v>0</v>
      </c>
      <c r="E465" s="4" t="str">
        <f t="shared" ref="E465:F465" ca="1" si="475">IFERROR(RANK(K465,K$6:K$1004,1),"")</f>
        <v/>
      </c>
      <c r="F465" s="4" t="str">
        <f t="shared" ca="1" si="475"/>
        <v/>
      </c>
      <c r="G465" s="4" t="str">
        <f t="shared" ca="1" si="266"/>
        <v/>
      </c>
      <c r="H465" s="4" t="str">
        <f t="shared" si="267"/>
        <v/>
      </c>
      <c r="I465" s="4" t="str">
        <f t="shared" si="268"/>
        <v/>
      </c>
      <c r="J465" s="4" t="str">
        <f t="shared" si="269"/>
        <v/>
      </c>
      <c r="K465" s="25" t="str">
        <f t="shared" ca="1" si="270"/>
        <v/>
      </c>
      <c r="L465" s="21" t="str">
        <f t="shared" ca="1" si="271"/>
        <v/>
      </c>
      <c r="M465" s="21" t="str">
        <f>IF(SUMIFS('Input Sheet'!$F$3:$F$1001,'Input Sheet'!$B$3:$B$1001,$H465,'Input Sheet'!$E$3:$E$1001,M$4)=0,"",SUMIFS('Input Sheet'!$F$3:$F$1001,'Input Sheet'!$B$3:$B$1001,$H465,'Input Sheet'!$E$3:$E$1001,M$4))</f>
        <v/>
      </c>
      <c r="N465" s="21" t="str">
        <f>IF(SUMIFS('Input Sheet'!$F$3:$F$1001,'Input Sheet'!$B$3:$B$1001,$H465,'Input Sheet'!$E$3:$E$1001,N$4)=0,"",SUMIFS('Input Sheet'!$F$3:$F$1001,'Input Sheet'!$B$3:$B$1001,$H465,'Input Sheet'!$E$3:$E$1001,N$4))</f>
        <v/>
      </c>
      <c r="O465" s="21" t="str">
        <f>IF(SUMIFS('Input Sheet'!$F$3:$F$1001,'Input Sheet'!$B$3:$B$1001,$H465,'Input Sheet'!$E$3:$E$1001,O$4)=0,"",SUMIFS('Input Sheet'!$F$3:$F$1001,'Input Sheet'!$B$3:$B$1001,$H465,'Input Sheet'!$E$3:$E$1001,O$4))</f>
        <v/>
      </c>
      <c r="P465" s="21" t="str">
        <f>IF(SUMIFS('Input Sheet'!$F$3:$F$1001,'Input Sheet'!$B$3:$B$1001,$H465,'Input Sheet'!$E$3:$E$1001,P$4)=0,"",SUMIFS('Input Sheet'!$F$3:$F$1001,'Input Sheet'!$B$3:$B$1001,$H465,'Input Sheet'!$E$3:$E$1001,P$4))</f>
        <v/>
      </c>
      <c r="Q465" s="21" t="str">
        <f>IF(SUMIFS('Input Sheet'!$F$3:$F$1001,'Input Sheet'!$B$3:$B$1001,$H465,'Input Sheet'!$E$3:$E$1001,Q$4)=0,"",SUMIFS('Input Sheet'!$F$3:$F$1001,'Input Sheet'!$B$3:$B$1001,$H465,'Input Sheet'!$E$3:$E$1001,Q$4))</f>
        <v/>
      </c>
      <c r="R465" s="21" t="str">
        <f>IF(SUMIFS('Input Sheet'!$F$3:$F$1001,'Input Sheet'!$B$3:$B$1001,$H465,'Input Sheet'!$E$3:$E$1001,R$4)=0,"",SUMIFS('Input Sheet'!$F$3:$F$1001,'Input Sheet'!$B$3:$B$1001,$H465,'Input Sheet'!$E$3:$E$1001,R$4))</f>
        <v/>
      </c>
      <c r="S465" s="21" t="str">
        <f>IF(SUMIFS('Input Sheet'!$F$3:$F$1001,'Input Sheet'!$B$3:$B$1001,$H465,'Input Sheet'!$E$3:$E$1001,S$4)=0,"",SUMIFS('Input Sheet'!$F$3:$F$1001,'Input Sheet'!$B$3:$B$1001,$H465,'Input Sheet'!$E$3:$E$1001,S$4))</f>
        <v/>
      </c>
      <c r="T465" s="22">
        <v>460</v>
      </c>
    </row>
    <row r="466" spans="1:20" ht="14.25" customHeight="1" x14ac:dyDescent="0.3">
      <c r="A466" s="4" t="str">
        <f>IF('Input Sheet'!B463=0,"",'Input Sheet'!B463)</f>
        <v/>
      </c>
      <c r="B466" s="24" t="b">
        <f t="shared" si="264"/>
        <v>0</v>
      </c>
      <c r="C466" s="4">
        <f>SUMIF('Input Sheet'!B$3:B$1000,A466,'Input Sheet'!C$3:C$1000)</f>
        <v>0</v>
      </c>
      <c r="D466" s="4">
        <f>SUMIF('Input Sheet'!B$3:B$1000,A466,'Input Sheet'!D$3:D$1000)</f>
        <v>0</v>
      </c>
      <c r="E466" s="4" t="str">
        <f t="shared" ref="E466:F466" ca="1" si="476">IFERROR(RANK(K466,K$6:K$1004,1),"")</f>
        <v/>
      </c>
      <c r="F466" s="4" t="str">
        <f t="shared" ca="1" si="476"/>
        <v/>
      </c>
      <c r="G466" s="4" t="str">
        <f t="shared" ca="1" si="266"/>
        <v/>
      </c>
      <c r="H466" s="4" t="str">
        <f t="shared" si="267"/>
        <v/>
      </c>
      <c r="I466" s="4" t="str">
        <f t="shared" si="268"/>
        <v/>
      </c>
      <c r="J466" s="4" t="str">
        <f t="shared" si="269"/>
        <v/>
      </c>
      <c r="K466" s="25" t="str">
        <f t="shared" ca="1" si="270"/>
        <v/>
      </c>
      <c r="L466" s="21" t="str">
        <f t="shared" ca="1" si="271"/>
        <v/>
      </c>
      <c r="M466" s="21" t="str">
        <f>IF(SUMIFS('Input Sheet'!$F$3:$F$1001,'Input Sheet'!$B$3:$B$1001,$H466,'Input Sheet'!$E$3:$E$1001,M$4)=0,"",SUMIFS('Input Sheet'!$F$3:$F$1001,'Input Sheet'!$B$3:$B$1001,$H466,'Input Sheet'!$E$3:$E$1001,M$4))</f>
        <v/>
      </c>
      <c r="N466" s="21" t="str">
        <f>IF(SUMIFS('Input Sheet'!$F$3:$F$1001,'Input Sheet'!$B$3:$B$1001,$H466,'Input Sheet'!$E$3:$E$1001,N$4)=0,"",SUMIFS('Input Sheet'!$F$3:$F$1001,'Input Sheet'!$B$3:$B$1001,$H466,'Input Sheet'!$E$3:$E$1001,N$4))</f>
        <v/>
      </c>
      <c r="O466" s="21" t="str">
        <f>IF(SUMIFS('Input Sheet'!$F$3:$F$1001,'Input Sheet'!$B$3:$B$1001,$H466,'Input Sheet'!$E$3:$E$1001,O$4)=0,"",SUMIFS('Input Sheet'!$F$3:$F$1001,'Input Sheet'!$B$3:$B$1001,$H466,'Input Sheet'!$E$3:$E$1001,O$4))</f>
        <v/>
      </c>
      <c r="P466" s="21" t="str">
        <f>IF(SUMIFS('Input Sheet'!$F$3:$F$1001,'Input Sheet'!$B$3:$B$1001,$H466,'Input Sheet'!$E$3:$E$1001,P$4)=0,"",SUMIFS('Input Sheet'!$F$3:$F$1001,'Input Sheet'!$B$3:$B$1001,$H466,'Input Sheet'!$E$3:$E$1001,P$4))</f>
        <v/>
      </c>
      <c r="Q466" s="21" t="str">
        <f>IF(SUMIFS('Input Sheet'!$F$3:$F$1001,'Input Sheet'!$B$3:$B$1001,$H466,'Input Sheet'!$E$3:$E$1001,Q$4)=0,"",SUMIFS('Input Sheet'!$F$3:$F$1001,'Input Sheet'!$B$3:$B$1001,$H466,'Input Sheet'!$E$3:$E$1001,Q$4))</f>
        <v/>
      </c>
      <c r="R466" s="21" t="str">
        <f>IF(SUMIFS('Input Sheet'!$F$3:$F$1001,'Input Sheet'!$B$3:$B$1001,$H466,'Input Sheet'!$E$3:$E$1001,R$4)=0,"",SUMIFS('Input Sheet'!$F$3:$F$1001,'Input Sheet'!$B$3:$B$1001,$H466,'Input Sheet'!$E$3:$E$1001,R$4))</f>
        <v/>
      </c>
      <c r="S466" s="21" t="str">
        <f>IF(SUMIFS('Input Sheet'!$F$3:$F$1001,'Input Sheet'!$B$3:$B$1001,$H466,'Input Sheet'!$E$3:$E$1001,S$4)=0,"",SUMIFS('Input Sheet'!$F$3:$F$1001,'Input Sheet'!$B$3:$B$1001,$H466,'Input Sheet'!$E$3:$E$1001,S$4))</f>
        <v/>
      </c>
      <c r="T466" s="22">
        <v>461</v>
      </c>
    </row>
    <row r="467" spans="1:20" ht="14.25" customHeight="1" x14ac:dyDescent="0.3">
      <c r="A467" s="4" t="str">
        <f>IF('Input Sheet'!B464=0,"",'Input Sheet'!B464)</f>
        <v/>
      </c>
      <c r="B467" s="24" t="b">
        <f t="shared" si="264"/>
        <v>0</v>
      </c>
      <c r="C467" s="4">
        <f>SUMIF('Input Sheet'!B$3:B$1000,A467,'Input Sheet'!C$3:C$1000)</f>
        <v>0</v>
      </c>
      <c r="D467" s="4">
        <f>SUMIF('Input Sheet'!B$3:B$1000,A467,'Input Sheet'!D$3:D$1000)</f>
        <v>0</v>
      </c>
      <c r="E467" s="4" t="str">
        <f t="shared" ref="E467:F467" ca="1" si="477">IFERROR(RANK(K467,K$6:K$1004,1),"")</f>
        <v/>
      </c>
      <c r="F467" s="4" t="str">
        <f t="shared" ca="1" si="477"/>
        <v/>
      </c>
      <c r="G467" s="4" t="str">
        <f t="shared" ca="1" si="266"/>
        <v/>
      </c>
      <c r="H467" s="4" t="str">
        <f t="shared" si="267"/>
        <v/>
      </c>
      <c r="I467" s="4" t="str">
        <f t="shared" si="268"/>
        <v/>
      </c>
      <c r="J467" s="4" t="str">
        <f t="shared" si="269"/>
        <v/>
      </c>
      <c r="K467" s="25" t="str">
        <f t="shared" ca="1" si="270"/>
        <v/>
      </c>
      <c r="L467" s="21" t="str">
        <f t="shared" ca="1" si="271"/>
        <v/>
      </c>
      <c r="M467" s="21" t="str">
        <f>IF(SUMIFS('Input Sheet'!$F$3:$F$1001,'Input Sheet'!$B$3:$B$1001,$H467,'Input Sheet'!$E$3:$E$1001,M$4)=0,"",SUMIFS('Input Sheet'!$F$3:$F$1001,'Input Sheet'!$B$3:$B$1001,$H467,'Input Sheet'!$E$3:$E$1001,M$4))</f>
        <v/>
      </c>
      <c r="N467" s="21" t="str">
        <f>IF(SUMIFS('Input Sheet'!$F$3:$F$1001,'Input Sheet'!$B$3:$B$1001,$H467,'Input Sheet'!$E$3:$E$1001,N$4)=0,"",SUMIFS('Input Sheet'!$F$3:$F$1001,'Input Sheet'!$B$3:$B$1001,$H467,'Input Sheet'!$E$3:$E$1001,N$4))</f>
        <v/>
      </c>
      <c r="O467" s="21" t="str">
        <f>IF(SUMIFS('Input Sheet'!$F$3:$F$1001,'Input Sheet'!$B$3:$B$1001,$H467,'Input Sheet'!$E$3:$E$1001,O$4)=0,"",SUMIFS('Input Sheet'!$F$3:$F$1001,'Input Sheet'!$B$3:$B$1001,$H467,'Input Sheet'!$E$3:$E$1001,O$4))</f>
        <v/>
      </c>
      <c r="P467" s="21" t="str">
        <f>IF(SUMIFS('Input Sheet'!$F$3:$F$1001,'Input Sheet'!$B$3:$B$1001,$H467,'Input Sheet'!$E$3:$E$1001,P$4)=0,"",SUMIFS('Input Sheet'!$F$3:$F$1001,'Input Sheet'!$B$3:$B$1001,$H467,'Input Sheet'!$E$3:$E$1001,P$4))</f>
        <v/>
      </c>
      <c r="Q467" s="21" t="str">
        <f>IF(SUMIFS('Input Sheet'!$F$3:$F$1001,'Input Sheet'!$B$3:$B$1001,$H467,'Input Sheet'!$E$3:$E$1001,Q$4)=0,"",SUMIFS('Input Sheet'!$F$3:$F$1001,'Input Sheet'!$B$3:$B$1001,$H467,'Input Sheet'!$E$3:$E$1001,Q$4))</f>
        <v/>
      </c>
      <c r="R467" s="21" t="str">
        <f>IF(SUMIFS('Input Sheet'!$F$3:$F$1001,'Input Sheet'!$B$3:$B$1001,$H467,'Input Sheet'!$E$3:$E$1001,R$4)=0,"",SUMIFS('Input Sheet'!$F$3:$F$1001,'Input Sheet'!$B$3:$B$1001,$H467,'Input Sheet'!$E$3:$E$1001,R$4))</f>
        <v/>
      </c>
      <c r="S467" s="21" t="str">
        <f>IF(SUMIFS('Input Sheet'!$F$3:$F$1001,'Input Sheet'!$B$3:$B$1001,$H467,'Input Sheet'!$E$3:$E$1001,S$4)=0,"",SUMIFS('Input Sheet'!$F$3:$F$1001,'Input Sheet'!$B$3:$B$1001,$H467,'Input Sheet'!$E$3:$E$1001,S$4))</f>
        <v/>
      </c>
      <c r="T467" s="22">
        <v>462</v>
      </c>
    </row>
    <row r="468" spans="1:20" ht="14.25" customHeight="1" x14ac:dyDescent="0.3">
      <c r="A468" s="4" t="str">
        <f>IF('Input Sheet'!B465=0,"",'Input Sheet'!B465)</f>
        <v/>
      </c>
      <c r="B468" s="24" t="b">
        <f t="shared" si="264"/>
        <v>0</v>
      </c>
      <c r="C468" s="4">
        <f>SUMIF('Input Sheet'!B$3:B$1000,A468,'Input Sheet'!C$3:C$1000)</f>
        <v>0</v>
      </c>
      <c r="D468" s="4">
        <f>SUMIF('Input Sheet'!B$3:B$1000,A468,'Input Sheet'!D$3:D$1000)</f>
        <v>0</v>
      </c>
      <c r="E468" s="4" t="str">
        <f t="shared" ref="E468:F468" ca="1" si="478">IFERROR(RANK(K468,K$6:K$1004,1),"")</f>
        <v/>
      </c>
      <c r="F468" s="4" t="str">
        <f t="shared" ca="1" si="478"/>
        <v/>
      </c>
      <c r="G468" s="4" t="str">
        <f t="shared" ca="1" si="266"/>
        <v/>
      </c>
      <c r="H468" s="4" t="str">
        <f t="shared" si="267"/>
        <v/>
      </c>
      <c r="I468" s="4" t="str">
        <f t="shared" si="268"/>
        <v/>
      </c>
      <c r="J468" s="4" t="str">
        <f t="shared" si="269"/>
        <v/>
      </c>
      <c r="K468" s="25" t="str">
        <f t="shared" ca="1" si="270"/>
        <v/>
      </c>
      <c r="L468" s="21" t="str">
        <f t="shared" ca="1" si="271"/>
        <v/>
      </c>
      <c r="M468" s="21" t="str">
        <f>IF(SUMIFS('Input Sheet'!$F$3:$F$1001,'Input Sheet'!$B$3:$B$1001,$H468,'Input Sheet'!$E$3:$E$1001,M$4)=0,"",SUMIFS('Input Sheet'!$F$3:$F$1001,'Input Sheet'!$B$3:$B$1001,$H468,'Input Sheet'!$E$3:$E$1001,M$4))</f>
        <v/>
      </c>
      <c r="N468" s="21" t="str">
        <f>IF(SUMIFS('Input Sheet'!$F$3:$F$1001,'Input Sheet'!$B$3:$B$1001,$H468,'Input Sheet'!$E$3:$E$1001,N$4)=0,"",SUMIFS('Input Sheet'!$F$3:$F$1001,'Input Sheet'!$B$3:$B$1001,$H468,'Input Sheet'!$E$3:$E$1001,N$4))</f>
        <v/>
      </c>
      <c r="O468" s="21" t="str">
        <f>IF(SUMIFS('Input Sheet'!$F$3:$F$1001,'Input Sheet'!$B$3:$B$1001,$H468,'Input Sheet'!$E$3:$E$1001,O$4)=0,"",SUMIFS('Input Sheet'!$F$3:$F$1001,'Input Sheet'!$B$3:$B$1001,$H468,'Input Sheet'!$E$3:$E$1001,O$4))</f>
        <v/>
      </c>
      <c r="P468" s="21" t="str">
        <f>IF(SUMIFS('Input Sheet'!$F$3:$F$1001,'Input Sheet'!$B$3:$B$1001,$H468,'Input Sheet'!$E$3:$E$1001,P$4)=0,"",SUMIFS('Input Sheet'!$F$3:$F$1001,'Input Sheet'!$B$3:$B$1001,$H468,'Input Sheet'!$E$3:$E$1001,P$4))</f>
        <v/>
      </c>
      <c r="Q468" s="21" t="str">
        <f>IF(SUMIFS('Input Sheet'!$F$3:$F$1001,'Input Sheet'!$B$3:$B$1001,$H468,'Input Sheet'!$E$3:$E$1001,Q$4)=0,"",SUMIFS('Input Sheet'!$F$3:$F$1001,'Input Sheet'!$B$3:$B$1001,$H468,'Input Sheet'!$E$3:$E$1001,Q$4))</f>
        <v/>
      </c>
      <c r="R468" s="21" t="str">
        <f>IF(SUMIFS('Input Sheet'!$F$3:$F$1001,'Input Sheet'!$B$3:$B$1001,$H468,'Input Sheet'!$E$3:$E$1001,R$4)=0,"",SUMIFS('Input Sheet'!$F$3:$F$1001,'Input Sheet'!$B$3:$B$1001,$H468,'Input Sheet'!$E$3:$E$1001,R$4))</f>
        <v/>
      </c>
      <c r="S468" s="21" t="str">
        <f>IF(SUMIFS('Input Sheet'!$F$3:$F$1001,'Input Sheet'!$B$3:$B$1001,$H468,'Input Sheet'!$E$3:$E$1001,S$4)=0,"",SUMIFS('Input Sheet'!$F$3:$F$1001,'Input Sheet'!$B$3:$B$1001,$H468,'Input Sheet'!$E$3:$E$1001,S$4))</f>
        <v/>
      </c>
      <c r="T468" s="22">
        <v>463</v>
      </c>
    </row>
    <row r="469" spans="1:20" ht="14.25" customHeight="1" x14ac:dyDescent="0.3">
      <c r="A469" s="4" t="str">
        <f>IF('Input Sheet'!B466=0,"",'Input Sheet'!B466)</f>
        <v/>
      </c>
      <c r="B469" s="24" t="b">
        <f t="shared" si="264"/>
        <v>0</v>
      </c>
      <c r="C469" s="4">
        <f>SUMIF('Input Sheet'!B$3:B$1000,A469,'Input Sheet'!C$3:C$1000)</f>
        <v>0</v>
      </c>
      <c r="D469" s="4">
        <f>SUMIF('Input Sheet'!B$3:B$1000,A469,'Input Sheet'!D$3:D$1000)</f>
        <v>0</v>
      </c>
      <c r="E469" s="4" t="str">
        <f t="shared" ref="E469:F469" ca="1" si="479">IFERROR(RANK(K469,K$6:K$1004,1),"")</f>
        <v/>
      </c>
      <c r="F469" s="4" t="str">
        <f t="shared" ca="1" si="479"/>
        <v/>
      </c>
      <c r="G469" s="4" t="str">
        <f t="shared" ca="1" si="266"/>
        <v/>
      </c>
      <c r="H469" s="4" t="str">
        <f t="shared" si="267"/>
        <v/>
      </c>
      <c r="I469" s="4" t="str">
        <f t="shared" si="268"/>
        <v/>
      </c>
      <c r="J469" s="4" t="str">
        <f t="shared" si="269"/>
        <v/>
      </c>
      <c r="K469" s="25" t="str">
        <f t="shared" ca="1" si="270"/>
        <v/>
      </c>
      <c r="L469" s="21" t="str">
        <f t="shared" ca="1" si="271"/>
        <v/>
      </c>
      <c r="M469" s="21" t="str">
        <f>IF(SUMIFS('Input Sheet'!$F$3:$F$1001,'Input Sheet'!$B$3:$B$1001,$H469,'Input Sheet'!$E$3:$E$1001,M$4)=0,"",SUMIFS('Input Sheet'!$F$3:$F$1001,'Input Sheet'!$B$3:$B$1001,$H469,'Input Sheet'!$E$3:$E$1001,M$4))</f>
        <v/>
      </c>
      <c r="N469" s="21" t="str">
        <f>IF(SUMIFS('Input Sheet'!$F$3:$F$1001,'Input Sheet'!$B$3:$B$1001,$H469,'Input Sheet'!$E$3:$E$1001,N$4)=0,"",SUMIFS('Input Sheet'!$F$3:$F$1001,'Input Sheet'!$B$3:$B$1001,$H469,'Input Sheet'!$E$3:$E$1001,N$4))</f>
        <v/>
      </c>
      <c r="O469" s="21" t="str">
        <f>IF(SUMIFS('Input Sheet'!$F$3:$F$1001,'Input Sheet'!$B$3:$B$1001,$H469,'Input Sheet'!$E$3:$E$1001,O$4)=0,"",SUMIFS('Input Sheet'!$F$3:$F$1001,'Input Sheet'!$B$3:$B$1001,$H469,'Input Sheet'!$E$3:$E$1001,O$4))</f>
        <v/>
      </c>
      <c r="P469" s="21" t="str">
        <f>IF(SUMIFS('Input Sheet'!$F$3:$F$1001,'Input Sheet'!$B$3:$B$1001,$H469,'Input Sheet'!$E$3:$E$1001,P$4)=0,"",SUMIFS('Input Sheet'!$F$3:$F$1001,'Input Sheet'!$B$3:$B$1001,$H469,'Input Sheet'!$E$3:$E$1001,P$4))</f>
        <v/>
      </c>
      <c r="Q469" s="21" t="str">
        <f>IF(SUMIFS('Input Sheet'!$F$3:$F$1001,'Input Sheet'!$B$3:$B$1001,$H469,'Input Sheet'!$E$3:$E$1001,Q$4)=0,"",SUMIFS('Input Sheet'!$F$3:$F$1001,'Input Sheet'!$B$3:$B$1001,$H469,'Input Sheet'!$E$3:$E$1001,Q$4))</f>
        <v/>
      </c>
      <c r="R469" s="21" t="str">
        <f>IF(SUMIFS('Input Sheet'!$F$3:$F$1001,'Input Sheet'!$B$3:$B$1001,$H469,'Input Sheet'!$E$3:$E$1001,R$4)=0,"",SUMIFS('Input Sheet'!$F$3:$F$1001,'Input Sheet'!$B$3:$B$1001,$H469,'Input Sheet'!$E$3:$E$1001,R$4))</f>
        <v/>
      </c>
      <c r="S469" s="21" t="str">
        <f>IF(SUMIFS('Input Sheet'!$F$3:$F$1001,'Input Sheet'!$B$3:$B$1001,$H469,'Input Sheet'!$E$3:$E$1001,S$4)=0,"",SUMIFS('Input Sheet'!$F$3:$F$1001,'Input Sheet'!$B$3:$B$1001,$H469,'Input Sheet'!$E$3:$E$1001,S$4))</f>
        <v/>
      </c>
      <c r="T469" s="22">
        <v>464</v>
      </c>
    </row>
    <row r="470" spans="1:20" ht="14.25" customHeight="1" x14ac:dyDescent="0.3">
      <c r="A470" s="4" t="str">
        <f>IF('Input Sheet'!B467=0,"",'Input Sheet'!B467)</f>
        <v/>
      </c>
      <c r="B470" s="24" t="b">
        <f t="shared" si="264"/>
        <v>0</v>
      </c>
      <c r="C470" s="4">
        <f>SUMIF('Input Sheet'!B$3:B$1000,A470,'Input Sheet'!C$3:C$1000)</f>
        <v>0</v>
      </c>
      <c r="D470" s="4">
        <f>SUMIF('Input Sheet'!B$3:B$1000,A470,'Input Sheet'!D$3:D$1000)</f>
        <v>0</v>
      </c>
      <c r="E470" s="4" t="str">
        <f t="shared" ref="E470:F470" ca="1" si="480">IFERROR(RANK(K470,K$6:K$1004,1),"")</f>
        <v/>
      </c>
      <c r="F470" s="4" t="str">
        <f t="shared" ca="1" si="480"/>
        <v/>
      </c>
      <c r="G470" s="4" t="str">
        <f t="shared" ca="1" si="266"/>
        <v/>
      </c>
      <c r="H470" s="4" t="str">
        <f t="shared" si="267"/>
        <v/>
      </c>
      <c r="I470" s="4" t="str">
        <f t="shared" si="268"/>
        <v/>
      </c>
      <c r="J470" s="4" t="str">
        <f t="shared" si="269"/>
        <v/>
      </c>
      <c r="K470" s="25" t="str">
        <f t="shared" ca="1" si="270"/>
        <v/>
      </c>
      <c r="L470" s="21" t="str">
        <f t="shared" ca="1" si="271"/>
        <v/>
      </c>
      <c r="M470" s="21" t="str">
        <f>IF(SUMIFS('Input Sheet'!$F$3:$F$1001,'Input Sheet'!$B$3:$B$1001,$H470,'Input Sheet'!$E$3:$E$1001,M$4)=0,"",SUMIFS('Input Sheet'!$F$3:$F$1001,'Input Sheet'!$B$3:$B$1001,$H470,'Input Sheet'!$E$3:$E$1001,M$4))</f>
        <v/>
      </c>
      <c r="N470" s="21" t="str">
        <f>IF(SUMIFS('Input Sheet'!$F$3:$F$1001,'Input Sheet'!$B$3:$B$1001,$H470,'Input Sheet'!$E$3:$E$1001,N$4)=0,"",SUMIFS('Input Sheet'!$F$3:$F$1001,'Input Sheet'!$B$3:$B$1001,$H470,'Input Sheet'!$E$3:$E$1001,N$4))</f>
        <v/>
      </c>
      <c r="O470" s="21" t="str">
        <f>IF(SUMIFS('Input Sheet'!$F$3:$F$1001,'Input Sheet'!$B$3:$B$1001,$H470,'Input Sheet'!$E$3:$E$1001,O$4)=0,"",SUMIFS('Input Sheet'!$F$3:$F$1001,'Input Sheet'!$B$3:$B$1001,$H470,'Input Sheet'!$E$3:$E$1001,O$4))</f>
        <v/>
      </c>
      <c r="P470" s="21" t="str">
        <f>IF(SUMIFS('Input Sheet'!$F$3:$F$1001,'Input Sheet'!$B$3:$B$1001,$H470,'Input Sheet'!$E$3:$E$1001,P$4)=0,"",SUMIFS('Input Sheet'!$F$3:$F$1001,'Input Sheet'!$B$3:$B$1001,$H470,'Input Sheet'!$E$3:$E$1001,P$4))</f>
        <v/>
      </c>
      <c r="Q470" s="21" t="str">
        <f>IF(SUMIFS('Input Sheet'!$F$3:$F$1001,'Input Sheet'!$B$3:$B$1001,$H470,'Input Sheet'!$E$3:$E$1001,Q$4)=0,"",SUMIFS('Input Sheet'!$F$3:$F$1001,'Input Sheet'!$B$3:$B$1001,$H470,'Input Sheet'!$E$3:$E$1001,Q$4))</f>
        <v/>
      </c>
      <c r="R470" s="21" t="str">
        <f>IF(SUMIFS('Input Sheet'!$F$3:$F$1001,'Input Sheet'!$B$3:$B$1001,$H470,'Input Sheet'!$E$3:$E$1001,R$4)=0,"",SUMIFS('Input Sheet'!$F$3:$F$1001,'Input Sheet'!$B$3:$B$1001,$H470,'Input Sheet'!$E$3:$E$1001,R$4))</f>
        <v/>
      </c>
      <c r="S470" s="21" t="str">
        <f>IF(SUMIFS('Input Sheet'!$F$3:$F$1001,'Input Sheet'!$B$3:$B$1001,$H470,'Input Sheet'!$E$3:$E$1001,S$4)=0,"",SUMIFS('Input Sheet'!$F$3:$F$1001,'Input Sheet'!$B$3:$B$1001,$H470,'Input Sheet'!$E$3:$E$1001,S$4))</f>
        <v/>
      </c>
      <c r="T470" s="22">
        <v>465</v>
      </c>
    </row>
    <row r="471" spans="1:20" ht="14.25" customHeight="1" x14ac:dyDescent="0.3">
      <c r="A471" s="4" t="str">
        <f>IF('Input Sheet'!B468=0,"",'Input Sheet'!B468)</f>
        <v/>
      </c>
      <c r="B471" s="24" t="b">
        <f t="shared" si="264"/>
        <v>0</v>
      </c>
      <c r="C471" s="4">
        <f>SUMIF('Input Sheet'!B$3:B$1000,A471,'Input Sheet'!C$3:C$1000)</f>
        <v>0</v>
      </c>
      <c r="D471" s="4">
        <f>SUMIF('Input Sheet'!B$3:B$1000,A471,'Input Sheet'!D$3:D$1000)</f>
        <v>0</v>
      </c>
      <c r="E471" s="4" t="str">
        <f t="shared" ref="E471:F471" ca="1" si="481">IFERROR(RANK(K471,K$6:K$1004,1),"")</f>
        <v/>
      </c>
      <c r="F471" s="4" t="str">
        <f t="shared" ca="1" si="481"/>
        <v/>
      </c>
      <c r="G471" s="4" t="str">
        <f t="shared" ca="1" si="266"/>
        <v/>
      </c>
      <c r="H471" s="4" t="str">
        <f t="shared" si="267"/>
        <v/>
      </c>
      <c r="I471" s="4" t="str">
        <f t="shared" si="268"/>
        <v/>
      </c>
      <c r="J471" s="4" t="str">
        <f t="shared" si="269"/>
        <v/>
      </c>
      <c r="K471" s="25" t="str">
        <f t="shared" ca="1" si="270"/>
        <v/>
      </c>
      <c r="L471" s="21" t="str">
        <f t="shared" ca="1" si="271"/>
        <v/>
      </c>
      <c r="M471" s="21" t="str">
        <f>IF(SUMIFS('Input Sheet'!$F$3:$F$1001,'Input Sheet'!$B$3:$B$1001,$H471,'Input Sheet'!$E$3:$E$1001,M$4)=0,"",SUMIFS('Input Sheet'!$F$3:$F$1001,'Input Sheet'!$B$3:$B$1001,$H471,'Input Sheet'!$E$3:$E$1001,M$4))</f>
        <v/>
      </c>
      <c r="N471" s="21" t="str">
        <f>IF(SUMIFS('Input Sheet'!$F$3:$F$1001,'Input Sheet'!$B$3:$B$1001,$H471,'Input Sheet'!$E$3:$E$1001,N$4)=0,"",SUMIFS('Input Sheet'!$F$3:$F$1001,'Input Sheet'!$B$3:$B$1001,$H471,'Input Sheet'!$E$3:$E$1001,N$4))</f>
        <v/>
      </c>
      <c r="O471" s="21" t="str">
        <f>IF(SUMIFS('Input Sheet'!$F$3:$F$1001,'Input Sheet'!$B$3:$B$1001,$H471,'Input Sheet'!$E$3:$E$1001,O$4)=0,"",SUMIFS('Input Sheet'!$F$3:$F$1001,'Input Sheet'!$B$3:$B$1001,$H471,'Input Sheet'!$E$3:$E$1001,O$4))</f>
        <v/>
      </c>
      <c r="P471" s="21" t="str">
        <f>IF(SUMIFS('Input Sheet'!$F$3:$F$1001,'Input Sheet'!$B$3:$B$1001,$H471,'Input Sheet'!$E$3:$E$1001,P$4)=0,"",SUMIFS('Input Sheet'!$F$3:$F$1001,'Input Sheet'!$B$3:$B$1001,$H471,'Input Sheet'!$E$3:$E$1001,P$4))</f>
        <v/>
      </c>
      <c r="Q471" s="21" t="str">
        <f>IF(SUMIFS('Input Sheet'!$F$3:$F$1001,'Input Sheet'!$B$3:$B$1001,$H471,'Input Sheet'!$E$3:$E$1001,Q$4)=0,"",SUMIFS('Input Sheet'!$F$3:$F$1001,'Input Sheet'!$B$3:$B$1001,$H471,'Input Sheet'!$E$3:$E$1001,Q$4))</f>
        <v/>
      </c>
      <c r="R471" s="21" t="str">
        <f>IF(SUMIFS('Input Sheet'!$F$3:$F$1001,'Input Sheet'!$B$3:$B$1001,$H471,'Input Sheet'!$E$3:$E$1001,R$4)=0,"",SUMIFS('Input Sheet'!$F$3:$F$1001,'Input Sheet'!$B$3:$B$1001,$H471,'Input Sheet'!$E$3:$E$1001,R$4))</f>
        <v/>
      </c>
      <c r="S471" s="21" t="str">
        <f>IF(SUMIFS('Input Sheet'!$F$3:$F$1001,'Input Sheet'!$B$3:$B$1001,$H471,'Input Sheet'!$E$3:$E$1001,S$4)=0,"",SUMIFS('Input Sheet'!$F$3:$F$1001,'Input Sheet'!$B$3:$B$1001,$H471,'Input Sheet'!$E$3:$E$1001,S$4))</f>
        <v/>
      </c>
      <c r="T471" s="22">
        <v>466</v>
      </c>
    </row>
    <row r="472" spans="1:20" ht="14.25" customHeight="1" x14ac:dyDescent="0.3">
      <c r="A472" s="4" t="str">
        <f>IF('Input Sheet'!B469=0,"",'Input Sheet'!B469)</f>
        <v/>
      </c>
      <c r="B472" s="24" t="b">
        <f t="shared" si="264"/>
        <v>0</v>
      </c>
      <c r="C472" s="4">
        <f>SUMIF('Input Sheet'!B$3:B$1000,A472,'Input Sheet'!C$3:C$1000)</f>
        <v>0</v>
      </c>
      <c r="D472" s="4">
        <f>SUMIF('Input Sheet'!B$3:B$1000,A472,'Input Sheet'!D$3:D$1000)</f>
        <v>0</v>
      </c>
      <c r="E472" s="4" t="str">
        <f t="shared" ref="E472:F472" ca="1" si="482">IFERROR(RANK(K472,K$6:K$1004,1),"")</f>
        <v/>
      </c>
      <c r="F472" s="4" t="str">
        <f t="shared" ca="1" si="482"/>
        <v/>
      </c>
      <c r="G472" s="4" t="str">
        <f t="shared" ca="1" si="266"/>
        <v/>
      </c>
      <c r="H472" s="4" t="str">
        <f t="shared" si="267"/>
        <v/>
      </c>
      <c r="I472" s="4" t="str">
        <f t="shared" si="268"/>
        <v/>
      </c>
      <c r="J472" s="4" t="str">
        <f t="shared" si="269"/>
        <v/>
      </c>
      <c r="K472" s="25" t="str">
        <f t="shared" ca="1" si="270"/>
        <v/>
      </c>
      <c r="L472" s="21" t="str">
        <f t="shared" ca="1" si="271"/>
        <v/>
      </c>
      <c r="M472" s="21" t="str">
        <f>IF(SUMIFS('Input Sheet'!$F$3:$F$1001,'Input Sheet'!$B$3:$B$1001,$H472,'Input Sheet'!$E$3:$E$1001,M$4)=0,"",SUMIFS('Input Sheet'!$F$3:$F$1001,'Input Sheet'!$B$3:$B$1001,$H472,'Input Sheet'!$E$3:$E$1001,M$4))</f>
        <v/>
      </c>
      <c r="N472" s="21" t="str">
        <f>IF(SUMIFS('Input Sheet'!$F$3:$F$1001,'Input Sheet'!$B$3:$B$1001,$H472,'Input Sheet'!$E$3:$E$1001,N$4)=0,"",SUMIFS('Input Sheet'!$F$3:$F$1001,'Input Sheet'!$B$3:$B$1001,$H472,'Input Sheet'!$E$3:$E$1001,N$4))</f>
        <v/>
      </c>
      <c r="O472" s="21" t="str">
        <f>IF(SUMIFS('Input Sheet'!$F$3:$F$1001,'Input Sheet'!$B$3:$B$1001,$H472,'Input Sheet'!$E$3:$E$1001,O$4)=0,"",SUMIFS('Input Sheet'!$F$3:$F$1001,'Input Sheet'!$B$3:$B$1001,$H472,'Input Sheet'!$E$3:$E$1001,O$4))</f>
        <v/>
      </c>
      <c r="P472" s="21" t="str">
        <f>IF(SUMIFS('Input Sheet'!$F$3:$F$1001,'Input Sheet'!$B$3:$B$1001,$H472,'Input Sheet'!$E$3:$E$1001,P$4)=0,"",SUMIFS('Input Sheet'!$F$3:$F$1001,'Input Sheet'!$B$3:$B$1001,$H472,'Input Sheet'!$E$3:$E$1001,P$4))</f>
        <v/>
      </c>
      <c r="Q472" s="21" t="str">
        <f>IF(SUMIFS('Input Sheet'!$F$3:$F$1001,'Input Sheet'!$B$3:$B$1001,$H472,'Input Sheet'!$E$3:$E$1001,Q$4)=0,"",SUMIFS('Input Sheet'!$F$3:$F$1001,'Input Sheet'!$B$3:$B$1001,$H472,'Input Sheet'!$E$3:$E$1001,Q$4))</f>
        <v/>
      </c>
      <c r="R472" s="21" t="str">
        <f>IF(SUMIFS('Input Sheet'!$F$3:$F$1001,'Input Sheet'!$B$3:$B$1001,$H472,'Input Sheet'!$E$3:$E$1001,R$4)=0,"",SUMIFS('Input Sheet'!$F$3:$F$1001,'Input Sheet'!$B$3:$B$1001,$H472,'Input Sheet'!$E$3:$E$1001,R$4))</f>
        <v/>
      </c>
      <c r="S472" s="21" t="str">
        <f>IF(SUMIFS('Input Sheet'!$F$3:$F$1001,'Input Sheet'!$B$3:$B$1001,$H472,'Input Sheet'!$E$3:$E$1001,S$4)=0,"",SUMIFS('Input Sheet'!$F$3:$F$1001,'Input Sheet'!$B$3:$B$1001,$H472,'Input Sheet'!$E$3:$E$1001,S$4))</f>
        <v/>
      </c>
      <c r="T472" s="22">
        <v>467</v>
      </c>
    </row>
    <row r="473" spans="1:20" ht="14.25" customHeight="1" x14ac:dyDescent="0.3">
      <c r="A473" s="4" t="str">
        <f>IF('Input Sheet'!B470=0,"",'Input Sheet'!B470)</f>
        <v/>
      </c>
      <c r="B473" s="24" t="b">
        <f t="shared" si="264"/>
        <v>0</v>
      </c>
      <c r="C473" s="4">
        <f>SUMIF('Input Sheet'!B$3:B$1000,A473,'Input Sheet'!C$3:C$1000)</f>
        <v>0</v>
      </c>
      <c r="D473" s="4">
        <f>SUMIF('Input Sheet'!B$3:B$1000,A473,'Input Sheet'!D$3:D$1000)</f>
        <v>0</v>
      </c>
      <c r="E473" s="4" t="str">
        <f t="shared" ref="E473:F473" ca="1" si="483">IFERROR(RANK(K473,K$6:K$1004,1),"")</f>
        <v/>
      </c>
      <c r="F473" s="4" t="str">
        <f t="shared" ca="1" si="483"/>
        <v/>
      </c>
      <c r="G473" s="4" t="str">
        <f t="shared" ca="1" si="266"/>
        <v/>
      </c>
      <c r="H473" s="4" t="str">
        <f t="shared" si="267"/>
        <v/>
      </c>
      <c r="I473" s="4" t="str">
        <f t="shared" si="268"/>
        <v/>
      </c>
      <c r="J473" s="4" t="str">
        <f t="shared" si="269"/>
        <v/>
      </c>
      <c r="K473" s="25" t="str">
        <f t="shared" ca="1" si="270"/>
        <v/>
      </c>
      <c r="L473" s="21" t="str">
        <f t="shared" ca="1" si="271"/>
        <v/>
      </c>
      <c r="M473" s="21" t="str">
        <f>IF(SUMIFS('Input Sheet'!$F$3:$F$1001,'Input Sheet'!$B$3:$B$1001,$H473,'Input Sheet'!$E$3:$E$1001,M$4)=0,"",SUMIFS('Input Sheet'!$F$3:$F$1001,'Input Sheet'!$B$3:$B$1001,$H473,'Input Sheet'!$E$3:$E$1001,M$4))</f>
        <v/>
      </c>
      <c r="N473" s="21" t="str">
        <f>IF(SUMIFS('Input Sheet'!$F$3:$F$1001,'Input Sheet'!$B$3:$B$1001,$H473,'Input Sheet'!$E$3:$E$1001,N$4)=0,"",SUMIFS('Input Sheet'!$F$3:$F$1001,'Input Sheet'!$B$3:$B$1001,$H473,'Input Sheet'!$E$3:$E$1001,N$4))</f>
        <v/>
      </c>
      <c r="O473" s="21" t="str">
        <f>IF(SUMIFS('Input Sheet'!$F$3:$F$1001,'Input Sheet'!$B$3:$B$1001,$H473,'Input Sheet'!$E$3:$E$1001,O$4)=0,"",SUMIFS('Input Sheet'!$F$3:$F$1001,'Input Sheet'!$B$3:$B$1001,$H473,'Input Sheet'!$E$3:$E$1001,O$4))</f>
        <v/>
      </c>
      <c r="P473" s="21" t="str">
        <f>IF(SUMIFS('Input Sheet'!$F$3:$F$1001,'Input Sheet'!$B$3:$B$1001,$H473,'Input Sheet'!$E$3:$E$1001,P$4)=0,"",SUMIFS('Input Sheet'!$F$3:$F$1001,'Input Sheet'!$B$3:$B$1001,$H473,'Input Sheet'!$E$3:$E$1001,P$4))</f>
        <v/>
      </c>
      <c r="Q473" s="21" t="str">
        <f>IF(SUMIFS('Input Sheet'!$F$3:$F$1001,'Input Sheet'!$B$3:$B$1001,$H473,'Input Sheet'!$E$3:$E$1001,Q$4)=0,"",SUMIFS('Input Sheet'!$F$3:$F$1001,'Input Sheet'!$B$3:$B$1001,$H473,'Input Sheet'!$E$3:$E$1001,Q$4))</f>
        <v/>
      </c>
      <c r="R473" s="21" t="str">
        <f>IF(SUMIFS('Input Sheet'!$F$3:$F$1001,'Input Sheet'!$B$3:$B$1001,$H473,'Input Sheet'!$E$3:$E$1001,R$4)=0,"",SUMIFS('Input Sheet'!$F$3:$F$1001,'Input Sheet'!$B$3:$B$1001,$H473,'Input Sheet'!$E$3:$E$1001,R$4))</f>
        <v/>
      </c>
      <c r="S473" s="21" t="str">
        <f>IF(SUMIFS('Input Sheet'!$F$3:$F$1001,'Input Sheet'!$B$3:$B$1001,$H473,'Input Sheet'!$E$3:$E$1001,S$4)=0,"",SUMIFS('Input Sheet'!$F$3:$F$1001,'Input Sheet'!$B$3:$B$1001,$H473,'Input Sheet'!$E$3:$E$1001,S$4))</f>
        <v/>
      </c>
      <c r="T473" s="22">
        <v>468</v>
      </c>
    </row>
    <row r="474" spans="1:20" ht="14.25" customHeight="1" x14ac:dyDescent="0.3">
      <c r="A474" s="4" t="str">
        <f>IF('Input Sheet'!B471=0,"",'Input Sheet'!B471)</f>
        <v/>
      </c>
      <c r="B474" s="24" t="b">
        <f t="shared" si="264"/>
        <v>0</v>
      </c>
      <c r="C474" s="4">
        <f>SUMIF('Input Sheet'!B$3:B$1000,A474,'Input Sheet'!C$3:C$1000)</f>
        <v>0</v>
      </c>
      <c r="D474" s="4">
        <f>SUMIF('Input Sheet'!B$3:B$1000,A474,'Input Sheet'!D$3:D$1000)</f>
        <v>0</v>
      </c>
      <c r="E474" s="4" t="str">
        <f t="shared" ref="E474:F474" ca="1" si="484">IFERROR(RANK(K474,K$6:K$1004,1),"")</f>
        <v/>
      </c>
      <c r="F474" s="4" t="str">
        <f t="shared" ca="1" si="484"/>
        <v/>
      </c>
      <c r="G474" s="4" t="str">
        <f t="shared" ca="1" si="266"/>
        <v/>
      </c>
      <c r="H474" s="4" t="str">
        <f t="shared" si="267"/>
        <v/>
      </c>
      <c r="I474" s="4" t="str">
        <f t="shared" si="268"/>
        <v/>
      </c>
      <c r="J474" s="4" t="str">
        <f t="shared" si="269"/>
        <v/>
      </c>
      <c r="K474" s="25" t="str">
        <f t="shared" ca="1" si="270"/>
        <v/>
      </c>
      <c r="L474" s="21" t="str">
        <f t="shared" ca="1" si="271"/>
        <v/>
      </c>
      <c r="M474" s="21" t="str">
        <f>IF(SUMIFS('Input Sheet'!$F$3:$F$1001,'Input Sheet'!$B$3:$B$1001,$H474,'Input Sheet'!$E$3:$E$1001,M$4)=0,"",SUMIFS('Input Sheet'!$F$3:$F$1001,'Input Sheet'!$B$3:$B$1001,$H474,'Input Sheet'!$E$3:$E$1001,M$4))</f>
        <v/>
      </c>
      <c r="N474" s="21" t="str">
        <f>IF(SUMIFS('Input Sheet'!$F$3:$F$1001,'Input Sheet'!$B$3:$B$1001,$H474,'Input Sheet'!$E$3:$E$1001,N$4)=0,"",SUMIFS('Input Sheet'!$F$3:$F$1001,'Input Sheet'!$B$3:$B$1001,$H474,'Input Sheet'!$E$3:$E$1001,N$4))</f>
        <v/>
      </c>
      <c r="O474" s="21" t="str">
        <f>IF(SUMIFS('Input Sheet'!$F$3:$F$1001,'Input Sheet'!$B$3:$B$1001,$H474,'Input Sheet'!$E$3:$E$1001,O$4)=0,"",SUMIFS('Input Sheet'!$F$3:$F$1001,'Input Sheet'!$B$3:$B$1001,$H474,'Input Sheet'!$E$3:$E$1001,O$4))</f>
        <v/>
      </c>
      <c r="P474" s="21" t="str">
        <f>IF(SUMIFS('Input Sheet'!$F$3:$F$1001,'Input Sheet'!$B$3:$B$1001,$H474,'Input Sheet'!$E$3:$E$1001,P$4)=0,"",SUMIFS('Input Sheet'!$F$3:$F$1001,'Input Sheet'!$B$3:$B$1001,$H474,'Input Sheet'!$E$3:$E$1001,P$4))</f>
        <v/>
      </c>
      <c r="Q474" s="21" t="str">
        <f>IF(SUMIFS('Input Sheet'!$F$3:$F$1001,'Input Sheet'!$B$3:$B$1001,$H474,'Input Sheet'!$E$3:$E$1001,Q$4)=0,"",SUMIFS('Input Sheet'!$F$3:$F$1001,'Input Sheet'!$B$3:$B$1001,$H474,'Input Sheet'!$E$3:$E$1001,Q$4))</f>
        <v/>
      </c>
      <c r="R474" s="21" t="str">
        <f>IF(SUMIFS('Input Sheet'!$F$3:$F$1001,'Input Sheet'!$B$3:$B$1001,$H474,'Input Sheet'!$E$3:$E$1001,R$4)=0,"",SUMIFS('Input Sheet'!$F$3:$F$1001,'Input Sheet'!$B$3:$B$1001,$H474,'Input Sheet'!$E$3:$E$1001,R$4))</f>
        <v/>
      </c>
      <c r="S474" s="21" t="str">
        <f>IF(SUMIFS('Input Sheet'!$F$3:$F$1001,'Input Sheet'!$B$3:$B$1001,$H474,'Input Sheet'!$E$3:$E$1001,S$4)=0,"",SUMIFS('Input Sheet'!$F$3:$F$1001,'Input Sheet'!$B$3:$B$1001,$H474,'Input Sheet'!$E$3:$E$1001,S$4))</f>
        <v/>
      </c>
      <c r="T474" s="22">
        <v>469</v>
      </c>
    </row>
    <row r="475" spans="1:20" ht="14.25" customHeight="1" x14ac:dyDescent="0.3">
      <c r="A475" s="4" t="str">
        <f>IF('Input Sheet'!B472=0,"",'Input Sheet'!B472)</f>
        <v/>
      </c>
      <c r="B475" s="24" t="b">
        <f t="shared" si="264"/>
        <v>0</v>
      </c>
      <c r="C475" s="4">
        <f>SUMIF('Input Sheet'!B$3:B$1000,A475,'Input Sheet'!C$3:C$1000)</f>
        <v>0</v>
      </c>
      <c r="D475" s="4">
        <f>SUMIF('Input Sheet'!B$3:B$1000,A475,'Input Sheet'!D$3:D$1000)</f>
        <v>0</v>
      </c>
      <c r="E475" s="4" t="str">
        <f t="shared" ref="E475:F475" ca="1" si="485">IFERROR(RANK(K475,K$6:K$1004,1),"")</f>
        <v/>
      </c>
      <c r="F475" s="4" t="str">
        <f t="shared" ca="1" si="485"/>
        <v/>
      </c>
      <c r="G475" s="4" t="str">
        <f t="shared" ca="1" si="266"/>
        <v/>
      </c>
      <c r="H475" s="4" t="str">
        <f t="shared" si="267"/>
        <v/>
      </c>
      <c r="I475" s="4" t="str">
        <f t="shared" si="268"/>
        <v/>
      </c>
      <c r="J475" s="4" t="str">
        <f t="shared" si="269"/>
        <v/>
      </c>
      <c r="K475" s="25" t="str">
        <f t="shared" ca="1" si="270"/>
        <v/>
      </c>
      <c r="L475" s="21" t="str">
        <f t="shared" ca="1" si="271"/>
        <v/>
      </c>
      <c r="M475" s="21" t="str">
        <f>IF(SUMIFS('Input Sheet'!$F$3:$F$1001,'Input Sheet'!$B$3:$B$1001,$H475,'Input Sheet'!$E$3:$E$1001,M$4)=0,"",SUMIFS('Input Sheet'!$F$3:$F$1001,'Input Sheet'!$B$3:$B$1001,$H475,'Input Sheet'!$E$3:$E$1001,M$4))</f>
        <v/>
      </c>
      <c r="N475" s="21" t="str">
        <f>IF(SUMIFS('Input Sheet'!$F$3:$F$1001,'Input Sheet'!$B$3:$B$1001,$H475,'Input Sheet'!$E$3:$E$1001,N$4)=0,"",SUMIFS('Input Sheet'!$F$3:$F$1001,'Input Sheet'!$B$3:$B$1001,$H475,'Input Sheet'!$E$3:$E$1001,N$4))</f>
        <v/>
      </c>
      <c r="O475" s="21" t="str">
        <f>IF(SUMIFS('Input Sheet'!$F$3:$F$1001,'Input Sheet'!$B$3:$B$1001,$H475,'Input Sheet'!$E$3:$E$1001,O$4)=0,"",SUMIFS('Input Sheet'!$F$3:$F$1001,'Input Sheet'!$B$3:$B$1001,$H475,'Input Sheet'!$E$3:$E$1001,O$4))</f>
        <v/>
      </c>
      <c r="P475" s="21" t="str">
        <f>IF(SUMIFS('Input Sheet'!$F$3:$F$1001,'Input Sheet'!$B$3:$B$1001,$H475,'Input Sheet'!$E$3:$E$1001,P$4)=0,"",SUMIFS('Input Sheet'!$F$3:$F$1001,'Input Sheet'!$B$3:$B$1001,$H475,'Input Sheet'!$E$3:$E$1001,P$4))</f>
        <v/>
      </c>
      <c r="Q475" s="21" t="str">
        <f>IF(SUMIFS('Input Sheet'!$F$3:$F$1001,'Input Sheet'!$B$3:$B$1001,$H475,'Input Sheet'!$E$3:$E$1001,Q$4)=0,"",SUMIFS('Input Sheet'!$F$3:$F$1001,'Input Sheet'!$B$3:$B$1001,$H475,'Input Sheet'!$E$3:$E$1001,Q$4))</f>
        <v/>
      </c>
      <c r="R475" s="21" t="str">
        <f>IF(SUMIFS('Input Sheet'!$F$3:$F$1001,'Input Sheet'!$B$3:$B$1001,$H475,'Input Sheet'!$E$3:$E$1001,R$4)=0,"",SUMIFS('Input Sheet'!$F$3:$F$1001,'Input Sheet'!$B$3:$B$1001,$H475,'Input Sheet'!$E$3:$E$1001,R$4))</f>
        <v/>
      </c>
      <c r="S475" s="21" t="str">
        <f>IF(SUMIFS('Input Sheet'!$F$3:$F$1001,'Input Sheet'!$B$3:$B$1001,$H475,'Input Sheet'!$E$3:$E$1001,S$4)=0,"",SUMIFS('Input Sheet'!$F$3:$F$1001,'Input Sheet'!$B$3:$B$1001,$H475,'Input Sheet'!$E$3:$E$1001,S$4))</f>
        <v/>
      </c>
      <c r="T475" s="22">
        <v>470</v>
      </c>
    </row>
    <row r="476" spans="1:20" ht="14.25" customHeight="1" x14ac:dyDescent="0.3">
      <c r="A476" s="4" t="str">
        <f>IF('Input Sheet'!B473=0,"",'Input Sheet'!B473)</f>
        <v/>
      </c>
      <c r="B476" s="24" t="b">
        <f t="shared" si="264"/>
        <v>0</v>
      </c>
      <c r="C476" s="4">
        <f>SUMIF('Input Sheet'!B$3:B$1000,A476,'Input Sheet'!C$3:C$1000)</f>
        <v>0</v>
      </c>
      <c r="D476" s="4">
        <f>SUMIF('Input Sheet'!B$3:B$1000,A476,'Input Sheet'!D$3:D$1000)</f>
        <v>0</v>
      </c>
      <c r="E476" s="4" t="str">
        <f t="shared" ref="E476:F476" ca="1" si="486">IFERROR(RANK(K476,K$6:K$1004,1),"")</f>
        <v/>
      </c>
      <c r="F476" s="4" t="str">
        <f t="shared" ca="1" si="486"/>
        <v/>
      </c>
      <c r="G476" s="4" t="str">
        <f t="shared" ca="1" si="266"/>
        <v/>
      </c>
      <c r="H476" s="4" t="str">
        <f t="shared" si="267"/>
        <v/>
      </c>
      <c r="I476" s="4" t="str">
        <f t="shared" si="268"/>
        <v/>
      </c>
      <c r="J476" s="4" t="str">
        <f t="shared" si="269"/>
        <v/>
      </c>
      <c r="K476" s="25" t="str">
        <f t="shared" ca="1" si="270"/>
        <v/>
      </c>
      <c r="L476" s="21" t="str">
        <f t="shared" ca="1" si="271"/>
        <v/>
      </c>
      <c r="M476" s="21" t="str">
        <f>IF(SUMIFS('Input Sheet'!$F$3:$F$1001,'Input Sheet'!$B$3:$B$1001,$H476,'Input Sheet'!$E$3:$E$1001,M$4)=0,"",SUMIFS('Input Sheet'!$F$3:$F$1001,'Input Sheet'!$B$3:$B$1001,$H476,'Input Sheet'!$E$3:$E$1001,M$4))</f>
        <v/>
      </c>
      <c r="N476" s="21" t="str">
        <f>IF(SUMIFS('Input Sheet'!$F$3:$F$1001,'Input Sheet'!$B$3:$B$1001,$H476,'Input Sheet'!$E$3:$E$1001,N$4)=0,"",SUMIFS('Input Sheet'!$F$3:$F$1001,'Input Sheet'!$B$3:$B$1001,$H476,'Input Sheet'!$E$3:$E$1001,N$4))</f>
        <v/>
      </c>
      <c r="O476" s="21" t="str">
        <f>IF(SUMIFS('Input Sheet'!$F$3:$F$1001,'Input Sheet'!$B$3:$B$1001,$H476,'Input Sheet'!$E$3:$E$1001,O$4)=0,"",SUMIFS('Input Sheet'!$F$3:$F$1001,'Input Sheet'!$B$3:$B$1001,$H476,'Input Sheet'!$E$3:$E$1001,O$4))</f>
        <v/>
      </c>
      <c r="P476" s="21" t="str">
        <f>IF(SUMIFS('Input Sheet'!$F$3:$F$1001,'Input Sheet'!$B$3:$B$1001,$H476,'Input Sheet'!$E$3:$E$1001,P$4)=0,"",SUMIFS('Input Sheet'!$F$3:$F$1001,'Input Sheet'!$B$3:$B$1001,$H476,'Input Sheet'!$E$3:$E$1001,P$4))</f>
        <v/>
      </c>
      <c r="Q476" s="21" t="str">
        <f>IF(SUMIFS('Input Sheet'!$F$3:$F$1001,'Input Sheet'!$B$3:$B$1001,$H476,'Input Sheet'!$E$3:$E$1001,Q$4)=0,"",SUMIFS('Input Sheet'!$F$3:$F$1001,'Input Sheet'!$B$3:$B$1001,$H476,'Input Sheet'!$E$3:$E$1001,Q$4))</f>
        <v/>
      </c>
      <c r="R476" s="21" t="str">
        <f>IF(SUMIFS('Input Sheet'!$F$3:$F$1001,'Input Sheet'!$B$3:$B$1001,$H476,'Input Sheet'!$E$3:$E$1001,R$4)=0,"",SUMIFS('Input Sheet'!$F$3:$F$1001,'Input Sheet'!$B$3:$B$1001,$H476,'Input Sheet'!$E$3:$E$1001,R$4))</f>
        <v/>
      </c>
      <c r="S476" s="21" t="str">
        <f>IF(SUMIFS('Input Sheet'!$F$3:$F$1001,'Input Sheet'!$B$3:$B$1001,$H476,'Input Sheet'!$E$3:$E$1001,S$4)=0,"",SUMIFS('Input Sheet'!$F$3:$F$1001,'Input Sheet'!$B$3:$B$1001,$H476,'Input Sheet'!$E$3:$E$1001,S$4))</f>
        <v/>
      </c>
      <c r="T476" s="22">
        <v>471</v>
      </c>
    </row>
    <row r="477" spans="1:20" ht="14.25" customHeight="1" x14ac:dyDescent="0.3">
      <c r="A477" s="4" t="str">
        <f>IF('Input Sheet'!B474=0,"",'Input Sheet'!B474)</f>
        <v/>
      </c>
      <c r="B477" s="24" t="b">
        <f t="shared" si="264"/>
        <v>0</v>
      </c>
      <c r="C477" s="4">
        <f>SUMIF('Input Sheet'!B$3:B$1000,A477,'Input Sheet'!C$3:C$1000)</f>
        <v>0</v>
      </c>
      <c r="D477" s="4">
        <f>SUMIF('Input Sheet'!B$3:B$1000,A477,'Input Sheet'!D$3:D$1000)</f>
        <v>0</v>
      </c>
      <c r="E477" s="4" t="str">
        <f t="shared" ref="E477:F477" ca="1" si="487">IFERROR(RANK(K477,K$6:K$1004,1),"")</f>
        <v/>
      </c>
      <c r="F477" s="4" t="str">
        <f t="shared" ca="1" si="487"/>
        <v/>
      </c>
      <c r="G477" s="4" t="str">
        <f t="shared" ca="1" si="266"/>
        <v/>
      </c>
      <c r="H477" s="4" t="str">
        <f t="shared" si="267"/>
        <v/>
      </c>
      <c r="I477" s="4" t="str">
        <f t="shared" si="268"/>
        <v/>
      </c>
      <c r="J477" s="4" t="str">
        <f t="shared" si="269"/>
        <v/>
      </c>
      <c r="K477" s="25" t="str">
        <f t="shared" ca="1" si="270"/>
        <v/>
      </c>
      <c r="L477" s="21" t="str">
        <f t="shared" ca="1" si="271"/>
        <v/>
      </c>
      <c r="M477" s="21" t="str">
        <f>IF(SUMIFS('Input Sheet'!$F$3:$F$1001,'Input Sheet'!$B$3:$B$1001,$H477,'Input Sheet'!$E$3:$E$1001,M$4)=0,"",SUMIFS('Input Sheet'!$F$3:$F$1001,'Input Sheet'!$B$3:$B$1001,$H477,'Input Sheet'!$E$3:$E$1001,M$4))</f>
        <v/>
      </c>
      <c r="N477" s="21" t="str">
        <f>IF(SUMIFS('Input Sheet'!$F$3:$F$1001,'Input Sheet'!$B$3:$B$1001,$H477,'Input Sheet'!$E$3:$E$1001,N$4)=0,"",SUMIFS('Input Sheet'!$F$3:$F$1001,'Input Sheet'!$B$3:$B$1001,$H477,'Input Sheet'!$E$3:$E$1001,N$4))</f>
        <v/>
      </c>
      <c r="O477" s="21" t="str">
        <f>IF(SUMIFS('Input Sheet'!$F$3:$F$1001,'Input Sheet'!$B$3:$B$1001,$H477,'Input Sheet'!$E$3:$E$1001,O$4)=0,"",SUMIFS('Input Sheet'!$F$3:$F$1001,'Input Sheet'!$B$3:$B$1001,$H477,'Input Sheet'!$E$3:$E$1001,O$4))</f>
        <v/>
      </c>
      <c r="P477" s="21" t="str">
        <f>IF(SUMIFS('Input Sheet'!$F$3:$F$1001,'Input Sheet'!$B$3:$B$1001,$H477,'Input Sheet'!$E$3:$E$1001,P$4)=0,"",SUMIFS('Input Sheet'!$F$3:$F$1001,'Input Sheet'!$B$3:$B$1001,$H477,'Input Sheet'!$E$3:$E$1001,P$4))</f>
        <v/>
      </c>
      <c r="Q477" s="21" t="str">
        <f>IF(SUMIFS('Input Sheet'!$F$3:$F$1001,'Input Sheet'!$B$3:$B$1001,$H477,'Input Sheet'!$E$3:$E$1001,Q$4)=0,"",SUMIFS('Input Sheet'!$F$3:$F$1001,'Input Sheet'!$B$3:$B$1001,$H477,'Input Sheet'!$E$3:$E$1001,Q$4))</f>
        <v/>
      </c>
      <c r="R477" s="21" t="str">
        <f>IF(SUMIFS('Input Sheet'!$F$3:$F$1001,'Input Sheet'!$B$3:$B$1001,$H477,'Input Sheet'!$E$3:$E$1001,R$4)=0,"",SUMIFS('Input Sheet'!$F$3:$F$1001,'Input Sheet'!$B$3:$B$1001,$H477,'Input Sheet'!$E$3:$E$1001,R$4))</f>
        <v/>
      </c>
      <c r="S477" s="21" t="str">
        <f>IF(SUMIFS('Input Sheet'!$F$3:$F$1001,'Input Sheet'!$B$3:$B$1001,$H477,'Input Sheet'!$E$3:$E$1001,S$4)=0,"",SUMIFS('Input Sheet'!$F$3:$F$1001,'Input Sheet'!$B$3:$B$1001,$H477,'Input Sheet'!$E$3:$E$1001,S$4))</f>
        <v/>
      </c>
      <c r="T477" s="22">
        <v>472</v>
      </c>
    </row>
    <row r="478" spans="1:20" ht="14.25" customHeight="1" x14ac:dyDescent="0.3">
      <c r="A478" s="4" t="str">
        <f>IF('Input Sheet'!B475=0,"",'Input Sheet'!B475)</f>
        <v/>
      </c>
      <c r="B478" s="24" t="b">
        <f t="shared" si="264"/>
        <v>0</v>
      </c>
      <c r="C478" s="4">
        <f>SUMIF('Input Sheet'!B$3:B$1000,A478,'Input Sheet'!C$3:C$1000)</f>
        <v>0</v>
      </c>
      <c r="D478" s="4">
        <f>SUMIF('Input Sheet'!B$3:B$1000,A478,'Input Sheet'!D$3:D$1000)</f>
        <v>0</v>
      </c>
      <c r="E478" s="4" t="str">
        <f t="shared" ref="E478:F478" ca="1" si="488">IFERROR(RANK(K478,K$6:K$1004,1),"")</f>
        <v/>
      </c>
      <c r="F478" s="4" t="str">
        <f t="shared" ca="1" si="488"/>
        <v/>
      </c>
      <c r="G478" s="4" t="str">
        <f t="shared" ca="1" si="266"/>
        <v/>
      </c>
      <c r="H478" s="4" t="str">
        <f t="shared" si="267"/>
        <v/>
      </c>
      <c r="I478" s="4" t="str">
        <f t="shared" si="268"/>
        <v/>
      </c>
      <c r="J478" s="4" t="str">
        <f t="shared" si="269"/>
        <v/>
      </c>
      <c r="K478" s="25" t="str">
        <f t="shared" ca="1" si="270"/>
        <v/>
      </c>
      <c r="L478" s="21" t="str">
        <f t="shared" ca="1" si="271"/>
        <v/>
      </c>
      <c r="M478" s="21" t="str">
        <f>IF(SUMIFS('Input Sheet'!$F$3:$F$1001,'Input Sheet'!$B$3:$B$1001,$H478,'Input Sheet'!$E$3:$E$1001,M$4)=0,"",SUMIFS('Input Sheet'!$F$3:$F$1001,'Input Sheet'!$B$3:$B$1001,$H478,'Input Sheet'!$E$3:$E$1001,M$4))</f>
        <v/>
      </c>
      <c r="N478" s="21" t="str">
        <f>IF(SUMIFS('Input Sheet'!$F$3:$F$1001,'Input Sheet'!$B$3:$B$1001,$H478,'Input Sheet'!$E$3:$E$1001,N$4)=0,"",SUMIFS('Input Sheet'!$F$3:$F$1001,'Input Sheet'!$B$3:$B$1001,$H478,'Input Sheet'!$E$3:$E$1001,N$4))</f>
        <v/>
      </c>
      <c r="O478" s="21" t="str">
        <f>IF(SUMIFS('Input Sheet'!$F$3:$F$1001,'Input Sheet'!$B$3:$B$1001,$H478,'Input Sheet'!$E$3:$E$1001,O$4)=0,"",SUMIFS('Input Sheet'!$F$3:$F$1001,'Input Sheet'!$B$3:$B$1001,$H478,'Input Sheet'!$E$3:$E$1001,O$4))</f>
        <v/>
      </c>
      <c r="P478" s="21" t="str">
        <f>IF(SUMIFS('Input Sheet'!$F$3:$F$1001,'Input Sheet'!$B$3:$B$1001,$H478,'Input Sheet'!$E$3:$E$1001,P$4)=0,"",SUMIFS('Input Sheet'!$F$3:$F$1001,'Input Sheet'!$B$3:$B$1001,$H478,'Input Sheet'!$E$3:$E$1001,P$4))</f>
        <v/>
      </c>
      <c r="Q478" s="21" t="str">
        <f>IF(SUMIFS('Input Sheet'!$F$3:$F$1001,'Input Sheet'!$B$3:$B$1001,$H478,'Input Sheet'!$E$3:$E$1001,Q$4)=0,"",SUMIFS('Input Sheet'!$F$3:$F$1001,'Input Sheet'!$B$3:$B$1001,$H478,'Input Sheet'!$E$3:$E$1001,Q$4))</f>
        <v/>
      </c>
      <c r="R478" s="21" t="str">
        <f>IF(SUMIFS('Input Sheet'!$F$3:$F$1001,'Input Sheet'!$B$3:$B$1001,$H478,'Input Sheet'!$E$3:$E$1001,R$4)=0,"",SUMIFS('Input Sheet'!$F$3:$F$1001,'Input Sheet'!$B$3:$B$1001,$H478,'Input Sheet'!$E$3:$E$1001,R$4))</f>
        <v/>
      </c>
      <c r="S478" s="21" t="str">
        <f>IF(SUMIFS('Input Sheet'!$F$3:$F$1001,'Input Sheet'!$B$3:$B$1001,$H478,'Input Sheet'!$E$3:$E$1001,S$4)=0,"",SUMIFS('Input Sheet'!$F$3:$F$1001,'Input Sheet'!$B$3:$B$1001,$H478,'Input Sheet'!$E$3:$E$1001,S$4))</f>
        <v/>
      </c>
      <c r="T478" s="22">
        <v>473</v>
      </c>
    </row>
    <row r="479" spans="1:20" ht="14.25" customHeight="1" x14ac:dyDescent="0.3">
      <c r="A479" s="4" t="str">
        <f>IF('Input Sheet'!B476=0,"",'Input Sheet'!B476)</f>
        <v/>
      </c>
      <c r="B479" s="24" t="b">
        <f t="shared" si="264"/>
        <v>0</v>
      </c>
      <c r="C479" s="4">
        <f>SUMIF('Input Sheet'!B$3:B$1000,A479,'Input Sheet'!C$3:C$1000)</f>
        <v>0</v>
      </c>
      <c r="D479" s="4">
        <f>SUMIF('Input Sheet'!B$3:B$1000,A479,'Input Sheet'!D$3:D$1000)</f>
        <v>0</v>
      </c>
      <c r="E479" s="4" t="str">
        <f t="shared" ref="E479:F479" ca="1" si="489">IFERROR(RANK(K479,K$6:K$1004,1),"")</f>
        <v/>
      </c>
      <c r="F479" s="4" t="str">
        <f t="shared" ca="1" si="489"/>
        <v/>
      </c>
      <c r="G479" s="4" t="str">
        <f t="shared" ca="1" si="266"/>
        <v/>
      </c>
      <c r="H479" s="4" t="str">
        <f t="shared" si="267"/>
        <v/>
      </c>
      <c r="I479" s="4" t="str">
        <f t="shared" si="268"/>
        <v/>
      </c>
      <c r="J479" s="4" t="str">
        <f t="shared" si="269"/>
        <v/>
      </c>
      <c r="K479" s="25" t="str">
        <f t="shared" ca="1" si="270"/>
        <v/>
      </c>
      <c r="L479" s="21" t="str">
        <f t="shared" ca="1" si="271"/>
        <v/>
      </c>
      <c r="M479" s="21" t="str">
        <f>IF(SUMIFS('Input Sheet'!$F$3:$F$1001,'Input Sheet'!$B$3:$B$1001,$H479,'Input Sheet'!$E$3:$E$1001,M$4)=0,"",SUMIFS('Input Sheet'!$F$3:$F$1001,'Input Sheet'!$B$3:$B$1001,$H479,'Input Sheet'!$E$3:$E$1001,M$4))</f>
        <v/>
      </c>
      <c r="N479" s="21" t="str">
        <f>IF(SUMIFS('Input Sheet'!$F$3:$F$1001,'Input Sheet'!$B$3:$B$1001,$H479,'Input Sheet'!$E$3:$E$1001,N$4)=0,"",SUMIFS('Input Sheet'!$F$3:$F$1001,'Input Sheet'!$B$3:$B$1001,$H479,'Input Sheet'!$E$3:$E$1001,N$4))</f>
        <v/>
      </c>
      <c r="O479" s="21" t="str">
        <f>IF(SUMIFS('Input Sheet'!$F$3:$F$1001,'Input Sheet'!$B$3:$B$1001,$H479,'Input Sheet'!$E$3:$E$1001,O$4)=0,"",SUMIFS('Input Sheet'!$F$3:$F$1001,'Input Sheet'!$B$3:$B$1001,$H479,'Input Sheet'!$E$3:$E$1001,O$4))</f>
        <v/>
      </c>
      <c r="P479" s="21" t="str">
        <f>IF(SUMIFS('Input Sheet'!$F$3:$F$1001,'Input Sheet'!$B$3:$B$1001,$H479,'Input Sheet'!$E$3:$E$1001,P$4)=0,"",SUMIFS('Input Sheet'!$F$3:$F$1001,'Input Sheet'!$B$3:$B$1001,$H479,'Input Sheet'!$E$3:$E$1001,P$4))</f>
        <v/>
      </c>
      <c r="Q479" s="21" t="str">
        <f>IF(SUMIFS('Input Sheet'!$F$3:$F$1001,'Input Sheet'!$B$3:$B$1001,$H479,'Input Sheet'!$E$3:$E$1001,Q$4)=0,"",SUMIFS('Input Sheet'!$F$3:$F$1001,'Input Sheet'!$B$3:$B$1001,$H479,'Input Sheet'!$E$3:$E$1001,Q$4))</f>
        <v/>
      </c>
      <c r="R479" s="21" t="str">
        <f>IF(SUMIFS('Input Sheet'!$F$3:$F$1001,'Input Sheet'!$B$3:$B$1001,$H479,'Input Sheet'!$E$3:$E$1001,R$4)=0,"",SUMIFS('Input Sheet'!$F$3:$F$1001,'Input Sheet'!$B$3:$B$1001,$H479,'Input Sheet'!$E$3:$E$1001,R$4))</f>
        <v/>
      </c>
      <c r="S479" s="21" t="str">
        <f>IF(SUMIFS('Input Sheet'!$F$3:$F$1001,'Input Sheet'!$B$3:$B$1001,$H479,'Input Sheet'!$E$3:$E$1001,S$4)=0,"",SUMIFS('Input Sheet'!$F$3:$F$1001,'Input Sheet'!$B$3:$B$1001,$H479,'Input Sheet'!$E$3:$E$1001,S$4))</f>
        <v/>
      </c>
      <c r="T479" s="22">
        <v>474</v>
      </c>
    </row>
    <row r="480" spans="1:20" ht="14.25" customHeight="1" x14ac:dyDescent="0.3">
      <c r="A480" s="4" t="str">
        <f>IF('Input Sheet'!B477=0,"",'Input Sheet'!B477)</f>
        <v/>
      </c>
      <c r="B480" s="24" t="b">
        <f t="shared" si="264"/>
        <v>0</v>
      </c>
      <c r="C480" s="4">
        <f>SUMIF('Input Sheet'!B$3:B$1000,A480,'Input Sheet'!C$3:C$1000)</f>
        <v>0</v>
      </c>
      <c r="D480" s="4">
        <f>SUMIF('Input Sheet'!B$3:B$1000,A480,'Input Sheet'!D$3:D$1000)</f>
        <v>0</v>
      </c>
      <c r="E480" s="4" t="str">
        <f t="shared" ref="E480:F480" ca="1" si="490">IFERROR(RANK(K480,K$6:K$1004,1),"")</f>
        <v/>
      </c>
      <c r="F480" s="4" t="str">
        <f t="shared" ca="1" si="490"/>
        <v/>
      </c>
      <c r="G480" s="4" t="str">
        <f t="shared" ca="1" si="266"/>
        <v/>
      </c>
      <c r="H480" s="4" t="str">
        <f t="shared" si="267"/>
        <v/>
      </c>
      <c r="I480" s="4" t="str">
        <f t="shared" si="268"/>
        <v/>
      </c>
      <c r="J480" s="4" t="str">
        <f t="shared" si="269"/>
        <v/>
      </c>
      <c r="K480" s="25" t="str">
        <f t="shared" ca="1" si="270"/>
        <v/>
      </c>
      <c r="L480" s="21" t="str">
        <f t="shared" ca="1" si="271"/>
        <v/>
      </c>
      <c r="M480" s="21" t="str">
        <f>IF(SUMIFS('Input Sheet'!$F$3:$F$1001,'Input Sheet'!$B$3:$B$1001,$H480,'Input Sheet'!$E$3:$E$1001,M$4)=0,"",SUMIFS('Input Sheet'!$F$3:$F$1001,'Input Sheet'!$B$3:$B$1001,$H480,'Input Sheet'!$E$3:$E$1001,M$4))</f>
        <v/>
      </c>
      <c r="N480" s="21" t="str">
        <f>IF(SUMIFS('Input Sheet'!$F$3:$F$1001,'Input Sheet'!$B$3:$B$1001,$H480,'Input Sheet'!$E$3:$E$1001,N$4)=0,"",SUMIFS('Input Sheet'!$F$3:$F$1001,'Input Sheet'!$B$3:$B$1001,$H480,'Input Sheet'!$E$3:$E$1001,N$4))</f>
        <v/>
      </c>
      <c r="O480" s="21" t="str">
        <f>IF(SUMIFS('Input Sheet'!$F$3:$F$1001,'Input Sheet'!$B$3:$B$1001,$H480,'Input Sheet'!$E$3:$E$1001,O$4)=0,"",SUMIFS('Input Sheet'!$F$3:$F$1001,'Input Sheet'!$B$3:$B$1001,$H480,'Input Sheet'!$E$3:$E$1001,O$4))</f>
        <v/>
      </c>
      <c r="P480" s="21" t="str">
        <f>IF(SUMIFS('Input Sheet'!$F$3:$F$1001,'Input Sheet'!$B$3:$B$1001,$H480,'Input Sheet'!$E$3:$E$1001,P$4)=0,"",SUMIFS('Input Sheet'!$F$3:$F$1001,'Input Sheet'!$B$3:$B$1001,$H480,'Input Sheet'!$E$3:$E$1001,P$4))</f>
        <v/>
      </c>
      <c r="Q480" s="21" t="str">
        <f>IF(SUMIFS('Input Sheet'!$F$3:$F$1001,'Input Sheet'!$B$3:$B$1001,$H480,'Input Sheet'!$E$3:$E$1001,Q$4)=0,"",SUMIFS('Input Sheet'!$F$3:$F$1001,'Input Sheet'!$B$3:$B$1001,$H480,'Input Sheet'!$E$3:$E$1001,Q$4))</f>
        <v/>
      </c>
      <c r="R480" s="21" t="str">
        <f>IF(SUMIFS('Input Sheet'!$F$3:$F$1001,'Input Sheet'!$B$3:$B$1001,$H480,'Input Sheet'!$E$3:$E$1001,R$4)=0,"",SUMIFS('Input Sheet'!$F$3:$F$1001,'Input Sheet'!$B$3:$B$1001,$H480,'Input Sheet'!$E$3:$E$1001,R$4))</f>
        <v/>
      </c>
      <c r="S480" s="21" t="str">
        <f>IF(SUMIFS('Input Sheet'!$F$3:$F$1001,'Input Sheet'!$B$3:$B$1001,$H480,'Input Sheet'!$E$3:$E$1001,S$4)=0,"",SUMIFS('Input Sheet'!$F$3:$F$1001,'Input Sheet'!$B$3:$B$1001,$H480,'Input Sheet'!$E$3:$E$1001,S$4))</f>
        <v/>
      </c>
      <c r="T480" s="22">
        <v>475</v>
      </c>
    </row>
    <row r="481" spans="1:20" ht="14.25" customHeight="1" x14ac:dyDescent="0.3">
      <c r="A481" s="4" t="str">
        <f>IF('Input Sheet'!B478=0,"",'Input Sheet'!B478)</f>
        <v/>
      </c>
      <c r="B481" s="24" t="b">
        <f t="shared" si="264"/>
        <v>0</v>
      </c>
      <c r="C481" s="4">
        <f>SUMIF('Input Sheet'!B$3:B$1000,A481,'Input Sheet'!C$3:C$1000)</f>
        <v>0</v>
      </c>
      <c r="D481" s="4">
        <f>SUMIF('Input Sheet'!B$3:B$1000,A481,'Input Sheet'!D$3:D$1000)</f>
        <v>0</v>
      </c>
      <c r="E481" s="4" t="str">
        <f t="shared" ref="E481:F481" ca="1" si="491">IFERROR(RANK(K481,K$6:K$1004,1),"")</f>
        <v/>
      </c>
      <c r="F481" s="4" t="str">
        <f t="shared" ca="1" si="491"/>
        <v/>
      </c>
      <c r="G481" s="4" t="str">
        <f t="shared" ca="1" si="266"/>
        <v/>
      </c>
      <c r="H481" s="4" t="str">
        <f t="shared" si="267"/>
        <v/>
      </c>
      <c r="I481" s="4" t="str">
        <f t="shared" si="268"/>
        <v/>
      </c>
      <c r="J481" s="4" t="str">
        <f t="shared" si="269"/>
        <v/>
      </c>
      <c r="K481" s="25" t="str">
        <f t="shared" ca="1" si="270"/>
        <v/>
      </c>
      <c r="L481" s="21" t="str">
        <f t="shared" ca="1" si="271"/>
        <v/>
      </c>
      <c r="M481" s="21" t="str">
        <f>IF(SUMIFS('Input Sheet'!$F$3:$F$1001,'Input Sheet'!$B$3:$B$1001,$H481,'Input Sheet'!$E$3:$E$1001,M$4)=0,"",SUMIFS('Input Sheet'!$F$3:$F$1001,'Input Sheet'!$B$3:$B$1001,$H481,'Input Sheet'!$E$3:$E$1001,M$4))</f>
        <v/>
      </c>
      <c r="N481" s="21" t="str">
        <f>IF(SUMIFS('Input Sheet'!$F$3:$F$1001,'Input Sheet'!$B$3:$B$1001,$H481,'Input Sheet'!$E$3:$E$1001,N$4)=0,"",SUMIFS('Input Sheet'!$F$3:$F$1001,'Input Sheet'!$B$3:$B$1001,$H481,'Input Sheet'!$E$3:$E$1001,N$4))</f>
        <v/>
      </c>
      <c r="O481" s="21" t="str">
        <f>IF(SUMIFS('Input Sheet'!$F$3:$F$1001,'Input Sheet'!$B$3:$B$1001,$H481,'Input Sheet'!$E$3:$E$1001,O$4)=0,"",SUMIFS('Input Sheet'!$F$3:$F$1001,'Input Sheet'!$B$3:$B$1001,$H481,'Input Sheet'!$E$3:$E$1001,O$4))</f>
        <v/>
      </c>
      <c r="P481" s="21" t="str">
        <f>IF(SUMIFS('Input Sheet'!$F$3:$F$1001,'Input Sheet'!$B$3:$B$1001,$H481,'Input Sheet'!$E$3:$E$1001,P$4)=0,"",SUMIFS('Input Sheet'!$F$3:$F$1001,'Input Sheet'!$B$3:$B$1001,$H481,'Input Sheet'!$E$3:$E$1001,P$4))</f>
        <v/>
      </c>
      <c r="Q481" s="21" t="str">
        <f>IF(SUMIFS('Input Sheet'!$F$3:$F$1001,'Input Sheet'!$B$3:$B$1001,$H481,'Input Sheet'!$E$3:$E$1001,Q$4)=0,"",SUMIFS('Input Sheet'!$F$3:$F$1001,'Input Sheet'!$B$3:$B$1001,$H481,'Input Sheet'!$E$3:$E$1001,Q$4))</f>
        <v/>
      </c>
      <c r="R481" s="21" t="str">
        <f>IF(SUMIFS('Input Sheet'!$F$3:$F$1001,'Input Sheet'!$B$3:$B$1001,$H481,'Input Sheet'!$E$3:$E$1001,R$4)=0,"",SUMIFS('Input Sheet'!$F$3:$F$1001,'Input Sheet'!$B$3:$B$1001,$H481,'Input Sheet'!$E$3:$E$1001,R$4))</f>
        <v/>
      </c>
      <c r="S481" s="21" t="str">
        <f>IF(SUMIFS('Input Sheet'!$F$3:$F$1001,'Input Sheet'!$B$3:$B$1001,$H481,'Input Sheet'!$E$3:$E$1001,S$4)=0,"",SUMIFS('Input Sheet'!$F$3:$F$1001,'Input Sheet'!$B$3:$B$1001,$H481,'Input Sheet'!$E$3:$E$1001,S$4))</f>
        <v/>
      </c>
      <c r="T481" s="22">
        <v>476</v>
      </c>
    </row>
    <row r="482" spans="1:20" ht="14.25" customHeight="1" x14ac:dyDescent="0.3">
      <c r="A482" s="4" t="str">
        <f>IF('Input Sheet'!B479=0,"",'Input Sheet'!B479)</f>
        <v/>
      </c>
      <c r="B482" s="24" t="b">
        <f t="shared" si="264"/>
        <v>0</v>
      </c>
      <c r="C482" s="4">
        <f>SUMIF('Input Sheet'!B$3:B$1000,A482,'Input Sheet'!C$3:C$1000)</f>
        <v>0</v>
      </c>
      <c r="D482" s="4">
        <f>SUMIF('Input Sheet'!B$3:B$1000,A482,'Input Sheet'!D$3:D$1000)</f>
        <v>0</v>
      </c>
      <c r="E482" s="4" t="str">
        <f t="shared" ref="E482:F482" ca="1" si="492">IFERROR(RANK(K482,K$6:K$1004,1),"")</f>
        <v/>
      </c>
      <c r="F482" s="4" t="str">
        <f t="shared" ca="1" si="492"/>
        <v/>
      </c>
      <c r="G482" s="4" t="str">
        <f t="shared" ca="1" si="266"/>
        <v/>
      </c>
      <c r="H482" s="4" t="str">
        <f t="shared" si="267"/>
        <v/>
      </c>
      <c r="I482" s="4" t="str">
        <f t="shared" si="268"/>
        <v/>
      </c>
      <c r="J482" s="4" t="str">
        <f t="shared" si="269"/>
        <v/>
      </c>
      <c r="K482" s="25" t="str">
        <f t="shared" ca="1" si="270"/>
        <v/>
      </c>
      <c r="L482" s="21" t="str">
        <f t="shared" ca="1" si="271"/>
        <v/>
      </c>
      <c r="M482" s="21" t="str">
        <f>IF(SUMIFS('Input Sheet'!$F$3:$F$1001,'Input Sheet'!$B$3:$B$1001,$H482,'Input Sheet'!$E$3:$E$1001,M$4)=0,"",SUMIFS('Input Sheet'!$F$3:$F$1001,'Input Sheet'!$B$3:$B$1001,$H482,'Input Sheet'!$E$3:$E$1001,M$4))</f>
        <v/>
      </c>
      <c r="N482" s="21" t="str">
        <f>IF(SUMIFS('Input Sheet'!$F$3:$F$1001,'Input Sheet'!$B$3:$B$1001,$H482,'Input Sheet'!$E$3:$E$1001,N$4)=0,"",SUMIFS('Input Sheet'!$F$3:$F$1001,'Input Sheet'!$B$3:$B$1001,$H482,'Input Sheet'!$E$3:$E$1001,N$4))</f>
        <v/>
      </c>
      <c r="O482" s="21" t="str">
        <f>IF(SUMIFS('Input Sheet'!$F$3:$F$1001,'Input Sheet'!$B$3:$B$1001,$H482,'Input Sheet'!$E$3:$E$1001,O$4)=0,"",SUMIFS('Input Sheet'!$F$3:$F$1001,'Input Sheet'!$B$3:$B$1001,$H482,'Input Sheet'!$E$3:$E$1001,O$4))</f>
        <v/>
      </c>
      <c r="P482" s="21" t="str">
        <f>IF(SUMIFS('Input Sheet'!$F$3:$F$1001,'Input Sheet'!$B$3:$B$1001,$H482,'Input Sheet'!$E$3:$E$1001,P$4)=0,"",SUMIFS('Input Sheet'!$F$3:$F$1001,'Input Sheet'!$B$3:$B$1001,$H482,'Input Sheet'!$E$3:$E$1001,P$4))</f>
        <v/>
      </c>
      <c r="Q482" s="21" t="str">
        <f>IF(SUMIFS('Input Sheet'!$F$3:$F$1001,'Input Sheet'!$B$3:$B$1001,$H482,'Input Sheet'!$E$3:$E$1001,Q$4)=0,"",SUMIFS('Input Sheet'!$F$3:$F$1001,'Input Sheet'!$B$3:$B$1001,$H482,'Input Sheet'!$E$3:$E$1001,Q$4))</f>
        <v/>
      </c>
      <c r="R482" s="21" t="str">
        <f>IF(SUMIFS('Input Sheet'!$F$3:$F$1001,'Input Sheet'!$B$3:$B$1001,$H482,'Input Sheet'!$E$3:$E$1001,R$4)=0,"",SUMIFS('Input Sheet'!$F$3:$F$1001,'Input Sheet'!$B$3:$B$1001,$H482,'Input Sheet'!$E$3:$E$1001,R$4))</f>
        <v/>
      </c>
      <c r="S482" s="21" t="str">
        <f>IF(SUMIFS('Input Sheet'!$F$3:$F$1001,'Input Sheet'!$B$3:$B$1001,$H482,'Input Sheet'!$E$3:$E$1001,S$4)=0,"",SUMIFS('Input Sheet'!$F$3:$F$1001,'Input Sheet'!$B$3:$B$1001,$H482,'Input Sheet'!$E$3:$E$1001,S$4))</f>
        <v/>
      </c>
      <c r="T482" s="22">
        <v>477</v>
      </c>
    </row>
    <row r="483" spans="1:20" ht="14.25" customHeight="1" x14ac:dyDescent="0.3">
      <c r="A483" s="4" t="str">
        <f>IF('Input Sheet'!B480=0,"",'Input Sheet'!B480)</f>
        <v/>
      </c>
      <c r="B483" s="24" t="b">
        <f t="shared" si="264"/>
        <v>0</v>
      </c>
      <c r="C483" s="4">
        <f>SUMIF('Input Sheet'!B$3:B$1000,A483,'Input Sheet'!C$3:C$1000)</f>
        <v>0</v>
      </c>
      <c r="D483" s="4">
        <f>SUMIF('Input Sheet'!B$3:B$1000,A483,'Input Sheet'!D$3:D$1000)</f>
        <v>0</v>
      </c>
      <c r="E483" s="4" t="str">
        <f t="shared" ref="E483:F483" ca="1" si="493">IFERROR(RANK(K483,K$6:K$1004,1),"")</f>
        <v/>
      </c>
      <c r="F483" s="4" t="str">
        <f t="shared" ca="1" si="493"/>
        <v/>
      </c>
      <c r="G483" s="4" t="str">
        <f t="shared" ca="1" si="266"/>
        <v/>
      </c>
      <c r="H483" s="4" t="str">
        <f t="shared" si="267"/>
        <v/>
      </c>
      <c r="I483" s="4" t="str">
        <f t="shared" si="268"/>
        <v/>
      </c>
      <c r="J483" s="4" t="str">
        <f t="shared" si="269"/>
        <v/>
      </c>
      <c r="K483" s="25" t="str">
        <f t="shared" ca="1" si="270"/>
        <v/>
      </c>
      <c r="L483" s="21" t="str">
        <f t="shared" ca="1" si="271"/>
        <v/>
      </c>
      <c r="M483" s="21" t="str">
        <f>IF(SUMIFS('Input Sheet'!$F$3:$F$1001,'Input Sheet'!$B$3:$B$1001,$H483,'Input Sheet'!$E$3:$E$1001,M$4)=0,"",SUMIFS('Input Sheet'!$F$3:$F$1001,'Input Sheet'!$B$3:$B$1001,$H483,'Input Sheet'!$E$3:$E$1001,M$4))</f>
        <v/>
      </c>
      <c r="N483" s="21" t="str">
        <f>IF(SUMIFS('Input Sheet'!$F$3:$F$1001,'Input Sheet'!$B$3:$B$1001,$H483,'Input Sheet'!$E$3:$E$1001,N$4)=0,"",SUMIFS('Input Sheet'!$F$3:$F$1001,'Input Sheet'!$B$3:$B$1001,$H483,'Input Sheet'!$E$3:$E$1001,N$4))</f>
        <v/>
      </c>
      <c r="O483" s="21" t="str">
        <f>IF(SUMIFS('Input Sheet'!$F$3:$F$1001,'Input Sheet'!$B$3:$B$1001,$H483,'Input Sheet'!$E$3:$E$1001,O$4)=0,"",SUMIFS('Input Sheet'!$F$3:$F$1001,'Input Sheet'!$B$3:$B$1001,$H483,'Input Sheet'!$E$3:$E$1001,O$4))</f>
        <v/>
      </c>
      <c r="P483" s="21" t="str">
        <f>IF(SUMIFS('Input Sheet'!$F$3:$F$1001,'Input Sheet'!$B$3:$B$1001,$H483,'Input Sheet'!$E$3:$E$1001,P$4)=0,"",SUMIFS('Input Sheet'!$F$3:$F$1001,'Input Sheet'!$B$3:$B$1001,$H483,'Input Sheet'!$E$3:$E$1001,P$4))</f>
        <v/>
      </c>
      <c r="Q483" s="21" t="str">
        <f>IF(SUMIFS('Input Sheet'!$F$3:$F$1001,'Input Sheet'!$B$3:$B$1001,$H483,'Input Sheet'!$E$3:$E$1001,Q$4)=0,"",SUMIFS('Input Sheet'!$F$3:$F$1001,'Input Sheet'!$B$3:$B$1001,$H483,'Input Sheet'!$E$3:$E$1001,Q$4))</f>
        <v/>
      </c>
      <c r="R483" s="21" t="str">
        <f>IF(SUMIFS('Input Sheet'!$F$3:$F$1001,'Input Sheet'!$B$3:$B$1001,$H483,'Input Sheet'!$E$3:$E$1001,R$4)=0,"",SUMIFS('Input Sheet'!$F$3:$F$1001,'Input Sheet'!$B$3:$B$1001,$H483,'Input Sheet'!$E$3:$E$1001,R$4))</f>
        <v/>
      </c>
      <c r="S483" s="21" t="str">
        <f>IF(SUMIFS('Input Sheet'!$F$3:$F$1001,'Input Sheet'!$B$3:$B$1001,$H483,'Input Sheet'!$E$3:$E$1001,S$4)=0,"",SUMIFS('Input Sheet'!$F$3:$F$1001,'Input Sheet'!$B$3:$B$1001,$H483,'Input Sheet'!$E$3:$E$1001,S$4))</f>
        <v/>
      </c>
      <c r="T483" s="22">
        <v>478</v>
      </c>
    </row>
    <row r="484" spans="1:20" ht="14.25" customHeight="1" x14ac:dyDescent="0.3">
      <c r="A484" s="4" t="str">
        <f>IF('Input Sheet'!B481=0,"",'Input Sheet'!B481)</f>
        <v/>
      </c>
      <c r="B484" s="24" t="b">
        <f t="shared" si="264"/>
        <v>0</v>
      </c>
      <c r="C484" s="4">
        <f>SUMIF('Input Sheet'!B$3:B$1000,A484,'Input Sheet'!C$3:C$1000)</f>
        <v>0</v>
      </c>
      <c r="D484" s="4">
        <f>SUMIF('Input Sheet'!B$3:B$1000,A484,'Input Sheet'!D$3:D$1000)</f>
        <v>0</v>
      </c>
      <c r="E484" s="4" t="str">
        <f t="shared" ref="E484:F484" ca="1" si="494">IFERROR(RANK(K484,K$6:K$1004,1),"")</f>
        <v/>
      </c>
      <c r="F484" s="4" t="str">
        <f t="shared" ca="1" si="494"/>
        <v/>
      </c>
      <c r="G484" s="4" t="str">
        <f t="shared" ca="1" si="266"/>
        <v/>
      </c>
      <c r="H484" s="4" t="str">
        <f t="shared" si="267"/>
        <v/>
      </c>
      <c r="I484" s="4" t="str">
        <f t="shared" si="268"/>
        <v/>
      </c>
      <c r="J484" s="4" t="str">
        <f t="shared" si="269"/>
        <v/>
      </c>
      <c r="K484" s="25" t="str">
        <f t="shared" ca="1" si="270"/>
        <v/>
      </c>
      <c r="L484" s="21" t="str">
        <f t="shared" ca="1" si="271"/>
        <v/>
      </c>
      <c r="M484" s="21" t="str">
        <f>IF(SUMIFS('Input Sheet'!$F$3:$F$1001,'Input Sheet'!$B$3:$B$1001,$H484,'Input Sheet'!$E$3:$E$1001,M$4)=0,"",SUMIFS('Input Sheet'!$F$3:$F$1001,'Input Sheet'!$B$3:$B$1001,$H484,'Input Sheet'!$E$3:$E$1001,M$4))</f>
        <v/>
      </c>
      <c r="N484" s="21" t="str">
        <f>IF(SUMIFS('Input Sheet'!$F$3:$F$1001,'Input Sheet'!$B$3:$B$1001,$H484,'Input Sheet'!$E$3:$E$1001,N$4)=0,"",SUMIFS('Input Sheet'!$F$3:$F$1001,'Input Sheet'!$B$3:$B$1001,$H484,'Input Sheet'!$E$3:$E$1001,N$4))</f>
        <v/>
      </c>
      <c r="O484" s="21" t="str">
        <f>IF(SUMIFS('Input Sheet'!$F$3:$F$1001,'Input Sheet'!$B$3:$B$1001,$H484,'Input Sheet'!$E$3:$E$1001,O$4)=0,"",SUMIFS('Input Sheet'!$F$3:$F$1001,'Input Sheet'!$B$3:$B$1001,$H484,'Input Sheet'!$E$3:$E$1001,O$4))</f>
        <v/>
      </c>
      <c r="P484" s="21" t="str">
        <f>IF(SUMIFS('Input Sheet'!$F$3:$F$1001,'Input Sheet'!$B$3:$B$1001,$H484,'Input Sheet'!$E$3:$E$1001,P$4)=0,"",SUMIFS('Input Sheet'!$F$3:$F$1001,'Input Sheet'!$B$3:$B$1001,$H484,'Input Sheet'!$E$3:$E$1001,P$4))</f>
        <v/>
      </c>
      <c r="Q484" s="21" t="str">
        <f>IF(SUMIFS('Input Sheet'!$F$3:$F$1001,'Input Sheet'!$B$3:$B$1001,$H484,'Input Sheet'!$E$3:$E$1001,Q$4)=0,"",SUMIFS('Input Sheet'!$F$3:$F$1001,'Input Sheet'!$B$3:$B$1001,$H484,'Input Sheet'!$E$3:$E$1001,Q$4))</f>
        <v/>
      </c>
      <c r="R484" s="21" t="str">
        <f>IF(SUMIFS('Input Sheet'!$F$3:$F$1001,'Input Sheet'!$B$3:$B$1001,$H484,'Input Sheet'!$E$3:$E$1001,R$4)=0,"",SUMIFS('Input Sheet'!$F$3:$F$1001,'Input Sheet'!$B$3:$B$1001,$H484,'Input Sheet'!$E$3:$E$1001,R$4))</f>
        <v/>
      </c>
      <c r="S484" s="21" t="str">
        <f>IF(SUMIFS('Input Sheet'!$F$3:$F$1001,'Input Sheet'!$B$3:$B$1001,$H484,'Input Sheet'!$E$3:$E$1001,S$4)=0,"",SUMIFS('Input Sheet'!$F$3:$F$1001,'Input Sheet'!$B$3:$B$1001,$H484,'Input Sheet'!$E$3:$E$1001,S$4))</f>
        <v/>
      </c>
      <c r="T484" s="22">
        <v>479</v>
      </c>
    </row>
    <row r="485" spans="1:20" ht="14.25" customHeight="1" x14ac:dyDescent="0.3">
      <c r="A485" s="4" t="str">
        <f>IF('Input Sheet'!B482=0,"",'Input Sheet'!B482)</f>
        <v/>
      </c>
      <c r="B485" s="24" t="b">
        <f t="shared" si="264"/>
        <v>0</v>
      </c>
      <c r="C485" s="4">
        <f>SUMIF('Input Sheet'!B$3:B$1000,A485,'Input Sheet'!C$3:C$1000)</f>
        <v>0</v>
      </c>
      <c r="D485" s="4">
        <f>SUMIF('Input Sheet'!B$3:B$1000,A485,'Input Sheet'!D$3:D$1000)</f>
        <v>0</v>
      </c>
      <c r="E485" s="4" t="str">
        <f t="shared" ref="E485:F485" ca="1" si="495">IFERROR(RANK(K485,K$6:K$1004,1),"")</f>
        <v/>
      </c>
      <c r="F485" s="4" t="str">
        <f t="shared" ca="1" si="495"/>
        <v/>
      </c>
      <c r="G485" s="4" t="str">
        <f t="shared" ca="1" si="266"/>
        <v/>
      </c>
      <c r="H485" s="4" t="str">
        <f t="shared" si="267"/>
        <v/>
      </c>
      <c r="I485" s="4" t="str">
        <f t="shared" si="268"/>
        <v/>
      </c>
      <c r="J485" s="4" t="str">
        <f t="shared" si="269"/>
        <v/>
      </c>
      <c r="K485" s="25" t="str">
        <f t="shared" ca="1" si="270"/>
        <v/>
      </c>
      <c r="L485" s="21" t="str">
        <f t="shared" ca="1" si="271"/>
        <v/>
      </c>
      <c r="M485" s="21" t="str">
        <f>IF(SUMIFS('Input Sheet'!$F$3:$F$1001,'Input Sheet'!$B$3:$B$1001,$H485,'Input Sheet'!$E$3:$E$1001,M$4)=0,"",SUMIFS('Input Sheet'!$F$3:$F$1001,'Input Sheet'!$B$3:$B$1001,$H485,'Input Sheet'!$E$3:$E$1001,M$4))</f>
        <v/>
      </c>
      <c r="N485" s="21" t="str">
        <f>IF(SUMIFS('Input Sheet'!$F$3:$F$1001,'Input Sheet'!$B$3:$B$1001,$H485,'Input Sheet'!$E$3:$E$1001,N$4)=0,"",SUMIFS('Input Sheet'!$F$3:$F$1001,'Input Sheet'!$B$3:$B$1001,$H485,'Input Sheet'!$E$3:$E$1001,N$4))</f>
        <v/>
      </c>
      <c r="O485" s="21" t="str">
        <f>IF(SUMIFS('Input Sheet'!$F$3:$F$1001,'Input Sheet'!$B$3:$B$1001,$H485,'Input Sheet'!$E$3:$E$1001,O$4)=0,"",SUMIFS('Input Sheet'!$F$3:$F$1001,'Input Sheet'!$B$3:$B$1001,$H485,'Input Sheet'!$E$3:$E$1001,O$4))</f>
        <v/>
      </c>
      <c r="P485" s="21" t="str">
        <f>IF(SUMIFS('Input Sheet'!$F$3:$F$1001,'Input Sheet'!$B$3:$B$1001,$H485,'Input Sheet'!$E$3:$E$1001,P$4)=0,"",SUMIFS('Input Sheet'!$F$3:$F$1001,'Input Sheet'!$B$3:$B$1001,$H485,'Input Sheet'!$E$3:$E$1001,P$4))</f>
        <v/>
      </c>
      <c r="Q485" s="21" t="str">
        <f>IF(SUMIFS('Input Sheet'!$F$3:$F$1001,'Input Sheet'!$B$3:$B$1001,$H485,'Input Sheet'!$E$3:$E$1001,Q$4)=0,"",SUMIFS('Input Sheet'!$F$3:$F$1001,'Input Sheet'!$B$3:$B$1001,$H485,'Input Sheet'!$E$3:$E$1001,Q$4))</f>
        <v/>
      </c>
      <c r="R485" s="21" t="str">
        <f>IF(SUMIFS('Input Sheet'!$F$3:$F$1001,'Input Sheet'!$B$3:$B$1001,$H485,'Input Sheet'!$E$3:$E$1001,R$4)=0,"",SUMIFS('Input Sheet'!$F$3:$F$1001,'Input Sheet'!$B$3:$B$1001,$H485,'Input Sheet'!$E$3:$E$1001,R$4))</f>
        <v/>
      </c>
      <c r="S485" s="21" t="str">
        <f>IF(SUMIFS('Input Sheet'!$F$3:$F$1001,'Input Sheet'!$B$3:$B$1001,$H485,'Input Sheet'!$E$3:$E$1001,S$4)=0,"",SUMIFS('Input Sheet'!$F$3:$F$1001,'Input Sheet'!$B$3:$B$1001,$H485,'Input Sheet'!$E$3:$E$1001,S$4))</f>
        <v/>
      </c>
      <c r="T485" s="22">
        <v>480</v>
      </c>
    </row>
    <row r="486" spans="1:20" ht="14.25" customHeight="1" x14ac:dyDescent="0.3">
      <c r="A486" s="4" t="str">
        <f>IF('Input Sheet'!B483=0,"",'Input Sheet'!B483)</f>
        <v/>
      </c>
      <c r="B486" s="24" t="b">
        <f t="shared" si="264"/>
        <v>0</v>
      </c>
      <c r="C486" s="4">
        <f>SUMIF('Input Sheet'!B$3:B$1000,A486,'Input Sheet'!C$3:C$1000)</f>
        <v>0</v>
      </c>
      <c r="D486" s="4">
        <f>SUMIF('Input Sheet'!B$3:B$1000,A486,'Input Sheet'!D$3:D$1000)</f>
        <v>0</v>
      </c>
      <c r="E486" s="4" t="str">
        <f t="shared" ref="E486:F486" ca="1" si="496">IFERROR(RANK(K486,K$6:K$1004,1),"")</f>
        <v/>
      </c>
      <c r="F486" s="4" t="str">
        <f t="shared" ca="1" si="496"/>
        <v/>
      </c>
      <c r="G486" s="4" t="str">
        <f t="shared" ca="1" si="266"/>
        <v/>
      </c>
      <c r="H486" s="4" t="str">
        <f t="shared" si="267"/>
        <v/>
      </c>
      <c r="I486" s="4" t="str">
        <f t="shared" si="268"/>
        <v/>
      </c>
      <c r="J486" s="4" t="str">
        <f t="shared" si="269"/>
        <v/>
      </c>
      <c r="K486" s="25" t="str">
        <f t="shared" ca="1" si="270"/>
        <v/>
      </c>
      <c r="L486" s="21" t="str">
        <f t="shared" ca="1" si="271"/>
        <v/>
      </c>
      <c r="M486" s="21" t="str">
        <f>IF(SUMIFS('Input Sheet'!$F$3:$F$1001,'Input Sheet'!$B$3:$B$1001,$H486,'Input Sheet'!$E$3:$E$1001,M$4)=0,"",SUMIFS('Input Sheet'!$F$3:$F$1001,'Input Sheet'!$B$3:$B$1001,$H486,'Input Sheet'!$E$3:$E$1001,M$4))</f>
        <v/>
      </c>
      <c r="N486" s="21" t="str">
        <f>IF(SUMIFS('Input Sheet'!$F$3:$F$1001,'Input Sheet'!$B$3:$B$1001,$H486,'Input Sheet'!$E$3:$E$1001,N$4)=0,"",SUMIFS('Input Sheet'!$F$3:$F$1001,'Input Sheet'!$B$3:$B$1001,$H486,'Input Sheet'!$E$3:$E$1001,N$4))</f>
        <v/>
      </c>
      <c r="O486" s="21" t="str">
        <f>IF(SUMIFS('Input Sheet'!$F$3:$F$1001,'Input Sheet'!$B$3:$B$1001,$H486,'Input Sheet'!$E$3:$E$1001,O$4)=0,"",SUMIFS('Input Sheet'!$F$3:$F$1001,'Input Sheet'!$B$3:$B$1001,$H486,'Input Sheet'!$E$3:$E$1001,O$4))</f>
        <v/>
      </c>
      <c r="P486" s="21" t="str">
        <f>IF(SUMIFS('Input Sheet'!$F$3:$F$1001,'Input Sheet'!$B$3:$B$1001,$H486,'Input Sheet'!$E$3:$E$1001,P$4)=0,"",SUMIFS('Input Sheet'!$F$3:$F$1001,'Input Sheet'!$B$3:$B$1001,$H486,'Input Sheet'!$E$3:$E$1001,P$4))</f>
        <v/>
      </c>
      <c r="Q486" s="21" t="str">
        <f>IF(SUMIFS('Input Sheet'!$F$3:$F$1001,'Input Sheet'!$B$3:$B$1001,$H486,'Input Sheet'!$E$3:$E$1001,Q$4)=0,"",SUMIFS('Input Sheet'!$F$3:$F$1001,'Input Sheet'!$B$3:$B$1001,$H486,'Input Sheet'!$E$3:$E$1001,Q$4))</f>
        <v/>
      </c>
      <c r="R486" s="21" t="str">
        <f>IF(SUMIFS('Input Sheet'!$F$3:$F$1001,'Input Sheet'!$B$3:$B$1001,$H486,'Input Sheet'!$E$3:$E$1001,R$4)=0,"",SUMIFS('Input Sheet'!$F$3:$F$1001,'Input Sheet'!$B$3:$B$1001,$H486,'Input Sheet'!$E$3:$E$1001,R$4))</f>
        <v/>
      </c>
      <c r="S486" s="21" t="str">
        <f>IF(SUMIFS('Input Sheet'!$F$3:$F$1001,'Input Sheet'!$B$3:$B$1001,$H486,'Input Sheet'!$E$3:$E$1001,S$4)=0,"",SUMIFS('Input Sheet'!$F$3:$F$1001,'Input Sheet'!$B$3:$B$1001,$H486,'Input Sheet'!$E$3:$E$1001,S$4))</f>
        <v/>
      </c>
      <c r="T486" s="22">
        <v>481</v>
      </c>
    </row>
    <row r="487" spans="1:20" ht="14.25" customHeight="1" x14ac:dyDescent="0.3">
      <c r="A487" s="4" t="str">
        <f>IF('Input Sheet'!B484=0,"",'Input Sheet'!B484)</f>
        <v/>
      </c>
      <c r="B487" s="24" t="b">
        <f t="shared" si="264"/>
        <v>0</v>
      </c>
      <c r="C487" s="4">
        <f>SUMIF('Input Sheet'!B$3:B$1000,A487,'Input Sheet'!C$3:C$1000)</f>
        <v>0</v>
      </c>
      <c r="D487" s="4">
        <f>SUMIF('Input Sheet'!B$3:B$1000,A487,'Input Sheet'!D$3:D$1000)</f>
        <v>0</v>
      </c>
      <c r="E487" s="4" t="str">
        <f t="shared" ref="E487:F487" ca="1" si="497">IFERROR(RANK(K487,K$6:K$1004,1),"")</f>
        <v/>
      </c>
      <c r="F487" s="4" t="str">
        <f t="shared" ca="1" si="497"/>
        <v/>
      </c>
      <c r="G487" s="4" t="str">
        <f t="shared" ca="1" si="266"/>
        <v/>
      </c>
      <c r="H487" s="4" t="str">
        <f t="shared" si="267"/>
        <v/>
      </c>
      <c r="I487" s="4" t="str">
        <f t="shared" si="268"/>
        <v/>
      </c>
      <c r="J487" s="4" t="str">
        <f t="shared" si="269"/>
        <v/>
      </c>
      <c r="K487" s="25" t="str">
        <f t="shared" ca="1" si="270"/>
        <v/>
      </c>
      <c r="L487" s="21" t="str">
        <f t="shared" ca="1" si="271"/>
        <v/>
      </c>
      <c r="M487" s="21" t="str">
        <f>IF(SUMIFS('Input Sheet'!$F$3:$F$1001,'Input Sheet'!$B$3:$B$1001,$H487,'Input Sheet'!$E$3:$E$1001,M$4)=0,"",SUMIFS('Input Sheet'!$F$3:$F$1001,'Input Sheet'!$B$3:$B$1001,$H487,'Input Sheet'!$E$3:$E$1001,M$4))</f>
        <v/>
      </c>
      <c r="N487" s="21" t="str">
        <f>IF(SUMIFS('Input Sheet'!$F$3:$F$1001,'Input Sheet'!$B$3:$B$1001,$H487,'Input Sheet'!$E$3:$E$1001,N$4)=0,"",SUMIFS('Input Sheet'!$F$3:$F$1001,'Input Sheet'!$B$3:$B$1001,$H487,'Input Sheet'!$E$3:$E$1001,N$4))</f>
        <v/>
      </c>
      <c r="O487" s="21" t="str">
        <f>IF(SUMIFS('Input Sheet'!$F$3:$F$1001,'Input Sheet'!$B$3:$B$1001,$H487,'Input Sheet'!$E$3:$E$1001,O$4)=0,"",SUMIFS('Input Sheet'!$F$3:$F$1001,'Input Sheet'!$B$3:$B$1001,$H487,'Input Sheet'!$E$3:$E$1001,O$4))</f>
        <v/>
      </c>
      <c r="P487" s="21" t="str">
        <f>IF(SUMIFS('Input Sheet'!$F$3:$F$1001,'Input Sheet'!$B$3:$B$1001,$H487,'Input Sheet'!$E$3:$E$1001,P$4)=0,"",SUMIFS('Input Sheet'!$F$3:$F$1001,'Input Sheet'!$B$3:$B$1001,$H487,'Input Sheet'!$E$3:$E$1001,P$4))</f>
        <v/>
      </c>
      <c r="Q487" s="21" t="str">
        <f>IF(SUMIFS('Input Sheet'!$F$3:$F$1001,'Input Sheet'!$B$3:$B$1001,$H487,'Input Sheet'!$E$3:$E$1001,Q$4)=0,"",SUMIFS('Input Sheet'!$F$3:$F$1001,'Input Sheet'!$B$3:$B$1001,$H487,'Input Sheet'!$E$3:$E$1001,Q$4))</f>
        <v/>
      </c>
      <c r="R487" s="21" t="str">
        <f>IF(SUMIFS('Input Sheet'!$F$3:$F$1001,'Input Sheet'!$B$3:$B$1001,$H487,'Input Sheet'!$E$3:$E$1001,R$4)=0,"",SUMIFS('Input Sheet'!$F$3:$F$1001,'Input Sheet'!$B$3:$B$1001,$H487,'Input Sheet'!$E$3:$E$1001,R$4))</f>
        <v/>
      </c>
      <c r="S487" s="21" t="str">
        <f>IF(SUMIFS('Input Sheet'!$F$3:$F$1001,'Input Sheet'!$B$3:$B$1001,$H487,'Input Sheet'!$E$3:$E$1001,S$4)=0,"",SUMIFS('Input Sheet'!$F$3:$F$1001,'Input Sheet'!$B$3:$B$1001,$H487,'Input Sheet'!$E$3:$E$1001,S$4))</f>
        <v/>
      </c>
      <c r="T487" s="22">
        <v>482</v>
      </c>
    </row>
    <row r="488" spans="1:20" ht="14.25" customHeight="1" x14ac:dyDescent="0.3">
      <c r="A488" s="4" t="str">
        <f>IF('Input Sheet'!B485=0,"",'Input Sheet'!B485)</f>
        <v/>
      </c>
      <c r="B488" s="24" t="b">
        <f t="shared" si="264"/>
        <v>0</v>
      </c>
      <c r="C488" s="4">
        <f>SUMIF('Input Sheet'!B$3:B$1000,A488,'Input Sheet'!C$3:C$1000)</f>
        <v>0</v>
      </c>
      <c r="D488" s="4">
        <f>SUMIF('Input Sheet'!B$3:B$1000,A488,'Input Sheet'!D$3:D$1000)</f>
        <v>0</v>
      </c>
      <c r="E488" s="4" t="str">
        <f t="shared" ref="E488:F488" ca="1" si="498">IFERROR(RANK(K488,K$6:K$1004,1),"")</f>
        <v/>
      </c>
      <c r="F488" s="4" t="str">
        <f t="shared" ca="1" si="498"/>
        <v/>
      </c>
      <c r="G488" s="4" t="str">
        <f t="shared" ca="1" si="266"/>
        <v/>
      </c>
      <c r="H488" s="4" t="str">
        <f t="shared" si="267"/>
        <v/>
      </c>
      <c r="I488" s="4" t="str">
        <f t="shared" si="268"/>
        <v/>
      </c>
      <c r="J488" s="4" t="str">
        <f t="shared" si="269"/>
        <v/>
      </c>
      <c r="K488" s="25" t="str">
        <f t="shared" ca="1" si="270"/>
        <v/>
      </c>
      <c r="L488" s="21" t="str">
        <f t="shared" ca="1" si="271"/>
        <v/>
      </c>
      <c r="M488" s="21" t="str">
        <f>IF(SUMIFS('Input Sheet'!$F$3:$F$1001,'Input Sheet'!$B$3:$B$1001,$H488,'Input Sheet'!$E$3:$E$1001,M$4)=0,"",SUMIFS('Input Sheet'!$F$3:$F$1001,'Input Sheet'!$B$3:$B$1001,$H488,'Input Sheet'!$E$3:$E$1001,M$4))</f>
        <v/>
      </c>
      <c r="N488" s="21" t="str">
        <f>IF(SUMIFS('Input Sheet'!$F$3:$F$1001,'Input Sheet'!$B$3:$B$1001,$H488,'Input Sheet'!$E$3:$E$1001,N$4)=0,"",SUMIFS('Input Sheet'!$F$3:$F$1001,'Input Sheet'!$B$3:$B$1001,$H488,'Input Sheet'!$E$3:$E$1001,N$4))</f>
        <v/>
      </c>
      <c r="O488" s="21" t="str">
        <f>IF(SUMIFS('Input Sheet'!$F$3:$F$1001,'Input Sheet'!$B$3:$B$1001,$H488,'Input Sheet'!$E$3:$E$1001,O$4)=0,"",SUMIFS('Input Sheet'!$F$3:$F$1001,'Input Sheet'!$B$3:$B$1001,$H488,'Input Sheet'!$E$3:$E$1001,O$4))</f>
        <v/>
      </c>
      <c r="P488" s="21" t="str">
        <f>IF(SUMIFS('Input Sheet'!$F$3:$F$1001,'Input Sheet'!$B$3:$B$1001,$H488,'Input Sheet'!$E$3:$E$1001,P$4)=0,"",SUMIFS('Input Sheet'!$F$3:$F$1001,'Input Sheet'!$B$3:$B$1001,$H488,'Input Sheet'!$E$3:$E$1001,P$4))</f>
        <v/>
      </c>
      <c r="Q488" s="21" t="str">
        <f>IF(SUMIFS('Input Sheet'!$F$3:$F$1001,'Input Sheet'!$B$3:$B$1001,$H488,'Input Sheet'!$E$3:$E$1001,Q$4)=0,"",SUMIFS('Input Sheet'!$F$3:$F$1001,'Input Sheet'!$B$3:$B$1001,$H488,'Input Sheet'!$E$3:$E$1001,Q$4))</f>
        <v/>
      </c>
      <c r="R488" s="21" t="str">
        <f>IF(SUMIFS('Input Sheet'!$F$3:$F$1001,'Input Sheet'!$B$3:$B$1001,$H488,'Input Sheet'!$E$3:$E$1001,R$4)=0,"",SUMIFS('Input Sheet'!$F$3:$F$1001,'Input Sheet'!$B$3:$B$1001,$H488,'Input Sheet'!$E$3:$E$1001,R$4))</f>
        <v/>
      </c>
      <c r="S488" s="21" t="str">
        <f>IF(SUMIFS('Input Sheet'!$F$3:$F$1001,'Input Sheet'!$B$3:$B$1001,$H488,'Input Sheet'!$E$3:$E$1001,S$4)=0,"",SUMIFS('Input Sheet'!$F$3:$F$1001,'Input Sheet'!$B$3:$B$1001,$H488,'Input Sheet'!$E$3:$E$1001,S$4))</f>
        <v/>
      </c>
      <c r="T488" s="22">
        <v>483</v>
      </c>
    </row>
    <row r="489" spans="1:20" ht="14.25" customHeight="1" x14ac:dyDescent="0.3">
      <c r="A489" s="4" t="str">
        <f>IF('Input Sheet'!B486=0,"",'Input Sheet'!B486)</f>
        <v/>
      </c>
      <c r="B489" s="24" t="b">
        <f t="shared" si="264"/>
        <v>0</v>
      </c>
      <c r="C489" s="4">
        <f>SUMIF('Input Sheet'!B$3:B$1000,A489,'Input Sheet'!C$3:C$1000)</f>
        <v>0</v>
      </c>
      <c r="D489" s="4">
        <f>SUMIF('Input Sheet'!B$3:B$1000,A489,'Input Sheet'!D$3:D$1000)</f>
        <v>0</v>
      </c>
      <c r="E489" s="4" t="str">
        <f t="shared" ref="E489:F489" ca="1" si="499">IFERROR(RANK(K489,K$6:K$1004,1),"")</f>
        <v/>
      </c>
      <c r="F489" s="4" t="str">
        <f t="shared" ca="1" si="499"/>
        <v/>
      </c>
      <c r="G489" s="4" t="str">
        <f t="shared" ca="1" si="266"/>
        <v/>
      </c>
      <c r="H489" s="4" t="str">
        <f t="shared" si="267"/>
        <v/>
      </c>
      <c r="I489" s="4" t="str">
        <f t="shared" si="268"/>
        <v/>
      </c>
      <c r="J489" s="4" t="str">
        <f t="shared" si="269"/>
        <v/>
      </c>
      <c r="K489" s="25" t="str">
        <f t="shared" ca="1" si="270"/>
        <v/>
      </c>
      <c r="L489" s="21" t="str">
        <f t="shared" ca="1" si="271"/>
        <v/>
      </c>
      <c r="M489" s="21" t="str">
        <f>IF(SUMIFS('Input Sheet'!$F$3:$F$1001,'Input Sheet'!$B$3:$B$1001,$H489,'Input Sheet'!$E$3:$E$1001,M$4)=0,"",SUMIFS('Input Sheet'!$F$3:$F$1001,'Input Sheet'!$B$3:$B$1001,$H489,'Input Sheet'!$E$3:$E$1001,M$4))</f>
        <v/>
      </c>
      <c r="N489" s="21" t="str">
        <f>IF(SUMIFS('Input Sheet'!$F$3:$F$1001,'Input Sheet'!$B$3:$B$1001,$H489,'Input Sheet'!$E$3:$E$1001,N$4)=0,"",SUMIFS('Input Sheet'!$F$3:$F$1001,'Input Sheet'!$B$3:$B$1001,$H489,'Input Sheet'!$E$3:$E$1001,N$4))</f>
        <v/>
      </c>
      <c r="O489" s="21" t="str">
        <f>IF(SUMIFS('Input Sheet'!$F$3:$F$1001,'Input Sheet'!$B$3:$B$1001,$H489,'Input Sheet'!$E$3:$E$1001,O$4)=0,"",SUMIFS('Input Sheet'!$F$3:$F$1001,'Input Sheet'!$B$3:$B$1001,$H489,'Input Sheet'!$E$3:$E$1001,O$4))</f>
        <v/>
      </c>
      <c r="P489" s="21" t="str">
        <f>IF(SUMIFS('Input Sheet'!$F$3:$F$1001,'Input Sheet'!$B$3:$B$1001,$H489,'Input Sheet'!$E$3:$E$1001,P$4)=0,"",SUMIFS('Input Sheet'!$F$3:$F$1001,'Input Sheet'!$B$3:$B$1001,$H489,'Input Sheet'!$E$3:$E$1001,P$4))</f>
        <v/>
      </c>
      <c r="Q489" s="21" t="str">
        <f>IF(SUMIFS('Input Sheet'!$F$3:$F$1001,'Input Sheet'!$B$3:$B$1001,$H489,'Input Sheet'!$E$3:$E$1001,Q$4)=0,"",SUMIFS('Input Sheet'!$F$3:$F$1001,'Input Sheet'!$B$3:$B$1001,$H489,'Input Sheet'!$E$3:$E$1001,Q$4))</f>
        <v/>
      </c>
      <c r="R489" s="21" t="str">
        <f>IF(SUMIFS('Input Sheet'!$F$3:$F$1001,'Input Sheet'!$B$3:$B$1001,$H489,'Input Sheet'!$E$3:$E$1001,R$4)=0,"",SUMIFS('Input Sheet'!$F$3:$F$1001,'Input Sheet'!$B$3:$B$1001,$H489,'Input Sheet'!$E$3:$E$1001,R$4))</f>
        <v/>
      </c>
      <c r="S489" s="21" t="str">
        <f>IF(SUMIFS('Input Sheet'!$F$3:$F$1001,'Input Sheet'!$B$3:$B$1001,$H489,'Input Sheet'!$E$3:$E$1001,S$4)=0,"",SUMIFS('Input Sheet'!$F$3:$F$1001,'Input Sheet'!$B$3:$B$1001,$H489,'Input Sheet'!$E$3:$E$1001,S$4))</f>
        <v/>
      </c>
      <c r="T489" s="22">
        <v>484</v>
      </c>
    </row>
    <row r="490" spans="1:20" ht="14.25" customHeight="1" x14ac:dyDescent="0.3">
      <c r="A490" s="4" t="str">
        <f>IF('Input Sheet'!B487=0,"",'Input Sheet'!B487)</f>
        <v/>
      </c>
      <c r="B490" s="24" t="b">
        <f t="shared" si="264"/>
        <v>0</v>
      </c>
      <c r="C490" s="4">
        <f>SUMIF('Input Sheet'!B$3:B$1000,A490,'Input Sheet'!C$3:C$1000)</f>
        <v>0</v>
      </c>
      <c r="D490" s="4">
        <f>SUMIF('Input Sheet'!B$3:B$1000,A490,'Input Sheet'!D$3:D$1000)</f>
        <v>0</v>
      </c>
      <c r="E490" s="4" t="str">
        <f t="shared" ref="E490:F490" ca="1" si="500">IFERROR(RANK(K490,K$6:K$1004,1),"")</f>
        <v/>
      </c>
      <c r="F490" s="4" t="str">
        <f t="shared" ca="1" si="500"/>
        <v/>
      </c>
      <c r="G490" s="4" t="str">
        <f t="shared" ca="1" si="266"/>
        <v/>
      </c>
      <c r="H490" s="4" t="str">
        <f t="shared" si="267"/>
        <v/>
      </c>
      <c r="I490" s="4" t="str">
        <f t="shared" si="268"/>
        <v/>
      </c>
      <c r="J490" s="4" t="str">
        <f t="shared" si="269"/>
        <v/>
      </c>
      <c r="K490" s="25" t="str">
        <f t="shared" ca="1" si="270"/>
        <v/>
      </c>
      <c r="L490" s="21" t="str">
        <f t="shared" ca="1" si="271"/>
        <v/>
      </c>
      <c r="M490" s="21" t="str">
        <f>IF(SUMIFS('Input Sheet'!$F$3:$F$1001,'Input Sheet'!$B$3:$B$1001,$H490,'Input Sheet'!$E$3:$E$1001,M$4)=0,"",SUMIFS('Input Sheet'!$F$3:$F$1001,'Input Sheet'!$B$3:$B$1001,$H490,'Input Sheet'!$E$3:$E$1001,M$4))</f>
        <v/>
      </c>
      <c r="N490" s="21" t="str">
        <f>IF(SUMIFS('Input Sheet'!$F$3:$F$1001,'Input Sheet'!$B$3:$B$1001,$H490,'Input Sheet'!$E$3:$E$1001,N$4)=0,"",SUMIFS('Input Sheet'!$F$3:$F$1001,'Input Sheet'!$B$3:$B$1001,$H490,'Input Sheet'!$E$3:$E$1001,N$4))</f>
        <v/>
      </c>
      <c r="O490" s="21" t="str">
        <f>IF(SUMIFS('Input Sheet'!$F$3:$F$1001,'Input Sheet'!$B$3:$B$1001,$H490,'Input Sheet'!$E$3:$E$1001,O$4)=0,"",SUMIFS('Input Sheet'!$F$3:$F$1001,'Input Sheet'!$B$3:$B$1001,$H490,'Input Sheet'!$E$3:$E$1001,O$4))</f>
        <v/>
      </c>
      <c r="P490" s="21" t="str">
        <f>IF(SUMIFS('Input Sheet'!$F$3:$F$1001,'Input Sheet'!$B$3:$B$1001,$H490,'Input Sheet'!$E$3:$E$1001,P$4)=0,"",SUMIFS('Input Sheet'!$F$3:$F$1001,'Input Sheet'!$B$3:$B$1001,$H490,'Input Sheet'!$E$3:$E$1001,P$4))</f>
        <v/>
      </c>
      <c r="Q490" s="21" t="str">
        <f>IF(SUMIFS('Input Sheet'!$F$3:$F$1001,'Input Sheet'!$B$3:$B$1001,$H490,'Input Sheet'!$E$3:$E$1001,Q$4)=0,"",SUMIFS('Input Sheet'!$F$3:$F$1001,'Input Sheet'!$B$3:$B$1001,$H490,'Input Sheet'!$E$3:$E$1001,Q$4))</f>
        <v/>
      </c>
      <c r="R490" s="21" t="str">
        <f>IF(SUMIFS('Input Sheet'!$F$3:$F$1001,'Input Sheet'!$B$3:$B$1001,$H490,'Input Sheet'!$E$3:$E$1001,R$4)=0,"",SUMIFS('Input Sheet'!$F$3:$F$1001,'Input Sheet'!$B$3:$B$1001,$H490,'Input Sheet'!$E$3:$E$1001,R$4))</f>
        <v/>
      </c>
      <c r="S490" s="21" t="str">
        <f>IF(SUMIFS('Input Sheet'!$F$3:$F$1001,'Input Sheet'!$B$3:$B$1001,$H490,'Input Sheet'!$E$3:$E$1001,S$4)=0,"",SUMIFS('Input Sheet'!$F$3:$F$1001,'Input Sheet'!$B$3:$B$1001,$H490,'Input Sheet'!$E$3:$E$1001,S$4))</f>
        <v/>
      </c>
      <c r="T490" s="22">
        <v>485</v>
      </c>
    </row>
    <row r="491" spans="1:20" ht="14.25" customHeight="1" x14ac:dyDescent="0.3">
      <c r="A491" s="4" t="str">
        <f>IF('Input Sheet'!B488=0,"",'Input Sheet'!B488)</f>
        <v/>
      </c>
      <c r="B491" s="24" t="b">
        <f t="shared" si="264"/>
        <v>0</v>
      </c>
      <c r="C491" s="4">
        <f>SUMIF('Input Sheet'!B$3:B$1000,A491,'Input Sheet'!C$3:C$1000)</f>
        <v>0</v>
      </c>
      <c r="D491" s="4">
        <f>SUMIF('Input Sheet'!B$3:B$1000,A491,'Input Sheet'!D$3:D$1000)</f>
        <v>0</v>
      </c>
      <c r="E491" s="4" t="str">
        <f t="shared" ref="E491:F491" ca="1" si="501">IFERROR(RANK(K491,K$6:K$1004,1),"")</f>
        <v/>
      </c>
      <c r="F491" s="4" t="str">
        <f t="shared" ca="1" si="501"/>
        <v/>
      </c>
      <c r="G491" s="4" t="str">
        <f t="shared" ca="1" si="266"/>
        <v/>
      </c>
      <c r="H491" s="4" t="str">
        <f t="shared" si="267"/>
        <v/>
      </c>
      <c r="I491" s="4" t="str">
        <f t="shared" si="268"/>
        <v/>
      </c>
      <c r="J491" s="4" t="str">
        <f t="shared" si="269"/>
        <v/>
      </c>
      <c r="K491" s="25" t="str">
        <f t="shared" ca="1" si="270"/>
        <v/>
      </c>
      <c r="L491" s="21" t="str">
        <f t="shared" ca="1" si="271"/>
        <v/>
      </c>
      <c r="M491" s="21" t="str">
        <f>IF(SUMIFS('Input Sheet'!$F$3:$F$1001,'Input Sheet'!$B$3:$B$1001,$H491,'Input Sheet'!$E$3:$E$1001,M$4)=0,"",SUMIFS('Input Sheet'!$F$3:$F$1001,'Input Sheet'!$B$3:$B$1001,$H491,'Input Sheet'!$E$3:$E$1001,M$4))</f>
        <v/>
      </c>
      <c r="N491" s="21" t="str">
        <f>IF(SUMIFS('Input Sheet'!$F$3:$F$1001,'Input Sheet'!$B$3:$B$1001,$H491,'Input Sheet'!$E$3:$E$1001,N$4)=0,"",SUMIFS('Input Sheet'!$F$3:$F$1001,'Input Sheet'!$B$3:$B$1001,$H491,'Input Sheet'!$E$3:$E$1001,N$4))</f>
        <v/>
      </c>
      <c r="O491" s="21" t="str">
        <f>IF(SUMIFS('Input Sheet'!$F$3:$F$1001,'Input Sheet'!$B$3:$B$1001,$H491,'Input Sheet'!$E$3:$E$1001,O$4)=0,"",SUMIFS('Input Sheet'!$F$3:$F$1001,'Input Sheet'!$B$3:$B$1001,$H491,'Input Sheet'!$E$3:$E$1001,O$4))</f>
        <v/>
      </c>
      <c r="P491" s="21" t="str">
        <f>IF(SUMIFS('Input Sheet'!$F$3:$F$1001,'Input Sheet'!$B$3:$B$1001,$H491,'Input Sheet'!$E$3:$E$1001,P$4)=0,"",SUMIFS('Input Sheet'!$F$3:$F$1001,'Input Sheet'!$B$3:$B$1001,$H491,'Input Sheet'!$E$3:$E$1001,P$4))</f>
        <v/>
      </c>
      <c r="Q491" s="21" t="str">
        <f>IF(SUMIFS('Input Sheet'!$F$3:$F$1001,'Input Sheet'!$B$3:$B$1001,$H491,'Input Sheet'!$E$3:$E$1001,Q$4)=0,"",SUMIFS('Input Sheet'!$F$3:$F$1001,'Input Sheet'!$B$3:$B$1001,$H491,'Input Sheet'!$E$3:$E$1001,Q$4))</f>
        <v/>
      </c>
      <c r="R491" s="21" t="str">
        <f>IF(SUMIFS('Input Sheet'!$F$3:$F$1001,'Input Sheet'!$B$3:$B$1001,$H491,'Input Sheet'!$E$3:$E$1001,R$4)=0,"",SUMIFS('Input Sheet'!$F$3:$F$1001,'Input Sheet'!$B$3:$B$1001,$H491,'Input Sheet'!$E$3:$E$1001,R$4))</f>
        <v/>
      </c>
      <c r="S491" s="21" t="str">
        <f>IF(SUMIFS('Input Sheet'!$F$3:$F$1001,'Input Sheet'!$B$3:$B$1001,$H491,'Input Sheet'!$E$3:$E$1001,S$4)=0,"",SUMIFS('Input Sheet'!$F$3:$F$1001,'Input Sheet'!$B$3:$B$1001,$H491,'Input Sheet'!$E$3:$E$1001,S$4))</f>
        <v/>
      </c>
      <c r="T491" s="22">
        <v>486</v>
      </c>
    </row>
    <row r="492" spans="1:20" ht="14.25" customHeight="1" x14ac:dyDescent="0.3">
      <c r="A492" s="4" t="str">
        <f>IF('Input Sheet'!B489=0,"",'Input Sheet'!B489)</f>
        <v/>
      </c>
      <c r="B492" s="24" t="b">
        <f t="shared" si="264"/>
        <v>0</v>
      </c>
      <c r="C492" s="4">
        <f>SUMIF('Input Sheet'!B$3:B$1000,A492,'Input Sheet'!C$3:C$1000)</f>
        <v>0</v>
      </c>
      <c r="D492" s="4">
        <f>SUMIF('Input Sheet'!B$3:B$1000,A492,'Input Sheet'!D$3:D$1000)</f>
        <v>0</v>
      </c>
      <c r="E492" s="4" t="str">
        <f t="shared" ref="E492:F492" ca="1" si="502">IFERROR(RANK(K492,K$6:K$1004,1),"")</f>
        <v/>
      </c>
      <c r="F492" s="4" t="str">
        <f t="shared" ca="1" si="502"/>
        <v/>
      </c>
      <c r="G492" s="4" t="str">
        <f t="shared" ca="1" si="266"/>
        <v/>
      </c>
      <c r="H492" s="4" t="str">
        <f t="shared" si="267"/>
        <v/>
      </c>
      <c r="I492" s="4" t="str">
        <f t="shared" si="268"/>
        <v/>
      </c>
      <c r="J492" s="4" t="str">
        <f t="shared" si="269"/>
        <v/>
      </c>
      <c r="K492" s="25" t="str">
        <f t="shared" ca="1" si="270"/>
        <v/>
      </c>
      <c r="L492" s="21" t="str">
        <f t="shared" ca="1" si="271"/>
        <v/>
      </c>
      <c r="M492" s="21" t="str">
        <f>IF(SUMIFS('Input Sheet'!$F$3:$F$1001,'Input Sheet'!$B$3:$B$1001,$H492,'Input Sheet'!$E$3:$E$1001,M$4)=0,"",SUMIFS('Input Sheet'!$F$3:$F$1001,'Input Sheet'!$B$3:$B$1001,$H492,'Input Sheet'!$E$3:$E$1001,M$4))</f>
        <v/>
      </c>
      <c r="N492" s="21" t="str">
        <f>IF(SUMIFS('Input Sheet'!$F$3:$F$1001,'Input Sheet'!$B$3:$B$1001,$H492,'Input Sheet'!$E$3:$E$1001,N$4)=0,"",SUMIFS('Input Sheet'!$F$3:$F$1001,'Input Sheet'!$B$3:$B$1001,$H492,'Input Sheet'!$E$3:$E$1001,N$4))</f>
        <v/>
      </c>
      <c r="O492" s="21" t="str">
        <f>IF(SUMIFS('Input Sheet'!$F$3:$F$1001,'Input Sheet'!$B$3:$B$1001,$H492,'Input Sheet'!$E$3:$E$1001,O$4)=0,"",SUMIFS('Input Sheet'!$F$3:$F$1001,'Input Sheet'!$B$3:$B$1001,$H492,'Input Sheet'!$E$3:$E$1001,O$4))</f>
        <v/>
      </c>
      <c r="P492" s="21" t="str">
        <f>IF(SUMIFS('Input Sheet'!$F$3:$F$1001,'Input Sheet'!$B$3:$B$1001,$H492,'Input Sheet'!$E$3:$E$1001,P$4)=0,"",SUMIFS('Input Sheet'!$F$3:$F$1001,'Input Sheet'!$B$3:$B$1001,$H492,'Input Sheet'!$E$3:$E$1001,P$4))</f>
        <v/>
      </c>
      <c r="Q492" s="21" t="str">
        <f>IF(SUMIFS('Input Sheet'!$F$3:$F$1001,'Input Sheet'!$B$3:$B$1001,$H492,'Input Sheet'!$E$3:$E$1001,Q$4)=0,"",SUMIFS('Input Sheet'!$F$3:$F$1001,'Input Sheet'!$B$3:$B$1001,$H492,'Input Sheet'!$E$3:$E$1001,Q$4))</f>
        <v/>
      </c>
      <c r="R492" s="21" t="str">
        <f>IF(SUMIFS('Input Sheet'!$F$3:$F$1001,'Input Sheet'!$B$3:$B$1001,$H492,'Input Sheet'!$E$3:$E$1001,R$4)=0,"",SUMIFS('Input Sheet'!$F$3:$F$1001,'Input Sheet'!$B$3:$B$1001,$H492,'Input Sheet'!$E$3:$E$1001,R$4))</f>
        <v/>
      </c>
      <c r="S492" s="21" t="str">
        <f>IF(SUMIFS('Input Sheet'!$F$3:$F$1001,'Input Sheet'!$B$3:$B$1001,$H492,'Input Sheet'!$E$3:$E$1001,S$4)=0,"",SUMIFS('Input Sheet'!$F$3:$F$1001,'Input Sheet'!$B$3:$B$1001,$H492,'Input Sheet'!$E$3:$E$1001,S$4))</f>
        <v/>
      </c>
      <c r="T492" s="22">
        <v>487</v>
      </c>
    </row>
    <row r="493" spans="1:20" ht="14.25" customHeight="1" x14ac:dyDescent="0.3">
      <c r="A493" s="4" t="str">
        <f>IF('Input Sheet'!B490=0,"",'Input Sheet'!B490)</f>
        <v/>
      </c>
      <c r="B493" s="24" t="b">
        <f t="shared" si="264"/>
        <v>0</v>
      </c>
      <c r="C493" s="4">
        <f>SUMIF('Input Sheet'!B$3:B$1000,A493,'Input Sheet'!C$3:C$1000)</f>
        <v>0</v>
      </c>
      <c r="D493" s="4">
        <f>SUMIF('Input Sheet'!B$3:B$1000,A493,'Input Sheet'!D$3:D$1000)</f>
        <v>0</v>
      </c>
      <c r="E493" s="4" t="str">
        <f t="shared" ref="E493:F493" ca="1" si="503">IFERROR(RANK(K493,K$6:K$1004,1),"")</f>
        <v/>
      </c>
      <c r="F493" s="4" t="str">
        <f t="shared" ca="1" si="503"/>
        <v/>
      </c>
      <c r="G493" s="4" t="str">
        <f t="shared" ca="1" si="266"/>
        <v/>
      </c>
      <c r="H493" s="4" t="str">
        <f t="shared" si="267"/>
        <v/>
      </c>
      <c r="I493" s="4" t="str">
        <f t="shared" si="268"/>
        <v/>
      </c>
      <c r="J493" s="4" t="str">
        <f t="shared" si="269"/>
        <v/>
      </c>
      <c r="K493" s="25" t="str">
        <f t="shared" ca="1" si="270"/>
        <v/>
      </c>
      <c r="L493" s="21" t="str">
        <f t="shared" ca="1" si="271"/>
        <v/>
      </c>
      <c r="M493" s="21" t="str">
        <f>IF(SUMIFS('Input Sheet'!$F$3:$F$1001,'Input Sheet'!$B$3:$B$1001,$H493,'Input Sheet'!$E$3:$E$1001,M$4)=0,"",SUMIFS('Input Sheet'!$F$3:$F$1001,'Input Sheet'!$B$3:$B$1001,$H493,'Input Sheet'!$E$3:$E$1001,M$4))</f>
        <v/>
      </c>
      <c r="N493" s="21" t="str">
        <f>IF(SUMIFS('Input Sheet'!$F$3:$F$1001,'Input Sheet'!$B$3:$B$1001,$H493,'Input Sheet'!$E$3:$E$1001,N$4)=0,"",SUMIFS('Input Sheet'!$F$3:$F$1001,'Input Sheet'!$B$3:$B$1001,$H493,'Input Sheet'!$E$3:$E$1001,N$4))</f>
        <v/>
      </c>
      <c r="O493" s="21" t="str">
        <f>IF(SUMIFS('Input Sheet'!$F$3:$F$1001,'Input Sheet'!$B$3:$B$1001,$H493,'Input Sheet'!$E$3:$E$1001,O$4)=0,"",SUMIFS('Input Sheet'!$F$3:$F$1001,'Input Sheet'!$B$3:$B$1001,$H493,'Input Sheet'!$E$3:$E$1001,O$4))</f>
        <v/>
      </c>
      <c r="P493" s="21" t="str">
        <f>IF(SUMIFS('Input Sheet'!$F$3:$F$1001,'Input Sheet'!$B$3:$B$1001,$H493,'Input Sheet'!$E$3:$E$1001,P$4)=0,"",SUMIFS('Input Sheet'!$F$3:$F$1001,'Input Sheet'!$B$3:$B$1001,$H493,'Input Sheet'!$E$3:$E$1001,P$4))</f>
        <v/>
      </c>
      <c r="Q493" s="21" t="str">
        <f>IF(SUMIFS('Input Sheet'!$F$3:$F$1001,'Input Sheet'!$B$3:$B$1001,$H493,'Input Sheet'!$E$3:$E$1001,Q$4)=0,"",SUMIFS('Input Sheet'!$F$3:$F$1001,'Input Sheet'!$B$3:$B$1001,$H493,'Input Sheet'!$E$3:$E$1001,Q$4))</f>
        <v/>
      </c>
      <c r="R493" s="21" t="str">
        <f>IF(SUMIFS('Input Sheet'!$F$3:$F$1001,'Input Sheet'!$B$3:$B$1001,$H493,'Input Sheet'!$E$3:$E$1001,R$4)=0,"",SUMIFS('Input Sheet'!$F$3:$F$1001,'Input Sheet'!$B$3:$B$1001,$H493,'Input Sheet'!$E$3:$E$1001,R$4))</f>
        <v/>
      </c>
      <c r="S493" s="21" t="str">
        <f>IF(SUMIFS('Input Sheet'!$F$3:$F$1001,'Input Sheet'!$B$3:$B$1001,$H493,'Input Sheet'!$E$3:$E$1001,S$4)=0,"",SUMIFS('Input Sheet'!$F$3:$F$1001,'Input Sheet'!$B$3:$B$1001,$H493,'Input Sheet'!$E$3:$E$1001,S$4))</f>
        <v/>
      </c>
      <c r="T493" s="22">
        <v>488</v>
      </c>
    </row>
    <row r="494" spans="1:20" ht="14.25" customHeight="1" x14ac:dyDescent="0.3">
      <c r="A494" s="4" t="str">
        <f>IF('Input Sheet'!B491=0,"",'Input Sheet'!B491)</f>
        <v/>
      </c>
      <c r="B494" s="24" t="b">
        <f t="shared" si="264"/>
        <v>0</v>
      </c>
      <c r="C494" s="4">
        <f>SUMIF('Input Sheet'!B$3:B$1000,A494,'Input Sheet'!C$3:C$1000)</f>
        <v>0</v>
      </c>
      <c r="D494" s="4">
        <f>SUMIF('Input Sheet'!B$3:B$1000,A494,'Input Sheet'!D$3:D$1000)</f>
        <v>0</v>
      </c>
      <c r="E494" s="4" t="str">
        <f t="shared" ref="E494:F494" ca="1" si="504">IFERROR(RANK(K494,K$6:K$1004,1),"")</f>
        <v/>
      </c>
      <c r="F494" s="4" t="str">
        <f t="shared" ca="1" si="504"/>
        <v/>
      </c>
      <c r="G494" s="4" t="str">
        <f t="shared" ca="1" si="266"/>
        <v/>
      </c>
      <c r="H494" s="4" t="str">
        <f t="shared" si="267"/>
        <v/>
      </c>
      <c r="I494" s="4" t="str">
        <f t="shared" si="268"/>
        <v/>
      </c>
      <c r="J494" s="4" t="str">
        <f t="shared" si="269"/>
        <v/>
      </c>
      <c r="K494" s="25" t="str">
        <f t="shared" ca="1" si="270"/>
        <v/>
      </c>
      <c r="L494" s="21" t="str">
        <f t="shared" ca="1" si="271"/>
        <v/>
      </c>
      <c r="M494" s="21" t="str">
        <f>IF(SUMIFS('Input Sheet'!$F$3:$F$1001,'Input Sheet'!$B$3:$B$1001,$H494,'Input Sheet'!$E$3:$E$1001,M$4)=0,"",SUMIFS('Input Sheet'!$F$3:$F$1001,'Input Sheet'!$B$3:$B$1001,$H494,'Input Sheet'!$E$3:$E$1001,M$4))</f>
        <v/>
      </c>
      <c r="N494" s="21" t="str">
        <f>IF(SUMIFS('Input Sheet'!$F$3:$F$1001,'Input Sheet'!$B$3:$B$1001,$H494,'Input Sheet'!$E$3:$E$1001,N$4)=0,"",SUMIFS('Input Sheet'!$F$3:$F$1001,'Input Sheet'!$B$3:$B$1001,$H494,'Input Sheet'!$E$3:$E$1001,N$4))</f>
        <v/>
      </c>
      <c r="O494" s="21" t="str">
        <f>IF(SUMIFS('Input Sheet'!$F$3:$F$1001,'Input Sheet'!$B$3:$B$1001,$H494,'Input Sheet'!$E$3:$E$1001,O$4)=0,"",SUMIFS('Input Sheet'!$F$3:$F$1001,'Input Sheet'!$B$3:$B$1001,$H494,'Input Sheet'!$E$3:$E$1001,O$4))</f>
        <v/>
      </c>
      <c r="P494" s="21" t="str">
        <f>IF(SUMIFS('Input Sheet'!$F$3:$F$1001,'Input Sheet'!$B$3:$B$1001,$H494,'Input Sheet'!$E$3:$E$1001,P$4)=0,"",SUMIFS('Input Sheet'!$F$3:$F$1001,'Input Sheet'!$B$3:$B$1001,$H494,'Input Sheet'!$E$3:$E$1001,P$4))</f>
        <v/>
      </c>
      <c r="Q494" s="21" t="str">
        <f>IF(SUMIFS('Input Sheet'!$F$3:$F$1001,'Input Sheet'!$B$3:$B$1001,$H494,'Input Sheet'!$E$3:$E$1001,Q$4)=0,"",SUMIFS('Input Sheet'!$F$3:$F$1001,'Input Sheet'!$B$3:$B$1001,$H494,'Input Sheet'!$E$3:$E$1001,Q$4))</f>
        <v/>
      </c>
      <c r="R494" s="21" t="str">
        <f>IF(SUMIFS('Input Sheet'!$F$3:$F$1001,'Input Sheet'!$B$3:$B$1001,$H494,'Input Sheet'!$E$3:$E$1001,R$4)=0,"",SUMIFS('Input Sheet'!$F$3:$F$1001,'Input Sheet'!$B$3:$B$1001,$H494,'Input Sheet'!$E$3:$E$1001,R$4))</f>
        <v/>
      </c>
      <c r="S494" s="21" t="str">
        <f>IF(SUMIFS('Input Sheet'!$F$3:$F$1001,'Input Sheet'!$B$3:$B$1001,$H494,'Input Sheet'!$E$3:$E$1001,S$4)=0,"",SUMIFS('Input Sheet'!$F$3:$F$1001,'Input Sheet'!$B$3:$B$1001,$H494,'Input Sheet'!$E$3:$E$1001,S$4))</f>
        <v/>
      </c>
      <c r="T494" s="22">
        <v>489</v>
      </c>
    </row>
    <row r="495" spans="1:20" ht="14.25" customHeight="1" x14ac:dyDescent="0.3">
      <c r="A495" s="4" t="str">
        <f>IF('Input Sheet'!B492=0,"",'Input Sheet'!B492)</f>
        <v/>
      </c>
      <c r="B495" s="24" t="b">
        <f t="shared" si="264"/>
        <v>0</v>
      </c>
      <c r="C495" s="4">
        <f>SUMIF('Input Sheet'!B$3:B$1000,A495,'Input Sheet'!C$3:C$1000)</f>
        <v>0</v>
      </c>
      <c r="D495" s="4">
        <f>SUMIF('Input Sheet'!B$3:B$1000,A495,'Input Sheet'!D$3:D$1000)</f>
        <v>0</v>
      </c>
      <c r="E495" s="4" t="str">
        <f t="shared" ref="E495:F495" ca="1" si="505">IFERROR(RANK(K495,K$6:K$1004,1),"")</f>
        <v/>
      </c>
      <c r="F495" s="4" t="str">
        <f t="shared" ca="1" si="505"/>
        <v/>
      </c>
      <c r="G495" s="4" t="str">
        <f t="shared" ca="1" si="266"/>
        <v/>
      </c>
      <c r="H495" s="4" t="str">
        <f t="shared" si="267"/>
        <v/>
      </c>
      <c r="I495" s="4" t="str">
        <f t="shared" si="268"/>
        <v/>
      </c>
      <c r="J495" s="4" t="str">
        <f t="shared" si="269"/>
        <v/>
      </c>
      <c r="K495" s="25" t="str">
        <f t="shared" ca="1" si="270"/>
        <v/>
      </c>
      <c r="L495" s="21" t="str">
        <f t="shared" ca="1" si="271"/>
        <v/>
      </c>
      <c r="M495" s="21" t="str">
        <f>IF(SUMIFS('Input Sheet'!$F$3:$F$1001,'Input Sheet'!$B$3:$B$1001,$H495,'Input Sheet'!$E$3:$E$1001,M$4)=0,"",SUMIFS('Input Sheet'!$F$3:$F$1001,'Input Sheet'!$B$3:$B$1001,$H495,'Input Sheet'!$E$3:$E$1001,M$4))</f>
        <v/>
      </c>
      <c r="N495" s="21" t="str">
        <f>IF(SUMIFS('Input Sheet'!$F$3:$F$1001,'Input Sheet'!$B$3:$B$1001,$H495,'Input Sheet'!$E$3:$E$1001,N$4)=0,"",SUMIFS('Input Sheet'!$F$3:$F$1001,'Input Sheet'!$B$3:$B$1001,$H495,'Input Sheet'!$E$3:$E$1001,N$4))</f>
        <v/>
      </c>
      <c r="O495" s="21" t="str">
        <f>IF(SUMIFS('Input Sheet'!$F$3:$F$1001,'Input Sheet'!$B$3:$B$1001,$H495,'Input Sheet'!$E$3:$E$1001,O$4)=0,"",SUMIFS('Input Sheet'!$F$3:$F$1001,'Input Sheet'!$B$3:$B$1001,$H495,'Input Sheet'!$E$3:$E$1001,O$4))</f>
        <v/>
      </c>
      <c r="P495" s="21" t="str">
        <f>IF(SUMIFS('Input Sheet'!$F$3:$F$1001,'Input Sheet'!$B$3:$B$1001,$H495,'Input Sheet'!$E$3:$E$1001,P$4)=0,"",SUMIFS('Input Sheet'!$F$3:$F$1001,'Input Sheet'!$B$3:$B$1001,$H495,'Input Sheet'!$E$3:$E$1001,P$4))</f>
        <v/>
      </c>
      <c r="Q495" s="21" t="str">
        <f>IF(SUMIFS('Input Sheet'!$F$3:$F$1001,'Input Sheet'!$B$3:$B$1001,$H495,'Input Sheet'!$E$3:$E$1001,Q$4)=0,"",SUMIFS('Input Sheet'!$F$3:$F$1001,'Input Sheet'!$B$3:$B$1001,$H495,'Input Sheet'!$E$3:$E$1001,Q$4))</f>
        <v/>
      </c>
      <c r="R495" s="21" t="str">
        <f>IF(SUMIFS('Input Sheet'!$F$3:$F$1001,'Input Sheet'!$B$3:$B$1001,$H495,'Input Sheet'!$E$3:$E$1001,R$4)=0,"",SUMIFS('Input Sheet'!$F$3:$F$1001,'Input Sheet'!$B$3:$B$1001,$H495,'Input Sheet'!$E$3:$E$1001,R$4))</f>
        <v/>
      </c>
      <c r="S495" s="21" t="str">
        <f>IF(SUMIFS('Input Sheet'!$F$3:$F$1001,'Input Sheet'!$B$3:$B$1001,$H495,'Input Sheet'!$E$3:$E$1001,S$4)=0,"",SUMIFS('Input Sheet'!$F$3:$F$1001,'Input Sheet'!$B$3:$B$1001,$H495,'Input Sheet'!$E$3:$E$1001,S$4))</f>
        <v/>
      </c>
      <c r="T495" s="22">
        <v>490</v>
      </c>
    </row>
    <row r="496" spans="1:20" ht="14.25" customHeight="1" x14ac:dyDescent="0.3">
      <c r="A496" s="4" t="str">
        <f>IF('Input Sheet'!B493=0,"",'Input Sheet'!B493)</f>
        <v/>
      </c>
      <c r="B496" s="24" t="b">
        <f t="shared" si="264"/>
        <v>0</v>
      </c>
      <c r="C496" s="4">
        <f>SUMIF('Input Sheet'!B$3:B$1000,A496,'Input Sheet'!C$3:C$1000)</f>
        <v>0</v>
      </c>
      <c r="D496" s="4">
        <f>SUMIF('Input Sheet'!B$3:B$1000,A496,'Input Sheet'!D$3:D$1000)</f>
        <v>0</v>
      </c>
      <c r="E496" s="4" t="str">
        <f t="shared" ref="E496:F496" ca="1" si="506">IFERROR(RANK(K496,K$6:K$1004,1),"")</f>
        <v/>
      </c>
      <c r="F496" s="4" t="str">
        <f t="shared" ca="1" si="506"/>
        <v/>
      </c>
      <c r="G496" s="4" t="str">
        <f t="shared" ca="1" si="266"/>
        <v/>
      </c>
      <c r="H496" s="4" t="str">
        <f t="shared" si="267"/>
        <v/>
      </c>
      <c r="I496" s="4" t="str">
        <f t="shared" si="268"/>
        <v/>
      </c>
      <c r="J496" s="4" t="str">
        <f t="shared" si="269"/>
        <v/>
      </c>
      <c r="K496" s="25" t="str">
        <f t="shared" ca="1" si="270"/>
        <v/>
      </c>
      <c r="L496" s="21" t="str">
        <f t="shared" ca="1" si="271"/>
        <v/>
      </c>
      <c r="M496" s="21" t="str">
        <f>IF(SUMIFS('Input Sheet'!$F$3:$F$1001,'Input Sheet'!$B$3:$B$1001,$H496,'Input Sheet'!$E$3:$E$1001,M$4)=0,"",SUMIFS('Input Sheet'!$F$3:$F$1001,'Input Sheet'!$B$3:$B$1001,$H496,'Input Sheet'!$E$3:$E$1001,M$4))</f>
        <v/>
      </c>
      <c r="N496" s="21" t="str">
        <f>IF(SUMIFS('Input Sheet'!$F$3:$F$1001,'Input Sheet'!$B$3:$B$1001,$H496,'Input Sheet'!$E$3:$E$1001,N$4)=0,"",SUMIFS('Input Sheet'!$F$3:$F$1001,'Input Sheet'!$B$3:$B$1001,$H496,'Input Sheet'!$E$3:$E$1001,N$4))</f>
        <v/>
      </c>
      <c r="O496" s="21" t="str">
        <f>IF(SUMIFS('Input Sheet'!$F$3:$F$1001,'Input Sheet'!$B$3:$B$1001,$H496,'Input Sheet'!$E$3:$E$1001,O$4)=0,"",SUMIFS('Input Sheet'!$F$3:$F$1001,'Input Sheet'!$B$3:$B$1001,$H496,'Input Sheet'!$E$3:$E$1001,O$4))</f>
        <v/>
      </c>
      <c r="P496" s="21" t="str">
        <f>IF(SUMIFS('Input Sheet'!$F$3:$F$1001,'Input Sheet'!$B$3:$B$1001,$H496,'Input Sheet'!$E$3:$E$1001,P$4)=0,"",SUMIFS('Input Sheet'!$F$3:$F$1001,'Input Sheet'!$B$3:$B$1001,$H496,'Input Sheet'!$E$3:$E$1001,P$4))</f>
        <v/>
      </c>
      <c r="Q496" s="21" t="str">
        <f>IF(SUMIFS('Input Sheet'!$F$3:$F$1001,'Input Sheet'!$B$3:$B$1001,$H496,'Input Sheet'!$E$3:$E$1001,Q$4)=0,"",SUMIFS('Input Sheet'!$F$3:$F$1001,'Input Sheet'!$B$3:$B$1001,$H496,'Input Sheet'!$E$3:$E$1001,Q$4))</f>
        <v/>
      </c>
      <c r="R496" s="21" t="str">
        <f>IF(SUMIFS('Input Sheet'!$F$3:$F$1001,'Input Sheet'!$B$3:$B$1001,$H496,'Input Sheet'!$E$3:$E$1001,R$4)=0,"",SUMIFS('Input Sheet'!$F$3:$F$1001,'Input Sheet'!$B$3:$B$1001,$H496,'Input Sheet'!$E$3:$E$1001,R$4))</f>
        <v/>
      </c>
      <c r="S496" s="21" t="str">
        <f>IF(SUMIFS('Input Sheet'!$F$3:$F$1001,'Input Sheet'!$B$3:$B$1001,$H496,'Input Sheet'!$E$3:$E$1001,S$4)=0,"",SUMIFS('Input Sheet'!$F$3:$F$1001,'Input Sheet'!$B$3:$B$1001,$H496,'Input Sheet'!$E$3:$E$1001,S$4))</f>
        <v/>
      </c>
      <c r="T496" s="22">
        <v>491</v>
      </c>
    </row>
    <row r="497" spans="1:20" ht="14.25" customHeight="1" x14ac:dyDescent="0.3">
      <c r="A497" s="4" t="str">
        <f>IF('Input Sheet'!B494=0,"",'Input Sheet'!B494)</f>
        <v/>
      </c>
      <c r="B497" s="24" t="b">
        <f t="shared" si="264"/>
        <v>0</v>
      </c>
      <c r="C497" s="4">
        <f>SUMIF('Input Sheet'!B$3:B$1000,A497,'Input Sheet'!C$3:C$1000)</f>
        <v>0</v>
      </c>
      <c r="D497" s="4">
        <f>SUMIF('Input Sheet'!B$3:B$1000,A497,'Input Sheet'!D$3:D$1000)</f>
        <v>0</v>
      </c>
      <c r="E497" s="4" t="str">
        <f t="shared" ref="E497:F497" ca="1" si="507">IFERROR(RANK(K497,K$6:K$1004,1),"")</f>
        <v/>
      </c>
      <c r="F497" s="4" t="str">
        <f t="shared" ca="1" si="507"/>
        <v/>
      </c>
      <c r="G497" s="4" t="str">
        <f t="shared" ca="1" si="266"/>
        <v/>
      </c>
      <c r="H497" s="4" t="str">
        <f t="shared" si="267"/>
        <v/>
      </c>
      <c r="I497" s="4" t="str">
        <f t="shared" si="268"/>
        <v/>
      </c>
      <c r="J497" s="4" t="str">
        <f t="shared" si="269"/>
        <v/>
      </c>
      <c r="K497" s="25" t="str">
        <f t="shared" ca="1" si="270"/>
        <v/>
      </c>
      <c r="L497" s="21" t="str">
        <f t="shared" ca="1" si="271"/>
        <v/>
      </c>
      <c r="M497" s="21" t="str">
        <f>IF(SUMIFS('Input Sheet'!$F$3:$F$1001,'Input Sheet'!$B$3:$B$1001,$H497,'Input Sheet'!$E$3:$E$1001,M$4)=0,"",SUMIFS('Input Sheet'!$F$3:$F$1001,'Input Sheet'!$B$3:$B$1001,$H497,'Input Sheet'!$E$3:$E$1001,M$4))</f>
        <v/>
      </c>
      <c r="N497" s="21" t="str">
        <f>IF(SUMIFS('Input Sheet'!$F$3:$F$1001,'Input Sheet'!$B$3:$B$1001,$H497,'Input Sheet'!$E$3:$E$1001,N$4)=0,"",SUMIFS('Input Sheet'!$F$3:$F$1001,'Input Sheet'!$B$3:$B$1001,$H497,'Input Sheet'!$E$3:$E$1001,N$4))</f>
        <v/>
      </c>
      <c r="O497" s="21" t="str">
        <f>IF(SUMIFS('Input Sheet'!$F$3:$F$1001,'Input Sheet'!$B$3:$B$1001,$H497,'Input Sheet'!$E$3:$E$1001,O$4)=0,"",SUMIFS('Input Sheet'!$F$3:$F$1001,'Input Sheet'!$B$3:$B$1001,$H497,'Input Sheet'!$E$3:$E$1001,O$4))</f>
        <v/>
      </c>
      <c r="P497" s="21" t="str">
        <f>IF(SUMIFS('Input Sheet'!$F$3:$F$1001,'Input Sheet'!$B$3:$B$1001,$H497,'Input Sheet'!$E$3:$E$1001,P$4)=0,"",SUMIFS('Input Sheet'!$F$3:$F$1001,'Input Sheet'!$B$3:$B$1001,$H497,'Input Sheet'!$E$3:$E$1001,P$4))</f>
        <v/>
      </c>
      <c r="Q497" s="21" t="str">
        <f>IF(SUMIFS('Input Sheet'!$F$3:$F$1001,'Input Sheet'!$B$3:$B$1001,$H497,'Input Sheet'!$E$3:$E$1001,Q$4)=0,"",SUMIFS('Input Sheet'!$F$3:$F$1001,'Input Sheet'!$B$3:$B$1001,$H497,'Input Sheet'!$E$3:$E$1001,Q$4))</f>
        <v/>
      </c>
      <c r="R497" s="21" t="str">
        <f>IF(SUMIFS('Input Sheet'!$F$3:$F$1001,'Input Sheet'!$B$3:$B$1001,$H497,'Input Sheet'!$E$3:$E$1001,R$4)=0,"",SUMIFS('Input Sheet'!$F$3:$F$1001,'Input Sheet'!$B$3:$B$1001,$H497,'Input Sheet'!$E$3:$E$1001,R$4))</f>
        <v/>
      </c>
      <c r="S497" s="21" t="str">
        <f>IF(SUMIFS('Input Sheet'!$F$3:$F$1001,'Input Sheet'!$B$3:$B$1001,$H497,'Input Sheet'!$E$3:$E$1001,S$4)=0,"",SUMIFS('Input Sheet'!$F$3:$F$1001,'Input Sheet'!$B$3:$B$1001,$H497,'Input Sheet'!$E$3:$E$1001,S$4))</f>
        <v/>
      </c>
      <c r="T497" s="22">
        <v>492</v>
      </c>
    </row>
    <row r="498" spans="1:20" ht="14.25" customHeight="1" x14ac:dyDescent="0.3">
      <c r="A498" s="4" t="str">
        <f>IF('Input Sheet'!B495=0,"",'Input Sheet'!B495)</f>
        <v/>
      </c>
      <c r="B498" s="24" t="b">
        <f t="shared" si="264"/>
        <v>0</v>
      </c>
      <c r="C498" s="4">
        <f>SUMIF('Input Sheet'!B$3:B$1000,A498,'Input Sheet'!C$3:C$1000)</f>
        <v>0</v>
      </c>
      <c r="D498" s="4">
        <f>SUMIF('Input Sheet'!B$3:B$1000,A498,'Input Sheet'!D$3:D$1000)</f>
        <v>0</v>
      </c>
      <c r="E498" s="4" t="str">
        <f t="shared" ref="E498:F498" ca="1" si="508">IFERROR(RANK(K498,K$6:K$1004,1),"")</f>
        <v/>
      </c>
      <c r="F498" s="4" t="str">
        <f t="shared" ca="1" si="508"/>
        <v/>
      </c>
      <c r="G498" s="4" t="str">
        <f t="shared" ca="1" si="266"/>
        <v/>
      </c>
      <c r="H498" s="4" t="str">
        <f t="shared" si="267"/>
        <v/>
      </c>
      <c r="I498" s="4" t="str">
        <f t="shared" si="268"/>
        <v/>
      </c>
      <c r="J498" s="4" t="str">
        <f t="shared" si="269"/>
        <v/>
      </c>
      <c r="K498" s="25" t="str">
        <f t="shared" ca="1" si="270"/>
        <v/>
      </c>
      <c r="L498" s="21" t="str">
        <f t="shared" ca="1" si="271"/>
        <v/>
      </c>
      <c r="M498" s="21" t="str">
        <f>IF(SUMIFS('Input Sheet'!$F$3:$F$1001,'Input Sheet'!$B$3:$B$1001,$H498,'Input Sheet'!$E$3:$E$1001,M$4)=0,"",SUMIFS('Input Sheet'!$F$3:$F$1001,'Input Sheet'!$B$3:$B$1001,$H498,'Input Sheet'!$E$3:$E$1001,M$4))</f>
        <v/>
      </c>
      <c r="N498" s="21" t="str">
        <f>IF(SUMIFS('Input Sheet'!$F$3:$F$1001,'Input Sheet'!$B$3:$B$1001,$H498,'Input Sheet'!$E$3:$E$1001,N$4)=0,"",SUMIFS('Input Sheet'!$F$3:$F$1001,'Input Sheet'!$B$3:$B$1001,$H498,'Input Sheet'!$E$3:$E$1001,N$4))</f>
        <v/>
      </c>
      <c r="O498" s="21" t="str">
        <f>IF(SUMIFS('Input Sheet'!$F$3:$F$1001,'Input Sheet'!$B$3:$B$1001,$H498,'Input Sheet'!$E$3:$E$1001,O$4)=0,"",SUMIFS('Input Sheet'!$F$3:$F$1001,'Input Sheet'!$B$3:$B$1001,$H498,'Input Sheet'!$E$3:$E$1001,O$4))</f>
        <v/>
      </c>
      <c r="P498" s="21" t="str">
        <f>IF(SUMIFS('Input Sheet'!$F$3:$F$1001,'Input Sheet'!$B$3:$B$1001,$H498,'Input Sheet'!$E$3:$E$1001,P$4)=0,"",SUMIFS('Input Sheet'!$F$3:$F$1001,'Input Sheet'!$B$3:$B$1001,$H498,'Input Sheet'!$E$3:$E$1001,P$4))</f>
        <v/>
      </c>
      <c r="Q498" s="21" t="str">
        <f>IF(SUMIFS('Input Sheet'!$F$3:$F$1001,'Input Sheet'!$B$3:$B$1001,$H498,'Input Sheet'!$E$3:$E$1001,Q$4)=0,"",SUMIFS('Input Sheet'!$F$3:$F$1001,'Input Sheet'!$B$3:$B$1001,$H498,'Input Sheet'!$E$3:$E$1001,Q$4))</f>
        <v/>
      </c>
      <c r="R498" s="21" t="str">
        <f>IF(SUMIFS('Input Sheet'!$F$3:$F$1001,'Input Sheet'!$B$3:$B$1001,$H498,'Input Sheet'!$E$3:$E$1001,R$4)=0,"",SUMIFS('Input Sheet'!$F$3:$F$1001,'Input Sheet'!$B$3:$B$1001,$H498,'Input Sheet'!$E$3:$E$1001,R$4))</f>
        <v/>
      </c>
      <c r="S498" s="21" t="str">
        <f>IF(SUMIFS('Input Sheet'!$F$3:$F$1001,'Input Sheet'!$B$3:$B$1001,$H498,'Input Sheet'!$E$3:$E$1001,S$4)=0,"",SUMIFS('Input Sheet'!$F$3:$F$1001,'Input Sheet'!$B$3:$B$1001,$H498,'Input Sheet'!$E$3:$E$1001,S$4))</f>
        <v/>
      </c>
      <c r="T498" s="22">
        <v>493</v>
      </c>
    </row>
    <row r="499" spans="1:20" ht="14.25" customHeight="1" x14ac:dyDescent="0.3">
      <c r="A499" s="4" t="str">
        <f>IF('Input Sheet'!B496=0,"",'Input Sheet'!B496)</f>
        <v/>
      </c>
      <c r="B499" s="24" t="b">
        <f t="shared" si="264"/>
        <v>0</v>
      </c>
      <c r="C499" s="4">
        <f>SUMIF('Input Sheet'!B$3:B$1000,A499,'Input Sheet'!C$3:C$1000)</f>
        <v>0</v>
      </c>
      <c r="D499" s="4">
        <f>SUMIF('Input Sheet'!B$3:B$1000,A499,'Input Sheet'!D$3:D$1000)</f>
        <v>0</v>
      </c>
      <c r="E499" s="4" t="str">
        <f t="shared" ref="E499:F499" ca="1" si="509">IFERROR(RANK(K499,K$6:K$1004,1),"")</f>
        <v/>
      </c>
      <c r="F499" s="4" t="str">
        <f t="shared" ca="1" si="509"/>
        <v/>
      </c>
      <c r="G499" s="4" t="str">
        <f t="shared" ca="1" si="266"/>
        <v/>
      </c>
      <c r="H499" s="4" t="str">
        <f t="shared" si="267"/>
        <v/>
      </c>
      <c r="I499" s="4" t="str">
        <f t="shared" si="268"/>
        <v/>
      </c>
      <c r="J499" s="4" t="str">
        <f t="shared" si="269"/>
        <v/>
      </c>
      <c r="K499" s="25" t="str">
        <f t="shared" ca="1" si="270"/>
        <v/>
      </c>
      <c r="L499" s="21" t="str">
        <f t="shared" ca="1" si="271"/>
        <v/>
      </c>
      <c r="M499" s="21" t="str">
        <f>IF(SUMIFS('Input Sheet'!$F$3:$F$1001,'Input Sheet'!$B$3:$B$1001,$H499,'Input Sheet'!$E$3:$E$1001,M$4)=0,"",SUMIFS('Input Sheet'!$F$3:$F$1001,'Input Sheet'!$B$3:$B$1001,$H499,'Input Sheet'!$E$3:$E$1001,M$4))</f>
        <v/>
      </c>
      <c r="N499" s="21" t="str">
        <f>IF(SUMIFS('Input Sheet'!$F$3:$F$1001,'Input Sheet'!$B$3:$B$1001,$H499,'Input Sheet'!$E$3:$E$1001,N$4)=0,"",SUMIFS('Input Sheet'!$F$3:$F$1001,'Input Sheet'!$B$3:$B$1001,$H499,'Input Sheet'!$E$3:$E$1001,N$4))</f>
        <v/>
      </c>
      <c r="O499" s="21" t="str">
        <f>IF(SUMIFS('Input Sheet'!$F$3:$F$1001,'Input Sheet'!$B$3:$B$1001,$H499,'Input Sheet'!$E$3:$E$1001,O$4)=0,"",SUMIFS('Input Sheet'!$F$3:$F$1001,'Input Sheet'!$B$3:$B$1001,$H499,'Input Sheet'!$E$3:$E$1001,O$4))</f>
        <v/>
      </c>
      <c r="P499" s="21" t="str">
        <f>IF(SUMIFS('Input Sheet'!$F$3:$F$1001,'Input Sheet'!$B$3:$B$1001,$H499,'Input Sheet'!$E$3:$E$1001,P$4)=0,"",SUMIFS('Input Sheet'!$F$3:$F$1001,'Input Sheet'!$B$3:$B$1001,$H499,'Input Sheet'!$E$3:$E$1001,P$4))</f>
        <v/>
      </c>
      <c r="Q499" s="21" t="str">
        <f>IF(SUMIFS('Input Sheet'!$F$3:$F$1001,'Input Sheet'!$B$3:$B$1001,$H499,'Input Sheet'!$E$3:$E$1001,Q$4)=0,"",SUMIFS('Input Sheet'!$F$3:$F$1001,'Input Sheet'!$B$3:$B$1001,$H499,'Input Sheet'!$E$3:$E$1001,Q$4))</f>
        <v/>
      </c>
      <c r="R499" s="21" t="str">
        <f>IF(SUMIFS('Input Sheet'!$F$3:$F$1001,'Input Sheet'!$B$3:$B$1001,$H499,'Input Sheet'!$E$3:$E$1001,R$4)=0,"",SUMIFS('Input Sheet'!$F$3:$F$1001,'Input Sheet'!$B$3:$B$1001,$H499,'Input Sheet'!$E$3:$E$1001,R$4))</f>
        <v/>
      </c>
      <c r="S499" s="21" t="str">
        <f>IF(SUMIFS('Input Sheet'!$F$3:$F$1001,'Input Sheet'!$B$3:$B$1001,$H499,'Input Sheet'!$E$3:$E$1001,S$4)=0,"",SUMIFS('Input Sheet'!$F$3:$F$1001,'Input Sheet'!$B$3:$B$1001,$H499,'Input Sheet'!$E$3:$E$1001,S$4))</f>
        <v/>
      </c>
      <c r="T499" s="22">
        <v>494</v>
      </c>
    </row>
    <row r="500" spans="1:20" ht="14.25" customHeight="1" x14ac:dyDescent="0.3">
      <c r="A500" s="4" t="str">
        <f>IF('Input Sheet'!B497=0,"",'Input Sheet'!B497)</f>
        <v/>
      </c>
      <c r="B500" s="24" t="b">
        <f t="shared" si="264"/>
        <v>0</v>
      </c>
      <c r="C500" s="4">
        <f>SUMIF('Input Sheet'!B$3:B$1000,A500,'Input Sheet'!C$3:C$1000)</f>
        <v>0</v>
      </c>
      <c r="D500" s="4">
        <f>SUMIF('Input Sheet'!B$3:B$1000,A500,'Input Sheet'!D$3:D$1000)</f>
        <v>0</v>
      </c>
      <c r="E500" s="4" t="str">
        <f t="shared" ref="E500:F500" ca="1" si="510">IFERROR(RANK(K500,K$6:K$1004,1),"")</f>
        <v/>
      </c>
      <c r="F500" s="4" t="str">
        <f t="shared" ca="1" si="510"/>
        <v/>
      </c>
      <c r="G500" s="4" t="str">
        <f t="shared" ca="1" si="266"/>
        <v/>
      </c>
      <c r="H500" s="4" t="str">
        <f t="shared" si="267"/>
        <v/>
      </c>
      <c r="I500" s="4" t="str">
        <f t="shared" si="268"/>
        <v/>
      </c>
      <c r="J500" s="4" t="str">
        <f t="shared" si="269"/>
        <v/>
      </c>
      <c r="K500" s="25" t="str">
        <f t="shared" ca="1" si="270"/>
        <v/>
      </c>
      <c r="L500" s="21" t="str">
        <f t="shared" ca="1" si="271"/>
        <v/>
      </c>
      <c r="M500" s="21" t="str">
        <f>IF(SUMIFS('Input Sheet'!$F$3:$F$1001,'Input Sheet'!$B$3:$B$1001,$H500,'Input Sheet'!$E$3:$E$1001,M$4)=0,"",SUMIFS('Input Sheet'!$F$3:$F$1001,'Input Sheet'!$B$3:$B$1001,$H500,'Input Sheet'!$E$3:$E$1001,M$4))</f>
        <v/>
      </c>
      <c r="N500" s="21" t="str">
        <f>IF(SUMIFS('Input Sheet'!$F$3:$F$1001,'Input Sheet'!$B$3:$B$1001,$H500,'Input Sheet'!$E$3:$E$1001,N$4)=0,"",SUMIFS('Input Sheet'!$F$3:$F$1001,'Input Sheet'!$B$3:$B$1001,$H500,'Input Sheet'!$E$3:$E$1001,N$4))</f>
        <v/>
      </c>
      <c r="O500" s="21" t="str">
        <f>IF(SUMIFS('Input Sheet'!$F$3:$F$1001,'Input Sheet'!$B$3:$B$1001,$H500,'Input Sheet'!$E$3:$E$1001,O$4)=0,"",SUMIFS('Input Sheet'!$F$3:$F$1001,'Input Sheet'!$B$3:$B$1001,$H500,'Input Sheet'!$E$3:$E$1001,O$4))</f>
        <v/>
      </c>
      <c r="P500" s="21" t="str">
        <f>IF(SUMIFS('Input Sheet'!$F$3:$F$1001,'Input Sheet'!$B$3:$B$1001,$H500,'Input Sheet'!$E$3:$E$1001,P$4)=0,"",SUMIFS('Input Sheet'!$F$3:$F$1001,'Input Sheet'!$B$3:$B$1001,$H500,'Input Sheet'!$E$3:$E$1001,P$4))</f>
        <v/>
      </c>
      <c r="Q500" s="21" t="str">
        <f>IF(SUMIFS('Input Sheet'!$F$3:$F$1001,'Input Sheet'!$B$3:$B$1001,$H500,'Input Sheet'!$E$3:$E$1001,Q$4)=0,"",SUMIFS('Input Sheet'!$F$3:$F$1001,'Input Sheet'!$B$3:$B$1001,$H500,'Input Sheet'!$E$3:$E$1001,Q$4))</f>
        <v/>
      </c>
      <c r="R500" s="21" t="str">
        <f>IF(SUMIFS('Input Sheet'!$F$3:$F$1001,'Input Sheet'!$B$3:$B$1001,$H500,'Input Sheet'!$E$3:$E$1001,R$4)=0,"",SUMIFS('Input Sheet'!$F$3:$F$1001,'Input Sheet'!$B$3:$B$1001,$H500,'Input Sheet'!$E$3:$E$1001,R$4))</f>
        <v/>
      </c>
      <c r="S500" s="21" t="str">
        <f>IF(SUMIFS('Input Sheet'!$F$3:$F$1001,'Input Sheet'!$B$3:$B$1001,$H500,'Input Sheet'!$E$3:$E$1001,S$4)=0,"",SUMIFS('Input Sheet'!$F$3:$F$1001,'Input Sheet'!$B$3:$B$1001,$H500,'Input Sheet'!$E$3:$E$1001,S$4))</f>
        <v/>
      </c>
      <c r="T500" s="22">
        <v>495</v>
      </c>
    </row>
    <row r="501" spans="1:20" ht="14.25" customHeight="1" x14ac:dyDescent="0.3">
      <c r="A501" s="4" t="str">
        <f>IF('Input Sheet'!B498=0,"",'Input Sheet'!B498)</f>
        <v/>
      </c>
      <c r="B501" s="24" t="b">
        <f t="shared" si="264"/>
        <v>0</v>
      </c>
      <c r="C501" s="4">
        <f>SUMIF('Input Sheet'!B$3:B$1000,A501,'Input Sheet'!C$3:C$1000)</f>
        <v>0</v>
      </c>
      <c r="D501" s="4">
        <f>SUMIF('Input Sheet'!B$3:B$1000,A501,'Input Sheet'!D$3:D$1000)</f>
        <v>0</v>
      </c>
      <c r="E501" s="4" t="str">
        <f t="shared" ref="E501:F501" ca="1" si="511">IFERROR(RANK(K501,K$6:K$1004,1),"")</f>
        <v/>
      </c>
      <c r="F501" s="4" t="str">
        <f t="shared" ca="1" si="511"/>
        <v/>
      </c>
      <c r="G501" s="4" t="str">
        <f t="shared" ca="1" si="266"/>
        <v/>
      </c>
      <c r="H501" s="4" t="str">
        <f t="shared" si="267"/>
        <v/>
      </c>
      <c r="I501" s="4" t="str">
        <f t="shared" si="268"/>
        <v/>
      </c>
      <c r="J501" s="4" t="str">
        <f t="shared" si="269"/>
        <v/>
      </c>
      <c r="K501" s="25" t="str">
        <f t="shared" ca="1" si="270"/>
        <v/>
      </c>
      <c r="L501" s="21" t="str">
        <f t="shared" ca="1" si="271"/>
        <v/>
      </c>
      <c r="M501" s="21" t="str">
        <f>IF(SUMIFS('Input Sheet'!$F$3:$F$1001,'Input Sheet'!$B$3:$B$1001,$H501,'Input Sheet'!$E$3:$E$1001,M$4)=0,"",SUMIFS('Input Sheet'!$F$3:$F$1001,'Input Sheet'!$B$3:$B$1001,$H501,'Input Sheet'!$E$3:$E$1001,M$4))</f>
        <v/>
      </c>
      <c r="N501" s="21" t="str">
        <f>IF(SUMIFS('Input Sheet'!$F$3:$F$1001,'Input Sheet'!$B$3:$B$1001,$H501,'Input Sheet'!$E$3:$E$1001,N$4)=0,"",SUMIFS('Input Sheet'!$F$3:$F$1001,'Input Sheet'!$B$3:$B$1001,$H501,'Input Sheet'!$E$3:$E$1001,N$4))</f>
        <v/>
      </c>
      <c r="O501" s="21" t="str">
        <f>IF(SUMIFS('Input Sheet'!$F$3:$F$1001,'Input Sheet'!$B$3:$B$1001,$H501,'Input Sheet'!$E$3:$E$1001,O$4)=0,"",SUMIFS('Input Sheet'!$F$3:$F$1001,'Input Sheet'!$B$3:$B$1001,$H501,'Input Sheet'!$E$3:$E$1001,O$4))</f>
        <v/>
      </c>
      <c r="P501" s="21" t="str">
        <f>IF(SUMIFS('Input Sheet'!$F$3:$F$1001,'Input Sheet'!$B$3:$B$1001,$H501,'Input Sheet'!$E$3:$E$1001,P$4)=0,"",SUMIFS('Input Sheet'!$F$3:$F$1001,'Input Sheet'!$B$3:$B$1001,$H501,'Input Sheet'!$E$3:$E$1001,P$4))</f>
        <v/>
      </c>
      <c r="Q501" s="21" t="str">
        <f>IF(SUMIFS('Input Sheet'!$F$3:$F$1001,'Input Sheet'!$B$3:$B$1001,$H501,'Input Sheet'!$E$3:$E$1001,Q$4)=0,"",SUMIFS('Input Sheet'!$F$3:$F$1001,'Input Sheet'!$B$3:$B$1001,$H501,'Input Sheet'!$E$3:$E$1001,Q$4))</f>
        <v/>
      </c>
      <c r="R501" s="21" t="str">
        <f>IF(SUMIFS('Input Sheet'!$F$3:$F$1001,'Input Sheet'!$B$3:$B$1001,$H501,'Input Sheet'!$E$3:$E$1001,R$4)=0,"",SUMIFS('Input Sheet'!$F$3:$F$1001,'Input Sheet'!$B$3:$B$1001,$H501,'Input Sheet'!$E$3:$E$1001,R$4))</f>
        <v/>
      </c>
      <c r="S501" s="21" t="str">
        <f>IF(SUMIFS('Input Sheet'!$F$3:$F$1001,'Input Sheet'!$B$3:$B$1001,$H501,'Input Sheet'!$E$3:$E$1001,S$4)=0,"",SUMIFS('Input Sheet'!$F$3:$F$1001,'Input Sheet'!$B$3:$B$1001,$H501,'Input Sheet'!$E$3:$E$1001,S$4))</f>
        <v/>
      </c>
      <c r="T501" s="22">
        <v>496</v>
      </c>
    </row>
    <row r="502" spans="1:20" ht="14.25" customHeight="1" x14ac:dyDescent="0.3">
      <c r="A502" s="4" t="str">
        <f>IF('Input Sheet'!B499=0,"",'Input Sheet'!B499)</f>
        <v/>
      </c>
      <c r="B502" s="24" t="b">
        <f t="shared" si="264"/>
        <v>0</v>
      </c>
      <c r="C502" s="4">
        <f>SUMIF('Input Sheet'!B$3:B$1000,A502,'Input Sheet'!C$3:C$1000)</f>
        <v>0</v>
      </c>
      <c r="D502" s="4">
        <f>SUMIF('Input Sheet'!B$3:B$1000,A502,'Input Sheet'!D$3:D$1000)</f>
        <v>0</v>
      </c>
      <c r="E502" s="4" t="str">
        <f t="shared" ref="E502:F502" ca="1" si="512">IFERROR(RANK(K502,K$6:K$1004,1),"")</f>
        <v/>
      </c>
      <c r="F502" s="4" t="str">
        <f t="shared" ca="1" si="512"/>
        <v/>
      </c>
      <c r="G502" s="4" t="str">
        <f t="shared" ca="1" si="266"/>
        <v/>
      </c>
      <c r="H502" s="4" t="str">
        <f t="shared" si="267"/>
        <v/>
      </c>
      <c r="I502" s="4" t="str">
        <f t="shared" si="268"/>
        <v/>
      </c>
      <c r="J502" s="4" t="str">
        <f t="shared" si="269"/>
        <v/>
      </c>
      <c r="K502" s="25" t="str">
        <f t="shared" ca="1" si="270"/>
        <v/>
      </c>
      <c r="L502" s="21" t="str">
        <f t="shared" ca="1" si="271"/>
        <v/>
      </c>
      <c r="M502" s="21" t="str">
        <f>IF(SUMIFS('Input Sheet'!$F$3:$F$1001,'Input Sheet'!$B$3:$B$1001,$H502,'Input Sheet'!$E$3:$E$1001,M$4)=0,"",SUMIFS('Input Sheet'!$F$3:$F$1001,'Input Sheet'!$B$3:$B$1001,$H502,'Input Sheet'!$E$3:$E$1001,M$4))</f>
        <v/>
      </c>
      <c r="N502" s="21" t="str">
        <f>IF(SUMIFS('Input Sheet'!$F$3:$F$1001,'Input Sheet'!$B$3:$B$1001,$H502,'Input Sheet'!$E$3:$E$1001,N$4)=0,"",SUMIFS('Input Sheet'!$F$3:$F$1001,'Input Sheet'!$B$3:$B$1001,$H502,'Input Sheet'!$E$3:$E$1001,N$4))</f>
        <v/>
      </c>
      <c r="O502" s="21" t="str">
        <f>IF(SUMIFS('Input Sheet'!$F$3:$F$1001,'Input Sheet'!$B$3:$B$1001,$H502,'Input Sheet'!$E$3:$E$1001,O$4)=0,"",SUMIFS('Input Sheet'!$F$3:$F$1001,'Input Sheet'!$B$3:$B$1001,$H502,'Input Sheet'!$E$3:$E$1001,O$4))</f>
        <v/>
      </c>
      <c r="P502" s="21" t="str">
        <f>IF(SUMIFS('Input Sheet'!$F$3:$F$1001,'Input Sheet'!$B$3:$B$1001,$H502,'Input Sheet'!$E$3:$E$1001,P$4)=0,"",SUMIFS('Input Sheet'!$F$3:$F$1001,'Input Sheet'!$B$3:$B$1001,$H502,'Input Sheet'!$E$3:$E$1001,P$4))</f>
        <v/>
      </c>
      <c r="Q502" s="21" t="str">
        <f>IF(SUMIFS('Input Sheet'!$F$3:$F$1001,'Input Sheet'!$B$3:$B$1001,$H502,'Input Sheet'!$E$3:$E$1001,Q$4)=0,"",SUMIFS('Input Sheet'!$F$3:$F$1001,'Input Sheet'!$B$3:$B$1001,$H502,'Input Sheet'!$E$3:$E$1001,Q$4))</f>
        <v/>
      </c>
      <c r="R502" s="21" t="str">
        <f>IF(SUMIFS('Input Sheet'!$F$3:$F$1001,'Input Sheet'!$B$3:$B$1001,$H502,'Input Sheet'!$E$3:$E$1001,R$4)=0,"",SUMIFS('Input Sheet'!$F$3:$F$1001,'Input Sheet'!$B$3:$B$1001,$H502,'Input Sheet'!$E$3:$E$1001,R$4))</f>
        <v/>
      </c>
      <c r="S502" s="21" t="str">
        <f>IF(SUMIFS('Input Sheet'!$F$3:$F$1001,'Input Sheet'!$B$3:$B$1001,$H502,'Input Sheet'!$E$3:$E$1001,S$4)=0,"",SUMIFS('Input Sheet'!$F$3:$F$1001,'Input Sheet'!$B$3:$B$1001,$H502,'Input Sheet'!$E$3:$E$1001,S$4))</f>
        <v/>
      </c>
      <c r="T502" s="22">
        <v>497</v>
      </c>
    </row>
    <row r="503" spans="1:20" ht="14.25" customHeight="1" x14ac:dyDescent="0.3">
      <c r="A503" s="4" t="str">
        <f>IF('Input Sheet'!B500=0,"",'Input Sheet'!B500)</f>
        <v/>
      </c>
      <c r="B503" s="24" t="b">
        <f t="shared" si="264"/>
        <v>0</v>
      </c>
      <c r="C503" s="4">
        <f>SUMIF('Input Sheet'!B$3:B$1000,A503,'Input Sheet'!C$3:C$1000)</f>
        <v>0</v>
      </c>
      <c r="D503" s="4">
        <f>SUMIF('Input Sheet'!B$3:B$1000,A503,'Input Sheet'!D$3:D$1000)</f>
        <v>0</v>
      </c>
      <c r="E503" s="4" t="str">
        <f t="shared" ref="E503:F503" ca="1" si="513">IFERROR(RANK(K503,K$6:K$1004,1),"")</f>
        <v/>
      </c>
      <c r="F503" s="4" t="str">
        <f t="shared" ca="1" si="513"/>
        <v/>
      </c>
      <c r="G503" s="4" t="str">
        <f t="shared" ca="1" si="266"/>
        <v/>
      </c>
      <c r="H503" s="4" t="str">
        <f t="shared" si="267"/>
        <v/>
      </c>
      <c r="I503" s="4" t="str">
        <f t="shared" si="268"/>
        <v/>
      </c>
      <c r="J503" s="4" t="str">
        <f t="shared" si="269"/>
        <v/>
      </c>
      <c r="K503" s="25" t="str">
        <f t="shared" ca="1" si="270"/>
        <v/>
      </c>
      <c r="L503" s="21" t="str">
        <f t="shared" ca="1" si="271"/>
        <v/>
      </c>
      <c r="M503" s="21" t="str">
        <f>IF(SUMIFS('Input Sheet'!$F$3:$F$1001,'Input Sheet'!$B$3:$B$1001,$H503,'Input Sheet'!$E$3:$E$1001,M$4)=0,"",SUMIFS('Input Sheet'!$F$3:$F$1001,'Input Sheet'!$B$3:$B$1001,$H503,'Input Sheet'!$E$3:$E$1001,M$4))</f>
        <v/>
      </c>
      <c r="N503" s="21" t="str">
        <f>IF(SUMIFS('Input Sheet'!$F$3:$F$1001,'Input Sheet'!$B$3:$B$1001,$H503,'Input Sheet'!$E$3:$E$1001,N$4)=0,"",SUMIFS('Input Sheet'!$F$3:$F$1001,'Input Sheet'!$B$3:$B$1001,$H503,'Input Sheet'!$E$3:$E$1001,N$4))</f>
        <v/>
      </c>
      <c r="O503" s="21" t="str">
        <f>IF(SUMIFS('Input Sheet'!$F$3:$F$1001,'Input Sheet'!$B$3:$B$1001,$H503,'Input Sheet'!$E$3:$E$1001,O$4)=0,"",SUMIFS('Input Sheet'!$F$3:$F$1001,'Input Sheet'!$B$3:$B$1001,$H503,'Input Sheet'!$E$3:$E$1001,O$4))</f>
        <v/>
      </c>
      <c r="P503" s="21" t="str">
        <f>IF(SUMIFS('Input Sheet'!$F$3:$F$1001,'Input Sheet'!$B$3:$B$1001,$H503,'Input Sheet'!$E$3:$E$1001,P$4)=0,"",SUMIFS('Input Sheet'!$F$3:$F$1001,'Input Sheet'!$B$3:$B$1001,$H503,'Input Sheet'!$E$3:$E$1001,P$4))</f>
        <v/>
      </c>
      <c r="Q503" s="21" t="str">
        <f>IF(SUMIFS('Input Sheet'!$F$3:$F$1001,'Input Sheet'!$B$3:$B$1001,$H503,'Input Sheet'!$E$3:$E$1001,Q$4)=0,"",SUMIFS('Input Sheet'!$F$3:$F$1001,'Input Sheet'!$B$3:$B$1001,$H503,'Input Sheet'!$E$3:$E$1001,Q$4))</f>
        <v/>
      </c>
      <c r="R503" s="21" t="str">
        <f>IF(SUMIFS('Input Sheet'!$F$3:$F$1001,'Input Sheet'!$B$3:$B$1001,$H503,'Input Sheet'!$E$3:$E$1001,R$4)=0,"",SUMIFS('Input Sheet'!$F$3:$F$1001,'Input Sheet'!$B$3:$B$1001,$H503,'Input Sheet'!$E$3:$E$1001,R$4))</f>
        <v/>
      </c>
      <c r="S503" s="21" t="str">
        <f>IF(SUMIFS('Input Sheet'!$F$3:$F$1001,'Input Sheet'!$B$3:$B$1001,$H503,'Input Sheet'!$E$3:$E$1001,S$4)=0,"",SUMIFS('Input Sheet'!$F$3:$F$1001,'Input Sheet'!$B$3:$B$1001,$H503,'Input Sheet'!$E$3:$E$1001,S$4))</f>
        <v/>
      </c>
      <c r="T503" s="22">
        <v>498</v>
      </c>
    </row>
    <row r="504" spans="1:20" ht="14.25" customHeight="1" x14ac:dyDescent="0.3">
      <c r="A504" s="4" t="str">
        <f>IF('Input Sheet'!B501=0,"",'Input Sheet'!B501)</f>
        <v/>
      </c>
      <c r="B504" s="24" t="b">
        <f t="shared" si="264"/>
        <v>0</v>
      </c>
      <c r="C504" s="4">
        <f>SUMIF('Input Sheet'!B$3:B$1000,A504,'Input Sheet'!C$3:C$1000)</f>
        <v>0</v>
      </c>
      <c r="D504" s="4">
        <f>SUMIF('Input Sheet'!B$3:B$1000,A504,'Input Sheet'!D$3:D$1000)</f>
        <v>0</v>
      </c>
      <c r="E504" s="4" t="str">
        <f t="shared" ref="E504:F504" ca="1" si="514">IFERROR(RANK(K504,K$6:K$1004,1),"")</f>
        <v/>
      </c>
      <c r="F504" s="4" t="str">
        <f t="shared" ca="1" si="514"/>
        <v/>
      </c>
      <c r="G504" s="4" t="str">
        <f t="shared" ca="1" si="266"/>
        <v/>
      </c>
      <c r="H504" s="4" t="str">
        <f t="shared" si="267"/>
        <v/>
      </c>
      <c r="I504" s="4" t="str">
        <f t="shared" si="268"/>
        <v/>
      </c>
      <c r="J504" s="4" t="str">
        <f t="shared" si="269"/>
        <v/>
      </c>
      <c r="K504" s="25" t="str">
        <f t="shared" ca="1" si="270"/>
        <v/>
      </c>
      <c r="L504" s="21" t="str">
        <f t="shared" ca="1" si="271"/>
        <v/>
      </c>
      <c r="M504" s="21" t="str">
        <f>IF(SUMIFS('Input Sheet'!$F$3:$F$1001,'Input Sheet'!$B$3:$B$1001,$H504,'Input Sheet'!$E$3:$E$1001,M$4)=0,"",SUMIFS('Input Sheet'!$F$3:$F$1001,'Input Sheet'!$B$3:$B$1001,$H504,'Input Sheet'!$E$3:$E$1001,M$4))</f>
        <v/>
      </c>
      <c r="N504" s="21" t="str">
        <f>IF(SUMIFS('Input Sheet'!$F$3:$F$1001,'Input Sheet'!$B$3:$B$1001,$H504,'Input Sheet'!$E$3:$E$1001,N$4)=0,"",SUMIFS('Input Sheet'!$F$3:$F$1001,'Input Sheet'!$B$3:$B$1001,$H504,'Input Sheet'!$E$3:$E$1001,N$4))</f>
        <v/>
      </c>
      <c r="O504" s="21" t="str">
        <f>IF(SUMIFS('Input Sheet'!$F$3:$F$1001,'Input Sheet'!$B$3:$B$1001,$H504,'Input Sheet'!$E$3:$E$1001,O$4)=0,"",SUMIFS('Input Sheet'!$F$3:$F$1001,'Input Sheet'!$B$3:$B$1001,$H504,'Input Sheet'!$E$3:$E$1001,O$4))</f>
        <v/>
      </c>
      <c r="P504" s="21" t="str">
        <f>IF(SUMIFS('Input Sheet'!$F$3:$F$1001,'Input Sheet'!$B$3:$B$1001,$H504,'Input Sheet'!$E$3:$E$1001,P$4)=0,"",SUMIFS('Input Sheet'!$F$3:$F$1001,'Input Sheet'!$B$3:$B$1001,$H504,'Input Sheet'!$E$3:$E$1001,P$4))</f>
        <v/>
      </c>
      <c r="Q504" s="21" t="str">
        <f>IF(SUMIFS('Input Sheet'!$F$3:$F$1001,'Input Sheet'!$B$3:$B$1001,$H504,'Input Sheet'!$E$3:$E$1001,Q$4)=0,"",SUMIFS('Input Sheet'!$F$3:$F$1001,'Input Sheet'!$B$3:$B$1001,$H504,'Input Sheet'!$E$3:$E$1001,Q$4))</f>
        <v/>
      </c>
      <c r="R504" s="21" t="str">
        <f>IF(SUMIFS('Input Sheet'!$F$3:$F$1001,'Input Sheet'!$B$3:$B$1001,$H504,'Input Sheet'!$E$3:$E$1001,R$4)=0,"",SUMIFS('Input Sheet'!$F$3:$F$1001,'Input Sheet'!$B$3:$B$1001,$H504,'Input Sheet'!$E$3:$E$1001,R$4))</f>
        <v/>
      </c>
      <c r="S504" s="21" t="str">
        <f>IF(SUMIFS('Input Sheet'!$F$3:$F$1001,'Input Sheet'!$B$3:$B$1001,$H504,'Input Sheet'!$E$3:$E$1001,S$4)=0,"",SUMIFS('Input Sheet'!$F$3:$F$1001,'Input Sheet'!$B$3:$B$1001,$H504,'Input Sheet'!$E$3:$E$1001,S$4))</f>
        <v/>
      </c>
      <c r="T504" s="22">
        <v>499</v>
      </c>
    </row>
    <row r="505" spans="1:20" ht="14.25" customHeight="1" x14ac:dyDescent="0.3">
      <c r="A505" s="4" t="str">
        <f>IF('Input Sheet'!B502=0,"",'Input Sheet'!B502)</f>
        <v/>
      </c>
      <c r="B505" s="24" t="b">
        <f t="shared" si="264"/>
        <v>0</v>
      </c>
      <c r="C505" s="4">
        <f>SUMIF('Input Sheet'!B$3:B$1000,A505,'Input Sheet'!C$3:C$1000)</f>
        <v>0</v>
      </c>
      <c r="D505" s="4">
        <f>SUMIF('Input Sheet'!B$3:B$1000,A505,'Input Sheet'!D$3:D$1000)</f>
        <v>0</v>
      </c>
      <c r="E505" s="4" t="str">
        <f t="shared" ref="E505:F505" ca="1" si="515">IFERROR(RANK(K505,K$6:K$1004,1),"")</f>
        <v/>
      </c>
      <c r="F505" s="4" t="str">
        <f t="shared" ca="1" si="515"/>
        <v/>
      </c>
      <c r="G505" s="4" t="str">
        <f t="shared" ca="1" si="266"/>
        <v/>
      </c>
      <c r="H505" s="4" t="str">
        <f t="shared" si="267"/>
        <v/>
      </c>
      <c r="I505" s="4" t="str">
        <f t="shared" si="268"/>
        <v/>
      </c>
      <c r="J505" s="4" t="str">
        <f t="shared" si="269"/>
        <v/>
      </c>
      <c r="K505" s="25" t="str">
        <f t="shared" ca="1" si="270"/>
        <v/>
      </c>
      <c r="L505" s="21" t="str">
        <f t="shared" ca="1" si="271"/>
        <v/>
      </c>
      <c r="M505" s="21" t="str">
        <f>IF(SUMIFS('Input Sheet'!$F$3:$F$1001,'Input Sheet'!$B$3:$B$1001,$H505,'Input Sheet'!$E$3:$E$1001,M$4)=0,"",SUMIFS('Input Sheet'!$F$3:$F$1001,'Input Sheet'!$B$3:$B$1001,$H505,'Input Sheet'!$E$3:$E$1001,M$4))</f>
        <v/>
      </c>
      <c r="N505" s="21" t="str">
        <f>IF(SUMIFS('Input Sheet'!$F$3:$F$1001,'Input Sheet'!$B$3:$B$1001,$H505,'Input Sheet'!$E$3:$E$1001,N$4)=0,"",SUMIFS('Input Sheet'!$F$3:$F$1001,'Input Sheet'!$B$3:$B$1001,$H505,'Input Sheet'!$E$3:$E$1001,N$4))</f>
        <v/>
      </c>
      <c r="O505" s="21" t="str">
        <f>IF(SUMIFS('Input Sheet'!$F$3:$F$1001,'Input Sheet'!$B$3:$B$1001,$H505,'Input Sheet'!$E$3:$E$1001,O$4)=0,"",SUMIFS('Input Sheet'!$F$3:$F$1001,'Input Sheet'!$B$3:$B$1001,$H505,'Input Sheet'!$E$3:$E$1001,O$4))</f>
        <v/>
      </c>
      <c r="P505" s="21" t="str">
        <f>IF(SUMIFS('Input Sheet'!$F$3:$F$1001,'Input Sheet'!$B$3:$B$1001,$H505,'Input Sheet'!$E$3:$E$1001,P$4)=0,"",SUMIFS('Input Sheet'!$F$3:$F$1001,'Input Sheet'!$B$3:$B$1001,$H505,'Input Sheet'!$E$3:$E$1001,P$4))</f>
        <v/>
      </c>
      <c r="Q505" s="21" t="str">
        <f>IF(SUMIFS('Input Sheet'!$F$3:$F$1001,'Input Sheet'!$B$3:$B$1001,$H505,'Input Sheet'!$E$3:$E$1001,Q$4)=0,"",SUMIFS('Input Sheet'!$F$3:$F$1001,'Input Sheet'!$B$3:$B$1001,$H505,'Input Sheet'!$E$3:$E$1001,Q$4))</f>
        <v/>
      </c>
      <c r="R505" s="21" t="str">
        <f>IF(SUMIFS('Input Sheet'!$F$3:$F$1001,'Input Sheet'!$B$3:$B$1001,$H505,'Input Sheet'!$E$3:$E$1001,R$4)=0,"",SUMIFS('Input Sheet'!$F$3:$F$1001,'Input Sheet'!$B$3:$B$1001,$H505,'Input Sheet'!$E$3:$E$1001,R$4))</f>
        <v/>
      </c>
      <c r="S505" s="21" t="str">
        <f>IF(SUMIFS('Input Sheet'!$F$3:$F$1001,'Input Sheet'!$B$3:$B$1001,$H505,'Input Sheet'!$E$3:$E$1001,S$4)=0,"",SUMIFS('Input Sheet'!$F$3:$F$1001,'Input Sheet'!$B$3:$B$1001,$H505,'Input Sheet'!$E$3:$E$1001,S$4))</f>
        <v/>
      </c>
      <c r="T505" s="22">
        <v>500</v>
      </c>
    </row>
    <row r="506" spans="1:20" ht="14.25" customHeight="1" x14ac:dyDescent="0.3">
      <c r="A506" s="4" t="str">
        <f>IF('Input Sheet'!B503=0,"",'Input Sheet'!B503)</f>
        <v/>
      </c>
      <c r="B506" s="24" t="b">
        <f t="shared" si="264"/>
        <v>0</v>
      </c>
      <c r="C506" s="4">
        <f>SUMIF('Input Sheet'!B$3:B$1000,A506,'Input Sheet'!C$3:C$1000)</f>
        <v>0</v>
      </c>
      <c r="D506" s="4">
        <f>SUMIF('Input Sheet'!B$3:B$1000,A506,'Input Sheet'!D$3:D$1000)</f>
        <v>0</v>
      </c>
      <c r="E506" s="4" t="str">
        <f t="shared" ref="E506:F506" ca="1" si="516">IFERROR(RANK(K506,K$6:K$1004,1),"")</f>
        <v/>
      </c>
      <c r="F506" s="4" t="str">
        <f t="shared" ca="1" si="516"/>
        <v/>
      </c>
      <c r="G506" s="4" t="str">
        <f t="shared" ca="1" si="266"/>
        <v/>
      </c>
      <c r="H506" s="4" t="str">
        <f t="shared" si="267"/>
        <v/>
      </c>
      <c r="I506" s="4" t="str">
        <f t="shared" si="268"/>
        <v/>
      </c>
      <c r="J506" s="4" t="str">
        <f t="shared" si="269"/>
        <v/>
      </c>
      <c r="K506" s="25" t="str">
        <f t="shared" ca="1" si="270"/>
        <v/>
      </c>
      <c r="L506" s="21" t="str">
        <f t="shared" ca="1" si="271"/>
        <v/>
      </c>
      <c r="M506" s="21" t="str">
        <f>IF(SUMIFS('Input Sheet'!$F$3:$F$1001,'Input Sheet'!$B$3:$B$1001,$H506,'Input Sheet'!$E$3:$E$1001,M$4)=0,"",SUMIFS('Input Sheet'!$F$3:$F$1001,'Input Sheet'!$B$3:$B$1001,$H506,'Input Sheet'!$E$3:$E$1001,M$4))</f>
        <v/>
      </c>
      <c r="N506" s="21" t="str">
        <f>IF(SUMIFS('Input Sheet'!$F$3:$F$1001,'Input Sheet'!$B$3:$B$1001,$H506,'Input Sheet'!$E$3:$E$1001,N$4)=0,"",SUMIFS('Input Sheet'!$F$3:$F$1001,'Input Sheet'!$B$3:$B$1001,$H506,'Input Sheet'!$E$3:$E$1001,N$4))</f>
        <v/>
      </c>
      <c r="O506" s="21" t="str">
        <f>IF(SUMIFS('Input Sheet'!$F$3:$F$1001,'Input Sheet'!$B$3:$B$1001,$H506,'Input Sheet'!$E$3:$E$1001,O$4)=0,"",SUMIFS('Input Sheet'!$F$3:$F$1001,'Input Sheet'!$B$3:$B$1001,$H506,'Input Sheet'!$E$3:$E$1001,O$4))</f>
        <v/>
      </c>
      <c r="P506" s="21" t="str">
        <f>IF(SUMIFS('Input Sheet'!$F$3:$F$1001,'Input Sheet'!$B$3:$B$1001,$H506,'Input Sheet'!$E$3:$E$1001,P$4)=0,"",SUMIFS('Input Sheet'!$F$3:$F$1001,'Input Sheet'!$B$3:$B$1001,$H506,'Input Sheet'!$E$3:$E$1001,P$4))</f>
        <v/>
      </c>
      <c r="Q506" s="21" t="str">
        <f>IF(SUMIFS('Input Sheet'!$F$3:$F$1001,'Input Sheet'!$B$3:$B$1001,$H506,'Input Sheet'!$E$3:$E$1001,Q$4)=0,"",SUMIFS('Input Sheet'!$F$3:$F$1001,'Input Sheet'!$B$3:$B$1001,$H506,'Input Sheet'!$E$3:$E$1001,Q$4))</f>
        <v/>
      </c>
      <c r="R506" s="21" t="str">
        <f>IF(SUMIFS('Input Sheet'!$F$3:$F$1001,'Input Sheet'!$B$3:$B$1001,$H506,'Input Sheet'!$E$3:$E$1001,R$4)=0,"",SUMIFS('Input Sheet'!$F$3:$F$1001,'Input Sheet'!$B$3:$B$1001,$H506,'Input Sheet'!$E$3:$E$1001,R$4))</f>
        <v/>
      </c>
      <c r="S506" s="21" t="str">
        <f>IF(SUMIFS('Input Sheet'!$F$3:$F$1001,'Input Sheet'!$B$3:$B$1001,$H506,'Input Sheet'!$E$3:$E$1001,S$4)=0,"",SUMIFS('Input Sheet'!$F$3:$F$1001,'Input Sheet'!$B$3:$B$1001,$H506,'Input Sheet'!$E$3:$E$1001,S$4))</f>
        <v/>
      </c>
      <c r="T506" s="22">
        <v>501</v>
      </c>
    </row>
    <row r="507" spans="1:20" ht="14.25" customHeight="1" x14ac:dyDescent="0.3">
      <c r="A507" s="4" t="str">
        <f>IF('Input Sheet'!B504=0,"",'Input Sheet'!B504)</f>
        <v/>
      </c>
      <c r="B507" s="24" t="b">
        <f t="shared" si="264"/>
        <v>0</v>
      </c>
      <c r="C507" s="4">
        <f>SUMIF('Input Sheet'!B$3:B$1000,A507,'Input Sheet'!C$3:C$1000)</f>
        <v>0</v>
      </c>
      <c r="D507" s="4">
        <f>SUMIF('Input Sheet'!B$3:B$1000,A507,'Input Sheet'!D$3:D$1000)</f>
        <v>0</v>
      </c>
      <c r="E507" s="4" t="str">
        <f t="shared" ref="E507:F507" ca="1" si="517">IFERROR(RANK(K507,K$6:K$1004,1),"")</f>
        <v/>
      </c>
      <c r="F507" s="4" t="str">
        <f t="shared" ca="1" si="517"/>
        <v/>
      </c>
      <c r="G507" s="4" t="str">
        <f t="shared" ca="1" si="266"/>
        <v/>
      </c>
      <c r="H507" s="4" t="str">
        <f t="shared" si="267"/>
        <v/>
      </c>
      <c r="I507" s="4" t="str">
        <f t="shared" si="268"/>
        <v/>
      </c>
      <c r="J507" s="4" t="str">
        <f t="shared" si="269"/>
        <v/>
      </c>
      <c r="K507" s="25" t="str">
        <f t="shared" ca="1" si="270"/>
        <v/>
      </c>
      <c r="L507" s="21" t="str">
        <f t="shared" ca="1" si="271"/>
        <v/>
      </c>
      <c r="M507" s="21" t="str">
        <f>IF(SUMIFS('Input Sheet'!$F$3:$F$1001,'Input Sheet'!$B$3:$B$1001,$H507,'Input Sheet'!$E$3:$E$1001,M$4)=0,"",SUMIFS('Input Sheet'!$F$3:$F$1001,'Input Sheet'!$B$3:$B$1001,$H507,'Input Sheet'!$E$3:$E$1001,M$4))</f>
        <v/>
      </c>
      <c r="N507" s="21" t="str">
        <f>IF(SUMIFS('Input Sheet'!$F$3:$F$1001,'Input Sheet'!$B$3:$B$1001,$H507,'Input Sheet'!$E$3:$E$1001,N$4)=0,"",SUMIFS('Input Sheet'!$F$3:$F$1001,'Input Sheet'!$B$3:$B$1001,$H507,'Input Sheet'!$E$3:$E$1001,N$4))</f>
        <v/>
      </c>
      <c r="O507" s="21" t="str">
        <f>IF(SUMIFS('Input Sheet'!$F$3:$F$1001,'Input Sheet'!$B$3:$B$1001,$H507,'Input Sheet'!$E$3:$E$1001,O$4)=0,"",SUMIFS('Input Sheet'!$F$3:$F$1001,'Input Sheet'!$B$3:$B$1001,$H507,'Input Sheet'!$E$3:$E$1001,O$4))</f>
        <v/>
      </c>
      <c r="P507" s="21" t="str">
        <f>IF(SUMIFS('Input Sheet'!$F$3:$F$1001,'Input Sheet'!$B$3:$B$1001,$H507,'Input Sheet'!$E$3:$E$1001,P$4)=0,"",SUMIFS('Input Sheet'!$F$3:$F$1001,'Input Sheet'!$B$3:$B$1001,$H507,'Input Sheet'!$E$3:$E$1001,P$4))</f>
        <v/>
      </c>
      <c r="Q507" s="21" t="str">
        <f>IF(SUMIFS('Input Sheet'!$F$3:$F$1001,'Input Sheet'!$B$3:$B$1001,$H507,'Input Sheet'!$E$3:$E$1001,Q$4)=0,"",SUMIFS('Input Sheet'!$F$3:$F$1001,'Input Sheet'!$B$3:$B$1001,$H507,'Input Sheet'!$E$3:$E$1001,Q$4))</f>
        <v/>
      </c>
      <c r="R507" s="21" t="str">
        <f>IF(SUMIFS('Input Sheet'!$F$3:$F$1001,'Input Sheet'!$B$3:$B$1001,$H507,'Input Sheet'!$E$3:$E$1001,R$4)=0,"",SUMIFS('Input Sheet'!$F$3:$F$1001,'Input Sheet'!$B$3:$B$1001,$H507,'Input Sheet'!$E$3:$E$1001,R$4))</f>
        <v/>
      </c>
      <c r="S507" s="21" t="str">
        <f>IF(SUMIFS('Input Sheet'!$F$3:$F$1001,'Input Sheet'!$B$3:$B$1001,$H507,'Input Sheet'!$E$3:$E$1001,S$4)=0,"",SUMIFS('Input Sheet'!$F$3:$F$1001,'Input Sheet'!$B$3:$B$1001,$H507,'Input Sheet'!$E$3:$E$1001,S$4))</f>
        <v/>
      </c>
      <c r="T507" s="22">
        <v>502</v>
      </c>
    </row>
    <row r="508" spans="1:20" ht="14.25" customHeight="1" x14ac:dyDescent="0.3">
      <c r="A508" s="4" t="str">
        <f>IF('Input Sheet'!B505=0,"",'Input Sheet'!B505)</f>
        <v/>
      </c>
      <c r="B508" s="24" t="b">
        <f t="shared" si="264"/>
        <v>0</v>
      </c>
      <c r="C508" s="4">
        <f>SUMIF('Input Sheet'!B$3:B$1000,A508,'Input Sheet'!C$3:C$1000)</f>
        <v>0</v>
      </c>
      <c r="D508" s="4">
        <f>SUMIF('Input Sheet'!B$3:B$1000,A508,'Input Sheet'!D$3:D$1000)</f>
        <v>0</v>
      </c>
      <c r="E508" s="4" t="str">
        <f t="shared" ref="E508:F508" ca="1" si="518">IFERROR(RANK(K508,K$6:K$1004,1),"")</f>
        <v/>
      </c>
      <c r="F508" s="4" t="str">
        <f t="shared" ca="1" si="518"/>
        <v/>
      </c>
      <c r="G508" s="4" t="str">
        <f t="shared" ca="1" si="266"/>
        <v/>
      </c>
      <c r="H508" s="4" t="str">
        <f t="shared" si="267"/>
        <v/>
      </c>
      <c r="I508" s="4" t="str">
        <f t="shared" si="268"/>
        <v/>
      </c>
      <c r="J508" s="4" t="str">
        <f t="shared" si="269"/>
        <v/>
      </c>
      <c r="K508" s="25" t="str">
        <f t="shared" ca="1" si="270"/>
        <v/>
      </c>
      <c r="L508" s="21" t="str">
        <f t="shared" ca="1" si="271"/>
        <v/>
      </c>
      <c r="M508" s="21" t="str">
        <f>IF(SUMIFS('Input Sheet'!$F$3:$F$1001,'Input Sheet'!$B$3:$B$1001,$H508,'Input Sheet'!$E$3:$E$1001,M$4)=0,"",SUMIFS('Input Sheet'!$F$3:$F$1001,'Input Sheet'!$B$3:$B$1001,$H508,'Input Sheet'!$E$3:$E$1001,M$4))</f>
        <v/>
      </c>
      <c r="N508" s="21" t="str">
        <f>IF(SUMIFS('Input Sheet'!$F$3:$F$1001,'Input Sheet'!$B$3:$B$1001,$H508,'Input Sheet'!$E$3:$E$1001,N$4)=0,"",SUMIFS('Input Sheet'!$F$3:$F$1001,'Input Sheet'!$B$3:$B$1001,$H508,'Input Sheet'!$E$3:$E$1001,N$4))</f>
        <v/>
      </c>
      <c r="O508" s="21" t="str">
        <f>IF(SUMIFS('Input Sheet'!$F$3:$F$1001,'Input Sheet'!$B$3:$B$1001,$H508,'Input Sheet'!$E$3:$E$1001,O$4)=0,"",SUMIFS('Input Sheet'!$F$3:$F$1001,'Input Sheet'!$B$3:$B$1001,$H508,'Input Sheet'!$E$3:$E$1001,O$4))</f>
        <v/>
      </c>
      <c r="P508" s="21" t="str">
        <f>IF(SUMIFS('Input Sheet'!$F$3:$F$1001,'Input Sheet'!$B$3:$B$1001,$H508,'Input Sheet'!$E$3:$E$1001,P$4)=0,"",SUMIFS('Input Sheet'!$F$3:$F$1001,'Input Sheet'!$B$3:$B$1001,$H508,'Input Sheet'!$E$3:$E$1001,P$4))</f>
        <v/>
      </c>
      <c r="Q508" s="21" t="str">
        <f>IF(SUMIFS('Input Sheet'!$F$3:$F$1001,'Input Sheet'!$B$3:$B$1001,$H508,'Input Sheet'!$E$3:$E$1001,Q$4)=0,"",SUMIFS('Input Sheet'!$F$3:$F$1001,'Input Sheet'!$B$3:$B$1001,$H508,'Input Sheet'!$E$3:$E$1001,Q$4))</f>
        <v/>
      </c>
      <c r="R508" s="21" t="str">
        <f>IF(SUMIFS('Input Sheet'!$F$3:$F$1001,'Input Sheet'!$B$3:$B$1001,$H508,'Input Sheet'!$E$3:$E$1001,R$4)=0,"",SUMIFS('Input Sheet'!$F$3:$F$1001,'Input Sheet'!$B$3:$B$1001,$H508,'Input Sheet'!$E$3:$E$1001,R$4))</f>
        <v/>
      </c>
      <c r="S508" s="21" t="str">
        <f>IF(SUMIFS('Input Sheet'!$F$3:$F$1001,'Input Sheet'!$B$3:$B$1001,$H508,'Input Sheet'!$E$3:$E$1001,S$4)=0,"",SUMIFS('Input Sheet'!$F$3:$F$1001,'Input Sheet'!$B$3:$B$1001,$H508,'Input Sheet'!$E$3:$E$1001,S$4))</f>
        <v/>
      </c>
      <c r="T508" s="22">
        <v>503</v>
      </c>
    </row>
    <row r="509" spans="1:20" ht="14.25" customHeight="1" x14ac:dyDescent="0.3">
      <c r="A509" s="4" t="str">
        <f>IF('Input Sheet'!B506=0,"",'Input Sheet'!B506)</f>
        <v/>
      </c>
      <c r="B509" s="24" t="b">
        <f t="shared" si="264"/>
        <v>0</v>
      </c>
      <c r="C509" s="4">
        <f>SUMIF('Input Sheet'!B$3:B$1000,A509,'Input Sheet'!C$3:C$1000)</f>
        <v>0</v>
      </c>
      <c r="D509" s="4">
        <f>SUMIF('Input Sheet'!B$3:B$1000,A509,'Input Sheet'!D$3:D$1000)</f>
        <v>0</v>
      </c>
      <c r="E509" s="4" t="str">
        <f t="shared" ref="E509:F509" ca="1" si="519">IFERROR(RANK(K509,K$6:K$1004,1),"")</f>
        <v/>
      </c>
      <c r="F509" s="4" t="str">
        <f t="shared" ca="1" si="519"/>
        <v/>
      </c>
      <c r="G509" s="4" t="str">
        <f t="shared" ca="1" si="266"/>
        <v/>
      </c>
      <c r="H509" s="4" t="str">
        <f t="shared" si="267"/>
        <v/>
      </c>
      <c r="I509" s="4" t="str">
        <f t="shared" si="268"/>
        <v/>
      </c>
      <c r="J509" s="4" t="str">
        <f t="shared" si="269"/>
        <v/>
      </c>
      <c r="K509" s="25" t="str">
        <f t="shared" ca="1" si="270"/>
        <v/>
      </c>
      <c r="L509" s="21" t="str">
        <f t="shared" ca="1" si="271"/>
        <v/>
      </c>
      <c r="M509" s="21" t="str">
        <f>IF(SUMIFS('Input Sheet'!$F$3:$F$1001,'Input Sheet'!$B$3:$B$1001,$H509,'Input Sheet'!$E$3:$E$1001,M$4)=0,"",SUMIFS('Input Sheet'!$F$3:$F$1001,'Input Sheet'!$B$3:$B$1001,$H509,'Input Sheet'!$E$3:$E$1001,M$4))</f>
        <v/>
      </c>
      <c r="N509" s="21" t="str">
        <f>IF(SUMIFS('Input Sheet'!$F$3:$F$1001,'Input Sheet'!$B$3:$B$1001,$H509,'Input Sheet'!$E$3:$E$1001,N$4)=0,"",SUMIFS('Input Sheet'!$F$3:$F$1001,'Input Sheet'!$B$3:$B$1001,$H509,'Input Sheet'!$E$3:$E$1001,N$4))</f>
        <v/>
      </c>
      <c r="O509" s="21" t="str">
        <f>IF(SUMIFS('Input Sheet'!$F$3:$F$1001,'Input Sheet'!$B$3:$B$1001,$H509,'Input Sheet'!$E$3:$E$1001,O$4)=0,"",SUMIFS('Input Sheet'!$F$3:$F$1001,'Input Sheet'!$B$3:$B$1001,$H509,'Input Sheet'!$E$3:$E$1001,O$4))</f>
        <v/>
      </c>
      <c r="P509" s="21" t="str">
        <f>IF(SUMIFS('Input Sheet'!$F$3:$F$1001,'Input Sheet'!$B$3:$B$1001,$H509,'Input Sheet'!$E$3:$E$1001,P$4)=0,"",SUMIFS('Input Sheet'!$F$3:$F$1001,'Input Sheet'!$B$3:$B$1001,$H509,'Input Sheet'!$E$3:$E$1001,P$4))</f>
        <v/>
      </c>
      <c r="Q509" s="21" t="str">
        <f>IF(SUMIFS('Input Sheet'!$F$3:$F$1001,'Input Sheet'!$B$3:$B$1001,$H509,'Input Sheet'!$E$3:$E$1001,Q$4)=0,"",SUMIFS('Input Sheet'!$F$3:$F$1001,'Input Sheet'!$B$3:$B$1001,$H509,'Input Sheet'!$E$3:$E$1001,Q$4))</f>
        <v/>
      </c>
      <c r="R509" s="21" t="str">
        <f>IF(SUMIFS('Input Sheet'!$F$3:$F$1001,'Input Sheet'!$B$3:$B$1001,$H509,'Input Sheet'!$E$3:$E$1001,R$4)=0,"",SUMIFS('Input Sheet'!$F$3:$F$1001,'Input Sheet'!$B$3:$B$1001,$H509,'Input Sheet'!$E$3:$E$1001,R$4))</f>
        <v/>
      </c>
      <c r="S509" s="21" t="str">
        <f>IF(SUMIFS('Input Sheet'!$F$3:$F$1001,'Input Sheet'!$B$3:$B$1001,$H509,'Input Sheet'!$E$3:$E$1001,S$4)=0,"",SUMIFS('Input Sheet'!$F$3:$F$1001,'Input Sheet'!$B$3:$B$1001,$H509,'Input Sheet'!$E$3:$E$1001,S$4))</f>
        <v/>
      </c>
      <c r="T509" s="22">
        <v>504</v>
      </c>
    </row>
    <row r="510" spans="1:20" ht="14.25" customHeight="1" x14ac:dyDescent="0.3">
      <c r="A510" s="4" t="str">
        <f>IF('Input Sheet'!B507=0,"",'Input Sheet'!B507)</f>
        <v/>
      </c>
      <c r="B510" s="24" t="b">
        <f t="shared" si="264"/>
        <v>0</v>
      </c>
      <c r="C510" s="4">
        <f>SUMIF('Input Sheet'!B$3:B$1000,A510,'Input Sheet'!C$3:C$1000)</f>
        <v>0</v>
      </c>
      <c r="D510" s="4">
        <f>SUMIF('Input Sheet'!B$3:B$1000,A510,'Input Sheet'!D$3:D$1000)</f>
        <v>0</v>
      </c>
      <c r="E510" s="4" t="str">
        <f t="shared" ref="E510:F510" ca="1" si="520">IFERROR(RANK(K510,K$6:K$1004,1),"")</f>
        <v/>
      </c>
      <c r="F510" s="4" t="str">
        <f t="shared" ca="1" si="520"/>
        <v/>
      </c>
      <c r="G510" s="4" t="str">
        <f t="shared" ca="1" si="266"/>
        <v/>
      </c>
      <c r="H510" s="4" t="str">
        <f t="shared" si="267"/>
        <v/>
      </c>
      <c r="I510" s="4" t="str">
        <f t="shared" si="268"/>
        <v/>
      </c>
      <c r="J510" s="4" t="str">
        <f t="shared" si="269"/>
        <v/>
      </c>
      <c r="K510" s="25" t="str">
        <f t="shared" ca="1" si="270"/>
        <v/>
      </c>
      <c r="L510" s="21" t="str">
        <f t="shared" ca="1" si="271"/>
        <v/>
      </c>
      <c r="M510" s="21" t="str">
        <f>IF(SUMIFS('Input Sheet'!$F$3:$F$1001,'Input Sheet'!$B$3:$B$1001,$H510,'Input Sheet'!$E$3:$E$1001,M$4)=0,"",SUMIFS('Input Sheet'!$F$3:$F$1001,'Input Sheet'!$B$3:$B$1001,$H510,'Input Sheet'!$E$3:$E$1001,M$4))</f>
        <v/>
      </c>
      <c r="N510" s="21" t="str">
        <f>IF(SUMIFS('Input Sheet'!$F$3:$F$1001,'Input Sheet'!$B$3:$B$1001,$H510,'Input Sheet'!$E$3:$E$1001,N$4)=0,"",SUMIFS('Input Sheet'!$F$3:$F$1001,'Input Sheet'!$B$3:$B$1001,$H510,'Input Sheet'!$E$3:$E$1001,N$4))</f>
        <v/>
      </c>
      <c r="O510" s="21" t="str">
        <f>IF(SUMIFS('Input Sheet'!$F$3:$F$1001,'Input Sheet'!$B$3:$B$1001,$H510,'Input Sheet'!$E$3:$E$1001,O$4)=0,"",SUMIFS('Input Sheet'!$F$3:$F$1001,'Input Sheet'!$B$3:$B$1001,$H510,'Input Sheet'!$E$3:$E$1001,O$4))</f>
        <v/>
      </c>
      <c r="P510" s="21" t="str">
        <f>IF(SUMIFS('Input Sheet'!$F$3:$F$1001,'Input Sheet'!$B$3:$B$1001,$H510,'Input Sheet'!$E$3:$E$1001,P$4)=0,"",SUMIFS('Input Sheet'!$F$3:$F$1001,'Input Sheet'!$B$3:$B$1001,$H510,'Input Sheet'!$E$3:$E$1001,P$4))</f>
        <v/>
      </c>
      <c r="Q510" s="21" t="str">
        <f>IF(SUMIFS('Input Sheet'!$F$3:$F$1001,'Input Sheet'!$B$3:$B$1001,$H510,'Input Sheet'!$E$3:$E$1001,Q$4)=0,"",SUMIFS('Input Sheet'!$F$3:$F$1001,'Input Sheet'!$B$3:$B$1001,$H510,'Input Sheet'!$E$3:$E$1001,Q$4))</f>
        <v/>
      </c>
      <c r="R510" s="21" t="str">
        <f>IF(SUMIFS('Input Sheet'!$F$3:$F$1001,'Input Sheet'!$B$3:$B$1001,$H510,'Input Sheet'!$E$3:$E$1001,R$4)=0,"",SUMIFS('Input Sheet'!$F$3:$F$1001,'Input Sheet'!$B$3:$B$1001,$H510,'Input Sheet'!$E$3:$E$1001,R$4))</f>
        <v/>
      </c>
      <c r="S510" s="21" t="str">
        <f>IF(SUMIFS('Input Sheet'!$F$3:$F$1001,'Input Sheet'!$B$3:$B$1001,$H510,'Input Sheet'!$E$3:$E$1001,S$4)=0,"",SUMIFS('Input Sheet'!$F$3:$F$1001,'Input Sheet'!$B$3:$B$1001,$H510,'Input Sheet'!$E$3:$E$1001,S$4))</f>
        <v/>
      </c>
      <c r="T510" s="22">
        <v>505</v>
      </c>
    </row>
    <row r="511" spans="1:20" ht="14.25" customHeight="1" x14ac:dyDescent="0.3">
      <c r="A511" s="4" t="str">
        <f>IF('Input Sheet'!B508=0,"",'Input Sheet'!B508)</f>
        <v/>
      </c>
      <c r="B511" s="24" t="b">
        <f t="shared" si="264"/>
        <v>0</v>
      </c>
      <c r="C511" s="4">
        <f>SUMIF('Input Sheet'!B$3:B$1000,A511,'Input Sheet'!C$3:C$1000)</f>
        <v>0</v>
      </c>
      <c r="D511" s="4">
        <f>SUMIF('Input Sheet'!B$3:B$1000,A511,'Input Sheet'!D$3:D$1000)</f>
        <v>0</v>
      </c>
      <c r="E511" s="4" t="str">
        <f t="shared" ref="E511:F511" ca="1" si="521">IFERROR(RANK(K511,K$6:K$1004,1),"")</f>
        <v/>
      </c>
      <c r="F511" s="4" t="str">
        <f t="shared" ca="1" si="521"/>
        <v/>
      </c>
      <c r="G511" s="4" t="str">
        <f t="shared" ca="1" si="266"/>
        <v/>
      </c>
      <c r="H511" s="4" t="str">
        <f t="shared" si="267"/>
        <v/>
      </c>
      <c r="I511" s="4" t="str">
        <f t="shared" si="268"/>
        <v/>
      </c>
      <c r="J511" s="4" t="str">
        <f t="shared" si="269"/>
        <v/>
      </c>
      <c r="K511" s="25" t="str">
        <f t="shared" ca="1" si="270"/>
        <v/>
      </c>
      <c r="L511" s="21" t="str">
        <f t="shared" ca="1" si="271"/>
        <v/>
      </c>
      <c r="M511" s="21" t="str">
        <f>IF(SUMIFS('Input Sheet'!$F$3:$F$1001,'Input Sheet'!$B$3:$B$1001,$H511,'Input Sheet'!$E$3:$E$1001,M$4)=0,"",SUMIFS('Input Sheet'!$F$3:$F$1001,'Input Sheet'!$B$3:$B$1001,$H511,'Input Sheet'!$E$3:$E$1001,M$4))</f>
        <v/>
      </c>
      <c r="N511" s="21" t="str">
        <f>IF(SUMIFS('Input Sheet'!$F$3:$F$1001,'Input Sheet'!$B$3:$B$1001,$H511,'Input Sheet'!$E$3:$E$1001,N$4)=0,"",SUMIFS('Input Sheet'!$F$3:$F$1001,'Input Sheet'!$B$3:$B$1001,$H511,'Input Sheet'!$E$3:$E$1001,N$4))</f>
        <v/>
      </c>
      <c r="O511" s="21" t="str">
        <f>IF(SUMIFS('Input Sheet'!$F$3:$F$1001,'Input Sheet'!$B$3:$B$1001,$H511,'Input Sheet'!$E$3:$E$1001,O$4)=0,"",SUMIFS('Input Sheet'!$F$3:$F$1001,'Input Sheet'!$B$3:$B$1001,$H511,'Input Sheet'!$E$3:$E$1001,O$4))</f>
        <v/>
      </c>
      <c r="P511" s="21" t="str">
        <f>IF(SUMIFS('Input Sheet'!$F$3:$F$1001,'Input Sheet'!$B$3:$B$1001,$H511,'Input Sheet'!$E$3:$E$1001,P$4)=0,"",SUMIFS('Input Sheet'!$F$3:$F$1001,'Input Sheet'!$B$3:$B$1001,$H511,'Input Sheet'!$E$3:$E$1001,P$4))</f>
        <v/>
      </c>
      <c r="Q511" s="21" t="str">
        <f>IF(SUMIFS('Input Sheet'!$F$3:$F$1001,'Input Sheet'!$B$3:$B$1001,$H511,'Input Sheet'!$E$3:$E$1001,Q$4)=0,"",SUMIFS('Input Sheet'!$F$3:$F$1001,'Input Sheet'!$B$3:$B$1001,$H511,'Input Sheet'!$E$3:$E$1001,Q$4))</f>
        <v/>
      </c>
      <c r="R511" s="21" t="str">
        <f>IF(SUMIFS('Input Sheet'!$F$3:$F$1001,'Input Sheet'!$B$3:$B$1001,$H511,'Input Sheet'!$E$3:$E$1001,R$4)=0,"",SUMIFS('Input Sheet'!$F$3:$F$1001,'Input Sheet'!$B$3:$B$1001,$H511,'Input Sheet'!$E$3:$E$1001,R$4))</f>
        <v/>
      </c>
      <c r="S511" s="21" t="str">
        <f>IF(SUMIFS('Input Sheet'!$F$3:$F$1001,'Input Sheet'!$B$3:$B$1001,$H511,'Input Sheet'!$E$3:$E$1001,S$4)=0,"",SUMIFS('Input Sheet'!$F$3:$F$1001,'Input Sheet'!$B$3:$B$1001,$H511,'Input Sheet'!$E$3:$E$1001,S$4))</f>
        <v/>
      </c>
      <c r="T511" s="22">
        <v>506</v>
      </c>
    </row>
    <row r="512" spans="1:20" ht="14.25" customHeight="1" x14ac:dyDescent="0.3">
      <c r="A512" s="4" t="str">
        <f>IF('Input Sheet'!B509=0,"",'Input Sheet'!B509)</f>
        <v/>
      </c>
      <c r="B512" s="24" t="b">
        <f t="shared" si="264"/>
        <v>0</v>
      </c>
      <c r="C512" s="4">
        <f>SUMIF('Input Sheet'!B$3:B$1000,A512,'Input Sheet'!C$3:C$1000)</f>
        <v>0</v>
      </c>
      <c r="D512" s="4">
        <f>SUMIF('Input Sheet'!B$3:B$1000,A512,'Input Sheet'!D$3:D$1000)</f>
        <v>0</v>
      </c>
      <c r="E512" s="4" t="str">
        <f t="shared" ref="E512:F512" ca="1" si="522">IFERROR(RANK(K512,K$6:K$1004,1),"")</f>
        <v/>
      </c>
      <c r="F512" s="4" t="str">
        <f t="shared" ca="1" si="522"/>
        <v/>
      </c>
      <c r="G512" s="4" t="str">
        <f t="shared" ca="1" si="266"/>
        <v/>
      </c>
      <c r="H512" s="4" t="str">
        <f t="shared" si="267"/>
        <v/>
      </c>
      <c r="I512" s="4" t="str">
        <f t="shared" si="268"/>
        <v/>
      </c>
      <c r="J512" s="4" t="str">
        <f t="shared" si="269"/>
        <v/>
      </c>
      <c r="K512" s="25" t="str">
        <f t="shared" ca="1" si="270"/>
        <v/>
      </c>
      <c r="L512" s="21" t="str">
        <f t="shared" ca="1" si="271"/>
        <v/>
      </c>
      <c r="M512" s="21" t="str">
        <f>IF(SUMIFS('Input Sheet'!$F$3:$F$1001,'Input Sheet'!$B$3:$B$1001,$H512,'Input Sheet'!$E$3:$E$1001,M$4)=0,"",SUMIFS('Input Sheet'!$F$3:$F$1001,'Input Sheet'!$B$3:$B$1001,$H512,'Input Sheet'!$E$3:$E$1001,M$4))</f>
        <v/>
      </c>
      <c r="N512" s="21" t="str">
        <f>IF(SUMIFS('Input Sheet'!$F$3:$F$1001,'Input Sheet'!$B$3:$B$1001,$H512,'Input Sheet'!$E$3:$E$1001,N$4)=0,"",SUMIFS('Input Sheet'!$F$3:$F$1001,'Input Sheet'!$B$3:$B$1001,$H512,'Input Sheet'!$E$3:$E$1001,N$4))</f>
        <v/>
      </c>
      <c r="O512" s="21" t="str">
        <f>IF(SUMIFS('Input Sheet'!$F$3:$F$1001,'Input Sheet'!$B$3:$B$1001,$H512,'Input Sheet'!$E$3:$E$1001,O$4)=0,"",SUMIFS('Input Sheet'!$F$3:$F$1001,'Input Sheet'!$B$3:$B$1001,$H512,'Input Sheet'!$E$3:$E$1001,O$4))</f>
        <v/>
      </c>
      <c r="P512" s="21" t="str">
        <f>IF(SUMIFS('Input Sheet'!$F$3:$F$1001,'Input Sheet'!$B$3:$B$1001,$H512,'Input Sheet'!$E$3:$E$1001,P$4)=0,"",SUMIFS('Input Sheet'!$F$3:$F$1001,'Input Sheet'!$B$3:$B$1001,$H512,'Input Sheet'!$E$3:$E$1001,P$4))</f>
        <v/>
      </c>
      <c r="Q512" s="21" t="str">
        <f>IF(SUMIFS('Input Sheet'!$F$3:$F$1001,'Input Sheet'!$B$3:$B$1001,$H512,'Input Sheet'!$E$3:$E$1001,Q$4)=0,"",SUMIFS('Input Sheet'!$F$3:$F$1001,'Input Sheet'!$B$3:$B$1001,$H512,'Input Sheet'!$E$3:$E$1001,Q$4))</f>
        <v/>
      </c>
      <c r="R512" s="21" t="str">
        <f>IF(SUMIFS('Input Sheet'!$F$3:$F$1001,'Input Sheet'!$B$3:$B$1001,$H512,'Input Sheet'!$E$3:$E$1001,R$4)=0,"",SUMIFS('Input Sheet'!$F$3:$F$1001,'Input Sheet'!$B$3:$B$1001,$H512,'Input Sheet'!$E$3:$E$1001,R$4))</f>
        <v/>
      </c>
      <c r="S512" s="21" t="str">
        <f>IF(SUMIFS('Input Sheet'!$F$3:$F$1001,'Input Sheet'!$B$3:$B$1001,$H512,'Input Sheet'!$E$3:$E$1001,S$4)=0,"",SUMIFS('Input Sheet'!$F$3:$F$1001,'Input Sheet'!$B$3:$B$1001,$H512,'Input Sheet'!$E$3:$E$1001,S$4))</f>
        <v/>
      </c>
      <c r="T512" s="22">
        <v>507</v>
      </c>
    </row>
    <row r="513" spans="1:20" ht="14.25" customHeight="1" x14ac:dyDescent="0.3">
      <c r="A513" s="4" t="str">
        <f>IF('Input Sheet'!B510=0,"",'Input Sheet'!B510)</f>
        <v/>
      </c>
      <c r="B513" s="24" t="b">
        <f t="shared" si="264"/>
        <v>0</v>
      </c>
      <c r="C513" s="4">
        <f>SUMIF('Input Sheet'!B$3:B$1000,A513,'Input Sheet'!C$3:C$1000)</f>
        <v>0</v>
      </c>
      <c r="D513" s="4">
        <f>SUMIF('Input Sheet'!B$3:B$1000,A513,'Input Sheet'!D$3:D$1000)</f>
        <v>0</v>
      </c>
      <c r="E513" s="4" t="str">
        <f t="shared" ref="E513:F513" ca="1" si="523">IFERROR(RANK(K513,K$6:K$1004,1),"")</f>
        <v/>
      </c>
      <c r="F513" s="4" t="str">
        <f t="shared" ca="1" si="523"/>
        <v/>
      </c>
      <c r="G513" s="4" t="str">
        <f t="shared" ca="1" si="266"/>
        <v/>
      </c>
      <c r="H513" s="4" t="str">
        <f t="shared" si="267"/>
        <v/>
      </c>
      <c r="I513" s="4" t="str">
        <f t="shared" si="268"/>
        <v/>
      </c>
      <c r="J513" s="4" t="str">
        <f t="shared" si="269"/>
        <v/>
      </c>
      <c r="K513" s="25" t="str">
        <f t="shared" ca="1" si="270"/>
        <v/>
      </c>
      <c r="L513" s="21" t="str">
        <f t="shared" ca="1" si="271"/>
        <v/>
      </c>
      <c r="M513" s="21" t="str">
        <f>IF(SUMIFS('Input Sheet'!$F$3:$F$1001,'Input Sheet'!$B$3:$B$1001,$H513,'Input Sheet'!$E$3:$E$1001,M$4)=0,"",SUMIFS('Input Sheet'!$F$3:$F$1001,'Input Sheet'!$B$3:$B$1001,$H513,'Input Sheet'!$E$3:$E$1001,M$4))</f>
        <v/>
      </c>
      <c r="N513" s="21" t="str">
        <f>IF(SUMIFS('Input Sheet'!$F$3:$F$1001,'Input Sheet'!$B$3:$B$1001,$H513,'Input Sheet'!$E$3:$E$1001,N$4)=0,"",SUMIFS('Input Sheet'!$F$3:$F$1001,'Input Sheet'!$B$3:$B$1001,$H513,'Input Sheet'!$E$3:$E$1001,N$4))</f>
        <v/>
      </c>
      <c r="O513" s="21" t="str">
        <f>IF(SUMIFS('Input Sheet'!$F$3:$F$1001,'Input Sheet'!$B$3:$B$1001,$H513,'Input Sheet'!$E$3:$E$1001,O$4)=0,"",SUMIFS('Input Sheet'!$F$3:$F$1001,'Input Sheet'!$B$3:$B$1001,$H513,'Input Sheet'!$E$3:$E$1001,O$4))</f>
        <v/>
      </c>
      <c r="P513" s="21" t="str">
        <f>IF(SUMIFS('Input Sheet'!$F$3:$F$1001,'Input Sheet'!$B$3:$B$1001,$H513,'Input Sheet'!$E$3:$E$1001,P$4)=0,"",SUMIFS('Input Sheet'!$F$3:$F$1001,'Input Sheet'!$B$3:$B$1001,$H513,'Input Sheet'!$E$3:$E$1001,P$4))</f>
        <v/>
      </c>
      <c r="Q513" s="21" t="str">
        <f>IF(SUMIFS('Input Sheet'!$F$3:$F$1001,'Input Sheet'!$B$3:$B$1001,$H513,'Input Sheet'!$E$3:$E$1001,Q$4)=0,"",SUMIFS('Input Sheet'!$F$3:$F$1001,'Input Sheet'!$B$3:$B$1001,$H513,'Input Sheet'!$E$3:$E$1001,Q$4))</f>
        <v/>
      </c>
      <c r="R513" s="21" t="str">
        <f>IF(SUMIFS('Input Sheet'!$F$3:$F$1001,'Input Sheet'!$B$3:$B$1001,$H513,'Input Sheet'!$E$3:$E$1001,R$4)=0,"",SUMIFS('Input Sheet'!$F$3:$F$1001,'Input Sheet'!$B$3:$B$1001,$H513,'Input Sheet'!$E$3:$E$1001,R$4))</f>
        <v/>
      </c>
      <c r="S513" s="21" t="str">
        <f>IF(SUMIFS('Input Sheet'!$F$3:$F$1001,'Input Sheet'!$B$3:$B$1001,$H513,'Input Sheet'!$E$3:$E$1001,S$4)=0,"",SUMIFS('Input Sheet'!$F$3:$F$1001,'Input Sheet'!$B$3:$B$1001,$H513,'Input Sheet'!$E$3:$E$1001,S$4))</f>
        <v/>
      </c>
      <c r="T513" s="22">
        <v>508</v>
      </c>
    </row>
    <row r="514" spans="1:20" ht="14.25" customHeight="1" x14ac:dyDescent="0.3">
      <c r="A514" s="4" t="str">
        <f>IF('Input Sheet'!B511=0,"",'Input Sheet'!B511)</f>
        <v/>
      </c>
      <c r="B514" s="24" t="b">
        <f t="shared" si="264"/>
        <v>0</v>
      </c>
      <c r="C514" s="4">
        <f>SUMIF('Input Sheet'!B$3:B$1000,A514,'Input Sheet'!C$3:C$1000)</f>
        <v>0</v>
      </c>
      <c r="D514" s="4">
        <f>SUMIF('Input Sheet'!B$3:B$1000,A514,'Input Sheet'!D$3:D$1000)</f>
        <v>0</v>
      </c>
      <c r="E514" s="4" t="str">
        <f t="shared" ref="E514:F514" ca="1" si="524">IFERROR(RANK(K514,K$6:K$1004,1),"")</f>
        <v/>
      </c>
      <c r="F514" s="4" t="str">
        <f t="shared" ca="1" si="524"/>
        <v/>
      </c>
      <c r="G514" s="4" t="str">
        <f t="shared" ca="1" si="266"/>
        <v/>
      </c>
      <c r="H514" s="4" t="str">
        <f t="shared" si="267"/>
        <v/>
      </c>
      <c r="I514" s="4" t="str">
        <f t="shared" si="268"/>
        <v/>
      </c>
      <c r="J514" s="4" t="str">
        <f t="shared" si="269"/>
        <v/>
      </c>
      <c r="K514" s="25" t="str">
        <f t="shared" ca="1" si="270"/>
        <v/>
      </c>
      <c r="L514" s="21" t="str">
        <f t="shared" ca="1" si="271"/>
        <v/>
      </c>
      <c r="M514" s="21" t="str">
        <f>IF(SUMIFS('Input Sheet'!$F$3:$F$1001,'Input Sheet'!$B$3:$B$1001,$H514,'Input Sheet'!$E$3:$E$1001,M$4)=0,"",SUMIFS('Input Sheet'!$F$3:$F$1001,'Input Sheet'!$B$3:$B$1001,$H514,'Input Sheet'!$E$3:$E$1001,M$4))</f>
        <v/>
      </c>
      <c r="N514" s="21" t="str">
        <f>IF(SUMIFS('Input Sheet'!$F$3:$F$1001,'Input Sheet'!$B$3:$B$1001,$H514,'Input Sheet'!$E$3:$E$1001,N$4)=0,"",SUMIFS('Input Sheet'!$F$3:$F$1001,'Input Sheet'!$B$3:$B$1001,$H514,'Input Sheet'!$E$3:$E$1001,N$4))</f>
        <v/>
      </c>
      <c r="O514" s="21" t="str">
        <f>IF(SUMIFS('Input Sheet'!$F$3:$F$1001,'Input Sheet'!$B$3:$B$1001,$H514,'Input Sheet'!$E$3:$E$1001,O$4)=0,"",SUMIFS('Input Sheet'!$F$3:$F$1001,'Input Sheet'!$B$3:$B$1001,$H514,'Input Sheet'!$E$3:$E$1001,O$4))</f>
        <v/>
      </c>
      <c r="P514" s="21" t="str">
        <f>IF(SUMIFS('Input Sheet'!$F$3:$F$1001,'Input Sheet'!$B$3:$B$1001,$H514,'Input Sheet'!$E$3:$E$1001,P$4)=0,"",SUMIFS('Input Sheet'!$F$3:$F$1001,'Input Sheet'!$B$3:$B$1001,$H514,'Input Sheet'!$E$3:$E$1001,P$4))</f>
        <v/>
      </c>
      <c r="Q514" s="21" t="str">
        <f>IF(SUMIFS('Input Sheet'!$F$3:$F$1001,'Input Sheet'!$B$3:$B$1001,$H514,'Input Sheet'!$E$3:$E$1001,Q$4)=0,"",SUMIFS('Input Sheet'!$F$3:$F$1001,'Input Sheet'!$B$3:$B$1001,$H514,'Input Sheet'!$E$3:$E$1001,Q$4))</f>
        <v/>
      </c>
      <c r="R514" s="21" t="str">
        <f>IF(SUMIFS('Input Sheet'!$F$3:$F$1001,'Input Sheet'!$B$3:$B$1001,$H514,'Input Sheet'!$E$3:$E$1001,R$4)=0,"",SUMIFS('Input Sheet'!$F$3:$F$1001,'Input Sheet'!$B$3:$B$1001,$H514,'Input Sheet'!$E$3:$E$1001,R$4))</f>
        <v/>
      </c>
      <c r="S514" s="21" t="str">
        <f>IF(SUMIFS('Input Sheet'!$F$3:$F$1001,'Input Sheet'!$B$3:$B$1001,$H514,'Input Sheet'!$E$3:$E$1001,S$4)=0,"",SUMIFS('Input Sheet'!$F$3:$F$1001,'Input Sheet'!$B$3:$B$1001,$H514,'Input Sheet'!$E$3:$E$1001,S$4))</f>
        <v/>
      </c>
      <c r="T514" s="22">
        <v>509</v>
      </c>
    </row>
    <row r="515" spans="1:20" ht="14.25" customHeight="1" x14ac:dyDescent="0.3">
      <c r="A515" s="4" t="str">
        <f>IF('Input Sheet'!B512=0,"",'Input Sheet'!B512)</f>
        <v/>
      </c>
      <c r="B515" s="24" t="b">
        <f t="shared" si="264"/>
        <v>0</v>
      </c>
      <c r="C515" s="4">
        <f>SUMIF('Input Sheet'!B$3:B$1000,A515,'Input Sheet'!C$3:C$1000)</f>
        <v>0</v>
      </c>
      <c r="D515" s="4">
        <f>SUMIF('Input Sheet'!B$3:B$1000,A515,'Input Sheet'!D$3:D$1000)</f>
        <v>0</v>
      </c>
      <c r="E515" s="4" t="str">
        <f t="shared" ref="E515:F515" ca="1" si="525">IFERROR(RANK(K515,K$6:K$1004,1),"")</f>
        <v/>
      </c>
      <c r="F515" s="4" t="str">
        <f t="shared" ca="1" si="525"/>
        <v/>
      </c>
      <c r="G515" s="4" t="str">
        <f t="shared" ca="1" si="266"/>
        <v/>
      </c>
      <c r="H515" s="4" t="str">
        <f t="shared" si="267"/>
        <v/>
      </c>
      <c r="I515" s="4" t="str">
        <f t="shared" si="268"/>
        <v/>
      </c>
      <c r="J515" s="4" t="str">
        <f t="shared" si="269"/>
        <v/>
      </c>
      <c r="K515" s="25" t="str">
        <f t="shared" ca="1" si="270"/>
        <v/>
      </c>
      <c r="L515" s="21" t="str">
        <f t="shared" ca="1" si="271"/>
        <v/>
      </c>
      <c r="M515" s="21" t="str">
        <f>IF(SUMIFS('Input Sheet'!$F$3:$F$1001,'Input Sheet'!$B$3:$B$1001,$H515,'Input Sheet'!$E$3:$E$1001,M$4)=0,"",SUMIFS('Input Sheet'!$F$3:$F$1001,'Input Sheet'!$B$3:$B$1001,$H515,'Input Sheet'!$E$3:$E$1001,M$4))</f>
        <v/>
      </c>
      <c r="N515" s="21" t="str">
        <f>IF(SUMIFS('Input Sheet'!$F$3:$F$1001,'Input Sheet'!$B$3:$B$1001,$H515,'Input Sheet'!$E$3:$E$1001,N$4)=0,"",SUMIFS('Input Sheet'!$F$3:$F$1001,'Input Sheet'!$B$3:$B$1001,$H515,'Input Sheet'!$E$3:$E$1001,N$4))</f>
        <v/>
      </c>
      <c r="O515" s="21" t="str">
        <f>IF(SUMIFS('Input Sheet'!$F$3:$F$1001,'Input Sheet'!$B$3:$B$1001,$H515,'Input Sheet'!$E$3:$E$1001,O$4)=0,"",SUMIFS('Input Sheet'!$F$3:$F$1001,'Input Sheet'!$B$3:$B$1001,$H515,'Input Sheet'!$E$3:$E$1001,O$4))</f>
        <v/>
      </c>
      <c r="P515" s="21" t="str">
        <f>IF(SUMIFS('Input Sheet'!$F$3:$F$1001,'Input Sheet'!$B$3:$B$1001,$H515,'Input Sheet'!$E$3:$E$1001,P$4)=0,"",SUMIFS('Input Sheet'!$F$3:$F$1001,'Input Sheet'!$B$3:$B$1001,$H515,'Input Sheet'!$E$3:$E$1001,P$4))</f>
        <v/>
      </c>
      <c r="Q515" s="21" t="str">
        <f>IF(SUMIFS('Input Sheet'!$F$3:$F$1001,'Input Sheet'!$B$3:$B$1001,$H515,'Input Sheet'!$E$3:$E$1001,Q$4)=0,"",SUMIFS('Input Sheet'!$F$3:$F$1001,'Input Sheet'!$B$3:$B$1001,$H515,'Input Sheet'!$E$3:$E$1001,Q$4))</f>
        <v/>
      </c>
      <c r="R515" s="21" t="str">
        <f>IF(SUMIFS('Input Sheet'!$F$3:$F$1001,'Input Sheet'!$B$3:$B$1001,$H515,'Input Sheet'!$E$3:$E$1001,R$4)=0,"",SUMIFS('Input Sheet'!$F$3:$F$1001,'Input Sheet'!$B$3:$B$1001,$H515,'Input Sheet'!$E$3:$E$1001,R$4))</f>
        <v/>
      </c>
      <c r="S515" s="21" t="str">
        <f>IF(SUMIFS('Input Sheet'!$F$3:$F$1001,'Input Sheet'!$B$3:$B$1001,$H515,'Input Sheet'!$E$3:$E$1001,S$4)=0,"",SUMIFS('Input Sheet'!$F$3:$F$1001,'Input Sheet'!$B$3:$B$1001,$H515,'Input Sheet'!$E$3:$E$1001,S$4))</f>
        <v/>
      </c>
      <c r="T515" s="22">
        <v>510</v>
      </c>
    </row>
    <row r="516" spans="1:20" ht="14.25" customHeight="1" x14ac:dyDescent="0.3">
      <c r="A516" s="4" t="str">
        <f>IF('Input Sheet'!B513=0,"",'Input Sheet'!B513)</f>
        <v/>
      </c>
      <c r="B516" s="24" t="b">
        <f t="shared" ref="B516:B770" si="526">IFERROR(VLOOKUP(A516,$A517:A$1005,1,FALSE)=0,1)</f>
        <v>0</v>
      </c>
      <c r="C516" s="4">
        <f>SUMIF('Input Sheet'!B$3:B$1000,A516,'Input Sheet'!C$3:C$1000)</f>
        <v>0</v>
      </c>
      <c r="D516" s="4">
        <f>SUMIF('Input Sheet'!B$3:B$1000,A516,'Input Sheet'!D$3:D$1000)</f>
        <v>0</v>
      </c>
      <c r="E516" s="4" t="str">
        <f t="shared" ref="E516:F516" ca="1" si="527">IFERROR(RANK(K516,K$6:K$1004,1),"")</f>
        <v/>
      </c>
      <c r="F516" s="4" t="str">
        <f t="shared" ca="1" si="527"/>
        <v/>
      </c>
      <c r="G516" s="4" t="str">
        <f t="shared" ref="G516:G770" ca="1" si="528">IFERROR(RANK(L516,L$6:L$1004,0),"")</f>
        <v/>
      </c>
      <c r="H516" s="4" t="str">
        <f t="shared" ref="H516:H770" si="529">IF($B516=1,$A516,"")</f>
        <v/>
      </c>
      <c r="I516" s="4" t="str">
        <f t="shared" ref="I516:I770" si="530">IF($B516=1,$C516,"")</f>
        <v/>
      </c>
      <c r="J516" s="4" t="str">
        <f t="shared" ref="J516:J770" si="531">IF($B516=1,$D516,"")</f>
        <v/>
      </c>
      <c r="K516" s="25" t="str">
        <f t="shared" ref="K516:K770" ca="1" si="532">IF($B516=1,$C516/$D516+RAND()/1000,"")</f>
        <v/>
      </c>
      <c r="L516" s="21" t="str">
        <f t="shared" ref="L516:L770" ca="1" si="533">IF($B516=1,$D516-$C516+RAND()/1000,"")</f>
        <v/>
      </c>
      <c r="M516" s="21" t="str">
        <f>IF(SUMIFS('Input Sheet'!$F$3:$F$1001,'Input Sheet'!$B$3:$B$1001,$H516,'Input Sheet'!$E$3:$E$1001,M$4)=0,"",SUMIFS('Input Sheet'!$F$3:$F$1001,'Input Sheet'!$B$3:$B$1001,$H516,'Input Sheet'!$E$3:$E$1001,M$4))</f>
        <v/>
      </c>
      <c r="N516" s="21" t="str">
        <f>IF(SUMIFS('Input Sheet'!$F$3:$F$1001,'Input Sheet'!$B$3:$B$1001,$H516,'Input Sheet'!$E$3:$E$1001,N$4)=0,"",SUMIFS('Input Sheet'!$F$3:$F$1001,'Input Sheet'!$B$3:$B$1001,$H516,'Input Sheet'!$E$3:$E$1001,N$4))</f>
        <v/>
      </c>
      <c r="O516" s="21" t="str">
        <f>IF(SUMIFS('Input Sheet'!$F$3:$F$1001,'Input Sheet'!$B$3:$B$1001,$H516,'Input Sheet'!$E$3:$E$1001,O$4)=0,"",SUMIFS('Input Sheet'!$F$3:$F$1001,'Input Sheet'!$B$3:$B$1001,$H516,'Input Sheet'!$E$3:$E$1001,O$4))</f>
        <v/>
      </c>
      <c r="P516" s="21" t="str">
        <f>IF(SUMIFS('Input Sheet'!$F$3:$F$1001,'Input Sheet'!$B$3:$B$1001,$H516,'Input Sheet'!$E$3:$E$1001,P$4)=0,"",SUMIFS('Input Sheet'!$F$3:$F$1001,'Input Sheet'!$B$3:$B$1001,$H516,'Input Sheet'!$E$3:$E$1001,P$4))</f>
        <v/>
      </c>
      <c r="Q516" s="21" t="str">
        <f>IF(SUMIFS('Input Sheet'!$F$3:$F$1001,'Input Sheet'!$B$3:$B$1001,$H516,'Input Sheet'!$E$3:$E$1001,Q$4)=0,"",SUMIFS('Input Sheet'!$F$3:$F$1001,'Input Sheet'!$B$3:$B$1001,$H516,'Input Sheet'!$E$3:$E$1001,Q$4))</f>
        <v/>
      </c>
      <c r="R516" s="21" t="str">
        <f>IF(SUMIFS('Input Sheet'!$F$3:$F$1001,'Input Sheet'!$B$3:$B$1001,$H516,'Input Sheet'!$E$3:$E$1001,R$4)=0,"",SUMIFS('Input Sheet'!$F$3:$F$1001,'Input Sheet'!$B$3:$B$1001,$H516,'Input Sheet'!$E$3:$E$1001,R$4))</f>
        <v/>
      </c>
      <c r="S516" s="21" t="str">
        <f>IF(SUMIFS('Input Sheet'!$F$3:$F$1001,'Input Sheet'!$B$3:$B$1001,$H516,'Input Sheet'!$E$3:$E$1001,S$4)=0,"",SUMIFS('Input Sheet'!$F$3:$F$1001,'Input Sheet'!$B$3:$B$1001,$H516,'Input Sheet'!$E$3:$E$1001,S$4))</f>
        <v/>
      </c>
      <c r="T516" s="22">
        <v>511</v>
      </c>
    </row>
    <row r="517" spans="1:20" ht="14.25" customHeight="1" x14ac:dyDescent="0.3">
      <c r="A517" s="4" t="str">
        <f>IF('Input Sheet'!B514=0,"",'Input Sheet'!B514)</f>
        <v/>
      </c>
      <c r="B517" s="24" t="b">
        <f t="shared" si="526"/>
        <v>0</v>
      </c>
      <c r="C517" s="4">
        <f>SUMIF('Input Sheet'!B$3:B$1000,A517,'Input Sheet'!C$3:C$1000)</f>
        <v>0</v>
      </c>
      <c r="D517" s="4">
        <f>SUMIF('Input Sheet'!B$3:B$1000,A517,'Input Sheet'!D$3:D$1000)</f>
        <v>0</v>
      </c>
      <c r="E517" s="4" t="str">
        <f t="shared" ref="E517:F517" ca="1" si="534">IFERROR(RANK(K517,K$6:K$1004,1),"")</f>
        <v/>
      </c>
      <c r="F517" s="4" t="str">
        <f t="shared" ca="1" si="534"/>
        <v/>
      </c>
      <c r="G517" s="4" t="str">
        <f t="shared" ca="1" si="528"/>
        <v/>
      </c>
      <c r="H517" s="4" t="str">
        <f t="shared" si="529"/>
        <v/>
      </c>
      <c r="I517" s="4" t="str">
        <f t="shared" si="530"/>
        <v/>
      </c>
      <c r="J517" s="4" t="str">
        <f t="shared" si="531"/>
        <v/>
      </c>
      <c r="K517" s="25" t="str">
        <f t="shared" ca="1" si="532"/>
        <v/>
      </c>
      <c r="L517" s="21" t="str">
        <f t="shared" ca="1" si="533"/>
        <v/>
      </c>
      <c r="M517" s="21" t="str">
        <f>IF(SUMIFS('Input Sheet'!$F$3:$F$1001,'Input Sheet'!$B$3:$B$1001,$H517,'Input Sheet'!$E$3:$E$1001,M$4)=0,"",SUMIFS('Input Sheet'!$F$3:$F$1001,'Input Sheet'!$B$3:$B$1001,$H517,'Input Sheet'!$E$3:$E$1001,M$4))</f>
        <v/>
      </c>
      <c r="N517" s="21" t="str">
        <f>IF(SUMIFS('Input Sheet'!$F$3:$F$1001,'Input Sheet'!$B$3:$B$1001,$H517,'Input Sheet'!$E$3:$E$1001,N$4)=0,"",SUMIFS('Input Sheet'!$F$3:$F$1001,'Input Sheet'!$B$3:$B$1001,$H517,'Input Sheet'!$E$3:$E$1001,N$4))</f>
        <v/>
      </c>
      <c r="O517" s="21" t="str">
        <f>IF(SUMIFS('Input Sheet'!$F$3:$F$1001,'Input Sheet'!$B$3:$B$1001,$H517,'Input Sheet'!$E$3:$E$1001,O$4)=0,"",SUMIFS('Input Sheet'!$F$3:$F$1001,'Input Sheet'!$B$3:$B$1001,$H517,'Input Sheet'!$E$3:$E$1001,O$4))</f>
        <v/>
      </c>
      <c r="P517" s="21" t="str">
        <f>IF(SUMIFS('Input Sheet'!$F$3:$F$1001,'Input Sheet'!$B$3:$B$1001,$H517,'Input Sheet'!$E$3:$E$1001,P$4)=0,"",SUMIFS('Input Sheet'!$F$3:$F$1001,'Input Sheet'!$B$3:$B$1001,$H517,'Input Sheet'!$E$3:$E$1001,P$4))</f>
        <v/>
      </c>
      <c r="Q517" s="21" t="str">
        <f>IF(SUMIFS('Input Sheet'!$F$3:$F$1001,'Input Sheet'!$B$3:$B$1001,$H517,'Input Sheet'!$E$3:$E$1001,Q$4)=0,"",SUMIFS('Input Sheet'!$F$3:$F$1001,'Input Sheet'!$B$3:$B$1001,$H517,'Input Sheet'!$E$3:$E$1001,Q$4))</f>
        <v/>
      </c>
      <c r="R517" s="21" t="str">
        <f>IF(SUMIFS('Input Sheet'!$F$3:$F$1001,'Input Sheet'!$B$3:$B$1001,$H517,'Input Sheet'!$E$3:$E$1001,R$4)=0,"",SUMIFS('Input Sheet'!$F$3:$F$1001,'Input Sheet'!$B$3:$B$1001,$H517,'Input Sheet'!$E$3:$E$1001,R$4))</f>
        <v/>
      </c>
      <c r="S517" s="21" t="str">
        <f>IF(SUMIFS('Input Sheet'!$F$3:$F$1001,'Input Sheet'!$B$3:$B$1001,$H517,'Input Sheet'!$E$3:$E$1001,S$4)=0,"",SUMIFS('Input Sheet'!$F$3:$F$1001,'Input Sheet'!$B$3:$B$1001,$H517,'Input Sheet'!$E$3:$E$1001,S$4))</f>
        <v/>
      </c>
      <c r="T517" s="22">
        <v>512</v>
      </c>
    </row>
    <row r="518" spans="1:20" ht="14.25" customHeight="1" x14ac:dyDescent="0.3">
      <c r="A518" s="4" t="str">
        <f>IF('Input Sheet'!B515=0,"",'Input Sheet'!B515)</f>
        <v/>
      </c>
      <c r="B518" s="24" t="b">
        <f t="shared" si="526"/>
        <v>0</v>
      </c>
      <c r="C518" s="4">
        <f>SUMIF('Input Sheet'!B$3:B$1000,A518,'Input Sheet'!C$3:C$1000)</f>
        <v>0</v>
      </c>
      <c r="D518" s="4">
        <f>SUMIF('Input Sheet'!B$3:B$1000,A518,'Input Sheet'!D$3:D$1000)</f>
        <v>0</v>
      </c>
      <c r="E518" s="4" t="str">
        <f t="shared" ref="E518:F518" ca="1" si="535">IFERROR(RANK(K518,K$6:K$1004,1),"")</f>
        <v/>
      </c>
      <c r="F518" s="4" t="str">
        <f t="shared" ca="1" si="535"/>
        <v/>
      </c>
      <c r="G518" s="4" t="str">
        <f t="shared" ca="1" si="528"/>
        <v/>
      </c>
      <c r="H518" s="4" t="str">
        <f t="shared" si="529"/>
        <v/>
      </c>
      <c r="I518" s="4" t="str">
        <f t="shared" si="530"/>
        <v/>
      </c>
      <c r="J518" s="4" t="str">
        <f t="shared" si="531"/>
        <v/>
      </c>
      <c r="K518" s="25" t="str">
        <f t="shared" ca="1" si="532"/>
        <v/>
      </c>
      <c r="L518" s="21" t="str">
        <f t="shared" ca="1" si="533"/>
        <v/>
      </c>
      <c r="M518" s="21" t="str">
        <f>IF(SUMIFS('Input Sheet'!$F$3:$F$1001,'Input Sheet'!$B$3:$B$1001,$H518,'Input Sheet'!$E$3:$E$1001,M$4)=0,"",SUMIFS('Input Sheet'!$F$3:$F$1001,'Input Sheet'!$B$3:$B$1001,$H518,'Input Sheet'!$E$3:$E$1001,M$4))</f>
        <v/>
      </c>
      <c r="N518" s="21" t="str">
        <f>IF(SUMIFS('Input Sheet'!$F$3:$F$1001,'Input Sheet'!$B$3:$B$1001,$H518,'Input Sheet'!$E$3:$E$1001,N$4)=0,"",SUMIFS('Input Sheet'!$F$3:$F$1001,'Input Sheet'!$B$3:$B$1001,$H518,'Input Sheet'!$E$3:$E$1001,N$4))</f>
        <v/>
      </c>
      <c r="O518" s="21" t="str">
        <f>IF(SUMIFS('Input Sheet'!$F$3:$F$1001,'Input Sheet'!$B$3:$B$1001,$H518,'Input Sheet'!$E$3:$E$1001,O$4)=0,"",SUMIFS('Input Sheet'!$F$3:$F$1001,'Input Sheet'!$B$3:$B$1001,$H518,'Input Sheet'!$E$3:$E$1001,O$4))</f>
        <v/>
      </c>
      <c r="P518" s="21" t="str">
        <f>IF(SUMIFS('Input Sheet'!$F$3:$F$1001,'Input Sheet'!$B$3:$B$1001,$H518,'Input Sheet'!$E$3:$E$1001,P$4)=0,"",SUMIFS('Input Sheet'!$F$3:$F$1001,'Input Sheet'!$B$3:$B$1001,$H518,'Input Sheet'!$E$3:$E$1001,P$4))</f>
        <v/>
      </c>
      <c r="Q518" s="21" t="str">
        <f>IF(SUMIFS('Input Sheet'!$F$3:$F$1001,'Input Sheet'!$B$3:$B$1001,$H518,'Input Sheet'!$E$3:$E$1001,Q$4)=0,"",SUMIFS('Input Sheet'!$F$3:$F$1001,'Input Sheet'!$B$3:$B$1001,$H518,'Input Sheet'!$E$3:$E$1001,Q$4))</f>
        <v/>
      </c>
      <c r="R518" s="21" t="str">
        <f>IF(SUMIFS('Input Sheet'!$F$3:$F$1001,'Input Sheet'!$B$3:$B$1001,$H518,'Input Sheet'!$E$3:$E$1001,R$4)=0,"",SUMIFS('Input Sheet'!$F$3:$F$1001,'Input Sheet'!$B$3:$B$1001,$H518,'Input Sheet'!$E$3:$E$1001,R$4))</f>
        <v/>
      </c>
      <c r="S518" s="21" t="str">
        <f>IF(SUMIFS('Input Sheet'!$F$3:$F$1001,'Input Sheet'!$B$3:$B$1001,$H518,'Input Sheet'!$E$3:$E$1001,S$4)=0,"",SUMIFS('Input Sheet'!$F$3:$F$1001,'Input Sheet'!$B$3:$B$1001,$H518,'Input Sheet'!$E$3:$E$1001,S$4))</f>
        <v/>
      </c>
      <c r="T518" s="22">
        <v>513</v>
      </c>
    </row>
    <row r="519" spans="1:20" ht="14.25" customHeight="1" x14ac:dyDescent="0.3">
      <c r="A519" s="4" t="str">
        <f>IF('Input Sheet'!B516=0,"",'Input Sheet'!B516)</f>
        <v/>
      </c>
      <c r="B519" s="24" t="b">
        <f t="shared" si="526"/>
        <v>0</v>
      </c>
      <c r="C519" s="4">
        <f>SUMIF('Input Sheet'!B$3:B$1000,A519,'Input Sheet'!C$3:C$1000)</f>
        <v>0</v>
      </c>
      <c r="D519" s="4">
        <f>SUMIF('Input Sheet'!B$3:B$1000,A519,'Input Sheet'!D$3:D$1000)</f>
        <v>0</v>
      </c>
      <c r="E519" s="4" t="str">
        <f t="shared" ref="E519:F519" ca="1" si="536">IFERROR(RANK(K519,K$6:K$1004,1),"")</f>
        <v/>
      </c>
      <c r="F519" s="4" t="str">
        <f t="shared" ca="1" si="536"/>
        <v/>
      </c>
      <c r="G519" s="4" t="str">
        <f t="shared" ca="1" si="528"/>
        <v/>
      </c>
      <c r="H519" s="4" t="str">
        <f t="shared" si="529"/>
        <v/>
      </c>
      <c r="I519" s="4" t="str">
        <f t="shared" si="530"/>
        <v/>
      </c>
      <c r="J519" s="4" t="str">
        <f t="shared" si="531"/>
        <v/>
      </c>
      <c r="K519" s="25" t="str">
        <f t="shared" ca="1" si="532"/>
        <v/>
      </c>
      <c r="L519" s="21" t="str">
        <f t="shared" ca="1" si="533"/>
        <v/>
      </c>
      <c r="M519" s="21" t="str">
        <f>IF(SUMIFS('Input Sheet'!$F$3:$F$1001,'Input Sheet'!$B$3:$B$1001,$H519,'Input Sheet'!$E$3:$E$1001,M$4)=0,"",SUMIFS('Input Sheet'!$F$3:$F$1001,'Input Sheet'!$B$3:$B$1001,$H519,'Input Sheet'!$E$3:$E$1001,M$4))</f>
        <v/>
      </c>
      <c r="N519" s="21" t="str">
        <f>IF(SUMIFS('Input Sheet'!$F$3:$F$1001,'Input Sheet'!$B$3:$B$1001,$H519,'Input Sheet'!$E$3:$E$1001,N$4)=0,"",SUMIFS('Input Sheet'!$F$3:$F$1001,'Input Sheet'!$B$3:$B$1001,$H519,'Input Sheet'!$E$3:$E$1001,N$4))</f>
        <v/>
      </c>
      <c r="O519" s="21" t="str">
        <f>IF(SUMIFS('Input Sheet'!$F$3:$F$1001,'Input Sheet'!$B$3:$B$1001,$H519,'Input Sheet'!$E$3:$E$1001,O$4)=0,"",SUMIFS('Input Sheet'!$F$3:$F$1001,'Input Sheet'!$B$3:$B$1001,$H519,'Input Sheet'!$E$3:$E$1001,O$4))</f>
        <v/>
      </c>
      <c r="P519" s="21" t="str">
        <f>IF(SUMIFS('Input Sheet'!$F$3:$F$1001,'Input Sheet'!$B$3:$B$1001,$H519,'Input Sheet'!$E$3:$E$1001,P$4)=0,"",SUMIFS('Input Sheet'!$F$3:$F$1001,'Input Sheet'!$B$3:$B$1001,$H519,'Input Sheet'!$E$3:$E$1001,P$4))</f>
        <v/>
      </c>
      <c r="Q519" s="21" t="str">
        <f>IF(SUMIFS('Input Sheet'!$F$3:$F$1001,'Input Sheet'!$B$3:$B$1001,$H519,'Input Sheet'!$E$3:$E$1001,Q$4)=0,"",SUMIFS('Input Sheet'!$F$3:$F$1001,'Input Sheet'!$B$3:$B$1001,$H519,'Input Sheet'!$E$3:$E$1001,Q$4))</f>
        <v/>
      </c>
      <c r="R519" s="21" t="str">
        <f>IF(SUMIFS('Input Sheet'!$F$3:$F$1001,'Input Sheet'!$B$3:$B$1001,$H519,'Input Sheet'!$E$3:$E$1001,R$4)=0,"",SUMIFS('Input Sheet'!$F$3:$F$1001,'Input Sheet'!$B$3:$B$1001,$H519,'Input Sheet'!$E$3:$E$1001,R$4))</f>
        <v/>
      </c>
      <c r="S519" s="21" t="str">
        <f>IF(SUMIFS('Input Sheet'!$F$3:$F$1001,'Input Sheet'!$B$3:$B$1001,$H519,'Input Sheet'!$E$3:$E$1001,S$4)=0,"",SUMIFS('Input Sheet'!$F$3:$F$1001,'Input Sheet'!$B$3:$B$1001,$H519,'Input Sheet'!$E$3:$E$1001,S$4))</f>
        <v/>
      </c>
      <c r="T519" s="22">
        <v>514</v>
      </c>
    </row>
    <row r="520" spans="1:20" ht="14.25" customHeight="1" x14ac:dyDescent="0.3">
      <c r="A520" s="4" t="str">
        <f>IF('Input Sheet'!B517=0,"",'Input Sheet'!B517)</f>
        <v/>
      </c>
      <c r="B520" s="24" t="b">
        <f t="shared" si="526"/>
        <v>0</v>
      </c>
      <c r="C520" s="4">
        <f>SUMIF('Input Sheet'!B$3:B$1000,A520,'Input Sheet'!C$3:C$1000)</f>
        <v>0</v>
      </c>
      <c r="D520" s="4">
        <f>SUMIF('Input Sheet'!B$3:B$1000,A520,'Input Sheet'!D$3:D$1000)</f>
        <v>0</v>
      </c>
      <c r="E520" s="4" t="str">
        <f t="shared" ref="E520:F520" ca="1" si="537">IFERROR(RANK(K520,K$6:K$1004,1),"")</f>
        <v/>
      </c>
      <c r="F520" s="4" t="str">
        <f t="shared" ca="1" si="537"/>
        <v/>
      </c>
      <c r="G520" s="4" t="str">
        <f t="shared" ca="1" si="528"/>
        <v/>
      </c>
      <c r="H520" s="4" t="str">
        <f t="shared" si="529"/>
        <v/>
      </c>
      <c r="I520" s="4" t="str">
        <f t="shared" si="530"/>
        <v/>
      </c>
      <c r="J520" s="4" t="str">
        <f t="shared" si="531"/>
        <v/>
      </c>
      <c r="K520" s="25" t="str">
        <f t="shared" ca="1" si="532"/>
        <v/>
      </c>
      <c r="L520" s="21" t="str">
        <f t="shared" ca="1" si="533"/>
        <v/>
      </c>
      <c r="M520" s="21" t="str">
        <f>IF(SUMIFS('Input Sheet'!$F$3:$F$1001,'Input Sheet'!$B$3:$B$1001,$H520,'Input Sheet'!$E$3:$E$1001,M$4)=0,"",SUMIFS('Input Sheet'!$F$3:$F$1001,'Input Sheet'!$B$3:$B$1001,$H520,'Input Sheet'!$E$3:$E$1001,M$4))</f>
        <v/>
      </c>
      <c r="N520" s="21" t="str">
        <f>IF(SUMIFS('Input Sheet'!$F$3:$F$1001,'Input Sheet'!$B$3:$B$1001,$H520,'Input Sheet'!$E$3:$E$1001,N$4)=0,"",SUMIFS('Input Sheet'!$F$3:$F$1001,'Input Sheet'!$B$3:$B$1001,$H520,'Input Sheet'!$E$3:$E$1001,N$4))</f>
        <v/>
      </c>
      <c r="O520" s="21" t="str">
        <f>IF(SUMIFS('Input Sheet'!$F$3:$F$1001,'Input Sheet'!$B$3:$B$1001,$H520,'Input Sheet'!$E$3:$E$1001,O$4)=0,"",SUMIFS('Input Sheet'!$F$3:$F$1001,'Input Sheet'!$B$3:$B$1001,$H520,'Input Sheet'!$E$3:$E$1001,O$4))</f>
        <v/>
      </c>
      <c r="P520" s="21" t="str">
        <f>IF(SUMIFS('Input Sheet'!$F$3:$F$1001,'Input Sheet'!$B$3:$B$1001,$H520,'Input Sheet'!$E$3:$E$1001,P$4)=0,"",SUMIFS('Input Sheet'!$F$3:$F$1001,'Input Sheet'!$B$3:$B$1001,$H520,'Input Sheet'!$E$3:$E$1001,P$4))</f>
        <v/>
      </c>
      <c r="Q520" s="21" t="str">
        <f>IF(SUMIFS('Input Sheet'!$F$3:$F$1001,'Input Sheet'!$B$3:$B$1001,$H520,'Input Sheet'!$E$3:$E$1001,Q$4)=0,"",SUMIFS('Input Sheet'!$F$3:$F$1001,'Input Sheet'!$B$3:$B$1001,$H520,'Input Sheet'!$E$3:$E$1001,Q$4))</f>
        <v/>
      </c>
      <c r="R520" s="21" t="str">
        <f>IF(SUMIFS('Input Sheet'!$F$3:$F$1001,'Input Sheet'!$B$3:$B$1001,$H520,'Input Sheet'!$E$3:$E$1001,R$4)=0,"",SUMIFS('Input Sheet'!$F$3:$F$1001,'Input Sheet'!$B$3:$B$1001,$H520,'Input Sheet'!$E$3:$E$1001,R$4))</f>
        <v/>
      </c>
      <c r="S520" s="21" t="str">
        <f>IF(SUMIFS('Input Sheet'!$F$3:$F$1001,'Input Sheet'!$B$3:$B$1001,$H520,'Input Sheet'!$E$3:$E$1001,S$4)=0,"",SUMIFS('Input Sheet'!$F$3:$F$1001,'Input Sheet'!$B$3:$B$1001,$H520,'Input Sheet'!$E$3:$E$1001,S$4))</f>
        <v/>
      </c>
      <c r="T520" s="22">
        <v>515</v>
      </c>
    </row>
    <row r="521" spans="1:20" ht="14.25" customHeight="1" x14ac:dyDescent="0.3">
      <c r="A521" s="4" t="str">
        <f>IF('Input Sheet'!B518=0,"",'Input Sheet'!B518)</f>
        <v/>
      </c>
      <c r="B521" s="24" t="b">
        <f t="shared" si="526"/>
        <v>0</v>
      </c>
      <c r="C521" s="4">
        <f>SUMIF('Input Sheet'!B$3:B$1000,A521,'Input Sheet'!C$3:C$1000)</f>
        <v>0</v>
      </c>
      <c r="D521" s="4">
        <f>SUMIF('Input Sheet'!B$3:B$1000,A521,'Input Sheet'!D$3:D$1000)</f>
        <v>0</v>
      </c>
      <c r="E521" s="4" t="str">
        <f t="shared" ref="E521:F521" ca="1" si="538">IFERROR(RANK(K521,K$6:K$1004,1),"")</f>
        <v/>
      </c>
      <c r="F521" s="4" t="str">
        <f t="shared" ca="1" si="538"/>
        <v/>
      </c>
      <c r="G521" s="4" t="str">
        <f t="shared" ca="1" si="528"/>
        <v/>
      </c>
      <c r="H521" s="4" t="str">
        <f t="shared" si="529"/>
        <v/>
      </c>
      <c r="I521" s="4" t="str">
        <f t="shared" si="530"/>
        <v/>
      </c>
      <c r="J521" s="4" t="str">
        <f t="shared" si="531"/>
        <v/>
      </c>
      <c r="K521" s="25" t="str">
        <f t="shared" ca="1" si="532"/>
        <v/>
      </c>
      <c r="L521" s="21" t="str">
        <f t="shared" ca="1" si="533"/>
        <v/>
      </c>
      <c r="M521" s="21" t="str">
        <f>IF(SUMIFS('Input Sheet'!$F$3:$F$1001,'Input Sheet'!$B$3:$B$1001,$H521,'Input Sheet'!$E$3:$E$1001,M$4)=0,"",SUMIFS('Input Sheet'!$F$3:$F$1001,'Input Sheet'!$B$3:$B$1001,$H521,'Input Sheet'!$E$3:$E$1001,M$4))</f>
        <v/>
      </c>
      <c r="N521" s="21" t="str">
        <f>IF(SUMIFS('Input Sheet'!$F$3:$F$1001,'Input Sheet'!$B$3:$B$1001,$H521,'Input Sheet'!$E$3:$E$1001,N$4)=0,"",SUMIFS('Input Sheet'!$F$3:$F$1001,'Input Sheet'!$B$3:$B$1001,$H521,'Input Sheet'!$E$3:$E$1001,N$4))</f>
        <v/>
      </c>
      <c r="O521" s="21" t="str">
        <f>IF(SUMIFS('Input Sheet'!$F$3:$F$1001,'Input Sheet'!$B$3:$B$1001,$H521,'Input Sheet'!$E$3:$E$1001,O$4)=0,"",SUMIFS('Input Sheet'!$F$3:$F$1001,'Input Sheet'!$B$3:$B$1001,$H521,'Input Sheet'!$E$3:$E$1001,O$4))</f>
        <v/>
      </c>
      <c r="P521" s="21" t="str">
        <f>IF(SUMIFS('Input Sheet'!$F$3:$F$1001,'Input Sheet'!$B$3:$B$1001,$H521,'Input Sheet'!$E$3:$E$1001,P$4)=0,"",SUMIFS('Input Sheet'!$F$3:$F$1001,'Input Sheet'!$B$3:$B$1001,$H521,'Input Sheet'!$E$3:$E$1001,P$4))</f>
        <v/>
      </c>
      <c r="Q521" s="21" t="str">
        <f>IF(SUMIFS('Input Sheet'!$F$3:$F$1001,'Input Sheet'!$B$3:$B$1001,$H521,'Input Sheet'!$E$3:$E$1001,Q$4)=0,"",SUMIFS('Input Sheet'!$F$3:$F$1001,'Input Sheet'!$B$3:$B$1001,$H521,'Input Sheet'!$E$3:$E$1001,Q$4))</f>
        <v/>
      </c>
      <c r="R521" s="21" t="str">
        <f>IF(SUMIFS('Input Sheet'!$F$3:$F$1001,'Input Sheet'!$B$3:$B$1001,$H521,'Input Sheet'!$E$3:$E$1001,R$4)=0,"",SUMIFS('Input Sheet'!$F$3:$F$1001,'Input Sheet'!$B$3:$B$1001,$H521,'Input Sheet'!$E$3:$E$1001,R$4))</f>
        <v/>
      </c>
      <c r="S521" s="21" t="str">
        <f>IF(SUMIFS('Input Sheet'!$F$3:$F$1001,'Input Sheet'!$B$3:$B$1001,$H521,'Input Sheet'!$E$3:$E$1001,S$4)=0,"",SUMIFS('Input Sheet'!$F$3:$F$1001,'Input Sheet'!$B$3:$B$1001,$H521,'Input Sheet'!$E$3:$E$1001,S$4))</f>
        <v/>
      </c>
      <c r="T521" s="22">
        <v>516</v>
      </c>
    </row>
    <row r="522" spans="1:20" ht="14.25" customHeight="1" x14ac:dyDescent="0.3">
      <c r="A522" s="4" t="str">
        <f>IF('Input Sheet'!B519=0,"",'Input Sheet'!B519)</f>
        <v/>
      </c>
      <c r="B522" s="24" t="b">
        <f t="shared" si="526"/>
        <v>0</v>
      </c>
      <c r="C522" s="4">
        <f>SUMIF('Input Sheet'!B$3:B$1000,A522,'Input Sheet'!C$3:C$1000)</f>
        <v>0</v>
      </c>
      <c r="D522" s="4">
        <f>SUMIF('Input Sheet'!B$3:B$1000,A522,'Input Sheet'!D$3:D$1000)</f>
        <v>0</v>
      </c>
      <c r="E522" s="4" t="str">
        <f t="shared" ref="E522:F522" ca="1" si="539">IFERROR(RANK(K522,K$6:K$1004,1),"")</f>
        <v/>
      </c>
      <c r="F522" s="4" t="str">
        <f t="shared" ca="1" si="539"/>
        <v/>
      </c>
      <c r="G522" s="4" t="str">
        <f t="shared" ca="1" si="528"/>
        <v/>
      </c>
      <c r="H522" s="4" t="str">
        <f t="shared" si="529"/>
        <v/>
      </c>
      <c r="I522" s="4" t="str">
        <f t="shared" si="530"/>
        <v/>
      </c>
      <c r="J522" s="4" t="str">
        <f t="shared" si="531"/>
        <v/>
      </c>
      <c r="K522" s="25" t="str">
        <f t="shared" ca="1" si="532"/>
        <v/>
      </c>
      <c r="L522" s="21" t="str">
        <f t="shared" ca="1" si="533"/>
        <v/>
      </c>
      <c r="M522" s="21" t="str">
        <f>IF(SUMIFS('Input Sheet'!$F$3:$F$1001,'Input Sheet'!$B$3:$B$1001,$H522,'Input Sheet'!$E$3:$E$1001,M$4)=0,"",SUMIFS('Input Sheet'!$F$3:$F$1001,'Input Sheet'!$B$3:$B$1001,$H522,'Input Sheet'!$E$3:$E$1001,M$4))</f>
        <v/>
      </c>
      <c r="N522" s="21" t="str">
        <f>IF(SUMIFS('Input Sheet'!$F$3:$F$1001,'Input Sheet'!$B$3:$B$1001,$H522,'Input Sheet'!$E$3:$E$1001,N$4)=0,"",SUMIFS('Input Sheet'!$F$3:$F$1001,'Input Sheet'!$B$3:$B$1001,$H522,'Input Sheet'!$E$3:$E$1001,N$4))</f>
        <v/>
      </c>
      <c r="O522" s="21" t="str">
        <f>IF(SUMIFS('Input Sheet'!$F$3:$F$1001,'Input Sheet'!$B$3:$B$1001,$H522,'Input Sheet'!$E$3:$E$1001,O$4)=0,"",SUMIFS('Input Sheet'!$F$3:$F$1001,'Input Sheet'!$B$3:$B$1001,$H522,'Input Sheet'!$E$3:$E$1001,O$4))</f>
        <v/>
      </c>
      <c r="P522" s="21" t="str">
        <f>IF(SUMIFS('Input Sheet'!$F$3:$F$1001,'Input Sheet'!$B$3:$B$1001,$H522,'Input Sheet'!$E$3:$E$1001,P$4)=0,"",SUMIFS('Input Sheet'!$F$3:$F$1001,'Input Sheet'!$B$3:$B$1001,$H522,'Input Sheet'!$E$3:$E$1001,P$4))</f>
        <v/>
      </c>
      <c r="Q522" s="21" t="str">
        <f>IF(SUMIFS('Input Sheet'!$F$3:$F$1001,'Input Sheet'!$B$3:$B$1001,$H522,'Input Sheet'!$E$3:$E$1001,Q$4)=0,"",SUMIFS('Input Sheet'!$F$3:$F$1001,'Input Sheet'!$B$3:$B$1001,$H522,'Input Sheet'!$E$3:$E$1001,Q$4))</f>
        <v/>
      </c>
      <c r="R522" s="21" t="str">
        <f>IF(SUMIFS('Input Sheet'!$F$3:$F$1001,'Input Sheet'!$B$3:$B$1001,$H522,'Input Sheet'!$E$3:$E$1001,R$4)=0,"",SUMIFS('Input Sheet'!$F$3:$F$1001,'Input Sheet'!$B$3:$B$1001,$H522,'Input Sheet'!$E$3:$E$1001,R$4))</f>
        <v/>
      </c>
      <c r="S522" s="21" t="str">
        <f>IF(SUMIFS('Input Sheet'!$F$3:$F$1001,'Input Sheet'!$B$3:$B$1001,$H522,'Input Sheet'!$E$3:$E$1001,S$4)=0,"",SUMIFS('Input Sheet'!$F$3:$F$1001,'Input Sheet'!$B$3:$B$1001,$H522,'Input Sheet'!$E$3:$E$1001,S$4))</f>
        <v/>
      </c>
      <c r="T522" s="22">
        <v>517</v>
      </c>
    </row>
    <row r="523" spans="1:20" ht="14.25" customHeight="1" x14ac:dyDescent="0.3">
      <c r="A523" s="4" t="str">
        <f>IF('Input Sheet'!B520=0,"",'Input Sheet'!B520)</f>
        <v/>
      </c>
      <c r="B523" s="24" t="b">
        <f t="shared" si="526"/>
        <v>0</v>
      </c>
      <c r="C523" s="4">
        <f>SUMIF('Input Sheet'!B$3:B$1000,A523,'Input Sheet'!C$3:C$1000)</f>
        <v>0</v>
      </c>
      <c r="D523" s="4">
        <f>SUMIF('Input Sheet'!B$3:B$1000,A523,'Input Sheet'!D$3:D$1000)</f>
        <v>0</v>
      </c>
      <c r="E523" s="4" t="str">
        <f t="shared" ref="E523:F523" ca="1" si="540">IFERROR(RANK(K523,K$6:K$1004,1),"")</f>
        <v/>
      </c>
      <c r="F523" s="4" t="str">
        <f t="shared" ca="1" si="540"/>
        <v/>
      </c>
      <c r="G523" s="4" t="str">
        <f t="shared" ca="1" si="528"/>
        <v/>
      </c>
      <c r="H523" s="4" t="str">
        <f t="shared" si="529"/>
        <v/>
      </c>
      <c r="I523" s="4" t="str">
        <f t="shared" si="530"/>
        <v/>
      </c>
      <c r="J523" s="4" t="str">
        <f t="shared" si="531"/>
        <v/>
      </c>
      <c r="K523" s="25" t="str">
        <f t="shared" ca="1" si="532"/>
        <v/>
      </c>
      <c r="L523" s="21" t="str">
        <f t="shared" ca="1" si="533"/>
        <v/>
      </c>
      <c r="M523" s="21" t="str">
        <f>IF(SUMIFS('Input Sheet'!$F$3:$F$1001,'Input Sheet'!$B$3:$B$1001,$H523,'Input Sheet'!$E$3:$E$1001,M$4)=0,"",SUMIFS('Input Sheet'!$F$3:$F$1001,'Input Sheet'!$B$3:$B$1001,$H523,'Input Sheet'!$E$3:$E$1001,M$4))</f>
        <v/>
      </c>
      <c r="N523" s="21" t="str">
        <f>IF(SUMIFS('Input Sheet'!$F$3:$F$1001,'Input Sheet'!$B$3:$B$1001,$H523,'Input Sheet'!$E$3:$E$1001,N$4)=0,"",SUMIFS('Input Sheet'!$F$3:$F$1001,'Input Sheet'!$B$3:$B$1001,$H523,'Input Sheet'!$E$3:$E$1001,N$4))</f>
        <v/>
      </c>
      <c r="O523" s="21" t="str">
        <f>IF(SUMIFS('Input Sheet'!$F$3:$F$1001,'Input Sheet'!$B$3:$B$1001,$H523,'Input Sheet'!$E$3:$E$1001,O$4)=0,"",SUMIFS('Input Sheet'!$F$3:$F$1001,'Input Sheet'!$B$3:$B$1001,$H523,'Input Sheet'!$E$3:$E$1001,O$4))</f>
        <v/>
      </c>
      <c r="P523" s="21" t="str">
        <f>IF(SUMIFS('Input Sheet'!$F$3:$F$1001,'Input Sheet'!$B$3:$B$1001,$H523,'Input Sheet'!$E$3:$E$1001,P$4)=0,"",SUMIFS('Input Sheet'!$F$3:$F$1001,'Input Sheet'!$B$3:$B$1001,$H523,'Input Sheet'!$E$3:$E$1001,P$4))</f>
        <v/>
      </c>
      <c r="Q523" s="21" t="str">
        <f>IF(SUMIFS('Input Sheet'!$F$3:$F$1001,'Input Sheet'!$B$3:$B$1001,$H523,'Input Sheet'!$E$3:$E$1001,Q$4)=0,"",SUMIFS('Input Sheet'!$F$3:$F$1001,'Input Sheet'!$B$3:$B$1001,$H523,'Input Sheet'!$E$3:$E$1001,Q$4))</f>
        <v/>
      </c>
      <c r="R523" s="21" t="str">
        <f>IF(SUMIFS('Input Sheet'!$F$3:$F$1001,'Input Sheet'!$B$3:$B$1001,$H523,'Input Sheet'!$E$3:$E$1001,R$4)=0,"",SUMIFS('Input Sheet'!$F$3:$F$1001,'Input Sheet'!$B$3:$B$1001,$H523,'Input Sheet'!$E$3:$E$1001,R$4))</f>
        <v/>
      </c>
      <c r="S523" s="21" t="str">
        <f>IF(SUMIFS('Input Sheet'!$F$3:$F$1001,'Input Sheet'!$B$3:$B$1001,$H523,'Input Sheet'!$E$3:$E$1001,S$4)=0,"",SUMIFS('Input Sheet'!$F$3:$F$1001,'Input Sheet'!$B$3:$B$1001,$H523,'Input Sheet'!$E$3:$E$1001,S$4))</f>
        <v/>
      </c>
      <c r="T523" s="22">
        <v>518</v>
      </c>
    </row>
    <row r="524" spans="1:20" ht="14.25" customHeight="1" x14ac:dyDescent="0.3">
      <c r="A524" s="4" t="str">
        <f>IF('Input Sheet'!B521=0,"",'Input Sheet'!B521)</f>
        <v/>
      </c>
      <c r="B524" s="24" t="b">
        <f t="shared" si="526"/>
        <v>0</v>
      </c>
      <c r="C524" s="4">
        <f>SUMIF('Input Sheet'!B$3:B$1000,A524,'Input Sheet'!C$3:C$1000)</f>
        <v>0</v>
      </c>
      <c r="D524" s="4">
        <f>SUMIF('Input Sheet'!B$3:B$1000,A524,'Input Sheet'!D$3:D$1000)</f>
        <v>0</v>
      </c>
      <c r="E524" s="4" t="str">
        <f t="shared" ref="E524:F524" ca="1" si="541">IFERROR(RANK(K524,K$6:K$1004,1),"")</f>
        <v/>
      </c>
      <c r="F524" s="4" t="str">
        <f t="shared" ca="1" si="541"/>
        <v/>
      </c>
      <c r="G524" s="4" t="str">
        <f t="shared" ca="1" si="528"/>
        <v/>
      </c>
      <c r="H524" s="4" t="str">
        <f t="shared" si="529"/>
        <v/>
      </c>
      <c r="I524" s="4" t="str">
        <f t="shared" si="530"/>
        <v/>
      </c>
      <c r="J524" s="4" t="str">
        <f t="shared" si="531"/>
        <v/>
      </c>
      <c r="K524" s="25" t="str">
        <f t="shared" ca="1" si="532"/>
        <v/>
      </c>
      <c r="L524" s="21" t="str">
        <f t="shared" ca="1" si="533"/>
        <v/>
      </c>
      <c r="M524" s="21" t="str">
        <f>IF(SUMIFS('Input Sheet'!$F$3:$F$1001,'Input Sheet'!$B$3:$B$1001,$H524,'Input Sheet'!$E$3:$E$1001,M$4)=0,"",SUMIFS('Input Sheet'!$F$3:$F$1001,'Input Sheet'!$B$3:$B$1001,$H524,'Input Sheet'!$E$3:$E$1001,M$4))</f>
        <v/>
      </c>
      <c r="N524" s="21" t="str">
        <f>IF(SUMIFS('Input Sheet'!$F$3:$F$1001,'Input Sheet'!$B$3:$B$1001,$H524,'Input Sheet'!$E$3:$E$1001,N$4)=0,"",SUMIFS('Input Sheet'!$F$3:$F$1001,'Input Sheet'!$B$3:$B$1001,$H524,'Input Sheet'!$E$3:$E$1001,N$4))</f>
        <v/>
      </c>
      <c r="O524" s="21" t="str">
        <f>IF(SUMIFS('Input Sheet'!$F$3:$F$1001,'Input Sheet'!$B$3:$B$1001,$H524,'Input Sheet'!$E$3:$E$1001,O$4)=0,"",SUMIFS('Input Sheet'!$F$3:$F$1001,'Input Sheet'!$B$3:$B$1001,$H524,'Input Sheet'!$E$3:$E$1001,O$4))</f>
        <v/>
      </c>
      <c r="P524" s="21" t="str">
        <f>IF(SUMIFS('Input Sheet'!$F$3:$F$1001,'Input Sheet'!$B$3:$B$1001,$H524,'Input Sheet'!$E$3:$E$1001,P$4)=0,"",SUMIFS('Input Sheet'!$F$3:$F$1001,'Input Sheet'!$B$3:$B$1001,$H524,'Input Sheet'!$E$3:$E$1001,P$4))</f>
        <v/>
      </c>
      <c r="Q524" s="21" t="str">
        <f>IF(SUMIFS('Input Sheet'!$F$3:$F$1001,'Input Sheet'!$B$3:$B$1001,$H524,'Input Sheet'!$E$3:$E$1001,Q$4)=0,"",SUMIFS('Input Sheet'!$F$3:$F$1001,'Input Sheet'!$B$3:$B$1001,$H524,'Input Sheet'!$E$3:$E$1001,Q$4))</f>
        <v/>
      </c>
      <c r="R524" s="21" t="str">
        <f>IF(SUMIFS('Input Sheet'!$F$3:$F$1001,'Input Sheet'!$B$3:$B$1001,$H524,'Input Sheet'!$E$3:$E$1001,R$4)=0,"",SUMIFS('Input Sheet'!$F$3:$F$1001,'Input Sheet'!$B$3:$B$1001,$H524,'Input Sheet'!$E$3:$E$1001,R$4))</f>
        <v/>
      </c>
      <c r="S524" s="21" t="str">
        <f>IF(SUMIFS('Input Sheet'!$F$3:$F$1001,'Input Sheet'!$B$3:$B$1001,$H524,'Input Sheet'!$E$3:$E$1001,S$4)=0,"",SUMIFS('Input Sheet'!$F$3:$F$1001,'Input Sheet'!$B$3:$B$1001,$H524,'Input Sheet'!$E$3:$E$1001,S$4))</f>
        <v/>
      </c>
      <c r="T524" s="22">
        <v>519</v>
      </c>
    </row>
    <row r="525" spans="1:20" ht="14.25" customHeight="1" x14ac:dyDescent="0.3">
      <c r="A525" s="4" t="str">
        <f>IF('Input Sheet'!B522=0,"",'Input Sheet'!B522)</f>
        <v/>
      </c>
      <c r="B525" s="24" t="b">
        <f t="shared" si="526"/>
        <v>0</v>
      </c>
      <c r="C525" s="4">
        <f>SUMIF('Input Sheet'!B$3:B$1000,A525,'Input Sheet'!C$3:C$1000)</f>
        <v>0</v>
      </c>
      <c r="D525" s="4">
        <f>SUMIF('Input Sheet'!B$3:B$1000,A525,'Input Sheet'!D$3:D$1000)</f>
        <v>0</v>
      </c>
      <c r="E525" s="4" t="str">
        <f t="shared" ref="E525:F525" ca="1" si="542">IFERROR(RANK(K525,K$6:K$1004,1),"")</f>
        <v/>
      </c>
      <c r="F525" s="4" t="str">
        <f t="shared" ca="1" si="542"/>
        <v/>
      </c>
      <c r="G525" s="4" t="str">
        <f t="shared" ca="1" si="528"/>
        <v/>
      </c>
      <c r="H525" s="4" t="str">
        <f t="shared" si="529"/>
        <v/>
      </c>
      <c r="I525" s="4" t="str">
        <f t="shared" si="530"/>
        <v/>
      </c>
      <c r="J525" s="4" t="str">
        <f t="shared" si="531"/>
        <v/>
      </c>
      <c r="K525" s="25" t="str">
        <f t="shared" ca="1" si="532"/>
        <v/>
      </c>
      <c r="L525" s="21" t="str">
        <f t="shared" ca="1" si="533"/>
        <v/>
      </c>
      <c r="M525" s="21" t="str">
        <f>IF(SUMIFS('Input Sheet'!$F$3:$F$1001,'Input Sheet'!$B$3:$B$1001,$H525,'Input Sheet'!$E$3:$E$1001,M$4)=0,"",SUMIFS('Input Sheet'!$F$3:$F$1001,'Input Sheet'!$B$3:$B$1001,$H525,'Input Sheet'!$E$3:$E$1001,M$4))</f>
        <v/>
      </c>
      <c r="N525" s="21" t="str">
        <f>IF(SUMIFS('Input Sheet'!$F$3:$F$1001,'Input Sheet'!$B$3:$B$1001,$H525,'Input Sheet'!$E$3:$E$1001,N$4)=0,"",SUMIFS('Input Sheet'!$F$3:$F$1001,'Input Sheet'!$B$3:$B$1001,$H525,'Input Sheet'!$E$3:$E$1001,N$4))</f>
        <v/>
      </c>
      <c r="O525" s="21" t="str">
        <f>IF(SUMIFS('Input Sheet'!$F$3:$F$1001,'Input Sheet'!$B$3:$B$1001,$H525,'Input Sheet'!$E$3:$E$1001,O$4)=0,"",SUMIFS('Input Sheet'!$F$3:$F$1001,'Input Sheet'!$B$3:$B$1001,$H525,'Input Sheet'!$E$3:$E$1001,O$4))</f>
        <v/>
      </c>
      <c r="P525" s="21" t="str">
        <f>IF(SUMIFS('Input Sheet'!$F$3:$F$1001,'Input Sheet'!$B$3:$B$1001,$H525,'Input Sheet'!$E$3:$E$1001,P$4)=0,"",SUMIFS('Input Sheet'!$F$3:$F$1001,'Input Sheet'!$B$3:$B$1001,$H525,'Input Sheet'!$E$3:$E$1001,P$4))</f>
        <v/>
      </c>
      <c r="Q525" s="21" t="str">
        <f>IF(SUMIFS('Input Sheet'!$F$3:$F$1001,'Input Sheet'!$B$3:$B$1001,$H525,'Input Sheet'!$E$3:$E$1001,Q$4)=0,"",SUMIFS('Input Sheet'!$F$3:$F$1001,'Input Sheet'!$B$3:$B$1001,$H525,'Input Sheet'!$E$3:$E$1001,Q$4))</f>
        <v/>
      </c>
      <c r="R525" s="21" t="str">
        <f>IF(SUMIFS('Input Sheet'!$F$3:$F$1001,'Input Sheet'!$B$3:$B$1001,$H525,'Input Sheet'!$E$3:$E$1001,R$4)=0,"",SUMIFS('Input Sheet'!$F$3:$F$1001,'Input Sheet'!$B$3:$B$1001,$H525,'Input Sheet'!$E$3:$E$1001,R$4))</f>
        <v/>
      </c>
      <c r="S525" s="21" t="str">
        <f>IF(SUMIFS('Input Sheet'!$F$3:$F$1001,'Input Sheet'!$B$3:$B$1001,$H525,'Input Sheet'!$E$3:$E$1001,S$4)=0,"",SUMIFS('Input Sheet'!$F$3:$F$1001,'Input Sheet'!$B$3:$B$1001,$H525,'Input Sheet'!$E$3:$E$1001,S$4))</f>
        <v/>
      </c>
      <c r="T525" s="22">
        <v>520</v>
      </c>
    </row>
    <row r="526" spans="1:20" ht="14.25" customHeight="1" x14ac:dyDescent="0.3">
      <c r="A526" s="4" t="str">
        <f>IF('Input Sheet'!B523=0,"",'Input Sheet'!B523)</f>
        <v/>
      </c>
      <c r="B526" s="24" t="b">
        <f t="shared" si="526"/>
        <v>0</v>
      </c>
      <c r="C526" s="4">
        <f>SUMIF('Input Sheet'!B$3:B$1000,A526,'Input Sheet'!C$3:C$1000)</f>
        <v>0</v>
      </c>
      <c r="D526" s="4">
        <f>SUMIF('Input Sheet'!B$3:B$1000,A526,'Input Sheet'!D$3:D$1000)</f>
        <v>0</v>
      </c>
      <c r="E526" s="4" t="str">
        <f t="shared" ref="E526:F526" ca="1" si="543">IFERROR(RANK(K526,K$6:K$1004,1),"")</f>
        <v/>
      </c>
      <c r="F526" s="4" t="str">
        <f t="shared" ca="1" si="543"/>
        <v/>
      </c>
      <c r="G526" s="4" t="str">
        <f t="shared" ca="1" si="528"/>
        <v/>
      </c>
      <c r="H526" s="4" t="str">
        <f t="shared" si="529"/>
        <v/>
      </c>
      <c r="I526" s="4" t="str">
        <f t="shared" si="530"/>
        <v/>
      </c>
      <c r="J526" s="4" t="str">
        <f t="shared" si="531"/>
        <v/>
      </c>
      <c r="K526" s="25" t="str">
        <f t="shared" ca="1" si="532"/>
        <v/>
      </c>
      <c r="L526" s="21" t="str">
        <f t="shared" ca="1" si="533"/>
        <v/>
      </c>
      <c r="M526" s="21" t="str">
        <f>IF(SUMIFS('Input Sheet'!$F$3:$F$1001,'Input Sheet'!$B$3:$B$1001,$H526,'Input Sheet'!$E$3:$E$1001,M$4)=0,"",SUMIFS('Input Sheet'!$F$3:$F$1001,'Input Sheet'!$B$3:$B$1001,$H526,'Input Sheet'!$E$3:$E$1001,M$4))</f>
        <v/>
      </c>
      <c r="N526" s="21" t="str">
        <f>IF(SUMIFS('Input Sheet'!$F$3:$F$1001,'Input Sheet'!$B$3:$B$1001,$H526,'Input Sheet'!$E$3:$E$1001,N$4)=0,"",SUMIFS('Input Sheet'!$F$3:$F$1001,'Input Sheet'!$B$3:$B$1001,$H526,'Input Sheet'!$E$3:$E$1001,N$4))</f>
        <v/>
      </c>
      <c r="O526" s="21" t="str">
        <f>IF(SUMIFS('Input Sheet'!$F$3:$F$1001,'Input Sheet'!$B$3:$B$1001,$H526,'Input Sheet'!$E$3:$E$1001,O$4)=0,"",SUMIFS('Input Sheet'!$F$3:$F$1001,'Input Sheet'!$B$3:$B$1001,$H526,'Input Sheet'!$E$3:$E$1001,O$4))</f>
        <v/>
      </c>
      <c r="P526" s="21" t="str">
        <f>IF(SUMIFS('Input Sheet'!$F$3:$F$1001,'Input Sheet'!$B$3:$B$1001,$H526,'Input Sheet'!$E$3:$E$1001,P$4)=0,"",SUMIFS('Input Sheet'!$F$3:$F$1001,'Input Sheet'!$B$3:$B$1001,$H526,'Input Sheet'!$E$3:$E$1001,P$4))</f>
        <v/>
      </c>
      <c r="Q526" s="21" t="str">
        <f>IF(SUMIFS('Input Sheet'!$F$3:$F$1001,'Input Sheet'!$B$3:$B$1001,$H526,'Input Sheet'!$E$3:$E$1001,Q$4)=0,"",SUMIFS('Input Sheet'!$F$3:$F$1001,'Input Sheet'!$B$3:$B$1001,$H526,'Input Sheet'!$E$3:$E$1001,Q$4))</f>
        <v/>
      </c>
      <c r="R526" s="21" t="str">
        <f>IF(SUMIFS('Input Sheet'!$F$3:$F$1001,'Input Sheet'!$B$3:$B$1001,$H526,'Input Sheet'!$E$3:$E$1001,R$4)=0,"",SUMIFS('Input Sheet'!$F$3:$F$1001,'Input Sheet'!$B$3:$B$1001,$H526,'Input Sheet'!$E$3:$E$1001,R$4))</f>
        <v/>
      </c>
      <c r="S526" s="21" t="str">
        <f>IF(SUMIFS('Input Sheet'!$F$3:$F$1001,'Input Sheet'!$B$3:$B$1001,$H526,'Input Sheet'!$E$3:$E$1001,S$4)=0,"",SUMIFS('Input Sheet'!$F$3:$F$1001,'Input Sheet'!$B$3:$B$1001,$H526,'Input Sheet'!$E$3:$E$1001,S$4))</f>
        <v/>
      </c>
      <c r="T526" s="22">
        <v>521</v>
      </c>
    </row>
    <row r="527" spans="1:20" ht="14.25" customHeight="1" x14ac:dyDescent="0.3">
      <c r="A527" s="4" t="str">
        <f>IF('Input Sheet'!B524=0,"",'Input Sheet'!B524)</f>
        <v/>
      </c>
      <c r="B527" s="24" t="b">
        <f t="shared" si="526"/>
        <v>0</v>
      </c>
      <c r="C527" s="4">
        <f>SUMIF('Input Sheet'!B$3:B$1000,A527,'Input Sheet'!C$3:C$1000)</f>
        <v>0</v>
      </c>
      <c r="D527" s="4">
        <f>SUMIF('Input Sheet'!B$3:B$1000,A527,'Input Sheet'!D$3:D$1000)</f>
        <v>0</v>
      </c>
      <c r="E527" s="4" t="str">
        <f t="shared" ref="E527:F527" ca="1" si="544">IFERROR(RANK(K527,K$6:K$1004,1),"")</f>
        <v/>
      </c>
      <c r="F527" s="4" t="str">
        <f t="shared" ca="1" si="544"/>
        <v/>
      </c>
      <c r="G527" s="4" t="str">
        <f t="shared" ca="1" si="528"/>
        <v/>
      </c>
      <c r="H527" s="4" t="str">
        <f t="shared" si="529"/>
        <v/>
      </c>
      <c r="I527" s="4" t="str">
        <f t="shared" si="530"/>
        <v/>
      </c>
      <c r="J527" s="4" t="str">
        <f t="shared" si="531"/>
        <v/>
      </c>
      <c r="K527" s="25" t="str">
        <f t="shared" ca="1" si="532"/>
        <v/>
      </c>
      <c r="L527" s="21" t="str">
        <f t="shared" ca="1" si="533"/>
        <v/>
      </c>
      <c r="M527" s="21" t="str">
        <f>IF(SUMIFS('Input Sheet'!$F$3:$F$1001,'Input Sheet'!$B$3:$B$1001,$H527,'Input Sheet'!$E$3:$E$1001,M$4)=0,"",SUMIFS('Input Sheet'!$F$3:$F$1001,'Input Sheet'!$B$3:$B$1001,$H527,'Input Sheet'!$E$3:$E$1001,M$4))</f>
        <v/>
      </c>
      <c r="N527" s="21" t="str">
        <f>IF(SUMIFS('Input Sheet'!$F$3:$F$1001,'Input Sheet'!$B$3:$B$1001,$H527,'Input Sheet'!$E$3:$E$1001,N$4)=0,"",SUMIFS('Input Sheet'!$F$3:$F$1001,'Input Sheet'!$B$3:$B$1001,$H527,'Input Sheet'!$E$3:$E$1001,N$4))</f>
        <v/>
      </c>
      <c r="O527" s="21" t="str">
        <f>IF(SUMIFS('Input Sheet'!$F$3:$F$1001,'Input Sheet'!$B$3:$B$1001,$H527,'Input Sheet'!$E$3:$E$1001,O$4)=0,"",SUMIFS('Input Sheet'!$F$3:$F$1001,'Input Sheet'!$B$3:$B$1001,$H527,'Input Sheet'!$E$3:$E$1001,O$4))</f>
        <v/>
      </c>
      <c r="P527" s="21" t="str">
        <f>IF(SUMIFS('Input Sheet'!$F$3:$F$1001,'Input Sheet'!$B$3:$B$1001,$H527,'Input Sheet'!$E$3:$E$1001,P$4)=0,"",SUMIFS('Input Sheet'!$F$3:$F$1001,'Input Sheet'!$B$3:$B$1001,$H527,'Input Sheet'!$E$3:$E$1001,P$4))</f>
        <v/>
      </c>
      <c r="Q527" s="21" t="str">
        <f>IF(SUMIFS('Input Sheet'!$F$3:$F$1001,'Input Sheet'!$B$3:$B$1001,$H527,'Input Sheet'!$E$3:$E$1001,Q$4)=0,"",SUMIFS('Input Sheet'!$F$3:$F$1001,'Input Sheet'!$B$3:$B$1001,$H527,'Input Sheet'!$E$3:$E$1001,Q$4))</f>
        <v/>
      </c>
      <c r="R527" s="21" t="str">
        <f>IF(SUMIFS('Input Sheet'!$F$3:$F$1001,'Input Sheet'!$B$3:$B$1001,$H527,'Input Sheet'!$E$3:$E$1001,R$4)=0,"",SUMIFS('Input Sheet'!$F$3:$F$1001,'Input Sheet'!$B$3:$B$1001,$H527,'Input Sheet'!$E$3:$E$1001,R$4))</f>
        <v/>
      </c>
      <c r="S527" s="21" t="str">
        <f>IF(SUMIFS('Input Sheet'!$F$3:$F$1001,'Input Sheet'!$B$3:$B$1001,$H527,'Input Sheet'!$E$3:$E$1001,S$4)=0,"",SUMIFS('Input Sheet'!$F$3:$F$1001,'Input Sheet'!$B$3:$B$1001,$H527,'Input Sheet'!$E$3:$E$1001,S$4))</f>
        <v/>
      </c>
      <c r="T527" s="22">
        <v>522</v>
      </c>
    </row>
    <row r="528" spans="1:20" ht="14.25" customHeight="1" x14ac:dyDescent="0.3">
      <c r="A528" s="4" t="str">
        <f>IF('Input Sheet'!B525=0,"",'Input Sheet'!B525)</f>
        <v/>
      </c>
      <c r="B528" s="24" t="b">
        <f t="shared" si="526"/>
        <v>0</v>
      </c>
      <c r="C528" s="4">
        <f>SUMIF('Input Sheet'!B$3:B$1000,A528,'Input Sheet'!C$3:C$1000)</f>
        <v>0</v>
      </c>
      <c r="D528" s="4">
        <f>SUMIF('Input Sheet'!B$3:B$1000,A528,'Input Sheet'!D$3:D$1000)</f>
        <v>0</v>
      </c>
      <c r="E528" s="4" t="str">
        <f t="shared" ref="E528:F528" ca="1" si="545">IFERROR(RANK(K528,K$6:K$1004,1),"")</f>
        <v/>
      </c>
      <c r="F528" s="4" t="str">
        <f t="shared" ca="1" si="545"/>
        <v/>
      </c>
      <c r="G528" s="4" t="str">
        <f t="shared" ca="1" si="528"/>
        <v/>
      </c>
      <c r="H528" s="4" t="str">
        <f t="shared" si="529"/>
        <v/>
      </c>
      <c r="I528" s="4" t="str">
        <f t="shared" si="530"/>
        <v/>
      </c>
      <c r="J528" s="4" t="str">
        <f t="shared" si="531"/>
        <v/>
      </c>
      <c r="K528" s="25" t="str">
        <f t="shared" ca="1" si="532"/>
        <v/>
      </c>
      <c r="L528" s="21" t="str">
        <f t="shared" ca="1" si="533"/>
        <v/>
      </c>
      <c r="M528" s="21" t="str">
        <f>IF(SUMIFS('Input Sheet'!$F$3:$F$1001,'Input Sheet'!$B$3:$B$1001,$H528,'Input Sheet'!$E$3:$E$1001,M$4)=0,"",SUMIFS('Input Sheet'!$F$3:$F$1001,'Input Sheet'!$B$3:$B$1001,$H528,'Input Sheet'!$E$3:$E$1001,M$4))</f>
        <v/>
      </c>
      <c r="N528" s="21" t="str">
        <f>IF(SUMIFS('Input Sheet'!$F$3:$F$1001,'Input Sheet'!$B$3:$B$1001,$H528,'Input Sheet'!$E$3:$E$1001,N$4)=0,"",SUMIFS('Input Sheet'!$F$3:$F$1001,'Input Sheet'!$B$3:$B$1001,$H528,'Input Sheet'!$E$3:$E$1001,N$4))</f>
        <v/>
      </c>
      <c r="O528" s="21" t="str">
        <f>IF(SUMIFS('Input Sheet'!$F$3:$F$1001,'Input Sheet'!$B$3:$B$1001,$H528,'Input Sheet'!$E$3:$E$1001,O$4)=0,"",SUMIFS('Input Sheet'!$F$3:$F$1001,'Input Sheet'!$B$3:$B$1001,$H528,'Input Sheet'!$E$3:$E$1001,O$4))</f>
        <v/>
      </c>
      <c r="P528" s="21" t="str">
        <f>IF(SUMIFS('Input Sheet'!$F$3:$F$1001,'Input Sheet'!$B$3:$B$1001,$H528,'Input Sheet'!$E$3:$E$1001,P$4)=0,"",SUMIFS('Input Sheet'!$F$3:$F$1001,'Input Sheet'!$B$3:$B$1001,$H528,'Input Sheet'!$E$3:$E$1001,P$4))</f>
        <v/>
      </c>
      <c r="Q528" s="21" t="str">
        <f>IF(SUMIFS('Input Sheet'!$F$3:$F$1001,'Input Sheet'!$B$3:$B$1001,$H528,'Input Sheet'!$E$3:$E$1001,Q$4)=0,"",SUMIFS('Input Sheet'!$F$3:$F$1001,'Input Sheet'!$B$3:$B$1001,$H528,'Input Sheet'!$E$3:$E$1001,Q$4))</f>
        <v/>
      </c>
      <c r="R528" s="21" t="str">
        <f>IF(SUMIFS('Input Sheet'!$F$3:$F$1001,'Input Sheet'!$B$3:$B$1001,$H528,'Input Sheet'!$E$3:$E$1001,R$4)=0,"",SUMIFS('Input Sheet'!$F$3:$F$1001,'Input Sheet'!$B$3:$B$1001,$H528,'Input Sheet'!$E$3:$E$1001,R$4))</f>
        <v/>
      </c>
      <c r="S528" s="21" t="str">
        <f>IF(SUMIFS('Input Sheet'!$F$3:$F$1001,'Input Sheet'!$B$3:$B$1001,$H528,'Input Sheet'!$E$3:$E$1001,S$4)=0,"",SUMIFS('Input Sheet'!$F$3:$F$1001,'Input Sheet'!$B$3:$B$1001,$H528,'Input Sheet'!$E$3:$E$1001,S$4))</f>
        <v/>
      </c>
      <c r="T528" s="22">
        <v>523</v>
      </c>
    </row>
    <row r="529" spans="1:20" ht="14.25" customHeight="1" x14ac:dyDescent="0.3">
      <c r="A529" s="4" t="str">
        <f>IF('Input Sheet'!B526=0,"",'Input Sheet'!B526)</f>
        <v/>
      </c>
      <c r="B529" s="24" t="b">
        <f t="shared" si="526"/>
        <v>0</v>
      </c>
      <c r="C529" s="4">
        <f>SUMIF('Input Sheet'!B$3:B$1000,A529,'Input Sheet'!C$3:C$1000)</f>
        <v>0</v>
      </c>
      <c r="D529" s="4">
        <f>SUMIF('Input Sheet'!B$3:B$1000,A529,'Input Sheet'!D$3:D$1000)</f>
        <v>0</v>
      </c>
      <c r="E529" s="4" t="str">
        <f t="shared" ref="E529:F529" ca="1" si="546">IFERROR(RANK(K529,K$6:K$1004,1),"")</f>
        <v/>
      </c>
      <c r="F529" s="4" t="str">
        <f t="shared" ca="1" si="546"/>
        <v/>
      </c>
      <c r="G529" s="4" t="str">
        <f t="shared" ca="1" si="528"/>
        <v/>
      </c>
      <c r="H529" s="4" t="str">
        <f t="shared" si="529"/>
        <v/>
      </c>
      <c r="I529" s="4" t="str">
        <f t="shared" si="530"/>
        <v/>
      </c>
      <c r="J529" s="4" t="str">
        <f t="shared" si="531"/>
        <v/>
      </c>
      <c r="K529" s="25" t="str">
        <f t="shared" ca="1" si="532"/>
        <v/>
      </c>
      <c r="L529" s="21" t="str">
        <f t="shared" ca="1" si="533"/>
        <v/>
      </c>
      <c r="M529" s="21" t="str">
        <f>IF(SUMIFS('Input Sheet'!$F$3:$F$1001,'Input Sheet'!$B$3:$B$1001,$H529,'Input Sheet'!$E$3:$E$1001,M$4)=0,"",SUMIFS('Input Sheet'!$F$3:$F$1001,'Input Sheet'!$B$3:$B$1001,$H529,'Input Sheet'!$E$3:$E$1001,M$4))</f>
        <v/>
      </c>
      <c r="N529" s="21" t="str">
        <f>IF(SUMIFS('Input Sheet'!$F$3:$F$1001,'Input Sheet'!$B$3:$B$1001,$H529,'Input Sheet'!$E$3:$E$1001,N$4)=0,"",SUMIFS('Input Sheet'!$F$3:$F$1001,'Input Sheet'!$B$3:$B$1001,$H529,'Input Sheet'!$E$3:$E$1001,N$4))</f>
        <v/>
      </c>
      <c r="O529" s="21" t="str">
        <f>IF(SUMIFS('Input Sheet'!$F$3:$F$1001,'Input Sheet'!$B$3:$B$1001,$H529,'Input Sheet'!$E$3:$E$1001,O$4)=0,"",SUMIFS('Input Sheet'!$F$3:$F$1001,'Input Sheet'!$B$3:$B$1001,$H529,'Input Sheet'!$E$3:$E$1001,O$4))</f>
        <v/>
      </c>
      <c r="P529" s="21" t="str">
        <f>IF(SUMIFS('Input Sheet'!$F$3:$F$1001,'Input Sheet'!$B$3:$B$1001,$H529,'Input Sheet'!$E$3:$E$1001,P$4)=0,"",SUMIFS('Input Sheet'!$F$3:$F$1001,'Input Sheet'!$B$3:$B$1001,$H529,'Input Sheet'!$E$3:$E$1001,P$4))</f>
        <v/>
      </c>
      <c r="Q529" s="21" t="str">
        <f>IF(SUMIFS('Input Sheet'!$F$3:$F$1001,'Input Sheet'!$B$3:$B$1001,$H529,'Input Sheet'!$E$3:$E$1001,Q$4)=0,"",SUMIFS('Input Sheet'!$F$3:$F$1001,'Input Sheet'!$B$3:$B$1001,$H529,'Input Sheet'!$E$3:$E$1001,Q$4))</f>
        <v/>
      </c>
      <c r="R529" s="21" t="str">
        <f>IF(SUMIFS('Input Sheet'!$F$3:$F$1001,'Input Sheet'!$B$3:$B$1001,$H529,'Input Sheet'!$E$3:$E$1001,R$4)=0,"",SUMIFS('Input Sheet'!$F$3:$F$1001,'Input Sheet'!$B$3:$B$1001,$H529,'Input Sheet'!$E$3:$E$1001,R$4))</f>
        <v/>
      </c>
      <c r="S529" s="21" t="str">
        <f>IF(SUMIFS('Input Sheet'!$F$3:$F$1001,'Input Sheet'!$B$3:$B$1001,$H529,'Input Sheet'!$E$3:$E$1001,S$4)=0,"",SUMIFS('Input Sheet'!$F$3:$F$1001,'Input Sheet'!$B$3:$B$1001,$H529,'Input Sheet'!$E$3:$E$1001,S$4))</f>
        <v/>
      </c>
      <c r="T529" s="22">
        <v>524</v>
      </c>
    </row>
    <row r="530" spans="1:20" ht="14.25" customHeight="1" x14ac:dyDescent="0.3">
      <c r="A530" s="4" t="str">
        <f>IF('Input Sheet'!B527=0,"",'Input Sheet'!B527)</f>
        <v/>
      </c>
      <c r="B530" s="24" t="b">
        <f t="shared" si="526"/>
        <v>0</v>
      </c>
      <c r="C530" s="4">
        <f>SUMIF('Input Sheet'!B$3:B$1000,A530,'Input Sheet'!C$3:C$1000)</f>
        <v>0</v>
      </c>
      <c r="D530" s="4">
        <f>SUMIF('Input Sheet'!B$3:B$1000,A530,'Input Sheet'!D$3:D$1000)</f>
        <v>0</v>
      </c>
      <c r="E530" s="4" t="str">
        <f t="shared" ref="E530:F530" ca="1" si="547">IFERROR(RANK(K530,K$6:K$1004,1),"")</f>
        <v/>
      </c>
      <c r="F530" s="4" t="str">
        <f t="shared" ca="1" si="547"/>
        <v/>
      </c>
      <c r="G530" s="4" t="str">
        <f t="shared" ca="1" si="528"/>
        <v/>
      </c>
      <c r="H530" s="4" t="str">
        <f t="shared" si="529"/>
        <v/>
      </c>
      <c r="I530" s="4" t="str">
        <f t="shared" si="530"/>
        <v/>
      </c>
      <c r="J530" s="4" t="str">
        <f t="shared" si="531"/>
        <v/>
      </c>
      <c r="K530" s="25" t="str">
        <f t="shared" ca="1" si="532"/>
        <v/>
      </c>
      <c r="L530" s="21" t="str">
        <f t="shared" ca="1" si="533"/>
        <v/>
      </c>
      <c r="M530" s="21" t="str">
        <f>IF(SUMIFS('Input Sheet'!$F$3:$F$1001,'Input Sheet'!$B$3:$B$1001,$H530,'Input Sheet'!$E$3:$E$1001,M$4)=0,"",SUMIFS('Input Sheet'!$F$3:$F$1001,'Input Sheet'!$B$3:$B$1001,$H530,'Input Sheet'!$E$3:$E$1001,M$4))</f>
        <v/>
      </c>
      <c r="N530" s="21" t="str">
        <f>IF(SUMIFS('Input Sheet'!$F$3:$F$1001,'Input Sheet'!$B$3:$B$1001,$H530,'Input Sheet'!$E$3:$E$1001,N$4)=0,"",SUMIFS('Input Sheet'!$F$3:$F$1001,'Input Sheet'!$B$3:$B$1001,$H530,'Input Sheet'!$E$3:$E$1001,N$4))</f>
        <v/>
      </c>
      <c r="O530" s="21" t="str">
        <f>IF(SUMIFS('Input Sheet'!$F$3:$F$1001,'Input Sheet'!$B$3:$B$1001,$H530,'Input Sheet'!$E$3:$E$1001,O$4)=0,"",SUMIFS('Input Sheet'!$F$3:$F$1001,'Input Sheet'!$B$3:$B$1001,$H530,'Input Sheet'!$E$3:$E$1001,O$4))</f>
        <v/>
      </c>
      <c r="P530" s="21" t="str">
        <f>IF(SUMIFS('Input Sheet'!$F$3:$F$1001,'Input Sheet'!$B$3:$B$1001,$H530,'Input Sheet'!$E$3:$E$1001,P$4)=0,"",SUMIFS('Input Sheet'!$F$3:$F$1001,'Input Sheet'!$B$3:$B$1001,$H530,'Input Sheet'!$E$3:$E$1001,P$4))</f>
        <v/>
      </c>
      <c r="Q530" s="21" t="str">
        <f>IF(SUMIFS('Input Sheet'!$F$3:$F$1001,'Input Sheet'!$B$3:$B$1001,$H530,'Input Sheet'!$E$3:$E$1001,Q$4)=0,"",SUMIFS('Input Sheet'!$F$3:$F$1001,'Input Sheet'!$B$3:$B$1001,$H530,'Input Sheet'!$E$3:$E$1001,Q$4))</f>
        <v/>
      </c>
      <c r="R530" s="21" t="str">
        <f>IF(SUMIFS('Input Sheet'!$F$3:$F$1001,'Input Sheet'!$B$3:$B$1001,$H530,'Input Sheet'!$E$3:$E$1001,R$4)=0,"",SUMIFS('Input Sheet'!$F$3:$F$1001,'Input Sheet'!$B$3:$B$1001,$H530,'Input Sheet'!$E$3:$E$1001,R$4))</f>
        <v/>
      </c>
      <c r="S530" s="21" t="str">
        <f>IF(SUMIFS('Input Sheet'!$F$3:$F$1001,'Input Sheet'!$B$3:$B$1001,$H530,'Input Sheet'!$E$3:$E$1001,S$4)=0,"",SUMIFS('Input Sheet'!$F$3:$F$1001,'Input Sheet'!$B$3:$B$1001,$H530,'Input Sheet'!$E$3:$E$1001,S$4))</f>
        <v/>
      </c>
      <c r="T530" s="22">
        <v>525</v>
      </c>
    </row>
    <row r="531" spans="1:20" ht="14.25" customHeight="1" x14ac:dyDescent="0.3">
      <c r="A531" s="4" t="str">
        <f>IF('Input Sheet'!B528=0,"",'Input Sheet'!B528)</f>
        <v/>
      </c>
      <c r="B531" s="24" t="b">
        <f t="shared" si="526"/>
        <v>0</v>
      </c>
      <c r="C531" s="4">
        <f>SUMIF('Input Sheet'!B$3:B$1000,A531,'Input Sheet'!C$3:C$1000)</f>
        <v>0</v>
      </c>
      <c r="D531" s="4">
        <f>SUMIF('Input Sheet'!B$3:B$1000,A531,'Input Sheet'!D$3:D$1000)</f>
        <v>0</v>
      </c>
      <c r="E531" s="4" t="str">
        <f t="shared" ref="E531:F531" ca="1" si="548">IFERROR(RANK(K531,K$6:K$1004,1),"")</f>
        <v/>
      </c>
      <c r="F531" s="4" t="str">
        <f t="shared" ca="1" si="548"/>
        <v/>
      </c>
      <c r="G531" s="4" t="str">
        <f t="shared" ca="1" si="528"/>
        <v/>
      </c>
      <c r="H531" s="4" t="str">
        <f t="shared" si="529"/>
        <v/>
      </c>
      <c r="I531" s="4" t="str">
        <f t="shared" si="530"/>
        <v/>
      </c>
      <c r="J531" s="4" t="str">
        <f t="shared" si="531"/>
        <v/>
      </c>
      <c r="K531" s="25" t="str">
        <f t="shared" ca="1" si="532"/>
        <v/>
      </c>
      <c r="L531" s="21" t="str">
        <f t="shared" ca="1" si="533"/>
        <v/>
      </c>
      <c r="M531" s="21" t="str">
        <f>IF(SUMIFS('Input Sheet'!$F$3:$F$1001,'Input Sheet'!$B$3:$B$1001,$H531,'Input Sheet'!$E$3:$E$1001,M$4)=0,"",SUMIFS('Input Sheet'!$F$3:$F$1001,'Input Sheet'!$B$3:$B$1001,$H531,'Input Sheet'!$E$3:$E$1001,M$4))</f>
        <v/>
      </c>
      <c r="N531" s="21" t="str">
        <f>IF(SUMIFS('Input Sheet'!$F$3:$F$1001,'Input Sheet'!$B$3:$B$1001,$H531,'Input Sheet'!$E$3:$E$1001,N$4)=0,"",SUMIFS('Input Sheet'!$F$3:$F$1001,'Input Sheet'!$B$3:$B$1001,$H531,'Input Sheet'!$E$3:$E$1001,N$4))</f>
        <v/>
      </c>
      <c r="O531" s="21" t="str">
        <f>IF(SUMIFS('Input Sheet'!$F$3:$F$1001,'Input Sheet'!$B$3:$B$1001,$H531,'Input Sheet'!$E$3:$E$1001,O$4)=0,"",SUMIFS('Input Sheet'!$F$3:$F$1001,'Input Sheet'!$B$3:$B$1001,$H531,'Input Sheet'!$E$3:$E$1001,O$4))</f>
        <v/>
      </c>
      <c r="P531" s="21" t="str">
        <f>IF(SUMIFS('Input Sheet'!$F$3:$F$1001,'Input Sheet'!$B$3:$B$1001,$H531,'Input Sheet'!$E$3:$E$1001,P$4)=0,"",SUMIFS('Input Sheet'!$F$3:$F$1001,'Input Sheet'!$B$3:$B$1001,$H531,'Input Sheet'!$E$3:$E$1001,P$4))</f>
        <v/>
      </c>
      <c r="Q531" s="21" t="str">
        <f>IF(SUMIFS('Input Sheet'!$F$3:$F$1001,'Input Sheet'!$B$3:$B$1001,$H531,'Input Sheet'!$E$3:$E$1001,Q$4)=0,"",SUMIFS('Input Sheet'!$F$3:$F$1001,'Input Sheet'!$B$3:$B$1001,$H531,'Input Sheet'!$E$3:$E$1001,Q$4))</f>
        <v/>
      </c>
      <c r="R531" s="21" t="str">
        <f>IF(SUMIFS('Input Sheet'!$F$3:$F$1001,'Input Sheet'!$B$3:$B$1001,$H531,'Input Sheet'!$E$3:$E$1001,R$4)=0,"",SUMIFS('Input Sheet'!$F$3:$F$1001,'Input Sheet'!$B$3:$B$1001,$H531,'Input Sheet'!$E$3:$E$1001,R$4))</f>
        <v/>
      </c>
      <c r="S531" s="21" t="str">
        <f>IF(SUMIFS('Input Sheet'!$F$3:$F$1001,'Input Sheet'!$B$3:$B$1001,$H531,'Input Sheet'!$E$3:$E$1001,S$4)=0,"",SUMIFS('Input Sheet'!$F$3:$F$1001,'Input Sheet'!$B$3:$B$1001,$H531,'Input Sheet'!$E$3:$E$1001,S$4))</f>
        <v/>
      </c>
      <c r="T531" s="22">
        <v>526</v>
      </c>
    </row>
    <row r="532" spans="1:20" ht="14.25" customHeight="1" x14ac:dyDescent="0.3">
      <c r="A532" s="4" t="str">
        <f>IF('Input Sheet'!B529=0,"",'Input Sheet'!B529)</f>
        <v/>
      </c>
      <c r="B532" s="24" t="b">
        <f t="shared" si="526"/>
        <v>0</v>
      </c>
      <c r="C532" s="4">
        <f>SUMIF('Input Sheet'!B$3:B$1000,A532,'Input Sheet'!C$3:C$1000)</f>
        <v>0</v>
      </c>
      <c r="D532" s="4">
        <f>SUMIF('Input Sheet'!B$3:B$1000,A532,'Input Sheet'!D$3:D$1000)</f>
        <v>0</v>
      </c>
      <c r="E532" s="4" t="str">
        <f t="shared" ref="E532:F532" ca="1" si="549">IFERROR(RANK(K532,K$6:K$1004,1),"")</f>
        <v/>
      </c>
      <c r="F532" s="4" t="str">
        <f t="shared" ca="1" si="549"/>
        <v/>
      </c>
      <c r="G532" s="4" t="str">
        <f t="shared" ca="1" si="528"/>
        <v/>
      </c>
      <c r="H532" s="4" t="str">
        <f t="shared" si="529"/>
        <v/>
      </c>
      <c r="I532" s="4" t="str">
        <f t="shared" si="530"/>
        <v/>
      </c>
      <c r="J532" s="4" t="str">
        <f t="shared" si="531"/>
        <v/>
      </c>
      <c r="K532" s="25" t="str">
        <f t="shared" ca="1" si="532"/>
        <v/>
      </c>
      <c r="L532" s="21" t="str">
        <f t="shared" ca="1" si="533"/>
        <v/>
      </c>
      <c r="M532" s="21" t="str">
        <f>IF(SUMIFS('Input Sheet'!$F$3:$F$1001,'Input Sheet'!$B$3:$B$1001,$H532,'Input Sheet'!$E$3:$E$1001,M$4)=0,"",SUMIFS('Input Sheet'!$F$3:$F$1001,'Input Sheet'!$B$3:$B$1001,$H532,'Input Sheet'!$E$3:$E$1001,M$4))</f>
        <v/>
      </c>
      <c r="N532" s="21" t="str">
        <f>IF(SUMIFS('Input Sheet'!$F$3:$F$1001,'Input Sheet'!$B$3:$B$1001,$H532,'Input Sheet'!$E$3:$E$1001,N$4)=0,"",SUMIFS('Input Sheet'!$F$3:$F$1001,'Input Sheet'!$B$3:$B$1001,$H532,'Input Sheet'!$E$3:$E$1001,N$4))</f>
        <v/>
      </c>
      <c r="O532" s="21" t="str">
        <f>IF(SUMIFS('Input Sheet'!$F$3:$F$1001,'Input Sheet'!$B$3:$B$1001,$H532,'Input Sheet'!$E$3:$E$1001,O$4)=0,"",SUMIFS('Input Sheet'!$F$3:$F$1001,'Input Sheet'!$B$3:$B$1001,$H532,'Input Sheet'!$E$3:$E$1001,O$4))</f>
        <v/>
      </c>
      <c r="P532" s="21" t="str">
        <f>IF(SUMIFS('Input Sheet'!$F$3:$F$1001,'Input Sheet'!$B$3:$B$1001,$H532,'Input Sheet'!$E$3:$E$1001,P$4)=0,"",SUMIFS('Input Sheet'!$F$3:$F$1001,'Input Sheet'!$B$3:$B$1001,$H532,'Input Sheet'!$E$3:$E$1001,P$4))</f>
        <v/>
      </c>
      <c r="Q532" s="21" t="str">
        <f>IF(SUMIFS('Input Sheet'!$F$3:$F$1001,'Input Sheet'!$B$3:$B$1001,$H532,'Input Sheet'!$E$3:$E$1001,Q$4)=0,"",SUMIFS('Input Sheet'!$F$3:$F$1001,'Input Sheet'!$B$3:$B$1001,$H532,'Input Sheet'!$E$3:$E$1001,Q$4))</f>
        <v/>
      </c>
      <c r="R532" s="21" t="str">
        <f>IF(SUMIFS('Input Sheet'!$F$3:$F$1001,'Input Sheet'!$B$3:$B$1001,$H532,'Input Sheet'!$E$3:$E$1001,R$4)=0,"",SUMIFS('Input Sheet'!$F$3:$F$1001,'Input Sheet'!$B$3:$B$1001,$H532,'Input Sheet'!$E$3:$E$1001,R$4))</f>
        <v/>
      </c>
      <c r="S532" s="21" t="str">
        <f>IF(SUMIFS('Input Sheet'!$F$3:$F$1001,'Input Sheet'!$B$3:$B$1001,$H532,'Input Sheet'!$E$3:$E$1001,S$4)=0,"",SUMIFS('Input Sheet'!$F$3:$F$1001,'Input Sheet'!$B$3:$B$1001,$H532,'Input Sheet'!$E$3:$E$1001,S$4))</f>
        <v/>
      </c>
      <c r="T532" s="22">
        <v>527</v>
      </c>
    </row>
    <row r="533" spans="1:20" ht="14.25" customHeight="1" x14ac:dyDescent="0.3">
      <c r="A533" s="4" t="str">
        <f>IF('Input Sheet'!B530=0,"",'Input Sheet'!B530)</f>
        <v/>
      </c>
      <c r="B533" s="24" t="b">
        <f t="shared" si="526"/>
        <v>0</v>
      </c>
      <c r="C533" s="4">
        <f>SUMIF('Input Sheet'!B$3:B$1000,A533,'Input Sheet'!C$3:C$1000)</f>
        <v>0</v>
      </c>
      <c r="D533" s="4">
        <f>SUMIF('Input Sheet'!B$3:B$1000,A533,'Input Sheet'!D$3:D$1000)</f>
        <v>0</v>
      </c>
      <c r="E533" s="4" t="str">
        <f t="shared" ref="E533:F533" ca="1" si="550">IFERROR(RANK(K533,K$6:K$1004,1),"")</f>
        <v/>
      </c>
      <c r="F533" s="4" t="str">
        <f t="shared" ca="1" si="550"/>
        <v/>
      </c>
      <c r="G533" s="4" t="str">
        <f t="shared" ca="1" si="528"/>
        <v/>
      </c>
      <c r="H533" s="4" t="str">
        <f t="shared" si="529"/>
        <v/>
      </c>
      <c r="I533" s="4" t="str">
        <f t="shared" si="530"/>
        <v/>
      </c>
      <c r="J533" s="4" t="str">
        <f t="shared" si="531"/>
        <v/>
      </c>
      <c r="K533" s="25" t="str">
        <f t="shared" ca="1" si="532"/>
        <v/>
      </c>
      <c r="L533" s="21" t="str">
        <f t="shared" ca="1" si="533"/>
        <v/>
      </c>
      <c r="M533" s="21" t="str">
        <f>IF(SUMIFS('Input Sheet'!$F$3:$F$1001,'Input Sheet'!$B$3:$B$1001,$H533,'Input Sheet'!$E$3:$E$1001,M$4)=0,"",SUMIFS('Input Sheet'!$F$3:$F$1001,'Input Sheet'!$B$3:$B$1001,$H533,'Input Sheet'!$E$3:$E$1001,M$4))</f>
        <v/>
      </c>
      <c r="N533" s="21" t="str">
        <f>IF(SUMIFS('Input Sheet'!$F$3:$F$1001,'Input Sheet'!$B$3:$B$1001,$H533,'Input Sheet'!$E$3:$E$1001,N$4)=0,"",SUMIFS('Input Sheet'!$F$3:$F$1001,'Input Sheet'!$B$3:$B$1001,$H533,'Input Sheet'!$E$3:$E$1001,N$4))</f>
        <v/>
      </c>
      <c r="O533" s="21" t="str">
        <f>IF(SUMIFS('Input Sheet'!$F$3:$F$1001,'Input Sheet'!$B$3:$B$1001,$H533,'Input Sheet'!$E$3:$E$1001,O$4)=0,"",SUMIFS('Input Sheet'!$F$3:$F$1001,'Input Sheet'!$B$3:$B$1001,$H533,'Input Sheet'!$E$3:$E$1001,O$4))</f>
        <v/>
      </c>
      <c r="P533" s="21" t="str">
        <f>IF(SUMIFS('Input Sheet'!$F$3:$F$1001,'Input Sheet'!$B$3:$B$1001,$H533,'Input Sheet'!$E$3:$E$1001,P$4)=0,"",SUMIFS('Input Sheet'!$F$3:$F$1001,'Input Sheet'!$B$3:$B$1001,$H533,'Input Sheet'!$E$3:$E$1001,P$4))</f>
        <v/>
      </c>
      <c r="Q533" s="21" t="str">
        <f>IF(SUMIFS('Input Sheet'!$F$3:$F$1001,'Input Sheet'!$B$3:$B$1001,$H533,'Input Sheet'!$E$3:$E$1001,Q$4)=0,"",SUMIFS('Input Sheet'!$F$3:$F$1001,'Input Sheet'!$B$3:$B$1001,$H533,'Input Sheet'!$E$3:$E$1001,Q$4))</f>
        <v/>
      </c>
      <c r="R533" s="21" t="str">
        <f>IF(SUMIFS('Input Sheet'!$F$3:$F$1001,'Input Sheet'!$B$3:$B$1001,$H533,'Input Sheet'!$E$3:$E$1001,R$4)=0,"",SUMIFS('Input Sheet'!$F$3:$F$1001,'Input Sheet'!$B$3:$B$1001,$H533,'Input Sheet'!$E$3:$E$1001,R$4))</f>
        <v/>
      </c>
      <c r="S533" s="21" t="str">
        <f>IF(SUMIFS('Input Sheet'!$F$3:$F$1001,'Input Sheet'!$B$3:$B$1001,$H533,'Input Sheet'!$E$3:$E$1001,S$4)=0,"",SUMIFS('Input Sheet'!$F$3:$F$1001,'Input Sheet'!$B$3:$B$1001,$H533,'Input Sheet'!$E$3:$E$1001,S$4))</f>
        <v/>
      </c>
      <c r="T533" s="22">
        <v>528</v>
      </c>
    </row>
    <row r="534" spans="1:20" ht="14.25" customHeight="1" x14ac:dyDescent="0.3">
      <c r="A534" s="4" t="str">
        <f>IF('Input Sheet'!B531=0,"",'Input Sheet'!B531)</f>
        <v/>
      </c>
      <c r="B534" s="24" t="b">
        <f t="shared" si="526"/>
        <v>0</v>
      </c>
      <c r="C534" s="4">
        <f>SUMIF('Input Sheet'!B$3:B$1000,A534,'Input Sheet'!C$3:C$1000)</f>
        <v>0</v>
      </c>
      <c r="D534" s="4">
        <f>SUMIF('Input Sheet'!B$3:B$1000,A534,'Input Sheet'!D$3:D$1000)</f>
        <v>0</v>
      </c>
      <c r="E534" s="4" t="str">
        <f t="shared" ref="E534:F534" ca="1" si="551">IFERROR(RANK(K534,K$6:K$1004,1),"")</f>
        <v/>
      </c>
      <c r="F534" s="4" t="str">
        <f t="shared" ca="1" si="551"/>
        <v/>
      </c>
      <c r="G534" s="4" t="str">
        <f t="shared" ca="1" si="528"/>
        <v/>
      </c>
      <c r="H534" s="4" t="str">
        <f t="shared" si="529"/>
        <v/>
      </c>
      <c r="I534" s="4" t="str">
        <f t="shared" si="530"/>
        <v/>
      </c>
      <c r="J534" s="4" t="str">
        <f t="shared" si="531"/>
        <v/>
      </c>
      <c r="K534" s="25" t="str">
        <f t="shared" ca="1" si="532"/>
        <v/>
      </c>
      <c r="L534" s="21" t="str">
        <f t="shared" ca="1" si="533"/>
        <v/>
      </c>
      <c r="M534" s="21" t="str">
        <f>IF(SUMIFS('Input Sheet'!$F$3:$F$1001,'Input Sheet'!$B$3:$B$1001,$H534,'Input Sheet'!$E$3:$E$1001,M$4)=0,"",SUMIFS('Input Sheet'!$F$3:$F$1001,'Input Sheet'!$B$3:$B$1001,$H534,'Input Sheet'!$E$3:$E$1001,M$4))</f>
        <v/>
      </c>
      <c r="N534" s="21" t="str">
        <f>IF(SUMIFS('Input Sheet'!$F$3:$F$1001,'Input Sheet'!$B$3:$B$1001,$H534,'Input Sheet'!$E$3:$E$1001,N$4)=0,"",SUMIFS('Input Sheet'!$F$3:$F$1001,'Input Sheet'!$B$3:$B$1001,$H534,'Input Sheet'!$E$3:$E$1001,N$4))</f>
        <v/>
      </c>
      <c r="O534" s="21" t="str">
        <f>IF(SUMIFS('Input Sheet'!$F$3:$F$1001,'Input Sheet'!$B$3:$B$1001,$H534,'Input Sheet'!$E$3:$E$1001,O$4)=0,"",SUMIFS('Input Sheet'!$F$3:$F$1001,'Input Sheet'!$B$3:$B$1001,$H534,'Input Sheet'!$E$3:$E$1001,O$4))</f>
        <v/>
      </c>
      <c r="P534" s="21" t="str">
        <f>IF(SUMIFS('Input Sheet'!$F$3:$F$1001,'Input Sheet'!$B$3:$B$1001,$H534,'Input Sheet'!$E$3:$E$1001,P$4)=0,"",SUMIFS('Input Sheet'!$F$3:$F$1001,'Input Sheet'!$B$3:$B$1001,$H534,'Input Sheet'!$E$3:$E$1001,P$4))</f>
        <v/>
      </c>
      <c r="Q534" s="21" t="str">
        <f>IF(SUMIFS('Input Sheet'!$F$3:$F$1001,'Input Sheet'!$B$3:$B$1001,$H534,'Input Sheet'!$E$3:$E$1001,Q$4)=0,"",SUMIFS('Input Sheet'!$F$3:$F$1001,'Input Sheet'!$B$3:$B$1001,$H534,'Input Sheet'!$E$3:$E$1001,Q$4))</f>
        <v/>
      </c>
      <c r="R534" s="21" t="str">
        <f>IF(SUMIFS('Input Sheet'!$F$3:$F$1001,'Input Sheet'!$B$3:$B$1001,$H534,'Input Sheet'!$E$3:$E$1001,R$4)=0,"",SUMIFS('Input Sheet'!$F$3:$F$1001,'Input Sheet'!$B$3:$B$1001,$H534,'Input Sheet'!$E$3:$E$1001,R$4))</f>
        <v/>
      </c>
      <c r="S534" s="21" t="str">
        <f>IF(SUMIFS('Input Sheet'!$F$3:$F$1001,'Input Sheet'!$B$3:$B$1001,$H534,'Input Sheet'!$E$3:$E$1001,S$4)=0,"",SUMIFS('Input Sheet'!$F$3:$F$1001,'Input Sheet'!$B$3:$B$1001,$H534,'Input Sheet'!$E$3:$E$1001,S$4))</f>
        <v/>
      </c>
      <c r="T534" s="22">
        <v>529</v>
      </c>
    </row>
    <row r="535" spans="1:20" ht="14.25" customHeight="1" x14ac:dyDescent="0.3">
      <c r="A535" s="4" t="str">
        <f>IF('Input Sheet'!B532=0,"",'Input Sheet'!B532)</f>
        <v/>
      </c>
      <c r="B535" s="24" t="b">
        <f t="shared" si="526"/>
        <v>0</v>
      </c>
      <c r="C535" s="4">
        <f>SUMIF('Input Sheet'!B$3:B$1000,A535,'Input Sheet'!C$3:C$1000)</f>
        <v>0</v>
      </c>
      <c r="D535" s="4">
        <f>SUMIF('Input Sheet'!B$3:B$1000,A535,'Input Sheet'!D$3:D$1000)</f>
        <v>0</v>
      </c>
      <c r="E535" s="4" t="str">
        <f t="shared" ref="E535:F535" ca="1" si="552">IFERROR(RANK(K535,K$6:K$1004,1),"")</f>
        <v/>
      </c>
      <c r="F535" s="4" t="str">
        <f t="shared" ca="1" si="552"/>
        <v/>
      </c>
      <c r="G535" s="4" t="str">
        <f t="shared" ca="1" si="528"/>
        <v/>
      </c>
      <c r="H535" s="4" t="str">
        <f t="shared" si="529"/>
        <v/>
      </c>
      <c r="I535" s="4" t="str">
        <f t="shared" si="530"/>
        <v/>
      </c>
      <c r="J535" s="4" t="str">
        <f t="shared" si="531"/>
        <v/>
      </c>
      <c r="K535" s="25" t="str">
        <f t="shared" ca="1" si="532"/>
        <v/>
      </c>
      <c r="L535" s="21" t="str">
        <f t="shared" ca="1" si="533"/>
        <v/>
      </c>
      <c r="M535" s="21" t="str">
        <f>IF(SUMIFS('Input Sheet'!$F$3:$F$1001,'Input Sheet'!$B$3:$B$1001,$H535,'Input Sheet'!$E$3:$E$1001,M$4)=0,"",SUMIFS('Input Sheet'!$F$3:$F$1001,'Input Sheet'!$B$3:$B$1001,$H535,'Input Sheet'!$E$3:$E$1001,M$4))</f>
        <v/>
      </c>
      <c r="N535" s="21" t="str">
        <f>IF(SUMIFS('Input Sheet'!$F$3:$F$1001,'Input Sheet'!$B$3:$B$1001,$H535,'Input Sheet'!$E$3:$E$1001,N$4)=0,"",SUMIFS('Input Sheet'!$F$3:$F$1001,'Input Sheet'!$B$3:$B$1001,$H535,'Input Sheet'!$E$3:$E$1001,N$4))</f>
        <v/>
      </c>
      <c r="O535" s="21" t="str">
        <f>IF(SUMIFS('Input Sheet'!$F$3:$F$1001,'Input Sheet'!$B$3:$B$1001,$H535,'Input Sheet'!$E$3:$E$1001,O$4)=0,"",SUMIFS('Input Sheet'!$F$3:$F$1001,'Input Sheet'!$B$3:$B$1001,$H535,'Input Sheet'!$E$3:$E$1001,O$4))</f>
        <v/>
      </c>
      <c r="P535" s="21" t="str">
        <f>IF(SUMIFS('Input Sheet'!$F$3:$F$1001,'Input Sheet'!$B$3:$B$1001,$H535,'Input Sheet'!$E$3:$E$1001,P$4)=0,"",SUMIFS('Input Sheet'!$F$3:$F$1001,'Input Sheet'!$B$3:$B$1001,$H535,'Input Sheet'!$E$3:$E$1001,P$4))</f>
        <v/>
      </c>
      <c r="Q535" s="21" t="str">
        <f>IF(SUMIFS('Input Sheet'!$F$3:$F$1001,'Input Sheet'!$B$3:$B$1001,$H535,'Input Sheet'!$E$3:$E$1001,Q$4)=0,"",SUMIFS('Input Sheet'!$F$3:$F$1001,'Input Sheet'!$B$3:$B$1001,$H535,'Input Sheet'!$E$3:$E$1001,Q$4))</f>
        <v/>
      </c>
      <c r="R535" s="21" t="str">
        <f>IF(SUMIFS('Input Sheet'!$F$3:$F$1001,'Input Sheet'!$B$3:$B$1001,$H535,'Input Sheet'!$E$3:$E$1001,R$4)=0,"",SUMIFS('Input Sheet'!$F$3:$F$1001,'Input Sheet'!$B$3:$B$1001,$H535,'Input Sheet'!$E$3:$E$1001,R$4))</f>
        <v/>
      </c>
      <c r="S535" s="21" t="str">
        <f>IF(SUMIFS('Input Sheet'!$F$3:$F$1001,'Input Sheet'!$B$3:$B$1001,$H535,'Input Sheet'!$E$3:$E$1001,S$4)=0,"",SUMIFS('Input Sheet'!$F$3:$F$1001,'Input Sheet'!$B$3:$B$1001,$H535,'Input Sheet'!$E$3:$E$1001,S$4))</f>
        <v/>
      </c>
      <c r="T535" s="22">
        <v>530</v>
      </c>
    </row>
    <row r="536" spans="1:20" ht="14.25" customHeight="1" x14ac:dyDescent="0.3">
      <c r="A536" s="4" t="str">
        <f>IF('Input Sheet'!B533=0,"",'Input Sheet'!B533)</f>
        <v/>
      </c>
      <c r="B536" s="24" t="b">
        <f t="shared" si="526"/>
        <v>0</v>
      </c>
      <c r="C536" s="4">
        <f>SUMIF('Input Sheet'!B$3:B$1000,A536,'Input Sheet'!C$3:C$1000)</f>
        <v>0</v>
      </c>
      <c r="D536" s="4">
        <f>SUMIF('Input Sheet'!B$3:B$1000,A536,'Input Sheet'!D$3:D$1000)</f>
        <v>0</v>
      </c>
      <c r="E536" s="4" t="str">
        <f t="shared" ref="E536:F536" ca="1" si="553">IFERROR(RANK(K536,K$6:K$1004,1),"")</f>
        <v/>
      </c>
      <c r="F536" s="4" t="str">
        <f t="shared" ca="1" si="553"/>
        <v/>
      </c>
      <c r="G536" s="4" t="str">
        <f t="shared" ca="1" si="528"/>
        <v/>
      </c>
      <c r="H536" s="4" t="str">
        <f t="shared" si="529"/>
        <v/>
      </c>
      <c r="I536" s="4" t="str">
        <f t="shared" si="530"/>
        <v/>
      </c>
      <c r="J536" s="4" t="str">
        <f t="shared" si="531"/>
        <v/>
      </c>
      <c r="K536" s="25" t="str">
        <f t="shared" ca="1" si="532"/>
        <v/>
      </c>
      <c r="L536" s="21" t="str">
        <f t="shared" ca="1" si="533"/>
        <v/>
      </c>
      <c r="M536" s="21" t="str">
        <f>IF(SUMIFS('Input Sheet'!$F$3:$F$1001,'Input Sheet'!$B$3:$B$1001,$H536,'Input Sheet'!$E$3:$E$1001,M$4)=0,"",SUMIFS('Input Sheet'!$F$3:$F$1001,'Input Sheet'!$B$3:$B$1001,$H536,'Input Sheet'!$E$3:$E$1001,M$4))</f>
        <v/>
      </c>
      <c r="N536" s="21" t="str">
        <f>IF(SUMIFS('Input Sheet'!$F$3:$F$1001,'Input Sheet'!$B$3:$B$1001,$H536,'Input Sheet'!$E$3:$E$1001,N$4)=0,"",SUMIFS('Input Sheet'!$F$3:$F$1001,'Input Sheet'!$B$3:$B$1001,$H536,'Input Sheet'!$E$3:$E$1001,N$4))</f>
        <v/>
      </c>
      <c r="O536" s="21" t="str">
        <f>IF(SUMIFS('Input Sheet'!$F$3:$F$1001,'Input Sheet'!$B$3:$B$1001,$H536,'Input Sheet'!$E$3:$E$1001,O$4)=0,"",SUMIFS('Input Sheet'!$F$3:$F$1001,'Input Sheet'!$B$3:$B$1001,$H536,'Input Sheet'!$E$3:$E$1001,O$4))</f>
        <v/>
      </c>
      <c r="P536" s="21" t="str">
        <f>IF(SUMIFS('Input Sheet'!$F$3:$F$1001,'Input Sheet'!$B$3:$B$1001,$H536,'Input Sheet'!$E$3:$E$1001,P$4)=0,"",SUMIFS('Input Sheet'!$F$3:$F$1001,'Input Sheet'!$B$3:$B$1001,$H536,'Input Sheet'!$E$3:$E$1001,P$4))</f>
        <v/>
      </c>
      <c r="Q536" s="21" t="str">
        <f>IF(SUMIFS('Input Sheet'!$F$3:$F$1001,'Input Sheet'!$B$3:$B$1001,$H536,'Input Sheet'!$E$3:$E$1001,Q$4)=0,"",SUMIFS('Input Sheet'!$F$3:$F$1001,'Input Sheet'!$B$3:$B$1001,$H536,'Input Sheet'!$E$3:$E$1001,Q$4))</f>
        <v/>
      </c>
      <c r="R536" s="21" t="str">
        <f>IF(SUMIFS('Input Sheet'!$F$3:$F$1001,'Input Sheet'!$B$3:$B$1001,$H536,'Input Sheet'!$E$3:$E$1001,R$4)=0,"",SUMIFS('Input Sheet'!$F$3:$F$1001,'Input Sheet'!$B$3:$B$1001,$H536,'Input Sheet'!$E$3:$E$1001,R$4))</f>
        <v/>
      </c>
      <c r="S536" s="21" t="str">
        <f>IF(SUMIFS('Input Sheet'!$F$3:$F$1001,'Input Sheet'!$B$3:$B$1001,$H536,'Input Sheet'!$E$3:$E$1001,S$4)=0,"",SUMIFS('Input Sheet'!$F$3:$F$1001,'Input Sheet'!$B$3:$B$1001,$H536,'Input Sheet'!$E$3:$E$1001,S$4))</f>
        <v/>
      </c>
      <c r="T536" s="22">
        <v>531</v>
      </c>
    </row>
    <row r="537" spans="1:20" ht="14.25" customHeight="1" x14ac:dyDescent="0.3">
      <c r="A537" s="4" t="str">
        <f>IF('Input Sheet'!B534=0,"",'Input Sheet'!B534)</f>
        <v/>
      </c>
      <c r="B537" s="24" t="b">
        <f t="shared" si="526"/>
        <v>0</v>
      </c>
      <c r="C537" s="4">
        <f>SUMIF('Input Sheet'!B$3:B$1000,A537,'Input Sheet'!C$3:C$1000)</f>
        <v>0</v>
      </c>
      <c r="D537" s="4">
        <f>SUMIF('Input Sheet'!B$3:B$1000,A537,'Input Sheet'!D$3:D$1000)</f>
        <v>0</v>
      </c>
      <c r="E537" s="4" t="str">
        <f t="shared" ref="E537:F537" ca="1" si="554">IFERROR(RANK(K537,K$6:K$1004,1),"")</f>
        <v/>
      </c>
      <c r="F537" s="4" t="str">
        <f t="shared" ca="1" si="554"/>
        <v/>
      </c>
      <c r="G537" s="4" t="str">
        <f t="shared" ca="1" si="528"/>
        <v/>
      </c>
      <c r="H537" s="4" t="str">
        <f t="shared" si="529"/>
        <v/>
      </c>
      <c r="I537" s="4" t="str">
        <f t="shared" si="530"/>
        <v/>
      </c>
      <c r="J537" s="4" t="str">
        <f t="shared" si="531"/>
        <v/>
      </c>
      <c r="K537" s="25" t="str">
        <f t="shared" ca="1" si="532"/>
        <v/>
      </c>
      <c r="L537" s="21" t="str">
        <f t="shared" ca="1" si="533"/>
        <v/>
      </c>
      <c r="M537" s="21" t="str">
        <f>IF(SUMIFS('Input Sheet'!$F$3:$F$1001,'Input Sheet'!$B$3:$B$1001,$H537,'Input Sheet'!$E$3:$E$1001,M$4)=0,"",SUMIFS('Input Sheet'!$F$3:$F$1001,'Input Sheet'!$B$3:$B$1001,$H537,'Input Sheet'!$E$3:$E$1001,M$4))</f>
        <v/>
      </c>
      <c r="N537" s="21" t="str">
        <f>IF(SUMIFS('Input Sheet'!$F$3:$F$1001,'Input Sheet'!$B$3:$B$1001,$H537,'Input Sheet'!$E$3:$E$1001,N$4)=0,"",SUMIFS('Input Sheet'!$F$3:$F$1001,'Input Sheet'!$B$3:$B$1001,$H537,'Input Sheet'!$E$3:$E$1001,N$4))</f>
        <v/>
      </c>
      <c r="O537" s="21" t="str">
        <f>IF(SUMIFS('Input Sheet'!$F$3:$F$1001,'Input Sheet'!$B$3:$B$1001,$H537,'Input Sheet'!$E$3:$E$1001,O$4)=0,"",SUMIFS('Input Sheet'!$F$3:$F$1001,'Input Sheet'!$B$3:$B$1001,$H537,'Input Sheet'!$E$3:$E$1001,O$4))</f>
        <v/>
      </c>
      <c r="P537" s="21" t="str">
        <f>IF(SUMIFS('Input Sheet'!$F$3:$F$1001,'Input Sheet'!$B$3:$B$1001,$H537,'Input Sheet'!$E$3:$E$1001,P$4)=0,"",SUMIFS('Input Sheet'!$F$3:$F$1001,'Input Sheet'!$B$3:$B$1001,$H537,'Input Sheet'!$E$3:$E$1001,P$4))</f>
        <v/>
      </c>
      <c r="Q537" s="21" t="str">
        <f>IF(SUMIFS('Input Sheet'!$F$3:$F$1001,'Input Sheet'!$B$3:$B$1001,$H537,'Input Sheet'!$E$3:$E$1001,Q$4)=0,"",SUMIFS('Input Sheet'!$F$3:$F$1001,'Input Sheet'!$B$3:$B$1001,$H537,'Input Sheet'!$E$3:$E$1001,Q$4))</f>
        <v/>
      </c>
      <c r="R537" s="21" t="str">
        <f>IF(SUMIFS('Input Sheet'!$F$3:$F$1001,'Input Sheet'!$B$3:$B$1001,$H537,'Input Sheet'!$E$3:$E$1001,R$4)=0,"",SUMIFS('Input Sheet'!$F$3:$F$1001,'Input Sheet'!$B$3:$B$1001,$H537,'Input Sheet'!$E$3:$E$1001,R$4))</f>
        <v/>
      </c>
      <c r="S537" s="21" t="str">
        <f>IF(SUMIFS('Input Sheet'!$F$3:$F$1001,'Input Sheet'!$B$3:$B$1001,$H537,'Input Sheet'!$E$3:$E$1001,S$4)=0,"",SUMIFS('Input Sheet'!$F$3:$F$1001,'Input Sheet'!$B$3:$B$1001,$H537,'Input Sheet'!$E$3:$E$1001,S$4))</f>
        <v/>
      </c>
      <c r="T537" s="22">
        <v>532</v>
      </c>
    </row>
    <row r="538" spans="1:20" ht="14.25" customHeight="1" x14ac:dyDescent="0.3">
      <c r="A538" s="4" t="str">
        <f>IF('Input Sheet'!B535=0,"",'Input Sheet'!B535)</f>
        <v/>
      </c>
      <c r="B538" s="24" t="b">
        <f t="shared" si="526"/>
        <v>0</v>
      </c>
      <c r="C538" s="4">
        <f>SUMIF('Input Sheet'!B$3:B$1000,A538,'Input Sheet'!C$3:C$1000)</f>
        <v>0</v>
      </c>
      <c r="D538" s="4">
        <f>SUMIF('Input Sheet'!B$3:B$1000,A538,'Input Sheet'!D$3:D$1000)</f>
        <v>0</v>
      </c>
      <c r="E538" s="4" t="str">
        <f t="shared" ref="E538:F538" ca="1" si="555">IFERROR(RANK(K538,K$6:K$1004,1),"")</f>
        <v/>
      </c>
      <c r="F538" s="4" t="str">
        <f t="shared" ca="1" si="555"/>
        <v/>
      </c>
      <c r="G538" s="4" t="str">
        <f t="shared" ca="1" si="528"/>
        <v/>
      </c>
      <c r="H538" s="4" t="str">
        <f t="shared" si="529"/>
        <v/>
      </c>
      <c r="I538" s="4" t="str">
        <f t="shared" si="530"/>
        <v/>
      </c>
      <c r="J538" s="4" t="str">
        <f t="shared" si="531"/>
        <v/>
      </c>
      <c r="K538" s="25" t="str">
        <f t="shared" ca="1" si="532"/>
        <v/>
      </c>
      <c r="L538" s="21" t="str">
        <f t="shared" ca="1" si="533"/>
        <v/>
      </c>
      <c r="M538" s="21" t="str">
        <f>IF(SUMIFS('Input Sheet'!$F$3:$F$1001,'Input Sheet'!$B$3:$B$1001,$H538,'Input Sheet'!$E$3:$E$1001,M$4)=0,"",SUMIFS('Input Sheet'!$F$3:$F$1001,'Input Sheet'!$B$3:$B$1001,$H538,'Input Sheet'!$E$3:$E$1001,M$4))</f>
        <v/>
      </c>
      <c r="N538" s="21" t="str">
        <f>IF(SUMIFS('Input Sheet'!$F$3:$F$1001,'Input Sheet'!$B$3:$B$1001,$H538,'Input Sheet'!$E$3:$E$1001,N$4)=0,"",SUMIFS('Input Sheet'!$F$3:$F$1001,'Input Sheet'!$B$3:$B$1001,$H538,'Input Sheet'!$E$3:$E$1001,N$4))</f>
        <v/>
      </c>
      <c r="O538" s="21" t="str">
        <f>IF(SUMIFS('Input Sheet'!$F$3:$F$1001,'Input Sheet'!$B$3:$B$1001,$H538,'Input Sheet'!$E$3:$E$1001,O$4)=0,"",SUMIFS('Input Sheet'!$F$3:$F$1001,'Input Sheet'!$B$3:$B$1001,$H538,'Input Sheet'!$E$3:$E$1001,O$4))</f>
        <v/>
      </c>
      <c r="P538" s="21" t="str">
        <f>IF(SUMIFS('Input Sheet'!$F$3:$F$1001,'Input Sheet'!$B$3:$B$1001,$H538,'Input Sheet'!$E$3:$E$1001,P$4)=0,"",SUMIFS('Input Sheet'!$F$3:$F$1001,'Input Sheet'!$B$3:$B$1001,$H538,'Input Sheet'!$E$3:$E$1001,P$4))</f>
        <v/>
      </c>
      <c r="Q538" s="21" t="str">
        <f>IF(SUMIFS('Input Sheet'!$F$3:$F$1001,'Input Sheet'!$B$3:$B$1001,$H538,'Input Sheet'!$E$3:$E$1001,Q$4)=0,"",SUMIFS('Input Sheet'!$F$3:$F$1001,'Input Sheet'!$B$3:$B$1001,$H538,'Input Sheet'!$E$3:$E$1001,Q$4))</f>
        <v/>
      </c>
      <c r="R538" s="21" t="str">
        <f>IF(SUMIFS('Input Sheet'!$F$3:$F$1001,'Input Sheet'!$B$3:$B$1001,$H538,'Input Sheet'!$E$3:$E$1001,R$4)=0,"",SUMIFS('Input Sheet'!$F$3:$F$1001,'Input Sheet'!$B$3:$B$1001,$H538,'Input Sheet'!$E$3:$E$1001,R$4))</f>
        <v/>
      </c>
      <c r="S538" s="21" t="str">
        <f>IF(SUMIFS('Input Sheet'!$F$3:$F$1001,'Input Sheet'!$B$3:$B$1001,$H538,'Input Sheet'!$E$3:$E$1001,S$4)=0,"",SUMIFS('Input Sheet'!$F$3:$F$1001,'Input Sheet'!$B$3:$B$1001,$H538,'Input Sheet'!$E$3:$E$1001,S$4))</f>
        <v/>
      </c>
      <c r="T538" s="22">
        <v>533</v>
      </c>
    </row>
    <row r="539" spans="1:20" ht="14.25" customHeight="1" x14ac:dyDescent="0.3">
      <c r="A539" s="4" t="str">
        <f>IF('Input Sheet'!B536=0,"",'Input Sheet'!B536)</f>
        <v/>
      </c>
      <c r="B539" s="24" t="b">
        <f t="shared" si="526"/>
        <v>0</v>
      </c>
      <c r="C539" s="4">
        <f>SUMIF('Input Sheet'!B$3:B$1000,A539,'Input Sheet'!C$3:C$1000)</f>
        <v>0</v>
      </c>
      <c r="D539" s="4">
        <f>SUMIF('Input Sheet'!B$3:B$1000,A539,'Input Sheet'!D$3:D$1000)</f>
        <v>0</v>
      </c>
      <c r="E539" s="4" t="str">
        <f t="shared" ref="E539:F539" ca="1" si="556">IFERROR(RANK(K539,K$6:K$1004,1),"")</f>
        <v/>
      </c>
      <c r="F539" s="4" t="str">
        <f t="shared" ca="1" si="556"/>
        <v/>
      </c>
      <c r="G539" s="4" t="str">
        <f t="shared" ca="1" si="528"/>
        <v/>
      </c>
      <c r="H539" s="4" t="str">
        <f t="shared" si="529"/>
        <v/>
      </c>
      <c r="I539" s="4" t="str">
        <f t="shared" si="530"/>
        <v/>
      </c>
      <c r="J539" s="4" t="str">
        <f t="shared" si="531"/>
        <v/>
      </c>
      <c r="K539" s="25" t="str">
        <f t="shared" ca="1" si="532"/>
        <v/>
      </c>
      <c r="L539" s="21" t="str">
        <f t="shared" ca="1" si="533"/>
        <v/>
      </c>
      <c r="M539" s="21" t="str">
        <f>IF(SUMIFS('Input Sheet'!$F$3:$F$1001,'Input Sheet'!$B$3:$B$1001,$H539,'Input Sheet'!$E$3:$E$1001,M$4)=0,"",SUMIFS('Input Sheet'!$F$3:$F$1001,'Input Sheet'!$B$3:$B$1001,$H539,'Input Sheet'!$E$3:$E$1001,M$4))</f>
        <v/>
      </c>
      <c r="N539" s="21" t="str">
        <f>IF(SUMIFS('Input Sheet'!$F$3:$F$1001,'Input Sheet'!$B$3:$B$1001,$H539,'Input Sheet'!$E$3:$E$1001,N$4)=0,"",SUMIFS('Input Sheet'!$F$3:$F$1001,'Input Sheet'!$B$3:$B$1001,$H539,'Input Sheet'!$E$3:$E$1001,N$4))</f>
        <v/>
      </c>
      <c r="O539" s="21" t="str">
        <f>IF(SUMIFS('Input Sheet'!$F$3:$F$1001,'Input Sheet'!$B$3:$B$1001,$H539,'Input Sheet'!$E$3:$E$1001,O$4)=0,"",SUMIFS('Input Sheet'!$F$3:$F$1001,'Input Sheet'!$B$3:$B$1001,$H539,'Input Sheet'!$E$3:$E$1001,O$4))</f>
        <v/>
      </c>
      <c r="P539" s="21" t="str">
        <f>IF(SUMIFS('Input Sheet'!$F$3:$F$1001,'Input Sheet'!$B$3:$B$1001,$H539,'Input Sheet'!$E$3:$E$1001,P$4)=0,"",SUMIFS('Input Sheet'!$F$3:$F$1001,'Input Sheet'!$B$3:$B$1001,$H539,'Input Sheet'!$E$3:$E$1001,P$4))</f>
        <v/>
      </c>
      <c r="Q539" s="21" t="str">
        <f>IF(SUMIFS('Input Sheet'!$F$3:$F$1001,'Input Sheet'!$B$3:$B$1001,$H539,'Input Sheet'!$E$3:$E$1001,Q$4)=0,"",SUMIFS('Input Sheet'!$F$3:$F$1001,'Input Sheet'!$B$3:$B$1001,$H539,'Input Sheet'!$E$3:$E$1001,Q$4))</f>
        <v/>
      </c>
      <c r="R539" s="21" t="str">
        <f>IF(SUMIFS('Input Sheet'!$F$3:$F$1001,'Input Sheet'!$B$3:$B$1001,$H539,'Input Sheet'!$E$3:$E$1001,R$4)=0,"",SUMIFS('Input Sheet'!$F$3:$F$1001,'Input Sheet'!$B$3:$B$1001,$H539,'Input Sheet'!$E$3:$E$1001,R$4))</f>
        <v/>
      </c>
      <c r="S539" s="21" t="str">
        <f>IF(SUMIFS('Input Sheet'!$F$3:$F$1001,'Input Sheet'!$B$3:$B$1001,$H539,'Input Sheet'!$E$3:$E$1001,S$4)=0,"",SUMIFS('Input Sheet'!$F$3:$F$1001,'Input Sheet'!$B$3:$B$1001,$H539,'Input Sheet'!$E$3:$E$1001,S$4))</f>
        <v/>
      </c>
      <c r="T539" s="22">
        <v>534</v>
      </c>
    </row>
    <row r="540" spans="1:20" ht="14.25" customHeight="1" x14ac:dyDescent="0.3">
      <c r="A540" s="4" t="str">
        <f>IF('Input Sheet'!B537=0,"",'Input Sheet'!B537)</f>
        <v/>
      </c>
      <c r="B540" s="24" t="b">
        <f t="shared" si="526"/>
        <v>0</v>
      </c>
      <c r="C540" s="4">
        <f>SUMIF('Input Sheet'!B$3:B$1000,A540,'Input Sheet'!C$3:C$1000)</f>
        <v>0</v>
      </c>
      <c r="D540" s="4">
        <f>SUMIF('Input Sheet'!B$3:B$1000,A540,'Input Sheet'!D$3:D$1000)</f>
        <v>0</v>
      </c>
      <c r="E540" s="4" t="str">
        <f t="shared" ref="E540:F540" ca="1" si="557">IFERROR(RANK(K540,K$6:K$1004,1),"")</f>
        <v/>
      </c>
      <c r="F540" s="4" t="str">
        <f t="shared" ca="1" si="557"/>
        <v/>
      </c>
      <c r="G540" s="4" t="str">
        <f t="shared" ca="1" si="528"/>
        <v/>
      </c>
      <c r="H540" s="4" t="str">
        <f t="shared" si="529"/>
        <v/>
      </c>
      <c r="I540" s="4" t="str">
        <f t="shared" si="530"/>
        <v/>
      </c>
      <c r="J540" s="4" t="str">
        <f t="shared" si="531"/>
        <v/>
      </c>
      <c r="K540" s="25" t="str">
        <f t="shared" ca="1" si="532"/>
        <v/>
      </c>
      <c r="L540" s="21" t="str">
        <f t="shared" ca="1" si="533"/>
        <v/>
      </c>
      <c r="M540" s="21" t="str">
        <f>IF(SUMIFS('Input Sheet'!$F$3:$F$1001,'Input Sheet'!$B$3:$B$1001,$H540,'Input Sheet'!$E$3:$E$1001,M$4)=0,"",SUMIFS('Input Sheet'!$F$3:$F$1001,'Input Sheet'!$B$3:$B$1001,$H540,'Input Sheet'!$E$3:$E$1001,M$4))</f>
        <v/>
      </c>
      <c r="N540" s="21" t="str">
        <f>IF(SUMIFS('Input Sheet'!$F$3:$F$1001,'Input Sheet'!$B$3:$B$1001,$H540,'Input Sheet'!$E$3:$E$1001,N$4)=0,"",SUMIFS('Input Sheet'!$F$3:$F$1001,'Input Sheet'!$B$3:$B$1001,$H540,'Input Sheet'!$E$3:$E$1001,N$4))</f>
        <v/>
      </c>
      <c r="O540" s="21" t="str">
        <f>IF(SUMIFS('Input Sheet'!$F$3:$F$1001,'Input Sheet'!$B$3:$B$1001,$H540,'Input Sheet'!$E$3:$E$1001,O$4)=0,"",SUMIFS('Input Sheet'!$F$3:$F$1001,'Input Sheet'!$B$3:$B$1001,$H540,'Input Sheet'!$E$3:$E$1001,O$4))</f>
        <v/>
      </c>
      <c r="P540" s="21" t="str">
        <f>IF(SUMIFS('Input Sheet'!$F$3:$F$1001,'Input Sheet'!$B$3:$B$1001,$H540,'Input Sheet'!$E$3:$E$1001,P$4)=0,"",SUMIFS('Input Sheet'!$F$3:$F$1001,'Input Sheet'!$B$3:$B$1001,$H540,'Input Sheet'!$E$3:$E$1001,P$4))</f>
        <v/>
      </c>
      <c r="Q540" s="21" t="str">
        <f>IF(SUMIFS('Input Sheet'!$F$3:$F$1001,'Input Sheet'!$B$3:$B$1001,$H540,'Input Sheet'!$E$3:$E$1001,Q$4)=0,"",SUMIFS('Input Sheet'!$F$3:$F$1001,'Input Sheet'!$B$3:$B$1001,$H540,'Input Sheet'!$E$3:$E$1001,Q$4))</f>
        <v/>
      </c>
      <c r="R540" s="21" t="str">
        <f>IF(SUMIFS('Input Sheet'!$F$3:$F$1001,'Input Sheet'!$B$3:$B$1001,$H540,'Input Sheet'!$E$3:$E$1001,R$4)=0,"",SUMIFS('Input Sheet'!$F$3:$F$1001,'Input Sheet'!$B$3:$B$1001,$H540,'Input Sheet'!$E$3:$E$1001,R$4))</f>
        <v/>
      </c>
      <c r="S540" s="21" t="str">
        <f>IF(SUMIFS('Input Sheet'!$F$3:$F$1001,'Input Sheet'!$B$3:$B$1001,$H540,'Input Sheet'!$E$3:$E$1001,S$4)=0,"",SUMIFS('Input Sheet'!$F$3:$F$1001,'Input Sheet'!$B$3:$B$1001,$H540,'Input Sheet'!$E$3:$E$1001,S$4))</f>
        <v/>
      </c>
      <c r="T540" s="22">
        <v>535</v>
      </c>
    </row>
    <row r="541" spans="1:20" ht="14.25" customHeight="1" x14ac:dyDescent="0.3">
      <c r="A541" s="4" t="str">
        <f>IF('Input Sheet'!B538=0,"",'Input Sheet'!B538)</f>
        <v/>
      </c>
      <c r="B541" s="24" t="b">
        <f t="shared" si="526"/>
        <v>0</v>
      </c>
      <c r="C541" s="4">
        <f>SUMIF('Input Sheet'!B$3:B$1000,A541,'Input Sheet'!C$3:C$1000)</f>
        <v>0</v>
      </c>
      <c r="D541" s="4">
        <f>SUMIF('Input Sheet'!B$3:B$1000,A541,'Input Sheet'!D$3:D$1000)</f>
        <v>0</v>
      </c>
      <c r="E541" s="4" t="str">
        <f t="shared" ref="E541:F541" ca="1" si="558">IFERROR(RANK(K541,K$6:K$1004,1),"")</f>
        <v/>
      </c>
      <c r="F541" s="4" t="str">
        <f t="shared" ca="1" si="558"/>
        <v/>
      </c>
      <c r="G541" s="4" t="str">
        <f t="shared" ca="1" si="528"/>
        <v/>
      </c>
      <c r="H541" s="4" t="str">
        <f t="shared" si="529"/>
        <v/>
      </c>
      <c r="I541" s="4" t="str">
        <f t="shared" si="530"/>
        <v/>
      </c>
      <c r="J541" s="4" t="str">
        <f t="shared" si="531"/>
        <v/>
      </c>
      <c r="K541" s="25" t="str">
        <f t="shared" ca="1" si="532"/>
        <v/>
      </c>
      <c r="L541" s="21" t="str">
        <f t="shared" ca="1" si="533"/>
        <v/>
      </c>
      <c r="M541" s="21" t="str">
        <f>IF(SUMIFS('Input Sheet'!$F$3:$F$1001,'Input Sheet'!$B$3:$B$1001,$H541,'Input Sheet'!$E$3:$E$1001,M$4)=0,"",SUMIFS('Input Sheet'!$F$3:$F$1001,'Input Sheet'!$B$3:$B$1001,$H541,'Input Sheet'!$E$3:$E$1001,M$4))</f>
        <v/>
      </c>
      <c r="N541" s="21" t="str">
        <f>IF(SUMIFS('Input Sheet'!$F$3:$F$1001,'Input Sheet'!$B$3:$B$1001,$H541,'Input Sheet'!$E$3:$E$1001,N$4)=0,"",SUMIFS('Input Sheet'!$F$3:$F$1001,'Input Sheet'!$B$3:$B$1001,$H541,'Input Sheet'!$E$3:$E$1001,N$4))</f>
        <v/>
      </c>
      <c r="O541" s="21" t="str">
        <f>IF(SUMIFS('Input Sheet'!$F$3:$F$1001,'Input Sheet'!$B$3:$B$1001,$H541,'Input Sheet'!$E$3:$E$1001,O$4)=0,"",SUMIFS('Input Sheet'!$F$3:$F$1001,'Input Sheet'!$B$3:$B$1001,$H541,'Input Sheet'!$E$3:$E$1001,O$4))</f>
        <v/>
      </c>
      <c r="P541" s="21" t="str">
        <f>IF(SUMIFS('Input Sheet'!$F$3:$F$1001,'Input Sheet'!$B$3:$B$1001,$H541,'Input Sheet'!$E$3:$E$1001,P$4)=0,"",SUMIFS('Input Sheet'!$F$3:$F$1001,'Input Sheet'!$B$3:$B$1001,$H541,'Input Sheet'!$E$3:$E$1001,P$4))</f>
        <v/>
      </c>
      <c r="Q541" s="21" t="str">
        <f>IF(SUMIFS('Input Sheet'!$F$3:$F$1001,'Input Sheet'!$B$3:$B$1001,$H541,'Input Sheet'!$E$3:$E$1001,Q$4)=0,"",SUMIFS('Input Sheet'!$F$3:$F$1001,'Input Sheet'!$B$3:$B$1001,$H541,'Input Sheet'!$E$3:$E$1001,Q$4))</f>
        <v/>
      </c>
      <c r="R541" s="21" t="str">
        <f>IF(SUMIFS('Input Sheet'!$F$3:$F$1001,'Input Sheet'!$B$3:$B$1001,$H541,'Input Sheet'!$E$3:$E$1001,R$4)=0,"",SUMIFS('Input Sheet'!$F$3:$F$1001,'Input Sheet'!$B$3:$B$1001,$H541,'Input Sheet'!$E$3:$E$1001,R$4))</f>
        <v/>
      </c>
      <c r="S541" s="21" t="str">
        <f>IF(SUMIFS('Input Sheet'!$F$3:$F$1001,'Input Sheet'!$B$3:$B$1001,$H541,'Input Sheet'!$E$3:$E$1001,S$4)=0,"",SUMIFS('Input Sheet'!$F$3:$F$1001,'Input Sheet'!$B$3:$B$1001,$H541,'Input Sheet'!$E$3:$E$1001,S$4))</f>
        <v/>
      </c>
      <c r="T541" s="22">
        <v>536</v>
      </c>
    </row>
    <row r="542" spans="1:20" ht="14.25" customHeight="1" x14ac:dyDescent="0.3">
      <c r="A542" s="4" t="str">
        <f>IF('Input Sheet'!B539=0,"",'Input Sheet'!B539)</f>
        <v/>
      </c>
      <c r="B542" s="24" t="b">
        <f t="shared" si="526"/>
        <v>0</v>
      </c>
      <c r="C542" s="4">
        <f>SUMIF('Input Sheet'!B$3:B$1000,A542,'Input Sheet'!C$3:C$1000)</f>
        <v>0</v>
      </c>
      <c r="D542" s="4">
        <f>SUMIF('Input Sheet'!B$3:B$1000,A542,'Input Sheet'!D$3:D$1000)</f>
        <v>0</v>
      </c>
      <c r="E542" s="4" t="str">
        <f t="shared" ref="E542:F542" ca="1" si="559">IFERROR(RANK(K542,K$6:K$1004,1),"")</f>
        <v/>
      </c>
      <c r="F542" s="4" t="str">
        <f t="shared" ca="1" si="559"/>
        <v/>
      </c>
      <c r="G542" s="4" t="str">
        <f t="shared" ca="1" si="528"/>
        <v/>
      </c>
      <c r="H542" s="4" t="str">
        <f t="shared" si="529"/>
        <v/>
      </c>
      <c r="I542" s="4" t="str">
        <f t="shared" si="530"/>
        <v/>
      </c>
      <c r="J542" s="4" t="str">
        <f t="shared" si="531"/>
        <v/>
      </c>
      <c r="K542" s="25" t="str">
        <f t="shared" ca="1" si="532"/>
        <v/>
      </c>
      <c r="L542" s="21" t="str">
        <f t="shared" ca="1" si="533"/>
        <v/>
      </c>
      <c r="M542" s="21" t="str">
        <f>IF(SUMIFS('Input Sheet'!$F$3:$F$1001,'Input Sheet'!$B$3:$B$1001,$H542,'Input Sheet'!$E$3:$E$1001,M$4)=0,"",SUMIFS('Input Sheet'!$F$3:$F$1001,'Input Sheet'!$B$3:$B$1001,$H542,'Input Sheet'!$E$3:$E$1001,M$4))</f>
        <v/>
      </c>
      <c r="N542" s="21" t="str">
        <f>IF(SUMIFS('Input Sheet'!$F$3:$F$1001,'Input Sheet'!$B$3:$B$1001,$H542,'Input Sheet'!$E$3:$E$1001,N$4)=0,"",SUMIFS('Input Sheet'!$F$3:$F$1001,'Input Sheet'!$B$3:$B$1001,$H542,'Input Sheet'!$E$3:$E$1001,N$4))</f>
        <v/>
      </c>
      <c r="O542" s="21" t="str">
        <f>IF(SUMIFS('Input Sheet'!$F$3:$F$1001,'Input Sheet'!$B$3:$B$1001,$H542,'Input Sheet'!$E$3:$E$1001,O$4)=0,"",SUMIFS('Input Sheet'!$F$3:$F$1001,'Input Sheet'!$B$3:$B$1001,$H542,'Input Sheet'!$E$3:$E$1001,O$4))</f>
        <v/>
      </c>
      <c r="P542" s="21" t="str">
        <f>IF(SUMIFS('Input Sheet'!$F$3:$F$1001,'Input Sheet'!$B$3:$B$1001,$H542,'Input Sheet'!$E$3:$E$1001,P$4)=0,"",SUMIFS('Input Sheet'!$F$3:$F$1001,'Input Sheet'!$B$3:$B$1001,$H542,'Input Sheet'!$E$3:$E$1001,P$4))</f>
        <v/>
      </c>
      <c r="Q542" s="21" t="str">
        <f>IF(SUMIFS('Input Sheet'!$F$3:$F$1001,'Input Sheet'!$B$3:$B$1001,$H542,'Input Sheet'!$E$3:$E$1001,Q$4)=0,"",SUMIFS('Input Sheet'!$F$3:$F$1001,'Input Sheet'!$B$3:$B$1001,$H542,'Input Sheet'!$E$3:$E$1001,Q$4))</f>
        <v/>
      </c>
      <c r="R542" s="21" t="str">
        <f>IF(SUMIFS('Input Sheet'!$F$3:$F$1001,'Input Sheet'!$B$3:$B$1001,$H542,'Input Sheet'!$E$3:$E$1001,R$4)=0,"",SUMIFS('Input Sheet'!$F$3:$F$1001,'Input Sheet'!$B$3:$B$1001,$H542,'Input Sheet'!$E$3:$E$1001,R$4))</f>
        <v/>
      </c>
      <c r="S542" s="21" t="str">
        <f>IF(SUMIFS('Input Sheet'!$F$3:$F$1001,'Input Sheet'!$B$3:$B$1001,$H542,'Input Sheet'!$E$3:$E$1001,S$4)=0,"",SUMIFS('Input Sheet'!$F$3:$F$1001,'Input Sheet'!$B$3:$B$1001,$H542,'Input Sheet'!$E$3:$E$1001,S$4))</f>
        <v/>
      </c>
      <c r="T542" s="22">
        <v>537</v>
      </c>
    </row>
    <row r="543" spans="1:20" ht="14.25" customHeight="1" x14ac:dyDescent="0.3">
      <c r="A543" s="4" t="str">
        <f>IF('Input Sheet'!B540=0,"",'Input Sheet'!B540)</f>
        <v/>
      </c>
      <c r="B543" s="24" t="b">
        <f t="shared" si="526"/>
        <v>0</v>
      </c>
      <c r="C543" s="4">
        <f>SUMIF('Input Sheet'!B$3:B$1000,A543,'Input Sheet'!C$3:C$1000)</f>
        <v>0</v>
      </c>
      <c r="D543" s="4">
        <f>SUMIF('Input Sheet'!B$3:B$1000,A543,'Input Sheet'!D$3:D$1000)</f>
        <v>0</v>
      </c>
      <c r="E543" s="4" t="str">
        <f t="shared" ref="E543:F543" ca="1" si="560">IFERROR(RANK(K543,K$6:K$1004,1),"")</f>
        <v/>
      </c>
      <c r="F543" s="4" t="str">
        <f t="shared" ca="1" si="560"/>
        <v/>
      </c>
      <c r="G543" s="4" t="str">
        <f t="shared" ca="1" si="528"/>
        <v/>
      </c>
      <c r="H543" s="4" t="str">
        <f t="shared" si="529"/>
        <v/>
      </c>
      <c r="I543" s="4" t="str">
        <f t="shared" si="530"/>
        <v/>
      </c>
      <c r="J543" s="4" t="str">
        <f t="shared" si="531"/>
        <v/>
      </c>
      <c r="K543" s="25" t="str">
        <f t="shared" ca="1" si="532"/>
        <v/>
      </c>
      <c r="L543" s="21" t="str">
        <f t="shared" ca="1" si="533"/>
        <v/>
      </c>
      <c r="M543" s="21" t="str">
        <f>IF(SUMIFS('Input Sheet'!$F$3:$F$1001,'Input Sheet'!$B$3:$B$1001,$H543,'Input Sheet'!$E$3:$E$1001,M$4)=0,"",SUMIFS('Input Sheet'!$F$3:$F$1001,'Input Sheet'!$B$3:$B$1001,$H543,'Input Sheet'!$E$3:$E$1001,M$4))</f>
        <v/>
      </c>
      <c r="N543" s="21" t="str">
        <f>IF(SUMIFS('Input Sheet'!$F$3:$F$1001,'Input Sheet'!$B$3:$B$1001,$H543,'Input Sheet'!$E$3:$E$1001,N$4)=0,"",SUMIFS('Input Sheet'!$F$3:$F$1001,'Input Sheet'!$B$3:$B$1001,$H543,'Input Sheet'!$E$3:$E$1001,N$4))</f>
        <v/>
      </c>
      <c r="O543" s="21" t="str">
        <f>IF(SUMIFS('Input Sheet'!$F$3:$F$1001,'Input Sheet'!$B$3:$B$1001,$H543,'Input Sheet'!$E$3:$E$1001,O$4)=0,"",SUMIFS('Input Sheet'!$F$3:$F$1001,'Input Sheet'!$B$3:$B$1001,$H543,'Input Sheet'!$E$3:$E$1001,O$4))</f>
        <v/>
      </c>
      <c r="P543" s="21" t="str">
        <f>IF(SUMIFS('Input Sheet'!$F$3:$F$1001,'Input Sheet'!$B$3:$B$1001,$H543,'Input Sheet'!$E$3:$E$1001,P$4)=0,"",SUMIFS('Input Sheet'!$F$3:$F$1001,'Input Sheet'!$B$3:$B$1001,$H543,'Input Sheet'!$E$3:$E$1001,P$4))</f>
        <v/>
      </c>
      <c r="Q543" s="21" t="str">
        <f>IF(SUMIFS('Input Sheet'!$F$3:$F$1001,'Input Sheet'!$B$3:$B$1001,$H543,'Input Sheet'!$E$3:$E$1001,Q$4)=0,"",SUMIFS('Input Sheet'!$F$3:$F$1001,'Input Sheet'!$B$3:$B$1001,$H543,'Input Sheet'!$E$3:$E$1001,Q$4))</f>
        <v/>
      </c>
      <c r="R543" s="21" t="str">
        <f>IF(SUMIFS('Input Sheet'!$F$3:$F$1001,'Input Sheet'!$B$3:$B$1001,$H543,'Input Sheet'!$E$3:$E$1001,R$4)=0,"",SUMIFS('Input Sheet'!$F$3:$F$1001,'Input Sheet'!$B$3:$B$1001,$H543,'Input Sheet'!$E$3:$E$1001,R$4))</f>
        <v/>
      </c>
      <c r="S543" s="21" t="str">
        <f>IF(SUMIFS('Input Sheet'!$F$3:$F$1001,'Input Sheet'!$B$3:$B$1001,$H543,'Input Sheet'!$E$3:$E$1001,S$4)=0,"",SUMIFS('Input Sheet'!$F$3:$F$1001,'Input Sheet'!$B$3:$B$1001,$H543,'Input Sheet'!$E$3:$E$1001,S$4))</f>
        <v/>
      </c>
      <c r="T543" s="22">
        <v>538</v>
      </c>
    </row>
    <row r="544" spans="1:20" ht="14.25" customHeight="1" x14ac:dyDescent="0.3">
      <c r="A544" s="4" t="str">
        <f>IF('Input Sheet'!B541=0,"",'Input Sheet'!B541)</f>
        <v/>
      </c>
      <c r="B544" s="24" t="b">
        <f t="shared" si="526"/>
        <v>0</v>
      </c>
      <c r="C544" s="4">
        <f>SUMIF('Input Sheet'!B$3:B$1000,A544,'Input Sheet'!C$3:C$1000)</f>
        <v>0</v>
      </c>
      <c r="D544" s="4">
        <f>SUMIF('Input Sheet'!B$3:B$1000,A544,'Input Sheet'!D$3:D$1000)</f>
        <v>0</v>
      </c>
      <c r="E544" s="4" t="str">
        <f t="shared" ref="E544:F544" ca="1" si="561">IFERROR(RANK(K544,K$6:K$1004,1),"")</f>
        <v/>
      </c>
      <c r="F544" s="4" t="str">
        <f t="shared" ca="1" si="561"/>
        <v/>
      </c>
      <c r="G544" s="4" t="str">
        <f t="shared" ca="1" si="528"/>
        <v/>
      </c>
      <c r="H544" s="4" t="str">
        <f t="shared" si="529"/>
        <v/>
      </c>
      <c r="I544" s="4" t="str">
        <f t="shared" si="530"/>
        <v/>
      </c>
      <c r="J544" s="4" t="str">
        <f t="shared" si="531"/>
        <v/>
      </c>
      <c r="K544" s="25" t="str">
        <f t="shared" ca="1" si="532"/>
        <v/>
      </c>
      <c r="L544" s="21" t="str">
        <f t="shared" ca="1" si="533"/>
        <v/>
      </c>
      <c r="M544" s="21" t="str">
        <f>IF(SUMIFS('Input Sheet'!$F$3:$F$1001,'Input Sheet'!$B$3:$B$1001,$H544,'Input Sheet'!$E$3:$E$1001,M$4)=0,"",SUMIFS('Input Sheet'!$F$3:$F$1001,'Input Sheet'!$B$3:$B$1001,$H544,'Input Sheet'!$E$3:$E$1001,M$4))</f>
        <v/>
      </c>
      <c r="N544" s="21" t="str">
        <f>IF(SUMIFS('Input Sheet'!$F$3:$F$1001,'Input Sheet'!$B$3:$B$1001,$H544,'Input Sheet'!$E$3:$E$1001,N$4)=0,"",SUMIFS('Input Sheet'!$F$3:$F$1001,'Input Sheet'!$B$3:$B$1001,$H544,'Input Sheet'!$E$3:$E$1001,N$4))</f>
        <v/>
      </c>
      <c r="O544" s="21" t="str">
        <f>IF(SUMIFS('Input Sheet'!$F$3:$F$1001,'Input Sheet'!$B$3:$B$1001,$H544,'Input Sheet'!$E$3:$E$1001,O$4)=0,"",SUMIFS('Input Sheet'!$F$3:$F$1001,'Input Sheet'!$B$3:$B$1001,$H544,'Input Sheet'!$E$3:$E$1001,O$4))</f>
        <v/>
      </c>
      <c r="P544" s="21" t="str">
        <f>IF(SUMIFS('Input Sheet'!$F$3:$F$1001,'Input Sheet'!$B$3:$B$1001,$H544,'Input Sheet'!$E$3:$E$1001,P$4)=0,"",SUMIFS('Input Sheet'!$F$3:$F$1001,'Input Sheet'!$B$3:$B$1001,$H544,'Input Sheet'!$E$3:$E$1001,P$4))</f>
        <v/>
      </c>
      <c r="Q544" s="21" t="str">
        <f>IF(SUMIFS('Input Sheet'!$F$3:$F$1001,'Input Sheet'!$B$3:$B$1001,$H544,'Input Sheet'!$E$3:$E$1001,Q$4)=0,"",SUMIFS('Input Sheet'!$F$3:$F$1001,'Input Sheet'!$B$3:$B$1001,$H544,'Input Sheet'!$E$3:$E$1001,Q$4))</f>
        <v/>
      </c>
      <c r="R544" s="21" t="str">
        <f>IF(SUMIFS('Input Sheet'!$F$3:$F$1001,'Input Sheet'!$B$3:$B$1001,$H544,'Input Sheet'!$E$3:$E$1001,R$4)=0,"",SUMIFS('Input Sheet'!$F$3:$F$1001,'Input Sheet'!$B$3:$B$1001,$H544,'Input Sheet'!$E$3:$E$1001,R$4))</f>
        <v/>
      </c>
      <c r="S544" s="21" t="str">
        <f>IF(SUMIFS('Input Sheet'!$F$3:$F$1001,'Input Sheet'!$B$3:$B$1001,$H544,'Input Sheet'!$E$3:$E$1001,S$4)=0,"",SUMIFS('Input Sheet'!$F$3:$F$1001,'Input Sheet'!$B$3:$B$1001,$H544,'Input Sheet'!$E$3:$E$1001,S$4))</f>
        <v/>
      </c>
      <c r="T544" s="22">
        <v>539</v>
      </c>
    </row>
    <row r="545" spans="1:20" ht="14.25" customHeight="1" x14ac:dyDescent="0.3">
      <c r="A545" s="4" t="str">
        <f>IF('Input Sheet'!B542=0,"",'Input Sheet'!B542)</f>
        <v/>
      </c>
      <c r="B545" s="24" t="b">
        <f t="shared" si="526"/>
        <v>0</v>
      </c>
      <c r="C545" s="4">
        <f>SUMIF('Input Sheet'!B$3:B$1000,A545,'Input Sheet'!C$3:C$1000)</f>
        <v>0</v>
      </c>
      <c r="D545" s="4">
        <f>SUMIF('Input Sheet'!B$3:B$1000,A545,'Input Sheet'!D$3:D$1000)</f>
        <v>0</v>
      </c>
      <c r="E545" s="4" t="str">
        <f t="shared" ref="E545:F545" ca="1" si="562">IFERROR(RANK(K545,K$6:K$1004,1),"")</f>
        <v/>
      </c>
      <c r="F545" s="4" t="str">
        <f t="shared" ca="1" si="562"/>
        <v/>
      </c>
      <c r="G545" s="4" t="str">
        <f t="shared" ca="1" si="528"/>
        <v/>
      </c>
      <c r="H545" s="4" t="str">
        <f t="shared" si="529"/>
        <v/>
      </c>
      <c r="I545" s="4" t="str">
        <f t="shared" si="530"/>
        <v/>
      </c>
      <c r="J545" s="4" t="str">
        <f t="shared" si="531"/>
        <v/>
      </c>
      <c r="K545" s="25" t="str">
        <f t="shared" ca="1" si="532"/>
        <v/>
      </c>
      <c r="L545" s="21" t="str">
        <f t="shared" ca="1" si="533"/>
        <v/>
      </c>
      <c r="M545" s="21" t="str">
        <f>IF(SUMIFS('Input Sheet'!$F$3:$F$1001,'Input Sheet'!$B$3:$B$1001,$H545,'Input Sheet'!$E$3:$E$1001,M$4)=0,"",SUMIFS('Input Sheet'!$F$3:$F$1001,'Input Sheet'!$B$3:$B$1001,$H545,'Input Sheet'!$E$3:$E$1001,M$4))</f>
        <v/>
      </c>
      <c r="N545" s="21" t="str">
        <f>IF(SUMIFS('Input Sheet'!$F$3:$F$1001,'Input Sheet'!$B$3:$B$1001,$H545,'Input Sheet'!$E$3:$E$1001,N$4)=0,"",SUMIFS('Input Sheet'!$F$3:$F$1001,'Input Sheet'!$B$3:$B$1001,$H545,'Input Sheet'!$E$3:$E$1001,N$4))</f>
        <v/>
      </c>
      <c r="O545" s="21" t="str">
        <f>IF(SUMIFS('Input Sheet'!$F$3:$F$1001,'Input Sheet'!$B$3:$B$1001,$H545,'Input Sheet'!$E$3:$E$1001,O$4)=0,"",SUMIFS('Input Sheet'!$F$3:$F$1001,'Input Sheet'!$B$3:$B$1001,$H545,'Input Sheet'!$E$3:$E$1001,O$4))</f>
        <v/>
      </c>
      <c r="P545" s="21" t="str">
        <f>IF(SUMIFS('Input Sheet'!$F$3:$F$1001,'Input Sheet'!$B$3:$B$1001,$H545,'Input Sheet'!$E$3:$E$1001,P$4)=0,"",SUMIFS('Input Sheet'!$F$3:$F$1001,'Input Sheet'!$B$3:$B$1001,$H545,'Input Sheet'!$E$3:$E$1001,P$4))</f>
        <v/>
      </c>
      <c r="Q545" s="21" t="str">
        <f>IF(SUMIFS('Input Sheet'!$F$3:$F$1001,'Input Sheet'!$B$3:$B$1001,$H545,'Input Sheet'!$E$3:$E$1001,Q$4)=0,"",SUMIFS('Input Sheet'!$F$3:$F$1001,'Input Sheet'!$B$3:$B$1001,$H545,'Input Sheet'!$E$3:$E$1001,Q$4))</f>
        <v/>
      </c>
      <c r="R545" s="21" t="str">
        <f>IF(SUMIFS('Input Sheet'!$F$3:$F$1001,'Input Sheet'!$B$3:$B$1001,$H545,'Input Sheet'!$E$3:$E$1001,R$4)=0,"",SUMIFS('Input Sheet'!$F$3:$F$1001,'Input Sheet'!$B$3:$B$1001,$H545,'Input Sheet'!$E$3:$E$1001,R$4))</f>
        <v/>
      </c>
      <c r="S545" s="21" t="str">
        <f>IF(SUMIFS('Input Sheet'!$F$3:$F$1001,'Input Sheet'!$B$3:$B$1001,$H545,'Input Sheet'!$E$3:$E$1001,S$4)=0,"",SUMIFS('Input Sheet'!$F$3:$F$1001,'Input Sheet'!$B$3:$B$1001,$H545,'Input Sheet'!$E$3:$E$1001,S$4))</f>
        <v/>
      </c>
      <c r="T545" s="22">
        <v>540</v>
      </c>
    </row>
    <row r="546" spans="1:20" ht="14.25" customHeight="1" x14ac:dyDescent="0.3">
      <c r="A546" s="4" t="str">
        <f>IF('Input Sheet'!B543=0,"",'Input Sheet'!B543)</f>
        <v/>
      </c>
      <c r="B546" s="24" t="b">
        <f t="shared" si="526"/>
        <v>0</v>
      </c>
      <c r="C546" s="4">
        <f>SUMIF('Input Sheet'!B$3:B$1000,A546,'Input Sheet'!C$3:C$1000)</f>
        <v>0</v>
      </c>
      <c r="D546" s="4">
        <f>SUMIF('Input Sheet'!B$3:B$1000,A546,'Input Sheet'!D$3:D$1000)</f>
        <v>0</v>
      </c>
      <c r="E546" s="4" t="str">
        <f t="shared" ref="E546:F546" ca="1" si="563">IFERROR(RANK(K546,K$6:K$1004,1),"")</f>
        <v/>
      </c>
      <c r="F546" s="4" t="str">
        <f t="shared" ca="1" si="563"/>
        <v/>
      </c>
      <c r="G546" s="4" t="str">
        <f t="shared" ca="1" si="528"/>
        <v/>
      </c>
      <c r="H546" s="4" t="str">
        <f t="shared" si="529"/>
        <v/>
      </c>
      <c r="I546" s="4" t="str">
        <f t="shared" si="530"/>
        <v/>
      </c>
      <c r="J546" s="4" t="str">
        <f t="shared" si="531"/>
        <v/>
      </c>
      <c r="K546" s="25" t="str">
        <f t="shared" ca="1" si="532"/>
        <v/>
      </c>
      <c r="L546" s="21" t="str">
        <f t="shared" ca="1" si="533"/>
        <v/>
      </c>
      <c r="M546" s="21" t="str">
        <f>IF(SUMIFS('Input Sheet'!$F$3:$F$1001,'Input Sheet'!$B$3:$B$1001,$H546,'Input Sheet'!$E$3:$E$1001,M$4)=0,"",SUMIFS('Input Sheet'!$F$3:$F$1001,'Input Sheet'!$B$3:$B$1001,$H546,'Input Sheet'!$E$3:$E$1001,M$4))</f>
        <v/>
      </c>
      <c r="N546" s="21" t="str">
        <f>IF(SUMIFS('Input Sheet'!$F$3:$F$1001,'Input Sheet'!$B$3:$B$1001,$H546,'Input Sheet'!$E$3:$E$1001,N$4)=0,"",SUMIFS('Input Sheet'!$F$3:$F$1001,'Input Sheet'!$B$3:$B$1001,$H546,'Input Sheet'!$E$3:$E$1001,N$4))</f>
        <v/>
      </c>
      <c r="O546" s="21" t="str">
        <f>IF(SUMIFS('Input Sheet'!$F$3:$F$1001,'Input Sheet'!$B$3:$B$1001,$H546,'Input Sheet'!$E$3:$E$1001,O$4)=0,"",SUMIFS('Input Sheet'!$F$3:$F$1001,'Input Sheet'!$B$3:$B$1001,$H546,'Input Sheet'!$E$3:$E$1001,O$4))</f>
        <v/>
      </c>
      <c r="P546" s="21" t="str">
        <f>IF(SUMIFS('Input Sheet'!$F$3:$F$1001,'Input Sheet'!$B$3:$B$1001,$H546,'Input Sheet'!$E$3:$E$1001,P$4)=0,"",SUMIFS('Input Sheet'!$F$3:$F$1001,'Input Sheet'!$B$3:$B$1001,$H546,'Input Sheet'!$E$3:$E$1001,P$4))</f>
        <v/>
      </c>
      <c r="Q546" s="21" t="str">
        <f>IF(SUMIFS('Input Sheet'!$F$3:$F$1001,'Input Sheet'!$B$3:$B$1001,$H546,'Input Sheet'!$E$3:$E$1001,Q$4)=0,"",SUMIFS('Input Sheet'!$F$3:$F$1001,'Input Sheet'!$B$3:$B$1001,$H546,'Input Sheet'!$E$3:$E$1001,Q$4))</f>
        <v/>
      </c>
      <c r="R546" s="21" t="str">
        <f>IF(SUMIFS('Input Sheet'!$F$3:$F$1001,'Input Sheet'!$B$3:$B$1001,$H546,'Input Sheet'!$E$3:$E$1001,R$4)=0,"",SUMIFS('Input Sheet'!$F$3:$F$1001,'Input Sheet'!$B$3:$B$1001,$H546,'Input Sheet'!$E$3:$E$1001,R$4))</f>
        <v/>
      </c>
      <c r="S546" s="21" t="str">
        <f>IF(SUMIFS('Input Sheet'!$F$3:$F$1001,'Input Sheet'!$B$3:$B$1001,$H546,'Input Sheet'!$E$3:$E$1001,S$4)=0,"",SUMIFS('Input Sheet'!$F$3:$F$1001,'Input Sheet'!$B$3:$B$1001,$H546,'Input Sheet'!$E$3:$E$1001,S$4))</f>
        <v/>
      </c>
      <c r="T546" s="22">
        <v>541</v>
      </c>
    </row>
    <row r="547" spans="1:20" ht="14.25" customHeight="1" x14ac:dyDescent="0.3">
      <c r="A547" s="4" t="str">
        <f>IF('Input Sheet'!B544=0,"",'Input Sheet'!B544)</f>
        <v/>
      </c>
      <c r="B547" s="24" t="b">
        <f t="shared" si="526"/>
        <v>0</v>
      </c>
      <c r="C547" s="4">
        <f>SUMIF('Input Sheet'!B$3:B$1000,A547,'Input Sheet'!C$3:C$1000)</f>
        <v>0</v>
      </c>
      <c r="D547" s="4">
        <f>SUMIF('Input Sheet'!B$3:B$1000,A547,'Input Sheet'!D$3:D$1000)</f>
        <v>0</v>
      </c>
      <c r="E547" s="4" t="str">
        <f t="shared" ref="E547:F547" ca="1" si="564">IFERROR(RANK(K547,K$6:K$1004,1),"")</f>
        <v/>
      </c>
      <c r="F547" s="4" t="str">
        <f t="shared" ca="1" si="564"/>
        <v/>
      </c>
      <c r="G547" s="4" t="str">
        <f t="shared" ca="1" si="528"/>
        <v/>
      </c>
      <c r="H547" s="4" t="str">
        <f t="shared" si="529"/>
        <v/>
      </c>
      <c r="I547" s="4" t="str">
        <f t="shared" si="530"/>
        <v/>
      </c>
      <c r="J547" s="4" t="str">
        <f t="shared" si="531"/>
        <v/>
      </c>
      <c r="K547" s="25" t="str">
        <f t="shared" ca="1" si="532"/>
        <v/>
      </c>
      <c r="L547" s="21" t="str">
        <f t="shared" ca="1" si="533"/>
        <v/>
      </c>
      <c r="M547" s="21" t="str">
        <f>IF(SUMIFS('Input Sheet'!$F$3:$F$1001,'Input Sheet'!$B$3:$B$1001,$H547,'Input Sheet'!$E$3:$E$1001,M$4)=0,"",SUMIFS('Input Sheet'!$F$3:$F$1001,'Input Sheet'!$B$3:$B$1001,$H547,'Input Sheet'!$E$3:$E$1001,M$4))</f>
        <v/>
      </c>
      <c r="N547" s="21" t="str">
        <f>IF(SUMIFS('Input Sheet'!$F$3:$F$1001,'Input Sheet'!$B$3:$B$1001,$H547,'Input Sheet'!$E$3:$E$1001,N$4)=0,"",SUMIFS('Input Sheet'!$F$3:$F$1001,'Input Sheet'!$B$3:$B$1001,$H547,'Input Sheet'!$E$3:$E$1001,N$4))</f>
        <v/>
      </c>
      <c r="O547" s="21" t="str">
        <f>IF(SUMIFS('Input Sheet'!$F$3:$F$1001,'Input Sheet'!$B$3:$B$1001,$H547,'Input Sheet'!$E$3:$E$1001,O$4)=0,"",SUMIFS('Input Sheet'!$F$3:$F$1001,'Input Sheet'!$B$3:$B$1001,$H547,'Input Sheet'!$E$3:$E$1001,O$4))</f>
        <v/>
      </c>
      <c r="P547" s="21" t="str">
        <f>IF(SUMIFS('Input Sheet'!$F$3:$F$1001,'Input Sheet'!$B$3:$B$1001,$H547,'Input Sheet'!$E$3:$E$1001,P$4)=0,"",SUMIFS('Input Sheet'!$F$3:$F$1001,'Input Sheet'!$B$3:$B$1001,$H547,'Input Sheet'!$E$3:$E$1001,P$4))</f>
        <v/>
      </c>
      <c r="Q547" s="21" t="str">
        <f>IF(SUMIFS('Input Sheet'!$F$3:$F$1001,'Input Sheet'!$B$3:$B$1001,$H547,'Input Sheet'!$E$3:$E$1001,Q$4)=0,"",SUMIFS('Input Sheet'!$F$3:$F$1001,'Input Sheet'!$B$3:$B$1001,$H547,'Input Sheet'!$E$3:$E$1001,Q$4))</f>
        <v/>
      </c>
      <c r="R547" s="21" t="str">
        <f>IF(SUMIFS('Input Sheet'!$F$3:$F$1001,'Input Sheet'!$B$3:$B$1001,$H547,'Input Sheet'!$E$3:$E$1001,R$4)=0,"",SUMIFS('Input Sheet'!$F$3:$F$1001,'Input Sheet'!$B$3:$B$1001,$H547,'Input Sheet'!$E$3:$E$1001,R$4))</f>
        <v/>
      </c>
      <c r="S547" s="21" t="str">
        <f>IF(SUMIFS('Input Sheet'!$F$3:$F$1001,'Input Sheet'!$B$3:$B$1001,$H547,'Input Sheet'!$E$3:$E$1001,S$4)=0,"",SUMIFS('Input Sheet'!$F$3:$F$1001,'Input Sheet'!$B$3:$B$1001,$H547,'Input Sheet'!$E$3:$E$1001,S$4))</f>
        <v/>
      </c>
      <c r="T547" s="22">
        <v>542</v>
      </c>
    </row>
    <row r="548" spans="1:20" ht="14.25" customHeight="1" x14ac:dyDescent="0.3">
      <c r="A548" s="4" t="str">
        <f>IF('Input Sheet'!B545=0,"",'Input Sheet'!B545)</f>
        <v/>
      </c>
      <c r="B548" s="24" t="b">
        <f t="shared" si="526"/>
        <v>0</v>
      </c>
      <c r="C548" s="4">
        <f>SUMIF('Input Sheet'!B$3:B$1000,A548,'Input Sheet'!C$3:C$1000)</f>
        <v>0</v>
      </c>
      <c r="D548" s="4">
        <f>SUMIF('Input Sheet'!B$3:B$1000,A548,'Input Sheet'!D$3:D$1000)</f>
        <v>0</v>
      </c>
      <c r="E548" s="4" t="str">
        <f t="shared" ref="E548:F548" ca="1" si="565">IFERROR(RANK(K548,K$6:K$1004,1),"")</f>
        <v/>
      </c>
      <c r="F548" s="4" t="str">
        <f t="shared" ca="1" si="565"/>
        <v/>
      </c>
      <c r="G548" s="4" t="str">
        <f t="shared" ca="1" si="528"/>
        <v/>
      </c>
      <c r="H548" s="4" t="str">
        <f t="shared" si="529"/>
        <v/>
      </c>
      <c r="I548" s="4" t="str">
        <f t="shared" si="530"/>
        <v/>
      </c>
      <c r="J548" s="4" t="str">
        <f t="shared" si="531"/>
        <v/>
      </c>
      <c r="K548" s="25" t="str">
        <f t="shared" ca="1" si="532"/>
        <v/>
      </c>
      <c r="L548" s="21" t="str">
        <f t="shared" ca="1" si="533"/>
        <v/>
      </c>
      <c r="M548" s="21" t="str">
        <f>IF(SUMIFS('Input Sheet'!$F$3:$F$1001,'Input Sheet'!$B$3:$B$1001,$H548,'Input Sheet'!$E$3:$E$1001,M$4)=0,"",SUMIFS('Input Sheet'!$F$3:$F$1001,'Input Sheet'!$B$3:$B$1001,$H548,'Input Sheet'!$E$3:$E$1001,M$4))</f>
        <v/>
      </c>
      <c r="N548" s="21" t="str">
        <f>IF(SUMIFS('Input Sheet'!$F$3:$F$1001,'Input Sheet'!$B$3:$B$1001,$H548,'Input Sheet'!$E$3:$E$1001,N$4)=0,"",SUMIFS('Input Sheet'!$F$3:$F$1001,'Input Sheet'!$B$3:$B$1001,$H548,'Input Sheet'!$E$3:$E$1001,N$4))</f>
        <v/>
      </c>
      <c r="O548" s="21" t="str">
        <f>IF(SUMIFS('Input Sheet'!$F$3:$F$1001,'Input Sheet'!$B$3:$B$1001,$H548,'Input Sheet'!$E$3:$E$1001,O$4)=0,"",SUMIFS('Input Sheet'!$F$3:$F$1001,'Input Sheet'!$B$3:$B$1001,$H548,'Input Sheet'!$E$3:$E$1001,O$4))</f>
        <v/>
      </c>
      <c r="P548" s="21" t="str">
        <f>IF(SUMIFS('Input Sheet'!$F$3:$F$1001,'Input Sheet'!$B$3:$B$1001,$H548,'Input Sheet'!$E$3:$E$1001,P$4)=0,"",SUMIFS('Input Sheet'!$F$3:$F$1001,'Input Sheet'!$B$3:$B$1001,$H548,'Input Sheet'!$E$3:$E$1001,P$4))</f>
        <v/>
      </c>
      <c r="Q548" s="21" t="str">
        <f>IF(SUMIFS('Input Sheet'!$F$3:$F$1001,'Input Sheet'!$B$3:$B$1001,$H548,'Input Sheet'!$E$3:$E$1001,Q$4)=0,"",SUMIFS('Input Sheet'!$F$3:$F$1001,'Input Sheet'!$B$3:$B$1001,$H548,'Input Sheet'!$E$3:$E$1001,Q$4))</f>
        <v/>
      </c>
      <c r="R548" s="21" t="str">
        <f>IF(SUMIFS('Input Sheet'!$F$3:$F$1001,'Input Sheet'!$B$3:$B$1001,$H548,'Input Sheet'!$E$3:$E$1001,R$4)=0,"",SUMIFS('Input Sheet'!$F$3:$F$1001,'Input Sheet'!$B$3:$B$1001,$H548,'Input Sheet'!$E$3:$E$1001,R$4))</f>
        <v/>
      </c>
      <c r="S548" s="21" t="str">
        <f>IF(SUMIFS('Input Sheet'!$F$3:$F$1001,'Input Sheet'!$B$3:$B$1001,$H548,'Input Sheet'!$E$3:$E$1001,S$4)=0,"",SUMIFS('Input Sheet'!$F$3:$F$1001,'Input Sheet'!$B$3:$B$1001,$H548,'Input Sheet'!$E$3:$E$1001,S$4))</f>
        <v/>
      </c>
      <c r="T548" s="22">
        <v>543</v>
      </c>
    </row>
    <row r="549" spans="1:20" ht="14.25" customHeight="1" x14ac:dyDescent="0.3">
      <c r="A549" s="4" t="str">
        <f>IF('Input Sheet'!B546=0,"",'Input Sheet'!B546)</f>
        <v/>
      </c>
      <c r="B549" s="24" t="b">
        <f t="shared" si="526"/>
        <v>0</v>
      </c>
      <c r="C549" s="4">
        <f>SUMIF('Input Sheet'!B$3:B$1000,A549,'Input Sheet'!C$3:C$1000)</f>
        <v>0</v>
      </c>
      <c r="D549" s="4">
        <f>SUMIF('Input Sheet'!B$3:B$1000,A549,'Input Sheet'!D$3:D$1000)</f>
        <v>0</v>
      </c>
      <c r="E549" s="4" t="str">
        <f t="shared" ref="E549:F549" ca="1" si="566">IFERROR(RANK(K549,K$6:K$1004,1),"")</f>
        <v/>
      </c>
      <c r="F549" s="4" t="str">
        <f t="shared" ca="1" si="566"/>
        <v/>
      </c>
      <c r="G549" s="4" t="str">
        <f t="shared" ca="1" si="528"/>
        <v/>
      </c>
      <c r="H549" s="4" t="str">
        <f t="shared" si="529"/>
        <v/>
      </c>
      <c r="I549" s="4" t="str">
        <f t="shared" si="530"/>
        <v/>
      </c>
      <c r="J549" s="4" t="str">
        <f t="shared" si="531"/>
        <v/>
      </c>
      <c r="K549" s="25" t="str">
        <f t="shared" ca="1" si="532"/>
        <v/>
      </c>
      <c r="L549" s="21" t="str">
        <f t="shared" ca="1" si="533"/>
        <v/>
      </c>
      <c r="M549" s="21" t="str">
        <f>IF(SUMIFS('Input Sheet'!$F$3:$F$1001,'Input Sheet'!$B$3:$B$1001,$H549,'Input Sheet'!$E$3:$E$1001,M$4)=0,"",SUMIFS('Input Sheet'!$F$3:$F$1001,'Input Sheet'!$B$3:$B$1001,$H549,'Input Sheet'!$E$3:$E$1001,M$4))</f>
        <v/>
      </c>
      <c r="N549" s="21" t="str">
        <f>IF(SUMIFS('Input Sheet'!$F$3:$F$1001,'Input Sheet'!$B$3:$B$1001,$H549,'Input Sheet'!$E$3:$E$1001,N$4)=0,"",SUMIFS('Input Sheet'!$F$3:$F$1001,'Input Sheet'!$B$3:$B$1001,$H549,'Input Sheet'!$E$3:$E$1001,N$4))</f>
        <v/>
      </c>
      <c r="O549" s="21" t="str">
        <f>IF(SUMIFS('Input Sheet'!$F$3:$F$1001,'Input Sheet'!$B$3:$B$1001,$H549,'Input Sheet'!$E$3:$E$1001,O$4)=0,"",SUMIFS('Input Sheet'!$F$3:$F$1001,'Input Sheet'!$B$3:$B$1001,$H549,'Input Sheet'!$E$3:$E$1001,O$4))</f>
        <v/>
      </c>
      <c r="P549" s="21" t="str">
        <f>IF(SUMIFS('Input Sheet'!$F$3:$F$1001,'Input Sheet'!$B$3:$B$1001,$H549,'Input Sheet'!$E$3:$E$1001,P$4)=0,"",SUMIFS('Input Sheet'!$F$3:$F$1001,'Input Sheet'!$B$3:$B$1001,$H549,'Input Sheet'!$E$3:$E$1001,P$4))</f>
        <v/>
      </c>
      <c r="Q549" s="21" t="str">
        <f>IF(SUMIFS('Input Sheet'!$F$3:$F$1001,'Input Sheet'!$B$3:$B$1001,$H549,'Input Sheet'!$E$3:$E$1001,Q$4)=0,"",SUMIFS('Input Sheet'!$F$3:$F$1001,'Input Sheet'!$B$3:$B$1001,$H549,'Input Sheet'!$E$3:$E$1001,Q$4))</f>
        <v/>
      </c>
      <c r="R549" s="21" t="str">
        <f>IF(SUMIFS('Input Sheet'!$F$3:$F$1001,'Input Sheet'!$B$3:$B$1001,$H549,'Input Sheet'!$E$3:$E$1001,R$4)=0,"",SUMIFS('Input Sheet'!$F$3:$F$1001,'Input Sheet'!$B$3:$B$1001,$H549,'Input Sheet'!$E$3:$E$1001,R$4))</f>
        <v/>
      </c>
      <c r="S549" s="21" t="str">
        <f>IF(SUMIFS('Input Sheet'!$F$3:$F$1001,'Input Sheet'!$B$3:$B$1001,$H549,'Input Sheet'!$E$3:$E$1001,S$4)=0,"",SUMIFS('Input Sheet'!$F$3:$F$1001,'Input Sheet'!$B$3:$B$1001,$H549,'Input Sheet'!$E$3:$E$1001,S$4))</f>
        <v/>
      </c>
      <c r="T549" s="22">
        <v>544</v>
      </c>
    </row>
    <row r="550" spans="1:20" ht="14.25" customHeight="1" x14ac:dyDescent="0.3">
      <c r="A550" s="4" t="str">
        <f>IF('Input Sheet'!B547=0,"",'Input Sheet'!B547)</f>
        <v/>
      </c>
      <c r="B550" s="24" t="b">
        <f t="shared" si="526"/>
        <v>0</v>
      </c>
      <c r="C550" s="4">
        <f>SUMIF('Input Sheet'!B$3:B$1000,A550,'Input Sheet'!C$3:C$1000)</f>
        <v>0</v>
      </c>
      <c r="D550" s="4">
        <f>SUMIF('Input Sheet'!B$3:B$1000,A550,'Input Sheet'!D$3:D$1000)</f>
        <v>0</v>
      </c>
      <c r="E550" s="4" t="str">
        <f t="shared" ref="E550:F550" ca="1" si="567">IFERROR(RANK(K550,K$6:K$1004,1),"")</f>
        <v/>
      </c>
      <c r="F550" s="4" t="str">
        <f t="shared" ca="1" si="567"/>
        <v/>
      </c>
      <c r="G550" s="4" t="str">
        <f t="shared" ca="1" si="528"/>
        <v/>
      </c>
      <c r="H550" s="4" t="str">
        <f t="shared" si="529"/>
        <v/>
      </c>
      <c r="I550" s="4" t="str">
        <f t="shared" si="530"/>
        <v/>
      </c>
      <c r="J550" s="4" t="str">
        <f t="shared" si="531"/>
        <v/>
      </c>
      <c r="K550" s="25" t="str">
        <f t="shared" ca="1" si="532"/>
        <v/>
      </c>
      <c r="L550" s="21" t="str">
        <f t="shared" ca="1" si="533"/>
        <v/>
      </c>
      <c r="M550" s="21" t="str">
        <f>IF(SUMIFS('Input Sheet'!$F$3:$F$1001,'Input Sheet'!$B$3:$B$1001,$H550,'Input Sheet'!$E$3:$E$1001,M$4)=0,"",SUMIFS('Input Sheet'!$F$3:$F$1001,'Input Sheet'!$B$3:$B$1001,$H550,'Input Sheet'!$E$3:$E$1001,M$4))</f>
        <v/>
      </c>
      <c r="N550" s="21" t="str">
        <f>IF(SUMIFS('Input Sheet'!$F$3:$F$1001,'Input Sheet'!$B$3:$B$1001,$H550,'Input Sheet'!$E$3:$E$1001,N$4)=0,"",SUMIFS('Input Sheet'!$F$3:$F$1001,'Input Sheet'!$B$3:$B$1001,$H550,'Input Sheet'!$E$3:$E$1001,N$4))</f>
        <v/>
      </c>
      <c r="O550" s="21" t="str">
        <f>IF(SUMIFS('Input Sheet'!$F$3:$F$1001,'Input Sheet'!$B$3:$B$1001,$H550,'Input Sheet'!$E$3:$E$1001,O$4)=0,"",SUMIFS('Input Sheet'!$F$3:$F$1001,'Input Sheet'!$B$3:$B$1001,$H550,'Input Sheet'!$E$3:$E$1001,O$4))</f>
        <v/>
      </c>
      <c r="P550" s="21" t="str">
        <f>IF(SUMIFS('Input Sheet'!$F$3:$F$1001,'Input Sheet'!$B$3:$B$1001,$H550,'Input Sheet'!$E$3:$E$1001,P$4)=0,"",SUMIFS('Input Sheet'!$F$3:$F$1001,'Input Sheet'!$B$3:$B$1001,$H550,'Input Sheet'!$E$3:$E$1001,P$4))</f>
        <v/>
      </c>
      <c r="Q550" s="21" t="str">
        <f>IF(SUMIFS('Input Sheet'!$F$3:$F$1001,'Input Sheet'!$B$3:$B$1001,$H550,'Input Sheet'!$E$3:$E$1001,Q$4)=0,"",SUMIFS('Input Sheet'!$F$3:$F$1001,'Input Sheet'!$B$3:$B$1001,$H550,'Input Sheet'!$E$3:$E$1001,Q$4))</f>
        <v/>
      </c>
      <c r="R550" s="21" t="str">
        <f>IF(SUMIFS('Input Sheet'!$F$3:$F$1001,'Input Sheet'!$B$3:$B$1001,$H550,'Input Sheet'!$E$3:$E$1001,R$4)=0,"",SUMIFS('Input Sheet'!$F$3:$F$1001,'Input Sheet'!$B$3:$B$1001,$H550,'Input Sheet'!$E$3:$E$1001,R$4))</f>
        <v/>
      </c>
      <c r="S550" s="21" t="str">
        <f>IF(SUMIFS('Input Sheet'!$F$3:$F$1001,'Input Sheet'!$B$3:$B$1001,$H550,'Input Sheet'!$E$3:$E$1001,S$4)=0,"",SUMIFS('Input Sheet'!$F$3:$F$1001,'Input Sheet'!$B$3:$B$1001,$H550,'Input Sheet'!$E$3:$E$1001,S$4))</f>
        <v/>
      </c>
      <c r="T550" s="22">
        <v>545</v>
      </c>
    </row>
    <row r="551" spans="1:20" ht="14.25" customHeight="1" x14ac:dyDescent="0.3">
      <c r="A551" s="4" t="str">
        <f>IF('Input Sheet'!B548=0,"",'Input Sheet'!B548)</f>
        <v/>
      </c>
      <c r="B551" s="24" t="b">
        <f t="shared" si="526"/>
        <v>0</v>
      </c>
      <c r="C551" s="4">
        <f>SUMIF('Input Sheet'!B$3:B$1000,A551,'Input Sheet'!C$3:C$1000)</f>
        <v>0</v>
      </c>
      <c r="D551" s="4">
        <f>SUMIF('Input Sheet'!B$3:B$1000,A551,'Input Sheet'!D$3:D$1000)</f>
        <v>0</v>
      </c>
      <c r="E551" s="4" t="str">
        <f t="shared" ref="E551:F551" ca="1" si="568">IFERROR(RANK(K551,K$6:K$1004,1),"")</f>
        <v/>
      </c>
      <c r="F551" s="4" t="str">
        <f t="shared" ca="1" si="568"/>
        <v/>
      </c>
      <c r="G551" s="4" t="str">
        <f t="shared" ca="1" si="528"/>
        <v/>
      </c>
      <c r="H551" s="4" t="str">
        <f t="shared" si="529"/>
        <v/>
      </c>
      <c r="I551" s="4" t="str">
        <f t="shared" si="530"/>
        <v/>
      </c>
      <c r="J551" s="4" t="str">
        <f t="shared" si="531"/>
        <v/>
      </c>
      <c r="K551" s="25" t="str">
        <f t="shared" ca="1" si="532"/>
        <v/>
      </c>
      <c r="L551" s="21" t="str">
        <f t="shared" ca="1" si="533"/>
        <v/>
      </c>
      <c r="M551" s="21" t="str">
        <f>IF(SUMIFS('Input Sheet'!$F$3:$F$1001,'Input Sheet'!$B$3:$B$1001,$H551,'Input Sheet'!$E$3:$E$1001,M$4)=0,"",SUMIFS('Input Sheet'!$F$3:$F$1001,'Input Sheet'!$B$3:$B$1001,$H551,'Input Sheet'!$E$3:$E$1001,M$4))</f>
        <v/>
      </c>
      <c r="N551" s="21" t="str">
        <f>IF(SUMIFS('Input Sheet'!$F$3:$F$1001,'Input Sheet'!$B$3:$B$1001,$H551,'Input Sheet'!$E$3:$E$1001,N$4)=0,"",SUMIFS('Input Sheet'!$F$3:$F$1001,'Input Sheet'!$B$3:$B$1001,$H551,'Input Sheet'!$E$3:$E$1001,N$4))</f>
        <v/>
      </c>
      <c r="O551" s="21" t="str">
        <f>IF(SUMIFS('Input Sheet'!$F$3:$F$1001,'Input Sheet'!$B$3:$B$1001,$H551,'Input Sheet'!$E$3:$E$1001,O$4)=0,"",SUMIFS('Input Sheet'!$F$3:$F$1001,'Input Sheet'!$B$3:$B$1001,$H551,'Input Sheet'!$E$3:$E$1001,O$4))</f>
        <v/>
      </c>
      <c r="P551" s="21" t="str">
        <f>IF(SUMIFS('Input Sheet'!$F$3:$F$1001,'Input Sheet'!$B$3:$B$1001,$H551,'Input Sheet'!$E$3:$E$1001,P$4)=0,"",SUMIFS('Input Sheet'!$F$3:$F$1001,'Input Sheet'!$B$3:$B$1001,$H551,'Input Sheet'!$E$3:$E$1001,P$4))</f>
        <v/>
      </c>
      <c r="Q551" s="21" t="str">
        <f>IF(SUMIFS('Input Sheet'!$F$3:$F$1001,'Input Sheet'!$B$3:$B$1001,$H551,'Input Sheet'!$E$3:$E$1001,Q$4)=0,"",SUMIFS('Input Sheet'!$F$3:$F$1001,'Input Sheet'!$B$3:$B$1001,$H551,'Input Sheet'!$E$3:$E$1001,Q$4))</f>
        <v/>
      </c>
      <c r="R551" s="21" t="str">
        <f>IF(SUMIFS('Input Sheet'!$F$3:$F$1001,'Input Sheet'!$B$3:$B$1001,$H551,'Input Sheet'!$E$3:$E$1001,R$4)=0,"",SUMIFS('Input Sheet'!$F$3:$F$1001,'Input Sheet'!$B$3:$B$1001,$H551,'Input Sheet'!$E$3:$E$1001,R$4))</f>
        <v/>
      </c>
      <c r="S551" s="21" t="str">
        <f>IF(SUMIFS('Input Sheet'!$F$3:$F$1001,'Input Sheet'!$B$3:$B$1001,$H551,'Input Sheet'!$E$3:$E$1001,S$4)=0,"",SUMIFS('Input Sheet'!$F$3:$F$1001,'Input Sheet'!$B$3:$B$1001,$H551,'Input Sheet'!$E$3:$E$1001,S$4))</f>
        <v/>
      </c>
      <c r="T551" s="22">
        <v>546</v>
      </c>
    </row>
    <row r="552" spans="1:20" ht="14.25" customHeight="1" x14ac:dyDescent="0.3">
      <c r="A552" s="4" t="str">
        <f>IF('Input Sheet'!B549=0,"",'Input Sheet'!B549)</f>
        <v/>
      </c>
      <c r="B552" s="24" t="b">
        <f t="shared" si="526"/>
        <v>0</v>
      </c>
      <c r="C552" s="4">
        <f>SUMIF('Input Sheet'!B$3:B$1000,A552,'Input Sheet'!C$3:C$1000)</f>
        <v>0</v>
      </c>
      <c r="D552" s="4">
        <f>SUMIF('Input Sheet'!B$3:B$1000,A552,'Input Sheet'!D$3:D$1000)</f>
        <v>0</v>
      </c>
      <c r="E552" s="4" t="str">
        <f t="shared" ref="E552:F552" ca="1" si="569">IFERROR(RANK(K552,K$6:K$1004,1),"")</f>
        <v/>
      </c>
      <c r="F552" s="4" t="str">
        <f t="shared" ca="1" si="569"/>
        <v/>
      </c>
      <c r="G552" s="4" t="str">
        <f t="shared" ca="1" si="528"/>
        <v/>
      </c>
      <c r="H552" s="4" t="str">
        <f t="shared" si="529"/>
        <v/>
      </c>
      <c r="I552" s="4" t="str">
        <f t="shared" si="530"/>
        <v/>
      </c>
      <c r="J552" s="4" t="str">
        <f t="shared" si="531"/>
        <v/>
      </c>
      <c r="K552" s="25" t="str">
        <f t="shared" ca="1" si="532"/>
        <v/>
      </c>
      <c r="L552" s="21" t="str">
        <f t="shared" ca="1" si="533"/>
        <v/>
      </c>
      <c r="M552" s="21" t="str">
        <f>IF(SUMIFS('Input Sheet'!$F$3:$F$1001,'Input Sheet'!$B$3:$B$1001,$H552,'Input Sheet'!$E$3:$E$1001,M$4)=0,"",SUMIFS('Input Sheet'!$F$3:$F$1001,'Input Sheet'!$B$3:$B$1001,$H552,'Input Sheet'!$E$3:$E$1001,M$4))</f>
        <v/>
      </c>
      <c r="N552" s="21" t="str">
        <f>IF(SUMIFS('Input Sheet'!$F$3:$F$1001,'Input Sheet'!$B$3:$B$1001,$H552,'Input Sheet'!$E$3:$E$1001,N$4)=0,"",SUMIFS('Input Sheet'!$F$3:$F$1001,'Input Sheet'!$B$3:$B$1001,$H552,'Input Sheet'!$E$3:$E$1001,N$4))</f>
        <v/>
      </c>
      <c r="O552" s="21" t="str">
        <f>IF(SUMIFS('Input Sheet'!$F$3:$F$1001,'Input Sheet'!$B$3:$B$1001,$H552,'Input Sheet'!$E$3:$E$1001,O$4)=0,"",SUMIFS('Input Sheet'!$F$3:$F$1001,'Input Sheet'!$B$3:$B$1001,$H552,'Input Sheet'!$E$3:$E$1001,O$4))</f>
        <v/>
      </c>
      <c r="P552" s="21" t="str">
        <f>IF(SUMIFS('Input Sheet'!$F$3:$F$1001,'Input Sheet'!$B$3:$B$1001,$H552,'Input Sheet'!$E$3:$E$1001,P$4)=0,"",SUMIFS('Input Sheet'!$F$3:$F$1001,'Input Sheet'!$B$3:$B$1001,$H552,'Input Sheet'!$E$3:$E$1001,P$4))</f>
        <v/>
      </c>
      <c r="Q552" s="21" t="str">
        <f>IF(SUMIFS('Input Sheet'!$F$3:$F$1001,'Input Sheet'!$B$3:$B$1001,$H552,'Input Sheet'!$E$3:$E$1001,Q$4)=0,"",SUMIFS('Input Sheet'!$F$3:$F$1001,'Input Sheet'!$B$3:$B$1001,$H552,'Input Sheet'!$E$3:$E$1001,Q$4))</f>
        <v/>
      </c>
      <c r="R552" s="21" t="str">
        <f>IF(SUMIFS('Input Sheet'!$F$3:$F$1001,'Input Sheet'!$B$3:$B$1001,$H552,'Input Sheet'!$E$3:$E$1001,R$4)=0,"",SUMIFS('Input Sheet'!$F$3:$F$1001,'Input Sheet'!$B$3:$B$1001,$H552,'Input Sheet'!$E$3:$E$1001,R$4))</f>
        <v/>
      </c>
      <c r="S552" s="21" t="str">
        <f>IF(SUMIFS('Input Sheet'!$F$3:$F$1001,'Input Sheet'!$B$3:$B$1001,$H552,'Input Sheet'!$E$3:$E$1001,S$4)=0,"",SUMIFS('Input Sheet'!$F$3:$F$1001,'Input Sheet'!$B$3:$B$1001,$H552,'Input Sheet'!$E$3:$E$1001,S$4))</f>
        <v/>
      </c>
      <c r="T552" s="22">
        <v>547</v>
      </c>
    </row>
    <row r="553" spans="1:20" ht="14.25" customHeight="1" x14ac:dyDescent="0.3">
      <c r="A553" s="4" t="str">
        <f>IF('Input Sheet'!B550=0,"",'Input Sheet'!B550)</f>
        <v/>
      </c>
      <c r="B553" s="24" t="b">
        <f t="shared" si="526"/>
        <v>0</v>
      </c>
      <c r="C553" s="4">
        <f>SUMIF('Input Sheet'!B$3:B$1000,A553,'Input Sheet'!C$3:C$1000)</f>
        <v>0</v>
      </c>
      <c r="D553" s="4">
        <f>SUMIF('Input Sheet'!B$3:B$1000,A553,'Input Sheet'!D$3:D$1000)</f>
        <v>0</v>
      </c>
      <c r="E553" s="4" t="str">
        <f t="shared" ref="E553:F553" ca="1" si="570">IFERROR(RANK(K553,K$6:K$1004,1),"")</f>
        <v/>
      </c>
      <c r="F553" s="4" t="str">
        <f t="shared" ca="1" si="570"/>
        <v/>
      </c>
      <c r="G553" s="4" t="str">
        <f t="shared" ca="1" si="528"/>
        <v/>
      </c>
      <c r="H553" s="4" t="str">
        <f t="shared" si="529"/>
        <v/>
      </c>
      <c r="I553" s="4" t="str">
        <f t="shared" si="530"/>
        <v/>
      </c>
      <c r="J553" s="4" t="str">
        <f t="shared" si="531"/>
        <v/>
      </c>
      <c r="K553" s="25" t="str">
        <f t="shared" ca="1" si="532"/>
        <v/>
      </c>
      <c r="L553" s="21" t="str">
        <f t="shared" ca="1" si="533"/>
        <v/>
      </c>
      <c r="M553" s="21" t="str">
        <f>IF(SUMIFS('Input Sheet'!$F$3:$F$1001,'Input Sheet'!$B$3:$B$1001,$H553,'Input Sheet'!$E$3:$E$1001,M$4)=0,"",SUMIFS('Input Sheet'!$F$3:$F$1001,'Input Sheet'!$B$3:$B$1001,$H553,'Input Sheet'!$E$3:$E$1001,M$4))</f>
        <v/>
      </c>
      <c r="N553" s="21" t="str">
        <f>IF(SUMIFS('Input Sheet'!$F$3:$F$1001,'Input Sheet'!$B$3:$B$1001,$H553,'Input Sheet'!$E$3:$E$1001,N$4)=0,"",SUMIFS('Input Sheet'!$F$3:$F$1001,'Input Sheet'!$B$3:$B$1001,$H553,'Input Sheet'!$E$3:$E$1001,N$4))</f>
        <v/>
      </c>
      <c r="O553" s="21" t="str">
        <f>IF(SUMIFS('Input Sheet'!$F$3:$F$1001,'Input Sheet'!$B$3:$B$1001,$H553,'Input Sheet'!$E$3:$E$1001,O$4)=0,"",SUMIFS('Input Sheet'!$F$3:$F$1001,'Input Sheet'!$B$3:$B$1001,$H553,'Input Sheet'!$E$3:$E$1001,O$4))</f>
        <v/>
      </c>
      <c r="P553" s="21" t="str">
        <f>IF(SUMIFS('Input Sheet'!$F$3:$F$1001,'Input Sheet'!$B$3:$B$1001,$H553,'Input Sheet'!$E$3:$E$1001,P$4)=0,"",SUMIFS('Input Sheet'!$F$3:$F$1001,'Input Sheet'!$B$3:$B$1001,$H553,'Input Sheet'!$E$3:$E$1001,P$4))</f>
        <v/>
      </c>
      <c r="Q553" s="21" t="str">
        <f>IF(SUMIFS('Input Sheet'!$F$3:$F$1001,'Input Sheet'!$B$3:$B$1001,$H553,'Input Sheet'!$E$3:$E$1001,Q$4)=0,"",SUMIFS('Input Sheet'!$F$3:$F$1001,'Input Sheet'!$B$3:$B$1001,$H553,'Input Sheet'!$E$3:$E$1001,Q$4))</f>
        <v/>
      </c>
      <c r="R553" s="21" t="str">
        <f>IF(SUMIFS('Input Sheet'!$F$3:$F$1001,'Input Sheet'!$B$3:$B$1001,$H553,'Input Sheet'!$E$3:$E$1001,R$4)=0,"",SUMIFS('Input Sheet'!$F$3:$F$1001,'Input Sheet'!$B$3:$B$1001,$H553,'Input Sheet'!$E$3:$E$1001,R$4))</f>
        <v/>
      </c>
      <c r="S553" s="21" t="str">
        <f>IF(SUMIFS('Input Sheet'!$F$3:$F$1001,'Input Sheet'!$B$3:$B$1001,$H553,'Input Sheet'!$E$3:$E$1001,S$4)=0,"",SUMIFS('Input Sheet'!$F$3:$F$1001,'Input Sheet'!$B$3:$B$1001,$H553,'Input Sheet'!$E$3:$E$1001,S$4))</f>
        <v/>
      </c>
      <c r="T553" s="22">
        <v>548</v>
      </c>
    </row>
    <row r="554" spans="1:20" ht="14.25" customHeight="1" x14ac:dyDescent="0.3">
      <c r="A554" s="4" t="str">
        <f>IF('Input Sheet'!B551=0,"",'Input Sheet'!B551)</f>
        <v/>
      </c>
      <c r="B554" s="24" t="b">
        <f t="shared" si="526"/>
        <v>0</v>
      </c>
      <c r="C554" s="4">
        <f>SUMIF('Input Sheet'!B$3:B$1000,A554,'Input Sheet'!C$3:C$1000)</f>
        <v>0</v>
      </c>
      <c r="D554" s="4">
        <f>SUMIF('Input Sheet'!B$3:B$1000,A554,'Input Sheet'!D$3:D$1000)</f>
        <v>0</v>
      </c>
      <c r="E554" s="4" t="str">
        <f t="shared" ref="E554:F554" ca="1" si="571">IFERROR(RANK(K554,K$6:K$1004,1),"")</f>
        <v/>
      </c>
      <c r="F554" s="4" t="str">
        <f t="shared" ca="1" si="571"/>
        <v/>
      </c>
      <c r="G554" s="4" t="str">
        <f t="shared" ca="1" si="528"/>
        <v/>
      </c>
      <c r="H554" s="4" t="str">
        <f t="shared" si="529"/>
        <v/>
      </c>
      <c r="I554" s="4" t="str">
        <f t="shared" si="530"/>
        <v/>
      </c>
      <c r="J554" s="4" t="str">
        <f t="shared" si="531"/>
        <v/>
      </c>
      <c r="K554" s="25" t="str">
        <f t="shared" ca="1" si="532"/>
        <v/>
      </c>
      <c r="L554" s="21" t="str">
        <f t="shared" ca="1" si="533"/>
        <v/>
      </c>
      <c r="M554" s="21" t="str">
        <f>IF(SUMIFS('Input Sheet'!$F$3:$F$1001,'Input Sheet'!$B$3:$B$1001,$H554,'Input Sheet'!$E$3:$E$1001,M$4)=0,"",SUMIFS('Input Sheet'!$F$3:$F$1001,'Input Sheet'!$B$3:$B$1001,$H554,'Input Sheet'!$E$3:$E$1001,M$4))</f>
        <v/>
      </c>
      <c r="N554" s="21" t="str">
        <f>IF(SUMIFS('Input Sheet'!$F$3:$F$1001,'Input Sheet'!$B$3:$B$1001,$H554,'Input Sheet'!$E$3:$E$1001,N$4)=0,"",SUMIFS('Input Sheet'!$F$3:$F$1001,'Input Sheet'!$B$3:$B$1001,$H554,'Input Sheet'!$E$3:$E$1001,N$4))</f>
        <v/>
      </c>
      <c r="O554" s="21" t="str">
        <f>IF(SUMIFS('Input Sheet'!$F$3:$F$1001,'Input Sheet'!$B$3:$B$1001,$H554,'Input Sheet'!$E$3:$E$1001,O$4)=0,"",SUMIFS('Input Sheet'!$F$3:$F$1001,'Input Sheet'!$B$3:$B$1001,$H554,'Input Sheet'!$E$3:$E$1001,O$4))</f>
        <v/>
      </c>
      <c r="P554" s="21" t="str">
        <f>IF(SUMIFS('Input Sheet'!$F$3:$F$1001,'Input Sheet'!$B$3:$B$1001,$H554,'Input Sheet'!$E$3:$E$1001,P$4)=0,"",SUMIFS('Input Sheet'!$F$3:$F$1001,'Input Sheet'!$B$3:$B$1001,$H554,'Input Sheet'!$E$3:$E$1001,P$4))</f>
        <v/>
      </c>
      <c r="Q554" s="21" t="str">
        <f>IF(SUMIFS('Input Sheet'!$F$3:$F$1001,'Input Sheet'!$B$3:$B$1001,$H554,'Input Sheet'!$E$3:$E$1001,Q$4)=0,"",SUMIFS('Input Sheet'!$F$3:$F$1001,'Input Sheet'!$B$3:$B$1001,$H554,'Input Sheet'!$E$3:$E$1001,Q$4))</f>
        <v/>
      </c>
      <c r="R554" s="21" t="str">
        <f>IF(SUMIFS('Input Sheet'!$F$3:$F$1001,'Input Sheet'!$B$3:$B$1001,$H554,'Input Sheet'!$E$3:$E$1001,R$4)=0,"",SUMIFS('Input Sheet'!$F$3:$F$1001,'Input Sheet'!$B$3:$B$1001,$H554,'Input Sheet'!$E$3:$E$1001,R$4))</f>
        <v/>
      </c>
      <c r="S554" s="21" t="str">
        <f>IF(SUMIFS('Input Sheet'!$F$3:$F$1001,'Input Sheet'!$B$3:$B$1001,$H554,'Input Sheet'!$E$3:$E$1001,S$4)=0,"",SUMIFS('Input Sheet'!$F$3:$F$1001,'Input Sheet'!$B$3:$B$1001,$H554,'Input Sheet'!$E$3:$E$1001,S$4))</f>
        <v/>
      </c>
      <c r="T554" s="22">
        <v>549</v>
      </c>
    </row>
    <row r="555" spans="1:20" ht="14.25" customHeight="1" x14ac:dyDescent="0.3">
      <c r="A555" s="4" t="str">
        <f>IF('Input Sheet'!B552=0,"",'Input Sheet'!B552)</f>
        <v/>
      </c>
      <c r="B555" s="24" t="b">
        <f t="shared" si="526"/>
        <v>0</v>
      </c>
      <c r="C555" s="4">
        <f>SUMIF('Input Sheet'!B$3:B$1000,A555,'Input Sheet'!C$3:C$1000)</f>
        <v>0</v>
      </c>
      <c r="D555" s="4">
        <f>SUMIF('Input Sheet'!B$3:B$1000,A555,'Input Sheet'!D$3:D$1000)</f>
        <v>0</v>
      </c>
      <c r="E555" s="4" t="str">
        <f t="shared" ref="E555:F555" ca="1" si="572">IFERROR(RANK(K555,K$6:K$1004,1),"")</f>
        <v/>
      </c>
      <c r="F555" s="4" t="str">
        <f t="shared" ca="1" si="572"/>
        <v/>
      </c>
      <c r="G555" s="4" t="str">
        <f t="shared" ca="1" si="528"/>
        <v/>
      </c>
      <c r="H555" s="4" t="str">
        <f t="shared" si="529"/>
        <v/>
      </c>
      <c r="I555" s="4" t="str">
        <f t="shared" si="530"/>
        <v/>
      </c>
      <c r="J555" s="4" t="str">
        <f t="shared" si="531"/>
        <v/>
      </c>
      <c r="K555" s="25" t="str">
        <f t="shared" ca="1" si="532"/>
        <v/>
      </c>
      <c r="L555" s="21" t="str">
        <f t="shared" ca="1" si="533"/>
        <v/>
      </c>
      <c r="M555" s="21" t="str">
        <f>IF(SUMIFS('Input Sheet'!$F$3:$F$1001,'Input Sheet'!$B$3:$B$1001,$H555,'Input Sheet'!$E$3:$E$1001,M$4)=0,"",SUMIFS('Input Sheet'!$F$3:$F$1001,'Input Sheet'!$B$3:$B$1001,$H555,'Input Sheet'!$E$3:$E$1001,M$4))</f>
        <v/>
      </c>
      <c r="N555" s="21" t="str">
        <f>IF(SUMIFS('Input Sheet'!$F$3:$F$1001,'Input Sheet'!$B$3:$B$1001,$H555,'Input Sheet'!$E$3:$E$1001,N$4)=0,"",SUMIFS('Input Sheet'!$F$3:$F$1001,'Input Sheet'!$B$3:$B$1001,$H555,'Input Sheet'!$E$3:$E$1001,N$4))</f>
        <v/>
      </c>
      <c r="O555" s="21" t="str">
        <f>IF(SUMIFS('Input Sheet'!$F$3:$F$1001,'Input Sheet'!$B$3:$B$1001,$H555,'Input Sheet'!$E$3:$E$1001,O$4)=0,"",SUMIFS('Input Sheet'!$F$3:$F$1001,'Input Sheet'!$B$3:$B$1001,$H555,'Input Sheet'!$E$3:$E$1001,O$4))</f>
        <v/>
      </c>
      <c r="P555" s="21" t="str">
        <f>IF(SUMIFS('Input Sheet'!$F$3:$F$1001,'Input Sheet'!$B$3:$B$1001,$H555,'Input Sheet'!$E$3:$E$1001,P$4)=0,"",SUMIFS('Input Sheet'!$F$3:$F$1001,'Input Sheet'!$B$3:$B$1001,$H555,'Input Sheet'!$E$3:$E$1001,P$4))</f>
        <v/>
      </c>
      <c r="Q555" s="21" t="str">
        <f>IF(SUMIFS('Input Sheet'!$F$3:$F$1001,'Input Sheet'!$B$3:$B$1001,$H555,'Input Sheet'!$E$3:$E$1001,Q$4)=0,"",SUMIFS('Input Sheet'!$F$3:$F$1001,'Input Sheet'!$B$3:$B$1001,$H555,'Input Sheet'!$E$3:$E$1001,Q$4))</f>
        <v/>
      </c>
      <c r="R555" s="21" t="str">
        <f>IF(SUMIFS('Input Sheet'!$F$3:$F$1001,'Input Sheet'!$B$3:$B$1001,$H555,'Input Sheet'!$E$3:$E$1001,R$4)=0,"",SUMIFS('Input Sheet'!$F$3:$F$1001,'Input Sheet'!$B$3:$B$1001,$H555,'Input Sheet'!$E$3:$E$1001,R$4))</f>
        <v/>
      </c>
      <c r="S555" s="21" t="str">
        <f>IF(SUMIFS('Input Sheet'!$F$3:$F$1001,'Input Sheet'!$B$3:$B$1001,$H555,'Input Sheet'!$E$3:$E$1001,S$4)=0,"",SUMIFS('Input Sheet'!$F$3:$F$1001,'Input Sheet'!$B$3:$B$1001,$H555,'Input Sheet'!$E$3:$E$1001,S$4))</f>
        <v/>
      </c>
      <c r="T555" s="22">
        <v>550</v>
      </c>
    </row>
    <row r="556" spans="1:20" ht="14.25" customHeight="1" x14ac:dyDescent="0.3">
      <c r="A556" s="4" t="str">
        <f>IF('Input Sheet'!B553=0,"",'Input Sheet'!B553)</f>
        <v/>
      </c>
      <c r="B556" s="24" t="b">
        <f t="shared" si="526"/>
        <v>0</v>
      </c>
      <c r="C556" s="4">
        <f>SUMIF('Input Sheet'!B$3:B$1000,A556,'Input Sheet'!C$3:C$1000)</f>
        <v>0</v>
      </c>
      <c r="D556" s="4">
        <f>SUMIF('Input Sheet'!B$3:B$1000,A556,'Input Sheet'!D$3:D$1000)</f>
        <v>0</v>
      </c>
      <c r="E556" s="4" t="str">
        <f t="shared" ref="E556:F556" ca="1" si="573">IFERROR(RANK(K556,K$6:K$1004,1),"")</f>
        <v/>
      </c>
      <c r="F556" s="4" t="str">
        <f t="shared" ca="1" si="573"/>
        <v/>
      </c>
      <c r="G556" s="4" t="str">
        <f t="shared" ca="1" si="528"/>
        <v/>
      </c>
      <c r="H556" s="4" t="str">
        <f t="shared" si="529"/>
        <v/>
      </c>
      <c r="I556" s="4" t="str">
        <f t="shared" si="530"/>
        <v/>
      </c>
      <c r="J556" s="4" t="str">
        <f t="shared" si="531"/>
        <v/>
      </c>
      <c r="K556" s="25" t="str">
        <f t="shared" ca="1" si="532"/>
        <v/>
      </c>
      <c r="L556" s="21" t="str">
        <f t="shared" ca="1" si="533"/>
        <v/>
      </c>
      <c r="M556" s="21" t="str">
        <f>IF(SUMIFS('Input Sheet'!$F$3:$F$1001,'Input Sheet'!$B$3:$B$1001,$H556,'Input Sheet'!$E$3:$E$1001,M$4)=0,"",SUMIFS('Input Sheet'!$F$3:$F$1001,'Input Sheet'!$B$3:$B$1001,$H556,'Input Sheet'!$E$3:$E$1001,M$4))</f>
        <v/>
      </c>
      <c r="N556" s="21" t="str">
        <f>IF(SUMIFS('Input Sheet'!$F$3:$F$1001,'Input Sheet'!$B$3:$B$1001,$H556,'Input Sheet'!$E$3:$E$1001,N$4)=0,"",SUMIFS('Input Sheet'!$F$3:$F$1001,'Input Sheet'!$B$3:$B$1001,$H556,'Input Sheet'!$E$3:$E$1001,N$4))</f>
        <v/>
      </c>
      <c r="O556" s="21" t="str">
        <f>IF(SUMIFS('Input Sheet'!$F$3:$F$1001,'Input Sheet'!$B$3:$B$1001,$H556,'Input Sheet'!$E$3:$E$1001,O$4)=0,"",SUMIFS('Input Sheet'!$F$3:$F$1001,'Input Sheet'!$B$3:$B$1001,$H556,'Input Sheet'!$E$3:$E$1001,O$4))</f>
        <v/>
      </c>
      <c r="P556" s="21" t="str">
        <f>IF(SUMIFS('Input Sheet'!$F$3:$F$1001,'Input Sheet'!$B$3:$B$1001,$H556,'Input Sheet'!$E$3:$E$1001,P$4)=0,"",SUMIFS('Input Sheet'!$F$3:$F$1001,'Input Sheet'!$B$3:$B$1001,$H556,'Input Sheet'!$E$3:$E$1001,P$4))</f>
        <v/>
      </c>
      <c r="Q556" s="21" t="str">
        <f>IF(SUMIFS('Input Sheet'!$F$3:$F$1001,'Input Sheet'!$B$3:$B$1001,$H556,'Input Sheet'!$E$3:$E$1001,Q$4)=0,"",SUMIFS('Input Sheet'!$F$3:$F$1001,'Input Sheet'!$B$3:$B$1001,$H556,'Input Sheet'!$E$3:$E$1001,Q$4))</f>
        <v/>
      </c>
      <c r="R556" s="21" t="str">
        <f>IF(SUMIFS('Input Sheet'!$F$3:$F$1001,'Input Sheet'!$B$3:$B$1001,$H556,'Input Sheet'!$E$3:$E$1001,R$4)=0,"",SUMIFS('Input Sheet'!$F$3:$F$1001,'Input Sheet'!$B$3:$B$1001,$H556,'Input Sheet'!$E$3:$E$1001,R$4))</f>
        <v/>
      </c>
      <c r="S556" s="21" t="str">
        <f>IF(SUMIFS('Input Sheet'!$F$3:$F$1001,'Input Sheet'!$B$3:$B$1001,$H556,'Input Sheet'!$E$3:$E$1001,S$4)=0,"",SUMIFS('Input Sheet'!$F$3:$F$1001,'Input Sheet'!$B$3:$B$1001,$H556,'Input Sheet'!$E$3:$E$1001,S$4))</f>
        <v/>
      </c>
      <c r="T556" s="22">
        <v>551</v>
      </c>
    </row>
    <row r="557" spans="1:20" ht="14.25" customHeight="1" x14ac:dyDescent="0.3">
      <c r="A557" s="4" t="str">
        <f>IF('Input Sheet'!B554=0,"",'Input Sheet'!B554)</f>
        <v/>
      </c>
      <c r="B557" s="24" t="b">
        <f t="shared" si="526"/>
        <v>0</v>
      </c>
      <c r="C557" s="4">
        <f>SUMIF('Input Sheet'!B$3:B$1000,A557,'Input Sheet'!C$3:C$1000)</f>
        <v>0</v>
      </c>
      <c r="D557" s="4">
        <f>SUMIF('Input Sheet'!B$3:B$1000,A557,'Input Sheet'!D$3:D$1000)</f>
        <v>0</v>
      </c>
      <c r="E557" s="4" t="str">
        <f t="shared" ref="E557:F557" ca="1" si="574">IFERROR(RANK(K557,K$6:K$1004,1),"")</f>
        <v/>
      </c>
      <c r="F557" s="4" t="str">
        <f t="shared" ca="1" si="574"/>
        <v/>
      </c>
      <c r="G557" s="4" t="str">
        <f t="shared" ca="1" si="528"/>
        <v/>
      </c>
      <c r="H557" s="4" t="str">
        <f t="shared" si="529"/>
        <v/>
      </c>
      <c r="I557" s="4" t="str">
        <f t="shared" si="530"/>
        <v/>
      </c>
      <c r="J557" s="4" t="str">
        <f t="shared" si="531"/>
        <v/>
      </c>
      <c r="K557" s="25" t="str">
        <f t="shared" ca="1" si="532"/>
        <v/>
      </c>
      <c r="L557" s="21" t="str">
        <f t="shared" ca="1" si="533"/>
        <v/>
      </c>
      <c r="M557" s="21" t="str">
        <f>IF(SUMIFS('Input Sheet'!$F$3:$F$1001,'Input Sheet'!$B$3:$B$1001,$H557,'Input Sheet'!$E$3:$E$1001,M$4)=0,"",SUMIFS('Input Sheet'!$F$3:$F$1001,'Input Sheet'!$B$3:$B$1001,$H557,'Input Sheet'!$E$3:$E$1001,M$4))</f>
        <v/>
      </c>
      <c r="N557" s="21" t="str">
        <f>IF(SUMIFS('Input Sheet'!$F$3:$F$1001,'Input Sheet'!$B$3:$B$1001,$H557,'Input Sheet'!$E$3:$E$1001,N$4)=0,"",SUMIFS('Input Sheet'!$F$3:$F$1001,'Input Sheet'!$B$3:$B$1001,$H557,'Input Sheet'!$E$3:$E$1001,N$4))</f>
        <v/>
      </c>
      <c r="O557" s="21" t="str">
        <f>IF(SUMIFS('Input Sheet'!$F$3:$F$1001,'Input Sheet'!$B$3:$B$1001,$H557,'Input Sheet'!$E$3:$E$1001,O$4)=0,"",SUMIFS('Input Sheet'!$F$3:$F$1001,'Input Sheet'!$B$3:$B$1001,$H557,'Input Sheet'!$E$3:$E$1001,O$4))</f>
        <v/>
      </c>
      <c r="P557" s="21" t="str">
        <f>IF(SUMIFS('Input Sheet'!$F$3:$F$1001,'Input Sheet'!$B$3:$B$1001,$H557,'Input Sheet'!$E$3:$E$1001,P$4)=0,"",SUMIFS('Input Sheet'!$F$3:$F$1001,'Input Sheet'!$B$3:$B$1001,$H557,'Input Sheet'!$E$3:$E$1001,P$4))</f>
        <v/>
      </c>
      <c r="Q557" s="21" t="str">
        <f>IF(SUMIFS('Input Sheet'!$F$3:$F$1001,'Input Sheet'!$B$3:$B$1001,$H557,'Input Sheet'!$E$3:$E$1001,Q$4)=0,"",SUMIFS('Input Sheet'!$F$3:$F$1001,'Input Sheet'!$B$3:$B$1001,$H557,'Input Sheet'!$E$3:$E$1001,Q$4))</f>
        <v/>
      </c>
      <c r="R557" s="21" t="str">
        <f>IF(SUMIFS('Input Sheet'!$F$3:$F$1001,'Input Sheet'!$B$3:$B$1001,$H557,'Input Sheet'!$E$3:$E$1001,R$4)=0,"",SUMIFS('Input Sheet'!$F$3:$F$1001,'Input Sheet'!$B$3:$B$1001,$H557,'Input Sheet'!$E$3:$E$1001,R$4))</f>
        <v/>
      </c>
      <c r="S557" s="21" t="str">
        <f>IF(SUMIFS('Input Sheet'!$F$3:$F$1001,'Input Sheet'!$B$3:$B$1001,$H557,'Input Sheet'!$E$3:$E$1001,S$4)=0,"",SUMIFS('Input Sheet'!$F$3:$F$1001,'Input Sheet'!$B$3:$B$1001,$H557,'Input Sheet'!$E$3:$E$1001,S$4))</f>
        <v/>
      </c>
      <c r="T557" s="22">
        <v>552</v>
      </c>
    </row>
    <row r="558" spans="1:20" ht="14.25" customHeight="1" x14ac:dyDescent="0.3">
      <c r="A558" s="4" t="str">
        <f>IF('Input Sheet'!B555=0,"",'Input Sheet'!B555)</f>
        <v/>
      </c>
      <c r="B558" s="24" t="b">
        <f t="shared" si="526"/>
        <v>0</v>
      </c>
      <c r="C558" s="4">
        <f>SUMIF('Input Sheet'!B$3:B$1000,A558,'Input Sheet'!C$3:C$1000)</f>
        <v>0</v>
      </c>
      <c r="D558" s="4">
        <f>SUMIF('Input Sheet'!B$3:B$1000,A558,'Input Sheet'!D$3:D$1000)</f>
        <v>0</v>
      </c>
      <c r="E558" s="4" t="str">
        <f t="shared" ref="E558:F558" ca="1" si="575">IFERROR(RANK(K558,K$6:K$1004,1),"")</f>
        <v/>
      </c>
      <c r="F558" s="4" t="str">
        <f t="shared" ca="1" si="575"/>
        <v/>
      </c>
      <c r="G558" s="4" t="str">
        <f t="shared" ca="1" si="528"/>
        <v/>
      </c>
      <c r="H558" s="4" t="str">
        <f t="shared" si="529"/>
        <v/>
      </c>
      <c r="I558" s="4" t="str">
        <f t="shared" si="530"/>
        <v/>
      </c>
      <c r="J558" s="4" t="str">
        <f t="shared" si="531"/>
        <v/>
      </c>
      <c r="K558" s="25" t="str">
        <f t="shared" ca="1" si="532"/>
        <v/>
      </c>
      <c r="L558" s="21" t="str">
        <f t="shared" ca="1" si="533"/>
        <v/>
      </c>
      <c r="M558" s="21" t="str">
        <f>IF(SUMIFS('Input Sheet'!$F$3:$F$1001,'Input Sheet'!$B$3:$B$1001,$H558,'Input Sheet'!$E$3:$E$1001,M$4)=0,"",SUMIFS('Input Sheet'!$F$3:$F$1001,'Input Sheet'!$B$3:$B$1001,$H558,'Input Sheet'!$E$3:$E$1001,M$4))</f>
        <v/>
      </c>
      <c r="N558" s="21" t="str">
        <f>IF(SUMIFS('Input Sheet'!$F$3:$F$1001,'Input Sheet'!$B$3:$B$1001,$H558,'Input Sheet'!$E$3:$E$1001,N$4)=0,"",SUMIFS('Input Sheet'!$F$3:$F$1001,'Input Sheet'!$B$3:$B$1001,$H558,'Input Sheet'!$E$3:$E$1001,N$4))</f>
        <v/>
      </c>
      <c r="O558" s="21" t="str">
        <f>IF(SUMIFS('Input Sheet'!$F$3:$F$1001,'Input Sheet'!$B$3:$B$1001,$H558,'Input Sheet'!$E$3:$E$1001,O$4)=0,"",SUMIFS('Input Sheet'!$F$3:$F$1001,'Input Sheet'!$B$3:$B$1001,$H558,'Input Sheet'!$E$3:$E$1001,O$4))</f>
        <v/>
      </c>
      <c r="P558" s="21" t="str">
        <f>IF(SUMIFS('Input Sheet'!$F$3:$F$1001,'Input Sheet'!$B$3:$B$1001,$H558,'Input Sheet'!$E$3:$E$1001,P$4)=0,"",SUMIFS('Input Sheet'!$F$3:$F$1001,'Input Sheet'!$B$3:$B$1001,$H558,'Input Sheet'!$E$3:$E$1001,P$4))</f>
        <v/>
      </c>
      <c r="Q558" s="21" t="str">
        <f>IF(SUMIFS('Input Sheet'!$F$3:$F$1001,'Input Sheet'!$B$3:$B$1001,$H558,'Input Sheet'!$E$3:$E$1001,Q$4)=0,"",SUMIFS('Input Sheet'!$F$3:$F$1001,'Input Sheet'!$B$3:$B$1001,$H558,'Input Sheet'!$E$3:$E$1001,Q$4))</f>
        <v/>
      </c>
      <c r="R558" s="21" t="str">
        <f>IF(SUMIFS('Input Sheet'!$F$3:$F$1001,'Input Sheet'!$B$3:$B$1001,$H558,'Input Sheet'!$E$3:$E$1001,R$4)=0,"",SUMIFS('Input Sheet'!$F$3:$F$1001,'Input Sheet'!$B$3:$B$1001,$H558,'Input Sheet'!$E$3:$E$1001,R$4))</f>
        <v/>
      </c>
      <c r="S558" s="21" t="str">
        <f>IF(SUMIFS('Input Sheet'!$F$3:$F$1001,'Input Sheet'!$B$3:$B$1001,$H558,'Input Sheet'!$E$3:$E$1001,S$4)=0,"",SUMIFS('Input Sheet'!$F$3:$F$1001,'Input Sheet'!$B$3:$B$1001,$H558,'Input Sheet'!$E$3:$E$1001,S$4))</f>
        <v/>
      </c>
      <c r="T558" s="22">
        <v>553</v>
      </c>
    </row>
    <row r="559" spans="1:20" ht="14.25" customHeight="1" x14ac:dyDescent="0.3">
      <c r="A559" s="4" t="str">
        <f>IF('Input Sheet'!B556=0,"",'Input Sheet'!B556)</f>
        <v/>
      </c>
      <c r="B559" s="24" t="b">
        <f t="shared" si="526"/>
        <v>0</v>
      </c>
      <c r="C559" s="4">
        <f>SUMIF('Input Sheet'!B$3:B$1000,A559,'Input Sheet'!C$3:C$1000)</f>
        <v>0</v>
      </c>
      <c r="D559" s="4">
        <f>SUMIF('Input Sheet'!B$3:B$1000,A559,'Input Sheet'!D$3:D$1000)</f>
        <v>0</v>
      </c>
      <c r="E559" s="4" t="str">
        <f t="shared" ref="E559:F559" ca="1" si="576">IFERROR(RANK(K559,K$6:K$1004,1),"")</f>
        <v/>
      </c>
      <c r="F559" s="4" t="str">
        <f t="shared" ca="1" si="576"/>
        <v/>
      </c>
      <c r="G559" s="4" t="str">
        <f t="shared" ca="1" si="528"/>
        <v/>
      </c>
      <c r="H559" s="4" t="str">
        <f t="shared" si="529"/>
        <v/>
      </c>
      <c r="I559" s="4" t="str">
        <f t="shared" si="530"/>
        <v/>
      </c>
      <c r="J559" s="4" t="str">
        <f t="shared" si="531"/>
        <v/>
      </c>
      <c r="K559" s="25" t="str">
        <f t="shared" ca="1" si="532"/>
        <v/>
      </c>
      <c r="L559" s="21" t="str">
        <f t="shared" ca="1" si="533"/>
        <v/>
      </c>
      <c r="M559" s="21" t="str">
        <f>IF(SUMIFS('Input Sheet'!$F$3:$F$1001,'Input Sheet'!$B$3:$B$1001,$H559,'Input Sheet'!$E$3:$E$1001,M$4)=0,"",SUMIFS('Input Sheet'!$F$3:$F$1001,'Input Sheet'!$B$3:$B$1001,$H559,'Input Sheet'!$E$3:$E$1001,M$4))</f>
        <v/>
      </c>
      <c r="N559" s="21" t="str">
        <f>IF(SUMIFS('Input Sheet'!$F$3:$F$1001,'Input Sheet'!$B$3:$B$1001,$H559,'Input Sheet'!$E$3:$E$1001,N$4)=0,"",SUMIFS('Input Sheet'!$F$3:$F$1001,'Input Sheet'!$B$3:$B$1001,$H559,'Input Sheet'!$E$3:$E$1001,N$4))</f>
        <v/>
      </c>
      <c r="O559" s="21" t="str">
        <f>IF(SUMIFS('Input Sheet'!$F$3:$F$1001,'Input Sheet'!$B$3:$B$1001,$H559,'Input Sheet'!$E$3:$E$1001,O$4)=0,"",SUMIFS('Input Sheet'!$F$3:$F$1001,'Input Sheet'!$B$3:$B$1001,$H559,'Input Sheet'!$E$3:$E$1001,O$4))</f>
        <v/>
      </c>
      <c r="P559" s="21" t="str">
        <f>IF(SUMIFS('Input Sheet'!$F$3:$F$1001,'Input Sheet'!$B$3:$B$1001,$H559,'Input Sheet'!$E$3:$E$1001,P$4)=0,"",SUMIFS('Input Sheet'!$F$3:$F$1001,'Input Sheet'!$B$3:$B$1001,$H559,'Input Sheet'!$E$3:$E$1001,P$4))</f>
        <v/>
      </c>
      <c r="Q559" s="21" t="str">
        <f>IF(SUMIFS('Input Sheet'!$F$3:$F$1001,'Input Sheet'!$B$3:$B$1001,$H559,'Input Sheet'!$E$3:$E$1001,Q$4)=0,"",SUMIFS('Input Sheet'!$F$3:$F$1001,'Input Sheet'!$B$3:$B$1001,$H559,'Input Sheet'!$E$3:$E$1001,Q$4))</f>
        <v/>
      </c>
      <c r="R559" s="21" t="str">
        <f>IF(SUMIFS('Input Sheet'!$F$3:$F$1001,'Input Sheet'!$B$3:$B$1001,$H559,'Input Sheet'!$E$3:$E$1001,R$4)=0,"",SUMIFS('Input Sheet'!$F$3:$F$1001,'Input Sheet'!$B$3:$B$1001,$H559,'Input Sheet'!$E$3:$E$1001,R$4))</f>
        <v/>
      </c>
      <c r="S559" s="21" t="str">
        <f>IF(SUMIFS('Input Sheet'!$F$3:$F$1001,'Input Sheet'!$B$3:$B$1001,$H559,'Input Sheet'!$E$3:$E$1001,S$4)=0,"",SUMIFS('Input Sheet'!$F$3:$F$1001,'Input Sheet'!$B$3:$B$1001,$H559,'Input Sheet'!$E$3:$E$1001,S$4))</f>
        <v/>
      </c>
      <c r="T559" s="22">
        <v>554</v>
      </c>
    </row>
    <row r="560" spans="1:20" ht="14.25" customHeight="1" x14ac:dyDescent="0.3">
      <c r="A560" s="4" t="str">
        <f>IF('Input Sheet'!B557=0,"",'Input Sheet'!B557)</f>
        <v/>
      </c>
      <c r="B560" s="24" t="b">
        <f t="shared" si="526"/>
        <v>0</v>
      </c>
      <c r="C560" s="4">
        <f>SUMIF('Input Sheet'!B$3:B$1000,A560,'Input Sheet'!C$3:C$1000)</f>
        <v>0</v>
      </c>
      <c r="D560" s="4">
        <f>SUMIF('Input Sheet'!B$3:B$1000,A560,'Input Sheet'!D$3:D$1000)</f>
        <v>0</v>
      </c>
      <c r="E560" s="4" t="str">
        <f t="shared" ref="E560:F560" ca="1" si="577">IFERROR(RANK(K560,K$6:K$1004,1),"")</f>
        <v/>
      </c>
      <c r="F560" s="4" t="str">
        <f t="shared" ca="1" si="577"/>
        <v/>
      </c>
      <c r="G560" s="4" t="str">
        <f t="shared" ca="1" si="528"/>
        <v/>
      </c>
      <c r="H560" s="4" t="str">
        <f t="shared" si="529"/>
        <v/>
      </c>
      <c r="I560" s="4" t="str">
        <f t="shared" si="530"/>
        <v/>
      </c>
      <c r="J560" s="4" t="str">
        <f t="shared" si="531"/>
        <v/>
      </c>
      <c r="K560" s="25" t="str">
        <f t="shared" ca="1" si="532"/>
        <v/>
      </c>
      <c r="L560" s="21" t="str">
        <f t="shared" ca="1" si="533"/>
        <v/>
      </c>
      <c r="M560" s="21" t="str">
        <f>IF(SUMIFS('Input Sheet'!$F$3:$F$1001,'Input Sheet'!$B$3:$B$1001,$H560,'Input Sheet'!$E$3:$E$1001,M$4)=0,"",SUMIFS('Input Sheet'!$F$3:$F$1001,'Input Sheet'!$B$3:$B$1001,$H560,'Input Sheet'!$E$3:$E$1001,M$4))</f>
        <v/>
      </c>
      <c r="N560" s="21" t="str">
        <f>IF(SUMIFS('Input Sheet'!$F$3:$F$1001,'Input Sheet'!$B$3:$B$1001,$H560,'Input Sheet'!$E$3:$E$1001,N$4)=0,"",SUMIFS('Input Sheet'!$F$3:$F$1001,'Input Sheet'!$B$3:$B$1001,$H560,'Input Sheet'!$E$3:$E$1001,N$4))</f>
        <v/>
      </c>
      <c r="O560" s="21" t="str">
        <f>IF(SUMIFS('Input Sheet'!$F$3:$F$1001,'Input Sheet'!$B$3:$B$1001,$H560,'Input Sheet'!$E$3:$E$1001,O$4)=0,"",SUMIFS('Input Sheet'!$F$3:$F$1001,'Input Sheet'!$B$3:$B$1001,$H560,'Input Sheet'!$E$3:$E$1001,O$4))</f>
        <v/>
      </c>
      <c r="P560" s="21" t="str">
        <f>IF(SUMIFS('Input Sheet'!$F$3:$F$1001,'Input Sheet'!$B$3:$B$1001,$H560,'Input Sheet'!$E$3:$E$1001,P$4)=0,"",SUMIFS('Input Sheet'!$F$3:$F$1001,'Input Sheet'!$B$3:$B$1001,$H560,'Input Sheet'!$E$3:$E$1001,P$4))</f>
        <v/>
      </c>
      <c r="Q560" s="21" t="str">
        <f>IF(SUMIFS('Input Sheet'!$F$3:$F$1001,'Input Sheet'!$B$3:$B$1001,$H560,'Input Sheet'!$E$3:$E$1001,Q$4)=0,"",SUMIFS('Input Sheet'!$F$3:$F$1001,'Input Sheet'!$B$3:$B$1001,$H560,'Input Sheet'!$E$3:$E$1001,Q$4))</f>
        <v/>
      </c>
      <c r="R560" s="21" t="str">
        <f>IF(SUMIFS('Input Sheet'!$F$3:$F$1001,'Input Sheet'!$B$3:$B$1001,$H560,'Input Sheet'!$E$3:$E$1001,R$4)=0,"",SUMIFS('Input Sheet'!$F$3:$F$1001,'Input Sheet'!$B$3:$B$1001,$H560,'Input Sheet'!$E$3:$E$1001,R$4))</f>
        <v/>
      </c>
      <c r="S560" s="21" t="str">
        <f>IF(SUMIFS('Input Sheet'!$F$3:$F$1001,'Input Sheet'!$B$3:$B$1001,$H560,'Input Sheet'!$E$3:$E$1001,S$4)=0,"",SUMIFS('Input Sheet'!$F$3:$F$1001,'Input Sheet'!$B$3:$B$1001,$H560,'Input Sheet'!$E$3:$E$1001,S$4))</f>
        <v/>
      </c>
      <c r="T560" s="22">
        <v>555</v>
      </c>
    </row>
    <row r="561" spans="1:20" ht="14.25" customHeight="1" x14ac:dyDescent="0.3">
      <c r="A561" s="4" t="str">
        <f>IF('Input Sheet'!B558=0,"",'Input Sheet'!B558)</f>
        <v/>
      </c>
      <c r="B561" s="24" t="b">
        <f t="shared" si="526"/>
        <v>0</v>
      </c>
      <c r="C561" s="4">
        <f>SUMIF('Input Sheet'!B$3:B$1000,A561,'Input Sheet'!C$3:C$1000)</f>
        <v>0</v>
      </c>
      <c r="D561" s="4">
        <f>SUMIF('Input Sheet'!B$3:B$1000,A561,'Input Sheet'!D$3:D$1000)</f>
        <v>0</v>
      </c>
      <c r="E561" s="4" t="str">
        <f t="shared" ref="E561:F561" ca="1" si="578">IFERROR(RANK(K561,K$6:K$1004,1),"")</f>
        <v/>
      </c>
      <c r="F561" s="4" t="str">
        <f t="shared" ca="1" si="578"/>
        <v/>
      </c>
      <c r="G561" s="4" t="str">
        <f t="shared" ca="1" si="528"/>
        <v/>
      </c>
      <c r="H561" s="4" t="str">
        <f t="shared" si="529"/>
        <v/>
      </c>
      <c r="I561" s="4" t="str">
        <f t="shared" si="530"/>
        <v/>
      </c>
      <c r="J561" s="4" t="str">
        <f t="shared" si="531"/>
        <v/>
      </c>
      <c r="K561" s="25" t="str">
        <f t="shared" ca="1" si="532"/>
        <v/>
      </c>
      <c r="L561" s="21" t="str">
        <f t="shared" ca="1" si="533"/>
        <v/>
      </c>
      <c r="M561" s="21" t="str">
        <f>IF(SUMIFS('Input Sheet'!$F$3:$F$1001,'Input Sheet'!$B$3:$B$1001,$H561,'Input Sheet'!$E$3:$E$1001,M$4)=0,"",SUMIFS('Input Sheet'!$F$3:$F$1001,'Input Sheet'!$B$3:$B$1001,$H561,'Input Sheet'!$E$3:$E$1001,M$4))</f>
        <v/>
      </c>
      <c r="N561" s="21" t="str">
        <f>IF(SUMIFS('Input Sheet'!$F$3:$F$1001,'Input Sheet'!$B$3:$B$1001,$H561,'Input Sheet'!$E$3:$E$1001,N$4)=0,"",SUMIFS('Input Sheet'!$F$3:$F$1001,'Input Sheet'!$B$3:$B$1001,$H561,'Input Sheet'!$E$3:$E$1001,N$4))</f>
        <v/>
      </c>
      <c r="O561" s="21" t="str">
        <f>IF(SUMIFS('Input Sheet'!$F$3:$F$1001,'Input Sheet'!$B$3:$B$1001,$H561,'Input Sheet'!$E$3:$E$1001,O$4)=0,"",SUMIFS('Input Sheet'!$F$3:$F$1001,'Input Sheet'!$B$3:$B$1001,$H561,'Input Sheet'!$E$3:$E$1001,O$4))</f>
        <v/>
      </c>
      <c r="P561" s="21" t="str">
        <f>IF(SUMIFS('Input Sheet'!$F$3:$F$1001,'Input Sheet'!$B$3:$B$1001,$H561,'Input Sheet'!$E$3:$E$1001,P$4)=0,"",SUMIFS('Input Sheet'!$F$3:$F$1001,'Input Sheet'!$B$3:$B$1001,$H561,'Input Sheet'!$E$3:$E$1001,P$4))</f>
        <v/>
      </c>
      <c r="Q561" s="21" t="str">
        <f>IF(SUMIFS('Input Sheet'!$F$3:$F$1001,'Input Sheet'!$B$3:$B$1001,$H561,'Input Sheet'!$E$3:$E$1001,Q$4)=0,"",SUMIFS('Input Sheet'!$F$3:$F$1001,'Input Sheet'!$B$3:$B$1001,$H561,'Input Sheet'!$E$3:$E$1001,Q$4))</f>
        <v/>
      </c>
      <c r="R561" s="21" t="str">
        <f>IF(SUMIFS('Input Sheet'!$F$3:$F$1001,'Input Sheet'!$B$3:$B$1001,$H561,'Input Sheet'!$E$3:$E$1001,R$4)=0,"",SUMIFS('Input Sheet'!$F$3:$F$1001,'Input Sheet'!$B$3:$B$1001,$H561,'Input Sheet'!$E$3:$E$1001,R$4))</f>
        <v/>
      </c>
      <c r="S561" s="21" t="str">
        <f>IF(SUMIFS('Input Sheet'!$F$3:$F$1001,'Input Sheet'!$B$3:$B$1001,$H561,'Input Sheet'!$E$3:$E$1001,S$4)=0,"",SUMIFS('Input Sheet'!$F$3:$F$1001,'Input Sheet'!$B$3:$B$1001,$H561,'Input Sheet'!$E$3:$E$1001,S$4))</f>
        <v/>
      </c>
      <c r="T561" s="22">
        <v>556</v>
      </c>
    </row>
    <row r="562" spans="1:20" ht="14.25" customHeight="1" x14ac:dyDescent="0.3">
      <c r="A562" s="4" t="str">
        <f>IF('Input Sheet'!B559=0,"",'Input Sheet'!B559)</f>
        <v/>
      </c>
      <c r="B562" s="24" t="b">
        <f t="shared" si="526"/>
        <v>0</v>
      </c>
      <c r="C562" s="4">
        <f>SUMIF('Input Sheet'!B$3:B$1000,A562,'Input Sheet'!C$3:C$1000)</f>
        <v>0</v>
      </c>
      <c r="D562" s="4">
        <f>SUMIF('Input Sheet'!B$3:B$1000,A562,'Input Sheet'!D$3:D$1000)</f>
        <v>0</v>
      </c>
      <c r="E562" s="4" t="str">
        <f t="shared" ref="E562:F562" ca="1" si="579">IFERROR(RANK(K562,K$6:K$1004,1),"")</f>
        <v/>
      </c>
      <c r="F562" s="4" t="str">
        <f t="shared" ca="1" si="579"/>
        <v/>
      </c>
      <c r="G562" s="4" t="str">
        <f t="shared" ca="1" si="528"/>
        <v/>
      </c>
      <c r="H562" s="4" t="str">
        <f t="shared" si="529"/>
        <v/>
      </c>
      <c r="I562" s="4" t="str">
        <f t="shared" si="530"/>
        <v/>
      </c>
      <c r="J562" s="4" t="str">
        <f t="shared" si="531"/>
        <v/>
      </c>
      <c r="K562" s="25" t="str">
        <f t="shared" ca="1" si="532"/>
        <v/>
      </c>
      <c r="L562" s="21" t="str">
        <f t="shared" ca="1" si="533"/>
        <v/>
      </c>
      <c r="M562" s="21" t="str">
        <f>IF(SUMIFS('Input Sheet'!$F$3:$F$1001,'Input Sheet'!$B$3:$B$1001,$H562,'Input Sheet'!$E$3:$E$1001,M$4)=0,"",SUMIFS('Input Sheet'!$F$3:$F$1001,'Input Sheet'!$B$3:$B$1001,$H562,'Input Sheet'!$E$3:$E$1001,M$4))</f>
        <v/>
      </c>
      <c r="N562" s="21" t="str">
        <f>IF(SUMIFS('Input Sheet'!$F$3:$F$1001,'Input Sheet'!$B$3:$B$1001,$H562,'Input Sheet'!$E$3:$E$1001,N$4)=0,"",SUMIFS('Input Sheet'!$F$3:$F$1001,'Input Sheet'!$B$3:$B$1001,$H562,'Input Sheet'!$E$3:$E$1001,N$4))</f>
        <v/>
      </c>
      <c r="O562" s="21" t="str">
        <f>IF(SUMIFS('Input Sheet'!$F$3:$F$1001,'Input Sheet'!$B$3:$B$1001,$H562,'Input Sheet'!$E$3:$E$1001,O$4)=0,"",SUMIFS('Input Sheet'!$F$3:$F$1001,'Input Sheet'!$B$3:$B$1001,$H562,'Input Sheet'!$E$3:$E$1001,O$4))</f>
        <v/>
      </c>
      <c r="P562" s="21" t="str">
        <f>IF(SUMIFS('Input Sheet'!$F$3:$F$1001,'Input Sheet'!$B$3:$B$1001,$H562,'Input Sheet'!$E$3:$E$1001,P$4)=0,"",SUMIFS('Input Sheet'!$F$3:$F$1001,'Input Sheet'!$B$3:$B$1001,$H562,'Input Sheet'!$E$3:$E$1001,P$4))</f>
        <v/>
      </c>
      <c r="Q562" s="21" t="str">
        <f>IF(SUMIFS('Input Sheet'!$F$3:$F$1001,'Input Sheet'!$B$3:$B$1001,$H562,'Input Sheet'!$E$3:$E$1001,Q$4)=0,"",SUMIFS('Input Sheet'!$F$3:$F$1001,'Input Sheet'!$B$3:$B$1001,$H562,'Input Sheet'!$E$3:$E$1001,Q$4))</f>
        <v/>
      </c>
      <c r="R562" s="21" t="str">
        <f>IF(SUMIFS('Input Sheet'!$F$3:$F$1001,'Input Sheet'!$B$3:$B$1001,$H562,'Input Sheet'!$E$3:$E$1001,R$4)=0,"",SUMIFS('Input Sheet'!$F$3:$F$1001,'Input Sheet'!$B$3:$B$1001,$H562,'Input Sheet'!$E$3:$E$1001,R$4))</f>
        <v/>
      </c>
      <c r="S562" s="21" t="str">
        <f>IF(SUMIFS('Input Sheet'!$F$3:$F$1001,'Input Sheet'!$B$3:$B$1001,$H562,'Input Sheet'!$E$3:$E$1001,S$4)=0,"",SUMIFS('Input Sheet'!$F$3:$F$1001,'Input Sheet'!$B$3:$B$1001,$H562,'Input Sheet'!$E$3:$E$1001,S$4))</f>
        <v/>
      </c>
      <c r="T562" s="22">
        <v>557</v>
      </c>
    </row>
    <row r="563" spans="1:20" ht="14.25" customHeight="1" x14ac:dyDescent="0.3">
      <c r="A563" s="4" t="str">
        <f>IF('Input Sheet'!B560=0,"",'Input Sheet'!B560)</f>
        <v/>
      </c>
      <c r="B563" s="24" t="b">
        <f t="shared" si="526"/>
        <v>0</v>
      </c>
      <c r="C563" s="4">
        <f>SUMIF('Input Sheet'!B$3:B$1000,A563,'Input Sheet'!C$3:C$1000)</f>
        <v>0</v>
      </c>
      <c r="D563" s="4">
        <f>SUMIF('Input Sheet'!B$3:B$1000,A563,'Input Sheet'!D$3:D$1000)</f>
        <v>0</v>
      </c>
      <c r="E563" s="4" t="str">
        <f t="shared" ref="E563:F563" ca="1" si="580">IFERROR(RANK(K563,K$6:K$1004,1),"")</f>
        <v/>
      </c>
      <c r="F563" s="4" t="str">
        <f t="shared" ca="1" si="580"/>
        <v/>
      </c>
      <c r="G563" s="4" t="str">
        <f t="shared" ca="1" si="528"/>
        <v/>
      </c>
      <c r="H563" s="4" t="str">
        <f t="shared" si="529"/>
        <v/>
      </c>
      <c r="I563" s="4" t="str">
        <f t="shared" si="530"/>
        <v/>
      </c>
      <c r="J563" s="4" t="str">
        <f t="shared" si="531"/>
        <v/>
      </c>
      <c r="K563" s="25" t="str">
        <f t="shared" ca="1" si="532"/>
        <v/>
      </c>
      <c r="L563" s="21" t="str">
        <f t="shared" ca="1" si="533"/>
        <v/>
      </c>
      <c r="M563" s="21" t="str">
        <f>IF(SUMIFS('Input Sheet'!$F$3:$F$1001,'Input Sheet'!$B$3:$B$1001,$H563,'Input Sheet'!$E$3:$E$1001,M$4)=0,"",SUMIFS('Input Sheet'!$F$3:$F$1001,'Input Sheet'!$B$3:$B$1001,$H563,'Input Sheet'!$E$3:$E$1001,M$4))</f>
        <v/>
      </c>
      <c r="N563" s="21" t="str">
        <f>IF(SUMIFS('Input Sheet'!$F$3:$F$1001,'Input Sheet'!$B$3:$B$1001,$H563,'Input Sheet'!$E$3:$E$1001,N$4)=0,"",SUMIFS('Input Sheet'!$F$3:$F$1001,'Input Sheet'!$B$3:$B$1001,$H563,'Input Sheet'!$E$3:$E$1001,N$4))</f>
        <v/>
      </c>
      <c r="O563" s="21" t="str">
        <f>IF(SUMIFS('Input Sheet'!$F$3:$F$1001,'Input Sheet'!$B$3:$B$1001,$H563,'Input Sheet'!$E$3:$E$1001,O$4)=0,"",SUMIFS('Input Sheet'!$F$3:$F$1001,'Input Sheet'!$B$3:$B$1001,$H563,'Input Sheet'!$E$3:$E$1001,O$4))</f>
        <v/>
      </c>
      <c r="P563" s="21" t="str">
        <f>IF(SUMIFS('Input Sheet'!$F$3:$F$1001,'Input Sheet'!$B$3:$B$1001,$H563,'Input Sheet'!$E$3:$E$1001,P$4)=0,"",SUMIFS('Input Sheet'!$F$3:$F$1001,'Input Sheet'!$B$3:$B$1001,$H563,'Input Sheet'!$E$3:$E$1001,P$4))</f>
        <v/>
      </c>
      <c r="Q563" s="21" t="str">
        <f>IF(SUMIFS('Input Sheet'!$F$3:$F$1001,'Input Sheet'!$B$3:$B$1001,$H563,'Input Sheet'!$E$3:$E$1001,Q$4)=0,"",SUMIFS('Input Sheet'!$F$3:$F$1001,'Input Sheet'!$B$3:$B$1001,$H563,'Input Sheet'!$E$3:$E$1001,Q$4))</f>
        <v/>
      </c>
      <c r="R563" s="21" t="str">
        <f>IF(SUMIFS('Input Sheet'!$F$3:$F$1001,'Input Sheet'!$B$3:$B$1001,$H563,'Input Sheet'!$E$3:$E$1001,R$4)=0,"",SUMIFS('Input Sheet'!$F$3:$F$1001,'Input Sheet'!$B$3:$B$1001,$H563,'Input Sheet'!$E$3:$E$1001,R$4))</f>
        <v/>
      </c>
      <c r="S563" s="21" t="str">
        <f>IF(SUMIFS('Input Sheet'!$F$3:$F$1001,'Input Sheet'!$B$3:$B$1001,$H563,'Input Sheet'!$E$3:$E$1001,S$4)=0,"",SUMIFS('Input Sheet'!$F$3:$F$1001,'Input Sheet'!$B$3:$B$1001,$H563,'Input Sheet'!$E$3:$E$1001,S$4))</f>
        <v/>
      </c>
      <c r="T563" s="22">
        <v>558</v>
      </c>
    </row>
    <row r="564" spans="1:20" ht="14.25" customHeight="1" x14ac:dyDescent="0.3">
      <c r="A564" s="4" t="str">
        <f>IF('Input Sheet'!B561=0,"",'Input Sheet'!B561)</f>
        <v/>
      </c>
      <c r="B564" s="24" t="b">
        <f t="shared" si="526"/>
        <v>0</v>
      </c>
      <c r="C564" s="4">
        <f>SUMIF('Input Sheet'!B$3:B$1000,A564,'Input Sheet'!C$3:C$1000)</f>
        <v>0</v>
      </c>
      <c r="D564" s="4">
        <f>SUMIF('Input Sheet'!B$3:B$1000,A564,'Input Sheet'!D$3:D$1000)</f>
        <v>0</v>
      </c>
      <c r="E564" s="4" t="str">
        <f t="shared" ref="E564:F564" ca="1" si="581">IFERROR(RANK(K564,K$6:K$1004,1),"")</f>
        <v/>
      </c>
      <c r="F564" s="4" t="str">
        <f t="shared" ca="1" si="581"/>
        <v/>
      </c>
      <c r="G564" s="4" t="str">
        <f t="shared" ca="1" si="528"/>
        <v/>
      </c>
      <c r="H564" s="4" t="str">
        <f t="shared" si="529"/>
        <v/>
      </c>
      <c r="I564" s="4" t="str">
        <f t="shared" si="530"/>
        <v/>
      </c>
      <c r="J564" s="4" t="str">
        <f t="shared" si="531"/>
        <v/>
      </c>
      <c r="K564" s="25" t="str">
        <f t="shared" ca="1" si="532"/>
        <v/>
      </c>
      <c r="L564" s="21" t="str">
        <f t="shared" ca="1" si="533"/>
        <v/>
      </c>
      <c r="M564" s="21" t="str">
        <f>IF(SUMIFS('Input Sheet'!$F$3:$F$1001,'Input Sheet'!$B$3:$B$1001,$H564,'Input Sheet'!$E$3:$E$1001,M$4)=0,"",SUMIFS('Input Sheet'!$F$3:$F$1001,'Input Sheet'!$B$3:$B$1001,$H564,'Input Sheet'!$E$3:$E$1001,M$4))</f>
        <v/>
      </c>
      <c r="N564" s="21" t="str">
        <f>IF(SUMIFS('Input Sheet'!$F$3:$F$1001,'Input Sheet'!$B$3:$B$1001,$H564,'Input Sheet'!$E$3:$E$1001,N$4)=0,"",SUMIFS('Input Sheet'!$F$3:$F$1001,'Input Sheet'!$B$3:$B$1001,$H564,'Input Sheet'!$E$3:$E$1001,N$4))</f>
        <v/>
      </c>
      <c r="O564" s="21" t="str">
        <f>IF(SUMIFS('Input Sheet'!$F$3:$F$1001,'Input Sheet'!$B$3:$B$1001,$H564,'Input Sheet'!$E$3:$E$1001,O$4)=0,"",SUMIFS('Input Sheet'!$F$3:$F$1001,'Input Sheet'!$B$3:$B$1001,$H564,'Input Sheet'!$E$3:$E$1001,O$4))</f>
        <v/>
      </c>
      <c r="P564" s="21" t="str">
        <f>IF(SUMIFS('Input Sheet'!$F$3:$F$1001,'Input Sheet'!$B$3:$B$1001,$H564,'Input Sheet'!$E$3:$E$1001,P$4)=0,"",SUMIFS('Input Sheet'!$F$3:$F$1001,'Input Sheet'!$B$3:$B$1001,$H564,'Input Sheet'!$E$3:$E$1001,P$4))</f>
        <v/>
      </c>
      <c r="Q564" s="21" t="str">
        <f>IF(SUMIFS('Input Sheet'!$F$3:$F$1001,'Input Sheet'!$B$3:$B$1001,$H564,'Input Sheet'!$E$3:$E$1001,Q$4)=0,"",SUMIFS('Input Sheet'!$F$3:$F$1001,'Input Sheet'!$B$3:$B$1001,$H564,'Input Sheet'!$E$3:$E$1001,Q$4))</f>
        <v/>
      </c>
      <c r="R564" s="21" t="str">
        <f>IF(SUMIFS('Input Sheet'!$F$3:$F$1001,'Input Sheet'!$B$3:$B$1001,$H564,'Input Sheet'!$E$3:$E$1001,R$4)=0,"",SUMIFS('Input Sheet'!$F$3:$F$1001,'Input Sheet'!$B$3:$B$1001,$H564,'Input Sheet'!$E$3:$E$1001,R$4))</f>
        <v/>
      </c>
      <c r="S564" s="21" t="str">
        <f>IF(SUMIFS('Input Sheet'!$F$3:$F$1001,'Input Sheet'!$B$3:$B$1001,$H564,'Input Sheet'!$E$3:$E$1001,S$4)=0,"",SUMIFS('Input Sheet'!$F$3:$F$1001,'Input Sheet'!$B$3:$B$1001,$H564,'Input Sheet'!$E$3:$E$1001,S$4))</f>
        <v/>
      </c>
      <c r="T564" s="22">
        <v>559</v>
      </c>
    </row>
    <row r="565" spans="1:20" ht="14.25" customHeight="1" x14ac:dyDescent="0.3">
      <c r="A565" s="4" t="str">
        <f>IF('Input Sheet'!B562=0,"",'Input Sheet'!B562)</f>
        <v/>
      </c>
      <c r="B565" s="24" t="b">
        <f t="shared" si="526"/>
        <v>0</v>
      </c>
      <c r="C565" s="4">
        <f>SUMIF('Input Sheet'!B$3:B$1000,A565,'Input Sheet'!C$3:C$1000)</f>
        <v>0</v>
      </c>
      <c r="D565" s="4">
        <f>SUMIF('Input Sheet'!B$3:B$1000,A565,'Input Sheet'!D$3:D$1000)</f>
        <v>0</v>
      </c>
      <c r="E565" s="4" t="str">
        <f t="shared" ref="E565:F565" ca="1" si="582">IFERROR(RANK(K565,K$6:K$1004,1),"")</f>
        <v/>
      </c>
      <c r="F565" s="4" t="str">
        <f t="shared" ca="1" si="582"/>
        <v/>
      </c>
      <c r="G565" s="4" t="str">
        <f t="shared" ca="1" si="528"/>
        <v/>
      </c>
      <c r="H565" s="4" t="str">
        <f t="shared" si="529"/>
        <v/>
      </c>
      <c r="I565" s="4" t="str">
        <f t="shared" si="530"/>
        <v/>
      </c>
      <c r="J565" s="4" t="str">
        <f t="shared" si="531"/>
        <v/>
      </c>
      <c r="K565" s="25" t="str">
        <f t="shared" ca="1" si="532"/>
        <v/>
      </c>
      <c r="L565" s="21" t="str">
        <f t="shared" ca="1" si="533"/>
        <v/>
      </c>
      <c r="M565" s="21" t="str">
        <f>IF(SUMIFS('Input Sheet'!$F$3:$F$1001,'Input Sheet'!$B$3:$B$1001,$H565,'Input Sheet'!$E$3:$E$1001,M$4)=0,"",SUMIFS('Input Sheet'!$F$3:$F$1001,'Input Sheet'!$B$3:$B$1001,$H565,'Input Sheet'!$E$3:$E$1001,M$4))</f>
        <v/>
      </c>
      <c r="N565" s="21" t="str">
        <f>IF(SUMIFS('Input Sheet'!$F$3:$F$1001,'Input Sheet'!$B$3:$B$1001,$H565,'Input Sheet'!$E$3:$E$1001,N$4)=0,"",SUMIFS('Input Sheet'!$F$3:$F$1001,'Input Sheet'!$B$3:$B$1001,$H565,'Input Sheet'!$E$3:$E$1001,N$4))</f>
        <v/>
      </c>
      <c r="O565" s="21" t="str">
        <f>IF(SUMIFS('Input Sheet'!$F$3:$F$1001,'Input Sheet'!$B$3:$B$1001,$H565,'Input Sheet'!$E$3:$E$1001,O$4)=0,"",SUMIFS('Input Sheet'!$F$3:$F$1001,'Input Sheet'!$B$3:$B$1001,$H565,'Input Sheet'!$E$3:$E$1001,O$4))</f>
        <v/>
      </c>
      <c r="P565" s="21" t="str">
        <f>IF(SUMIFS('Input Sheet'!$F$3:$F$1001,'Input Sheet'!$B$3:$B$1001,$H565,'Input Sheet'!$E$3:$E$1001,P$4)=0,"",SUMIFS('Input Sheet'!$F$3:$F$1001,'Input Sheet'!$B$3:$B$1001,$H565,'Input Sheet'!$E$3:$E$1001,P$4))</f>
        <v/>
      </c>
      <c r="Q565" s="21" t="str">
        <f>IF(SUMIFS('Input Sheet'!$F$3:$F$1001,'Input Sheet'!$B$3:$B$1001,$H565,'Input Sheet'!$E$3:$E$1001,Q$4)=0,"",SUMIFS('Input Sheet'!$F$3:$F$1001,'Input Sheet'!$B$3:$B$1001,$H565,'Input Sheet'!$E$3:$E$1001,Q$4))</f>
        <v/>
      </c>
      <c r="R565" s="21" t="str">
        <f>IF(SUMIFS('Input Sheet'!$F$3:$F$1001,'Input Sheet'!$B$3:$B$1001,$H565,'Input Sheet'!$E$3:$E$1001,R$4)=0,"",SUMIFS('Input Sheet'!$F$3:$F$1001,'Input Sheet'!$B$3:$B$1001,$H565,'Input Sheet'!$E$3:$E$1001,R$4))</f>
        <v/>
      </c>
      <c r="S565" s="21" t="str">
        <f>IF(SUMIFS('Input Sheet'!$F$3:$F$1001,'Input Sheet'!$B$3:$B$1001,$H565,'Input Sheet'!$E$3:$E$1001,S$4)=0,"",SUMIFS('Input Sheet'!$F$3:$F$1001,'Input Sheet'!$B$3:$B$1001,$H565,'Input Sheet'!$E$3:$E$1001,S$4))</f>
        <v/>
      </c>
      <c r="T565" s="22">
        <v>560</v>
      </c>
    </row>
    <row r="566" spans="1:20" ht="14.25" customHeight="1" x14ac:dyDescent="0.3">
      <c r="A566" s="4" t="str">
        <f>IF('Input Sheet'!B563=0,"",'Input Sheet'!B563)</f>
        <v/>
      </c>
      <c r="B566" s="24" t="b">
        <f t="shared" si="526"/>
        <v>0</v>
      </c>
      <c r="C566" s="4">
        <f>SUMIF('Input Sheet'!B$3:B$1000,A566,'Input Sheet'!C$3:C$1000)</f>
        <v>0</v>
      </c>
      <c r="D566" s="4">
        <f>SUMIF('Input Sheet'!B$3:B$1000,A566,'Input Sheet'!D$3:D$1000)</f>
        <v>0</v>
      </c>
      <c r="E566" s="4" t="str">
        <f t="shared" ref="E566:F566" ca="1" si="583">IFERROR(RANK(K566,K$6:K$1004,1),"")</f>
        <v/>
      </c>
      <c r="F566" s="4" t="str">
        <f t="shared" ca="1" si="583"/>
        <v/>
      </c>
      <c r="G566" s="4" t="str">
        <f t="shared" ca="1" si="528"/>
        <v/>
      </c>
      <c r="H566" s="4" t="str">
        <f t="shared" si="529"/>
        <v/>
      </c>
      <c r="I566" s="4" t="str">
        <f t="shared" si="530"/>
        <v/>
      </c>
      <c r="J566" s="4" t="str">
        <f t="shared" si="531"/>
        <v/>
      </c>
      <c r="K566" s="25" t="str">
        <f t="shared" ca="1" si="532"/>
        <v/>
      </c>
      <c r="L566" s="21" t="str">
        <f t="shared" ca="1" si="533"/>
        <v/>
      </c>
      <c r="M566" s="21" t="str">
        <f>IF(SUMIFS('Input Sheet'!$F$3:$F$1001,'Input Sheet'!$B$3:$B$1001,$H566,'Input Sheet'!$E$3:$E$1001,M$4)=0,"",SUMIFS('Input Sheet'!$F$3:$F$1001,'Input Sheet'!$B$3:$B$1001,$H566,'Input Sheet'!$E$3:$E$1001,M$4))</f>
        <v/>
      </c>
      <c r="N566" s="21" t="str">
        <f>IF(SUMIFS('Input Sheet'!$F$3:$F$1001,'Input Sheet'!$B$3:$B$1001,$H566,'Input Sheet'!$E$3:$E$1001,N$4)=0,"",SUMIFS('Input Sheet'!$F$3:$F$1001,'Input Sheet'!$B$3:$B$1001,$H566,'Input Sheet'!$E$3:$E$1001,N$4))</f>
        <v/>
      </c>
      <c r="O566" s="21" t="str">
        <f>IF(SUMIFS('Input Sheet'!$F$3:$F$1001,'Input Sheet'!$B$3:$B$1001,$H566,'Input Sheet'!$E$3:$E$1001,O$4)=0,"",SUMIFS('Input Sheet'!$F$3:$F$1001,'Input Sheet'!$B$3:$B$1001,$H566,'Input Sheet'!$E$3:$E$1001,O$4))</f>
        <v/>
      </c>
      <c r="P566" s="21" t="str">
        <f>IF(SUMIFS('Input Sheet'!$F$3:$F$1001,'Input Sheet'!$B$3:$B$1001,$H566,'Input Sheet'!$E$3:$E$1001,P$4)=0,"",SUMIFS('Input Sheet'!$F$3:$F$1001,'Input Sheet'!$B$3:$B$1001,$H566,'Input Sheet'!$E$3:$E$1001,P$4))</f>
        <v/>
      </c>
      <c r="Q566" s="21" t="str">
        <f>IF(SUMIFS('Input Sheet'!$F$3:$F$1001,'Input Sheet'!$B$3:$B$1001,$H566,'Input Sheet'!$E$3:$E$1001,Q$4)=0,"",SUMIFS('Input Sheet'!$F$3:$F$1001,'Input Sheet'!$B$3:$B$1001,$H566,'Input Sheet'!$E$3:$E$1001,Q$4))</f>
        <v/>
      </c>
      <c r="R566" s="21" t="str">
        <f>IF(SUMIFS('Input Sheet'!$F$3:$F$1001,'Input Sheet'!$B$3:$B$1001,$H566,'Input Sheet'!$E$3:$E$1001,R$4)=0,"",SUMIFS('Input Sheet'!$F$3:$F$1001,'Input Sheet'!$B$3:$B$1001,$H566,'Input Sheet'!$E$3:$E$1001,R$4))</f>
        <v/>
      </c>
      <c r="S566" s="21" t="str">
        <f>IF(SUMIFS('Input Sheet'!$F$3:$F$1001,'Input Sheet'!$B$3:$B$1001,$H566,'Input Sheet'!$E$3:$E$1001,S$4)=0,"",SUMIFS('Input Sheet'!$F$3:$F$1001,'Input Sheet'!$B$3:$B$1001,$H566,'Input Sheet'!$E$3:$E$1001,S$4))</f>
        <v/>
      </c>
      <c r="T566" s="22">
        <v>561</v>
      </c>
    </row>
    <row r="567" spans="1:20" ht="14.25" customHeight="1" x14ac:dyDescent="0.3">
      <c r="A567" s="4" t="str">
        <f>IF('Input Sheet'!B564=0,"",'Input Sheet'!B564)</f>
        <v/>
      </c>
      <c r="B567" s="24" t="b">
        <f t="shared" si="526"/>
        <v>0</v>
      </c>
      <c r="C567" s="4">
        <f>SUMIF('Input Sheet'!B$3:B$1000,A567,'Input Sheet'!C$3:C$1000)</f>
        <v>0</v>
      </c>
      <c r="D567" s="4">
        <f>SUMIF('Input Sheet'!B$3:B$1000,A567,'Input Sheet'!D$3:D$1000)</f>
        <v>0</v>
      </c>
      <c r="E567" s="4" t="str">
        <f t="shared" ref="E567:F567" ca="1" si="584">IFERROR(RANK(K567,K$6:K$1004,1),"")</f>
        <v/>
      </c>
      <c r="F567" s="4" t="str">
        <f t="shared" ca="1" si="584"/>
        <v/>
      </c>
      <c r="G567" s="4" t="str">
        <f t="shared" ca="1" si="528"/>
        <v/>
      </c>
      <c r="H567" s="4" t="str">
        <f t="shared" si="529"/>
        <v/>
      </c>
      <c r="I567" s="4" t="str">
        <f t="shared" si="530"/>
        <v/>
      </c>
      <c r="J567" s="4" t="str">
        <f t="shared" si="531"/>
        <v/>
      </c>
      <c r="K567" s="25" t="str">
        <f t="shared" ca="1" si="532"/>
        <v/>
      </c>
      <c r="L567" s="21" t="str">
        <f t="shared" ca="1" si="533"/>
        <v/>
      </c>
      <c r="M567" s="21" t="str">
        <f>IF(SUMIFS('Input Sheet'!$F$3:$F$1001,'Input Sheet'!$B$3:$B$1001,$H567,'Input Sheet'!$E$3:$E$1001,M$4)=0,"",SUMIFS('Input Sheet'!$F$3:$F$1001,'Input Sheet'!$B$3:$B$1001,$H567,'Input Sheet'!$E$3:$E$1001,M$4))</f>
        <v/>
      </c>
      <c r="N567" s="21" t="str">
        <f>IF(SUMIFS('Input Sheet'!$F$3:$F$1001,'Input Sheet'!$B$3:$B$1001,$H567,'Input Sheet'!$E$3:$E$1001,N$4)=0,"",SUMIFS('Input Sheet'!$F$3:$F$1001,'Input Sheet'!$B$3:$B$1001,$H567,'Input Sheet'!$E$3:$E$1001,N$4))</f>
        <v/>
      </c>
      <c r="O567" s="21" t="str">
        <f>IF(SUMIFS('Input Sheet'!$F$3:$F$1001,'Input Sheet'!$B$3:$B$1001,$H567,'Input Sheet'!$E$3:$E$1001,O$4)=0,"",SUMIFS('Input Sheet'!$F$3:$F$1001,'Input Sheet'!$B$3:$B$1001,$H567,'Input Sheet'!$E$3:$E$1001,O$4))</f>
        <v/>
      </c>
      <c r="P567" s="21" t="str">
        <f>IF(SUMIFS('Input Sheet'!$F$3:$F$1001,'Input Sheet'!$B$3:$B$1001,$H567,'Input Sheet'!$E$3:$E$1001,P$4)=0,"",SUMIFS('Input Sheet'!$F$3:$F$1001,'Input Sheet'!$B$3:$B$1001,$H567,'Input Sheet'!$E$3:$E$1001,P$4))</f>
        <v/>
      </c>
      <c r="Q567" s="21" t="str">
        <f>IF(SUMIFS('Input Sheet'!$F$3:$F$1001,'Input Sheet'!$B$3:$B$1001,$H567,'Input Sheet'!$E$3:$E$1001,Q$4)=0,"",SUMIFS('Input Sheet'!$F$3:$F$1001,'Input Sheet'!$B$3:$B$1001,$H567,'Input Sheet'!$E$3:$E$1001,Q$4))</f>
        <v/>
      </c>
      <c r="R567" s="21" t="str">
        <f>IF(SUMIFS('Input Sheet'!$F$3:$F$1001,'Input Sheet'!$B$3:$B$1001,$H567,'Input Sheet'!$E$3:$E$1001,R$4)=0,"",SUMIFS('Input Sheet'!$F$3:$F$1001,'Input Sheet'!$B$3:$B$1001,$H567,'Input Sheet'!$E$3:$E$1001,R$4))</f>
        <v/>
      </c>
      <c r="S567" s="21" t="str">
        <f>IF(SUMIFS('Input Sheet'!$F$3:$F$1001,'Input Sheet'!$B$3:$B$1001,$H567,'Input Sheet'!$E$3:$E$1001,S$4)=0,"",SUMIFS('Input Sheet'!$F$3:$F$1001,'Input Sheet'!$B$3:$B$1001,$H567,'Input Sheet'!$E$3:$E$1001,S$4))</f>
        <v/>
      </c>
      <c r="T567" s="22">
        <v>562</v>
      </c>
    </row>
    <row r="568" spans="1:20" ht="14.25" customHeight="1" x14ac:dyDescent="0.3">
      <c r="A568" s="4" t="str">
        <f>IF('Input Sheet'!B565=0,"",'Input Sheet'!B565)</f>
        <v/>
      </c>
      <c r="B568" s="24" t="b">
        <f t="shared" si="526"/>
        <v>0</v>
      </c>
      <c r="C568" s="4">
        <f>SUMIF('Input Sheet'!B$3:B$1000,A568,'Input Sheet'!C$3:C$1000)</f>
        <v>0</v>
      </c>
      <c r="D568" s="4">
        <f>SUMIF('Input Sheet'!B$3:B$1000,A568,'Input Sheet'!D$3:D$1000)</f>
        <v>0</v>
      </c>
      <c r="E568" s="4" t="str">
        <f t="shared" ref="E568:F568" ca="1" si="585">IFERROR(RANK(K568,K$6:K$1004,1),"")</f>
        <v/>
      </c>
      <c r="F568" s="4" t="str">
        <f t="shared" ca="1" si="585"/>
        <v/>
      </c>
      <c r="G568" s="4" t="str">
        <f t="shared" ca="1" si="528"/>
        <v/>
      </c>
      <c r="H568" s="4" t="str">
        <f t="shared" si="529"/>
        <v/>
      </c>
      <c r="I568" s="4" t="str">
        <f t="shared" si="530"/>
        <v/>
      </c>
      <c r="J568" s="4" t="str">
        <f t="shared" si="531"/>
        <v/>
      </c>
      <c r="K568" s="25" t="str">
        <f t="shared" ca="1" si="532"/>
        <v/>
      </c>
      <c r="L568" s="21" t="str">
        <f t="shared" ca="1" si="533"/>
        <v/>
      </c>
      <c r="M568" s="21" t="str">
        <f>IF(SUMIFS('Input Sheet'!$F$3:$F$1001,'Input Sheet'!$B$3:$B$1001,$H568,'Input Sheet'!$E$3:$E$1001,M$4)=0,"",SUMIFS('Input Sheet'!$F$3:$F$1001,'Input Sheet'!$B$3:$B$1001,$H568,'Input Sheet'!$E$3:$E$1001,M$4))</f>
        <v/>
      </c>
      <c r="N568" s="21" t="str">
        <f>IF(SUMIFS('Input Sheet'!$F$3:$F$1001,'Input Sheet'!$B$3:$B$1001,$H568,'Input Sheet'!$E$3:$E$1001,N$4)=0,"",SUMIFS('Input Sheet'!$F$3:$F$1001,'Input Sheet'!$B$3:$B$1001,$H568,'Input Sheet'!$E$3:$E$1001,N$4))</f>
        <v/>
      </c>
      <c r="O568" s="21" t="str">
        <f>IF(SUMIFS('Input Sheet'!$F$3:$F$1001,'Input Sheet'!$B$3:$B$1001,$H568,'Input Sheet'!$E$3:$E$1001,O$4)=0,"",SUMIFS('Input Sheet'!$F$3:$F$1001,'Input Sheet'!$B$3:$B$1001,$H568,'Input Sheet'!$E$3:$E$1001,O$4))</f>
        <v/>
      </c>
      <c r="P568" s="21" t="str">
        <f>IF(SUMIFS('Input Sheet'!$F$3:$F$1001,'Input Sheet'!$B$3:$B$1001,$H568,'Input Sheet'!$E$3:$E$1001,P$4)=0,"",SUMIFS('Input Sheet'!$F$3:$F$1001,'Input Sheet'!$B$3:$B$1001,$H568,'Input Sheet'!$E$3:$E$1001,P$4))</f>
        <v/>
      </c>
      <c r="Q568" s="21" t="str">
        <f>IF(SUMIFS('Input Sheet'!$F$3:$F$1001,'Input Sheet'!$B$3:$B$1001,$H568,'Input Sheet'!$E$3:$E$1001,Q$4)=0,"",SUMIFS('Input Sheet'!$F$3:$F$1001,'Input Sheet'!$B$3:$B$1001,$H568,'Input Sheet'!$E$3:$E$1001,Q$4))</f>
        <v/>
      </c>
      <c r="R568" s="21" t="str">
        <f>IF(SUMIFS('Input Sheet'!$F$3:$F$1001,'Input Sheet'!$B$3:$B$1001,$H568,'Input Sheet'!$E$3:$E$1001,R$4)=0,"",SUMIFS('Input Sheet'!$F$3:$F$1001,'Input Sheet'!$B$3:$B$1001,$H568,'Input Sheet'!$E$3:$E$1001,R$4))</f>
        <v/>
      </c>
      <c r="S568" s="21" t="str">
        <f>IF(SUMIFS('Input Sheet'!$F$3:$F$1001,'Input Sheet'!$B$3:$B$1001,$H568,'Input Sheet'!$E$3:$E$1001,S$4)=0,"",SUMIFS('Input Sheet'!$F$3:$F$1001,'Input Sheet'!$B$3:$B$1001,$H568,'Input Sheet'!$E$3:$E$1001,S$4))</f>
        <v/>
      </c>
      <c r="T568" s="22">
        <v>563</v>
      </c>
    </row>
    <row r="569" spans="1:20" ht="14.25" customHeight="1" x14ac:dyDescent="0.3">
      <c r="A569" s="4" t="str">
        <f>IF('Input Sheet'!B566=0,"",'Input Sheet'!B566)</f>
        <v/>
      </c>
      <c r="B569" s="24" t="b">
        <f t="shared" si="526"/>
        <v>0</v>
      </c>
      <c r="C569" s="4">
        <f>SUMIF('Input Sheet'!B$3:B$1000,A569,'Input Sheet'!C$3:C$1000)</f>
        <v>0</v>
      </c>
      <c r="D569" s="4">
        <f>SUMIF('Input Sheet'!B$3:B$1000,A569,'Input Sheet'!D$3:D$1000)</f>
        <v>0</v>
      </c>
      <c r="E569" s="4" t="str">
        <f t="shared" ref="E569:F569" ca="1" si="586">IFERROR(RANK(K569,K$6:K$1004,1),"")</f>
        <v/>
      </c>
      <c r="F569" s="4" t="str">
        <f t="shared" ca="1" si="586"/>
        <v/>
      </c>
      <c r="G569" s="4" t="str">
        <f t="shared" ca="1" si="528"/>
        <v/>
      </c>
      <c r="H569" s="4" t="str">
        <f t="shared" si="529"/>
        <v/>
      </c>
      <c r="I569" s="4" t="str">
        <f t="shared" si="530"/>
        <v/>
      </c>
      <c r="J569" s="4" t="str">
        <f t="shared" si="531"/>
        <v/>
      </c>
      <c r="K569" s="25" t="str">
        <f t="shared" ca="1" si="532"/>
        <v/>
      </c>
      <c r="L569" s="21" t="str">
        <f t="shared" ca="1" si="533"/>
        <v/>
      </c>
      <c r="M569" s="21" t="str">
        <f>IF(SUMIFS('Input Sheet'!$F$3:$F$1001,'Input Sheet'!$B$3:$B$1001,$H569,'Input Sheet'!$E$3:$E$1001,M$4)=0,"",SUMIFS('Input Sheet'!$F$3:$F$1001,'Input Sheet'!$B$3:$B$1001,$H569,'Input Sheet'!$E$3:$E$1001,M$4))</f>
        <v/>
      </c>
      <c r="N569" s="21" t="str">
        <f>IF(SUMIFS('Input Sheet'!$F$3:$F$1001,'Input Sheet'!$B$3:$B$1001,$H569,'Input Sheet'!$E$3:$E$1001,N$4)=0,"",SUMIFS('Input Sheet'!$F$3:$F$1001,'Input Sheet'!$B$3:$B$1001,$H569,'Input Sheet'!$E$3:$E$1001,N$4))</f>
        <v/>
      </c>
      <c r="O569" s="21" t="str">
        <f>IF(SUMIFS('Input Sheet'!$F$3:$F$1001,'Input Sheet'!$B$3:$B$1001,$H569,'Input Sheet'!$E$3:$E$1001,O$4)=0,"",SUMIFS('Input Sheet'!$F$3:$F$1001,'Input Sheet'!$B$3:$B$1001,$H569,'Input Sheet'!$E$3:$E$1001,O$4))</f>
        <v/>
      </c>
      <c r="P569" s="21" t="str">
        <f>IF(SUMIFS('Input Sheet'!$F$3:$F$1001,'Input Sheet'!$B$3:$B$1001,$H569,'Input Sheet'!$E$3:$E$1001,P$4)=0,"",SUMIFS('Input Sheet'!$F$3:$F$1001,'Input Sheet'!$B$3:$B$1001,$H569,'Input Sheet'!$E$3:$E$1001,P$4))</f>
        <v/>
      </c>
      <c r="Q569" s="21" t="str">
        <f>IF(SUMIFS('Input Sheet'!$F$3:$F$1001,'Input Sheet'!$B$3:$B$1001,$H569,'Input Sheet'!$E$3:$E$1001,Q$4)=0,"",SUMIFS('Input Sheet'!$F$3:$F$1001,'Input Sheet'!$B$3:$B$1001,$H569,'Input Sheet'!$E$3:$E$1001,Q$4))</f>
        <v/>
      </c>
      <c r="R569" s="21" t="str">
        <f>IF(SUMIFS('Input Sheet'!$F$3:$F$1001,'Input Sheet'!$B$3:$B$1001,$H569,'Input Sheet'!$E$3:$E$1001,R$4)=0,"",SUMIFS('Input Sheet'!$F$3:$F$1001,'Input Sheet'!$B$3:$B$1001,$H569,'Input Sheet'!$E$3:$E$1001,R$4))</f>
        <v/>
      </c>
      <c r="S569" s="21" t="str">
        <f>IF(SUMIFS('Input Sheet'!$F$3:$F$1001,'Input Sheet'!$B$3:$B$1001,$H569,'Input Sheet'!$E$3:$E$1001,S$4)=0,"",SUMIFS('Input Sheet'!$F$3:$F$1001,'Input Sheet'!$B$3:$B$1001,$H569,'Input Sheet'!$E$3:$E$1001,S$4))</f>
        <v/>
      </c>
      <c r="T569" s="22">
        <v>564</v>
      </c>
    </row>
    <row r="570" spans="1:20" ht="14.25" customHeight="1" x14ac:dyDescent="0.3">
      <c r="A570" s="4" t="str">
        <f>IF('Input Sheet'!B567=0,"",'Input Sheet'!B567)</f>
        <v/>
      </c>
      <c r="B570" s="24" t="b">
        <f t="shared" si="526"/>
        <v>0</v>
      </c>
      <c r="C570" s="4">
        <f>SUMIF('Input Sheet'!B$3:B$1000,A570,'Input Sheet'!C$3:C$1000)</f>
        <v>0</v>
      </c>
      <c r="D570" s="4">
        <f>SUMIF('Input Sheet'!B$3:B$1000,A570,'Input Sheet'!D$3:D$1000)</f>
        <v>0</v>
      </c>
      <c r="E570" s="4" t="str">
        <f t="shared" ref="E570:F570" ca="1" si="587">IFERROR(RANK(K570,K$6:K$1004,1),"")</f>
        <v/>
      </c>
      <c r="F570" s="4" t="str">
        <f t="shared" ca="1" si="587"/>
        <v/>
      </c>
      <c r="G570" s="4" t="str">
        <f t="shared" ca="1" si="528"/>
        <v/>
      </c>
      <c r="H570" s="4" t="str">
        <f t="shared" si="529"/>
        <v/>
      </c>
      <c r="I570" s="4" t="str">
        <f t="shared" si="530"/>
        <v/>
      </c>
      <c r="J570" s="4" t="str">
        <f t="shared" si="531"/>
        <v/>
      </c>
      <c r="K570" s="25" t="str">
        <f t="shared" ca="1" si="532"/>
        <v/>
      </c>
      <c r="L570" s="21" t="str">
        <f t="shared" ca="1" si="533"/>
        <v/>
      </c>
      <c r="M570" s="21" t="str">
        <f>IF(SUMIFS('Input Sheet'!$F$3:$F$1001,'Input Sheet'!$B$3:$B$1001,$H570,'Input Sheet'!$E$3:$E$1001,M$4)=0,"",SUMIFS('Input Sheet'!$F$3:$F$1001,'Input Sheet'!$B$3:$B$1001,$H570,'Input Sheet'!$E$3:$E$1001,M$4))</f>
        <v/>
      </c>
      <c r="N570" s="21" t="str">
        <f>IF(SUMIFS('Input Sheet'!$F$3:$F$1001,'Input Sheet'!$B$3:$B$1001,$H570,'Input Sheet'!$E$3:$E$1001,N$4)=0,"",SUMIFS('Input Sheet'!$F$3:$F$1001,'Input Sheet'!$B$3:$B$1001,$H570,'Input Sheet'!$E$3:$E$1001,N$4))</f>
        <v/>
      </c>
      <c r="O570" s="21" t="str">
        <f>IF(SUMIFS('Input Sheet'!$F$3:$F$1001,'Input Sheet'!$B$3:$B$1001,$H570,'Input Sheet'!$E$3:$E$1001,O$4)=0,"",SUMIFS('Input Sheet'!$F$3:$F$1001,'Input Sheet'!$B$3:$B$1001,$H570,'Input Sheet'!$E$3:$E$1001,O$4))</f>
        <v/>
      </c>
      <c r="P570" s="21" t="str">
        <f>IF(SUMIFS('Input Sheet'!$F$3:$F$1001,'Input Sheet'!$B$3:$B$1001,$H570,'Input Sheet'!$E$3:$E$1001,P$4)=0,"",SUMIFS('Input Sheet'!$F$3:$F$1001,'Input Sheet'!$B$3:$B$1001,$H570,'Input Sheet'!$E$3:$E$1001,P$4))</f>
        <v/>
      </c>
      <c r="Q570" s="21" t="str">
        <f>IF(SUMIFS('Input Sheet'!$F$3:$F$1001,'Input Sheet'!$B$3:$B$1001,$H570,'Input Sheet'!$E$3:$E$1001,Q$4)=0,"",SUMIFS('Input Sheet'!$F$3:$F$1001,'Input Sheet'!$B$3:$B$1001,$H570,'Input Sheet'!$E$3:$E$1001,Q$4))</f>
        <v/>
      </c>
      <c r="R570" s="21" t="str">
        <f>IF(SUMIFS('Input Sheet'!$F$3:$F$1001,'Input Sheet'!$B$3:$B$1001,$H570,'Input Sheet'!$E$3:$E$1001,R$4)=0,"",SUMIFS('Input Sheet'!$F$3:$F$1001,'Input Sheet'!$B$3:$B$1001,$H570,'Input Sheet'!$E$3:$E$1001,R$4))</f>
        <v/>
      </c>
      <c r="S570" s="21" t="str">
        <f>IF(SUMIFS('Input Sheet'!$F$3:$F$1001,'Input Sheet'!$B$3:$B$1001,$H570,'Input Sheet'!$E$3:$E$1001,S$4)=0,"",SUMIFS('Input Sheet'!$F$3:$F$1001,'Input Sheet'!$B$3:$B$1001,$H570,'Input Sheet'!$E$3:$E$1001,S$4))</f>
        <v/>
      </c>
      <c r="T570" s="22">
        <v>565</v>
      </c>
    </row>
    <row r="571" spans="1:20" ht="14.25" customHeight="1" x14ac:dyDescent="0.3">
      <c r="A571" s="4" t="str">
        <f>IF('Input Sheet'!B568=0,"",'Input Sheet'!B568)</f>
        <v/>
      </c>
      <c r="B571" s="24" t="b">
        <f t="shared" si="526"/>
        <v>0</v>
      </c>
      <c r="C571" s="4">
        <f>SUMIF('Input Sheet'!B$3:B$1000,A571,'Input Sheet'!C$3:C$1000)</f>
        <v>0</v>
      </c>
      <c r="D571" s="4">
        <f>SUMIF('Input Sheet'!B$3:B$1000,A571,'Input Sheet'!D$3:D$1000)</f>
        <v>0</v>
      </c>
      <c r="E571" s="4" t="str">
        <f t="shared" ref="E571:F571" ca="1" si="588">IFERROR(RANK(K571,K$6:K$1004,1),"")</f>
        <v/>
      </c>
      <c r="F571" s="4" t="str">
        <f t="shared" ca="1" si="588"/>
        <v/>
      </c>
      <c r="G571" s="4" t="str">
        <f t="shared" ca="1" si="528"/>
        <v/>
      </c>
      <c r="H571" s="4" t="str">
        <f t="shared" si="529"/>
        <v/>
      </c>
      <c r="I571" s="4" t="str">
        <f t="shared" si="530"/>
        <v/>
      </c>
      <c r="J571" s="4" t="str">
        <f t="shared" si="531"/>
        <v/>
      </c>
      <c r="K571" s="25" t="str">
        <f t="shared" ca="1" si="532"/>
        <v/>
      </c>
      <c r="L571" s="21" t="str">
        <f t="shared" ca="1" si="533"/>
        <v/>
      </c>
      <c r="M571" s="21" t="str">
        <f>IF(SUMIFS('Input Sheet'!$F$3:$F$1001,'Input Sheet'!$B$3:$B$1001,$H571,'Input Sheet'!$E$3:$E$1001,M$4)=0,"",SUMIFS('Input Sheet'!$F$3:$F$1001,'Input Sheet'!$B$3:$B$1001,$H571,'Input Sheet'!$E$3:$E$1001,M$4))</f>
        <v/>
      </c>
      <c r="N571" s="21" t="str">
        <f>IF(SUMIFS('Input Sheet'!$F$3:$F$1001,'Input Sheet'!$B$3:$B$1001,$H571,'Input Sheet'!$E$3:$E$1001,N$4)=0,"",SUMIFS('Input Sheet'!$F$3:$F$1001,'Input Sheet'!$B$3:$B$1001,$H571,'Input Sheet'!$E$3:$E$1001,N$4))</f>
        <v/>
      </c>
      <c r="O571" s="21" t="str">
        <f>IF(SUMIFS('Input Sheet'!$F$3:$F$1001,'Input Sheet'!$B$3:$B$1001,$H571,'Input Sheet'!$E$3:$E$1001,O$4)=0,"",SUMIFS('Input Sheet'!$F$3:$F$1001,'Input Sheet'!$B$3:$B$1001,$H571,'Input Sheet'!$E$3:$E$1001,O$4))</f>
        <v/>
      </c>
      <c r="P571" s="21" t="str">
        <f>IF(SUMIFS('Input Sheet'!$F$3:$F$1001,'Input Sheet'!$B$3:$B$1001,$H571,'Input Sheet'!$E$3:$E$1001,P$4)=0,"",SUMIFS('Input Sheet'!$F$3:$F$1001,'Input Sheet'!$B$3:$B$1001,$H571,'Input Sheet'!$E$3:$E$1001,P$4))</f>
        <v/>
      </c>
      <c r="Q571" s="21" t="str">
        <f>IF(SUMIFS('Input Sheet'!$F$3:$F$1001,'Input Sheet'!$B$3:$B$1001,$H571,'Input Sheet'!$E$3:$E$1001,Q$4)=0,"",SUMIFS('Input Sheet'!$F$3:$F$1001,'Input Sheet'!$B$3:$B$1001,$H571,'Input Sheet'!$E$3:$E$1001,Q$4))</f>
        <v/>
      </c>
      <c r="R571" s="21" t="str">
        <f>IF(SUMIFS('Input Sheet'!$F$3:$F$1001,'Input Sheet'!$B$3:$B$1001,$H571,'Input Sheet'!$E$3:$E$1001,R$4)=0,"",SUMIFS('Input Sheet'!$F$3:$F$1001,'Input Sheet'!$B$3:$B$1001,$H571,'Input Sheet'!$E$3:$E$1001,R$4))</f>
        <v/>
      </c>
      <c r="S571" s="21" t="str">
        <f>IF(SUMIFS('Input Sheet'!$F$3:$F$1001,'Input Sheet'!$B$3:$B$1001,$H571,'Input Sheet'!$E$3:$E$1001,S$4)=0,"",SUMIFS('Input Sheet'!$F$3:$F$1001,'Input Sheet'!$B$3:$B$1001,$H571,'Input Sheet'!$E$3:$E$1001,S$4))</f>
        <v/>
      </c>
      <c r="T571" s="22">
        <v>566</v>
      </c>
    </row>
    <row r="572" spans="1:20" ht="14.25" customHeight="1" x14ac:dyDescent="0.3">
      <c r="A572" s="4" t="str">
        <f>IF('Input Sheet'!B569=0,"",'Input Sheet'!B569)</f>
        <v/>
      </c>
      <c r="B572" s="24" t="b">
        <f t="shared" si="526"/>
        <v>0</v>
      </c>
      <c r="C572" s="4">
        <f>SUMIF('Input Sheet'!B$3:B$1000,A572,'Input Sheet'!C$3:C$1000)</f>
        <v>0</v>
      </c>
      <c r="D572" s="4">
        <f>SUMIF('Input Sheet'!B$3:B$1000,A572,'Input Sheet'!D$3:D$1000)</f>
        <v>0</v>
      </c>
      <c r="E572" s="4" t="str">
        <f t="shared" ref="E572:F572" ca="1" si="589">IFERROR(RANK(K572,K$6:K$1004,1),"")</f>
        <v/>
      </c>
      <c r="F572" s="4" t="str">
        <f t="shared" ca="1" si="589"/>
        <v/>
      </c>
      <c r="G572" s="4" t="str">
        <f t="shared" ca="1" si="528"/>
        <v/>
      </c>
      <c r="H572" s="4" t="str">
        <f t="shared" si="529"/>
        <v/>
      </c>
      <c r="I572" s="4" t="str">
        <f t="shared" si="530"/>
        <v/>
      </c>
      <c r="J572" s="4" t="str">
        <f t="shared" si="531"/>
        <v/>
      </c>
      <c r="K572" s="25" t="str">
        <f t="shared" ca="1" si="532"/>
        <v/>
      </c>
      <c r="L572" s="21" t="str">
        <f t="shared" ca="1" si="533"/>
        <v/>
      </c>
      <c r="M572" s="21" t="str">
        <f>IF(SUMIFS('Input Sheet'!$F$3:$F$1001,'Input Sheet'!$B$3:$B$1001,$H572,'Input Sheet'!$E$3:$E$1001,M$4)=0,"",SUMIFS('Input Sheet'!$F$3:$F$1001,'Input Sheet'!$B$3:$B$1001,$H572,'Input Sheet'!$E$3:$E$1001,M$4))</f>
        <v/>
      </c>
      <c r="N572" s="21" t="str">
        <f>IF(SUMIFS('Input Sheet'!$F$3:$F$1001,'Input Sheet'!$B$3:$B$1001,$H572,'Input Sheet'!$E$3:$E$1001,N$4)=0,"",SUMIFS('Input Sheet'!$F$3:$F$1001,'Input Sheet'!$B$3:$B$1001,$H572,'Input Sheet'!$E$3:$E$1001,N$4))</f>
        <v/>
      </c>
      <c r="O572" s="21" t="str">
        <f>IF(SUMIFS('Input Sheet'!$F$3:$F$1001,'Input Sheet'!$B$3:$B$1001,$H572,'Input Sheet'!$E$3:$E$1001,O$4)=0,"",SUMIFS('Input Sheet'!$F$3:$F$1001,'Input Sheet'!$B$3:$B$1001,$H572,'Input Sheet'!$E$3:$E$1001,O$4))</f>
        <v/>
      </c>
      <c r="P572" s="21" t="str">
        <f>IF(SUMIFS('Input Sheet'!$F$3:$F$1001,'Input Sheet'!$B$3:$B$1001,$H572,'Input Sheet'!$E$3:$E$1001,P$4)=0,"",SUMIFS('Input Sheet'!$F$3:$F$1001,'Input Sheet'!$B$3:$B$1001,$H572,'Input Sheet'!$E$3:$E$1001,P$4))</f>
        <v/>
      </c>
      <c r="Q572" s="21" t="str">
        <f>IF(SUMIFS('Input Sheet'!$F$3:$F$1001,'Input Sheet'!$B$3:$B$1001,$H572,'Input Sheet'!$E$3:$E$1001,Q$4)=0,"",SUMIFS('Input Sheet'!$F$3:$F$1001,'Input Sheet'!$B$3:$B$1001,$H572,'Input Sheet'!$E$3:$E$1001,Q$4))</f>
        <v/>
      </c>
      <c r="R572" s="21" t="str">
        <f>IF(SUMIFS('Input Sheet'!$F$3:$F$1001,'Input Sheet'!$B$3:$B$1001,$H572,'Input Sheet'!$E$3:$E$1001,R$4)=0,"",SUMIFS('Input Sheet'!$F$3:$F$1001,'Input Sheet'!$B$3:$B$1001,$H572,'Input Sheet'!$E$3:$E$1001,R$4))</f>
        <v/>
      </c>
      <c r="S572" s="21" t="str">
        <f>IF(SUMIFS('Input Sheet'!$F$3:$F$1001,'Input Sheet'!$B$3:$B$1001,$H572,'Input Sheet'!$E$3:$E$1001,S$4)=0,"",SUMIFS('Input Sheet'!$F$3:$F$1001,'Input Sheet'!$B$3:$B$1001,$H572,'Input Sheet'!$E$3:$E$1001,S$4))</f>
        <v/>
      </c>
      <c r="T572" s="22">
        <v>567</v>
      </c>
    </row>
    <row r="573" spans="1:20" ht="14.25" customHeight="1" x14ac:dyDescent="0.3">
      <c r="A573" s="4" t="str">
        <f>IF('Input Sheet'!B570=0,"",'Input Sheet'!B570)</f>
        <v/>
      </c>
      <c r="B573" s="24" t="b">
        <f t="shared" si="526"/>
        <v>0</v>
      </c>
      <c r="C573" s="4">
        <f>SUMIF('Input Sheet'!B$3:B$1000,A573,'Input Sheet'!C$3:C$1000)</f>
        <v>0</v>
      </c>
      <c r="D573" s="4">
        <f>SUMIF('Input Sheet'!B$3:B$1000,A573,'Input Sheet'!D$3:D$1000)</f>
        <v>0</v>
      </c>
      <c r="E573" s="4" t="str">
        <f t="shared" ref="E573:F573" ca="1" si="590">IFERROR(RANK(K573,K$6:K$1004,1),"")</f>
        <v/>
      </c>
      <c r="F573" s="4" t="str">
        <f t="shared" ca="1" si="590"/>
        <v/>
      </c>
      <c r="G573" s="4" t="str">
        <f t="shared" ca="1" si="528"/>
        <v/>
      </c>
      <c r="H573" s="4" t="str">
        <f t="shared" si="529"/>
        <v/>
      </c>
      <c r="I573" s="4" t="str">
        <f t="shared" si="530"/>
        <v/>
      </c>
      <c r="J573" s="4" t="str">
        <f t="shared" si="531"/>
        <v/>
      </c>
      <c r="K573" s="25" t="str">
        <f t="shared" ca="1" si="532"/>
        <v/>
      </c>
      <c r="L573" s="21" t="str">
        <f t="shared" ca="1" si="533"/>
        <v/>
      </c>
      <c r="M573" s="21" t="str">
        <f>IF(SUMIFS('Input Sheet'!$F$3:$F$1001,'Input Sheet'!$B$3:$B$1001,$H573,'Input Sheet'!$E$3:$E$1001,M$4)=0,"",SUMIFS('Input Sheet'!$F$3:$F$1001,'Input Sheet'!$B$3:$B$1001,$H573,'Input Sheet'!$E$3:$E$1001,M$4))</f>
        <v/>
      </c>
      <c r="N573" s="21" t="str">
        <f>IF(SUMIFS('Input Sheet'!$F$3:$F$1001,'Input Sheet'!$B$3:$B$1001,$H573,'Input Sheet'!$E$3:$E$1001,N$4)=0,"",SUMIFS('Input Sheet'!$F$3:$F$1001,'Input Sheet'!$B$3:$B$1001,$H573,'Input Sheet'!$E$3:$E$1001,N$4))</f>
        <v/>
      </c>
      <c r="O573" s="21" t="str">
        <f>IF(SUMIFS('Input Sheet'!$F$3:$F$1001,'Input Sheet'!$B$3:$B$1001,$H573,'Input Sheet'!$E$3:$E$1001,O$4)=0,"",SUMIFS('Input Sheet'!$F$3:$F$1001,'Input Sheet'!$B$3:$B$1001,$H573,'Input Sheet'!$E$3:$E$1001,O$4))</f>
        <v/>
      </c>
      <c r="P573" s="21" t="str">
        <f>IF(SUMIFS('Input Sheet'!$F$3:$F$1001,'Input Sheet'!$B$3:$B$1001,$H573,'Input Sheet'!$E$3:$E$1001,P$4)=0,"",SUMIFS('Input Sheet'!$F$3:$F$1001,'Input Sheet'!$B$3:$B$1001,$H573,'Input Sheet'!$E$3:$E$1001,P$4))</f>
        <v/>
      </c>
      <c r="Q573" s="21" t="str">
        <f>IF(SUMIFS('Input Sheet'!$F$3:$F$1001,'Input Sheet'!$B$3:$B$1001,$H573,'Input Sheet'!$E$3:$E$1001,Q$4)=0,"",SUMIFS('Input Sheet'!$F$3:$F$1001,'Input Sheet'!$B$3:$B$1001,$H573,'Input Sheet'!$E$3:$E$1001,Q$4))</f>
        <v/>
      </c>
      <c r="R573" s="21" t="str">
        <f>IF(SUMIFS('Input Sheet'!$F$3:$F$1001,'Input Sheet'!$B$3:$B$1001,$H573,'Input Sheet'!$E$3:$E$1001,R$4)=0,"",SUMIFS('Input Sheet'!$F$3:$F$1001,'Input Sheet'!$B$3:$B$1001,$H573,'Input Sheet'!$E$3:$E$1001,R$4))</f>
        <v/>
      </c>
      <c r="S573" s="21" t="str">
        <f>IF(SUMIFS('Input Sheet'!$F$3:$F$1001,'Input Sheet'!$B$3:$B$1001,$H573,'Input Sheet'!$E$3:$E$1001,S$4)=0,"",SUMIFS('Input Sheet'!$F$3:$F$1001,'Input Sheet'!$B$3:$B$1001,$H573,'Input Sheet'!$E$3:$E$1001,S$4))</f>
        <v/>
      </c>
      <c r="T573" s="22">
        <v>568</v>
      </c>
    </row>
    <row r="574" spans="1:20" ht="14.25" customHeight="1" x14ac:dyDescent="0.3">
      <c r="A574" s="4" t="str">
        <f>IF('Input Sheet'!B571=0,"",'Input Sheet'!B571)</f>
        <v/>
      </c>
      <c r="B574" s="24" t="b">
        <f t="shared" si="526"/>
        <v>0</v>
      </c>
      <c r="C574" s="4">
        <f>SUMIF('Input Sheet'!B$3:B$1000,A574,'Input Sheet'!C$3:C$1000)</f>
        <v>0</v>
      </c>
      <c r="D574" s="4">
        <f>SUMIF('Input Sheet'!B$3:B$1000,A574,'Input Sheet'!D$3:D$1000)</f>
        <v>0</v>
      </c>
      <c r="E574" s="4" t="str">
        <f t="shared" ref="E574:F574" ca="1" si="591">IFERROR(RANK(K574,K$6:K$1004,1),"")</f>
        <v/>
      </c>
      <c r="F574" s="4" t="str">
        <f t="shared" ca="1" si="591"/>
        <v/>
      </c>
      <c r="G574" s="4" t="str">
        <f t="shared" ca="1" si="528"/>
        <v/>
      </c>
      <c r="H574" s="4" t="str">
        <f t="shared" si="529"/>
        <v/>
      </c>
      <c r="I574" s="4" t="str">
        <f t="shared" si="530"/>
        <v/>
      </c>
      <c r="J574" s="4" t="str">
        <f t="shared" si="531"/>
        <v/>
      </c>
      <c r="K574" s="25" t="str">
        <f t="shared" ca="1" si="532"/>
        <v/>
      </c>
      <c r="L574" s="21" t="str">
        <f t="shared" ca="1" si="533"/>
        <v/>
      </c>
      <c r="M574" s="21" t="str">
        <f>IF(SUMIFS('Input Sheet'!$F$3:$F$1001,'Input Sheet'!$B$3:$B$1001,$H574,'Input Sheet'!$E$3:$E$1001,M$4)=0,"",SUMIFS('Input Sheet'!$F$3:$F$1001,'Input Sheet'!$B$3:$B$1001,$H574,'Input Sheet'!$E$3:$E$1001,M$4))</f>
        <v/>
      </c>
      <c r="N574" s="21" t="str">
        <f>IF(SUMIFS('Input Sheet'!$F$3:$F$1001,'Input Sheet'!$B$3:$B$1001,$H574,'Input Sheet'!$E$3:$E$1001,N$4)=0,"",SUMIFS('Input Sheet'!$F$3:$F$1001,'Input Sheet'!$B$3:$B$1001,$H574,'Input Sheet'!$E$3:$E$1001,N$4))</f>
        <v/>
      </c>
      <c r="O574" s="21" t="str">
        <f>IF(SUMIFS('Input Sheet'!$F$3:$F$1001,'Input Sheet'!$B$3:$B$1001,$H574,'Input Sheet'!$E$3:$E$1001,O$4)=0,"",SUMIFS('Input Sheet'!$F$3:$F$1001,'Input Sheet'!$B$3:$B$1001,$H574,'Input Sheet'!$E$3:$E$1001,O$4))</f>
        <v/>
      </c>
      <c r="P574" s="21" t="str">
        <f>IF(SUMIFS('Input Sheet'!$F$3:$F$1001,'Input Sheet'!$B$3:$B$1001,$H574,'Input Sheet'!$E$3:$E$1001,P$4)=0,"",SUMIFS('Input Sheet'!$F$3:$F$1001,'Input Sheet'!$B$3:$B$1001,$H574,'Input Sheet'!$E$3:$E$1001,P$4))</f>
        <v/>
      </c>
      <c r="Q574" s="21" t="str">
        <f>IF(SUMIFS('Input Sheet'!$F$3:$F$1001,'Input Sheet'!$B$3:$B$1001,$H574,'Input Sheet'!$E$3:$E$1001,Q$4)=0,"",SUMIFS('Input Sheet'!$F$3:$F$1001,'Input Sheet'!$B$3:$B$1001,$H574,'Input Sheet'!$E$3:$E$1001,Q$4))</f>
        <v/>
      </c>
      <c r="R574" s="21" t="str">
        <f>IF(SUMIFS('Input Sheet'!$F$3:$F$1001,'Input Sheet'!$B$3:$B$1001,$H574,'Input Sheet'!$E$3:$E$1001,R$4)=0,"",SUMIFS('Input Sheet'!$F$3:$F$1001,'Input Sheet'!$B$3:$B$1001,$H574,'Input Sheet'!$E$3:$E$1001,R$4))</f>
        <v/>
      </c>
      <c r="S574" s="21" t="str">
        <f>IF(SUMIFS('Input Sheet'!$F$3:$F$1001,'Input Sheet'!$B$3:$B$1001,$H574,'Input Sheet'!$E$3:$E$1001,S$4)=0,"",SUMIFS('Input Sheet'!$F$3:$F$1001,'Input Sheet'!$B$3:$B$1001,$H574,'Input Sheet'!$E$3:$E$1001,S$4))</f>
        <v/>
      </c>
      <c r="T574" s="22">
        <v>569</v>
      </c>
    </row>
    <row r="575" spans="1:20" ht="14.25" customHeight="1" x14ac:dyDescent="0.3">
      <c r="A575" s="4" t="str">
        <f>IF('Input Sheet'!B572=0,"",'Input Sheet'!B572)</f>
        <v/>
      </c>
      <c r="B575" s="24" t="b">
        <f t="shared" si="526"/>
        <v>0</v>
      </c>
      <c r="C575" s="4">
        <f>SUMIF('Input Sheet'!B$3:B$1000,A575,'Input Sheet'!C$3:C$1000)</f>
        <v>0</v>
      </c>
      <c r="D575" s="4">
        <f>SUMIF('Input Sheet'!B$3:B$1000,A575,'Input Sheet'!D$3:D$1000)</f>
        <v>0</v>
      </c>
      <c r="E575" s="4" t="str">
        <f t="shared" ref="E575:F575" ca="1" si="592">IFERROR(RANK(K575,K$6:K$1004,1),"")</f>
        <v/>
      </c>
      <c r="F575" s="4" t="str">
        <f t="shared" ca="1" si="592"/>
        <v/>
      </c>
      <c r="G575" s="4" t="str">
        <f t="shared" ca="1" si="528"/>
        <v/>
      </c>
      <c r="H575" s="4" t="str">
        <f t="shared" si="529"/>
        <v/>
      </c>
      <c r="I575" s="4" t="str">
        <f t="shared" si="530"/>
        <v/>
      </c>
      <c r="J575" s="4" t="str">
        <f t="shared" si="531"/>
        <v/>
      </c>
      <c r="K575" s="25" t="str">
        <f t="shared" ca="1" si="532"/>
        <v/>
      </c>
      <c r="L575" s="21" t="str">
        <f t="shared" ca="1" si="533"/>
        <v/>
      </c>
      <c r="M575" s="21" t="str">
        <f>IF(SUMIFS('Input Sheet'!$F$3:$F$1001,'Input Sheet'!$B$3:$B$1001,$H575,'Input Sheet'!$E$3:$E$1001,M$4)=0,"",SUMIFS('Input Sheet'!$F$3:$F$1001,'Input Sheet'!$B$3:$B$1001,$H575,'Input Sheet'!$E$3:$E$1001,M$4))</f>
        <v/>
      </c>
      <c r="N575" s="21" t="str">
        <f>IF(SUMIFS('Input Sheet'!$F$3:$F$1001,'Input Sheet'!$B$3:$B$1001,$H575,'Input Sheet'!$E$3:$E$1001,N$4)=0,"",SUMIFS('Input Sheet'!$F$3:$F$1001,'Input Sheet'!$B$3:$B$1001,$H575,'Input Sheet'!$E$3:$E$1001,N$4))</f>
        <v/>
      </c>
      <c r="O575" s="21" t="str">
        <f>IF(SUMIFS('Input Sheet'!$F$3:$F$1001,'Input Sheet'!$B$3:$B$1001,$H575,'Input Sheet'!$E$3:$E$1001,O$4)=0,"",SUMIFS('Input Sheet'!$F$3:$F$1001,'Input Sheet'!$B$3:$B$1001,$H575,'Input Sheet'!$E$3:$E$1001,O$4))</f>
        <v/>
      </c>
      <c r="P575" s="21" t="str">
        <f>IF(SUMIFS('Input Sheet'!$F$3:$F$1001,'Input Sheet'!$B$3:$B$1001,$H575,'Input Sheet'!$E$3:$E$1001,P$4)=0,"",SUMIFS('Input Sheet'!$F$3:$F$1001,'Input Sheet'!$B$3:$B$1001,$H575,'Input Sheet'!$E$3:$E$1001,P$4))</f>
        <v/>
      </c>
      <c r="Q575" s="21" t="str">
        <f>IF(SUMIFS('Input Sheet'!$F$3:$F$1001,'Input Sheet'!$B$3:$B$1001,$H575,'Input Sheet'!$E$3:$E$1001,Q$4)=0,"",SUMIFS('Input Sheet'!$F$3:$F$1001,'Input Sheet'!$B$3:$B$1001,$H575,'Input Sheet'!$E$3:$E$1001,Q$4))</f>
        <v/>
      </c>
      <c r="R575" s="21" t="str">
        <f>IF(SUMIFS('Input Sheet'!$F$3:$F$1001,'Input Sheet'!$B$3:$B$1001,$H575,'Input Sheet'!$E$3:$E$1001,R$4)=0,"",SUMIFS('Input Sheet'!$F$3:$F$1001,'Input Sheet'!$B$3:$B$1001,$H575,'Input Sheet'!$E$3:$E$1001,R$4))</f>
        <v/>
      </c>
      <c r="S575" s="21" t="str">
        <f>IF(SUMIFS('Input Sheet'!$F$3:$F$1001,'Input Sheet'!$B$3:$B$1001,$H575,'Input Sheet'!$E$3:$E$1001,S$4)=0,"",SUMIFS('Input Sheet'!$F$3:$F$1001,'Input Sheet'!$B$3:$B$1001,$H575,'Input Sheet'!$E$3:$E$1001,S$4))</f>
        <v/>
      </c>
      <c r="T575" s="22">
        <v>570</v>
      </c>
    </row>
    <row r="576" spans="1:20" ht="14.25" customHeight="1" x14ac:dyDescent="0.3">
      <c r="A576" s="4" t="str">
        <f>IF('Input Sheet'!B573=0,"",'Input Sheet'!B573)</f>
        <v/>
      </c>
      <c r="B576" s="24" t="b">
        <f t="shared" si="526"/>
        <v>0</v>
      </c>
      <c r="C576" s="4">
        <f>SUMIF('Input Sheet'!B$3:B$1000,A576,'Input Sheet'!C$3:C$1000)</f>
        <v>0</v>
      </c>
      <c r="D576" s="4">
        <f>SUMIF('Input Sheet'!B$3:B$1000,A576,'Input Sheet'!D$3:D$1000)</f>
        <v>0</v>
      </c>
      <c r="E576" s="4" t="str">
        <f t="shared" ref="E576:F576" ca="1" si="593">IFERROR(RANK(K576,K$6:K$1004,1),"")</f>
        <v/>
      </c>
      <c r="F576" s="4" t="str">
        <f t="shared" ca="1" si="593"/>
        <v/>
      </c>
      <c r="G576" s="4" t="str">
        <f t="shared" ca="1" si="528"/>
        <v/>
      </c>
      <c r="H576" s="4" t="str">
        <f t="shared" si="529"/>
        <v/>
      </c>
      <c r="I576" s="4" t="str">
        <f t="shared" si="530"/>
        <v/>
      </c>
      <c r="J576" s="4" t="str">
        <f t="shared" si="531"/>
        <v/>
      </c>
      <c r="K576" s="25" t="str">
        <f t="shared" ca="1" si="532"/>
        <v/>
      </c>
      <c r="L576" s="21" t="str">
        <f t="shared" ca="1" si="533"/>
        <v/>
      </c>
      <c r="M576" s="21" t="str">
        <f>IF(SUMIFS('Input Sheet'!$F$3:$F$1001,'Input Sheet'!$B$3:$B$1001,$H576,'Input Sheet'!$E$3:$E$1001,M$4)=0,"",SUMIFS('Input Sheet'!$F$3:$F$1001,'Input Sheet'!$B$3:$B$1001,$H576,'Input Sheet'!$E$3:$E$1001,M$4))</f>
        <v/>
      </c>
      <c r="N576" s="21" t="str">
        <f>IF(SUMIFS('Input Sheet'!$F$3:$F$1001,'Input Sheet'!$B$3:$B$1001,$H576,'Input Sheet'!$E$3:$E$1001,N$4)=0,"",SUMIFS('Input Sheet'!$F$3:$F$1001,'Input Sheet'!$B$3:$B$1001,$H576,'Input Sheet'!$E$3:$E$1001,N$4))</f>
        <v/>
      </c>
      <c r="O576" s="21" t="str">
        <f>IF(SUMIFS('Input Sheet'!$F$3:$F$1001,'Input Sheet'!$B$3:$B$1001,$H576,'Input Sheet'!$E$3:$E$1001,O$4)=0,"",SUMIFS('Input Sheet'!$F$3:$F$1001,'Input Sheet'!$B$3:$B$1001,$H576,'Input Sheet'!$E$3:$E$1001,O$4))</f>
        <v/>
      </c>
      <c r="P576" s="21" t="str">
        <f>IF(SUMIFS('Input Sheet'!$F$3:$F$1001,'Input Sheet'!$B$3:$B$1001,$H576,'Input Sheet'!$E$3:$E$1001,P$4)=0,"",SUMIFS('Input Sheet'!$F$3:$F$1001,'Input Sheet'!$B$3:$B$1001,$H576,'Input Sheet'!$E$3:$E$1001,P$4))</f>
        <v/>
      </c>
      <c r="Q576" s="21" t="str">
        <f>IF(SUMIFS('Input Sheet'!$F$3:$F$1001,'Input Sheet'!$B$3:$B$1001,$H576,'Input Sheet'!$E$3:$E$1001,Q$4)=0,"",SUMIFS('Input Sheet'!$F$3:$F$1001,'Input Sheet'!$B$3:$B$1001,$H576,'Input Sheet'!$E$3:$E$1001,Q$4))</f>
        <v/>
      </c>
      <c r="R576" s="21" t="str">
        <f>IF(SUMIFS('Input Sheet'!$F$3:$F$1001,'Input Sheet'!$B$3:$B$1001,$H576,'Input Sheet'!$E$3:$E$1001,R$4)=0,"",SUMIFS('Input Sheet'!$F$3:$F$1001,'Input Sheet'!$B$3:$B$1001,$H576,'Input Sheet'!$E$3:$E$1001,R$4))</f>
        <v/>
      </c>
      <c r="S576" s="21" t="str">
        <f>IF(SUMIFS('Input Sheet'!$F$3:$F$1001,'Input Sheet'!$B$3:$B$1001,$H576,'Input Sheet'!$E$3:$E$1001,S$4)=0,"",SUMIFS('Input Sheet'!$F$3:$F$1001,'Input Sheet'!$B$3:$B$1001,$H576,'Input Sheet'!$E$3:$E$1001,S$4))</f>
        <v/>
      </c>
      <c r="T576" s="22">
        <v>571</v>
      </c>
    </row>
    <row r="577" spans="1:20" ht="14.25" customHeight="1" x14ac:dyDescent="0.3">
      <c r="A577" s="4" t="str">
        <f>IF('Input Sheet'!B574=0,"",'Input Sheet'!B574)</f>
        <v/>
      </c>
      <c r="B577" s="24" t="b">
        <f t="shared" si="526"/>
        <v>0</v>
      </c>
      <c r="C577" s="4">
        <f>SUMIF('Input Sheet'!B$3:B$1000,A577,'Input Sheet'!C$3:C$1000)</f>
        <v>0</v>
      </c>
      <c r="D577" s="4">
        <f>SUMIF('Input Sheet'!B$3:B$1000,A577,'Input Sheet'!D$3:D$1000)</f>
        <v>0</v>
      </c>
      <c r="E577" s="4" t="str">
        <f t="shared" ref="E577:F577" ca="1" si="594">IFERROR(RANK(K577,K$6:K$1004,1),"")</f>
        <v/>
      </c>
      <c r="F577" s="4" t="str">
        <f t="shared" ca="1" si="594"/>
        <v/>
      </c>
      <c r="G577" s="4" t="str">
        <f t="shared" ca="1" si="528"/>
        <v/>
      </c>
      <c r="H577" s="4" t="str">
        <f t="shared" si="529"/>
        <v/>
      </c>
      <c r="I577" s="4" t="str">
        <f t="shared" si="530"/>
        <v/>
      </c>
      <c r="J577" s="4" t="str">
        <f t="shared" si="531"/>
        <v/>
      </c>
      <c r="K577" s="25" t="str">
        <f t="shared" ca="1" si="532"/>
        <v/>
      </c>
      <c r="L577" s="21" t="str">
        <f t="shared" ca="1" si="533"/>
        <v/>
      </c>
      <c r="M577" s="21" t="str">
        <f>IF(SUMIFS('Input Sheet'!$F$3:$F$1001,'Input Sheet'!$B$3:$B$1001,$H577,'Input Sheet'!$E$3:$E$1001,M$4)=0,"",SUMIFS('Input Sheet'!$F$3:$F$1001,'Input Sheet'!$B$3:$B$1001,$H577,'Input Sheet'!$E$3:$E$1001,M$4))</f>
        <v/>
      </c>
      <c r="N577" s="21" t="str">
        <f>IF(SUMIFS('Input Sheet'!$F$3:$F$1001,'Input Sheet'!$B$3:$B$1001,$H577,'Input Sheet'!$E$3:$E$1001,N$4)=0,"",SUMIFS('Input Sheet'!$F$3:$F$1001,'Input Sheet'!$B$3:$B$1001,$H577,'Input Sheet'!$E$3:$E$1001,N$4))</f>
        <v/>
      </c>
      <c r="O577" s="21" t="str">
        <f>IF(SUMIFS('Input Sheet'!$F$3:$F$1001,'Input Sheet'!$B$3:$B$1001,$H577,'Input Sheet'!$E$3:$E$1001,O$4)=0,"",SUMIFS('Input Sheet'!$F$3:$F$1001,'Input Sheet'!$B$3:$B$1001,$H577,'Input Sheet'!$E$3:$E$1001,O$4))</f>
        <v/>
      </c>
      <c r="P577" s="21" t="str">
        <f>IF(SUMIFS('Input Sheet'!$F$3:$F$1001,'Input Sheet'!$B$3:$B$1001,$H577,'Input Sheet'!$E$3:$E$1001,P$4)=0,"",SUMIFS('Input Sheet'!$F$3:$F$1001,'Input Sheet'!$B$3:$B$1001,$H577,'Input Sheet'!$E$3:$E$1001,P$4))</f>
        <v/>
      </c>
      <c r="Q577" s="21" t="str">
        <f>IF(SUMIFS('Input Sheet'!$F$3:$F$1001,'Input Sheet'!$B$3:$B$1001,$H577,'Input Sheet'!$E$3:$E$1001,Q$4)=0,"",SUMIFS('Input Sheet'!$F$3:$F$1001,'Input Sheet'!$B$3:$B$1001,$H577,'Input Sheet'!$E$3:$E$1001,Q$4))</f>
        <v/>
      </c>
      <c r="R577" s="21" t="str">
        <f>IF(SUMIFS('Input Sheet'!$F$3:$F$1001,'Input Sheet'!$B$3:$B$1001,$H577,'Input Sheet'!$E$3:$E$1001,R$4)=0,"",SUMIFS('Input Sheet'!$F$3:$F$1001,'Input Sheet'!$B$3:$B$1001,$H577,'Input Sheet'!$E$3:$E$1001,R$4))</f>
        <v/>
      </c>
      <c r="S577" s="21" t="str">
        <f>IF(SUMIFS('Input Sheet'!$F$3:$F$1001,'Input Sheet'!$B$3:$B$1001,$H577,'Input Sheet'!$E$3:$E$1001,S$4)=0,"",SUMIFS('Input Sheet'!$F$3:$F$1001,'Input Sheet'!$B$3:$B$1001,$H577,'Input Sheet'!$E$3:$E$1001,S$4))</f>
        <v/>
      </c>
      <c r="T577" s="22">
        <v>572</v>
      </c>
    </row>
    <row r="578" spans="1:20" ht="14.25" customHeight="1" x14ac:dyDescent="0.3">
      <c r="A578" s="4" t="str">
        <f>IF('Input Sheet'!B575=0,"",'Input Sheet'!B575)</f>
        <v/>
      </c>
      <c r="B578" s="24" t="b">
        <f t="shared" si="526"/>
        <v>0</v>
      </c>
      <c r="C578" s="4">
        <f>SUMIF('Input Sheet'!B$3:B$1000,A578,'Input Sheet'!C$3:C$1000)</f>
        <v>0</v>
      </c>
      <c r="D578" s="4">
        <f>SUMIF('Input Sheet'!B$3:B$1000,A578,'Input Sheet'!D$3:D$1000)</f>
        <v>0</v>
      </c>
      <c r="E578" s="4" t="str">
        <f t="shared" ref="E578:F578" ca="1" si="595">IFERROR(RANK(K578,K$6:K$1004,1),"")</f>
        <v/>
      </c>
      <c r="F578" s="4" t="str">
        <f t="shared" ca="1" si="595"/>
        <v/>
      </c>
      <c r="G578" s="4" t="str">
        <f t="shared" ca="1" si="528"/>
        <v/>
      </c>
      <c r="H578" s="4" t="str">
        <f t="shared" si="529"/>
        <v/>
      </c>
      <c r="I578" s="4" t="str">
        <f t="shared" si="530"/>
        <v/>
      </c>
      <c r="J578" s="4" t="str">
        <f t="shared" si="531"/>
        <v/>
      </c>
      <c r="K578" s="25" t="str">
        <f t="shared" ca="1" si="532"/>
        <v/>
      </c>
      <c r="L578" s="21" t="str">
        <f t="shared" ca="1" si="533"/>
        <v/>
      </c>
      <c r="M578" s="21" t="str">
        <f>IF(SUMIFS('Input Sheet'!$F$3:$F$1001,'Input Sheet'!$B$3:$B$1001,$H578,'Input Sheet'!$E$3:$E$1001,M$4)=0,"",SUMIFS('Input Sheet'!$F$3:$F$1001,'Input Sheet'!$B$3:$B$1001,$H578,'Input Sheet'!$E$3:$E$1001,M$4))</f>
        <v/>
      </c>
      <c r="N578" s="21" t="str">
        <f>IF(SUMIFS('Input Sheet'!$F$3:$F$1001,'Input Sheet'!$B$3:$B$1001,$H578,'Input Sheet'!$E$3:$E$1001,N$4)=0,"",SUMIFS('Input Sheet'!$F$3:$F$1001,'Input Sheet'!$B$3:$B$1001,$H578,'Input Sheet'!$E$3:$E$1001,N$4))</f>
        <v/>
      </c>
      <c r="O578" s="21" t="str">
        <f>IF(SUMIFS('Input Sheet'!$F$3:$F$1001,'Input Sheet'!$B$3:$B$1001,$H578,'Input Sheet'!$E$3:$E$1001,O$4)=0,"",SUMIFS('Input Sheet'!$F$3:$F$1001,'Input Sheet'!$B$3:$B$1001,$H578,'Input Sheet'!$E$3:$E$1001,O$4))</f>
        <v/>
      </c>
      <c r="P578" s="21" t="str">
        <f>IF(SUMIFS('Input Sheet'!$F$3:$F$1001,'Input Sheet'!$B$3:$B$1001,$H578,'Input Sheet'!$E$3:$E$1001,P$4)=0,"",SUMIFS('Input Sheet'!$F$3:$F$1001,'Input Sheet'!$B$3:$B$1001,$H578,'Input Sheet'!$E$3:$E$1001,P$4))</f>
        <v/>
      </c>
      <c r="Q578" s="21" t="str">
        <f>IF(SUMIFS('Input Sheet'!$F$3:$F$1001,'Input Sheet'!$B$3:$B$1001,$H578,'Input Sheet'!$E$3:$E$1001,Q$4)=0,"",SUMIFS('Input Sheet'!$F$3:$F$1001,'Input Sheet'!$B$3:$B$1001,$H578,'Input Sheet'!$E$3:$E$1001,Q$4))</f>
        <v/>
      </c>
      <c r="R578" s="21" t="str">
        <f>IF(SUMIFS('Input Sheet'!$F$3:$F$1001,'Input Sheet'!$B$3:$B$1001,$H578,'Input Sheet'!$E$3:$E$1001,R$4)=0,"",SUMIFS('Input Sheet'!$F$3:$F$1001,'Input Sheet'!$B$3:$B$1001,$H578,'Input Sheet'!$E$3:$E$1001,R$4))</f>
        <v/>
      </c>
      <c r="S578" s="21" t="str">
        <f>IF(SUMIFS('Input Sheet'!$F$3:$F$1001,'Input Sheet'!$B$3:$B$1001,$H578,'Input Sheet'!$E$3:$E$1001,S$4)=0,"",SUMIFS('Input Sheet'!$F$3:$F$1001,'Input Sheet'!$B$3:$B$1001,$H578,'Input Sheet'!$E$3:$E$1001,S$4))</f>
        <v/>
      </c>
      <c r="T578" s="22">
        <v>573</v>
      </c>
    </row>
    <row r="579" spans="1:20" ht="14.25" customHeight="1" x14ac:dyDescent="0.3">
      <c r="A579" s="4" t="str">
        <f>IF('Input Sheet'!B576=0,"",'Input Sheet'!B576)</f>
        <v/>
      </c>
      <c r="B579" s="24" t="b">
        <f t="shared" si="526"/>
        <v>0</v>
      </c>
      <c r="C579" s="4">
        <f>SUMIF('Input Sheet'!B$3:B$1000,A579,'Input Sheet'!C$3:C$1000)</f>
        <v>0</v>
      </c>
      <c r="D579" s="4">
        <f>SUMIF('Input Sheet'!B$3:B$1000,A579,'Input Sheet'!D$3:D$1000)</f>
        <v>0</v>
      </c>
      <c r="E579" s="4" t="str">
        <f t="shared" ref="E579:F579" ca="1" si="596">IFERROR(RANK(K579,K$6:K$1004,1),"")</f>
        <v/>
      </c>
      <c r="F579" s="4" t="str">
        <f t="shared" ca="1" si="596"/>
        <v/>
      </c>
      <c r="G579" s="4" t="str">
        <f t="shared" ca="1" si="528"/>
        <v/>
      </c>
      <c r="H579" s="4" t="str">
        <f t="shared" si="529"/>
        <v/>
      </c>
      <c r="I579" s="4" t="str">
        <f t="shared" si="530"/>
        <v/>
      </c>
      <c r="J579" s="4" t="str">
        <f t="shared" si="531"/>
        <v/>
      </c>
      <c r="K579" s="25" t="str">
        <f t="shared" ca="1" si="532"/>
        <v/>
      </c>
      <c r="L579" s="21" t="str">
        <f t="shared" ca="1" si="533"/>
        <v/>
      </c>
      <c r="M579" s="21" t="str">
        <f>IF(SUMIFS('Input Sheet'!$F$3:$F$1001,'Input Sheet'!$B$3:$B$1001,$H579,'Input Sheet'!$E$3:$E$1001,M$4)=0,"",SUMIFS('Input Sheet'!$F$3:$F$1001,'Input Sheet'!$B$3:$B$1001,$H579,'Input Sheet'!$E$3:$E$1001,M$4))</f>
        <v/>
      </c>
      <c r="N579" s="21" t="str">
        <f>IF(SUMIFS('Input Sheet'!$F$3:$F$1001,'Input Sheet'!$B$3:$B$1001,$H579,'Input Sheet'!$E$3:$E$1001,N$4)=0,"",SUMIFS('Input Sheet'!$F$3:$F$1001,'Input Sheet'!$B$3:$B$1001,$H579,'Input Sheet'!$E$3:$E$1001,N$4))</f>
        <v/>
      </c>
      <c r="O579" s="21" t="str">
        <f>IF(SUMIFS('Input Sheet'!$F$3:$F$1001,'Input Sheet'!$B$3:$B$1001,$H579,'Input Sheet'!$E$3:$E$1001,O$4)=0,"",SUMIFS('Input Sheet'!$F$3:$F$1001,'Input Sheet'!$B$3:$B$1001,$H579,'Input Sheet'!$E$3:$E$1001,O$4))</f>
        <v/>
      </c>
      <c r="P579" s="21" t="str">
        <f>IF(SUMIFS('Input Sheet'!$F$3:$F$1001,'Input Sheet'!$B$3:$B$1001,$H579,'Input Sheet'!$E$3:$E$1001,P$4)=0,"",SUMIFS('Input Sheet'!$F$3:$F$1001,'Input Sheet'!$B$3:$B$1001,$H579,'Input Sheet'!$E$3:$E$1001,P$4))</f>
        <v/>
      </c>
      <c r="Q579" s="21" t="str">
        <f>IF(SUMIFS('Input Sheet'!$F$3:$F$1001,'Input Sheet'!$B$3:$B$1001,$H579,'Input Sheet'!$E$3:$E$1001,Q$4)=0,"",SUMIFS('Input Sheet'!$F$3:$F$1001,'Input Sheet'!$B$3:$B$1001,$H579,'Input Sheet'!$E$3:$E$1001,Q$4))</f>
        <v/>
      </c>
      <c r="R579" s="21" t="str">
        <f>IF(SUMIFS('Input Sheet'!$F$3:$F$1001,'Input Sheet'!$B$3:$B$1001,$H579,'Input Sheet'!$E$3:$E$1001,R$4)=0,"",SUMIFS('Input Sheet'!$F$3:$F$1001,'Input Sheet'!$B$3:$B$1001,$H579,'Input Sheet'!$E$3:$E$1001,R$4))</f>
        <v/>
      </c>
      <c r="S579" s="21" t="str">
        <f>IF(SUMIFS('Input Sheet'!$F$3:$F$1001,'Input Sheet'!$B$3:$B$1001,$H579,'Input Sheet'!$E$3:$E$1001,S$4)=0,"",SUMIFS('Input Sheet'!$F$3:$F$1001,'Input Sheet'!$B$3:$B$1001,$H579,'Input Sheet'!$E$3:$E$1001,S$4))</f>
        <v/>
      </c>
      <c r="T579" s="22">
        <v>574</v>
      </c>
    </row>
    <row r="580" spans="1:20" ht="14.25" customHeight="1" x14ac:dyDescent="0.3">
      <c r="A580" s="4" t="str">
        <f>IF('Input Sheet'!B577=0,"",'Input Sheet'!B577)</f>
        <v/>
      </c>
      <c r="B580" s="24" t="b">
        <f t="shared" si="526"/>
        <v>0</v>
      </c>
      <c r="C580" s="4">
        <f>SUMIF('Input Sheet'!B$3:B$1000,A580,'Input Sheet'!C$3:C$1000)</f>
        <v>0</v>
      </c>
      <c r="D580" s="4">
        <f>SUMIF('Input Sheet'!B$3:B$1000,A580,'Input Sheet'!D$3:D$1000)</f>
        <v>0</v>
      </c>
      <c r="E580" s="4" t="str">
        <f t="shared" ref="E580:F580" ca="1" si="597">IFERROR(RANK(K580,K$6:K$1004,1),"")</f>
        <v/>
      </c>
      <c r="F580" s="4" t="str">
        <f t="shared" ca="1" si="597"/>
        <v/>
      </c>
      <c r="G580" s="4" t="str">
        <f t="shared" ca="1" si="528"/>
        <v/>
      </c>
      <c r="H580" s="4" t="str">
        <f t="shared" si="529"/>
        <v/>
      </c>
      <c r="I580" s="4" t="str">
        <f t="shared" si="530"/>
        <v/>
      </c>
      <c r="J580" s="4" t="str">
        <f t="shared" si="531"/>
        <v/>
      </c>
      <c r="K580" s="25" t="str">
        <f t="shared" ca="1" si="532"/>
        <v/>
      </c>
      <c r="L580" s="21" t="str">
        <f t="shared" ca="1" si="533"/>
        <v/>
      </c>
      <c r="M580" s="21" t="str">
        <f>IF(SUMIFS('Input Sheet'!$F$3:$F$1001,'Input Sheet'!$B$3:$B$1001,$H580,'Input Sheet'!$E$3:$E$1001,M$4)=0,"",SUMIFS('Input Sheet'!$F$3:$F$1001,'Input Sheet'!$B$3:$B$1001,$H580,'Input Sheet'!$E$3:$E$1001,M$4))</f>
        <v/>
      </c>
      <c r="N580" s="21" t="str">
        <f>IF(SUMIFS('Input Sheet'!$F$3:$F$1001,'Input Sheet'!$B$3:$B$1001,$H580,'Input Sheet'!$E$3:$E$1001,N$4)=0,"",SUMIFS('Input Sheet'!$F$3:$F$1001,'Input Sheet'!$B$3:$B$1001,$H580,'Input Sheet'!$E$3:$E$1001,N$4))</f>
        <v/>
      </c>
      <c r="O580" s="21" t="str">
        <f>IF(SUMIFS('Input Sheet'!$F$3:$F$1001,'Input Sheet'!$B$3:$B$1001,$H580,'Input Sheet'!$E$3:$E$1001,O$4)=0,"",SUMIFS('Input Sheet'!$F$3:$F$1001,'Input Sheet'!$B$3:$B$1001,$H580,'Input Sheet'!$E$3:$E$1001,O$4))</f>
        <v/>
      </c>
      <c r="P580" s="21" t="str">
        <f>IF(SUMIFS('Input Sheet'!$F$3:$F$1001,'Input Sheet'!$B$3:$B$1001,$H580,'Input Sheet'!$E$3:$E$1001,P$4)=0,"",SUMIFS('Input Sheet'!$F$3:$F$1001,'Input Sheet'!$B$3:$B$1001,$H580,'Input Sheet'!$E$3:$E$1001,P$4))</f>
        <v/>
      </c>
      <c r="Q580" s="21" t="str">
        <f>IF(SUMIFS('Input Sheet'!$F$3:$F$1001,'Input Sheet'!$B$3:$B$1001,$H580,'Input Sheet'!$E$3:$E$1001,Q$4)=0,"",SUMIFS('Input Sheet'!$F$3:$F$1001,'Input Sheet'!$B$3:$B$1001,$H580,'Input Sheet'!$E$3:$E$1001,Q$4))</f>
        <v/>
      </c>
      <c r="R580" s="21" t="str">
        <f>IF(SUMIFS('Input Sheet'!$F$3:$F$1001,'Input Sheet'!$B$3:$B$1001,$H580,'Input Sheet'!$E$3:$E$1001,R$4)=0,"",SUMIFS('Input Sheet'!$F$3:$F$1001,'Input Sheet'!$B$3:$B$1001,$H580,'Input Sheet'!$E$3:$E$1001,R$4))</f>
        <v/>
      </c>
      <c r="S580" s="21" t="str">
        <f>IF(SUMIFS('Input Sheet'!$F$3:$F$1001,'Input Sheet'!$B$3:$B$1001,$H580,'Input Sheet'!$E$3:$E$1001,S$4)=0,"",SUMIFS('Input Sheet'!$F$3:$F$1001,'Input Sheet'!$B$3:$B$1001,$H580,'Input Sheet'!$E$3:$E$1001,S$4))</f>
        <v/>
      </c>
      <c r="T580" s="22">
        <v>575</v>
      </c>
    </row>
    <row r="581" spans="1:20" ht="14.25" customHeight="1" x14ac:dyDescent="0.3">
      <c r="A581" s="4" t="str">
        <f>IF('Input Sheet'!B578=0,"",'Input Sheet'!B578)</f>
        <v/>
      </c>
      <c r="B581" s="24" t="b">
        <f t="shared" si="526"/>
        <v>0</v>
      </c>
      <c r="C581" s="4">
        <f>SUMIF('Input Sheet'!B$3:B$1000,A581,'Input Sheet'!C$3:C$1000)</f>
        <v>0</v>
      </c>
      <c r="D581" s="4">
        <f>SUMIF('Input Sheet'!B$3:B$1000,A581,'Input Sheet'!D$3:D$1000)</f>
        <v>0</v>
      </c>
      <c r="E581" s="4" t="str">
        <f t="shared" ref="E581:F581" ca="1" si="598">IFERROR(RANK(K581,K$6:K$1004,1),"")</f>
        <v/>
      </c>
      <c r="F581" s="4" t="str">
        <f t="shared" ca="1" si="598"/>
        <v/>
      </c>
      <c r="G581" s="4" t="str">
        <f t="shared" ca="1" si="528"/>
        <v/>
      </c>
      <c r="H581" s="4" t="str">
        <f t="shared" si="529"/>
        <v/>
      </c>
      <c r="I581" s="4" t="str">
        <f t="shared" si="530"/>
        <v/>
      </c>
      <c r="J581" s="4" t="str">
        <f t="shared" si="531"/>
        <v/>
      </c>
      <c r="K581" s="25" t="str">
        <f t="shared" ca="1" si="532"/>
        <v/>
      </c>
      <c r="L581" s="21" t="str">
        <f t="shared" ca="1" si="533"/>
        <v/>
      </c>
      <c r="M581" s="21" t="str">
        <f>IF(SUMIFS('Input Sheet'!$F$3:$F$1001,'Input Sheet'!$B$3:$B$1001,$H581,'Input Sheet'!$E$3:$E$1001,M$4)=0,"",SUMIFS('Input Sheet'!$F$3:$F$1001,'Input Sheet'!$B$3:$B$1001,$H581,'Input Sheet'!$E$3:$E$1001,M$4))</f>
        <v/>
      </c>
      <c r="N581" s="21" t="str">
        <f>IF(SUMIFS('Input Sheet'!$F$3:$F$1001,'Input Sheet'!$B$3:$B$1001,$H581,'Input Sheet'!$E$3:$E$1001,N$4)=0,"",SUMIFS('Input Sheet'!$F$3:$F$1001,'Input Sheet'!$B$3:$B$1001,$H581,'Input Sheet'!$E$3:$E$1001,N$4))</f>
        <v/>
      </c>
      <c r="O581" s="21" t="str">
        <f>IF(SUMIFS('Input Sheet'!$F$3:$F$1001,'Input Sheet'!$B$3:$B$1001,$H581,'Input Sheet'!$E$3:$E$1001,O$4)=0,"",SUMIFS('Input Sheet'!$F$3:$F$1001,'Input Sheet'!$B$3:$B$1001,$H581,'Input Sheet'!$E$3:$E$1001,O$4))</f>
        <v/>
      </c>
      <c r="P581" s="21" t="str">
        <f>IF(SUMIFS('Input Sheet'!$F$3:$F$1001,'Input Sheet'!$B$3:$B$1001,$H581,'Input Sheet'!$E$3:$E$1001,P$4)=0,"",SUMIFS('Input Sheet'!$F$3:$F$1001,'Input Sheet'!$B$3:$B$1001,$H581,'Input Sheet'!$E$3:$E$1001,P$4))</f>
        <v/>
      </c>
      <c r="Q581" s="21" t="str">
        <f>IF(SUMIFS('Input Sheet'!$F$3:$F$1001,'Input Sheet'!$B$3:$B$1001,$H581,'Input Sheet'!$E$3:$E$1001,Q$4)=0,"",SUMIFS('Input Sheet'!$F$3:$F$1001,'Input Sheet'!$B$3:$B$1001,$H581,'Input Sheet'!$E$3:$E$1001,Q$4))</f>
        <v/>
      </c>
      <c r="R581" s="21" t="str">
        <f>IF(SUMIFS('Input Sheet'!$F$3:$F$1001,'Input Sheet'!$B$3:$B$1001,$H581,'Input Sheet'!$E$3:$E$1001,R$4)=0,"",SUMIFS('Input Sheet'!$F$3:$F$1001,'Input Sheet'!$B$3:$B$1001,$H581,'Input Sheet'!$E$3:$E$1001,R$4))</f>
        <v/>
      </c>
      <c r="S581" s="21" t="str">
        <f>IF(SUMIFS('Input Sheet'!$F$3:$F$1001,'Input Sheet'!$B$3:$B$1001,$H581,'Input Sheet'!$E$3:$E$1001,S$4)=0,"",SUMIFS('Input Sheet'!$F$3:$F$1001,'Input Sheet'!$B$3:$B$1001,$H581,'Input Sheet'!$E$3:$E$1001,S$4))</f>
        <v/>
      </c>
      <c r="T581" s="22">
        <v>576</v>
      </c>
    </row>
    <row r="582" spans="1:20" ht="14.25" customHeight="1" x14ac:dyDescent="0.3">
      <c r="A582" s="4" t="str">
        <f>IF('Input Sheet'!B579=0,"",'Input Sheet'!B579)</f>
        <v/>
      </c>
      <c r="B582" s="24" t="b">
        <f t="shared" si="526"/>
        <v>0</v>
      </c>
      <c r="C582" s="4">
        <f>SUMIF('Input Sheet'!B$3:B$1000,A582,'Input Sheet'!C$3:C$1000)</f>
        <v>0</v>
      </c>
      <c r="D582" s="4">
        <f>SUMIF('Input Sheet'!B$3:B$1000,A582,'Input Sheet'!D$3:D$1000)</f>
        <v>0</v>
      </c>
      <c r="E582" s="4" t="str">
        <f t="shared" ref="E582:F582" ca="1" si="599">IFERROR(RANK(K582,K$6:K$1004,1),"")</f>
        <v/>
      </c>
      <c r="F582" s="4" t="str">
        <f t="shared" ca="1" si="599"/>
        <v/>
      </c>
      <c r="G582" s="4" t="str">
        <f t="shared" ca="1" si="528"/>
        <v/>
      </c>
      <c r="H582" s="4" t="str">
        <f t="shared" si="529"/>
        <v/>
      </c>
      <c r="I582" s="4" t="str">
        <f t="shared" si="530"/>
        <v/>
      </c>
      <c r="J582" s="4" t="str">
        <f t="shared" si="531"/>
        <v/>
      </c>
      <c r="K582" s="25" t="str">
        <f t="shared" ca="1" si="532"/>
        <v/>
      </c>
      <c r="L582" s="21" t="str">
        <f t="shared" ca="1" si="533"/>
        <v/>
      </c>
      <c r="M582" s="21" t="str">
        <f>IF(SUMIFS('Input Sheet'!$F$3:$F$1001,'Input Sheet'!$B$3:$B$1001,$H582,'Input Sheet'!$E$3:$E$1001,M$4)=0,"",SUMIFS('Input Sheet'!$F$3:$F$1001,'Input Sheet'!$B$3:$B$1001,$H582,'Input Sheet'!$E$3:$E$1001,M$4))</f>
        <v/>
      </c>
      <c r="N582" s="21" t="str">
        <f>IF(SUMIFS('Input Sheet'!$F$3:$F$1001,'Input Sheet'!$B$3:$B$1001,$H582,'Input Sheet'!$E$3:$E$1001,N$4)=0,"",SUMIFS('Input Sheet'!$F$3:$F$1001,'Input Sheet'!$B$3:$B$1001,$H582,'Input Sheet'!$E$3:$E$1001,N$4))</f>
        <v/>
      </c>
      <c r="O582" s="21" t="str">
        <f>IF(SUMIFS('Input Sheet'!$F$3:$F$1001,'Input Sheet'!$B$3:$B$1001,$H582,'Input Sheet'!$E$3:$E$1001,O$4)=0,"",SUMIFS('Input Sheet'!$F$3:$F$1001,'Input Sheet'!$B$3:$B$1001,$H582,'Input Sheet'!$E$3:$E$1001,O$4))</f>
        <v/>
      </c>
      <c r="P582" s="21" t="str">
        <f>IF(SUMIFS('Input Sheet'!$F$3:$F$1001,'Input Sheet'!$B$3:$B$1001,$H582,'Input Sheet'!$E$3:$E$1001,P$4)=0,"",SUMIFS('Input Sheet'!$F$3:$F$1001,'Input Sheet'!$B$3:$B$1001,$H582,'Input Sheet'!$E$3:$E$1001,P$4))</f>
        <v/>
      </c>
      <c r="Q582" s="21" t="str">
        <f>IF(SUMIFS('Input Sheet'!$F$3:$F$1001,'Input Sheet'!$B$3:$B$1001,$H582,'Input Sheet'!$E$3:$E$1001,Q$4)=0,"",SUMIFS('Input Sheet'!$F$3:$F$1001,'Input Sheet'!$B$3:$B$1001,$H582,'Input Sheet'!$E$3:$E$1001,Q$4))</f>
        <v/>
      </c>
      <c r="R582" s="21" t="str">
        <f>IF(SUMIFS('Input Sheet'!$F$3:$F$1001,'Input Sheet'!$B$3:$B$1001,$H582,'Input Sheet'!$E$3:$E$1001,R$4)=0,"",SUMIFS('Input Sheet'!$F$3:$F$1001,'Input Sheet'!$B$3:$B$1001,$H582,'Input Sheet'!$E$3:$E$1001,R$4))</f>
        <v/>
      </c>
      <c r="S582" s="21" t="str">
        <f>IF(SUMIFS('Input Sheet'!$F$3:$F$1001,'Input Sheet'!$B$3:$B$1001,$H582,'Input Sheet'!$E$3:$E$1001,S$4)=0,"",SUMIFS('Input Sheet'!$F$3:$F$1001,'Input Sheet'!$B$3:$B$1001,$H582,'Input Sheet'!$E$3:$E$1001,S$4))</f>
        <v/>
      </c>
      <c r="T582" s="22">
        <v>577</v>
      </c>
    </row>
    <row r="583" spans="1:20" ht="14.25" customHeight="1" x14ac:dyDescent="0.3">
      <c r="A583" s="4" t="str">
        <f>IF('Input Sheet'!B580=0,"",'Input Sheet'!B580)</f>
        <v/>
      </c>
      <c r="B583" s="24" t="b">
        <f t="shared" si="526"/>
        <v>0</v>
      </c>
      <c r="C583" s="4">
        <f>SUMIF('Input Sheet'!B$3:B$1000,A583,'Input Sheet'!C$3:C$1000)</f>
        <v>0</v>
      </c>
      <c r="D583" s="4">
        <f>SUMIF('Input Sheet'!B$3:B$1000,A583,'Input Sheet'!D$3:D$1000)</f>
        <v>0</v>
      </c>
      <c r="E583" s="4" t="str">
        <f t="shared" ref="E583:F583" ca="1" si="600">IFERROR(RANK(K583,K$6:K$1004,1),"")</f>
        <v/>
      </c>
      <c r="F583" s="4" t="str">
        <f t="shared" ca="1" si="600"/>
        <v/>
      </c>
      <c r="G583" s="4" t="str">
        <f t="shared" ca="1" si="528"/>
        <v/>
      </c>
      <c r="H583" s="4" t="str">
        <f t="shared" si="529"/>
        <v/>
      </c>
      <c r="I583" s="4" t="str">
        <f t="shared" si="530"/>
        <v/>
      </c>
      <c r="J583" s="4" t="str">
        <f t="shared" si="531"/>
        <v/>
      </c>
      <c r="K583" s="25" t="str">
        <f t="shared" ca="1" si="532"/>
        <v/>
      </c>
      <c r="L583" s="21" t="str">
        <f t="shared" ca="1" si="533"/>
        <v/>
      </c>
      <c r="M583" s="21" t="str">
        <f>IF(SUMIFS('Input Sheet'!$F$3:$F$1001,'Input Sheet'!$B$3:$B$1001,$H583,'Input Sheet'!$E$3:$E$1001,M$4)=0,"",SUMIFS('Input Sheet'!$F$3:$F$1001,'Input Sheet'!$B$3:$B$1001,$H583,'Input Sheet'!$E$3:$E$1001,M$4))</f>
        <v/>
      </c>
      <c r="N583" s="21" t="str">
        <f>IF(SUMIFS('Input Sheet'!$F$3:$F$1001,'Input Sheet'!$B$3:$B$1001,$H583,'Input Sheet'!$E$3:$E$1001,N$4)=0,"",SUMIFS('Input Sheet'!$F$3:$F$1001,'Input Sheet'!$B$3:$B$1001,$H583,'Input Sheet'!$E$3:$E$1001,N$4))</f>
        <v/>
      </c>
      <c r="O583" s="21" t="str">
        <f>IF(SUMIFS('Input Sheet'!$F$3:$F$1001,'Input Sheet'!$B$3:$B$1001,$H583,'Input Sheet'!$E$3:$E$1001,O$4)=0,"",SUMIFS('Input Sheet'!$F$3:$F$1001,'Input Sheet'!$B$3:$B$1001,$H583,'Input Sheet'!$E$3:$E$1001,O$4))</f>
        <v/>
      </c>
      <c r="P583" s="21" t="str">
        <f>IF(SUMIFS('Input Sheet'!$F$3:$F$1001,'Input Sheet'!$B$3:$B$1001,$H583,'Input Sheet'!$E$3:$E$1001,P$4)=0,"",SUMIFS('Input Sheet'!$F$3:$F$1001,'Input Sheet'!$B$3:$B$1001,$H583,'Input Sheet'!$E$3:$E$1001,P$4))</f>
        <v/>
      </c>
      <c r="Q583" s="21" t="str">
        <f>IF(SUMIFS('Input Sheet'!$F$3:$F$1001,'Input Sheet'!$B$3:$B$1001,$H583,'Input Sheet'!$E$3:$E$1001,Q$4)=0,"",SUMIFS('Input Sheet'!$F$3:$F$1001,'Input Sheet'!$B$3:$B$1001,$H583,'Input Sheet'!$E$3:$E$1001,Q$4))</f>
        <v/>
      </c>
      <c r="R583" s="21" t="str">
        <f>IF(SUMIFS('Input Sheet'!$F$3:$F$1001,'Input Sheet'!$B$3:$B$1001,$H583,'Input Sheet'!$E$3:$E$1001,R$4)=0,"",SUMIFS('Input Sheet'!$F$3:$F$1001,'Input Sheet'!$B$3:$B$1001,$H583,'Input Sheet'!$E$3:$E$1001,R$4))</f>
        <v/>
      </c>
      <c r="S583" s="21" t="str">
        <f>IF(SUMIFS('Input Sheet'!$F$3:$F$1001,'Input Sheet'!$B$3:$B$1001,$H583,'Input Sheet'!$E$3:$E$1001,S$4)=0,"",SUMIFS('Input Sheet'!$F$3:$F$1001,'Input Sheet'!$B$3:$B$1001,$H583,'Input Sheet'!$E$3:$E$1001,S$4))</f>
        <v/>
      </c>
      <c r="T583" s="22">
        <v>578</v>
      </c>
    </row>
    <row r="584" spans="1:20" ht="14.25" customHeight="1" x14ac:dyDescent="0.3">
      <c r="A584" s="4" t="str">
        <f>IF('Input Sheet'!B581=0,"",'Input Sheet'!B581)</f>
        <v/>
      </c>
      <c r="B584" s="24" t="b">
        <f t="shared" si="526"/>
        <v>0</v>
      </c>
      <c r="C584" s="4">
        <f>SUMIF('Input Sheet'!B$3:B$1000,A584,'Input Sheet'!C$3:C$1000)</f>
        <v>0</v>
      </c>
      <c r="D584" s="4">
        <f>SUMIF('Input Sheet'!B$3:B$1000,A584,'Input Sheet'!D$3:D$1000)</f>
        <v>0</v>
      </c>
      <c r="E584" s="4" t="str">
        <f t="shared" ref="E584:F584" ca="1" si="601">IFERROR(RANK(K584,K$6:K$1004,1),"")</f>
        <v/>
      </c>
      <c r="F584" s="4" t="str">
        <f t="shared" ca="1" si="601"/>
        <v/>
      </c>
      <c r="G584" s="4" t="str">
        <f t="shared" ca="1" si="528"/>
        <v/>
      </c>
      <c r="H584" s="4" t="str">
        <f t="shared" si="529"/>
        <v/>
      </c>
      <c r="I584" s="4" t="str">
        <f t="shared" si="530"/>
        <v/>
      </c>
      <c r="J584" s="4" t="str">
        <f t="shared" si="531"/>
        <v/>
      </c>
      <c r="K584" s="25" t="str">
        <f t="shared" ca="1" si="532"/>
        <v/>
      </c>
      <c r="L584" s="21" t="str">
        <f t="shared" ca="1" si="533"/>
        <v/>
      </c>
      <c r="M584" s="21" t="str">
        <f>IF(SUMIFS('Input Sheet'!$F$3:$F$1001,'Input Sheet'!$B$3:$B$1001,$H584,'Input Sheet'!$E$3:$E$1001,M$4)=0,"",SUMIFS('Input Sheet'!$F$3:$F$1001,'Input Sheet'!$B$3:$B$1001,$H584,'Input Sheet'!$E$3:$E$1001,M$4))</f>
        <v/>
      </c>
      <c r="N584" s="21" t="str">
        <f>IF(SUMIFS('Input Sheet'!$F$3:$F$1001,'Input Sheet'!$B$3:$B$1001,$H584,'Input Sheet'!$E$3:$E$1001,N$4)=0,"",SUMIFS('Input Sheet'!$F$3:$F$1001,'Input Sheet'!$B$3:$B$1001,$H584,'Input Sheet'!$E$3:$E$1001,N$4))</f>
        <v/>
      </c>
      <c r="O584" s="21" t="str">
        <f>IF(SUMIFS('Input Sheet'!$F$3:$F$1001,'Input Sheet'!$B$3:$B$1001,$H584,'Input Sheet'!$E$3:$E$1001,O$4)=0,"",SUMIFS('Input Sheet'!$F$3:$F$1001,'Input Sheet'!$B$3:$B$1001,$H584,'Input Sheet'!$E$3:$E$1001,O$4))</f>
        <v/>
      </c>
      <c r="P584" s="21" t="str">
        <f>IF(SUMIFS('Input Sheet'!$F$3:$F$1001,'Input Sheet'!$B$3:$B$1001,$H584,'Input Sheet'!$E$3:$E$1001,P$4)=0,"",SUMIFS('Input Sheet'!$F$3:$F$1001,'Input Sheet'!$B$3:$B$1001,$H584,'Input Sheet'!$E$3:$E$1001,P$4))</f>
        <v/>
      </c>
      <c r="Q584" s="21" t="str">
        <f>IF(SUMIFS('Input Sheet'!$F$3:$F$1001,'Input Sheet'!$B$3:$B$1001,$H584,'Input Sheet'!$E$3:$E$1001,Q$4)=0,"",SUMIFS('Input Sheet'!$F$3:$F$1001,'Input Sheet'!$B$3:$B$1001,$H584,'Input Sheet'!$E$3:$E$1001,Q$4))</f>
        <v/>
      </c>
      <c r="R584" s="21" t="str">
        <f>IF(SUMIFS('Input Sheet'!$F$3:$F$1001,'Input Sheet'!$B$3:$B$1001,$H584,'Input Sheet'!$E$3:$E$1001,R$4)=0,"",SUMIFS('Input Sheet'!$F$3:$F$1001,'Input Sheet'!$B$3:$B$1001,$H584,'Input Sheet'!$E$3:$E$1001,R$4))</f>
        <v/>
      </c>
      <c r="S584" s="21" t="str">
        <f>IF(SUMIFS('Input Sheet'!$F$3:$F$1001,'Input Sheet'!$B$3:$B$1001,$H584,'Input Sheet'!$E$3:$E$1001,S$4)=0,"",SUMIFS('Input Sheet'!$F$3:$F$1001,'Input Sheet'!$B$3:$B$1001,$H584,'Input Sheet'!$E$3:$E$1001,S$4))</f>
        <v/>
      </c>
      <c r="T584" s="22">
        <v>579</v>
      </c>
    </row>
    <row r="585" spans="1:20" ht="14.25" customHeight="1" x14ac:dyDescent="0.3">
      <c r="A585" s="4" t="str">
        <f>IF('Input Sheet'!B582=0,"",'Input Sheet'!B582)</f>
        <v/>
      </c>
      <c r="B585" s="24" t="b">
        <f t="shared" si="526"/>
        <v>0</v>
      </c>
      <c r="C585" s="4">
        <f>SUMIF('Input Sheet'!B$3:B$1000,A585,'Input Sheet'!C$3:C$1000)</f>
        <v>0</v>
      </c>
      <c r="D585" s="4">
        <f>SUMIF('Input Sheet'!B$3:B$1000,A585,'Input Sheet'!D$3:D$1000)</f>
        <v>0</v>
      </c>
      <c r="E585" s="4" t="str">
        <f t="shared" ref="E585:F585" ca="1" si="602">IFERROR(RANK(K585,K$6:K$1004,1),"")</f>
        <v/>
      </c>
      <c r="F585" s="4" t="str">
        <f t="shared" ca="1" si="602"/>
        <v/>
      </c>
      <c r="G585" s="4" t="str">
        <f t="shared" ca="1" si="528"/>
        <v/>
      </c>
      <c r="H585" s="4" t="str">
        <f t="shared" si="529"/>
        <v/>
      </c>
      <c r="I585" s="4" t="str">
        <f t="shared" si="530"/>
        <v/>
      </c>
      <c r="J585" s="4" t="str">
        <f t="shared" si="531"/>
        <v/>
      </c>
      <c r="K585" s="25" t="str">
        <f t="shared" ca="1" si="532"/>
        <v/>
      </c>
      <c r="L585" s="21" t="str">
        <f t="shared" ca="1" si="533"/>
        <v/>
      </c>
      <c r="M585" s="21" t="str">
        <f>IF(SUMIFS('Input Sheet'!$F$3:$F$1001,'Input Sheet'!$B$3:$B$1001,$H585,'Input Sheet'!$E$3:$E$1001,M$4)=0,"",SUMIFS('Input Sheet'!$F$3:$F$1001,'Input Sheet'!$B$3:$B$1001,$H585,'Input Sheet'!$E$3:$E$1001,M$4))</f>
        <v/>
      </c>
      <c r="N585" s="21" t="str">
        <f>IF(SUMIFS('Input Sheet'!$F$3:$F$1001,'Input Sheet'!$B$3:$B$1001,$H585,'Input Sheet'!$E$3:$E$1001,N$4)=0,"",SUMIFS('Input Sheet'!$F$3:$F$1001,'Input Sheet'!$B$3:$B$1001,$H585,'Input Sheet'!$E$3:$E$1001,N$4))</f>
        <v/>
      </c>
      <c r="O585" s="21" t="str">
        <f>IF(SUMIFS('Input Sheet'!$F$3:$F$1001,'Input Sheet'!$B$3:$B$1001,$H585,'Input Sheet'!$E$3:$E$1001,O$4)=0,"",SUMIFS('Input Sheet'!$F$3:$F$1001,'Input Sheet'!$B$3:$B$1001,$H585,'Input Sheet'!$E$3:$E$1001,O$4))</f>
        <v/>
      </c>
      <c r="P585" s="21" t="str">
        <f>IF(SUMIFS('Input Sheet'!$F$3:$F$1001,'Input Sheet'!$B$3:$B$1001,$H585,'Input Sheet'!$E$3:$E$1001,P$4)=0,"",SUMIFS('Input Sheet'!$F$3:$F$1001,'Input Sheet'!$B$3:$B$1001,$H585,'Input Sheet'!$E$3:$E$1001,P$4))</f>
        <v/>
      </c>
      <c r="Q585" s="21" t="str">
        <f>IF(SUMIFS('Input Sheet'!$F$3:$F$1001,'Input Sheet'!$B$3:$B$1001,$H585,'Input Sheet'!$E$3:$E$1001,Q$4)=0,"",SUMIFS('Input Sheet'!$F$3:$F$1001,'Input Sheet'!$B$3:$B$1001,$H585,'Input Sheet'!$E$3:$E$1001,Q$4))</f>
        <v/>
      </c>
      <c r="R585" s="21" t="str">
        <f>IF(SUMIFS('Input Sheet'!$F$3:$F$1001,'Input Sheet'!$B$3:$B$1001,$H585,'Input Sheet'!$E$3:$E$1001,R$4)=0,"",SUMIFS('Input Sheet'!$F$3:$F$1001,'Input Sheet'!$B$3:$B$1001,$H585,'Input Sheet'!$E$3:$E$1001,R$4))</f>
        <v/>
      </c>
      <c r="S585" s="21" t="str">
        <f>IF(SUMIFS('Input Sheet'!$F$3:$F$1001,'Input Sheet'!$B$3:$B$1001,$H585,'Input Sheet'!$E$3:$E$1001,S$4)=0,"",SUMIFS('Input Sheet'!$F$3:$F$1001,'Input Sheet'!$B$3:$B$1001,$H585,'Input Sheet'!$E$3:$E$1001,S$4))</f>
        <v/>
      </c>
      <c r="T585" s="22">
        <v>580</v>
      </c>
    </row>
    <row r="586" spans="1:20" ht="14.25" customHeight="1" x14ac:dyDescent="0.3">
      <c r="A586" s="4" t="str">
        <f>IF('Input Sheet'!B583=0,"",'Input Sheet'!B583)</f>
        <v/>
      </c>
      <c r="B586" s="24" t="b">
        <f t="shared" si="526"/>
        <v>0</v>
      </c>
      <c r="C586" s="4">
        <f>SUMIF('Input Sheet'!B$3:B$1000,A586,'Input Sheet'!C$3:C$1000)</f>
        <v>0</v>
      </c>
      <c r="D586" s="4">
        <f>SUMIF('Input Sheet'!B$3:B$1000,A586,'Input Sheet'!D$3:D$1000)</f>
        <v>0</v>
      </c>
      <c r="E586" s="4" t="str">
        <f t="shared" ref="E586:F586" ca="1" si="603">IFERROR(RANK(K586,K$6:K$1004,1),"")</f>
        <v/>
      </c>
      <c r="F586" s="4" t="str">
        <f t="shared" ca="1" si="603"/>
        <v/>
      </c>
      <c r="G586" s="4" t="str">
        <f t="shared" ca="1" si="528"/>
        <v/>
      </c>
      <c r="H586" s="4" t="str">
        <f t="shared" si="529"/>
        <v/>
      </c>
      <c r="I586" s="4" t="str">
        <f t="shared" si="530"/>
        <v/>
      </c>
      <c r="J586" s="4" t="str">
        <f t="shared" si="531"/>
        <v/>
      </c>
      <c r="K586" s="25" t="str">
        <f t="shared" ca="1" si="532"/>
        <v/>
      </c>
      <c r="L586" s="21" t="str">
        <f t="shared" ca="1" si="533"/>
        <v/>
      </c>
      <c r="M586" s="21" t="str">
        <f>IF(SUMIFS('Input Sheet'!$F$3:$F$1001,'Input Sheet'!$B$3:$B$1001,$H586,'Input Sheet'!$E$3:$E$1001,M$4)=0,"",SUMIFS('Input Sheet'!$F$3:$F$1001,'Input Sheet'!$B$3:$B$1001,$H586,'Input Sheet'!$E$3:$E$1001,M$4))</f>
        <v/>
      </c>
      <c r="N586" s="21" t="str">
        <f>IF(SUMIFS('Input Sheet'!$F$3:$F$1001,'Input Sheet'!$B$3:$B$1001,$H586,'Input Sheet'!$E$3:$E$1001,N$4)=0,"",SUMIFS('Input Sheet'!$F$3:$F$1001,'Input Sheet'!$B$3:$B$1001,$H586,'Input Sheet'!$E$3:$E$1001,N$4))</f>
        <v/>
      </c>
      <c r="O586" s="21" t="str">
        <f>IF(SUMIFS('Input Sheet'!$F$3:$F$1001,'Input Sheet'!$B$3:$B$1001,$H586,'Input Sheet'!$E$3:$E$1001,O$4)=0,"",SUMIFS('Input Sheet'!$F$3:$F$1001,'Input Sheet'!$B$3:$B$1001,$H586,'Input Sheet'!$E$3:$E$1001,O$4))</f>
        <v/>
      </c>
      <c r="P586" s="21" t="str">
        <f>IF(SUMIFS('Input Sheet'!$F$3:$F$1001,'Input Sheet'!$B$3:$B$1001,$H586,'Input Sheet'!$E$3:$E$1001,P$4)=0,"",SUMIFS('Input Sheet'!$F$3:$F$1001,'Input Sheet'!$B$3:$B$1001,$H586,'Input Sheet'!$E$3:$E$1001,P$4))</f>
        <v/>
      </c>
      <c r="Q586" s="21" t="str">
        <f>IF(SUMIFS('Input Sheet'!$F$3:$F$1001,'Input Sheet'!$B$3:$B$1001,$H586,'Input Sheet'!$E$3:$E$1001,Q$4)=0,"",SUMIFS('Input Sheet'!$F$3:$F$1001,'Input Sheet'!$B$3:$B$1001,$H586,'Input Sheet'!$E$3:$E$1001,Q$4))</f>
        <v/>
      </c>
      <c r="R586" s="21" t="str">
        <f>IF(SUMIFS('Input Sheet'!$F$3:$F$1001,'Input Sheet'!$B$3:$B$1001,$H586,'Input Sheet'!$E$3:$E$1001,R$4)=0,"",SUMIFS('Input Sheet'!$F$3:$F$1001,'Input Sheet'!$B$3:$B$1001,$H586,'Input Sheet'!$E$3:$E$1001,R$4))</f>
        <v/>
      </c>
      <c r="S586" s="21" t="str">
        <f>IF(SUMIFS('Input Sheet'!$F$3:$F$1001,'Input Sheet'!$B$3:$B$1001,$H586,'Input Sheet'!$E$3:$E$1001,S$4)=0,"",SUMIFS('Input Sheet'!$F$3:$F$1001,'Input Sheet'!$B$3:$B$1001,$H586,'Input Sheet'!$E$3:$E$1001,S$4))</f>
        <v/>
      </c>
      <c r="T586" s="22">
        <v>581</v>
      </c>
    </row>
    <row r="587" spans="1:20" ht="14.25" customHeight="1" x14ac:dyDescent="0.3">
      <c r="A587" s="4" t="str">
        <f>IF('Input Sheet'!B584=0,"",'Input Sheet'!B584)</f>
        <v/>
      </c>
      <c r="B587" s="24" t="b">
        <f t="shared" si="526"/>
        <v>0</v>
      </c>
      <c r="C587" s="4">
        <f>SUMIF('Input Sheet'!B$3:B$1000,A587,'Input Sheet'!C$3:C$1000)</f>
        <v>0</v>
      </c>
      <c r="D587" s="4">
        <f>SUMIF('Input Sheet'!B$3:B$1000,A587,'Input Sheet'!D$3:D$1000)</f>
        <v>0</v>
      </c>
      <c r="E587" s="4" t="str">
        <f t="shared" ref="E587:F587" ca="1" si="604">IFERROR(RANK(K587,K$6:K$1004,1),"")</f>
        <v/>
      </c>
      <c r="F587" s="4" t="str">
        <f t="shared" ca="1" si="604"/>
        <v/>
      </c>
      <c r="G587" s="4" t="str">
        <f t="shared" ca="1" si="528"/>
        <v/>
      </c>
      <c r="H587" s="4" t="str">
        <f t="shared" si="529"/>
        <v/>
      </c>
      <c r="I587" s="4" t="str">
        <f t="shared" si="530"/>
        <v/>
      </c>
      <c r="J587" s="4" t="str">
        <f t="shared" si="531"/>
        <v/>
      </c>
      <c r="K587" s="25" t="str">
        <f t="shared" ca="1" si="532"/>
        <v/>
      </c>
      <c r="L587" s="21" t="str">
        <f t="shared" ca="1" si="533"/>
        <v/>
      </c>
      <c r="M587" s="21" t="str">
        <f>IF(SUMIFS('Input Sheet'!$F$3:$F$1001,'Input Sheet'!$B$3:$B$1001,$H587,'Input Sheet'!$E$3:$E$1001,M$4)=0,"",SUMIFS('Input Sheet'!$F$3:$F$1001,'Input Sheet'!$B$3:$B$1001,$H587,'Input Sheet'!$E$3:$E$1001,M$4))</f>
        <v/>
      </c>
      <c r="N587" s="21" t="str">
        <f>IF(SUMIFS('Input Sheet'!$F$3:$F$1001,'Input Sheet'!$B$3:$B$1001,$H587,'Input Sheet'!$E$3:$E$1001,N$4)=0,"",SUMIFS('Input Sheet'!$F$3:$F$1001,'Input Sheet'!$B$3:$B$1001,$H587,'Input Sheet'!$E$3:$E$1001,N$4))</f>
        <v/>
      </c>
      <c r="O587" s="21" t="str">
        <f>IF(SUMIFS('Input Sheet'!$F$3:$F$1001,'Input Sheet'!$B$3:$B$1001,$H587,'Input Sheet'!$E$3:$E$1001,O$4)=0,"",SUMIFS('Input Sheet'!$F$3:$F$1001,'Input Sheet'!$B$3:$B$1001,$H587,'Input Sheet'!$E$3:$E$1001,O$4))</f>
        <v/>
      </c>
      <c r="P587" s="21" t="str">
        <f>IF(SUMIFS('Input Sheet'!$F$3:$F$1001,'Input Sheet'!$B$3:$B$1001,$H587,'Input Sheet'!$E$3:$E$1001,P$4)=0,"",SUMIFS('Input Sheet'!$F$3:$F$1001,'Input Sheet'!$B$3:$B$1001,$H587,'Input Sheet'!$E$3:$E$1001,P$4))</f>
        <v/>
      </c>
      <c r="Q587" s="21" t="str">
        <f>IF(SUMIFS('Input Sheet'!$F$3:$F$1001,'Input Sheet'!$B$3:$B$1001,$H587,'Input Sheet'!$E$3:$E$1001,Q$4)=0,"",SUMIFS('Input Sheet'!$F$3:$F$1001,'Input Sheet'!$B$3:$B$1001,$H587,'Input Sheet'!$E$3:$E$1001,Q$4))</f>
        <v/>
      </c>
      <c r="R587" s="21" t="str">
        <f>IF(SUMIFS('Input Sheet'!$F$3:$F$1001,'Input Sheet'!$B$3:$B$1001,$H587,'Input Sheet'!$E$3:$E$1001,R$4)=0,"",SUMIFS('Input Sheet'!$F$3:$F$1001,'Input Sheet'!$B$3:$B$1001,$H587,'Input Sheet'!$E$3:$E$1001,R$4))</f>
        <v/>
      </c>
      <c r="S587" s="21" t="str">
        <f>IF(SUMIFS('Input Sheet'!$F$3:$F$1001,'Input Sheet'!$B$3:$B$1001,$H587,'Input Sheet'!$E$3:$E$1001,S$4)=0,"",SUMIFS('Input Sheet'!$F$3:$F$1001,'Input Sheet'!$B$3:$B$1001,$H587,'Input Sheet'!$E$3:$E$1001,S$4))</f>
        <v/>
      </c>
      <c r="T587" s="22">
        <v>582</v>
      </c>
    </row>
    <row r="588" spans="1:20" ht="14.25" customHeight="1" x14ac:dyDescent="0.3">
      <c r="A588" s="4" t="str">
        <f>IF('Input Sheet'!B585=0,"",'Input Sheet'!B585)</f>
        <v/>
      </c>
      <c r="B588" s="24" t="b">
        <f t="shared" si="526"/>
        <v>0</v>
      </c>
      <c r="C588" s="4">
        <f>SUMIF('Input Sheet'!B$3:B$1000,A588,'Input Sheet'!C$3:C$1000)</f>
        <v>0</v>
      </c>
      <c r="D588" s="4">
        <f>SUMIF('Input Sheet'!B$3:B$1000,A588,'Input Sheet'!D$3:D$1000)</f>
        <v>0</v>
      </c>
      <c r="E588" s="4" t="str">
        <f t="shared" ref="E588:F588" ca="1" si="605">IFERROR(RANK(K588,K$6:K$1004,1),"")</f>
        <v/>
      </c>
      <c r="F588" s="4" t="str">
        <f t="shared" ca="1" si="605"/>
        <v/>
      </c>
      <c r="G588" s="4" t="str">
        <f t="shared" ca="1" si="528"/>
        <v/>
      </c>
      <c r="H588" s="4" t="str">
        <f t="shared" si="529"/>
        <v/>
      </c>
      <c r="I588" s="4" t="str">
        <f t="shared" si="530"/>
        <v/>
      </c>
      <c r="J588" s="4" t="str">
        <f t="shared" si="531"/>
        <v/>
      </c>
      <c r="K588" s="25" t="str">
        <f t="shared" ca="1" si="532"/>
        <v/>
      </c>
      <c r="L588" s="21" t="str">
        <f t="shared" ca="1" si="533"/>
        <v/>
      </c>
      <c r="M588" s="21" t="str">
        <f>IF(SUMIFS('Input Sheet'!$F$3:$F$1001,'Input Sheet'!$B$3:$B$1001,$H588,'Input Sheet'!$E$3:$E$1001,M$4)=0,"",SUMIFS('Input Sheet'!$F$3:$F$1001,'Input Sheet'!$B$3:$B$1001,$H588,'Input Sheet'!$E$3:$E$1001,M$4))</f>
        <v/>
      </c>
      <c r="N588" s="21" t="str">
        <f>IF(SUMIFS('Input Sheet'!$F$3:$F$1001,'Input Sheet'!$B$3:$B$1001,$H588,'Input Sheet'!$E$3:$E$1001,N$4)=0,"",SUMIFS('Input Sheet'!$F$3:$F$1001,'Input Sheet'!$B$3:$B$1001,$H588,'Input Sheet'!$E$3:$E$1001,N$4))</f>
        <v/>
      </c>
      <c r="O588" s="21" t="str">
        <f>IF(SUMIFS('Input Sheet'!$F$3:$F$1001,'Input Sheet'!$B$3:$B$1001,$H588,'Input Sheet'!$E$3:$E$1001,O$4)=0,"",SUMIFS('Input Sheet'!$F$3:$F$1001,'Input Sheet'!$B$3:$B$1001,$H588,'Input Sheet'!$E$3:$E$1001,O$4))</f>
        <v/>
      </c>
      <c r="P588" s="21" t="str">
        <f>IF(SUMIFS('Input Sheet'!$F$3:$F$1001,'Input Sheet'!$B$3:$B$1001,$H588,'Input Sheet'!$E$3:$E$1001,P$4)=0,"",SUMIFS('Input Sheet'!$F$3:$F$1001,'Input Sheet'!$B$3:$B$1001,$H588,'Input Sheet'!$E$3:$E$1001,P$4))</f>
        <v/>
      </c>
      <c r="Q588" s="21" t="str">
        <f>IF(SUMIFS('Input Sheet'!$F$3:$F$1001,'Input Sheet'!$B$3:$B$1001,$H588,'Input Sheet'!$E$3:$E$1001,Q$4)=0,"",SUMIFS('Input Sheet'!$F$3:$F$1001,'Input Sheet'!$B$3:$B$1001,$H588,'Input Sheet'!$E$3:$E$1001,Q$4))</f>
        <v/>
      </c>
      <c r="R588" s="21" t="str">
        <f>IF(SUMIFS('Input Sheet'!$F$3:$F$1001,'Input Sheet'!$B$3:$B$1001,$H588,'Input Sheet'!$E$3:$E$1001,R$4)=0,"",SUMIFS('Input Sheet'!$F$3:$F$1001,'Input Sheet'!$B$3:$B$1001,$H588,'Input Sheet'!$E$3:$E$1001,R$4))</f>
        <v/>
      </c>
      <c r="S588" s="21" t="str">
        <f>IF(SUMIFS('Input Sheet'!$F$3:$F$1001,'Input Sheet'!$B$3:$B$1001,$H588,'Input Sheet'!$E$3:$E$1001,S$4)=0,"",SUMIFS('Input Sheet'!$F$3:$F$1001,'Input Sheet'!$B$3:$B$1001,$H588,'Input Sheet'!$E$3:$E$1001,S$4))</f>
        <v/>
      </c>
      <c r="T588" s="22">
        <v>583</v>
      </c>
    </row>
    <row r="589" spans="1:20" ht="14.25" customHeight="1" x14ac:dyDescent="0.3">
      <c r="A589" s="4" t="str">
        <f>IF('Input Sheet'!B586=0,"",'Input Sheet'!B586)</f>
        <v/>
      </c>
      <c r="B589" s="24" t="b">
        <f t="shared" si="526"/>
        <v>0</v>
      </c>
      <c r="C589" s="4">
        <f>SUMIF('Input Sheet'!B$3:B$1000,A589,'Input Sheet'!C$3:C$1000)</f>
        <v>0</v>
      </c>
      <c r="D589" s="4">
        <f>SUMIF('Input Sheet'!B$3:B$1000,A589,'Input Sheet'!D$3:D$1000)</f>
        <v>0</v>
      </c>
      <c r="E589" s="4" t="str">
        <f t="shared" ref="E589:F589" ca="1" si="606">IFERROR(RANK(K589,K$6:K$1004,1),"")</f>
        <v/>
      </c>
      <c r="F589" s="4" t="str">
        <f t="shared" ca="1" si="606"/>
        <v/>
      </c>
      <c r="G589" s="4" t="str">
        <f t="shared" ca="1" si="528"/>
        <v/>
      </c>
      <c r="H589" s="4" t="str">
        <f t="shared" si="529"/>
        <v/>
      </c>
      <c r="I589" s="4" t="str">
        <f t="shared" si="530"/>
        <v/>
      </c>
      <c r="J589" s="4" t="str">
        <f t="shared" si="531"/>
        <v/>
      </c>
      <c r="K589" s="25" t="str">
        <f t="shared" ca="1" si="532"/>
        <v/>
      </c>
      <c r="L589" s="21" t="str">
        <f t="shared" ca="1" si="533"/>
        <v/>
      </c>
      <c r="M589" s="21" t="str">
        <f>IF(SUMIFS('Input Sheet'!$F$3:$F$1001,'Input Sheet'!$B$3:$B$1001,$H589,'Input Sheet'!$E$3:$E$1001,M$4)=0,"",SUMIFS('Input Sheet'!$F$3:$F$1001,'Input Sheet'!$B$3:$B$1001,$H589,'Input Sheet'!$E$3:$E$1001,M$4))</f>
        <v/>
      </c>
      <c r="N589" s="21" t="str">
        <f>IF(SUMIFS('Input Sheet'!$F$3:$F$1001,'Input Sheet'!$B$3:$B$1001,$H589,'Input Sheet'!$E$3:$E$1001,N$4)=0,"",SUMIFS('Input Sheet'!$F$3:$F$1001,'Input Sheet'!$B$3:$B$1001,$H589,'Input Sheet'!$E$3:$E$1001,N$4))</f>
        <v/>
      </c>
      <c r="O589" s="21" t="str">
        <f>IF(SUMIFS('Input Sheet'!$F$3:$F$1001,'Input Sheet'!$B$3:$B$1001,$H589,'Input Sheet'!$E$3:$E$1001,O$4)=0,"",SUMIFS('Input Sheet'!$F$3:$F$1001,'Input Sheet'!$B$3:$B$1001,$H589,'Input Sheet'!$E$3:$E$1001,O$4))</f>
        <v/>
      </c>
      <c r="P589" s="21" t="str">
        <f>IF(SUMIFS('Input Sheet'!$F$3:$F$1001,'Input Sheet'!$B$3:$B$1001,$H589,'Input Sheet'!$E$3:$E$1001,P$4)=0,"",SUMIFS('Input Sheet'!$F$3:$F$1001,'Input Sheet'!$B$3:$B$1001,$H589,'Input Sheet'!$E$3:$E$1001,P$4))</f>
        <v/>
      </c>
      <c r="Q589" s="21" t="str">
        <f>IF(SUMIFS('Input Sheet'!$F$3:$F$1001,'Input Sheet'!$B$3:$B$1001,$H589,'Input Sheet'!$E$3:$E$1001,Q$4)=0,"",SUMIFS('Input Sheet'!$F$3:$F$1001,'Input Sheet'!$B$3:$B$1001,$H589,'Input Sheet'!$E$3:$E$1001,Q$4))</f>
        <v/>
      </c>
      <c r="R589" s="21" t="str">
        <f>IF(SUMIFS('Input Sheet'!$F$3:$F$1001,'Input Sheet'!$B$3:$B$1001,$H589,'Input Sheet'!$E$3:$E$1001,R$4)=0,"",SUMIFS('Input Sheet'!$F$3:$F$1001,'Input Sheet'!$B$3:$B$1001,$H589,'Input Sheet'!$E$3:$E$1001,R$4))</f>
        <v/>
      </c>
      <c r="S589" s="21" t="str">
        <f>IF(SUMIFS('Input Sheet'!$F$3:$F$1001,'Input Sheet'!$B$3:$B$1001,$H589,'Input Sheet'!$E$3:$E$1001,S$4)=0,"",SUMIFS('Input Sheet'!$F$3:$F$1001,'Input Sheet'!$B$3:$B$1001,$H589,'Input Sheet'!$E$3:$E$1001,S$4))</f>
        <v/>
      </c>
      <c r="T589" s="22">
        <v>584</v>
      </c>
    </row>
    <row r="590" spans="1:20" ht="14.25" customHeight="1" x14ac:dyDescent="0.3">
      <c r="A590" s="4" t="str">
        <f>IF('Input Sheet'!B587=0,"",'Input Sheet'!B587)</f>
        <v/>
      </c>
      <c r="B590" s="24" t="b">
        <f t="shared" si="526"/>
        <v>0</v>
      </c>
      <c r="C590" s="4">
        <f>SUMIF('Input Sheet'!B$3:B$1000,A590,'Input Sheet'!C$3:C$1000)</f>
        <v>0</v>
      </c>
      <c r="D590" s="4">
        <f>SUMIF('Input Sheet'!B$3:B$1000,A590,'Input Sheet'!D$3:D$1000)</f>
        <v>0</v>
      </c>
      <c r="E590" s="4" t="str">
        <f t="shared" ref="E590:F590" ca="1" si="607">IFERROR(RANK(K590,K$6:K$1004,1),"")</f>
        <v/>
      </c>
      <c r="F590" s="4" t="str">
        <f t="shared" ca="1" si="607"/>
        <v/>
      </c>
      <c r="G590" s="4" t="str">
        <f t="shared" ca="1" si="528"/>
        <v/>
      </c>
      <c r="H590" s="4" t="str">
        <f t="shared" si="529"/>
        <v/>
      </c>
      <c r="I590" s="4" t="str">
        <f t="shared" si="530"/>
        <v/>
      </c>
      <c r="J590" s="4" t="str">
        <f t="shared" si="531"/>
        <v/>
      </c>
      <c r="K590" s="25" t="str">
        <f t="shared" ca="1" si="532"/>
        <v/>
      </c>
      <c r="L590" s="21" t="str">
        <f t="shared" ca="1" si="533"/>
        <v/>
      </c>
      <c r="M590" s="21" t="str">
        <f>IF(SUMIFS('Input Sheet'!$F$3:$F$1001,'Input Sheet'!$B$3:$B$1001,$H590,'Input Sheet'!$E$3:$E$1001,M$4)=0,"",SUMIFS('Input Sheet'!$F$3:$F$1001,'Input Sheet'!$B$3:$B$1001,$H590,'Input Sheet'!$E$3:$E$1001,M$4))</f>
        <v/>
      </c>
      <c r="N590" s="21" t="str">
        <f>IF(SUMIFS('Input Sheet'!$F$3:$F$1001,'Input Sheet'!$B$3:$B$1001,$H590,'Input Sheet'!$E$3:$E$1001,N$4)=0,"",SUMIFS('Input Sheet'!$F$3:$F$1001,'Input Sheet'!$B$3:$B$1001,$H590,'Input Sheet'!$E$3:$E$1001,N$4))</f>
        <v/>
      </c>
      <c r="O590" s="21" t="str">
        <f>IF(SUMIFS('Input Sheet'!$F$3:$F$1001,'Input Sheet'!$B$3:$B$1001,$H590,'Input Sheet'!$E$3:$E$1001,O$4)=0,"",SUMIFS('Input Sheet'!$F$3:$F$1001,'Input Sheet'!$B$3:$B$1001,$H590,'Input Sheet'!$E$3:$E$1001,O$4))</f>
        <v/>
      </c>
      <c r="P590" s="21" t="str">
        <f>IF(SUMIFS('Input Sheet'!$F$3:$F$1001,'Input Sheet'!$B$3:$B$1001,$H590,'Input Sheet'!$E$3:$E$1001,P$4)=0,"",SUMIFS('Input Sheet'!$F$3:$F$1001,'Input Sheet'!$B$3:$B$1001,$H590,'Input Sheet'!$E$3:$E$1001,P$4))</f>
        <v/>
      </c>
      <c r="Q590" s="21" t="str">
        <f>IF(SUMIFS('Input Sheet'!$F$3:$F$1001,'Input Sheet'!$B$3:$B$1001,$H590,'Input Sheet'!$E$3:$E$1001,Q$4)=0,"",SUMIFS('Input Sheet'!$F$3:$F$1001,'Input Sheet'!$B$3:$B$1001,$H590,'Input Sheet'!$E$3:$E$1001,Q$4))</f>
        <v/>
      </c>
      <c r="R590" s="21" t="str">
        <f>IF(SUMIFS('Input Sheet'!$F$3:$F$1001,'Input Sheet'!$B$3:$B$1001,$H590,'Input Sheet'!$E$3:$E$1001,R$4)=0,"",SUMIFS('Input Sheet'!$F$3:$F$1001,'Input Sheet'!$B$3:$B$1001,$H590,'Input Sheet'!$E$3:$E$1001,R$4))</f>
        <v/>
      </c>
      <c r="S590" s="21" t="str">
        <f>IF(SUMIFS('Input Sheet'!$F$3:$F$1001,'Input Sheet'!$B$3:$B$1001,$H590,'Input Sheet'!$E$3:$E$1001,S$4)=0,"",SUMIFS('Input Sheet'!$F$3:$F$1001,'Input Sheet'!$B$3:$B$1001,$H590,'Input Sheet'!$E$3:$E$1001,S$4))</f>
        <v/>
      </c>
      <c r="T590" s="22">
        <v>585</v>
      </c>
    </row>
    <row r="591" spans="1:20" ht="14.25" customHeight="1" x14ac:dyDescent="0.3">
      <c r="A591" s="4" t="str">
        <f>IF('Input Sheet'!B588=0,"",'Input Sheet'!B588)</f>
        <v/>
      </c>
      <c r="B591" s="24" t="b">
        <f t="shared" si="526"/>
        <v>0</v>
      </c>
      <c r="C591" s="4">
        <f>SUMIF('Input Sheet'!B$3:B$1000,A591,'Input Sheet'!C$3:C$1000)</f>
        <v>0</v>
      </c>
      <c r="D591" s="4">
        <f>SUMIF('Input Sheet'!B$3:B$1000,A591,'Input Sheet'!D$3:D$1000)</f>
        <v>0</v>
      </c>
      <c r="E591" s="4" t="str">
        <f t="shared" ref="E591:F591" ca="1" si="608">IFERROR(RANK(K591,K$6:K$1004,1),"")</f>
        <v/>
      </c>
      <c r="F591" s="4" t="str">
        <f t="shared" ca="1" si="608"/>
        <v/>
      </c>
      <c r="G591" s="4" t="str">
        <f t="shared" ca="1" si="528"/>
        <v/>
      </c>
      <c r="H591" s="4" t="str">
        <f t="shared" si="529"/>
        <v/>
      </c>
      <c r="I591" s="4" t="str">
        <f t="shared" si="530"/>
        <v/>
      </c>
      <c r="J591" s="4" t="str">
        <f t="shared" si="531"/>
        <v/>
      </c>
      <c r="K591" s="25" t="str">
        <f t="shared" ca="1" si="532"/>
        <v/>
      </c>
      <c r="L591" s="21" t="str">
        <f t="shared" ca="1" si="533"/>
        <v/>
      </c>
      <c r="M591" s="21" t="str">
        <f>IF(SUMIFS('Input Sheet'!$F$3:$F$1001,'Input Sheet'!$B$3:$B$1001,$H591,'Input Sheet'!$E$3:$E$1001,M$4)=0,"",SUMIFS('Input Sheet'!$F$3:$F$1001,'Input Sheet'!$B$3:$B$1001,$H591,'Input Sheet'!$E$3:$E$1001,M$4))</f>
        <v/>
      </c>
      <c r="N591" s="21" t="str">
        <f>IF(SUMIFS('Input Sheet'!$F$3:$F$1001,'Input Sheet'!$B$3:$B$1001,$H591,'Input Sheet'!$E$3:$E$1001,N$4)=0,"",SUMIFS('Input Sheet'!$F$3:$F$1001,'Input Sheet'!$B$3:$B$1001,$H591,'Input Sheet'!$E$3:$E$1001,N$4))</f>
        <v/>
      </c>
      <c r="O591" s="21" t="str">
        <f>IF(SUMIFS('Input Sheet'!$F$3:$F$1001,'Input Sheet'!$B$3:$B$1001,$H591,'Input Sheet'!$E$3:$E$1001,O$4)=0,"",SUMIFS('Input Sheet'!$F$3:$F$1001,'Input Sheet'!$B$3:$B$1001,$H591,'Input Sheet'!$E$3:$E$1001,O$4))</f>
        <v/>
      </c>
      <c r="P591" s="21" t="str">
        <f>IF(SUMIFS('Input Sheet'!$F$3:$F$1001,'Input Sheet'!$B$3:$B$1001,$H591,'Input Sheet'!$E$3:$E$1001,P$4)=0,"",SUMIFS('Input Sheet'!$F$3:$F$1001,'Input Sheet'!$B$3:$B$1001,$H591,'Input Sheet'!$E$3:$E$1001,P$4))</f>
        <v/>
      </c>
      <c r="Q591" s="21" t="str">
        <f>IF(SUMIFS('Input Sheet'!$F$3:$F$1001,'Input Sheet'!$B$3:$B$1001,$H591,'Input Sheet'!$E$3:$E$1001,Q$4)=0,"",SUMIFS('Input Sheet'!$F$3:$F$1001,'Input Sheet'!$B$3:$B$1001,$H591,'Input Sheet'!$E$3:$E$1001,Q$4))</f>
        <v/>
      </c>
      <c r="R591" s="21" t="str">
        <f>IF(SUMIFS('Input Sheet'!$F$3:$F$1001,'Input Sheet'!$B$3:$B$1001,$H591,'Input Sheet'!$E$3:$E$1001,R$4)=0,"",SUMIFS('Input Sheet'!$F$3:$F$1001,'Input Sheet'!$B$3:$B$1001,$H591,'Input Sheet'!$E$3:$E$1001,R$4))</f>
        <v/>
      </c>
      <c r="S591" s="21" t="str">
        <f>IF(SUMIFS('Input Sheet'!$F$3:$F$1001,'Input Sheet'!$B$3:$B$1001,$H591,'Input Sheet'!$E$3:$E$1001,S$4)=0,"",SUMIFS('Input Sheet'!$F$3:$F$1001,'Input Sheet'!$B$3:$B$1001,$H591,'Input Sheet'!$E$3:$E$1001,S$4))</f>
        <v/>
      </c>
      <c r="T591" s="22">
        <v>586</v>
      </c>
    </row>
    <row r="592" spans="1:20" ht="14.25" customHeight="1" x14ac:dyDescent="0.3">
      <c r="A592" s="4" t="str">
        <f>IF('Input Sheet'!B589=0,"",'Input Sheet'!B589)</f>
        <v/>
      </c>
      <c r="B592" s="24" t="b">
        <f t="shared" si="526"/>
        <v>0</v>
      </c>
      <c r="C592" s="4">
        <f>SUMIF('Input Sheet'!B$3:B$1000,A592,'Input Sheet'!C$3:C$1000)</f>
        <v>0</v>
      </c>
      <c r="D592" s="4">
        <f>SUMIF('Input Sheet'!B$3:B$1000,A592,'Input Sheet'!D$3:D$1000)</f>
        <v>0</v>
      </c>
      <c r="E592" s="4" t="str">
        <f t="shared" ref="E592:F592" ca="1" si="609">IFERROR(RANK(K592,K$6:K$1004,1),"")</f>
        <v/>
      </c>
      <c r="F592" s="4" t="str">
        <f t="shared" ca="1" si="609"/>
        <v/>
      </c>
      <c r="G592" s="4" t="str">
        <f t="shared" ca="1" si="528"/>
        <v/>
      </c>
      <c r="H592" s="4" t="str">
        <f t="shared" si="529"/>
        <v/>
      </c>
      <c r="I592" s="4" t="str">
        <f t="shared" si="530"/>
        <v/>
      </c>
      <c r="J592" s="4" t="str">
        <f t="shared" si="531"/>
        <v/>
      </c>
      <c r="K592" s="25" t="str">
        <f t="shared" ca="1" si="532"/>
        <v/>
      </c>
      <c r="L592" s="21" t="str">
        <f t="shared" ca="1" si="533"/>
        <v/>
      </c>
      <c r="M592" s="21" t="str">
        <f>IF(SUMIFS('Input Sheet'!$F$3:$F$1001,'Input Sheet'!$B$3:$B$1001,$H592,'Input Sheet'!$E$3:$E$1001,M$4)=0,"",SUMIFS('Input Sheet'!$F$3:$F$1001,'Input Sheet'!$B$3:$B$1001,$H592,'Input Sheet'!$E$3:$E$1001,M$4))</f>
        <v/>
      </c>
      <c r="N592" s="21" t="str">
        <f>IF(SUMIFS('Input Sheet'!$F$3:$F$1001,'Input Sheet'!$B$3:$B$1001,$H592,'Input Sheet'!$E$3:$E$1001,N$4)=0,"",SUMIFS('Input Sheet'!$F$3:$F$1001,'Input Sheet'!$B$3:$B$1001,$H592,'Input Sheet'!$E$3:$E$1001,N$4))</f>
        <v/>
      </c>
      <c r="O592" s="21" t="str">
        <f>IF(SUMIFS('Input Sheet'!$F$3:$F$1001,'Input Sheet'!$B$3:$B$1001,$H592,'Input Sheet'!$E$3:$E$1001,O$4)=0,"",SUMIFS('Input Sheet'!$F$3:$F$1001,'Input Sheet'!$B$3:$B$1001,$H592,'Input Sheet'!$E$3:$E$1001,O$4))</f>
        <v/>
      </c>
      <c r="P592" s="21" t="str">
        <f>IF(SUMIFS('Input Sheet'!$F$3:$F$1001,'Input Sheet'!$B$3:$B$1001,$H592,'Input Sheet'!$E$3:$E$1001,P$4)=0,"",SUMIFS('Input Sheet'!$F$3:$F$1001,'Input Sheet'!$B$3:$B$1001,$H592,'Input Sheet'!$E$3:$E$1001,P$4))</f>
        <v/>
      </c>
      <c r="Q592" s="21" t="str">
        <f>IF(SUMIFS('Input Sheet'!$F$3:$F$1001,'Input Sheet'!$B$3:$B$1001,$H592,'Input Sheet'!$E$3:$E$1001,Q$4)=0,"",SUMIFS('Input Sheet'!$F$3:$F$1001,'Input Sheet'!$B$3:$B$1001,$H592,'Input Sheet'!$E$3:$E$1001,Q$4))</f>
        <v/>
      </c>
      <c r="R592" s="21" t="str">
        <f>IF(SUMIFS('Input Sheet'!$F$3:$F$1001,'Input Sheet'!$B$3:$B$1001,$H592,'Input Sheet'!$E$3:$E$1001,R$4)=0,"",SUMIFS('Input Sheet'!$F$3:$F$1001,'Input Sheet'!$B$3:$B$1001,$H592,'Input Sheet'!$E$3:$E$1001,R$4))</f>
        <v/>
      </c>
      <c r="S592" s="21" t="str">
        <f>IF(SUMIFS('Input Sheet'!$F$3:$F$1001,'Input Sheet'!$B$3:$B$1001,$H592,'Input Sheet'!$E$3:$E$1001,S$4)=0,"",SUMIFS('Input Sheet'!$F$3:$F$1001,'Input Sheet'!$B$3:$B$1001,$H592,'Input Sheet'!$E$3:$E$1001,S$4))</f>
        <v/>
      </c>
      <c r="T592" s="22">
        <v>587</v>
      </c>
    </row>
    <row r="593" spans="1:20" ht="14.25" customHeight="1" x14ac:dyDescent="0.3">
      <c r="A593" s="4" t="str">
        <f>IF('Input Sheet'!B590=0,"",'Input Sheet'!B590)</f>
        <v/>
      </c>
      <c r="B593" s="24" t="b">
        <f t="shared" si="526"/>
        <v>0</v>
      </c>
      <c r="C593" s="4">
        <f>SUMIF('Input Sheet'!B$3:B$1000,A593,'Input Sheet'!C$3:C$1000)</f>
        <v>0</v>
      </c>
      <c r="D593" s="4">
        <f>SUMIF('Input Sheet'!B$3:B$1000,A593,'Input Sheet'!D$3:D$1000)</f>
        <v>0</v>
      </c>
      <c r="E593" s="4" t="str">
        <f t="shared" ref="E593:F593" ca="1" si="610">IFERROR(RANK(K593,K$6:K$1004,1),"")</f>
        <v/>
      </c>
      <c r="F593" s="4" t="str">
        <f t="shared" ca="1" si="610"/>
        <v/>
      </c>
      <c r="G593" s="4" t="str">
        <f t="shared" ca="1" si="528"/>
        <v/>
      </c>
      <c r="H593" s="4" t="str">
        <f t="shared" si="529"/>
        <v/>
      </c>
      <c r="I593" s="4" t="str">
        <f t="shared" si="530"/>
        <v/>
      </c>
      <c r="J593" s="4" t="str">
        <f t="shared" si="531"/>
        <v/>
      </c>
      <c r="K593" s="25" t="str">
        <f t="shared" ca="1" si="532"/>
        <v/>
      </c>
      <c r="L593" s="21" t="str">
        <f t="shared" ca="1" si="533"/>
        <v/>
      </c>
      <c r="M593" s="21" t="str">
        <f>IF(SUMIFS('Input Sheet'!$F$3:$F$1001,'Input Sheet'!$B$3:$B$1001,$H593,'Input Sheet'!$E$3:$E$1001,M$4)=0,"",SUMIFS('Input Sheet'!$F$3:$F$1001,'Input Sheet'!$B$3:$B$1001,$H593,'Input Sheet'!$E$3:$E$1001,M$4))</f>
        <v/>
      </c>
      <c r="N593" s="21" t="str">
        <f>IF(SUMIFS('Input Sheet'!$F$3:$F$1001,'Input Sheet'!$B$3:$B$1001,$H593,'Input Sheet'!$E$3:$E$1001,N$4)=0,"",SUMIFS('Input Sheet'!$F$3:$F$1001,'Input Sheet'!$B$3:$B$1001,$H593,'Input Sheet'!$E$3:$E$1001,N$4))</f>
        <v/>
      </c>
      <c r="O593" s="21" t="str">
        <f>IF(SUMIFS('Input Sheet'!$F$3:$F$1001,'Input Sheet'!$B$3:$B$1001,$H593,'Input Sheet'!$E$3:$E$1001,O$4)=0,"",SUMIFS('Input Sheet'!$F$3:$F$1001,'Input Sheet'!$B$3:$B$1001,$H593,'Input Sheet'!$E$3:$E$1001,O$4))</f>
        <v/>
      </c>
      <c r="P593" s="21" t="str">
        <f>IF(SUMIFS('Input Sheet'!$F$3:$F$1001,'Input Sheet'!$B$3:$B$1001,$H593,'Input Sheet'!$E$3:$E$1001,P$4)=0,"",SUMIFS('Input Sheet'!$F$3:$F$1001,'Input Sheet'!$B$3:$B$1001,$H593,'Input Sheet'!$E$3:$E$1001,P$4))</f>
        <v/>
      </c>
      <c r="Q593" s="21" t="str">
        <f>IF(SUMIFS('Input Sheet'!$F$3:$F$1001,'Input Sheet'!$B$3:$B$1001,$H593,'Input Sheet'!$E$3:$E$1001,Q$4)=0,"",SUMIFS('Input Sheet'!$F$3:$F$1001,'Input Sheet'!$B$3:$B$1001,$H593,'Input Sheet'!$E$3:$E$1001,Q$4))</f>
        <v/>
      </c>
      <c r="R593" s="21" t="str">
        <f>IF(SUMIFS('Input Sheet'!$F$3:$F$1001,'Input Sheet'!$B$3:$B$1001,$H593,'Input Sheet'!$E$3:$E$1001,R$4)=0,"",SUMIFS('Input Sheet'!$F$3:$F$1001,'Input Sheet'!$B$3:$B$1001,$H593,'Input Sheet'!$E$3:$E$1001,R$4))</f>
        <v/>
      </c>
      <c r="S593" s="21" t="str">
        <f>IF(SUMIFS('Input Sheet'!$F$3:$F$1001,'Input Sheet'!$B$3:$B$1001,$H593,'Input Sheet'!$E$3:$E$1001,S$4)=0,"",SUMIFS('Input Sheet'!$F$3:$F$1001,'Input Sheet'!$B$3:$B$1001,$H593,'Input Sheet'!$E$3:$E$1001,S$4))</f>
        <v/>
      </c>
      <c r="T593" s="22">
        <v>588</v>
      </c>
    </row>
    <row r="594" spans="1:20" ht="14.25" customHeight="1" x14ac:dyDescent="0.3">
      <c r="A594" s="4" t="str">
        <f>IF('Input Sheet'!B591=0,"",'Input Sheet'!B591)</f>
        <v/>
      </c>
      <c r="B594" s="24" t="b">
        <f t="shared" si="526"/>
        <v>0</v>
      </c>
      <c r="C594" s="4">
        <f>SUMIF('Input Sheet'!B$3:B$1000,A594,'Input Sheet'!C$3:C$1000)</f>
        <v>0</v>
      </c>
      <c r="D594" s="4">
        <f>SUMIF('Input Sheet'!B$3:B$1000,A594,'Input Sheet'!D$3:D$1000)</f>
        <v>0</v>
      </c>
      <c r="E594" s="4" t="str">
        <f t="shared" ref="E594:F594" ca="1" si="611">IFERROR(RANK(K594,K$6:K$1004,1),"")</f>
        <v/>
      </c>
      <c r="F594" s="4" t="str">
        <f t="shared" ca="1" si="611"/>
        <v/>
      </c>
      <c r="G594" s="4" t="str">
        <f t="shared" ca="1" si="528"/>
        <v/>
      </c>
      <c r="H594" s="4" t="str">
        <f t="shared" si="529"/>
        <v/>
      </c>
      <c r="I594" s="4" t="str">
        <f t="shared" si="530"/>
        <v/>
      </c>
      <c r="J594" s="4" t="str">
        <f t="shared" si="531"/>
        <v/>
      </c>
      <c r="K594" s="25" t="str">
        <f t="shared" ca="1" si="532"/>
        <v/>
      </c>
      <c r="L594" s="21" t="str">
        <f t="shared" ca="1" si="533"/>
        <v/>
      </c>
      <c r="M594" s="21" t="str">
        <f>IF(SUMIFS('Input Sheet'!$F$3:$F$1001,'Input Sheet'!$B$3:$B$1001,$H594,'Input Sheet'!$E$3:$E$1001,M$4)=0,"",SUMIFS('Input Sheet'!$F$3:$F$1001,'Input Sheet'!$B$3:$B$1001,$H594,'Input Sheet'!$E$3:$E$1001,M$4))</f>
        <v/>
      </c>
      <c r="N594" s="21" t="str">
        <f>IF(SUMIFS('Input Sheet'!$F$3:$F$1001,'Input Sheet'!$B$3:$B$1001,$H594,'Input Sheet'!$E$3:$E$1001,N$4)=0,"",SUMIFS('Input Sheet'!$F$3:$F$1001,'Input Sheet'!$B$3:$B$1001,$H594,'Input Sheet'!$E$3:$E$1001,N$4))</f>
        <v/>
      </c>
      <c r="O594" s="21" t="str">
        <f>IF(SUMIFS('Input Sheet'!$F$3:$F$1001,'Input Sheet'!$B$3:$B$1001,$H594,'Input Sheet'!$E$3:$E$1001,O$4)=0,"",SUMIFS('Input Sheet'!$F$3:$F$1001,'Input Sheet'!$B$3:$B$1001,$H594,'Input Sheet'!$E$3:$E$1001,O$4))</f>
        <v/>
      </c>
      <c r="P594" s="21" t="str">
        <f>IF(SUMIFS('Input Sheet'!$F$3:$F$1001,'Input Sheet'!$B$3:$B$1001,$H594,'Input Sheet'!$E$3:$E$1001,P$4)=0,"",SUMIFS('Input Sheet'!$F$3:$F$1001,'Input Sheet'!$B$3:$B$1001,$H594,'Input Sheet'!$E$3:$E$1001,P$4))</f>
        <v/>
      </c>
      <c r="Q594" s="21" t="str">
        <f>IF(SUMIFS('Input Sheet'!$F$3:$F$1001,'Input Sheet'!$B$3:$B$1001,$H594,'Input Sheet'!$E$3:$E$1001,Q$4)=0,"",SUMIFS('Input Sheet'!$F$3:$F$1001,'Input Sheet'!$B$3:$B$1001,$H594,'Input Sheet'!$E$3:$E$1001,Q$4))</f>
        <v/>
      </c>
      <c r="R594" s="21" t="str">
        <f>IF(SUMIFS('Input Sheet'!$F$3:$F$1001,'Input Sheet'!$B$3:$B$1001,$H594,'Input Sheet'!$E$3:$E$1001,R$4)=0,"",SUMIFS('Input Sheet'!$F$3:$F$1001,'Input Sheet'!$B$3:$B$1001,$H594,'Input Sheet'!$E$3:$E$1001,R$4))</f>
        <v/>
      </c>
      <c r="S594" s="21" t="str">
        <f>IF(SUMIFS('Input Sheet'!$F$3:$F$1001,'Input Sheet'!$B$3:$B$1001,$H594,'Input Sheet'!$E$3:$E$1001,S$4)=0,"",SUMIFS('Input Sheet'!$F$3:$F$1001,'Input Sheet'!$B$3:$B$1001,$H594,'Input Sheet'!$E$3:$E$1001,S$4))</f>
        <v/>
      </c>
      <c r="T594" s="22">
        <v>589</v>
      </c>
    </row>
    <row r="595" spans="1:20" ht="14.25" customHeight="1" x14ac:dyDescent="0.3">
      <c r="A595" s="4" t="str">
        <f>IF('Input Sheet'!B592=0,"",'Input Sheet'!B592)</f>
        <v/>
      </c>
      <c r="B595" s="24" t="b">
        <f t="shared" si="526"/>
        <v>0</v>
      </c>
      <c r="C595" s="4">
        <f>SUMIF('Input Sheet'!B$3:B$1000,A595,'Input Sheet'!C$3:C$1000)</f>
        <v>0</v>
      </c>
      <c r="D595" s="4">
        <f>SUMIF('Input Sheet'!B$3:B$1000,A595,'Input Sheet'!D$3:D$1000)</f>
        <v>0</v>
      </c>
      <c r="E595" s="4" t="str">
        <f t="shared" ref="E595:F595" ca="1" si="612">IFERROR(RANK(K595,K$6:K$1004,1),"")</f>
        <v/>
      </c>
      <c r="F595" s="4" t="str">
        <f t="shared" ca="1" si="612"/>
        <v/>
      </c>
      <c r="G595" s="4" t="str">
        <f t="shared" ca="1" si="528"/>
        <v/>
      </c>
      <c r="H595" s="4" t="str">
        <f t="shared" si="529"/>
        <v/>
      </c>
      <c r="I595" s="4" t="str">
        <f t="shared" si="530"/>
        <v/>
      </c>
      <c r="J595" s="4" t="str">
        <f t="shared" si="531"/>
        <v/>
      </c>
      <c r="K595" s="25" t="str">
        <f t="shared" ca="1" si="532"/>
        <v/>
      </c>
      <c r="L595" s="21" t="str">
        <f t="shared" ca="1" si="533"/>
        <v/>
      </c>
      <c r="M595" s="21" t="str">
        <f>IF(SUMIFS('Input Sheet'!$F$3:$F$1001,'Input Sheet'!$B$3:$B$1001,$H595,'Input Sheet'!$E$3:$E$1001,M$4)=0,"",SUMIFS('Input Sheet'!$F$3:$F$1001,'Input Sheet'!$B$3:$B$1001,$H595,'Input Sheet'!$E$3:$E$1001,M$4))</f>
        <v/>
      </c>
      <c r="N595" s="21" t="str">
        <f>IF(SUMIFS('Input Sheet'!$F$3:$F$1001,'Input Sheet'!$B$3:$B$1001,$H595,'Input Sheet'!$E$3:$E$1001,N$4)=0,"",SUMIFS('Input Sheet'!$F$3:$F$1001,'Input Sheet'!$B$3:$B$1001,$H595,'Input Sheet'!$E$3:$E$1001,N$4))</f>
        <v/>
      </c>
      <c r="O595" s="21" t="str">
        <f>IF(SUMIFS('Input Sheet'!$F$3:$F$1001,'Input Sheet'!$B$3:$B$1001,$H595,'Input Sheet'!$E$3:$E$1001,O$4)=0,"",SUMIFS('Input Sheet'!$F$3:$F$1001,'Input Sheet'!$B$3:$B$1001,$H595,'Input Sheet'!$E$3:$E$1001,O$4))</f>
        <v/>
      </c>
      <c r="P595" s="21" t="str">
        <f>IF(SUMIFS('Input Sheet'!$F$3:$F$1001,'Input Sheet'!$B$3:$B$1001,$H595,'Input Sheet'!$E$3:$E$1001,P$4)=0,"",SUMIFS('Input Sheet'!$F$3:$F$1001,'Input Sheet'!$B$3:$B$1001,$H595,'Input Sheet'!$E$3:$E$1001,P$4))</f>
        <v/>
      </c>
      <c r="Q595" s="21" t="str">
        <f>IF(SUMIFS('Input Sheet'!$F$3:$F$1001,'Input Sheet'!$B$3:$B$1001,$H595,'Input Sheet'!$E$3:$E$1001,Q$4)=0,"",SUMIFS('Input Sheet'!$F$3:$F$1001,'Input Sheet'!$B$3:$B$1001,$H595,'Input Sheet'!$E$3:$E$1001,Q$4))</f>
        <v/>
      </c>
      <c r="R595" s="21" t="str">
        <f>IF(SUMIFS('Input Sheet'!$F$3:$F$1001,'Input Sheet'!$B$3:$B$1001,$H595,'Input Sheet'!$E$3:$E$1001,R$4)=0,"",SUMIFS('Input Sheet'!$F$3:$F$1001,'Input Sheet'!$B$3:$B$1001,$H595,'Input Sheet'!$E$3:$E$1001,R$4))</f>
        <v/>
      </c>
      <c r="S595" s="21" t="str">
        <f>IF(SUMIFS('Input Sheet'!$F$3:$F$1001,'Input Sheet'!$B$3:$B$1001,$H595,'Input Sheet'!$E$3:$E$1001,S$4)=0,"",SUMIFS('Input Sheet'!$F$3:$F$1001,'Input Sheet'!$B$3:$B$1001,$H595,'Input Sheet'!$E$3:$E$1001,S$4))</f>
        <v/>
      </c>
      <c r="T595" s="22">
        <v>590</v>
      </c>
    </row>
    <row r="596" spans="1:20" ht="14.25" customHeight="1" x14ac:dyDescent="0.3">
      <c r="A596" s="4" t="str">
        <f>IF('Input Sheet'!B593=0,"",'Input Sheet'!B593)</f>
        <v/>
      </c>
      <c r="B596" s="24" t="b">
        <f t="shared" si="526"/>
        <v>0</v>
      </c>
      <c r="C596" s="4">
        <f>SUMIF('Input Sheet'!B$3:B$1000,A596,'Input Sheet'!C$3:C$1000)</f>
        <v>0</v>
      </c>
      <c r="D596" s="4">
        <f>SUMIF('Input Sheet'!B$3:B$1000,A596,'Input Sheet'!D$3:D$1000)</f>
        <v>0</v>
      </c>
      <c r="E596" s="4" t="str">
        <f t="shared" ref="E596:F596" ca="1" si="613">IFERROR(RANK(K596,K$6:K$1004,1),"")</f>
        <v/>
      </c>
      <c r="F596" s="4" t="str">
        <f t="shared" ca="1" si="613"/>
        <v/>
      </c>
      <c r="G596" s="4" t="str">
        <f t="shared" ca="1" si="528"/>
        <v/>
      </c>
      <c r="H596" s="4" t="str">
        <f t="shared" si="529"/>
        <v/>
      </c>
      <c r="I596" s="4" t="str">
        <f t="shared" si="530"/>
        <v/>
      </c>
      <c r="J596" s="4" t="str">
        <f t="shared" si="531"/>
        <v/>
      </c>
      <c r="K596" s="25" t="str">
        <f t="shared" ca="1" si="532"/>
        <v/>
      </c>
      <c r="L596" s="21" t="str">
        <f t="shared" ca="1" si="533"/>
        <v/>
      </c>
      <c r="M596" s="21" t="str">
        <f>IF(SUMIFS('Input Sheet'!$F$3:$F$1001,'Input Sheet'!$B$3:$B$1001,$H596,'Input Sheet'!$E$3:$E$1001,M$4)=0,"",SUMIFS('Input Sheet'!$F$3:$F$1001,'Input Sheet'!$B$3:$B$1001,$H596,'Input Sheet'!$E$3:$E$1001,M$4))</f>
        <v/>
      </c>
      <c r="N596" s="21" t="str">
        <f>IF(SUMIFS('Input Sheet'!$F$3:$F$1001,'Input Sheet'!$B$3:$B$1001,$H596,'Input Sheet'!$E$3:$E$1001,N$4)=0,"",SUMIFS('Input Sheet'!$F$3:$F$1001,'Input Sheet'!$B$3:$B$1001,$H596,'Input Sheet'!$E$3:$E$1001,N$4))</f>
        <v/>
      </c>
      <c r="O596" s="21" t="str">
        <f>IF(SUMIFS('Input Sheet'!$F$3:$F$1001,'Input Sheet'!$B$3:$B$1001,$H596,'Input Sheet'!$E$3:$E$1001,O$4)=0,"",SUMIFS('Input Sheet'!$F$3:$F$1001,'Input Sheet'!$B$3:$B$1001,$H596,'Input Sheet'!$E$3:$E$1001,O$4))</f>
        <v/>
      </c>
      <c r="P596" s="21" t="str">
        <f>IF(SUMIFS('Input Sheet'!$F$3:$F$1001,'Input Sheet'!$B$3:$B$1001,$H596,'Input Sheet'!$E$3:$E$1001,P$4)=0,"",SUMIFS('Input Sheet'!$F$3:$F$1001,'Input Sheet'!$B$3:$B$1001,$H596,'Input Sheet'!$E$3:$E$1001,P$4))</f>
        <v/>
      </c>
      <c r="Q596" s="21" t="str">
        <f>IF(SUMIFS('Input Sheet'!$F$3:$F$1001,'Input Sheet'!$B$3:$B$1001,$H596,'Input Sheet'!$E$3:$E$1001,Q$4)=0,"",SUMIFS('Input Sheet'!$F$3:$F$1001,'Input Sheet'!$B$3:$B$1001,$H596,'Input Sheet'!$E$3:$E$1001,Q$4))</f>
        <v/>
      </c>
      <c r="R596" s="21" t="str">
        <f>IF(SUMIFS('Input Sheet'!$F$3:$F$1001,'Input Sheet'!$B$3:$B$1001,$H596,'Input Sheet'!$E$3:$E$1001,R$4)=0,"",SUMIFS('Input Sheet'!$F$3:$F$1001,'Input Sheet'!$B$3:$B$1001,$H596,'Input Sheet'!$E$3:$E$1001,R$4))</f>
        <v/>
      </c>
      <c r="S596" s="21" t="str">
        <f>IF(SUMIFS('Input Sheet'!$F$3:$F$1001,'Input Sheet'!$B$3:$B$1001,$H596,'Input Sheet'!$E$3:$E$1001,S$4)=0,"",SUMIFS('Input Sheet'!$F$3:$F$1001,'Input Sheet'!$B$3:$B$1001,$H596,'Input Sheet'!$E$3:$E$1001,S$4))</f>
        <v/>
      </c>
      <c r="T596" s="22">
        <v>591</v>
      </c>
    </row>
    <row r="597" spans="1:20" ht="14.25" customHeight="1" x14ac:dyDescent="0.3">
      <c r="A597" s="4" t="str">
        <f>IF('Input Sheet'!B594=0,"",'Input Sheet'!B594)</f>
        <v/>
      </c>
      <c r="B597" s="24" t="b">
        <f t="shared" si="526"/>
        <v>0</v>
      </c>
      <c r="C597" s="4">
        <f>SUMIF('Input Sheet'!B$3:B$1000,A597,'Input Sheet'!C$3:C$1000)</f>
        <v>0</v>
      </c>
      <c r="D597" s="4">
        <f>SUMIF('Input Sheet'!B$3:B$1000,A597,'Input Sheet'!D$3:D$1000)</f>
        <v>0</v>
      </c>
      <c r="E597" s="4" t="str">
        <f t="shared" ref="E597:F597" ca="1" si="614">IFERROR(RANK(K597,K$6:K$1004,1),"")</f>
        <v/>
      </c>
      <c r="F597" s="4" t="str">
        <f t="shared" ca="1" si="614"/>
        <v/>
      </c>
      <c r="G597" s="4" t="str">
        <f t="shared" ca="1" si="528"/>
        <v/>
      </c>
      <c r="H597" s="4" t="str">
        <f t="shared" si="529"/>
        <v/>
      </c>
      <c r="I597" s="4" t="str">
        <f t="shared" si="530"/>
        <v/>
      </c>
      <c r="J597" s="4" t="str">
        <f t="shared" si="531"/>
        <v/>
      </c>
      <c r="K597" s="25" t="str">
        <f t="shared" ca="1" si="532"/>
        <v/>
      </c>
      <c r="L597" s="21" t="str">
        <f t="shared" ca="1" si="533"/>
        <v/>
      </c>
      <c r="M597" s="21" t="str">
        <f>IF(SUMIFS('Input Sheet'!$F$3:$F$1001,'Input Sheet'!$B$3:$B$1001,$H597,'Input Sheet'!$E$3:$E$1001,M$4)=0,"",SUMIFS('Input Sheet'!$F$3:$F$1001,'Input Sheet'!$B$3:$B$1001,$H597,'Input Sheet'!$E$3:$E$1001,M$4))</f>
        <v/>
      </c>
      <c r="N597" s="21" t="str">
        <f>IF(SUMIFS('Input Sheet'!$F$3:$F$1001,'Input Sheet'!$B$3:$B$1001,$H597,'Input Sheet'!$E$3:$E$1001,N$4)=0,"",SUMIFS('Input Sheet'!$F$3:$F$1001,'Input Sheet'!$B$3:$B$1001,$H597,'Input Sheet'!$E$3:$E$1001,N$4))</f>
        <v/>
      </c>
      <c r="O597" s="21" t="str">
        <f>IF(SUMIFS('Input Sheet'!$F$3:$F$1001,'Input Sheet'!$B$3:$B$1001,$H597,'Input Sheet'!$E$3:$E$1001,O$4)=0,"",SUMIFS('Input Sheet'!$F$3:$F$1001,'Input Sheet'!$B$3:$B$1001,$H597,'Input Sheet'!$E$3:$E$1001,O$4))</f>
        <v/>
      </c>
      <c r="P597" s="21" t="str">
        <f>IF(SUMIFS('Input Sheet'!$F$3:$F$1001,'Input Sheet'!$B$3:$B$1001,$H597,'Input Sheet'!$E$3:$E$1001,P$4)=0,"",SUMIFS('Input Sheet'!$F$3:$F$1001,'Input Sheet'!$B$3:$B$1001,$H597,'Input Sheet'!$E$3:$E$1001,P$4))</f>
        <v/>
      </c>
      <c r="Q597" s="21" t="str">
        <f>IF(SUMIFS('Input Sheet'!$F$3:$F$1001,'Input Sheet'!$B$3:$B$1001,$H597,'Input Sheet'!$E$3:$E$1001,Q$4)=0,"",SUMIFS('Input Sheet'!$F$3:$F$1001,'Input Sheet'!$B$3:$B$1001,$H597,'Input Sheet'!$E$3:$E$1001,Q$4))</f>
        <v/>
      </c>
      <c r="R597" s="21" t="str">
        <f>IF(SUMIFS('Input Sheet'!$F$3:$F$1001,'Input Sheet'!$B$3:$B$1001,$H597,'Input Sheet'!$E$3:$E$1001,R$4)=0,"",SUMIFS('Input Sheet'!$F$3:$F$1001,'Input Sheet'!$B$3:$B$1001,$H597,'Input Sheet'!$E$3:$E$1001,R$4))</f>
        <v/>
      </c>
      <c r="S597" s="21" t="str">
        <f>IF(SUMIFS('Input Sheet'!$F$3:$F$1001,'Input Sheet'!$B$3:$B$1001,$H597,'Input Sheet'!$E$3:$E$1001,S$4)=0,"",SUMIFS('Input Sheet'!$F$3:$F$1001,'Input Sheet'!$B$3:$B$1001,$H597,'Input Sheet'!$E$3:$E$1001,S$4))</f>
        <v/>
      </c>
      <c r="T597" s="22">
        <v>592</v>
      </c>
    </row>
    <row r="598" spans="1:20" ht="14.25" customHeight="1" x14ac:dyDescent="0.3">
      <c r="A598" s="4" t="str">
        <f>IF('Input Sheet'!B595=0,"",'Input Sheet'!B595)</f>
        <v/>
      </c>
      <c r="B598" s="24" t="b">
        <f t="shared" si="526"/>
        <v>0</v>
      </c>
      <c r="C598" s="4">
        <f>SUMIF('Input Sheet'!B$3:B$1000,A598,'Input Sheet'!C$3:C$1000)</f>
        <v>0</v>
      </c>
      <c r="D598" s="4">
        <f>SUMIF('Input Sheet'!B$3:B$1000,A598,'Input Sheet'!D$3:D$1000)</f>
        <v>0</v>
      </c>
      <c r="E598" s="4" t="str">
        <f t="shared" ref="E598:F598" ca="1" si="615">IFERROR(RANK(K598,K$6:K$1004,1),"")</f>
        <v/>
      </c>
      <c r="F598" s="4" t="str">
        <f t="shared" ca="1" si="615"/>
        <v/>
      </c>
      <c r="G598" s="4" t="str">
        <f t="shared" ca="1" si="528"/>
        <v/>
      </c>
      <c r="H598" s="4" t="str">
        <f t="shared" si="529"/>
        <v/>
      </c>
      <c r="I598" s="4" t="str">
        <f t="shared" si="530"/>
        <v/>
      </c>
      <c r="J598" s="4" t="str">
        <f t="shared" si="531"/>
        <v/>
      </c>
      <c r="K598" s="25" t="str">
        <f t="shared" ca="1" si="532"/>
        <v/>
      </c>
      <c r="L598" s="21" t="str">
        <f t="shared" ca="1" si="533"/>
        <v/>
      </c>
      <c r="M598" s="21" t="str">
        <f>IF(SUMIFS('Input Sheet'!$F$3:$F$1001,'Input Sheet'!$B$3:$B$1001,$H598,'Input Sheet'!$E$3:$E$1001,M$4)=0,"",SUMIFS('Input Sheet'!$F$3:$F$1001,'Input Sheet'!$B$3:$B$1001,$H598,'Input Sheet'!$E$3:$E$1001,M$4))</f>
        <v/>
      </c>
      <c r="N598" s="21" t="str">
        <f>IF(SUMIFS('Input Sheet'!$F$3:$F$1001,'Input Sheet'!$B$3:$B$1001,$H598,'Input Sheet'!$E$3:$E$1001,N$4)=0,"",SUMIFS('Input Sheet'!$F$3:$F$1001,'Input Sheet'!$B$3:$B$1001,$H598,'Input Sheet'!$E$3:$E$1001,N$4))</f>
        <v/>
      </c>
      <c r="O598" s="21" t="str">
        <f>IF(SUMIFS('Input Sheet'!$F$3:$F$1001,'Input Sheet'!$B$3:$B$1001,$H598,'Input Sheet'!$E$3:$E$1001,O$4)=0,"",SUMIFS('Input Sheet'!$F$3:$F$1001,'Input Sheet'!$B$3:$B$1001,$H598,'Input Sheet'!$E$3:$E$1001,O$4))</f>
        <v/>
      </c>
      <c r="P598" s="21" t="str">
        <f>IF(SUMIFS('Input Sheet'!$F$3:$F$1001,'Input Sheet'!$B$3:$B$1001,$H598,'Input Sheet'!$E$3:$E$1001,P$4)=0,"",SUMIFS('Input Sheet'!$F$3:$F$1001,'Input Sheet'!$B$3:$B$1001,$H598,'Input Sheet'!$E$3:$E$1001,P$4))</f>
        <v/>
      </c>
      <c r="Q598" s="21" t="str">
        <f>IF(SUMIFS('Input Sheet'!$F$3:$F$1001,'Input Sheet'!$B$3:$B$1001,$H598,'Input Sheet'!$E$3:$E$1001,Q$4)=0,"",SUMIFS('Input Sheet'!$F$3:$F$1001,'Input Sheet'!$B$3:$B$1001,$H598,'Input Sheet'!$E$3:$E$1001,Q$4))</f>
        <v/>
      </c>
      <c r="R598" s="21" t="str">
        <f>IF(SUMIFS('Input Sheet'!$F$3:$F$1001,'Input Sheet'!$B$3:$B$1001,$H598,'Input Sheet'!$E$3:$E$1001,R$4)=0,"",SUMIFS('Input Sheet'!$F$3:$F$1001,'Input Sheet'!$B$3:$B$1001,$H598,'Input Sheet'!$E$3:$E$1001,R$4))</f>
        <v/>
      </c>
      <c r="S598" s="21" t="str">
        <f>IF(SUMIFS('Input Sheet'!$F$3:$F$1001,'Input Sheet'!$B$3:$B$1001,$H598,'Input Sheet'!$E$3:$E$1001,S$4)=0,"",SUMIFS('Input Sheet'!$F$3:$F$1001,'Input Sheet'!$B$3:$B$1001,$H598,'Input Sheet'!$E$3:$E$1001,S$4))</f>
        <v/>
      </c>
      <c r="T598" s="22">
        <v>593</v>
      </c>
    </row>
    <row r="599" spans="1:20" ht="14.25" customHeight="1" x14ac:dyDescent="0.3">
      <c r="A599" s="4" t="str">
        <f>IF('Input Sheet'!B596=0,"",'Input Sheet'!B596)</f>
        <v/>
      </c>
      <c r="B599" s="24" t="b">
        <f t="shared" si="526"/>
        <v>0</v>
      </c>
      <c r="C599" s="4">
        <f>SUMIF('Input Sheet'!B$3:B$1000,A599,'Input Sheet'!C$3:C$1000)</f>
        <v>0</v>
      </c>
      <c r="D599" s="4">
        <f>SUMIF('Input Sheet'!B$3:B$1000,A599,'Input Sheet'!D$3:D$1000)</f>
        <v>0</v>
      </c>
      <c r="E599" s="4" t="str">
        <f t="shared" ref="E599:F599" ca="1" si="616">IFERROR(RANK(K599,K$6:K$1004,1),"")</f>
        <v/>
      </c>
      <c r="F599" s="4" t="str">
        <f t="shared" ca="1" si="616"/>
        <v/>
      </c>
      <c r="G599" s="4" t="str">
        <f t="shared" ca="1" si="528"/>
        <v/>
      </c>
      <c r="H599" s="4" t="str">
        <f t="shared" si="529"/>
        <v/>
      </c>
      <c r="I599" s="4" t="str">
        <f t="shared" si="530"/>
        <v/>
      </c>
      <c r="J599" s="4" t="str">
        <f t="shared" si="531"/>
        <v/>
      </c>
      <c r="K599" s="25" t="str">
        <f t="shared" ca="1" si="532"/>
        <v/>
      </c>
      <c r="L599" s="21" t="str">
        <f t="shared" ca="1" si="533"/>
        <v/>
      </c>
      <c r="M599" s="21" t="str">
        <f>IF(SUMIFS('Input Sheet'!$F$3:$F$1001,'Input Sheet'!$B$3:$B$1001,$H599,'Input Sheet'!$E$3:$E$1001,M$4)=0,"",SUMIFS('Input Sheet'!$F$3:$F$1001,'Input Sheet'!$B$3:$B$1001,$H599,'Input Sheet'!$E$3:$E$1001,M$4))</f>
        <v/>
      </c>
      <c r="N599" s="21" t="str">
        <f>IF(SUMIFS('Input Sheet'!$F$3:$F$1001,'Input Sheet'!$B$3:$B$1001,$H599,'Input Sheet'!$E$3:$E$1001,N$4)=0,"",SUMIFS('Input Sheet'!$F$3:$F$1001,'Input Sheet'!$B$3:$B$1001,$H599,'Input Sheet'!$E$3:$E$1001,N$4))</f>
        <v/>
      </c>
      <c r="O599" s="21" t="str">
        <f>IF(SUMIFS('Input Sheet'!$F$3:$F$1001,'Input Sheet'!$B$3:$B$1001,$H599,'Input Sheet'!$E$3:$E$1001,O$4)=0,"",SUMIFS('Input Sheet'!$F$3:$F$1001,'Input Sheet'!$B$3:$B$1001,$H599,'Input Sheet'!$E$3:$E$1001,O$4))</f>
        <v/>
      </c>
      <c r="P599" s="21" t="str">
        <f>IF(SUMIFS('Input Sheet'!$F$3:$F$1001,'Input Sheet'!$B$3:$B$1001,$H599,'Input Sheet'!$E$3:$E$1001,P$4)=0,"",SUMIFS('Input Sheet'!$F$3:$F$1001,'Input Sheet'!$B$3:$B$1001,$H599,'Input Sheet'!$E$3:$E$1001,P$4))</f>
        <v/>
      </c>
      <c r="Q599" s="21" t="str">
        <f>IF(SUMIFS('Input Sheet'!$F$3:$F$1001,'Input Sheet'!$B$3:$B$1001,$H599,'Input Sheet'!$E$3:$E$1001,Q$4)=0,"",SUMIFS('Input Sheet'!$F$3:$F$1001,'Input Sheet'!$B$3:$B$1001,$H599,'Input Sheet'!$E$3:$E$1001,Q$4))</f>
        <v/>
      </c>
      <c r="R599" s="21" t="str">
        <f>IF(SUMIFS('Input Sheet'!$F$3:$F$1001,'Input Sheet'!$B$3:$B$1001,$H599,'Input Sheet'!$E$3:$E$1001,R$4)=0,"",SUMIFS('Input Sheet'!$F$3:$F$1001,'Input Sheet'!$B$3:$B$1001,$H599,'Input Sheet'!$E$3:$E$1001,R$4))</f>
        <v/>
      </c>
      <c r="S599" s="21" t="str">
        <f>IF(SUMIFS('Input Sheet'!$F$3:$F$1001,'Input Sheet'!$B$3:$B$1001,$H599,'Input Sheet'!$E$3:$E$1001,S$4)=0,"",SUMIFS('Input Sheet'!$F$3:$F$1001,'Input Sheet'!$B$3:$B$1001,$H599,'Input Sheet'!$E$3:$E$1001,S$4))</f>
        <v/>
      </c>
      <c r="T599" s="22">
        <v>594</v>
      </c>
    </row>
    <row r="600" spans="1:20" ht="14.25" customHeight="1" x14ac:dyDescent="0.3">
      <c r="A600" s="4" t="str">
        <f>IF('Input Sheet'!B597=0,"",'Input Sheet'!B597)</f>
        <v/>
      </c>
      <c r="B600" s="24" t="b">
        <f t="shared" si="526"/>
        <v>0</v>
      </c>
      <c r="C600" s="4">
        <f>SUMIF('Input Sheet'!B$3:B$1000,A600,'Input Sheet'!C$3:C$1000)</f>
        <v>0</v>
      </c>
      <c r="D600" s="4">
        <f>SUMIF('Input Sheet'!B$3:B$1000,A600,'Input Sheet'!D$3:D$1000)</f>
        <v>0</v>
      </c>
      <c r="E600" s="4" t="str">
        <f t="shared" ref="E600:F600" ca="1" si="617">IFERROR(RANK(K600,K$6:K$1004,1),"")</f>
        <v/>
      </c>
      <c r="F600" s="4" t="str">
        <f t="shared" ca="1" si="617"/>
        <v/>
      </c>
      <c r="G600" s="4" t="str">
        <f t="shared" ca="1" si="528"/>
        <v/>
      </c>
      <c r="H600" s="4" t="str">
        <f t="shared" si="529"/>
        <v/>
      </c>
      <c r="I600" s="4" t="str">
        <f t="shared" si="530"/>
        <v/>
      </c>
      <c r="J600" s="4" t="str">
        <f t="shared" si="531"/>
        <v/>
      </c>
      <c r="K600" s="25" t="str">
        <f t="shared" ca="1" si="532"/>
        <v/>
      </c>
      <c r="L600" s="21" t="str">
        <f t="shared" ca="1" si="533"/>
        <v/>
      </c>
      <c r="M600" s="21" t="str">
        <f>IF(SUMIFS('Input Sheet'!$F$3:$F$1001,'Input Sheet'!$B$3:$B$1001,$H600,'Input Sheet'!$E$3:$E$1001,M$4)=0,"",SUMIFS('Input Sheet'!$F$3:$F$1001,'Input Sheet'!$B$3:$B$1001,$H600,'Input Sheet'!$E$3:$E$1001,M$4))</f>
        <v/>
      </c>
      <c r="N600" s="21" t="str">
        <f>IF(SUMIFS('Input Sheet'!$F$3:$F$1001,'Input Sheet'!$B$3:$B$1001,$H600,'Input Sheet'!$E$3:$E$1001,N$4)=0,"",SUMIFS('Input Sheet'!$F$3:$F$1001,'Input Sheet'!$B$3:$B$1001,$H600,'Input Sheet'!$E$3:$E$1001,N$4))</f>
        <v/>
      </c>
      <c r="O600" s="21" t="str">
        <f>IF(SUMIFS('Input Sheet'!$F$3:$F$1001,'Input Sheet'!$B$3:$B$1001,$H600,'Input Sheet'!$E$3:$E$1001,O$4)=0,"",SUMIFS('Input Sheet'!$F$3:$F$1001,'Input Sheet'!$B$3:$B$1001,$H600,'Input Sheet'!$E$3:$E$1001,O$4))</f>
        <v/>
      </c>
      <c r="P600" s="21" t="str">
        <f>IF(SUMIFS('Input Sheet'!$F$3:$F$1001,'Input Sheet'!$B$3:$B$1001,$H600,'Input Sheet'!$E$3:$E$1001,P$4)=0,"",SUMIFS('Input Sheet'!$F$3:$F$1001,'Input Sheet'!$B$3:$B$1001,$H600,'Input Sheet'!$E$3:$E$1001,P$4))</f>
        <v/>
      </c>
      <c r="Q600" s="21" t="str">
        <f>IF(SUMIFS('Input Sheet'!$F$3:$F$1001,'Input Sheet'!$B$3:$B$1001,$H600,'Input Sheet'!$E$3:$E$1001,Q$4)=0,"",SUMIFS('Input Sheet'!$F$3:$F$1001,'Input Sheet'!$B$3:$B$1001,$H600,'Input Sheet'!$E$3:$E$1001,Q$4))</f>
        <v/>
      </c>
      <c r="R600" s="21" t="str">
        <f>IF(SUMIFS('Input Sheet'!$F$3:$F$1001,'Input Sheet'!$B$3:$B$1001,$H600,'Input Sheet'!$E$3:$E$1001,R$4)=0,"",SUMIFS('Input Sheet'!$F$3:$F$1001,'Input Sheet'!$B$3:$B$1001,$H600,'Input Sheet'!$E$3:$E$1001,R$4))</f>
        <v/>
      </c>
      <c r="S600" s="21" t="str">
        <f>IF(SUMIFS('Input Sheet'!$F$3:$F$1001,'Input Sheet'!$B$3:$B$1001,$H600,'Input Sheet'!$E$3:$E$1001,S$4)=0,"",SUMIFS('Input Sheet'!$F$3:$F$1001,'Input Sheet'!$B$3:$B$1001,$H600,'Input Sheet'!$E$3:$E$1001,S$4))</f>
        <v/>
      </c>
      <c r="T600" s="22">
        <v>595</v>
      </c>
    </row>
    <row r="601" spans="1:20" ht="14.25" customHeight="1" x14ac:dyDescent="0.3">
      <c r="A601" s="4" t="str">
        <f>IF('Input Sheet'!B598=0,"",'Input Sheet'!B598)</f>
        <v/>
      </c>
      <c r="B601" s="24" t="b">
        <f t="shared" si="526"/>
        <v>0</v>
      </c>
      <c r="C601" s="4">
        <f>SUMIF('Input Sheet'!B$3:B$1000,A601,'Input Sheet'!C$3:C$1000)</f>
        <v>0</v>
      </c>
      <c r="D601" s="4">
        <f>SUMIF('Input Sheet'!B$3:B$1000,A601,'Input Sheet'!D$3:D$1000)</f>
        <v>0</v>
      </c>
      <c r="E601" s="4" t="str">
        <f t="shared" ref="E601:F601" ca="1" si="618">IFERROR(RANK(K601,K$6:K$1004,1),"")</f>
        <v/>
      </c>
      <c r="F601" s="4" t="str">
        <f t="shared" ca="1" si="618"/>
        <v/>
      </c>
      <c r="G601" s="4" t="str">
        <f t="shared" ca="1" si="528"/>
        <v/>
      </c>
      <c r="H601" s="4" t="str">
        <f t="shared" si="529"/>
        <v/>
      </c>
      <c r="I601" s="4" t="str">
        <f t="shared" si="530"/>
        <v/>
      </c>
      <c r="J601" s="4" t="str">
        <f t="shared" si="531"/>
        <v/>
      </c>
      <c r="K601" s="25" t="str">
        <f t="shared" ca="1" si="532"/>
        <v/>
      </c>
      <c r="L601" s="21" t="str">
        <f t="shared" ca="1" si="533"/>
        <v/>
      </c>
      <c r="M601" s="21" t="str">
        <f>IF(SUMIFS('Input Sheet'!$F$3:$F$1001,'Input Sheet'!$B$3:$B$1001,$H601,'Input Sheet'!$E$3:$E$1001,M$4)=0,"",SUMIFS('Input Sheet'!$F$3:$F$1001,'Input Sheet'!$B$3:$B$1001,$H601,'Input Sheet'!$E$3:$E$1001,M$4))</f>
        <v/>
      </c>
      <c r="N601" s="21" t="str">
        <f>IF(SUMIFS('Input Sheet'!$F$3:$F$1001,'Input Sheet'!$B$3:$B$1001,$H601,'Input Sheet'!$E$3:$E$1001,N$4)=0,"",SUMIFS('Input Sheet'!$F$3:$F$1001,'Input Sheet'!$B$3:$B$1001,$H601,'Input Sheet'!$E$3:$E$1001,N$4))</f>
        <v/>
      </c>
      <c r="O601" s="21" t="str">
        <f>IF(SUMIFS('Input Sheet'!$F$3:$F$1001,'Input Sheet'!$B$3:$B$1001,$H601,'Input Sheet'!$E$3:$E$1001,O$4)=0,"",SUMIFS('Input Sheet'!$F$3:$F$1001,'Input Sheet'!$B$3:$B$1001,$H601,'Input Sheet'!$E$3:$E$1001,O$4))</f>
        <v/>
      </c>
      <c r="P601" s="21" t="str">
        <f>IF(SUMIFS('Input Sheet'!$F$3:$F$1001,'Input Sheet'!$B$3:$B$1001,$H601,'Input Sheet'!$E$3:$E$1001,P$4)=0,"",SUMIFS('Input Sheet'!$F$3:$F$1001,'Input Sheet'!$B$3:$B$1001,$H601,'Input Sheet'!$E$3:$E$1001,P$4))</f>
        <v/>
      </c>
      <c r="Q601" s="21" t="str">
        <f>IF(SUMIFS('Input Sheet'!$F$3:$F$1001,'Input Sheet'!$B$3:$B$1001,$H601,'Input Sheet'!$E$3:$E$1001,Q$4)=0,"",SUMIFS('Input Sheet'!$F$3:$F$1001,'Input Sheet'!$B$3:$B$1001,$H601,'Input Sheet'!$E$3:$E$1001,Q$4))</f>
        <v/>
      </c>
      <c r="R601" s="21" t="str">
        <f>IF(SUMIFS('Input Sheet'!$F$3:$F$1001,'Input Sheet'!$B$3:$B$1001,$H601,'Input Sheet'!$E$3:$E$1001,R$4)=0,"",SUMIFS('Input Sheet'!$F$3:$F$1001,'Input Sheet'!$B$3:$B$1001,$H601,'Input Sheet'!$E$3:$E$1001,R$4))</f>
        <v/>
      </c>
      <c r="S601" s="21" t="str">
        <f>IF(SUMIFS('Input Sheet'!$F$3:$F$1001,'Input Sheet'!$B$3:$B$1001,$H601,'Input Sheet'!$E$3:$E$1001,S$4)=0,"",SUMIFS('Input Sheet'!$F$3:$F$1001,'Input Sheet'!$B$3:$B$1001,$H601,'Input Sheet'!$E$3:$E$1001,S$4))</f>
        <v/>
      </c>
      <c r="T601" s="22">
        <v>596</v>
      </c>
    </row>
    <row r="602" spans="1:20" ht="14.25" customHeight="1" x14ac:dyDescent="0.3">
      <c r="A602" s="4" t="str">
        <f>IF('Input Sheet'!B599=0,"",'Input Sheet'!B599)</f>
        <v/>
      </c>
      <c r="B602" s="24" t="b">
        <f t="shared" si="526"/>
        <v>0</v>
      </c>
      <c r="C602" s="4">
        <f>SUMIF('Input Sheet'!B$3:B$1000,A602,'Input Sheet'!C$3:C$1000)</f>
        <v>0</v>
      </c>
      <c r="D602" s="4">
        <f>SUMIF('Input Sheet'!B$3:B$1000,A602,'Input Sheet'!D$3:D$1000)</f>
        <v>0</v>
      </c>
      <c r="E602" s="4" t="str">
        <f t="shared" ref="E602:F602" ca="1" si="619">IFERROR(RANK(K602,K$6:K$1004,1),"")</f>
        <v/>
      </c>
      <c r="F602" s="4" t="str">
        <f t="shared" ca="1" si="619"/>
        <v/>
      </c>
      <c r="G602" s="4" t="str">
        <f t="shared" ca="1" si="528"/>
        <v/>
      </c>
      <c r="H602" s="4" t="str">
        <f t="shared" si="529"/>
        <v/>
      </c>
      <c r="I602" s="4" t="str">
        <f t="shared" si="530"/>
        <v/>
      </c>
      <c r="J602" s="4" t="str">
        <f t="shared" si="531"/>
        <v/>
      </c>
      <c r="K602" s="25" t="str">
        <f t="shared" ca="1" si="532"/>
        <v/>
      </c>
      <c r="L602" s="21" t="str">
        <f t="shared" ca="1" si="533"/>
        <v/>
      </c>
      <c r="M602" s="21" t="str">
        <f>IF(SUMIFS('Input Sheet'!$F$3:$F$1001,'Input Sheet'!$B$3:$B$1001,$H602,'Input Sheet'!$E$3:$E$1001,M$4)=0,"",SUMIFS('Input Sheet'!$F$3:$F$1001,'Input Sheet'!$B$3:$B$1001,$H602,'Input Sheet'!$E$3:$E$1001,M$4))</f>
        <v/>
      </c>
      <c r="N602" s="21" t="str">
        <f>IF(SUMIFS('Input Sheet'!$F$3:$F$1001,'Input Sheet'!$B$3:$B$1001,$H602,'Input Sheet'!$E$3:$E$1001,N$4)=0,"",SUMIFS('Input Sheet'!$F$3:$F$1001,'Input Sheet'!$B$3:$B$1001,$H602,'Input Sheet'!$E$3:$E$1001,N$4))</f>
        <v/>
      </c>
      <c r="O602" s="21" t="str">
        <f>IF(SUMIFS('Input Sheet'!$F$3:$F$1001,'Input Sheet'!$B$3:$B$1001,$H602,'Input Sheet'!$E$3:$E$1001,O$4)=0,"",SUMIFS('Input Sheet'!$F$3:$F$1001,'Input Sheet'!$B$3:$B$1001,$H602,'Input Sheet'!$E$3:$E$1001,O$4))</f>
        <v/>
      </c>
      <c r="P602" s="21" t="str">
        <f>IF(SUMIFS('Input Sheet'!$F$3:$F$1001,'Input Sheet'!$B$3:$B$1001,$H602,'Input Sheet'!$E$3:$E$1001,P$4)=0,"",SUMIFS('Input Sheet'!$F$3:$F$1001,'Input Sheet'!$B$3:$B$1001,$H602,'Input Sheet'!$E$3:$E$1001,P$4))</f>
        <v/>
      </c>
      <c r="Q602" s="21" t="str">
        <f>IF(SUMIFS('Input Sheet'!$F$3:$F$1001,'Input Sheet'!$B$3:$B$1001,$H602,'Input Sheet'!$E$3:$E$1001,Q$4)=0,"",SUMIFS('Input Sheet'!$F$3:$F$1001,'Input Sheet'!$B$3:$B$1001,$H602,'Input Sheet'!$E$3:$E$1001,Q$4))</f>
        <v/>
      </c>
      <c r="R602" s="21" t="str">
        <f>IF(SUMIFS('Input Sheet'!$F$3:$F$1001,'Input Sheet'!$B$3:$B$1001,$H602,'Input Sheet'!$E$3:$E$1001,R$4)=0,"",SUMIFS('Input Sheet'!$F$3:$F$1001,'Input Sheet'!$B$3:$B$1001,$H602,'Input Sheet'!$E$3:$E$1001,R$4))</f>
        <v/>
      </c>
      <c r="S602" s="21" t="str">
        <f>IF(SUMIFS('Input Sheet'!$F$3:$F$1001,'Input Sheet'!$B$3:$B$1001,$H602,'Input Sheet'!$E$3:$E$1001,S$4)=0,"",SUMIFS('Input Sheet'!$F$3:$F$1001,'Input Sheet'!$B$3:$B$1001,$H602,'Input Sheet'!$E$3:$E$1001,S$4))</f>
        <v/>
      </c>
      <c r="T602" s="22">
        <v>597</v>
      </c>
    </row>
    <row r="603" spans="1:20" ht="14.25" customHeight="1" x14ac:dyDescent="0.3">
      <c r="A603" s="4" t="str">
        <f>IF('Input Sheet'!B600=0,"",'Input Sheet'!B600)</f>
        <v/>
      </c>
      <c r="B603" s="24" t="b">
        <f t="shared" si="526"/>
        <v>0</v>
      </c>
      <c r="C603" s="4">
        <f>SUMIF('Input Sheet'!B$3:B$1000,A603,'Input Sheet'!C$3:C$1000)</f>
        <v>0</v>
      </c>
      <c r="D603" s="4">
        <f>SUMIF('Input Sheet'!B$3:B$1000,A603,'Input Sheet'!D$3:D$1000)</f>
        <v>0</v>
      </c>
      <c r="E603" s="4" t="str">
        <f t="shared" ref="E603:F603" ca="1" si="620">IFERROR(RANK(K603,K$6:K$1004,1),"")</f>
        <v/>
      </c>
      <c r="F603" s="4" t="str">
        <f t="shared" ca="1" si="620"/>
        <v/>
      </c>
      <c r="G603" s="4" t="str">
        <f t="shared" ca="1" si="528"/>
        <v/>
      </c>
      <c r="H603" s="4" t="str">
        <f t="shared" si="529"/>
        <v/>
      </c>
      <c r="I603" s="4" t="str">
        <f t="shared" si="530"/>
        <v/>
      </c>
      <c r="J603" s="4" t="str">
        <f t="shared" si="531"/>
        <v/>
      </c>
      <c r="K603" s="25" t="str">
        <f t="shared" ca="1" si="532"/>
        <v/>
      </c>
      <c r="L603" s="21" t="str">
        <f t="shared" ca="1" si="533"/>
        <v/>
      </c>
      <c r="M603" s="21" t="str">
        <f>IF(SUMIFS('Input Sheet'!$F$3:$F$1001,'Input Sheet'!$B$3:$B$1001,$H603,'Input Sheet'!$E$3:$E$1001,M$4)=0,"",SUMIFS('Input Sheet'!$F$3:$F$1001,'Input Sheet'!$B$3:$B$1001,$H603,'Input Sheet'!$E$3:$E$1001,M$4))</f>
        <v/>
      </c>
      <c r="N603" s="21" t="str">
        <f>IF(SUMIFS('Input Sheet'!$F$3:$F$1001,'Input Sheet'!$B$3:$B$1001,$H603,'Input Sheet'!$E$3:$E$1001,N$4)=0,"",SUMIFS('Input Sheet'!$F$3:$F$1001,'Input Sheet'!$B$3:$B$1001,$H603,'Input Sheet'!$E$3:$E$1001,N$4))</f>
        <v/>
      </c>
      <c r="O603" s="21" t="str">
        <f>IF(SUMIFS('Input Sheet'!$F$3:$F$1001,'Input Sheet'!$B$3:$B$1001,$H603,'Input Sheet'!$E$3:$E$1001,O$4)=0,"",SUMIFS('Input Sheet'!$F$3:$F$1001,'Input Sheet'!$B$3:$B$1001,$H603,'Input Sheet'!$E$3:$E$1001,O$4))</f>
        <v/>
      </c>
      <c r="P603" s="21" t="str">
        <f>IF(SUMIFS('Input Sheet'!$F$3:$F$1001,'Input Sheet'!$B$3:$B$1001,$H603,'Input Sheet'!$E$3:$E$1001,P$4)=0,"",SUMIFS('Input Sheet'!$F$3:$F$1001,'Input Sheet'!$B$3:$B$1001,$H603,'Input Sheet'!$E$3:$E$1001,P$4))</f>
        <v/>
      </c>
      <c r="Q603" s="21" t="str">
        <f>IF(SUMIFS('Input Sheet'!$F$3:$F$1001,'Input Sheet'!$B$3:$B$1001,$H603,'Input Sheet'!$E$3:$E$1001,Q$4)=0,"",SUMIFS('Input Sheet'!$F$3:$F$1001,'Input Sheet'!$B$3:$B$1001,$H603,'Input Sheet'!$E$3:$E$1001,Q$4))</f>
        <v/>
      </c>
      <c r="R603" s="21" t="str">
        <f>IF(SUMIFS('Input Sheet'!$F$3:$F$1001,'Input Sheet'!$B$3:$B$1001,$H603,'Input Sheet'!$E$3:$E$1001,R$4)=0,"",SUMIFS('Input Sheet'!$F$3:$F$1001,'Input Sheet'!$B$3:$B$1001,$H603,'Input Sheet'!$E$3:$E$1001,R$4))</f>
        <v/>
      </c>
      <c r="S603" s="21" t="str">
        <f>IF(SUMIFS('Input Sheet'!$F$3:$F$1001,'Input Sheet'!$B$3:$B$1001,$H603,'Input Sheet'!$E$3:$E$1001,S$4)=0,"",SUMIFS('Input Sheet'!$F$3:$F$1001,'Input Sheet'!$B$3:$B$1001,$H603,'Input Sheet'!$E$3:$E$1001,S$4))</f>
        <v/>
      </c>
      <c r="T603" s="22">
        <v>598</v>
      </c>
    </row>
    <row r="604" spans="1:20" ht="14.25" customHeight="1" x14ac:dyDescent="0.3">
      <c r="A604" s="4" t="str">
        <f>IF('Input Sheet'!B601=0,"",'Input Sheet'!B601)</f>
        <v/>
      </c>
      <c r="B604" s="24" t="b">
        <f t="shared" si="526"/>
        <v>0</v>
      </c>
      <c r="C604" s="4">
        <f>SUMIF('Input Sheet'!B$3:B$1000,A604,'Input Sheet'!C$3:C$1000)</f>
        <v>0</v>
      </c>
      <c r="D604" s="4">
        <f>SUMIF('Input Sheet'!B$3:B$1000,A604,'Input Sheet'!D$3:D$1000)</f>
        <v>0</v>
      </c>
      <c r="E604" s="4" t="str">
        <f t="shared" ref="E604:F604" ca="1" si="621">IFERROR(RANK(K604,K$6:K$1004,1),"")</f>
        <v/>
      </c>
      <c r="F604" s="4" t="str">
        <f t="shared" ca="1" si="621"/>
        <v/>
      </c>
      <c r="G604" s="4" t="str">
        <f t="shared" ca="1" si="528"/>
        <v/>
      </c>
      <c r="H604" s="4" t="str">
        <f t="shared" si="529"/>
        <v/>
      </c>
      <c r="I604" s="4" t="str">
        <f t="shared" si="530"/>
        <v/>
      </c>
      <c r="J604" s="4" t="str">
        <f t="shared" si="531"/>
        <v/>
      </c>
      <c r="K604" s="25" t="str">
        <f t="shared" ca="1" si="532"/>
        <v/>
      </c>
      <c r="L604" s="21" t="str">
        <f t="shared" ca="1" si="533"/>
        <v/>
      </c>
      <c r="M604" s="21" t="str">
        <f>IF(SUMIFS('Input Sheet'!$F$3:$F$1001,'Input Sheet'!$B$3:$B$1001,$H604,'Input Sheet'!$E$3:$E$1001,M$4)=0,"",SUMIFS('Input Sheet'!$F$3:$F$1001,'Input Sheet'!$B$3:$B$1001,$H604,'Input Sheet'!$E$3:$E$1001,M$4))</f>
        <v/>
      </c>
      <c r="N604" s="21" t="str">
        <f>IF(SUMIFS('Input Sheet'!$F$3:$F$1001,'Input Sheet'!$B$3:$B$1001,$H604,'Input Sheet'!$E$3:$E$1001,N$4)=0,"",SUMIFS('Input Sheet'!$F$3:$F$1001,'Input Sheet'!$B$3:$B$1001,$H604,'Input Sheet'!$E$3:$E$1001,N$4))</f>
        <v/>
      </c>
      <c r="O604" s="21" t="str">
        <f>IF(SUMIFS('Input Sheet'!$F$3:$F$1001,'Input Sheet'!$B$3:$B$1001,$H604,'Input Sheet'!$E$3:$E$1001,O$4)=0,"",SUMIFS('Input Sheet'!$F$3:$F$1001,'Input Sheet'!$B$3:$B$1001,$H604,'Input Sheet'!$E$3:$E$1001,O$4))</f>
        <v/>
      </c>
      <c r="P604" s="21" t="str">
        <f>IF(SUMIFS('Input Sheet'!$F$3:$F$1001,'Input Sheet'!$B$3:$B$1001,$H604,'Input Sheet'!$E$3:$E$1001,P$4)=0,"",SUMIFS('Input Sheet'!$F$3:$F$1001,'Input Sheet'!$B$3:$B$1001,$H604,'Input Sheet'!$E$3:$E$1001,P$4))</f>
        <v/>
      </c>
      <c r="Q604" s="21" t="str">
        <f>IF(SUMIFS('Input Sheet'!$F$3:$F$1001,'Input Sheet'!$B$3:$B$1001,$H604,'Input Sheet'!$E$3:$E$1001,Q$4)=0,"",SUMIFS('Input Sheet'!$F$3:$F$1001,'Input Sheet'!$B$3:$B$1001,$H604,'Input Sheet'!$E$3:$E$1001,Q$4))</f>
        <v/>
      </c>
      <c r="R604" s="21" t="str">
        <f>IF(SUMIFS('Input Sheet'!$F$3:$F$1001,'Input Sheet'!$B$3:$B$1001,$H604,'Input Sheet'!$E$3:$E$1001,R$4)=0,"",SUMIFS('Input Sheet'!$F$3:$F$1001,'Input Sheet'!$B$3:$B$1001,$H604,'Input Sheet'!$E$3:$E$1001,R$4))</f>
        <v/>
      </c>
      <c r="S604" s="21" t="str">
        <f>IF(SUMIFS('Input Sheet'!$F$3:$F$1001,'Input Sheet'!$B$3:$B$1001,$H604,'Input Sheet'!$E$3:$E$1001,S$4)=0,"",SUMIFS('Input Sheet'!$F$3:$F$1001,'Input Sheet'!$B$3:$B$1001,$H604,'Input Sheet'!$E$3:$E$1001,S$4))</f>
        <v/>
      </c>
      <c r="T604" s="22">
        <v>599</v>
      </c>
    </row>
    <row r="605" spans="1:20" ht="14.25" customHeight="1" x14ac:dyDescent="0.3">
      <c r="A605" s="4" t="str">
        <f>IF('Input Sheet'!B602=0,"",'Input Sheet'!B602)</f>
        <v/>
      </c>
      <c r="B605" s="24" t="b">
        <f t="shared" si="526"/>
        <v>0</v>
      </c>
      <c r="C605" s="4">
        <f>SUMIF('Input Sheet'!B$3:B$1000,A605,'Input Sheet'!C$3:C$1000)</f>
        <v>0</v>
      </c>
      <c r="D605" s="4">
        <f>SUMIF('Input Sheet'!B$3:B$1000,A605,'Input Sheet'!D$3:D$1000)</f>
        <v>0</v>
      </c>
      <c r="E605" s="4" t="str">
        <f t="shared" ref="E605:F605" ca="1" si="622">IFERROR(RANK(K605,K$6:K$1004,1),"")</f>
        <v/>
      </c>
      <c r="F605" s="4" t="str">
        <f t="shared" ca="1" si="622"/>
        <v/>
      </c>
      <c r="G605" s="4" t="str">
        <f t="shared" ca="1" si="528"/>
        <v/>
      </c>
      <c r="H605" s="4" t="str">
        <f t="shared" si="529"/>
        <v/>
      </c>
      <c r="I605" s="4" t="str">
        <f t="shared" si="530"/>
        <v/>
      </c>
      <c r="J605" s="4" t="str">
        <f t="shared" si="531"/>
        <v/>
      </c>
      <c r="K605" s="25" t="str">
        <f t="shared" ca="1" si="532"/>
        <v/>
      </c>
      <c r="L605" s="21" t="str">
        <f t="shared" ca="1" si="533"/>
        <v/>
      </c>
      <c r="M605" s="21" t="str">
        <f>IF(SUMIFS('Input Sheet'!$F$3:$F$1001,'Input Sheet'!$B$3:$B$1001,$H605,'Input Sheet'!$E$3:$E$1001,M$4)=0,"",SUMIFS('Input Sheet'!$F$3:$F$1001,'Input Sheet'!$B$3:$B$1001,$H605,'Input Sheet'!$E$3:$E$1001,M$4))</f>
        <v/>
      </c>
      <c r="N605" s="21" t="str">
        <f>IF(SUMIFS('Input Sheet'!$F$3:$F$1001,'Input Sheet'!$B$3:$B$1001,$H605,'Input Sheet'!$E$3:$E$1001,N$4)=0,"",SUMIFS('Input Sheet'!$F$3:$F$1001,'Input Sheet'!$B$3:$B$1001,$H605,'Input Sheet'!$E$3:$E$1001,N$4))</f>
        <v/>
      </c>
      <c r="O605" s="21" t="str">
        <f>IF(SUMIFS('Input Sheet'!$F$3:$F$1001,'Input Sheet'!$B$3:$B$1001,$H605,'Input Sheet'!$E$3:$E$1001,O$4)=0,"",SUMIFS('Input Sheet'!$F$3:$F$1001,'Input Sheet'!$B$3:$B$1001,$H605,'Input Sheet'!$E$3:$E$1001,O$4))</f>
        <v/>
      </c>
      <c r="P605" s="21" t="str">
        <f>IF(SUMIFS('Input Sheet'!$F$3:$F$1001,'Input Sheet'!$B$3:$B$1001,$H605,'Input Sheet'!$E$3:$E$1001,P$4)=0,"",SUMIFS('Input Sheet'!$F$3:$F$1001,'Input Sheet'!$B$3:$B$1001,$H605,'Input Sheet'!$E$3:$E$1001,P$4))</f>
        <v/>
      </c>
      <c r="Q605" s="21" t="str">
        <f>IF(SUMIFS('Input Sheet'!$F$3:$F$1001,'Input Sheet'!$B$3:$B$1001,$H605,'Input Sheet'!$E$3:$E$1001,Q$4)=0,"",SUMIFS('Input Sheet'!$F$3:$F$1001,'Input Sheet'!$B$3:$B$1001,$H605,'Input Sheet'!$E$3:$E$1001,Q$4))</f>
        <v/>
      </c>
      <c r="R605" s="21" t="str">
        <f>IF(SUMIFS('Input Sheet'!$F$3:$F$1001,'Input Sheet'!$B$3:$B$1001,$H605,'Input Sheet'!$E$3:$E$1001,R$4)=0,"",SUMIFS('Input Sheet'!$F$3:$F$1001,'Input Sheet'!$B$3:$B$1001,$H605,'Input Sheet'!$E$3:$E$1001,R$4))</f>
        <v/>
      </c>
      <c r="S605" s="21" t="str">
        <f>IF(SUMIFS('Input Sheet'!$F$3:$F$1001,'Input Sheet'!$B$3:$B$1001,$H605,'Input Sheet'!$E$3:$E$1001,S$4)=0,"",SUMIFS('Input Sheet'!$F$3:$F$1001,'Input Sheet'!$B$3:$B$1001,$H605,'Input Sheet'!$E$3:$E$1001,S$4))</f>
        <v/>
      </c>
      <c r="T605" s="22">
        <v>600</v>
      </c>
    </row>
    <row r="606" spans="1:20" ht="14.25" customHeight="1" x14ac:dyDescent="0.3">
      <c r="A606" s="4" t="str">
        <f>IF('Input Sheet'!B603=0,"",'Input Sheet'!B603)</f>
        <v/>
      </c>
      <c r="B606" s="24" t="b">
        <f t="shared" si="526"/>
        <v>0</v>
      </c>
      <c r="C606" s="4">
        <f>SUMIF('Input Sheet'!B$3:B$1000,A606,'Input Sheet'!C$3:C$1000)</f>
        <v>0</v>
      </c>
      <c r="D606" s="4">
        <f>SUMIF('Input Sheet'!B$3:B$1000,A606,'Input Sheet'!D$3:D$1000)</f>
        <v>0</v>
      </c>
      <c r="E606" s="4" t="str">
        <f t="shared" ref="E606:F606" ca="1" si="623">IFERROR(RANK(K606,K$6:K$1004,1),"")</f>
        <v/>
      </c>
      <c r="F606" s="4" t="str">
        <f t="shared" ca="1" si="623"/>
        <v/>
      </c>
      <c r="G606" s="4" t="str">
        <f t="shared" ca="1" si="528"/>
        <v/>
      </c>
      <c r="H606" s="4" t="str">
        <f t="shared" si="529"/>
        <v/>
      </c>
      <c r="I606" s="4" t="str">
        <f t="shared" si="530"/>
        <v/>
      </c>
      <c r="J606" s="4" t="str">
        <f t="shared" si="531"/>
        <v/>
      </c>
      <c r="K606" s="25" t="str">
        <f t="shared" ca="1" si="532"/>
        <v/>
      </c>
      <c r="L606" s="21" t="str">
        <f t="shared" ca="1" si="533"/>
        <v/>
      </c>
      <c r="M606" s="21" t="str">
        <f>IF(SUMIFS('Input Sheet'!$F$3:$F$1001,'Input Sheet'!$B$3:$B$1001,$H606,'Input Sheet'!$E$3:$E$1001,M$4)=0,"",SUMIFS('Input Sheet'!$F$3:$F$1001,'Input Sheet'!$B$3:$B$1001,$H606,'Input Sheet'!$E$3:$E$1001,M$4))</f>
        <v/>
      </c>
      <c r="N606" s="21" t="str">
        <f>IF(SUMIFS('Input Sheet'!$F$3:$F$1001,'Input Sheet'!$B$3:$B$1001,$H606,'Input Sheet'!$E$3:$E$1001,N$4)=0,"",SUMIFS('Input Sheet'!$F$3:$F$1001,'Input Sheet'!$B$3:$B$1001,$H606,'Input Sheet'!$E$3:$E$1001,N$4))</f>
        <v/>
      </c>
      <c r="O606" s="21" t="str">
        <f>IF(SUMIFS('Input Sheet'!$F$3:$F$1001,'Input Sheet'!$B$3:$B$1001,$H606,'Input Sheet'!$E$3:$E$1001,O$4)=0,"",SUMIFS('Input Sheet'!$F$3:$F$1001,'Input Sheet'!$B$3:$B$1001,$H606,'Input Sheet'!$E$3:$E$1001,O$4))</f>
        <v/>
      </c>
      <c r="P606" s="21" t="str">
        <f>IF(SUMIFS('Input Sheet'!$F$3:$F$1001,'Input Sheet'!$B$3:$B$1001,$H606,'Input Sheet'!$E$3:$E$1001,P$4)=0,"",SUMIFS('Input Sheet'!$F$3:$F$1001,'Input Sheet'!$B$3:$B$1001,$H606,'Input Sheet'!$E$3:$E$1001,P$4))</f>
        <v/>
      </c>
      <c r="Q606" s="21" t="str">
        <f>IF(SUMIFS('Input Sheet'!$F$3:$F$1001,'Input Sheet'!$B$3:$B$1001,$H606,'Input Sheet'!$E$3:$E$1001,Q$4)=0,"",SUMIFS('Input Sheet'!$F$3:$F$1001,'Input Sheet'!$B$3:$B$1001,$H606,'Input Sheet'!$E$3:$E$1001,Q$4))</f>
        <v/>
      </c>
      <c r="R606" s="21" t="str">
        <f>IF(SUMIFS('Input Sheet'!$F$3:$F$1001,'Input Sheet'!$B$3:$B$1001,$H606,'Input Sheet'!$E$3:$E$1001,R$4)=0,"",SUMIFS('Input Sheet'!$F$3:$F$1001,'Input Sheet'!$B$3:$B$1001,$H606,'Input Sheet'!$E$3:$E$1001,R$4))</f>
        <v/>
      </c>
      <c r="S606" s="21" t="str">
        <f>IF(SUMIFS('Input Sheet'!$F$3:$F$1001,'Input Sheet'!$B$3:$B$1001,$H606,'Input Sheet'!$E$3:$E$1001,S$4)=0,"",SUMIFS('Input Sheet'!$F$3:$F$1001,'Input Sheet'!$B$3:$B$1001,$H606,'Input Sheet'!$E$3:$E$1001,S$4))</f>
        <v/>
      </c>
      <c r="T606" s="22">
        <v>601</v>
      </c>
    </row>
    <row r="607" spans="1:20" ht="14.25" customHeight="1" x14ac:dyDescent="0.3">
      <c r="A607" s="4" t="str">
        <f>IF('Input Sheet'!B604=0,"",'Input Sheet'!B604)</f>
        <v/>
      </c>
      <c r="B607" s="24" t="b">
        <f t="shared" si="526"/>
        <v>0</v>
      </c>
      <c r="C607" s="4">
        <f>SUMIF('Input Sheet'!B$3:B$1000,A607,'Input Sheet'!C$3:C$1000)</f>
        <v>0</v>
      </c>
      <c r="D607" s="4">
        <f>SUMIF('Input Sheet'!B$3:B$1000,A607,'Input Sheet'!D$3:D$1000)</f>
        <v>0</v>
      </c>
      <c r="E607" s="4" t="str">
        <f t="shared" ref="E607:F607" ca="1" si="624">IFERROR(RANK(K607,K$6:K$1004,1),"")</f>
        <v/>
      </c>
      <c r="F607" s="4" t="str">
        <f t="shared" ca="1" si="624"/>
        <v/>
      </c>
      <c r="G607" s="4" t="str">
        <f t="shared" ca="1" si="528"/>
        <v/>
      </c>
      <c r="H607" s="4" t="str">
        <f t="shared" si="529"/>
        <v/>
      </c>
      <c r="I607" s="4" t="str">
        <f t="shared" si="530"/>
        <v/>
      </c>
      <c r="J607" s="4" t="str">
        <f t="shared" si="531"/>
        <v/>
      </c>
      <c r="K607" s="25" t="str">
        <f t="shared" ca="1" si="532"/>
        <v/>
      </c>
      <c r="L607" s="21" t="str">
        <f t="shared" ca="1" si="533"/>
        <v/>
      </c>
      <c r="M607" s="21" t="str">
        <f>IF(SUMIFS('Input Sheet'!$F$3:$F$1001,'Input Sheet'!$B$3:$B$1001,$H607,'Input Sheet'!$E$3:$E$1001,M$4)=0,"",SUMIFS('Input Sheet'!$F$3:$F$1001,'Input Sheet'!$B$3:$B$1001,$H607,'Input Sheet'!$E$3:$E$1001,M$4))</f>
        <v/>
      </c>
      <c r="N607" s="21" t="str">
        <f>IF(SUMIFS('Input Sheet'!$F$3:$F$1001,'Input Sheet'!$B$3:$B$1001,$H607,'Input Sheet'!$E$3:$E$1001,N$4)=0,"",SUMIFS('Input Sheet'!$F$3:$F$1001,'Input Sheet'!$B$3:$B$1001,$H607,'Input Sheet'!$E$3:$E$1001,N$4))</f>
        <v/>
      </c>
      <c r="O607" s="21" t="str">
        <f>IF(SUMIFS('Input Sheet'!$F$3:$F$1001,'Input Sheet'!$B$3:$B$1001,$H607,'Input Sheet'!$E$3:$E$1001,O$4)=0,"",SUMIFS('Input Sheet'!$F$3:$F$1001,'Input Sheet'!$B$3:$B$1001,$H607,'Input Sheet'!$E$3:$E$1001,O$4))</f>
        <v/>
      </c>
      <c r="P607" s="21" t="str">
        <f>IF(SUMIFS('Input Sheet'!$F$3:$F$1001,'Input Sheet'!$B$3:$B$1001,$H607,'Input Sheet'!$E$3:$E$1001,P$4)=0,"",SUMIFS('Input Sheet'!$F$3:$F$1001,'Input Sheet'!$B$3:$B$1001,$H607,'Input Sheet'!$E$3:$E$1001,P$4))</f>
        <v/>
      </c>
      <c r="Q607" s="21" t="str">
        <f>IF(SUMIFS('Input Sheet'!$F$3:$F$1001,'Input Sheet'!$B$3:$B$1001,$H607,'Input Sheet'!$E$3:$E$1001,Q$4)=0,"",SUMIFS('Input Sheet'!$F$3:$F$1001,'Input Sheet'!$B$3:$B$1001,$H607,'Input Sheet'!$E$3:$E$1001,Q$4))</f>
        <v/>
      </c>
      <c r="R607" s="21" t="str">
        <f>IF(SUMIFS('Input Sheet'!$F$3:$F$1001,'Input Sheet'!$B$3:$B$1001,$H607,'Input Sheet'!$E$3:$E$1001,R$4)=0,"",SUMIFS('Input Sheet'!$F$3:$F$1001,'Input Sheet'!$B$3:$B$1001,$H607,'Input Sheet'!$E$3:$E$1001,R$4))</f>
        <v/>
      </c>
      <c r="S607" s="21" t="str">
        <f>IF(SUMIFS('Input Sheet'!$F$3:$F$1001,'Input Sheet'!$B$3:$B$1001,$H607,'Input Sheet'!$E$3:$E$1001,S$4)=0,"",SUMIFS('Input Sheet'!$F$3:$F$1001,'Input Sheet'!$B$3:$B$1001,$H607,'Input Sheet'!$E$3:$E$1001,S$4))</f>
        <v/>
      </c>
      <c r="T607" s="22">
        <v>602</v>
      </c>
    </row>
    <row r="608" spans="1:20" ht="14.25" customHeight="1" x14ac:dyDescent="0.3">
      <c r="A608" s="4" t="str">
        <f>IF('Input Sheet'!B605=0,"",'Input Sheet'!B605)</f>
        <v/>
      </c>
      <c r="B608" s="24" t="b">
        <f t="shared" si="526"/>
        <v>0</v>
      </c>
      <c r="C608" s="4">
        <f>SUMIF('Input Sheet'!B$3:B$1000,A608,'Input Sheet'!C$3:C$1000)</f>
        <v>0</v>
      </c>
      <c r="D608" s="4">
        <f>SUMIF('Input Sheet'!B$3:B$1000,A608,'Input Sheet'!D$3:D$1000)</f>
        <v>0</v>
      </c>
      <c r="E608" s="4" t="str">
        <f t="shared" ref="E608:F608" ca="1" si="625">IFERROR(RANK(K608,K$6:K$1004,1),"")</f>
        <v/>
      </c>
      <c r="F608" s="4" t="str">
        <f t="shared" ca="1" si="625"/>
        <v/>
      </c>
      <c r="G608" s="4" t="str">
        <f t="shared" ca="1" si="528"/>
        <v/>
      </c>
      <c r="H608" s="4" t="str">
        <f t="shared" si="529"/>
        <v/>
      </c>
      <c r="I608" s="4" t="str">
        <f t="shared" si="530"/>
        <v/>
      </c>
      <c r="J608" s="4" t="str">
        <f t="shared" si="531"/>
        <v/>
      </c>
      <c r="K608" s="25" t="str">
        <f t="shared" ca="1" si="532"/>
        <v/>
      </c>
      <c r="L608" s="21" t="str">
        <f t="shared" ca="1" si="533"/>
        <v/>
      </c>
      <c r="M608" s="21" t="str">
        <f>IF(SUMIFS('Input Sheet'!$F$3:$F$1001,'Input Sheet'!$B$3:$B$1001,$H608,'Input Sheet'!$E$3:$E$1001,M$4)=0,"",SUMIFS('Input Sheet'!$F$3:$F$1001,'Input Sheet'!$B$3:$B$1001,$H608,'Input Sheet'!$E$3:$E$1001,M$4))</f>
        <v/>
      </c>
      <c r="N608" s="21" t="str">
        <f>IF(SUMIFS('Input Sheet'!$F$3:$F$1001,'Input Sheet'!$B$3:$B$1001,$H608,'Input Sheet'!$E$3:$E$1001,N$4)=0,"",SUMIFS('Input Sheet'!$F$3:$F$1001,'Input Sheet'!$B$3:$B$1001,$H608,'Input Sheet'!$E$3:$E$1001,N$4))</f>
        <v/>
      </c>
      <c r="O608" s="21" t="str">
        <f>IF(SUMIFS('Input Sheet'!$F$3:$F$1001,'Input Sheet'!$B$3:$B$1001,$H608,'Input Sheet'!$E$3:$E$1001,O$4)=0,"",SUMIFS('Input Sheet'!$F$3:$F$1001,'Input Sheet'!$B$3:$B$1001,$H608,'Input Sheet'!$E$3:$E$1001,O$4))</f>
        <v/>
      </c>
      <c r="P608" s="21" t="str">
        <f>IF(SUMIFS('Input Sheet'!$F$3:$F$1001,'Input Sheet'!$B$3:$B$1001,$H608,'Input Sheet'!$E$3:$E$1001,P$4)=0,"",SUMIFS('Input Sheet'!$F$3:$F$1001,'Input Sheet'!$B$3:$B$1001,$H608,'Input Sheet'!$E$3:$E$1001,P$4))</f>
        <v/>
      </c>
      <c r="Q608" s="21" t="str">
        <f>IF(SUMIFS('Input Sheet'!$F$3:$F$1001,'Input Sheet'!$B$3:$B$1001,$H608,'Input Sheet'!$E$3:$E$1001,Q$4)=0,"",SUMIFS('Input Sheet'!$F$3:$F$1001,'Input Sheet'!$B$3:$B$1001,$H608,'Input Sheet'!$E$3:$E$1001,Q$4))</f>
        <v/>
      </c>
      <c r="R608" s="21" t="str">
        <f>IF(SUMIFS('Input Sheet'!$F$3:$F$1001,'Input Sheet'!$B$3:$B$1001,$H608,'Input Sheet'!$E$3:$E$1001,R$4)=0,"",SUMIFS('Input Sheet'!$F$3:$F$1001,'Input Sheet'!$B$3:$B$1001,$H608,'Input Sheet'!$E$3:$E$1001,R$4))</f>
        <v/>
      </c>
      <c r="S608" s="21" t="str">
        <f>IF(SUMIFS('Input Sheet'!$F$3:$F$1001,'Input Sheet'!$B$3:$B$1001,$H608,'Input Sheet'!$E$3:$E$1001,S$4)=0,"",SUMIFS('Input Sheet'!$F$3:$F$1001,'Input Sheet'!$B$3:$B$1001,$H608,'Input Sheet'!$E$3:$E$1001,S$4))</f>
        <v/>
      </c>
      <c r="T608" s="22">
        <v>603</v>
      </c>
    </row>
    <row r="609" spans="1:20" ht="14.25" customHeight="1" x14ac:dyDescent="0.3">
      <c r="A609" s="4" t="str">
        <f>IF('Input Sheet'!B606=0,"",'Input Sheet'!B606)</f>
        <v/>
      </c>
      <c r="B609" s="24" t="b">
        <f t="shared" si="526"/>
        <v>0</v>
      </c>
      <c r="C609" s="4">
        <f>SUMIF('Input Sheet'!B$3:B$1000,A609,'Input Sheet'!C$3:C$1000)</f>
        <v>0</v>
      </c>
      <c r="D609" s="4">
        <f>SUMIF('Input Sheet'!B$3:B$1000,A609,'Input Sheet'!D$3:D$1000)</f>
        <v>0</v>
      </c>
      <c r="E609" s="4" t="str">
        <f t="shared" ref="E609:F609" ca="1" si="626">IFERROR(RANK(K609,K$6:K$1004,1),"")</f>
        <v/>
      </c>
      <c r="F609" s="4" t="str">
        <f t="shared" ca="1" si="626"/>
        <v/>
      </c>
      <c r="G609" s="4" t="str">
        <f t="shared" ca="1" si="528"/>
        <v/>
      </c>
      <c r="H609" s="4" t="str">
        <f t="shared" si="529"/>
        <v/>
      </c>
      <c r="I609" s="4" t="str">
        <f t="shared" si="530"/>
        <v/>
      </c>
      <c r="J609" s="4" t="str">
        <f t="shared" si="531"/>
        <v/>
      </c>
      <c r="K609" s="25" t="str">
        <f t="shared" ca="1" si="532"/>
        <v/>
      </c>
      <c r="L609" s="21" t="str">
        <f t="shared" ca="1" si="533"/>
        <v/>
      </c>
      <c r="M609" s="21" t="str">
        <f>IF(SUMIFS('Input Sheet'!$F$3:$F$1001,'Input Sheet'!$B$3:$B$1001,$H609,'Input Sheet'!$E$3:$E$1001,M$4)=0,"",SUMIFS('Input Sheet'!$F$3:$F$1001,'Input Sheet'!$B$3:$B$1001,$H609,'Input Sheet'!$E$3:$E$1001,M$4))</f>
        <v/>
      </c>
      <c r="N609" s="21" t="str">
        <f>IF(SUMIFS('Input Sheet'!$F$3:$F$1001,'Input Sheet'!$B$3:$B$1001,$H609,'Input Sheet'!$E$3:$E$1001,N$4)=0,"",SUMIFS('Input Sheet'!$F$3:$F$1001,'Input Sheet'!$B$3:$B$1001,$H609,'Input Sheet'!$E$3:$E$1001,N$4))</f>
        <v/>
      </c>
      <c r="O609" s="21" t="str">
        <f>IF(SUMIFS('Input Sheet'!$F$3:$F$1001,'Input Sheet'!$B$3:$B$1001,$H609,'Input Sheet'!$E$3:$E$1001,O$4)=0,"",SUMIFS('Input Sheet'!$F$3:$F$1001,'Input Sheet'!$B$3:$B$1001,$H609,'Input Sheet'!$E$3:$E$1001,O$4))</f>
        <v/>
      </c>
      <c r="P609" s="21" t="str">
        <f>IF(SUMIFS('Input Sheet'!$F$3:$F$1001,'Input Sheet'!$B$3:$B$1001,$H609,'Input Sheet'!$E$3:$E$1001,P$4)=0,"",SUMIFS('Input Sheet'!$F$3:$F$1001,'Input Sheet'!$B$3:$B$1001,$H609,'Input Sheet'!$E$3:$E$1001,P$4))</f>
        <v/>
      </c>
      <c r="Q609" s="21" t="str">
        <f>IF(SUMIFS('Input Sheet'!$F$3:$F$1001,'Input Sheet'!$B$3:$B$1001,$H609,'Input Sheet'!$E$3:$E$1001,Q$4)=0,"",SUMIFS('Input Sheet'!$F$3:$F$1001,'Input Sheet'!$B$3:$B$1001,$H609,'Input Sheet'!$E$3:$E$1001,Q$4))</f>
        <v/>
      </c>
      <c r="R609" s="21" t="str">
        <f>IF(SUMIFS('Input Sheet'!$F$3:$F$1001,'Input Sheet'!$B$3:$B$1001,$H609,'Input Sheet'!$E$3:$E$1001,R$4)=0,"",SUMIFS('Input Sheet'!$F$3:$F$1001,'Input Sheet'!$B$3:$B$1001,$H609,'Input Sheet'!$E$3:$E$1001,R$4))</f>
        <v/>
      </c>
      <c r="S609" s="21" t="str">
        <f>IF(SUMIFS('Input Sheet'!$F$3:$F$1001,'Input Sheet'!$B$3:$B$1001,$H609,'Input Sheet'!$E$3:$E$1001,S$4)=0,"",SUMIFS('Input Sheet'!$F$3:$F$1001,'Input Sheet'!$B$3:$B$1001,$H609,'Input Sheet'!$E$3:$E$1001,S$4))</f>
        <v/>
      </c>
      <c r="T609" s="22">
        <v>604</v>
      </c>
    </row>
    <row r="610" spans="1:20" ht="14.25" customHeight="1" x14ac:dyDescent="0.3">
      <c r="A610" s="4" t="str">
        <f>IF('Input Sheet'!B607=0,"",'Input Sheet'!B607)</f>
        <v/>
      </c>
      <c r="B610" s="24" t="b">
        <f t="shared" si="526"/>
        <v>0</v>
      </c>
      <c r="C610" s="4">
        <f>SUMIF('Input Sheet'!B$3:B$1000,A610,'Input Sheet'!C$3:C$1000)</f>
        <v>0</v>
      </c>
      <c r="D610" s="4">
        <f>SUMIF('Input Sheet'!B$3:B$1000,A610,'Input Sheet'!D$3:D$1000)</f>
        <v>0</v>
      </c>
      <c r="E610" s="4" t="str">
        <f t="shared" ref="E610:F610" ca="1" si="627">IFERROR(RANK(K610,K$6:K$1004,1),"")</f>
        <v/>
      </c>
      <c r="F610" s="4" t="str">
        <f t="shared" ca="1" si="627"/>
        <v/>
      </c>
      <c r="G610" s="4" t="str">
        <f t="shared" ca="1" si="528"/>
        <v/>
      </c>
      <c r="H610" s="4" t="str">
        <f t="shared" si="529"/>
        <v/>
      </c>
      <c r="I610" s="4" t="str">
        <f t="shared" si="530"/>
        <v/>
      </c>
      <c r="J610" s="4" t="str">
        <f t="shared" si="531"/>
        <v/>
      </c>
      <c r="K610" s="25" t="str">
        <f t="shared" ca="1" si="532"/>
        <v/>
      </c>
      <c r="L610" s="21" t="str">
        <f t="shared" ca="1" si="533"/>
        <v/>
      </c>
      <c r="M610" s="21" t="str">
        <f>IF(SUMIFS('Input Sheet'!$F$3:$F$1001,'Input Sheet'!$B$3:$B$1001,$H610,'Input Sheet'!$E$3:$E$1001,M$4)=0,"",SUMIFS('Input Sheet'!$F$3:$F$1001,'Input Sheet'!$B$3:$B$1001,$H610,'Input Sheet'!$E$3:$E$1001,M$4))</f>
        <v/>
      </c>
      <c r="N610" s="21" t="str">
        <f>IF(SUMIFS('Input Sheet'!$F$3:$F$1001,'Input Sheet'!$B$3:$B$1001,$H610,'Input Sheet'!$E$3:$E$1001,N$4)=0,"",SUMIFS('Input Sheet'!$F$3:$F$1001,'Input Sheet'!$B$3:$B$1001,$H610,'Input Sheet'!$E$3:$E$1001,N$4))</f>
        <v/>
      </c>
      <c r="O610" s="21" t="str">
        <f>IF(SUMIFS('Input Sheet'!$F$3:$F$1001,'Input Sheet'!$B$3:$B$1001,$H610,'Input Sheet'!$E$3:$E$1001,O$4)=0,"",SUMIFS('Input Sheet'!$F$3:$F$1001,'Input Sheet'!$B$3:$B$1001,$H610,'Input Sheet'!$E$3:$E$1001,O$4))</f>
        <v/>
      </c>
      <c r="P610" s="21" t="str">
        <f>IF(SUMIFS('Input Sheet'!$F$3:$F$1001,'Input Sheet'!$B$3:$B$1001,$H610,'Input Sheet'!$E$3:$E$1001,P$4)=0,"",SUMIFS('Input Sheet'!$F$3:$F$1001,'Input Sheet'!$B$3:$B$1001,$H610,'Input Sheet'!$E$3:$E$1001,P$4))</f>
        <v/>
      </c>
      <c r="Q610" s="21" t="str">
        <f>IF(SUMIFS('Input Sheet'!$F$3:$F$1001,'Input Sheet'!$B$3:$B$1001,$H610,'Input Sheet'!$E$3:$E$1001,Q$4)=0,"",SUMIFS('Input Sheet'!$F$3:$F$1001,'Input Sheet'!$B$3:$B$1001,$H610,'Input Sheet'!$E$3:$E$1001,Q$4))</f>
        <v/>
      </c>
      <c r="R610" s="21" t="str">
        <f>IF(SUMIFS('Input Sheet'!$F$3:$F$1001,'Input Sheet'!$B$3:$B$1001,$H610,'Input Sheet'!$E$3:$E$1001,R$4)=0,"",SUMIFS('Input Sheet'!$F$3:$F$1001,'Input Sheet'!$B$3:$B$1001,$H610,'Input Sheet'!$E$3:$E$1001,R$4))</f>
        <v/>
      </c>
      <c r="S610" s="21" t="str">
        <f>IF(SUMIFS('Input Sheet'!$F$3:$F$1001,'Input Sheet'!$B$3:$B$1001,$H610,'Input Sheet'!$E$3:$E$1001,S$4)=0,"",SUMIFS('Input Sheet'!$F$3:$F$1001,'Input Sheet'!$B$3:$B$1001,$H610,'Input Sheet'!$E$3:$E$1001,S$4))</f>
        <v/>
      </c>
      <c r="T610" s="22">
        <v>605</v>
      </c>
    </row>
    <row r="611" spans="1:20" ht="14.25" customHeight="1" x14ac:dyDescent="0.3">
      <c r="A611" s="4" t="str">
        <f>IF('Input Sheet'!B608=0,"",'Input Sheet'!B608)</f>
        <v/>
      </c>
      <c r="B611" s="24" t="b">
        <f t="shared" si="526"/>
        <v>0</v>
      </c>
      <c r="C611" s="4">
        <f>SUMIF('Input Sheet'!B$3:B$1000,A611,'Input Sheet'!C$3:C$1000)</f>
        <v>0</v>
      </c>
      <c r="D611" s="4">
        <f>SUMIF('Input Sheet'!B$3:B$1000,A611,'Input Sheet'!D$3:D$1000)</f>
        <v>0</v>
      </c>
      <c r="E611" s="4" t="str">
        <f t="shared" ref="E611:F611" ca="1" si="628">IFERROR(RANK(K611,K$6:K$1004,1),"")</f>
        <v/>
      </c>
      <c r="F611" s="4" t="str">
        <f t="shared" ca="1" si="628"/>
        <v/>
      </c>
      <c r="G611" s="4" t="str">
        <f t="shared" ca="1" si="528"/>
        <v/>
      </c>
      <c r="H611" s="4" t="str">
        <f t="shared" si="529"/>
        <v/>
      </c>
      <c r="I611" s="4" t="str">
        <f t="shared" si="530"/>
        <v/>
      </c>
      <c r="J611" s="4" t="str">
        <f t="shared" si="531"/>
        <v/>
      </c>
      <c r="K611" s="25" t="str">
        <f t="shared" ca="1" si="532"/>
        <v/>
      </c>
      <c r="L611" s="21" t="str">
        <f t="shared" ca="1" si="533"/>
        <v/>
      </c>
      <c r="M611" s="21" t="str">
        <f>IF(SUMIFS('Input Sheet'!$F$3:$F$1001,'Input Sheet'!$B$3:$B$1001,$H611,'Input Sheet'!$E$3:$E$1001,M$4)=0,"",SUMIFS('Input Sheet'!$F$3:$F$1001,'Input Sheet'!$B$3:$B$1001,$H611,'Input Sheet'!$E$3:$E$1001,M$4))</f>
        <v/>
      </c>
      <c r="N611" s="21" t="str">
        <f>IF(SUMIFS('Input Sheet'!$F$3:$F$1001,'Input Sheet'!$B$3:$B$1001,$H611,'Input Sheet'!$E$3:$E$1001,N$4)=0,"",SUMIFS('Input Sheet'!$F$3:$F$1001,'Input Sheet'!$B$3:$B$1001,$H611,'Input Sheet'!$E$3:$E$1001,N$4))</f>
        <v/>
      </c>
      <c r="O611" s="21" t="str">
        <f>IF(SUMIFS('Input Sheet'!$F$3:$F$1001,'Input Sheet'!$B$3:$B$1001,$H611,'Input Sheet'!$E$3:$E$1001,O$4)=0,"",SUMIFS('Input Sheet'!$F$3:$F$1001,'Input Sheet'!$B$3:$B$1001,$H611,'Input Sheet'!$E$3:$E$1001,O$4))</f>
        <v/>
      </c>
      <c r="P611" s="21" t="str">
        <f>IF(SUMIFS('Input Sheet'!$F$3:$F$1001,'Input Sheet'!$B$3:$B$1001,$H611,'Input Sheet'!$E$3:$E$1001,P$4)=0,"",SUMIFS('Input Sheet'!$F$3:$F$1001,'Input Sheet'!$B$3:$B$1001,$H611,'Input Sheet'!$E$3:$E$1001,P$4))</f>
        <v/>
      </c>
      <c r="Q611" s="21" t="str">
        <f>IF(SUMIFS('Input Sheet'!$F$3:$F$1001,'Input Sheet'!$B$3:$B$1001,$H611,'Input Sheet'!$E$3:$E$1001,Q$4)=0,"",SUMIFS('Input Sheet'!$F$3:$F$1001,'Input Sheet'!$B$3:$B$1001,$H611,'Input Sheet'!$E$3:$E$1001,Q$4))</f>
        <v/>
      </c>
      <c r="R611" s="21" t="str">
        <f>IF(SUMIFS('Input Sheet'!$F$3:$F$1001,'Input Sheet'!$B$3:$B$1001,$H611,'Input Sheet'!$E$3:$E$1001,R$4)=0,"",SUMIFS('Input Sheet'!$F$3:$F$1001,'Input Sheet'!$B$3:$B$1001,$H611,'Input Sheet'!$E$3:$E$1001,R$4))</f>
        <v/>
      </c>
      <c r="S611" s="21" t="str">
        <f>IF(SUMIFS('Input Sheet'!$F$3:$F$1001,'Input Sheet'!$B$3:$B$1001,$H611,'Input Sheet'!$E$3:$E$1001,S$4)=0,"",SUMIFS('Input Sheet'!$F$3:$F$1001,'Input Sheet'!$B$3:$B$1001,$H611,'Input Sheet'!$E$3:$E$1001,S$4))</f>
        <v/>
      </c>
      <c r="T611" s="22">
        <v>606</v>
      </c>
    </row>
    <row r="612" spans="1:20" ht="14.25" customHeight="1" x14ac:dyDescent="0.3">
      <c r="A612" s="4" t="str">
        <f>IF('Input Sheet'!B609=0,"",'Input Sheet'!B609)</f>
        <v/>
      </c>
      <c r="B612" s="24" t="b">
        <f t="shared" si="526"/>
        <v>0</v>
      </c>
      <c r="C612" s="4">
        <f>SUMIF('Input Sheet'!B$3:B$1000,A612,'Input Sheet'!C$3:C$1000)</f>
        <v>0</v>
      </c>
      <c r="D612" s="4">
        <f>SUMIF('Input Sheet'!B$3:B$1000,A612,'Input Sheet'!D$3:D$1000)</f>
        <v>0</v>
      </c>
      <c r="E612" s="4" t="str">
        <f t="shared" ref="E612:F612" ca="1" si="629">IFERROR(RANK(K612,K$6:K$1004,1),"")</f>
        <v/>
      </c>
      <c r="F612" s="4" t="str">
        <f t="shared" ca="1" si="629"/>
        <v/>
      </c>
      <c r="G612" s="4" t="str">
        <f t="shared" ca="1" si="528"/>
        <v/>
      </c>
      <c r="H612" s="4" t="str">
        <f t="shared" si="529"/>
        <v/>
      </c>
      <c r="I612" s="4" t="str">
        <f t="shared" si="530"/>
        <v/>
      </c>
      <c r="J612" s="4" t="str">
        <f t="shared" si="531"/>
        <v/>
      </c>
      <c r="K612" s="25" t="str">
        <f t="shared" ca="1" si="532"/>
        <v/>
      </c>
      <c r="L612" s="21" t="str">
        <f t="shared" ca="1" si="533"/>
        <v/>
      </c>
      <c r="M612" s="21" t="str">
        <f>IF(SUMIFS('Input Sheet'!$F$3:$F$1001,'Input Sheet'!$B$3:$B$1001,$H612,'Input Sheet'!$E$3:$E$1001,M$4)=0,"",SUMIFS('Input Sheet'!$F$3:$F$1001,'Input Sheet'!$B$3:$B$1001,$H612,'Input Sheet'!$E$3:$E$1001,M$4))</f>
        <v/>
      </c>
      <c r="N612" s="21" t="str">
        <f>IF(SUMIFS('Input Sheet'!$F$3:$F$1001,'Input Sheet'!$B$3:$B$1001,$H612,'Input Sheet'!$E$3:$E$1001,N$4)=0,"",SUMIFS('Input Sheet'!$F$3:$F$1001,'Input Sheet'!$B$3:$B$1001,$H612,'Input Sheet'!$E$3:$E$1001,N$4))</f>
        <v/>
      </c>
      <c r="O612" s="21" t="str">
        <f>IF(SUMIFS('Input Sheet'!$F$3:$F$1001,'Input Sheet'!$B$3:$B$1001,$H612,'Input Sheet'!$E$3:$E$1001,O$4)=0,"",SUMIFS('Input Sheet'!$F$3:$F$1001,'Input Sheet'!$B$3:$B$1001,$H612,'Input Sheet'!$E$3:$E$1001,O$4))</f>
        <v/>
      </c>
      <c r="P612" s="21" t="str">
        <f>IF(SUMIFS('Input Sheet'!$F$3:$F$1001,'Input Sheet'!$B$3:$B$1001,$H612,'Input Sheet'!$E$3:$E$1001,P$4)=0,"",SUMIFS('Input Sheet'!$F$3:$F$1001,'Input Sheet'!$B$3:$B$1001,$H612,'Input Sheet'!$E$3:$E$1001,P$4))</f>
        <v/>
      </c>
      <c r="Q612" s="21" t="str">
        <f>IF(SUMIFS('Input Sheet'!$F$3:$F$1001,'Input Sheet'!$B$3:$B$1001,$H612,'Input Sheet'!$E$3:$E$1001,Q$4)=0,"",SUMIFS('Input Sheet'!$F$3:$F$1001,'Input Sheet'!$B$3:$B$1001,$H612,'Input Sheet'!$E$3:$E$1001,Q$4))</f>
        <v/>
      </c>
      <c r="R612" s="21" t="str">
        <f>IF(SUMIFS('Input Sheet'!$F$3:$F$1001,'Input Sheet'!$B$3:$B$1001,$H612,'Input Sheet'!$E$3:$E$1001,R$4)=0,"",SUMIFS('Input Sheet'!$F$3:$F$1001,'Input Sheet'!$B$3:$B$1001,$H612,'Input Sheet'!$E$3:$E$1001,R$4))</f>
        <v/>
      </c>
      <c r="S612" s="21" t="str">
        <f>IF(SUMIFS('Input Sheet'!$F$3:$F$1001,'Input Sheet'!$B$3:$B$1001,$H612,'Input Sheet'!$E$3:$E$1001,S$4)=0,"",SUMIFS('Input Sheet'!$F$3:$F$1001,'Input Sheet'!$B$3:$B$1001,$H612,'Input Sheet'!$E$3:$E$1001,S$4))</f>
        <v/>
      </c>
      <c r="T612" s="22">
        <v>607</v>
      </c>
    </row>
    <row r="613" spans="1:20" ht="14.25" customHeight="1" x14ac:dyDescent="0.3">
      <c r="A613" s="4" t="str">
        <f>IF('Input Sheet'!B610=0,"",'Input Sheet'!B610)</f>
        <v/>
      </c>
      <c r="B613" s="24" t="b">
        <f t="shared" si="526"/>
        <v>0</v>
      </c>
      <c r="C613" s="4">
        <f>SUMIF('Input Sheet'!B$3:B$1000,A613,'Input Sheet'!C$3:C$1000)</f>
        <v>0</v>
      </c>
      <c r="D613" s="4">
        <f>SUMIF('Input Sheet'!B$3:B$1000,A613,'Input Sheet'!D$3:D$1000)</f>
        <v>0</v>
      </c>
      <c r="E613" s="4" t="str">
        <f t="shared" ref="E613:F613" ca="1" si="630">IFERROR(RANK(K613,K$6:K$1004,1),"")</f>
        <v/>
      </c>
      <c r="F613" s="4" t="str">
        <f t="shared" ca="1" si="630"/>
        <v/>
      </c>
      <c r="G613" s="4" t="str">
        <f t="shared" ca="1" si="528"/>
        <v/>
      </c>
      <c r="H613" s="4" t="str">
        <f t="shared" si="529"/>
        <v/>
      </c>
      <c r="I613" s="4" t="str">
        <f t="shared" si="530"/>
        <v/>
      </c>
      <c r="J613" s="4" t="str">
        <f t="shared" si="531"/>
        <v/>
      </c>
      <c r="K613" s="25" t="str">
        <f t="shared" ca="1" si="532"/>
        <v/>
      </c>
      <c r="L613" s="21" t="str">
        <f t="shared" ca="1" si="533"/>
        <v/>
      </c>
      <c r="M613" s="21" t="str">
        <f>IF(SUMIFS('Input Sheet'!$F$3:$F$1001,'Input Sheet'!$B$3:$B$1001,$H613,'Input Sheet'!$E$3:$E$1001,M$4)=0,"",SUMIFS('Input Sheet'!$F$3:$F$1001,'Input Sheet'!$B$3:$B$1001,$H613,'Input Sheet'!$E$3:$E$1001,M$4))</f>
        <v/>
      </c>
      <c r="N613" s="21" t="str">
        <f>IF(SUMIFS('Input Sheet'!$F$3:$F$1001,'Input Sheet'!$B$3:$B$1001,$H613,'Input Sheet'!$E$3:$E$1001,N$4)=0,"",SUMIFS('Input Sheet'!$F$3:$F$1001,'Input Sheet'!$B$3:$B$1001,$H613,'Input Sheet'!$E$3:$E$1001,N$4))</f>
        <v/>
      </c>
      <c r="O613" s="21" t="str">
        <f>IF(SUMIFS('Input Sheet'!$F$3:$F$1001,'Input Sheet'!$B$3:$B$1001,$H613,'Input Sheet'!$E$3:$E$1001,O$4)=0,"",SUMIFS('Input Sheet'!$F$3:$F$1001,'Input Sheet'!$B$3:$B$1001,$H613,'Input Sheet'!$E$3:$E$1001,O$4))</f>
        <v/>
      </c>
      <c r="P613" s="21" t="str">
        <f>IF(SUMIFS('Input Sheet'!$F$3:$F$1001,'Input Sheet'!$B$3:$B$1001,$H613,'Input Sheet'!$E$3:$E$1001,P$4)=0,"",SUMIFS('Input Sheet'!$F$3:$F$1001,'Input Sheet'!$B$3:$B$1001,$H613,'Input Sheet'!$E$3:$E$1001,P$4))</f>
        <v/>
      </c>
      <c r="Q613" s="21" t="str">
        <f>IF(SUMIFS('Input Sheet'!$F$3:$F$1001,'Input Sheet'!$B$3:$B$1001,$H613,'Input Sheet'!$E$3:$E$1001,Q$4)=0,"",SUMIFS('Input Sheet'!$F$3:$F$1001,'Input Sheet'!$B$3:$B$1001,$H613,'Input Sheet'!$E$3:$E$1001,Q$4))</f>
        <v/>
      </c>
      <c r="R613" s="21" t="str">
        <f>IF(SUMIFS('Input Sheet'!$F$3:$F$1001,'Input Sheet'!$B$3:$B$1001,$H613,'Input Sheet'!$E$3:$E$1001,R$4)=0,"",SUMIFS('Input Sheet'!$F$3:$F$1001,'Input Sheet'!$B$3:$B$1001,$H613,'Input Sheet'!$E$3:$E$1001,R$4))</f>
        <v/>
      </c>
      <c r="S613" s="21" t="str">
        <f>IF(SUMIFS('Input Sheet'!$F$3:$F$1001,'Input Sheet'!$B$3:$B$1001,$H613,'Input Sheet'!$E$3:$E$1001,S$4)=0,"",SUMIFS('Input Sheet'!$F$3:$F$1001,'Input Sheet'!$B$3:$B$1001,$H613,'Input Sheet'!$E$3:$E$1001,S$4))</f>
        <v/>
      </c>
      <c r="T613" s="22">
        <v>608</v>
      </c>
    </row>
    <row r="614" spans="1:20" ht="14.25" customHeight="1" x14ac:dyDescent="0.3">
      <c r="A614" s="4" t="str">
        <f>IF('Input Sheet'!B611=0,"",'Input Sheet'!B611)</f>
        <v/>
      </c>
      <c r="B614" s="24" t="b">
        <f t="shared" si="526"/>
        <v>0</v>
      </c>
      <c r="C614" s="4">
        <f>SUMIF('Input Sheet'!B$3:B$1000,A614,'Input Sheet'!C$3:C$1000)</f>
        <v>0</v>
      </c>
      <c r="D614" s="4">
        <f>SUMIF('Input Sheet'!B$3:B$1000,A614,'Input Sheet'!D$3:D$1000)</f>
        <v>0</v>
      </c>
      <c r="E614" s="4" t="str">
        <f t="shared" ref="E614:F614" ca="1" si="631">IFERROR(RANK(K614,K$6:K$1004,1),"")</f>
        <v/>
      </c>
      <c r="F614" s="4" t="str">
        <f t="shared" ca="1" si="631"/>
        <v/>
      </c>
      <c r="G614" s="4" t="str">
        <f t="shared" ca="1" si="528"/>
        <v/>
      </c>
      <c r="H614" s="4" t="str">
        <f t="shared" si="529"/>
        <v/>
      </c>
      <c r="I614" s="4" t="str">
        <f t="shared" si="530"/>
        <v/>
      </c>
      <c r="J614" s="4" t="str">
        <f t="shared" si="531"/>
        <v/>
      </c>
      <c r="K614" s="25" t="str">
        <f t="shared" ca="1" si="532"/>
        <v/>
      </c>
      <c r="L614" s="21" t="str">
        <f t="shared" ca="1" si="533"/>
        <v/>
      </c>
      <c r="M614" s="21" t="str">
        <f>IF(SUMIFS('Input Sheet'!$F$3:$F$1001,'Input Sheet'!$B$3:$B$1001,$H614,'Input Sheet'!$E$3:$E$1001,M$4)=0,"",SUMIFS('Input Sheet'!$F$3:$F$1001,'Input Sheet'!$B$3:$B$1001,$H614,'Input Sheet'!$E$3:$E$1001,M$4))</f>
        <v/>
      </c>
      <c r="N614" s="21" t="str">
        <f>IF(SUMIFS('Input Sheet'!$F$3:$F$1001,'Input Sheet'!$B$3:$B$1001,$H614,'Input Sheet'!$E$3:$E$1001,N$4)=0,"",SUMIFS('Input Sheet'!$F$3:$F$1001,'Input Sheet'!$B$3:$B$1001,$H614,'Input Sheet'!$E$3:$E$1001,N$4))</f>
        <v/>
      </c>
      <c r="O614" s="21" t="str">
        <f>IF(SUMIFS('Input Sheet'!$F$3:$F$1001,'Input Sheet'!$B$3:$B$1001,$H614,'Input Sheet'!$E$3:$E$1001,O$4)=0,"",SUMIFS('Input Sheet'!$F$3:$F$1001,'Input Sheet'!$B$3:$B$1001,$H614,'Input Sheet'!$E$3:$E$1001,O$4))</f>
        <v/>
      </c>
      <c r="P614" s="21" t="str">
        <f>IF(SUMIFS('Input Sheet'!$F$3:$F$1001,'Input Sheet'!$B$3:$B$1001,$H614,'Input Sheet'!$E$3:$E$1001,P$4)=0,"",SUMIFS('Input Sheet'!$F$3:$F$1001,'Input Sheet'!$B$3:$B$1001,$H614,'Input Sheet'!$E$3:$E$1001,P$4))</f>
        <v/>
      </c>
      <c r="Q614" s="21" t="str">
        <f>IF(SUMIFS('Input Sheet'!$F$3:$F$1001,'Input Sheet'!$B$3:$B$1001,$H614,'Input Sheet'!$E$3:$E$1001,Q$4)=0,"",SUMIFS('Input Sheet'!$F$3:$F$1001,'Input Sheet'!$B$3:$B$1001,$H614,'Input Sheet'!$E$3:$E$1001,Q$4))</f>
        <v/>
      </c>
      <c r="R614" s="21" t="str">
        <f>IF(SUMIFS('Input Sheet'!$F$3:$F$1001,'Input Sheet'!$B$3:$B$1001,$H614,'Input Sheet'!$E$3:$E$1001,R$4)=0,"",SUMIFS('Input Sheet'!$F$3:$F$1001,'Input Sheet'!$B$3:$B$1001,$H614,'Input Sheet'!$E$3:$E$1001,R$4))</f>
        <v/>
      </c>
      <c r="S614" s="21" t="str">
        <f>IF(SUMIFS('Input Sheet'!$F$3:$F$1001,'Input Sheet'!$B$3:$B$1001,$H614,'Input Sheet'!$E$3:$E$1001,S$4)=0,"",SUMIFS('Input Sheet'!$F$3:$F$1001,'Input Sheet'!$B$3:$B$1001,$H614,'Input Sheet'!$E$3:$E$1001,S$4))</f>
        <v/>
      </c>
      <c r="T614" s="22">
        <v>609</v>
      </c>
    </row>
    <row r="615" spans="1:20" ht="14.25" customHeight="1" x14ac:dyDescent="0.3">
      <c r="A615" s="4" t="str">
        <f>IF('Input Sheet'!B612=0,"",'Input Sheet'!B612)</f>
        <v/>
      </c>
      <c r="B615" s="24" t="b">
        <f t="shared" si="526"/>
        <v>0</v>
      </c>
      <c r="C615" s="4">
        <f>SUMIF('Input Sheet'!B$3:B$1000,A615,'Input Sheet'!C$3:C$1000)</f>
        <v>0</v>
      </c>
      <c r="D615" s="4">
        <f>SUMIF('Input Sheet'!B$3:B$1000,A615,'Input Sheet'!D$3:D$1000)</f>
        <v>0</v>
      </c>
      <c r="E615" s="4" t="str">
        <f t="shared" ref="E615:F615" ca="1" si="632">IFERROR(RANK(K615,K$6:K$1004,1),"")</f>
        <v/>
      </c>
      <c r="F615" s="4" t="str">
        <f t="shared" ca="1" si="632"/>
        <v/>
      </c>
      <c r="G615" s="4" t="str">
        <f t="shared" ca="1" si="528"/>
        <v/>
      </c>
      <c r="H615" s="4" t="str">
        <f t="shared" si="529"/>
        <v/>
      </c>
      <c r="I615" s="4" t="str">
        <f t="shared" si="530"/>
        <v/>
      </c>
      <c r="J615" s="4" t="str">
        <f t="shared" si="531"/>
        <v/>
      </c>
      <c r="K615" s="25" t="str">
        <f t="shared" ca="1" si="532"/>
        <v/>
      </c>
      <c r="L615" s="21" t="str">
        <f t="shared" ca="1" si="533"/>
        <v/>
      </c>
      <c r="M615" s="21" t="str">
        <f>IF(SUMIFS('Input Sheet'!$F$3:$F$1001,'Input Sheet'!$B$3:$B$1001,$H615,'Input Sheet'!$E$3:$E$1001,M$4)=0,"",SUMIFS('Input Sheet'!$F$3:$F$1001,'Input Sheet'!$B$3:$B$1001,$H615,'Input Sheet'!$E$3:$E$1001,M$4))</f>
        <v/>
      </c>
      <c r="N615" s="21" t="str">
        <f>IF(SUMIFS('Input Sheet'!$F$3:$F$1001,'Input Sheet'!$B$3:$B$1001,$H615,'Input Sheet'!$E$3:$E$1001,N$4)=0,"",SUMIFS('Input Sheet'!$F$3:$F$1001,'Input Sheet'!$B$3:$B$1001,$H615,'Input Sheet'!$E$3:$E$1001,N$4))</f>
        <v/>
      </c>
      <c r="O615" s="21" t="str">
        <f>IF(SUMIFS('Input Sheet'!$F$3:$F$1001,'Input Sheet'!$B$3:$B$1001,$H615,'Input Sheet'!$E$3:$E$1001,O$4)=0,"",SUMIFS('Input Sheet'!$F$3:$F$1001,'Input Sheet'!$B$3:$B$1001,$H615,'Input Sheet'!$E$3:$E$1001,O$4))</f>
        <v/>
      </c>
      <c r="P615" s="21" t="str">
        <f>IF(SUMIFS('Input Sheet'!$F$3:$F$1001,'Input Sheet'!$B$3:$B$1001,$H615,'Input Sheet'!$E$3:$E$1001,P$4)=0,"",SUMIFS('Input Sheet'!$F$3:$F$1001,'Input Sheet'!$B$3:$B$1001,$H615,'Input Sheet'!$E$3:$E$1001,P$4))</f>
        <v/>
      </c>
      <c r="Q615" s="21" t="str">
        <f>IF(SUMIFS('Input Sheet'!$F$3:$F$1001,'Input Sheet'!$B$3:$B$1001,$H615,'Input Sheet'!$E$3:$E$1001,Q$4)=0,"",SUMIFS('Input Sheet'!$F$3:$F$1001,'Input Sheet'!$B$3:$B$1001,$H615,'Input Sheet'!$E$3:$E$1001,Q$4))</f>
        <v/>
      </c>
      <c r="R615" s="21" t="str">
        <f>IF(SUMIFS('Input Sheet'!$F$3:$F$1001,'Input Sheet'!$B$3:$B$1001,$H615,'Input Sheet'!$E$3:$E$1001,R$4)=0,"",SUMIFS('Input Sheet'!$F$3:$F$1001,'Input Sheet'!$B$3:$B$1001,$H615,'Input Sheet'!$E$3:$E$1001,R$4))</f>
        <v/>
      </c>
      <c r="S615" s="21" t="str">
        <f>IF(SUMIFS('Input Sheet'!$F$3:$F$1001,'Input Sheet'!$B$3:$B$1001,$H615,'Input Sheet'!$E$3:$E$1001,S$4)=0,"",SUMIFS('Input Sheet'!$F$3:$F$1001,'Input Sheet'!$B$3:$B$1001,$H615,'Input Sheet'!$E$3:$E$1001,S$4))</f>
        <v/>
      </c>
      <c r="T615" s="22">
        <v>610</v>
      </c>
    </row>
    <row r="616" spans="1:20" ht="14.25" customHeight="1" x14ac:dyDescent="0.3">
      <c r="A616" s="4" t="str">
        <f>IF('Input Sheet'!B613=0,"",'Input Sheet'!B613)</f>
        <v/>
      </c>
      <c r="B616" s="24" t="b">
        <f t="shared" si="526"/>
        <v>0</v>
      </c>
      <c r="C616" s="4">
        <f>SUMIF('Input Sheet'!B$3:B$1000,A616,'Input Sheet'!C$3:C$1000)</f>
        <v>0</v>
      </c>
      <c r="D616" s="4">
        <f>SUMIF('Input Sheet'!B$3:B$1000,A616,'Input Sheet'!D$3:D$1000)</f>
        <v>0</v>
      </c>
      <c r="E616" s="4" t="str">
        <f t="shared" ref="E616:F616" ca="1" si="633">IFERROR(RANK(K616,K$6:K$1004,1),"")</f>
        <v/>
      </c>
      <c r="F616" s="4" t="str">
        <f t="shared" ca="1" si="633"/>
        <v/>
      </c>
      <c r="G616" s="4" t="str">
        <f t="shared" ca="1" si="528"/>
        <v/>
      </c>
      <c r="H616" s="4" t="str">
        <f t="shared" si="529"/>
        <v/>
      </c>
      <c r="I616" s="4" t="str">
        <f t="shared" si="530"/>
        <v/>
      </c>
      <c r="J616" s="4" t="str">
        <f t="shared" si="531"/>
        <v/>
      </c>
      <c r="K616" s="25" t="str">
        <f t="shared" ca="1" si="532"/>
        <v/>
      </c>
      <c r="L616" s="21" t="str">
        <f t="shared" ca="1" si="533"/>
        <v/>
      </c>
      <c r="M616" s="21" t="str">
        <f>IF(SUMIFS('Input Sheet'!$F$3:$F$1001,'Input Sheet'!$B$3:$B$1001,$H616,'Input Sheet'!$E$3:$E$1001,M$4)=0,"",SUMIFS('Input Sheet'!$F$3:$F$1001,'Input Sheet'!$B$3:$B$1001,$H616,'Input Sheet'!$E$3:$E$1001,M$4))</f>
        <v/>
      </c>
      <c r="N616" s="21" t="str">
        <f>IF(SUMIFS('Input Sheet'!$F$3:$F$1001,'Input Sheet'!$B$3:$B$1001,$H616,'Input Sheet'!$E$3:$E$1001,N$4)=0,"",SUMIFS('Input Sheet'!$F$3:$F$1001,'Input Sheet'!$B$3:$B$1001,$H616,'Input Sheet'!$E$3:$E$1001,N$4))</f>
        <v/>
      </c>
      <c r="O616" s="21" t="str">
        <f>IF(SUMIFS('Input Sheet'!$F$3:$F$1001,'Input Sheet'!$B$3:$B$1001,$H616,'Input Sheet'!$E$3:$E$1001,O$4)=0,"",SUMIFS('Input Sheet'!$F$3:$F$1001,'Input Sheet'!$B$3:$B$1001,$H616,'Input Sheet'!$E$3:$E$1001,O$4))</f>
        <v/>
      </c>
      <c r="P616" s="21" t="str">
        <f>IF(SUMIFS('Input Sheet'!$F$3:$F$1001,'Input Sheet'!$B$3:$B$1001,$H616,'Input Sheet'!$E$3:$E$1001,P$4)=0,"",SUMIFS('Input Sheet'!$F$3:$F$1001,'Input Sheet'!$B$3:$B$1001,$H616,'Input Sheet'!$E$3:$E$1001,P$4))</f>
        <v/>
      </c>
      <c r="Q616" s="21" t="str">
        <f>IF(SUMIFS('Input Sheet'!$F$3:$F$1001,'Input Sheet'!$B$3:$B$1001,$H616,'Input Sheet'!$E$3:$E$1001,Q$4)=0,"",SUMIFS('Input Sheet'!$F$3:$F$1001,'Input Sheet'!$B$3:$B$1001,$H616,'Input Sheet'!$E$3:$E$1001,Q$4))</f>
        <v/>
      </c>
      <c r="R616" s="21" t="str">
        <f>IF(SUMIFS('Input Sheet'!$F$3:$F$1001,'Input Sheet'!$B$3:$B$1001,$H616,'Input Sheet'!$E$3:$E$1001,R$4)=0,"",SUMIFS('Input Sheet'!$F$3:$F$1001,'Input Sheet'!$B$3:$B$1001,$H616,'Input Sheet'!$E$3:$E$1001,R$4))</f>
        <v/>
      </c>
      <c r="S616" s="21" t="str">
        <f>IF(SUMIFS('Input Sheet'!$F$3:$F$1001,'Input Sheet'!$B$3:$B$1001,$H616,'Input Sheet'!$E$3:$E$1001,S$4)=0,"",SUMIFS('Input Sheet'!$F$3:$F$1001,'Input Sheet'!$B$3:$B$1001,$H616,'Input Sheet'!$E$3:$E$1001,S$4))</f>
        <v/>
      </c>
      <c r="T616" s="22">
        <v>611</v>
      </c>
    </row>
    <row r="617" spans="1:20" ht="14.25" customHeight="1" x14ac:dyDescent="0.3">
      <c r="A617" s="4" t="str">
        <f>IF('Input Sheet'!B614=0,"",'Input Sheet'!B614)</f>
        <v/>
      </c>
      <c r="B617" s="24" t="b">
        <f t="shared" si="526"/>
        <v>0</v>
      </c>
      <c r="C617" s="4">
        <f>SUMIF('Input Sheet'!B$3:B$1000,A617,'Input Sheet'!C$3:C$1000)</f>
        <v>0</v>
      </c>
      <c r="D617" s="4">
        <f>SUMIF('Input Sheet'!B$3:B$1000,A617,'Input Sheet'!D$3:D$1000)</f>
        <v>0</v>
      </c>
      <c r="E617" s="4" t="str">
        <f t="shared" ref="E617:F617" ca="1" si="634">IFERROR(RANK(K617,K$6:K$1004,1),"")</f>
        <v/>
      </c>
      <c r="F617" s="4" t="str">
        <f t="shared" ca="1" si="634"/>
        <v/>
      </c>
      <c r="G617" s="4" t="str">
        <f t="shared" ca="1" si="528"/>
        <v/>
      </c>
      <c r="H617" s="4" t="str">
        <f t="shared" si="529"/>
        <v/>
      </c>
      <c r="I617" s="4" t="str">
        <f t="shared" si="530"/>
        <v/>
      </c>
      <c r="J617" s="4" t="str">
        <f t="shared" si="531"/>
        <v/>
      </c>
      <c r="K617" s="25" t="str">
        <f t="shared" ca="1" si="532"/>
        <v/>
      </c>
      <c r="L617" s="21" t="str">
        <f t="shared" ca="1" si="533"/>
        <v/>
      </c>
      <c r="M617" s="21" t="str">
        <f>IF(SUMIFS('Input Sheet'!$F$3:$F$1001,'Input Sheet'!$B$3:$B$1001,$H617,'Input Sheet'!$E$3:$E$1001,M$4)=0,"",SUMIFS('Input Sheet'!$F$3:$F$1001,'Input Sheet'!$B$3:$B$1001,$H617,'Input Sheet'!$E$3:$E$1001,M$4))</f>
        <v/>
      </c>
      <c r="N617" s="21" t="str">
        <f>IF(SUMIFS('Input Sheet'!$F$3:$F$1001,'Input Sheet'!$B$3:$B$1001,$H617,'Input Sheet'!$E$3:$E$1001,N$4)=0,"",SUMIFS('Input Sheet'!$F$3:$F$1001,'Input Sheet'!$B$3:$B$1001,$H617,'Input Sheet'!$E$3:$E$1001,N$4))</f>
        <v/>
      </c>
      <c r="O617" s="21" t="str">
        <f>IF(SUMIFS('Input Sheet'!$F$3:$F$1001,'Input Sheet'!$B$3:$B$1001,$H617,'Input Sheet'!$E$3:$E$1001,O$4)=0,"",SUMIFS('Input Sheet'!$F$3:$F$1001,'Input Sheet'!$B$3:$B$1001,$H617,'Input Sheet'!$E$3:$E$1001,O$4))</f>
        <v/>
      </c>
      <c r="P617" s="21" t="str">
        <f>IF(SUMIFS('Input Sheet'!$F$3:$F$1001,'Input Sheet'!$B$3:$B$1001,$H617,'Input Sheet'!$E$3:$E$1001,P$4)=0,"",SUMIFS('Input Sheet'!$F$3:$F$1001,'Input Sheet'!$B$3:$B$1001,$H617,'Input Sheet'!$E$3:$E$1001,P$4))</f>
        <v/>
      </c>
      <c r="Q617" s="21" t="str">
        <f>IF(SUMIFS('Input Sheet'!$F$3:$F$1001,'Input Sheet'!$B$3:$B$1001,$H617,'Input Sheet'!$E$3:$E$1001,Q$4)=0,"",SUMIFS('Input Sheet'!$F$3:$F$1001,'Input Sheet'!$B$3:$B$1001,$H617,'Input Sheet'!$E$3:$E$1001,Q$4))</f>
        <v/>
      </c>
      <c r="R617" s="21" t="str">
        <f>IF(SUMIFS('Input Sheet'!$F$3:$F$1001,'Input Sheet'!$B$3:$B$1001,$H617,'Input Sheet'!$E$3:$E$1001,R$4)=0,"",SUMIFS('Input Sheet'!$F$3:$F$1001,'Input Sheet'!$B$3:$B$1001,$H617,'Input Sheet'!$E$3:$E$1001,R$4))</f>
        <v/>
      </c>
      <c r="S617" s="21" t="str">
        <f>IF(SUMIFS('Input Sheet'!$F$3:$F$1001,'Input Sheet'!$B$3:$B$1001,$H617,'Input Sheet'!$E$3:$E$1001,S$4)=0,"",SUMIFS('Input Sheet'!$F$3:$F$1001,'Input Sheet'!$B$3:$B$1001,$H617,'Input Sheet'!$E$3:$E$1001,S$4))</f>
        <v/>
      </c>
      <c r="T617" s="22">
        <v>612</v>
      </c>
    </row>
    <row r="618" spans="1:20" ht="14.25" customHeight="1" x14ac:dyDescent="0.3">
      <c r="A618" s="4" t="str">
        <f>IF('Input Sheet'!B615=0,"",'Input Sheet'!B615)</f>
        <v/>
      </c>
      <c r="B618" s="24" t="b">
        <f t="shared" si="526"/>
        <v>0</v>
      </c>
      <c r="C618" s="4">
        <f>SUMIF('Input Sheet'!B$3:B$1000,A618,'Input Sheet'!C$3:C$1000)</f>
        <v>0</v>
      </c>
      <c r="D618" s="4">
        <f>SUMIF('Input Sheet'!B$3:B$1000,A618,'Input Sheet'!D$3:D$1000)</f>
        <v>0</v>
      </c>
      <c r="E618" s="4" t="str">
        <f t="shared" ref="E618:F618" ca="1" si="635">IFERROR(RANK(K618,K$6:K$1004,1),"")</f>
        <v/>
      </c>
      <c r="F618" s="4" t="str">
        <f t="shared" ca="1" si="635"/>
        <v/>
      </c>
      <c r="G618" s="4" t="str">
        <f t="shared" ca="1" si="528"/>
        <v/>
      </c>
      <c r="H618" s="4" t="str">
        <f t="shared" si="529"/>
        <v/>
      </c>
      <c r="I618" s="4" t="str">
        <f t="shared" si="530"/>
        <v/>
      </c>
      <c r="J618" s="4" t="str">
        <f t="shared" si="531"/>
        <v/>
      </c>
      <c r="K618" s="25" t="str">
        <f t="shared" ca="1" si="532"/>
        <v/>
      </c>
      <c r="L618" s="21" t="str">
        <f t="shared" ca="1" si="533"/>
        <v/>
      </c>
      <c r="M618" s="21" t="str">
        <f>IF(SUMIFS('Input Sheet'!$F$3:$F$1001,'Input Sheet'!$B$3:$B$1001,$H618,'Input Sheet'!$E$3:$E$1001,M$4)=0,"",SUMIFS('Input Sheet'!$F$3:$F$1001,'Input Sheet'!$B$3:$B$1001,$H618,'Input Sheet'!$E$3:$E$1001,M$4))</f>
        <v/>
      </c>
      <c r="N618" s="21" t="str">
        <f>IF(SUMIFS('Input Sheet'!$F$3:$F$1001,'Input Sheet'!$B$3:$B$1001,$H618,'Input Sheet'!$E$3:$E$1001,N$4)=0,"",SUMIFS('Input Sheet'!$F$3:$F$1001,'Input Sheet'!$B$3:$B$1001,$H618,'Input Sheet'!$E$3:$E$1001,N$4))</f>
        <v/>
      </c>
      <c r="O618" s="21" t="str">
        <f>IF(SUMIFS('Input Sheet'!$F$3:$F$1001,'Input Sheet'!$B$3:$B$1001,$H618,'Input Sheet'!$E$3:$E$1001,O$4)=0,"",SUMIFS('Input Sheet'!$F$3:$F$1001,'Input Sheet'!$B$3:$B$1001,$H618,'Input Sheet'!$E$3:$E$1001,O$4))</f>
        <v/>
      </c>
      <c r="P618" s="21" t="str">
        <f>IF(SUMIFS('Input Sheet'!$F$3:$F$1001,'Input Sheet'!$B$3:$B$1001,$H618,'Input Sheet'!$E$3:$E$1001,P$4)=0,"",SUMIFS('Input Sheet'!$F$3:$F$1001,'Input Sheet'!$B$3:$B$1001,$H618,'Input Sheet'!$E$3:$E$1001,P$4))</f>
        <v/>
      </c>
      <c r="Q618" s="21" t="str">
        <f>IF(SUMIFS('Input Sheet'!$F$3:$F$1001,'Input Sheet'!$B$3:$B$1001,$H618,'Input Sheet'!$E$3:$E$1001,Q$4)=0,"",SUMIFS('Input Sheet'!$F$3:$F$1001,'Input Sheet'!$B$3:$B$1001,$H618,'Input Sheet'!$E$3:$E$1001,Q$4))</f>
        <v/>
      </c>
      <c r="R618" s="21" t="str">
        <f>IF(SUMIFS('Input Sheet'!$F$3:$F$1001,'Input Sheet'!$B$3:$B$1001,$H618,'Input Sheet'!$E$3:$E$1001,R$4)=0,"",SUMIFS('Input Sheet'!$F$3:$F$1001,'Input Sheet'!$B$3:$B$1001,$H618,'Input Sheet'!$E$3:$E$1001,R$4))</f>
        <v/>
      </c>
      <c r="S618" s="21" t="str">
        <f>IF(SUMIFS('Input Sheet'!$F$3:$F$1001,'Input Sheet'!$B$3:$B$1001,$H618,'Input Sheet'!$E$3:$E$1001,S$4)=0,"",SUMIFS('Input Sheet'!$F$3:$F$1001,'Input Sheet'!$B$3:$B$1001,$H618,'Input Sheet'!$E$3:$E$1001,S$4))</f>
        <v/>
      </c>
      <c r="T618" s="22">
        <v>613</v>
      </c>
    </row>
    <row r="619" spans="1:20" ht="14.25" customHeight="1" x14ac:dyDescent="0.3">
      <c r="A619" s="4" t="str">
        <f>IF('Input Sheet'!B616=0,"",'Input Sheet'!B616)</f>
        <v/>
      </c>
      <c r="B619" s="24" t="b">
        <f t="shared" si="526"/>
        <v>0</v>
      </c>
      <c r="C619" s="4">
        <f>SUMIF('Input Sheet'!B$3:B$1000,A619,'Input Sheet'!C$3:C$1000)</f>
        <v>0</v>
      </c>
      <c r="D619" s="4">
        <f>SUMIF('Input Sheet'!B$3:B$1000,A619,'Input Sheet'!D$3:D$1000)</f>
        <v>0</v>
      </c>
      <c r="E619" s="4" t="str">
        <f t="shared" ref="E619:F619" ca="1" si="636">IFERROR(RANK(K619,K$6:K$1004,1),"")</f>
        <v/>
      </c>
      <c r="F619" s="4" t="str">
        <f t="shared" ca="1" si="636"/>
        <v/>
      </c>
      <c r="G619" s="4" t="str">
        <f t="shared" ca="1" si="528"/>
        <v/>
      </c>
      <c r="H619" s="4" t="str">
        <f t="shared" si="529"/>
        <v/>
      </c>
      <c r="I619" s="4" t="str">
        <f t="shared" si="530"/>
        <v/>
      </c>
      <c r="J619" s="4" t="str">
        <f t="shared" si="531"/>
        <v/>
      </c>
      <c r="K619" s="25" t="str">
        <f t="shared" ca="1" si="532"/>
        <v/>
      </c>
      <c r="L619" s="21" t="str">
        <f t="shared" ca="1" si="533"/>
        <v/>
      </c>
      <c r="M619" s="21" t="str">
        <f>IF(SUMIFS('Input Sheet'!$F$3:$F$1001,'Input Sheet'!$B$3:$B$1001,$H619,'Input Sheet'!$E$3:$E$1001,M$4)=0,"",SUMIFS('Input Sheet'!$F$3:$F$1001,'Input Sheet'!$B$3:$B$1001,$H619,'Input Sheet'!$E$3:$E$1001,M$4))</f>
        <v/>
      </c>
      <c r="N619" s="21" t="str">
        <f>IF(SUMIFS('Input Sheet'!$F$3:$F$1001,'Input Sheet'!$B$3:$B$1001,$H619,'Input Sheet'!$E$3:$E$1001,N$4)=0,"",SUMIFS('Input Sheet'!$F$3:$F$1001,'Input Sheet'!$B$3:$B$1001,$H619,'Input Sheet'!$E$3:$E$1001,N$4))</f>
        <v/>
      </c>
      <c r="O619" s="21" t="str">
        <f>IF(SUMIFS('Input Sheet'!$F$3:$F$1001,'Input Sheet'!$B$3:$B$1001,$H619,'Input Sheet'!$E$3:$E$1001,O$4)=0,"",SUMIFS('Input Sheet'!$F$3:$F$1001,'Input Sheet'!$B$3:$B$1001,$H619,'Input Sheet'!$E$3:$E$1001,O$4))</f>
        <v/>
      </c>
      <c r="P619" s="21" t="str">
        <f>IF(SUMIFS('Input Sheet'!$F$3:$F$1001,'Input Sheet'!$B$3:$B$1001,$H619,'Input Sheet'!$E$3:$E$1001,P$4)=0,"",SUMIFS('Input Sheet'!$F$3:$F$1001,'Input Sheet'!$B$3:$B$1001,$H619,'Input Sheet'!$E$3:$E$1001,P$4))</f>
        <v/>
      </c>
      <c r="Q619" s="21" t="str">
        <f>IF(SUMIFS('Input Sheet'!$F$3:$F$1001,'Input Sheet'!$B$3:$B$1001,$H619,'Input Sheet'!$E$3:$E$1001,Q$4)=0,"",SUMIFS('Input Sheet'!$F$3:$F$1001,'Input Sheet'!$B$3:$B$1001,$H619,'Input Sheet'!$E$3:$E$1001,Q$4))</f>
        <v/>
      </c>
      <c r="R619" s="21" t="str">
        <f>IF(SUMIFS('Input Sheet'!$F$3:$F$1001,'Input Sheet'!$B$3:$B$1001,$H619,'Input Sheet'!$E$3:$E$1001,R$4)=0,"",SUMIFS('Input Sheet'!$F$3:$F$1001,'Input Sheet'!$B$3:$B$1001,$H619,'Input Sheet'!$E$3:$E$1001,R$4))</f>
        <v/>
      </c>
      <c r="S619" s="21" t="str">
        <f>IF(SUMIFS('Input Sheet'!$F$3:$F$1001,'Input Sheet'!$B$3:$B$1001,$H619,'Input Sheet'!$E$3:$E$1001,S$4)=0,"",SUMIFS('Input Sheet'!$F$3:$F$1001,'Input Sheet'!$B$3:$B$1001,$H619,'Input Sheet'!$E$3:$E$1001,S$4))</f>
        <v/>
      </c>
      <c r="T619" s="22">
        <v>614</v>
      </c>
    </row>
    <row r="620" spans="1:20" ht="14.25" customHeight="1" x14ac:dyDescent="0.3">
      <c r="A620" s="4" t="str">
        <f>IF('Input Sheet'!B617=0,"",'Input Sheet'!B617)</f>
        <v/>
      </c>
      <c r="B620" s="24" t="b">
        <f t="shared" si="526"/>
        <v>0</v>
      </c>
      <c r="C620" s="4">
        <f>SUMIF('Input Sheet'!B$3:B$1000,A620,'Input Sheet'!C$3:C$1000)</f>
        <v>0</v>
      </c>
      <c r="D620" s="4">
        <f>SUMIF('Input Sheet'!B$3:B$1000,A620,'Input Sheet'!D$3:D$1000)</f>
        <v>0</v>
      </c>
      <c r="E620" s="4" t="str">
        <f t="shared" ref="E620:F620" ca="1" si="637">IFERROR(RANK(K620,K$6:K$1004,1),"")</f>
        <v/>
      </c>
      <c r="F620" s="4" t="str">
        <f t="shared" ca="1" si="637"/>
        <v/>
      </c>
      <c r="G620" s="4" t="str">
        <f t="shared" ca="1" si="528"/>
        <v/>
      </c>
      <c r="H620" s="4" t="str">
        <f t="shared" si="529"/>
        <v/>
      </c>
      <c r="I620" s="4" t="str">
        <f t="shared" si="530"/>
        <v/>
      </c>
      <c r="J620" s="4" t="str">
        <f t="shared" si="531"/>
        <v/>
      </c>
      <c r="K620" s="25" t="str">
        <f t="shared" ca="1" si="532"/>
        <v/>
      </c>
      <c r="L620" s="21" t="str">
        <f t="shared" ca="1" si="533"/>
        <v/>
      </c>
      <c r="M620" s="21" t="str">
        <f>IF(SUMIFS('Input Sheet'!$F$3:$F$1001,'Input Sheet'!$B$3:$B$1001,$H620,'Input Sheet'!$E$3:$E$1001,M$4)=0,"",SUMIFS('Input Sheet'!$F$3:$F$1001,'Input Sheet'!$B$3:$B$1001,$H620,'Input Sheet'!$E$3:$E$1001,M$4))</f>
        <v/>
      </c>
      <c r="N620" s="21" t="str">
        <f>IF(SUMIFS('Input Sheet'!$F$3:$F$1001,'Input Sheet'!$B$3:$B$1001,$H620,'Input Sheet'!$E$3:$E$1001,N$4)=0,"",SUMIFS('Input Sheet'!$F$3:$F$1001,'Input Sheet'!$B$3:$B$1001,$H620,'Input Sheet'!$E$3:$E$1001,N$4))</f>
        <v/>
      </c>
      <c r="O620" s="21" t="str">
        <f>IF(SUMIFS('Input Sheet'!$F$3:$F$1001,'Input Sheet'!$B$3:$B$1001,$H620,'Input Sheet'!$E$3:$E$1001,O$4)=0,"",SUMIFS('Input Sheet'!$F$3:$F$1001,'Input Sheet'!$B$3:$B$1001,$H620,'Input Sheet'!$E$3:$E$1001,O$4))</f>
        <v/>
      </c>
      <c r="P620" s="21" t="str">
        <f>IF(SUMIFS('Input Sheet'!$F$3:$F$1001,'Input Sheet'!$B$3:$B$1001,$H620,'Input Sheet'!$E$3:$E$1001,P$4)=0,"",SUMIFS('Input Sheet'!$F$3:$F$1001,'Input Sheet'!$B$3:$B$1001,$H620,'Input Sheet'!$E$3:$E$1001,P$4))</f>
        <v/>
      </c>
      <c r="Q620" s="21" t="str">
        <f>IF(SUMIFS('Input Sheet'!$F$3:$F$1001,'Input Sheet'!$B$3:$B$1001,$H620,'Input Sheet'!$E$3:$E$1001,Q$4)=0,"",SUMIFS('Input Sheet'!$F$3:$F$1001,'Input Sheet'!$B$3:$B$1001,$H620,'Input Sheet'!$E$3:$E$1001,Q$4))</f>
        <v/>
      </c>
      <c r="R620" s="21" t="str">
        <f>IF(SUMIFS('Input Sheet'!$F$3:$F$1001,'Input Sheet'!$B$3:$B$1001,$H620,'Input Sheet'!$E$3:$E$1001,R$4)=0,"",SUMIFS('Input Sheet'!$F$3:$F$1001,'Input Sheet'!$B$3:$B$1001,$H620,'Input Sheet'!$E$3:$E$1001,R$4))</f>
        <v/>
      </c>
      <c r="S620" s="21" t="str">
        <f>IF(SUMIFS('Input Sheet'!$F$3:$F$1001,'Input Sheet'!$B$3:$B$1001,$H620,'Input Sheet'!$E$3:$E$1001,S$4)=0,"",SUMIFS('Input Sheet'!$F$3:$F$1001,'Input Sheet'!$B$3:$B$1001,$H620,'Input Sheet'!$E$3:$E$1001,S$4))</f>
        <v/>
      </c>
      <c r="T620" s="22">
        <v>615</v>
      </c>
    </row>
    <row r="621" spans="1:20" ht="14.25" customHeight="1" x14ac:dyDescent="0.3">
      <c r="A621" s="4" t="str">
        <f>IF('Input Sheet'!B618=0,"",'Input Sheet'!B618)</f>
        <v/>
      </c>
      <c r="B621" s="24" t="b">
        <f t="shared" si="526"/>
        <v>0</v>
      </c>
      <c r="C621" s="4">
        <f>SUMIF('Input Sheet'!B$3:B$1000,A621,'Input Sheet'!C$3:C$1000)</f>
        <v>0</v>
      </c>
      <c r="D621" s="4">
        <f>SUMIF('Input Sheet'!B$3:B$1000,A621,'Input Sheet'!D$3:D$1000)</f>
        <v>0</v>
      </c>
      <c r="E621" s="4" t="str">
        <f t="shared" ref="E621:F621" ca="1" si="638">IFERROR(RANK(K621,K$6:K$1004,1),"")</f>
        <v/>
      </c>
      <c r="F621" s="4" t="str">
        <f t="shared" ca="1" si="638"/>
        <v/>
      </c>
      <c r="G621" s="4" t="str">
        <f t="shared" ca="1" si="528"/>
        <v/>
      </c>
      <c r="H621" s="4" t="str">
        <f t="shared" si="529"/>
        <v/>
      </c>
      <c r="I621" s="4" t="str">
        <f t="shared" si="530"/>
        <v/>
      </c>
      <c r="J621" s="4" t="str">
        <f t="shared" si="531"/>
        <v/>
      </c>
      <c r="K621" s="25" t="str">
        <f t="shared" ca="1" si="532"/>
        <v/>
      </c>
      <c r="L621" s="21" t="str">
        <f t="shared" ca="1" si="533"/>
        <v/>
      </c>
      <c r="M621" s="21" t="str">
        <f>IF(SUMIFS('Input Sheet'!$F$3:$F$1001,'Input Sheet'!$B$3:$B$1001,$H621,'Input Sheet'!$E$3:$E$1001,M$4)=0,"",SUMIFS('Input Sheet'!$F$3:$F$1001,'Input Sheet'!$B$3:$B$1001,$H621,'Input Sheet'!$E$3:$E$1001,M$4))</f>
        <v/>
      </c>
      <c r="N621" s="21" t="str">
        <f>IF(SUMIFS('Input Sheet'!$F$3:$F$1001,'Input Sheet'!$B$3:$B$1001,$H621,'Input Sheet'!$E$3:$E$1001,N$4)=0,"",SUMIFS('Input Sheet'!$F$3:$F$1001,'Input Sheet'!$B$3:$B$1001,$H621,'Input Sheet'!$E$3:$E$1001,N$4))</f>
        <v/>
      </c>
      <c r="O621" s="21" t="str">
        <f>IF(SUMIFS('Input Sheet'!$F$3:$F$1001,'Input Sheet'!$B$3:$B$1001,$H621,'Input Sheet'!$E$3:$E$1001,O$4)=0,"",SUMIFS('Input Sheet'!$F$3:$F$1001,'Input Sheet'!$B$3:$B$1001,$H621,'Input Sheet'!$E$3:$E$1001,O$4))</f>
        <v/>
      </c>
      <c r="P621" s="21" t="str">
        <f>IF(SUMIFS('Input Sheet'!$F$3:$F$1001,'Input Sheet'!$B$3:$B$1001,$H621,'Input Sheet'!$E$3:$E$1001,P$4)=0,"",SUMIFS('Input Sheet'!$F$3:$F$1001,'Input Sheet'!$B$3:$B$1001,$H621,'Input Sheet'!$E$3:$E$1001,P$4))</f>
        <v/>
      </c>
      <c r="Q621" s="21" t="str">
        <f>IF(SUMIFS('Input Sheet'!$F$3:$F$1001,'Input Sheet'!$B$3:$B$1001,$H621,'Input Sheet'!$E$3:$E$1001,Q$4)=0,"",SUMIFS('Input Sheet'!$F$3:$F$1001,'Input Sheet'!$B$3:$B$1001,$H621,'Input Sheet'!$E$3:$E$1001,Q$4))</f>
        <v/>
      </c>
      <c r="R621" s="21" t="str">
        <f>IF(SUMIFS('Input Sheet'!$F$3:$F$1001,'Input Sheet'!$B$3:$B$1001,$H621,'Input Sheet'!$E$3:$E$1001,R$4)=0,"",SUMIFS('Input Sheet'!$F$3:$F$1001,'Input Sheet'!$B$3:$B$1001,$H621,'Input Sheet'!$E$3:$E$1001,R$4))</f>
        <v/>
      </c>
      <c r="S621" s="21" t="str">
        <f>IF(SUMIFS('Input Sheet'!$F$3:$F$1001,'Input Sheet'!$B$3:$B$1001,$H621,'Input Sheet'!$E$3:$E$1001,S$4)=0,"",SUMIFS('Input Sheet'!$F$3:$F$1001,'Input Sheet'!$B$3:$B$1001,$H621,'Input Sheet'!$E$3:$E$1001,S$4))</f>
        <v/>
      </c>
      <c r="T621" s="22">
        <v>616</v>
      </c>
    </row>
    <row r="622" spans="1:20" ht="14.25" customHeight="1" x14ac:dyDescent="0.3">
      <c r="A622" s="4" t="str">
        <f>IF('Input Sheet'!B619=0,"",'Input Sheet'!B619)</f>
        <v/>
      </c>
      <c r="B622" s="24" t="b">
        <f t="shared" si="526"/>
        <v>0</v>
      </c>
      <c r="C622" s="4">
        <f>SUMIF('Input Sheet'!B$3:B$1000,A622,'Input Sheet'!C$3:C$1000)</f>
        <v>0</v>
      </c>
      <c r="D622" s="4">
        <f>SUMIF('Input Sheet'!B$3:B$1000,A622,'Input Sheet'!D$3:D$1000)</f>
        <v>0</v>
      </c>
      <c r="E622" s="4" t="str">
        <f t="shared" ref="E622:F622" ca="1" si="639">IFERROR(RANK(K622,K$6:K$1004,1),"")</f>
        <v/>
      </c>
      <c r="F622" s="4" t="str">
        <f t="shared" ca="1" si="639"/>
        <v/>
      </c>
      <c r="G622" s="4" t="str">
        <f t="shared" ca="1" si="528"/>
        <v/>
      </c>
      <c r="H622" s="4" t="str">
        <f t="shared" si="529"/>
        <v/>
      </c>
      <c r="I622" s="4" t="str">
        <f t="shared" si="530"/>
        <v/>
      </c>
      <c r="J622" s="4" t="str">
        <f t="shared" si="531"/>
        <v/>
      </c>
      <c r="K622" s="25" t="str">
        <f t="shared" ca="1" si="532"/>
        <v/>
      </c>
      <c r="L622" s="21" t="str">
        <f t="shared" ca="1" si="533"/>
        <v/>
      </c>
      <c r="M622" s="21" t="str">
        <f>IF(SUMIFS('Input Sheet'!$F$3:$F$1001,'Input Sheet'!$B$3:$B$1001,$H622,'Input Sheet'!$E$3:$E$1001,M$4)=0,"",SUMIFS('Input Sheet'!$F$3:$F$1001,'Input Sheet'!$B$3:$B$1001,$H622,'Input Sheet'!$E$3:$E$1001,M$4))</f>
        <v/>
      </c>
      <c r="N622" s="21" t="str">
        <f>IF(SUMIFS('Input Sheet'!$F$3:$F$1001,'Input Sheet'!$B$3:$B$1001,$H622,'Input Sheet'!$E$3:$E$1001,N$4)=0,"",SUMIFS('Input Sheet'!$F$3:$F$1001,'Input Sheet'!$B$3:$B$1001,$H622,'Input Sheet'!$E$3:$E$1001,N$4))</f>
        <v/>
      </c>
      <c r="O622" s="21" t="str">
        <f>IF(SUMIFS('Input Sheet'!$F$3:$F$1001,'Input Sheet'!$B$3:$B$1001,$H622,'Input Sheet'!$E$3:$E$1001,O$4)=0,"",SUMIFS('Input Sheet'!$F$3:$F$1001,'Input Sheet'!$B$3:$B$1001,$H622,'Input Sheet'!$E$3:$E$1001,O$4))</f>
        <v/>
      </c>
      <c r="P622" s="21" t="str">
        <f>IF(SUMIFS('Input Sheet'!$F$3:$F$1001,'Input Sheet'!$B$3:$B$1001,$H622,'Input Sheet'!$E$3:$E$1001,P$4)=0,"",SUMIFS('Input Sheet'!$F$3:$F$1001,'Input Sheet'!$B$3:$B$1001,$H622,'Input Sheet'!$E$3:$E$1001,P$4))</f>
        <v/>
      </c>
      <c r="Q622" s="21" t="str">
        <f>IF(SUMIFS('Input Sheet'!$F$3:$F$1001,'Input Sheet'!$B$3:$B$1001,$H622,'Input Sheet'!$E$3:$E$1001,Q$4)=0,"",SUMIFS('Input Sheet'!$F$3:$F$1001,'Input Sheet'!$B$3:$B$1001,$H622,'Input Sheet'!$E$3:$E$1001,Q$4))</f>
        <v/>
      </c>
      <c r="R622" s="21" t="str">
        <f>IF(SUMIFS('Input Sheet'!$F$3:$F$1001,'Input Sheet'!$B$3:$B$1001,$H622,'Input Sheet'!$E$3:$E$1001,R$4)=0,"",SUMIFS('Input Sheet'!$F$3:$F$1001,'Input Sheet'!$B$3:$B$1001,$H622,'Input Sheet'!$E$3:$E$1001,R$4))</f>
        <v/>
      </c>
      <c r="S622" s="21" t="str">
        <f>IF(SUMIFS('Input Sheet'!$F$3:$F$1001,'Input Sheet'!$B$3:$B$1001,$H622,'Input Sheet'!$E$3:$E$1001,S$4)=0,"",SUMIFS('Input Sheet'!$F$3:$F$1001,'Input Sheet'!$B$3:$B$1001,$H622,'Input Sheet'!$E$3:$E$1001,S$4))</f>
        <v/>
      </c>
      <c r="T622" s="22">
        <v>617</v>
      </c>
    </row>
    <row r="623" spans="1:20" ht="14.25" customHeight="1" x14ac:dyDescent="0.3">
      <c r="A623" s="4" t="str">
        <f>IF('Input Sheet'!B620=0,"",'Input Sheet'!B620)</f>
        <v/>
      </c>
      <c r="B623" s="24" t="b">
        <f t="shared" si="526"/>
        <v>0</v>
      </c>
      <c r="C623" s="4">
        <f>SUMIF('Input Sheet'!B$3:B$1000,A623,'Input Sheet'!C$3:C$1000)</f>
        <v>0</v>
      </c>
      <c r="D623" s="4">
        <f>SUMIF('Input Sheet'!B$3:B$1000,A623,'Input Sheet'!D$3:D$1000)</f>
        <v>0</v>
      </c>
      <c r="E623" s="4" t="str">
        <f t="shared" ref="E623:F623" ca="1" si="640">IFERROR(RANK(K623,K$6:K$1004,1),"")</f>
        <v/>
      </c>
      <c r="F623" s="4" t="str">
        <f t="shared" ca="1" si="640"/>
        <v/>
      </c>
      <c r="G623" s="4" t="str">
        <f t="shared" ca="1" si="528"/>
        <v/>
      </c>
      <c r="H623" s="4" t="str">
        <f t="shared" si="529"/>
        <v/>
      </c>
      <c r="I623" s="4" t="str">
        <f t="shared" si="530"/>
        <v/>
      </c>
      <c r="J623" s="4" t="str">
        <f t="shared" si="531"/>
        <v/>
      </c>
      <c r="K623" s="25" t="str">
        <f t="shared" ca="1" si="532"/>
        <v/>
      </c>
      <c r="L623" s="21" t="str">
        <f t="shared" ca="1" si="533"/>
        <v/>
      </c>
      <c r="M623" s="21" t="str">
        <f>IF(SUMIFS('Input Sheet'!$F$3:$F$1001,'Input Sheet'!$B$3:$B$1001,$H623,'Input Sheet'!$E$3:$E$1001,M$4)=0,"",SUMIFS('Input Sheet'!$F$3:$F$1001,'Input Sheet'!$B$3:$B$1001,$H623,'Input Sheet'!$E$3:$E$1001,M$4))</f>
        <v/>
      </c>
      <c r="N623" s="21" t="str">
        <f>IF(SUMIFS('Input Sheet'!$F$3:$F$1001,'Input Sheet'!$B$3:$B$1001,$H623,'Input Sheet'!$E$3:$E$1001,N$4)=0,"",SUMIFS('Input Sheet'!$F$3:$F$1001,'Input Sheet'!$B$3:$B$1001,$H623,'Input Sheet'!$E$3:$E$1001,N$4))</f>
        <v/>
      </c>
      <c r="O623" s="21" t="str">
        <f>IF(SUMIFS('Input Sheet'!$F$3:$F$1001,'Input Sheet'!$B$3:$B$1001,$H623,'Input Sheet'!$E$3:$E$1001,O$4)=0,"",SUMIFS('Input Sheet'!$F$3:$F$1001,'Input Sheet'!$B$3:$B$1001,$H623,'Input Sheet'!$E$3:$E$1001,O$4))</f>
        <v/>
      </c>
      <c r="P623" s="21" t="str">
        <f>IF(SUMIFS('Input Sheet'!$F$3:$F$1001,'Input Sheet'!$B$3:$B$1001,$H623,'Input Sheet'!$E$3:$E$1001,P$4)=0,"",SUMIFS('Input Sheet'!$F$3:$F$1001,'Input Sheet'!$B$3:$B$1001,$H623,'Input Sheet'!$E$3:$E$1001,P$4))</f>
        <v/>
      </c>
      <c r="Q623" s="21" t="str">
        <f>IF(SUMIFS('Input Sheet'!$F$3:$F$1001,'Input Sheet'!$B$3:$B$1001,$H623,'Input Sheet'!$E$3:$E$1001,Q$4)=0,"",SUMIFS('Input Sheet'!$F$3:$F$1001,'Input Sheet'!$B$3:$B$1001,$H623,'Input Sheet'!$E$3:$E$1001,Q$4))</f>
        <v/>
      </c>
      <c r="R623" s="21" t="str">
        <f>IF(SUMIFS('Input Sheet'!$F$3:$F$1001,'Input Sheet'!$B$3:$B$1001,$H623,'Input Sheet'!$E$3:$E$1001,R$4)=0,"",SUMIFS('Input Sheet'!$F$3:$F$1001,'Input Sheet'!$B$3:$B$1001,$H623,'Input Sheet'!$E$3:$E$1001,R$4))</f>
        <v/>
      </c>
      <c r="S623" s="21" t="str">
        <f>IF(SUMIFS('Input Sheet'!$F$3:$F$1001,'Input Sheet'!$B$3:$B$1001,$H623,'Input Sheet'!$E$3:$E$1001,S$4)=0,"",SUMIFS('Input Sheet'!$F$3:$F$1001,'Input Sheet'!$B$3:$B$1001,$H623,'Input Sheet'!$E$3:$E$1001,S$4))</f>
        <v/>
      </c>
      <c r="T623" s="22">
        <v>618</v>
      </c>
    </row>
    <row r="624" spans="1:20" ht="14.25" customHeight="1" x14ac:dyDescent="0.3">
      <c r="A624" s="4" t="str">
        <f>IF('Input Sheet'!B621=0,"",'Input Sheet'!B621)</f>
        <v/>
      </c>
      <c r="B624" s="24" t="b">
        <f t="shared" si="526"/>
        <v>0</v>
      </c>
      <c r="C624" s="4">
        <f>SUMIF('Input Sheet'!B$3:B$1000,A624,'Input Sheet'!C$3:C$1000)</f>
        <v>0</v>
      </c>
      <c r="D624" s="4">
        <f>SUMIF('Input Sheet'!B$3:B$1000,A624,'Input Sheet'!D$3:D$1000)</f>
        <v>0</v>
      </c>
      <c r="E624" s="4" t="str">
        <f t="shared" ref="E624:F624" ca="1" si="641">IFERROR(RANK(K624,K$6:K$1004,1),"")</f>
        <v/>
      </c>
      <c r="F624" s="4" t="str">
        <f t="shared" ca="1" si="641"/>
        <v/>
      </c>
      <c r="G624" s="4" t="str">
        <f t="shared" ca="1" si="528"/>
        <v/>
      </c>
      <c r="H624" s="4" t="str">
        <f t="shared" si="529"/>
        <v/>
      </c>
      <c r="I624" s="4" t="str">
        <f t="shared" si="530"/>
        <v/>
      </c>
      <c r="J624" s="4" t="str">
        <f t="shared" si="531"/>
        <v/>
      </c>
      <c r="K624" s="25" t="str">
        <f t="shared" ca="1" si="532"/>
        <v/>
      </c>
      <c r="L624" s="21" t="str">
        <f t="shared" ca="1" si="533"/>
        <v/>
      </c>
      <c r="M624" s="21" t="str">
        <f>IF(SUMIFS('Input Sheet'!$F$3:$F$1001,'Input Sheet'!$B$3:$B$1001,$H624,'Input Sheet'!$E$3:$E$1001,M$4)=0,"",SUMIFS('Input Sheet'!$F$3:$F$1001,'Input Sheet'!$B$3:$B$1001,$H624,'Input Sheet'!$E$3:$E$1001,M$4))</f>
        <v/>
      </c>
      <c r="N624" s="21" t="str">
        <f>IF(SUMIFS('Input Sheet'!$F$3:$F$1001,'Input Sheet'!$B$3:$B$1001,$H624,'Input Sheet'!$E$3:$E$1001,N$4)=0,"",SUMIFS('Input Sheet'!$F$3:$F$1001,'Input Sheet'!$B$3:$B$1001,$H624,'Input Sheet'!$E$3:$E$1001,N$4))</f>
        <v/>
      </c>
      <c r="O624" s="21" t="str">
        <f>IF(SUMIFS('Input Sheet'!$F$3:$F$1001,'Input Sheet'!$B$3:$B$1001,$H624,'Input Sheet'!$E$3:$E$1001,O$4)=0,"",SUMIFS('Input Sheet'!$F$3:$F$1001,'Input Sheet'!$B$3:$B$1001,$H624,'Input Sheet'!$E$3:$E$1001,O$4))</f>
        <v/>
      </c>
      <c r="P624" s="21" t="str">
        <f>IF(SUMIFS('Input Sheet'!$F$3:$F$1001,'Input Sheet'!$B$3:$B$1001,$H624,'Input Sheet'!$E$3:$E$1001,P$4)=0,"",SUMIFS('Input Sheet'!$F$3:$F$1001,'Input Sheet'!$B$3:$B$1001,$H624,'Input Sheet'!$E$3:$E$1001,P$4))</f>
        <v/>
      </c>
      <c r="Q624" s="21" t="str">
        <f>IF(SUMIFS('Input Sheet'!$F$3:$F$1001,'Input Sheet'!$B$3:$B$1001,$H624,'Input Sheet'!$E$3:$E$1001,Q$4)=0,"",SUMIFS('Input Sheet'!$F$3:$F$1001,'Input Sheet'!$B$3:$B$1001,$H624,'Input Sheet'!$E$3:$E$1001,Q$4))</f>
        <v/>
      </c>
      <c r="R624" s="21" t="str">
        <f>IF(SUMIFS('Input Sheet'!$F$3:$F$1001,'Input Sheet'!$B$3:$B$1001,$H624,'Input Sheet'!$E$3:$E$1001,R$4)=0,"",SUMIFS('Input Sheet'!$F$3:$F$1001,'Input Sheet'!$B$3:$B$1001,$H624,'Input Sheet'!$E$3:$E$1001,R$4))</f>
        <v/>
      </c>
      <c r="S624" s="21" t="str">
        <f>IF(SUMIFS('Input Sheet'!$F$3:$F$1001,'Input Sheet'!$B$3:$B$1001,$H624,'Input Sheet'!$E$3:$E$1001,S$4)=0,"",SUMIFS('Input Sheet'!$F$3:$F$1001,'Input Sheet'!$B$3:$B$1001,$H624,'Input Sheet'!$E$3:$E$1001,S$4))</f>
        <v/>
      </c>
      <c r="T624" s="22">
        <v>619</v>
      </c>
    </row>
    <row r="625" spans="1:20" ht="14.25" customHeight="1" x14ac:dyDescent="0.3">
      <c r="A625" s="4" t="str">
        <f>IF('Input Sheet'!B622=0,"",'Input Sheet'!B622)</f>
        <v/>
      </c>
      <c r="B625" s="24" t="b">
        <f t="shared" si="526"/>
        <v>0</v>
      </c>
      <c r="C625" s="4">
        <f>SUMIF('Input Sheet'!B$3:B$1000,A625,'Input Sheet'!C$3:C$1000)</f>
        <v>0</v>
      </c>
      <c r="D625" s="4">
        <f>SUMIF('Input Sheet'!B$3:B$1000,A625,'Input Sheet'!D$3:D$1000)</f>
        <v>0</v>
      </c>
      <c r="E625" s="4" t="str">
        <f t="shared" ref="E625:F625" ca="1" si="642">IFERROR(RANK(K625,K$6:K$1004,1),"")</f>
        <v/>
      </c>
      <c r="F625" s="4" t="str">
        <f t="shared" ca="1" si="642"/>
        <v/>
      </c>
      <c r="G625" s="4" t="str">
        <f t="shared" ca="1" si="528"/>
        <v/>
      </c>
      <c r="H625" s="4" t="str">
        <f t="shared" si="529"/>
        <v/>
      </c>
      <c r="I625" s="4" t="str">
        <f t="shared" si="530"/>
        <v/>
      </c>
      <c r="J625" s="4" t="str">
        <f t="shared" si="531"/>
        <v/>
      </c>
      <c r="K625" s="25" t="str">
        <f t="shared" ca="1" si="532"/>
        <v/>
      </c>
      <c r="L625" s="21" t="str">
        <f t="shared" ca="1" si="533"/>
        <v/>
      </c>
      <c r="M625" s="21" t="str">
        <f>IF(SUMIFS('Input Sheet'!$F$3:$F$1001,'Input Sheet'!$B$3:$B$1001,$H625,'Input Sheet'!$E$3:$E$1001,M$4)=0,"",SUMIFS('Input Sheet'!$F$3:$F$1001,'Input Sheet'!$B$3:$B$1001,$H625,'Input Sheet'!$E$3:$E$1001,M$4))</f>
        <v/>
      </c>
      <c r="N625" s="21" t="str">
        <f>IF(SUMIFS('Input Sheet'!$F$3:$F$1001,'Input Sheet'!$B$3:$B$1001,$H625,'Input Sheet'!$E$3:$E$1001,N$4)=0,"",SUMIFS('Input Sheet'!$F$3:$F$1001,'Input Sheet'!$B$3:$B$1001,$H625,'Input Sheet'!$E$3:$E$1001,N$4))</f>
        <v/>
      </c>
      <c r="O625" s="21" t="str">
        <f>IF(SUMIFS('Input Sheet'!$F$3:$F$1001,'Input Sheet'!$B$3:$B$1001,$H625,'Input Sheet'!$E$3:$E$1001,O$4)=0,"",SUMIFS('Input Sheet'!$F$3:$F$1001,'Input Sheet'!$B$3:$B$1001,$H625,'Input Sheet'!$E$3:$E$1001,O$4))</f>
        <v/>
      </c>
      <c r="P625" s="21" t="str">
        <f>IF(SUMIFS('Input Sheet'!$F$3:$F$1001,'Input Sheet'!$B$3:$B$1001,$H625,'Input Sheet'!$E$3:$E$1001,P$4)=0,"",SUMIFS('Input Sheet'!$F$3:$F$1001,'Input Sheet'!$B$3:$B$1001,$H625,'Input Sheet'!$E$3:$E$1001,P$4))</f>
        <v/>
      </c>
      <c r="Q625" s="21" t="str">
        <f>IF(SUMIFS('Input Sheet'!$F$3:$F$1001,'Input Sheet'!$B$3:$B$1001,$H625,'Input Sheet'!$E$3:$E$1001,Q$4)=0,"",SUMIFS('Input Sheet'!$F$3:$F$1001,'Input Sheet'!$B$3:$B$1001,$H625,'Input Sheet'!$E$3:$E$1001,Q$4))</f>
        <v/>
      </c>
      <c r="R625" s="21" t="str">
        <f>IF(SUMIFS('Input Sheet'!$F$3:$F$1001,'Input Sheet'!$B$3:$B$1001,$H625,'Input Sheet'!$E$3:$E$1001,R$4)=0,"",SUMIFS('Input Sheet'!$F$3:$F$1001,'Input Sheet'!$B$3:$B$1001,$H625,'Input Sheet'!$E$3:$E$1001,R$4))</f>
        <v/>
      </c>
      <c r="S625" s="21" t="str">
        <f>IF(SUMIFS('Input Sheet'!$F$3:$F$1001,'Input Sheet'!$B$3:$B$1001,$H625,'Input Sheet'!$E$3:$E$1001,S$4)=0,"",SUMIFS('Input Sheet'!$F$3:$F$1001,'Input Sheet'!$B$3:$B$1001,$H625,'Input Sheet'!$E$3:$E$1001,S$4))</f>
        <v/>
      </c>
      <c r="T625" s="22">
        <v>620</v>
      </c>
    </row>
    <row r="626" spans="1:20" ht="14.25" customHeight="1" x14ac:dyDescent="0.3">
      <c r="A626" s="4" t="str">
        <f>IF('Input Sheet'!B623=0,"",'Input Sheet'!B623)</f>
        <v/>
      </c>
      <c r="B626" s="24" t="b">
        <f t="shared" si="526"/>
        <v>0</v>
      </c>
      <c r="C626" s="4">
        <f>SUMIF('Input Sheet'!B$3:B$1000,A626,'Input Sheet'!C$3:C$1000)</f>
        <v>0</v>
      </c>
      <c r="D626" s="4">
        <f>SUMIF('Input Sheet'!B$3:B$1000,A626,'Input Sheet'!D$3:D$1000)</f>
        <v>0</v>
      </c>
      <c r="E626" s="4" t="str">
        <f t="shared" ref="E626:F626" ca="1" si="643">IFERROR(RANK(K626,K$6:K$1004,1),"")</f>
        <v/>
      </c>
      <c r="F626" s="4" t="str">
        <f t="shared" ca="1" si="643"/>
        <v/>
      </c>
      <c r="G626" s="4" t="str">
        <f t="shared" ca="1" si="528"/>
        <v/>
      </c>
      <c r="H626" s="4" t="str">
        <f t="shared" si="529"/>
        <v/>
      </c>
      <c r="I626" s="4" t="str">
        <f t="shared" si="530"/>
        <v/>
      </c>
      <c r="J626" s="4" t="str">
        <f t="shared" si="531"/>
        <v/>
      </c>
      <c r="K626" s="25" t="str">
        <f t="shared" ca="1" si="532"/>
        <v/>
      </c>
      <c r="L626" s="21" t="str">
        <f t="shared" ca="1" si="533"/>
        <v/>
      </c>
      <c r="M626" s="21" t="str">
        <f>IF(SUMIFS('Input Sheet'!$F$3:$F$1001,'Input Sheet'!$B$3:$B$1001,$H626,'Input Sheet'!$E$3:$E$1001,M$4)=0,"",SUMIFS('Input Sheet'!$F$3:$F$1001,'Input Sheet'!$B$3:$B$1001,$H626,'Input Sheet'!$E$3:$E$1001,M$4))</f>
        <v/>
      </c>
      <c r="N626" s="21" t="str">
        <f>IF(SUMIFS('Input Sheet'!$F$3:$F$1001,'Input Sheet'!$B$3:$B$1001,$H626,'Input Sheet'!$E$3:$E$1001,N$4)=0,"",SUMIFS('Input Sheet'!$F$3:$F$1001,'Input Sheet'!$B$3:$B$1001,$H626,'Input Sheet'!$E$3:$E$1001,N$4))</f>
        <v/>
      </c>
      <c r="O626" s="21" t="str">
        <f>IF(SUMIFS('Input Sheet'!$F$3:$F$1001,'Input Sheet'!$B$3:$B$1001,$H626,'Input Sheet'!$E$3:$E$1001,O$4)=0,"",SUMIFS('Input Sheet'!$F$3:$F$1001,'Input Sheet'!$B$3:$B$1001,$H626,'Input Sheet'!$E$3:$E$1001,O$4))</f>
        <v/>
      </c>
      <c r="P626" s="21" t="str">
        <f>IF(SUMIFS('Input Sheet'!$F$3:$F$1001,'Input Sheet'!$B$3:$B$1001,$H626,'Input Sheet'!$E$3:$E$1001,P$4)=0,"",SUMIFS('Input Sheet'!$F$3:$F$1001,'Input Sheet'!$B$3:$B$1001,$H626,'Input Sheet'!$E$3:$E$1001,P$4))</f>
        <v/>
      </c>
      <c r="Q626" s="21" t="str">
        <f>IF(SUMIFS('Input Sheet'!$F$3:$F$1001,'Input Sheet'!$B$3:$B$1001,$H626,'Input Sheet'!$E$3:$E$1001,Q$4)=0,"",SUMIFS('Input Sheet'!$F$3:$F$1001,'Input Sheet'!$B$3:$B$1001,$H626,'Input Sheet'!$E$3:$E$1001,Q$4))</f>
        <v/>
      </c>
      <c r="R626" s="21" t="str">
        <f>IF(SUMIFS('Input Sheet'!$F$3:$F$1001,'Input Sheet'!$B$3:$B$1001,$H626,'Input Sheet'!$E$3:$E$1001,R$4)=0,"",SUMIFS('Input Sheet'!$F$3:$F$1001,'Input Sheet'!$B$3:$B$1001,$H626,'Input Sheet'!$E$3:$E$1001,R$4))</f>
        <v/>
      </c>
      <c r="S626" s="21" t="str">
        <f>IF(SUMIFS('Input Sheet'!$F$3:$F$1001,'Input Sheet'!$B$3:$B$1001,$H626,'Input Sheet'!$E$3:$E$1001,S$4)=0,"",SUMIFS('Input Sheet'!$F$3:$F$1001,'Input Sheet'!$B$3:$B$1001,$H626,'Input Sheet'!$E$3:$E$1001,S$4))</f>
        <v/>
      </c>
      <c r="T626" s="22">
        <v>621</v>
      </c>
    </row>
    <row r="627" spans="1:20" ht="14.25" customHeight="1" x14ac:dyDescent="0.3">
      <c r="A627" s="4" t="str">
        <f>IF('Input Sheet'!B624=0,"",'Input Sheet'!B624)</f>
        <v/>
      </c>
      <c r="B627" s="24" t="b">
        <f t="shared" si="526"/>
        <v>0</v>
      </c>
      <c r="C627" s="4">
        <f>SUMIF('Input Sheet'!B$3:B$1000,A627,'Input Sheet'!C$3:C$1000)</f>
        <v>0</v>
      </c>
      <c r="D627" s="4">
        <f>SUMIF('Input Sheet'!B$3:B$1000,A627,'Input Sheet'!D$3:D$1000)</f>
        <v>0</v>
      </c>
      <c r="E627" s="4" t="str">
        <f t="shared" ref="E627:F627" ca="1" si="644">IFERROR(RANK(K627,K$6:K$1004,1),"")</f>
        <v/>
      </c>
      <c r="F627" s="4" t="str">
        <f t="shared" ca="1" si="644"/>
        <v/>
      </c>
      <c r="G627" s="4" t="str">
        <f t="shared" ca="1" si="528"/>
        <v/>
      </c>
      <c r="H627" s="4" t="str">
        <f t="shared" si="529"/>
        <v/>
      </c>
      <c r="I627" s="4" t="str">
        <f t="shared" si="530"/>
        <v/>
      </c>
      <c r="J627" s="4" t="str">
        <f t="shared" si="531"/>
        <v/>
      </c>
      <c r="K627" s="25" t="str">
        <f t="shared" ca="1" si="532"/>
        <v/>
      </c>
      <c r="L627" s="21" t="str">
        <f t="shared" ca="1" si="533"/>
        <v/>
      </c>
      <c r="M627" s="21" t="str">
        <f>IF(SUMIFS('Input Sheet'!$F$3:$F$1001,'Input Sheet'!$B$3:$B$1001,$H627,'Input Sheet'!$E$3:$E$1001,M$4)=0,"",SUMIFS('Input Sheet'!$F$3:$F$1001,'Input Sheet'!$B$3:$B$1001,$H627,'Input Sheet'!$E$3:$E$1001,M$4))</f>
        <v/>
      </c>
      <c r="N627" s="21" t="str">
        <f>IF(SUMIFS('Input Sheet'!$F$3:$F$1001,'Input Sheet'!$B$3:$B$1001,$H627,'Input Sheet'!$E$3:$E$1001,N$4)=0,"",SUMIFS('Input Sheet'!$F$3:$F$1001,'Input Sheet'!$B$3:$B$1001,$H627,'Input Sheet'!$E$3:$E$1001,N$4))</f>
        <v/>
      </c>
      <c r="O627" s="21" t="str">
        <f>IF(SUMIFS('Input Sheet'!$F$3:$F$1001,'Input Sheet'!$B$3:$B$1001,$H627,'Input Sheet'!$E$3:$E$1001,O$4)=0,"",SUMIFS('Input Sheet'!$F$3:$F$1001,'Input Sheet'!$B$3:$B$1001,$H627,'Input Sheet'!$E$3:$E$1001,O$4))</f>
        <v/>
      </c>
      <c r="P627" s="21" t="str">
        <f>IF(SUMIFS('Input Sheet'!$F$3:$F$1001,'Input Sheet'!$B$3:$B$1001,$H627,'Input Sheet'!$E$3:$E$1001,P$4)=0,"",SUMIFS('Input Sheet'!$F$3:$F$1001,'Input Sheet'!$B$3:$B$1001,$H627,'Input Sheet'!$E$3:$E$1001,P$4))</f>
        <v/>
      </c>
      <c r="Q627" s="21" t="str">
        <f>IF(SUMIFS('Input Sheet'!$F$3:$F$1001,'Input Sheet'!$B$3:$B$1001,$H627,'Input Sheet'!$E$3:$E$1001,Q$4)=0,"",SUMIFS('Input Sheet'!$F$3:$F$1001,'Input Sheet'!$B$3:$B$1001,$H627,'Input Sheet'!$E$3:$E$1001,Q$4))</f>
        <v/>
      </c>
      <c r="R627" s="21" t="str">
        <f>IF(SUMIFS('Input Sheet'!$F$3:$F$1001,'Input Sheet'!$B$3:$B$1001,$H627,'Input Sheet'!$E$3:$E$1001,R$4)=0,"",SUMIFS('Input Sheet'!$F$3:$F$1001,'Input Sheet'!$B$3:$B$1001,$H627,'Input Sheet'!$E$3:$E$1001,R$4))</f>
        <v/>
      </c>
      <c r="S627" s="21" t="str">
        <f>IF(SUMIFS('Input Sheet'!$F$3:$F$1001,'Input Sheet'!$B$3:$B$1001,$H627,'Input Sheet'!$E$3:$E$1001,S$4)=0,"",SUMIFS('Input Sheet'!$F$3:$F$1001,'Input Sheet'!$B$3:$B$1001,$H627,'Input Sheet'!$E$3:$E$1001,S$4))</f>
        <v/>
      </c>
      <c r="T627" s="22">
        <v>622</v>
      </c>
    </row>
    <row r="628" spans="1:20" ht="14.25" customHeight="1" x14ac:dyDescent="0.3">
      <c r="A628" s="4" t="str">
        <f>IF('Input Sheet'!B625=0,"",'Input Sheet'!B625)</f>
        <v/>
      </c>
      <c r="B628" s="24" t="b">
        <f t="shared" si="526"/>
        <v>0</v>
      </c>
      <c r="C628" s="4">
        <f>SUMIF('Input Sheet'!B$3:B$1000,A628,'Input Sheet'!C$3:C$1000)</f>
        <v>0</v>
      </c>
      <c r="D628" s="4">
        <f>SUMIF('Input Sheet'!B$3:B$1000,A628,'Input Sheet'!D$3:D$1000)</f>
        <v>0</v>
      </c>
      <c r="E628" s="4" t="str">
        <f t="shared" ref="E628:F628" ca="1" si="645">IFERROR(RANK(K628,K$6:K$1004,1),"")</f>
        <v/>
      </c>
      <c r="F628" s="4" t="str">
        <f t="shared" ca="1" si="645"/>
        <v/>
      </c>
      <c r="G628" s="4" t="str">
        <f t="shared" ca="1" si="528"/>
        <v/>
      </c>
      <c r="H628" s="4" t="str">
        <f t="shared" si="529"/>
        <v/>
      </c>
      <c r="I628" s="4" t="str">
        <f t="shared" si="530"/>
        <v/>
      </c>
      <c r="J628" s="4" t="str">
        <f t="shared" si="531"/>
        <v/>
      </c>
      <c r="K628" s="25" t="str">
        <f t="shared" ca="1" si="532"/>
        <v/>
      </c>
      <c r="L628" s="21" t="str">
        <f t="shared" ca="1" si="533"/>
        <v/>
      </c>
      <c r="M628" s="21" t="str">
        <f>IF(SUMIFS('Input Sheet'!$F$3:$F$1001,'Input Sheet'!$B$3:$B$1001,$H628,'Input Sheet'!$E$3:$E$1001,M$4)=0,"",SUMIFS('Input Sheet'!$F$3:$F$1001,'Input Sheet'!$B$3:$B$1001,$H628,'Input Sheet'!$E$3:$E$1001,M$4))</f>
        <v/>
      </c>
      <c r="N628" s="21" t="str">
        <f>IF(SUMIFS('Input Sheet'!$F$3:$F$1001,'Input Sheet'!$B$3:$B$1001,$H628,'Input Sheet'!$E$3:$E$1001,N$4)=0,"",SUMIFS('Input Sheet'!$F$3:$F$1001,'Input Sheet'!$B$3:$B$1001,$H628,'Input Sheet'!$E$3:$E$1001,N$4))</f>
        <v/>
      </c>
      <c r="O628" s="21" t="str">
        <f>IF(SUMIFS('Input Sheet'!$F$3:$F$1001,'Input Sheet'!$B$3:$B$1001,$H628,'Input Sheet'!$E$3:$E$1001,O$4)=0,"",SUMIFS('Input Sheet'!$F$3:$F$1001,'Input Sheet'!$B$3:$B$1001,$H628,'Input Sheet'!$E$3:$E$1001,O$4))</f>
        <v/>
      </c>
      <c r="P628" s="21" t="str">
        <f>IF(SUMIFS('Input Sheet'!$F$3:$F$1001,'Input Sheet'!$B$3:$B$1001,$H628,'Input Sheet'!$E$3:$E$1001,P$4)=0,"",SUMIFS('Input Sheet'!$F$3:$F$1001,'Input Sheet'!$B$3:$B$1001,$H628,'Input Sheet'!$E$3:$E$1001,P$4))</f>
        <v/>
      </c>
      <c r="Q628" s="21" t="str">
        <f>IF(SUMIFS('Input Sheet'!$F$3:$F$1001,'Input Sheet'!$B$3:$B$1001,$H628,'Input Sheet'!$E$3:$E$1001,Q$4)=0,"",SUMIFS('Input Sheet'!$F$3:$F$1001,'Input Sheet'!$B$3:$B$1001,$H628,'Input Sheet'!$E$3:$E$1001,Q$4))</f>
        <v/>
      </c>
      <c r="R628" s="21" t="str">
        <f>IF(SUMIFS('Input Sheet'!$F$3:$F$1001,'Input Sheet'!$B$3:$B$1001,$H628,'Input Sheet'!$E$3:$E$1001,R$4)=0,"",SUMIFS('Input Sheet'!$F$3:$F$1001,'Input Sheet'!$B$3:$B$1001,$H628,'Input Sheet'!$E$3:$E$1001,R$4))</f>
        <v/>
      </c>
      <c r="S628" s="21" t="str">
        <f>IF(SUMIFS('Input Sheet'!$F$3:$F$1001,'Input Sheet'!$B$3:$B$1001,$H628,'Input Sheet'!$E$3:$E$1001,S$4)=0,"",SUMIFS('Input Sheet'!$F$3:$F$1001,'Input Sheet'!$B$3:$B$1001,$H628,'Input Sheet'!$E$3:$E$1001,S$4))</f>
        <v/>
      </c>
      <c r="T628" s="22">
        <v>623</v>
      </c>
    </row>
    <row r="629" spans="1:20" ht="14.25" customHeight="1" x14ac:dyDescent="0.3">
      <c r="A629" s="4" t="str">
        <f>IF('Input Sheet'!B626=0,"",'Input Sheet'!B626)</f>
        <v/>
      </c>
      <c r="B629" s="24" t="b">
        <f t="shared" si="526"/>
        <v>0</v>
      </c>
      <c r="C629" s="4">
        <f>SUMIF('Input Sheet'!B$3:B$1000,A629,'Input Sheet'!C$3:C$1000)</f>
        <v>0</v>
      </c>
      <c r="D629" s="4">
        <f>SUMIF('Input Sheet'!B$3:B$1000,A629,'Input Sheet'!D$3:D$1000)</f>
        <v>0</v>
      </c>
      <c r="E629" s="4" t="str">
        <f t="shared" ref="E629:F629" ca="1" si="646">IFERROR(RANK(K629,K$6:K$1004,1),"")</f>
        <v/>
      </c>
      <c r="F629" s="4" t="str">
        <f t="shared" ca="1" si="646"/>
        <v/>
      </c>
      <c r="G629" s="4" t="str">
        <f t="shared" ca="1" si="528"/>
        <v/>
      </c>
      <c r="H629" s="4" t="str">
        <f t="shared" si="529"/>
        <v/>
      </c>
      <c r="I629" s="4" t="str">
        <f t="shared" si="530"/>
        <v/>
      </c>
      <c r="J629" s="4" t="str">
        <f t="shared" si="531"/>
        <v/>
      </c>
      <c r="K629" s="25" t="str">
        <f t="shared" ca="1" si="532"/>
        <v/>
      </c>
      <c r="L629" s="21" t="str">
        <f t="shared" ca="1" si="533"/>
        <v/>
      </c>
      <c r="M629" s="21" t="str">
        <f>IF(SUMIFS('Input Sheet'!$F$3:$F$1001,'Input Sheet'!$B$3:$B$1001,$H629,'Input Sheet'!$E$3:$E$1001,M$4)=0,"",SUMIFS('Input Sheet'!$F$3:$F$1001,'Input Sheet'!$B$3:$B$1001,$H629,'Input Sheet'!$E$3:$E$1001,M$4))</f>
        <v/>
      </c>
      <c r="N629" s="21" t="str">
        <f>IF(SUMIFS('Input Sheet'!$F$3:$F$1001,'Input Sheet'!$B$3:$B$1001,$H629,'Input Sheet'!$E$3:$E$1001,N$4)=0,"",SUMIFS('Input Sheet'!$F$3:$F$1001,'Input Sheet'!$B$3:$B$1001,$H629,'Input Sheet'!$E$3:$E$1001,N$4))</f>
        <v/>
      </c>
      <c r="O629" s="21" t="str">
        <f>IF(SUMIFS('Input Sheet'!$F$3:$F$1001,'Input Sheet'!$B$3:$B$1001,$H629,'Input Sheet'!$E$3:$E$1001,O$4)=0,"",SUMIFS('Input Sheet'!$F$3:$F$1001,'Input Sheet'!$B$3:$B$1001,$H629,'Input Sheet'!$E$3:$E$1001,O$4))</f>
        <v/>
      </c>
      <c r="P629" s="21" t="str">
        <f>IF(SUMIFS('Input Sheet'!$F$3:$F$1001,'Input Sheet'!$B$3:$B$1001,$H629,'Input Sheet'!$E$3:$E$1001,P$4)=0,"",SUMIFS('Input Sheet'!$F$3:$F$1001,'Input Sheet'!$B$3:$B$1001,$H629,'Input Sheet'!$E$3:$E$1001,P$4))</f>
        <v/>
      </c>
      <c r="Q629" s="21" t="str">
        <f>IF(SUMIFS('Input Sheet'!$F$3:$F$1001,'Input Sheet'!$B$3:$B$1001,$H629,'Input Sheet'!$E$3:$E$1001,Q$4)=0,"",SUMIFS('Input Sheet'!$F$3:$F$1001,'Input Sheet'!$B$3:$B$1001,$H629,'Input Sheet'!$E$3:$E$1001,Q$4))</f>
        <v/>
      </c>
      <c r="R629" s="21" t="str">
        <f>IF(SUMIFS('Input Sheet'!$F$3:$F$1001,'Input Sheet'!$B$3:$B$1001,$H629,'Input Sheet'!$E$3:$E$1001,R$4)=0,"",SUMIFS('Input Sheet'!$F$3:$F$1001,'Input Sheet'!$B$3:$B$1001,$H629,'Input Sheet'!$E$3:$E$1001,R$4))</f>
        <v/>
      </c>
      <c r="S629" s="21" t="str">
        <f>IF(SUMIFS('Input Sheet'!$F$3:$F$1001,'Input Sheet'!$B$3:$B$1001,$H629,'Input Sheet'!$E$3:$E$1001,S$4)=0,"",SUMIFS('Input Sheet'!$F$3:$F$1001,'Input Sheet'!$B$3:$B$1001,$H629,'Input Sheet'!$E$3:$E$1001,S$4))</f>
        <v/>
      </c>
      <c r="T629" s="22">
        <v>624</v>
      </c>
    </row>
    <row r="630" spans="1:20" ht="14.25" customHeight="1" x14ac:dyDescent="0.3">
      <c r="A630" s="4" t="str">
        <f>IF('Input Sheet'!B627=0,"",'Input Sheet'!B627)</f>
        <v/>
      </c>
      <c r="B630" s="24" t="b">
        <f t="shared" si="526"/>
        <v>0</v>
      </c>
      <c r="C630" s="4">
        <f>SUMIF('Input Sheet'!B$3:B$1000,A630,'Input Sheet'!C$3:C$1000)</f>
        <v>0</v>
      </c>
      <c r="D630" s="4">
        <f>SUMIF('Input Sheet'!B$3:B$1000,A630,'Input Sheet'!D$3:D$1000)</f>
        <v>0</v>
      </c>
      <c r="E630" s="4" t="str">
        <f t="shared" ref="E630:F630" ca="1" si="647">IFERROR(RANK(K630,K$6:K$1004,1),"")</f>
        <v/>
      </c>
      <c r="F630" s="4" t="str">
        <f t="shared" ca="1" si="647"/>
        <v/>
      </c>
      <c r="G630" s="4" t="str">
        <f t="shared" ca="1" si="528"/>
        <v/>
      </c>
      <c r="H630" s="4" t="str">
        <f t="shared" si="529"/>
        <v/>
      </c>
      <c r="I630" s="4" t="str">
        <f t="shared" si="530"/>
        <v/>
      </c>
      <c r="J630" s="4" t="str">
        <f t="shared" si="531"/>
        <v/>
      </c>
      <c r="K630" s="25" t="str">
        <f t="shared" ca="1" si="532"/>
        <v/>
      </c>
      <c r="L630" s="21" t="str">
        <f t="shared" ca="1" si="533"/>
        <v/>
      </c>
      <c r="M630" s="21" t="str">
        <f>IF(SUMIFS('Input Sheet'!$F$3:$F$1001,'Input Sheet'!$B$3:$B$1001,$H630,'Input Sheet'!$E$3:$E$1001,M$4)=0,"",SUMIFS('Input Sheet'!$F$3:$F$1001,'Input Sheet'!$B$3:$B$1001,$H630,'Input Sheet'!$E$3:$E$1001,M$4))</f>
        <v/>
      </c>
      <c r="N630" s="21" t="str">
        <f>IF(SUMIFS('Input Sheet'!$F$3:$F$1001,'Input Sheet'!$B$3:$B$1001,$H630,'Input Sheet'!$E$3:$E$1001,N$4)=0,"",SUMIFS('Input Sheet'!$F$3:$F$1001,'Input Sheet'!$B$3:$B$1001,$H630,'Input Sheet'!$E$3:$E$1001,N$4))</f>
        <v/>
      </c>
      <c r="O630" s="21" t="str">
        <f>IF(SUMIFS('Input Sheet'!$F$3:$F$1001,'Input Sheet'!$B$3:$B$1001,$H630,'Input Sheet'!$E$3:$E$1001,O$4)=0,"",SUMIFS('Input Sheet'!$F$3:$F$1001,'Input Sheet'!$B$3:$B$1001,$H630,'Input Sheet'!$E$3:$E$1001,O$4))</f>
        <v/>
      </c>
      <c r="P630" s="21" t="str">
        <f>IF(SUMIFS('Input Sheet'!$F$3:$F$1001,'Input Sheet'!$B$3:$B$1001,$H630,'Input Sheet'!$E$3:$E$1001,P$4)=0,"",SUMIFS('Input Sheet'!$F$3:$F$1001,'Input Sheet'!$B$3:$B$1001,$H630,'Input Sheet'!$E$3:$E$1001,P$4))</f>
        <v/>
      </c>
      <c r="Q630" s="21" t="str">
        <f>IF(SUMIFS('Input Sheet'!$F$3:$F$1001,'Input Sheet'!$B$3:$B$1001,$H630,'Input Sheet'!$E$3:$E$1001,Q$4)=0,"",SUMIFS('Input Sheet'!$F$3:$F$1001,'Input Sheet'!$B$3:$B$1001,$H630,'Input Sheet'!$E$3:$E$1001,Q$4))</f>
        <v/>
      </c>
      <c r="R630" s="21" t="str">
        <f>IF(SUMIFS('Input Sheet'!$F$3:$F$1001,'Input Sheet'!$B$3:$B$1001,$H630,'Input Sheet'!$E$3:$E$1001,R$4)=0,"",SUMIFS('Input Sheet'!$F$3:$F$1001,'Input Sheet'!$B$3:$B$1001,$H630,'Input Sheet'!$E$3:$E$1001,R$4))</f>
        <v/>
      </c>
      <c r="S630" s="21" t="str">
        <f>IF(SUMIFS('Input Sheet'!$F$3:$F$1001,'Input Sheet'!$B$3:$B$1001,$H630,'Input Sheet'!$E$3:$E$1001,S$4)=0,"",SUMIFS('Input Sheet'!$F$3:$F$1001,'Input Sheet'!$B$3:$B$1001,$H630,'Input Sheet'!$E$3:$E$1001,S$4))</f>
        <v/>
      </c>
      <c r="T630" s="22">
        <v>625</v>
      </c>
    </row>
    <row r="631" spans="1:20" ht="14.25" customHeight="1" x14ac:dyDescent="0.3">
      <c r="A631" s="4" t="str">
        <f>IF('Input Sheet'!B628=0,"",'Input Sheet'!B628)</f>
        <v/>
      </c>
      <c r="B631" s="24" t="b">
        <f t="shared" si="526"/>
        <v>0</v>
      </c>
      <c r="C631" s="4">
        <f>SUMIF('Input Sheet'!B$3:B$1000,A631,'Input Sheet'!C$3:C$1000)</f>
        <v>0</v>
      </c>
      <c r="D631" s="4">
        <f>SUMIF('Input Sheet'!B$3:B$1000,A631,'Input Sheet'!D$3:D$1000)</f>
        <v>0</v>
      </c>
      <c r="E631" s="4" t="str">
        <f t="shared" ref="E631:F631" ca="1" si="648">IFERROR(RANK(K631,K$6:K$1004,1),"")</f>
        <v/>
      </c>
      <c r="F631" s="4" t="str">
        <f t="shared" ca="1" si="648"/>
        <v/>
      </c>
      <c r="G631" s="4" t="str">
        <f t="shared" ca="1" si="528"/>
        <v/>
      </c>
      <c r="H631" s="4" t="str">
        <f t="shared" si="529"/>
        <v/>
      </c>
      <c r="I631" s="4" t="str">
        <f t="shared" si="530"/>
        <v/>
      </c>
      <c r="J631" s="4" t="str">
        <f t="shared" si="531"/>
        <v/>
      </c>
      <c r="K631" s="25" t="str">
        <f t="shared" ca="1" si="532"/>
        <v/>
      </c>
      <c r="L631" s="21" t="str">
        <f t="shared" ca="1" si="533"/>
        <v/>
      </c>
      <c r="M631" s="21" t="str">
        <f>IF(SUMIFS('Input Sheet'!$F$3:$F$1001,'Input Sheet'!$B$3:$B$1001,$H631,'Input Sheet'!$E$3:$E$1001,M$4)=0,"",SUMIFS('Input Sheet'!$F$3:$F$1001,'Input Sheet'!$B$3:$B$1001,$H631,'Input Sheet'!$E$3:$E$1001,M$4))</f>
        <v/>
      </c>
      <c r="N631" s="21" t="str">
        <f>IF(SUMIFS('Input Sheet'!$F$3:$F$1001,'Input Sheet'!$B$3:$B$1001,$H631,'Input Sheet'!$E$3:$E$1001,N$4)=0,"",SUMIFS('Input Sheet'!$F$3:$F$1001,'Input Sheet'!$B$3:$B$1001,$H631,'Input Sheet'!$E$3:$E$1001,N$4))</f>
        <v/>
      </c>
      <c r="O631" s="21" t="str">
        <f>IF(SUMIFS('Input Sheet'!$F$3:$F$1001,'Input Sheet'!$B$3:$B$1001,$H631,'Input Sheet'!$E$3:$E$1001,O$4)=0,"",SUMIFS('Input Sheet'!$F$3:$F$1001,'Input Sheet'!$B$3:$B$1001,$H631,'Input Sheet'!$E$3:$E$1001,O$4))</f>
        <v/>
      </c>
      <c r="P631" s="21" t="str">
        <f>IF(SUMIFS('Input Sheet'!$F$3:$F$1001,'Input Sheet'!$B$3:$B$1001,$H631,'Input Sheet'!$E$3:$E$1001,P$4)=0,"",SUMIFS('Input Sheet'!$F$3:$F$1001,'Input Sheet'!$B$3:$B$1001,$H631,'Input Sheet'!$E$3:$E$1001,P$4))</f>
        <v/>
      </c>
      <c r="Q631" s="21" t="str">
        <f>IF(SUMIFS('Input Sheet'!$F$3:$F$1001,'Input Sheet'!$B$3:$B$1001,$H631,'Input Sheet'!$E$3:$E$1001,Q$4)=0,"",SUMIFS('Input Sheet'!$F$3:$F$1001,'Input Sheet'!$B$3:$B$1001,$H631,'Input Sheet'!$E$3:$E$1001,Q$4))</f>
        <v/>
      </c>
      <c r="R631" s="21" t="str">
        <f>IF(SUMIFS('Input Sheet'!$F$3:$F$1001,'Input Sheet'!$B$3:$B$1001,$H631,'Input Sheet'!$E$3:$E$1001,R$4)=0,"",SUMIFS('Input Sheet'!$F$3:$F$1001,'Input Sheet'!$B$3:$B$1001,$H631,'Input Sheet'!$E$3:$E$1001,R$4))</f>
        <v/>
      </c>
      <c r="S631" s="21" t="str">
        <f>IF(SUMIFS('Input Sheet'!$F$3:$F$1001,'Input Sheet'!$B$3:$B$1001,$H631,'Input Sheet'!$E$3:$E$1001,S$4)=0,"",SUMIFS('Input Sheet'!$F$3:$F$1001,'Input Sheet'!$B$3:$B$1001,$H631,'Input Sheet'!$E$3:$E$1001,S$4))</f>
        <v/>
      </c>
      <c r="T631" s="22">
        <v>626</v>
      </c>
    </row>
    <row r="632" spans="1:20" ht="14.25" customHeight="1" x14ac:dyDescent="0.3">
      <c r="A632" s="4" t="str">
        <f>IF('Input Sheet'!B629=0,"",'Input Sheet'!B629)</f>
        <v/>
      </c>
      <c r="B632" s="24" t="b">
        <f t="shared" si="526"/>
        <v>0</v>
      </c>
      <c r="C632" s="4">
        <f>SUMIF('Input Sheet'!B$3:B$1000,A632,'Input Sheet'!C$3:C$1000)</f>
        <v>0</v>
      </c>
      <c r="D632" s="4">
        <f>SUMIF('Input Sheet'!B$3:B$1000,A632,'Input Sheet'!D$3:D$1000)</f>
        <v>0</v>
      </c>
      <c r="E632" s="4" t="str">
        <f t="shared" ref="E632:F632" ca="1" si="649">IFERROR(RANK(K632,K$6:K$1004,1),"")</f>
        <v/>
      </c>
      <c r="F632" s="4" t="str">
        <f t="shared" ca="1" si="649"/>
        <v/>
      </c>
      <c r="G632" s="4" t="str">
        <f t="shared" ca="1" si="528"/>
        <v/>
      </c>
      <c r="H632" s="4" t="str">
        <f t="shared" si="529"/>
        <v/>
      </c>
      <c r="I632" s="4" t="str">
        <f t="shared" si="530"/>
        <v/>
      </c>
      <c r="J632" s="4" t="str">
        <f t="shared" si="531"/>
        <v/>
      </c>
      <c r="K632" s="25" t="str">
        <f t="shared" ca="1" si="532"/>
        <v/>
      </c>
      <c r="L632" s="21" t="str">
        <f t="shared" ca="1" si="533"/>
        <v/>
      </c>
      <c r="M632" s="21" t="str">
        <f>IF(SUMIFS('Input Sheet'!$F$3:$F$1001,'Input Sheet'!$B$3:$B$1001,$H632,'Input Sheet'!$E$3:$E$1001,M$4)=0,"",SUMIFS('Input Sheet'!$F$3:$F$1001,'Input Sheet'!$B$3:$B$1001,$H632,'Input Sheet'!$E$3:$E$1001,M$4))</f>
        <v/>
      </c>
      <c r="N632" s="21" t="str">
        <f>IF(SUMIFS('Input Sheet'!$F$3:$F$1001,'Input Sheet'!$B$3:$B$1001,$H632,'Input Sheet'!$E$3:$E$1001,N$4)=0,"",SUMIFS('Input Sheet'!$F$3:$F$1001,'Input Sheet'!$B$3:$B$1001,$H632,'Input Sheet'!$E$3:$E$1001,N$4))</f>
        <v/>
      </c>
      <c r="O632" s="21" t="str">
        <f>IF(SUMIFS('Input Sheet'!$F$3:$F$1001,'Input Sheet'!$B$3:$B$1001,$H632,'Input Sheet'!$E$3:$E$1001,O$4)=0,"",SUMIFS('Input Sheet'!$F$3:$F$1001,'Input Sheet'!$B$3:$B$1001,$H632,'Input Sheet'!$E$3:$E$1001,O$4))</f>
        <v/>
      </c>
      <c r="P632" s="21" t="str">
        <f>IF(SUMIFS('Input Sheet'!$F$3:$F$1001,'Input Sheet'!$B$3:$B$1001,$H632,'Input Sheet'!$E$3:$E$1001,P$4)=0,"",SUMIFS('Input Sheet'!$F$3:$F$1001,'Input Sheet'!$B$3:$B$1001,$H632,'Input Sheet'!$E$3:$E$1001,P$4))</f>
        <v/>
      </c>
      <c r="Q632" s="21" t="str">
        <f>IF(SUMIFS('Input Sheet'!$F$3:$F$1001,'Input Sheet'!$B$3:$B$1001,$H632,'Input Sheet'!$E$3:$E$1001,Q$4)=0,"",SUMIFS('Input Sheet'!$F$3:$F$1001,'Input Sheet'!$B$3:$B$1001,$H632,'Input Sheet'!$E$3:$E$1001,Q$4))</f>
        <v/>
      </c>
      <c r="R632" s="21" t="str">
        <f>IF(SUMIFS('Input Sheet'!$F$3:$F$1001,'Input Sheet'!$B$3:$B$1001,$H632,'Input Sheet'!$E$3:$E$1001,R$4)=0,"",SUMIFS('Input Sheet'!$F$3:$F$1001,'Input Sheet'!$B$3:$B$1001,$H632,'Input Sheet'!$E$3:$E$1001,R$4))</f>
        <v/>
      </c>
      <c r="S632" s="21" t="str">
        <f>IF(SUMIFS('Input Sheet'!$F$3:$F$1001,'Input Sheet'!$B$3:$B$1001,$H632,'Input Sheet'!$E$3:$E$1001,S$4)=0,"",SUMIFS('Input Sheet'!$F$3:$F$1001,'Input Sheet'!$B$3:$B$1001,$H632,'Input Sheet'!$E$3:$E$1001,S$4))</f>
        <v/>
      </c>
      <c r="T632" s="22">
        <v>627</v>
      </c>
    </row>
    <row r="633" spans="1:20" ht="14.25" customHeight="1" x14ac:dyDescent="0.3">
      <c r="A633" s="4" t="str">
        <f>IF('Input Sheet'!B630=0,"",'Input Sheet'!B630)</f>
        <v/>
      </c>
      <c r="B633" s="24" t="b">
        <f t="shared" si="526"/>
        <v>0</v>
      </c>
      <c r="C633" s="4">
        <f>SUMIF('Input Sheet'!B$3:B$1000,A633,'Input Sheet'!C$3:C$1000)</f>
        <v>0</v>
      </c>
      <c r="D633" s="4">
        <f>SUMIF('Input Sheet'!B$3:B$1000,A633,'Input Sheet'!D$3:D$1000)</f>
        <v>0</v>
      </c>
      <c r="E633" s="4" t="str">
        <f t="shared" ref="E633:F633" ca="1" si="650">IFERROR(RANK(K633,K$6:K$1004,1),"")</f>
        <v/>
      </c>
      <c r="F633" s="4" t="str">
        <f t="shared" ca="1" si="650"/>
        <v/>
      </c>
      <c r="G633" s="4" t="str">
        <f t="shared" ca="1" si="528"/>
        <v/>
      </c>
      <c r="H633" s="4" t="str">
        <f t="shared" si="529"/>
        <v/>
      </c>
      <c r="I633" s="4" t="str">
        <f t="shared" si="530"/>
        <v/>
      </c>
      <c r="J633" s="4" t="str">
        <f t="shared" si="531"/>
        <v/>
      </c>
      <c r="K633" s="25" t="str">
        <f t="shared" ca="1" si="532"/>
        <v/>
      </c>
      <c r="L633" s="21" t="str">
        <f t="shared" ca="1" si="533"/>
        <v/>
      </c>
      <c r="M633" s="21" t="str">
        <f>IF(SUMIFS('Input Sheet'!$F$3:$F$1001,'Input Sheet'!$B$3:$B$1001,$H633,'Input Sheet'!$E$3:$E$1001,M$4)=0,"",SUMIFS('Input Sheet'!$F$3:$F$1001,'Input Sheet'!$B$3:$B$1001,$H633,'Input Sheet'!$E$3:$E$1001,M$4))</f>
        <v/>
      </c>
      <c r="N633" s="21" t="str">
        <f>IF(SUMIFS('Input Sheet'!$F$3:$F$1001,'Input Sheet'!$B$3:$B$1001,$H633,'Input Sheet'!$E$3:$E$1001,N$4)=0,"",SUMIFS('Input Sheet'!$F$3:$F$1001,'Input Sheet'!$B$3:$B$1001,$H633,'Input Sheet'!$E$3:$E$1001,N$4))</f>
        <v/>
      </c>
      <c r="O633" s="21" t="str">
        <f>IF(SUMIFS('Input Sheet'!$F$3:$F$1001,'Input Sheet'!$B$3:$B$1001,$H633,'Input Sheet'!$E$3:$E$1001,O$4)=0,"",SUMIFS('Input Sheet'!$F$3:$F$1001,'Input Sheet'!$B$3:$B$1001,$H633,'Input Sheet'!$E$3:$E$1001,O$4))</f>
        <v/>
      </c>
      <c r="P633" s="21" t="str">
        <f>IF(SUMIFS('Input Sheet'!$F$3:$F$1001,'Input Sheet'!$B$3:$B$1001,$H633,'Input Sheet'!$E$3:$E$1001,P$4)=0,"",SUMIFS('Input Sheet'!$F$3:$F$1001,'Input Sheet'!$B$3:$B$1001,$H633,'Input Sheet'!$E$3:$E$1001,P$4))</f>
        <v/>
      </c>
      <c r="Q633" s="21" t="str">
        <f>IF(SUMIFS('Input Sheet'!$F$3:$F$1001,'Input Sheet'!$B$3:$B$1001,$H633,'Input Sheet'!$E$3:$E$1001,Q$4)=0,"",SUMIFS('Input Sheet'!$F$3:$F$1001,'Input Sheet'!$B$3:$B$1001,$H633,'Input Sheet'!$E$3:$E$1001,Q$4))</f>
        <v/>
      </c>
      <c r="R633" s="21" t="str">
        <f>IF(SUMIFS('Input Sheet'!$F$3:$F$1001,'Input Sheet'!$B$3:$B$1001,$H633,'Input Sheet'!$E$3:$E$1001,R$4)=0,"",SUMIFS('Input Sheet'!$F$3:$F$1001,'Input Sheet'!$B$3:$B$1001,$H633,'Input Sheet'!$E$3:$E$1001,R$4))</f>
        <v/>
      </c>
      <c r="S633" s="21" t="str">
        <f>IF(SUMIFS('Input Sheet'!$F$3:$F$1001,'Input Sheet'!$B$3:$B$1001,$H633,'Input Sheet'!$E$3:$E$1001,S$4)=0,"",SUMIFS('Input Sheet'!$F$3:$F$1001,'Input Sheet'!$B$3:$B$1001,$H633,'Input Sheet'!$E$3:$E$1001,S$4))</f>
        <v/>
      </c>
      <c r="T633" s="22">
        <v>628</v>
      </c>
    </row>
    <row r="634" spans="1:20" ht="14.25" customHeight="1" x14ac:dyDescent="0.3">
      <c r="A634" s="4" t="str">
        <f>IF('Input Sheet'!B631=0,"",'Input Sheet'!B631)</f>
        <v/>
      </c>
      <c r="B634" s="24" t="b">
        <f t="shared" si="526"/>
        <v>0</v>
      </c>
      <c r="C634" s="4">
        <f>SUMIF('Input Sheet'!B$3:B$1000,A634,'Input Sheet'!C$3:C$1000)</f>
        <v>0</v>
      </c>
      <c r="D634" s="4">
        <f>SUMIF('Input Sheet'!B$3:B$1000,A634,'Input Sheet'!D$3:D$1000)</f>
        <v>0</v>
      </c>
      <c r="E634" s="4" t="str">
        <f t="shared" ref="E634:F634" ca="1" si="651">IFERROR(RANK(K634,K$6:K$1004,1),"")</f>
        <v/>
      </c>
      <c r="F634" s="4" t="str">
        <f t="shared" ca="1" si="651"/>
        <v/>
      </c>
      <c r="G634" s="4" t="str">
        <f t="shared" ca="1" si="528"/>
        <v/>
      </c>
      <c r="H634" s="4" t="str">
        <f t="shared" si="529"/>
        <v/>
      </c>
      <c r="I634" s="4" t="str">
        <f t="shared" si="530"/>
        <v/>
      </c>
      <c r="J634" s="4" t="str">
        <f t="shared" si="531"/>
        <v/>
      </c>
      <c r="K634" s="25" t="str">
        <f t="shared" ca="1" si="532"/>
        <v/>
      </c>
      <c r="L634" s="21" t="str">
        <f t="shared" ca="1" si="533"/>
        <v/>
      </c>
      <c r="M634" s="21" t="str">
        <f>IF(SUMIFS('Input Sheet'!$F$3:$F$1001,'Input Sheet'!$B$3:$B$1001,$H634,'Input Sheet'!$E$3:$E$1001,M$4)=0,"",SUMIFS('Input Sheet'!$F$3:$F$1001,'Input Sheet'!$B$3:$B$1001,$H634,'Input Sheet'!$E$3:$E$1001,M$4))</f>
        <v/>
      </c>
      <c r="N634" s="21" t="str">
        <f>IF(SUMIFS('Input Sheet'!$F$3:$F$1001,'Input Sheet'!$B$3:$B$1001,$H634,'Input Sheet'!$E$3:$E$1001,N$4)=0,"",SUMIFS('Input Sheet'!$F$3:$F$1001,'Input Sheet'!$B$3:$B$1001,$H634,'Input Sheet'!$E$3:$E$1001,N$4))</f>
        <v/>
      </c>
      <c r="O634" s="21" t="str">
        <f>IF(SUMIFS('Input Sheet'!$F$3:$F$1001,'Input Sheet'!$B$3:$B$1001,$H634,'Input Sheet'!$E$3:$E$1001,O$4)=0,"",SUMIFS('Input Sheet'!$F$3:$F$1001,'Input Sheet'!$B$3:$B$1001,$H634,'Input Sheet'!$E$3:$E$1001,O$4))</f>
        <v/>
      </c>
      <c r="P634" s="21" t="str">
        <f>IF(SUMIFS('Input Sheet'!$F$3:$F$1001,'Input Sheet'!$B$3:$B$1001,$H634,'Input Sheet'!$E$3:$E$1001,P$4)=0,"",SUMIFS('Input Sheet'!$F$3:$F$1001,'Input Sheet'!$B$3:$B$1001,$H634,'Input Sheet'!$E$3:$E$1001,P$4))</f>
        <v/>
      </c>
      <c r="Q634" s="21" t="str">
        <f>IF(SUMIFS('Input Sheet'!$F$3:$F$1001,'Input Sheet'!$B$3:$B$1001,$H634,'Input Sheet'!$E$3:$E$1001,Q$4)=0,"",SUMIFS('Input Sheet'!$F$3:$F$1001,'Input Sheet'!$B$3:$B$1001,$H634,'Input Sheet'!$E$3:$E$1001,Q$4))</f>
        <v/>
      </c>
      <c r="R634" s="21" t="str">
        <f>IF(SUMIFS('Input Sheet'!$F$3:$F$1001,'Input Sheet'!$B$3:$B$1001,$H634,'Input Sheet'!$E$3:$E$1001,R$4)=0,"",SUMIFS('Input Sheet'!$F$3:$F$1001,'Input Sheet'!$B$3:$B$1001,$H634,'Input Sheet'!$E$3:$E$1001,R$4))</f>
        <v/>
      </c>
      <c r="S634" s="21" t="str">
        <f>IF(SUMIFS('Input Sheet'!$F$3:$F$1001,'Input Sheet'!$B$3:$B$1001,$H634,'Input Sheet'!$E$3:$E$1001,S$4)=0,"",SUMIFS('Input Sheet'!$F$3:$F$1001,'Input Sheet'!$B$3:$B$1001,$H634,'Input Sheet'!$E$3:$E$1001,S$4))</f>
        <v/>
      </c>
      <c r="T634" s="22">
        <v>629</v>
      </c>
    </row>
    <row r="635" spans="1:20" ht="14.25" customHeight="1" x14ac:dyDescent="0.3">
      <c r="A635" s="4" t="str">
        <f>IF('Input Sheet'!B632=0,"",'Input Sheet'!B632)</f>
        <v/>
      </c>
      <c r="B635" s="24" t="b">
        <f t="shared" si="526"/>
        <v>0</v>
      </c>
      <c r="C635" s="4">
        <f>SUMIF('Input Sheet'!B$3:B$1000,A635,'Input Sheet'!C$3:C$1000)</f>
        <v>0</v>
      </c>
      <c r="D635" s="4">
        <f>SUMIF('Input Sheet'!B$3:B$1000,A635,'Input Sheet'!D$3:D$1000)</f>
        <v>0</v>
      </c>
      <c r="E635" s="4" t="str">
        <f t="shared" ref="E635:F635" ca="1" si="652">IFERROR(RANK(K635,K$6:K$1004,1),"")</f>
        <v/>
      </c>
      <c r="F635" s="4" t="str">
        <f t="shared" ca="1" si="652"/>
        <v/>
      </c>
      <c r="G635" s="4" t="str">
        <f t="shared" ca="1" si="528"/>
        <v/>
      </c>
      <c r="H635" s="4" t="str">
        <f t="shared" si="529"/>
        <v/>
      </c>
      <c r="I635" s="4" t="str">
        <f t="shared" si="530"/>
        <v/>
      </c>
      <c r="J635" s="4" t="str">
        <f t="shared" si="531"/>
        <v/>
      </c>
      <c r="K635" s="25" t="str">
        <f t="shared" ca="1" si="532"/>
        <v/>
      </c>
      <c r="L635" s="21" t="str">
        <f t="shared" ca="1" si="533"/>
        <v/>
      </c>
      <c r="M635" s="21" t="str">
        <f>IF(SUMIFS('Input Sheet'!$F$3:$F$1001,'Input Sheet'!$B$3:$B$1001,$H635,'Input Sheet'!$E$3:$E$1001,M$4)=0,"",SUMIFS('Input Sheet'!$F$3:$F$1001,'Input Sheet'!$B$3:$B$1001,$H635,'Input Sheet'!$E$3:$E$1001,M$4))</f>
        <v/>
      </c>
      <c r="N635" s="21" t="str">
        <f>IF(SUMIFS('Input Sheet'!$F$3:$F$1001,'Input Sheet'!$B$3:$B$1001,$H635,'Input Sheet'!$E$3:$E$1001,N$4)=0,"",SUMIFS('Input Sheet'!$F$3:$F$1001,'Input Sheet'!$B$3:$B$1001,$H635,'Input Sheet'!$E$3:$E$1001,N$4))</f>
        <v/>
      </c>
      <c r="O635" s="21" t="str">
        <f>IF(SUMIFS('Input Sheet'!$F$3:$F$1001,'Input Sheet'!$B$3:$B$1001,$H635,'Input Sheet'!$E$3:$E$1001,O$4)=0,"",SUMIFS('Input Sheet'!$F$3:$F$1001,'Input Sheet'!$B$3:$B$1001,$H635,'Input Sheet'!$E$3:$E$1001,O$4))</f>
        <v/>
      </c>
      <c r="P635" s="21" t="str">
        <f>IF(SUMIFS('Input Sheet'!$F$3:$F$1001,'Input Sheet'!$B$3:$B$1001,$H635,'Input Sheet'!$E$3:$E$1001,P$4)=0,"",SUMIFS('Input Sheet'!$F$3:$F$1001,'Input Sheet'!$B$3:$B$1001,$H635,'Input Sheet'!$E$3:$E$1001,P$4))</f>
        <v/>
      </c>
      <c r="Q635" s="21" t="str">
        <f>IF(SUMIFS('Input Sheet'!$F$3:$F$1001,'Input Sheet'!$B$3:$B$1001,$H635,'Input Sheet'!$E$3:$E$1001,Q$4)=0,"",SUMIFS('Input Sheet'!$F$3:$F$1001,'Input Sheet'!$B$3:$B$1001,$H635,'Input Sheet'!$E$3:$E$1001,Q$4))</f>
        <v/>
      </c>
      <c r="R635" s="21" t="str">
        <f>IF(SUMIFS('Input Sheet'!$F$3:$F$1001,'Input Sheet'!$B$3:$B$1001,$H635,'Input Sheet'!$E$3:$E$1001,R$4)=0,"",SUMIFS('Input Sheet'!$F$3:$F$1001,'Input Sheet'!$B$3:$B$1001,$H635,'Input Sheet'!$E$3:$E$1001,R$4))</f>
        <v/>
      </c>
      <c r="S635" s="21" t="str">
        <f>IF(SUMIFS('Input Sheet'!$F$3:$F$1001,'Input Sheet'!$B$3:$B$1001,$H635,'Input Sheet'!$E$3:$E$1001,S$4)=0,"",SUMIFS('Input Sheet'!$F$3:$F$1001,'Input Sheet'!$B$3:$B$1001,$H635,'Input Sheet'!$E$3:$E$1001,S$4))</f>
        <v/>
      </c>
      <c r="T635" s="22">
        <v>630</v>
      </c>
    </row>
    <row r="636" spans="1:20" ht="14.25" customHeight="1" x14ac:dyDescent="0.3">
      <c r="A636" s="4" t="str">
        <f>IF('Input Sheet'!B633=0,"",'Input Sheet'!B633)</f>
        <v/>
      </c>
      <c r="B636" s="24" t="b">
        <f t="shared" si="526"/>
        <v>0</v>
      </c>
      <c r="C636" s="4">
        <f>SUMIF('Input Sheet'!B$3:B$1000,A636,'Input Sheet'!C$3:C$1000)</f>
        <v>0</v>
      </c>
      <c r="D636" s="4">
        <f>SUMIF('Input Sheet'!B$3:B$1000,A636,'Input Sheet'!D$3:D$1000)</f>
        <v>0</v>
      </c>
      <c r="E636" s="4" t="str">
        <f t="shared" ref="E636:F636" ca="1" si="653">IFERROR(RANK(K636,K$6:K$1004,1),"")</f>
        <v/>
      </c>
      <c r="F636" s="4" t="str">
        <f t="shared" ca="1" si="653"/>
        <v/>
      </c>
      <c r="G636" s="4" t="str">
        <f t="shared" ca="1" si="528"/>
        <v/>
      </c>
      <c r="H636" s="4" t="str">
        <f t="shared" si="529"/>
        <v/>
      </c>
      <c r="I636" s="4" t="str">
        <f t="shared" si="530"/>
        <v/>
      </c>
      <c r="J636" s="4" t="str">
        <f t="shared" si="531"/>
        <v/>
      </c>
      <c r="K636" s="25" t="str">
        <f t="shared" ca="1" si="532"/>
        <v/>
      </c>
      <c r="L636" s="21" t="str">
        <f t="shared" ca="1" si="533"/>
        <v/>
      </c>
      <c r="M636" s="21" t="str">
        <f>IF(SUMIFS('Input Sheet'!$F$3:$F$1001,'Input Sheet'!$B$3:$B$1001,$H636,'Input Sheet'!$E$3:$E$1001,M$4)=0,"",SUMIFS('Input Sheet'!$F$3:$F$1001,'Input Sheet'!$B$3:$B$1001,$H636,'Input Sheet'!$E$3:$E$1001,M$4))</f>
        <v/>
      </c>
      <c r="N636" s="21" t="str">
        <f>IF(SUMIFS('Input Sheet'!$F$3:$F$1001,'Input Sheet'!$B$3:$B$1001,$H636,'Input Sheet'!$E$3:$E$1001,N$4)=0,"",SUMIFS('Input Sheet'!$F$3:$F$1001,'Input Sheet'!$B$3:$B$1001,$H636,'Input Sheet'!$E$3:$E$1001,N$4))</f>
        <v/>
      </c>
      <c r="O636" s="21" t="str">
        <f>IF(SUMIFS('Input Sheet'!$F$3:$F$1001,'Input Sheet'!$B$3:$B$1001,$H636,'Input Sheet'!$E$3:$E$1001,O$4)=0,"",SUMIFS('Input Sheet'!$F$3:$F$1001,'Input Sheet'!$B$3:$B$1001,$H636,'Input Sheet'!$E$3:$E$1001,O$4))</f>
        <v/>
      </c>
      <c r="P636" s="21" t="str">
        <f>IF(SUMIFS('Input Sheet'!$F$3:$F$1001,'Input Sheet'!$B$3:$B$1001,$H636,'Input Sheet'!$E$3:$E$1001,P$4)=0,"",SUMIFS('Input Sheet'!$F$3:$F$1001,'Input Sheet'!$B$3:$B$1001,$H636,'Input Sheet'!$E$3:$E$1001,P$4))</f>
        <v/>
      </c>
      <c r="Q636" s="21" t="str">
        <f>IF(SUMIFS('Input Sheet'!$F$3:$F$1001,'Input Sheet'!$B$3:$B$1001,$H636,'Input Sheet'!$E$3:$E$1001,Q$4)=0,"",SUMIFS('Input Sheet'!$F$3:$F$1001,'Input Sheet'!$B$3:$B$1001,$H636,'Input Sheet'!$E$3:$E$1001,Q$4))</f>
        <v/>
      </c>
      <c r="R636" s="21" t="str">
        <f>IF(SUMIFS('Input Sheet'!$F$3:$F$1001,'Input Sheet'!$B$3:$B$1001,$H636,'Input Sheet'!$E$3:$E$1001,R$4)=0,"",SUMIFS('Input Sheet'!$F$3:$F$1001,'Input Sheet'!$B$3:$B$1001,$H636,'Input Sheet'!$E$3:$E$1001,R$4))</f>
        <v/>
      </c>
      <c r="S636" s="21" t="str">
        <f>IF(SUMIFS('Input Sheet'!$F$3:$F$1001,'Input Sheet'!$B$3:$B$1001,$H636,'Input Sheet'!$E$3:$E$1001,S$4)=0,"",SUMIFS('Input Sheet'!$F$3:$F$1001,'Input Sheet'!$B$3:$B$1001,$H636,'Input Sheet'!$E$3:$E$1001,S$4))</f>
        <v/>
      </c>
      <c r="T636" s="22">
        <v>631</v>
      </c>
    </row>
    <row r="637" spans="1:20" ht="14.25" customHeight="1" x14ac:dyDescent="0.3">
      <c r="A637" s="4" t="str">
        <f>IF('Input Sheet'!B634=0,"",'Input Sheet'!B634)</f>
        <v/>
      </c>
      <c r="B637" s="24" t="b">
        <f t="shared" si="526"/>
        <v>0</v>
      </c>
      <c r="C637" s="4">
        <f>SUMIF('Input Sheet'!B$3:B$1000,A637,'Input Sheet'!C$3:C$1000)</f>
        <v>0</v>
      </c>
      <c r="D637" s="4">
        <f>SUMIF('Input Sheet'!B$3:B$1000,A637,'Input Sheet'!D$3:D$1000)</f>
        <v>0</v>
      </c>
      <c r="E637" s="4" t="str">
        <f t="shared" ref="E637:F637" ca="1" si="654">IFERROR(RANK(K637,K$6:K$1004,1),"")</f>
        <v/>
      </c>
      <c r="F637" s="4" t="str">
        <f t="shared" ca="1" si="654"/>
        <v/>
      </c>
      <c r="G637" s="4" t="str">
        <f t="shared" ca="1" si="528"/>
        <v/>
      </c>
      <c r="H637" s="4" t="str">
        <f t="shared" si="529"/>
        <v/>
      </c>
      <c r="I637" s="4" t="str">
        <f t="shared" si="530"/>
        <v/>
      </c>
      <c r="J637" s="4" t="str">
        <f t="shared" si="531"/>
        <v/>
      </c>
      <c r="K637" s="25" t="str">
        <f t="shared" ca="1" si="532"/>
        <v/>
      </c>
      <c r="L637" s="21" t="str">
        <f t="shared" ca="1" si="533"/>
        <v/>
      </c>
      <c r="M637" s="21" t="str">
        <f>IF(SUMIFS('Input Sheet'!$F$3:$F$1001,'Input Sheet'!$B$3:$B$1001,$H637,'Input Sheet'!$E$3:$E$1001,M$4)=0,"",SUMIFS('Input Sheet'!$F$3:$F$1001,'Input Sheet'!$B$3:$B$1001,$H637,'Input Sheet'!$E$3:$E$1001,M$4))</f>
        <v/>
      </c>
      <c r="N637" s="21" t="str">
        <f>IF(SUMIFS('Input Sheet'!$F$3:$F$1001,'Input Sheet'!$B$3:$B$1001,$H637,'Input Sheet'!$E$3:$E$1001,N$4)=0,"",SUMIFS('Input Sheet'!$F$3:$F$1001,'Input Sheet'!$B$3:$B$1001,$H637,'Input Sheet'!$E$3:$E$1001,N$4))</f>
        <v/>
      </c>
      <c r="O637" s="21" t="str">
        <f>IF(SUMIFS('Input Sheet'!$F$3:$F$1001,'Input Sheet'!$B$3:$B$1001,$H637,'Input Sheet'!$E$3:$E$1001,O$4)=0,"",SUMIFS('Input Sheet'!$F$3:$F$1001,'Input Sheet'!$B$3:$B$1001,$H637,'Input Sheet'!$E$3:$E$1001,O$4))</f>
        <v/>
      </c>
      <c r="P637" s="21" t="str">
        <f>IF(SUMIFS('Input Sheet'!$F$3:$F$1001,'Input Sheet'!$B$3:$B$1001,$H637,'Input Sheet'!$E$3:$E$1001,P$4)=0,"",SUMIFS('Input Sheet'!$F$3:$F$1001,'Input Sheet'!$B$3:$B$1001,$H637,'Input Sheet'!$E$3:$E$1001,P$4))</f>
        <v/>
      </c>
      <c r="Q637" s="21" t="str">
        <f>IF(SUMIFS('Input Sheet'!$F$3:$F$1001,'Input Sheet'!$B$3:$B$1001,$H637,'Input Sheet'!$E$3:$E$1001,Q$4)=0,"",SUMIFS('Input Sheet'!$F$3:$F$1001,'Input Sheet'!$B$3:$B$1001,$H637,'Input Sheet'!$E$3:$E$1001,Q$4))</f>
        <v/>
      </c>
      <c r="R637" s="21" t="str">
        <f>IF(SUMIFS('Input Sheet'!$F$3:$F$1001,'Input Sheet'!$B$3:$B$1001,$H637,'Input Sheet'!$E$3:$E$1001,R$4)=0,"",SUMIFS('Input Sheet'!$F$3:$F$1001,'Input Sheet'!$B$3:$B$1001,$H637,'Input Sheet'!$E$3:$E$1001,R$4))</f>
        <v/>
      </c>
      <c r="S637" s="21" t="str">
        <f>IF(SUMIFS('Input Sheet'!$F$3:$F$1001,'Input Sheet'!$B$3:$B$1001,$H637,'Input Sheet'!$E$3:$E$1001,S$4)=0,"",SUMIFS('Input Sheet'!$F$3:$F$1001,'Input Sheet'!$B$3:$B$1001,$H637,'Input Sheet'!$E$3:$E$1001,S$4))</f>
        <v/>
      </c>
      <c r="T637" s="22">
        <v>632</v>
      </c>
    </row>
    <row r="638" spans="1:20" ht="14.25" customHeight="1" x14ac:dyDescent="0.3">
      <c r="A638" s="4" t="str">
        <f>IF('Input Sheet'!B635=0,"",'Input Sheet'!B635)</f>
        <v/>
      </c>
      <c r="B638" s="24" t="b">
        <f t="shared" si="526"/>
        <v>0</v>
      </c>
      <c r="C638" s="4">
        <f>SUMIF('Input Sheet'!B$3:B$1000,A638,'Input Sheet'!C$3:C$1000)</f>
        <v>0</v>
      </c>
      <c r="D638" s="4">
        <f>SUMIF('Input Sheet'!B$3:B$1000,A638,'Input Sheet'!D$3:D$1000)</f>
        <v>0</v>
      </c>
      <c r="E638" s="4" t="str">
        <f t="shared" ref="E638:F638" ca="1" si="655">IFERROR(RANK(K638,K$6:K$1004,1),"")</f>
        <v/>
      </c>
      <c r="F638" s="4" t="str">
        <f t="shared" ca="1" si="655"/>
        <v/>
      </c>
      <c r="G638" s="4" t="str">
        <f t="shared" ca="1" si="528"/>
        <v/>
      </c>
      <c r="H638" s="4" t="str">
        <f t="shared" si="529"/>
        <v/>
      </c>
      <c r="I638" s="4" t="str">
        <f t="shared" si="530"/>
        <v/>
      </c>
      <c r="J638" s="4" t="str">
        <f t="shared" si="531"/>
        <v/>
      </c>
      <c r="K638" s="25" t="str">
        <f t="shared" ca="1" si="532"/>
        <v/>
      </c>
      <c r="L638" s="21" t="str">
        <f t="shared" ca="1" si="533"/>
        <v/>
      </c>
      <c r="M638" s="21" t="str">
        <f>IF(SUMIFS('Input Sheet'!$F$3:$F$1001,'Input Sheet'!$B$3:$B$1001,$H638,'Input Sheet'!$E$3:$E$1001,M$4)=0,"",SUMIFS('Input Sheet'!$F$3:$F$1001,'Input Sheet'!$B$3:$B$1001,$H638,'Input Sheet'!$E$3:$E$1001,M$4))</f>
        <v/>
      </c>
      <c r="N638" s="21" t="str">
        <f>IF(SUMIFS('Input Sheet'!$F$3:$F$1001,'Input Sheet'!$B$3:$B$1001,$H638,'Input Sheet'!$E$3:$E$1001,N$4)=0,"",SUMIFS('Input Sheet'!$F$3:$F$1001,'Input Sheet'!$B$3:$B$1001,$H638,'Input Sheet'!$E$3:$E$1001,N$4))</f>
        <v/>
      </c>
      <c r="O638" s="21" t="str">
        <f>IF(SUMIFS('Input Sheet'!$F$3:$F$1001,'Input Sheet'!$B$3:$B$1001,$H638,'Input Sheet'!$E$3:$E$1001,O$4)=0,"",SUMIFS('Input Sheet'!$F$3:$F$1001,'Input Sheet'!$B$3:$B$1001,$H638,'Input Sheet'!$E$3:$E$1001,O$4))</f>
        <v/>
      </c>
      <c r="P638" s="21" t="str">
        <f>IF(SUMIFS('Input Sheet'!$F$3:$F$1001,'Input Sheet'!$B$3:$B$1001,$H638,'Input Sheet'!$E$3:$E$1001,P$4)=0,"",SUMIFS('Input Sheet'!$F$3:$F$1001,'Input Sheet'!$B$3:$B$1001,$H638,'Input Sheet'!$E$3:$E$1001,P$4))</f>
        <v/>
      </c>
      <c r="Q638" s="21" t="str">
        <f>IF(SUMIFS('Input Sheet'!$F$3:$F$1001,'Input Sheet'!$B$3:$B$1001,$H638,'Input Sheet'!$E$3:$E$1001,Q$4)=0,"",SUMIFS('Input Sheet'!$F$3:$F$1001,'Input Sheet'!$B$3:$B$1001,$H638,'Input Sheet'!$E$3:$E$1001,Q$4))</f>
        <v/>
      </c>
      <c r="R638" s="21" t="str">
        <f>IF(SUMIFS('Input Sheet'!$F$3:$F$1001,'Input Sheet'!$B$3:$B$1001,$H638,'Input Sheet'!$E$3:$E$1001,R$4)=0,"",SUMIFS('Input Sheet'!$F$3:$F$1001,'Input Sheet'!$B$3:$B$1001,$H638,'Input Sheet'!$E$3:$E$1001,R$4))</f>
        <v/>
      </c>
      <c r="S638" s="21" t="str">
        <f>IF(SUMIFS('Input Sheet'!$F$3:$F$1001,'Input Sheet'!$B$3:$B$1001,$H638,'Input Sheet'!$E$3:$E$1001,S$4)=0,"",SUMIFS('Input Sheet'!$F$3:$F$1001,'Input Sheet'!$B$3:$B$1001,$H638,'Input Sheet'!$E$3:$E$1001,S$4))</f>
        <v/>
      </c>
      <c r="T638" s="22">
        <v>633</v>
      </c>
    </row>
    <row r="639" spans="1:20" ht="14.25" customHeight="1" x14ac:dyDescent="0.3">
      <c r="A639" s="4" t="str">
        <f>IF('Input Sheet'!B636=0,"",'Input Sheet'!B636)</f>
        <v/>
      </c>
      <c r="B639" s="24" t="b">
        <f t="shared" si="526"/>
        <v>0</v>
      </c>
      <c r="C639" s="4">
        <f>SUMIF('Input Sheet'!B$3:B$1000,A639,'Input Sheet'!C$3:C$1000)</f>
        <v>0</v>
      </c>
      <c r="D639" s="4">
        <f>SUMIF('Input Sheet'!B$3:B$1000,A639,'Input Sheet'!D$3:D$1000)</f>
        <v>0</v>
      </c>
      <c r="E639" s="4" t="str">
        <f t="shared" ref="E639:F639" ca="1" si="656">IFERROR(RANK(K639,K$6:K$1004,1),"")</f>
        <v/>
      </c>
      <c r="F639" s="4" t="str">
        <f t="shared" ca="1" si="656"/>
        <v/>
      </c>
      <c r="G639" s="4" t="str">
        <f t="shared" ca="1" si="528"/>
        <v/>
      </c>
      <c r="H639" s="4" t="str">
        <f t="shared" si="529"/>
        <v/>
      </c>
      <c r="I639" s="4" t="str">
        <f t="shared" si="530"/>
        <v/>
      </c>
      <c r="J639" s="4" t="str">
        <f t="shared" si="531"/>
        <v/>
      </c>
      <c r="K639" s="25" t="str">
        <f t="shared" ca="1" si="532"/>
        <v/>
      </c>
      <c r="L639" s="21" t="str">
        <f t="shared" ca="1" si="533"/>
        <v/>
      </c>
      <c r="M639" s="21" t="str">
        <f>IF(SUMIFS('Input Sheet'!$F$3:$F$1001,'Input Sheet'!$B$3:$B$1001,$H639,'Input Sheet'!$E$3:$E$1001,M$4)=0,"",SUMIFS('Input Sheet'!$F$3:$F$1001,'Input Sheet'!$B$3:$B$1001,$H639,'Input Sheet'!$E$3:$E$1001,M$4))</f>
        <v/>
      </c>
      <c r="N639" s="21" t="str">
        <f>IF(SUMIFS('Input Sheet'!$F$3:$F$1001,'Input Sheet'!$B$3:$B$1001,$H639,'Input Sheet'!$E$3:$E$1001,N$4)=0,"",SUMIFS('Input Sheet'!$F$3:$F$1001,'Input Sheet'!$B$3:$B$1001,$H639,'Input Sheet'!$E$3:$E$1001,N$4))</f>
        <v/>
      </c>
      <c r="O639" s="21" t="str">
        <f>IF(SUMIFS('Input Sheet'!$F$3:$F$1001,'Input Sheet'!$B$3:$B$1001,$H639,'Input Sheet'!$E$3:$E$1001,O$4)=0,"",SUMIFS('Input Sheet'!$F$3:$F$1001,'Input Sheet'!$B$3:$B$1001,$H639,'Input Sheet'!$E$3:$E$1001,O$4))</f>
        <v/>
      </c>
      <c r="P639" s="21" t="str">
        <f>IF(SUMIFS('Input Sheet'!$F$3:$F$1001,'Input Sheet'!$B$3:$B$1001,$H639,'Input Sheet'!$E$3:$E$1001,P$4)=0,"",SUMIFS('Input Sheet'!$F$3:$F$1001,'Input Sheet'!$B$3:$B$1001,$H639,'Input Sheet'!$E$3:$E$1001,P$4))</f>
        <v/>
      </c>
      <c r="Q639" s="21" t="str">
        <f>IF(SUMIFS('Input Sheet'!$F$3:$F$1001,'Input Sheet'!$B$3:$B$1001,$H639,'Input Sheet'!$E$3:$E$1001,Q$4)=0,"",SUMIFS('Input Sheet'!$F$3:$F$1001,'Input Sheet'!$B$3:$B$1001,$H639,'Input Sheet'!$E$3:$E$1001,Q$4))</f>
        <v/>
      </c>
      <c r="R639" s="21" t="str">
        <f>IF(SUMIFS('Input Sheet'!$F$3:$F$1001,'Input Sheet'!$B$3:$B$1001,$H639,'Input Sheet'!$E$3:$E$1001,R$4)=0,"",SUMIFS('Input Sheet'!$F$3:$F$1001,'Input Sheet'!$B$3:$B$1001,$H639,'Input Sheet'!$E$3:$E$1001,R$4))</f>
        <v/>
      </c>
      <c r="S639" s="21" t="str">
        <f>IF(SUMIFS('Input Sheet'!$F$3:$F$1001,'Input Sheet'!$B$3:$B$1001,$H639,'Input Sheet'!$E$3:$E$1001,S$4)=0,"",SUMIFS('Input Sheet'!$F$3:$F$1001,'Input Sheet'!$B$3:$B$1001,$H639,'Input Sheet'!$E$3:$E$1001,S$4))</f>
        <v/>
      </c>
      <c r="T639" s="22">
        <v>634</v>
      </c>
    </row>
    <row r="640" spans="1:20" ht="14.25" customHeight="1" x14ac:dyDescent="0.3">
      <c r="A640" s="4" t="str">
        <f>IF('Input Sheet'!B637=0,"",'Input Sheet'!B637)</f>
        <v/>
      </c>
      <c r="B640" s="24" t="b">
        <f t="shared" si="526"/>
        <v>0</v>
      </c>
      <c r="C640" s="4">
        <f>SUMIF('Input Sheet'!B$3:B$1000,A640,'Input Sheet'!C$3:C$1000)</f>
        <v>0</v>
      </c>
      <c r="D640" s="4">
        <f>SUMIF('Input Sheet'!B$3:B$1000,A640,'Input Sheet'!D$3:D$1000)</f>
        <v>0</v>
      </c>
      <c r="E640" s="4" t="str">
        <f t="shared" ref="E640:F640" ca="1" si="657">IFERROR(RANK(K640,K$6:K$1004,1),"")</f>
        <v/>
      </c>
      <c r="F640" s="4" t="str">
        <f t="shared" ca="1" si="657"/>
        <v/>
      </c>
      <c r="G640" s="4" t="str">
        <f t="shared" ca="1" si="528"/>
        <v/>
      </c>
      <c r="H640" s="4" t="str">
        <f t="shared" si="529"/>
        <v/>
      </c>
      <c r="I640" s="4" t="str">
        <f t="shared" si="530"/>
        <v/>
      </c>
      <c r="J640" s="4" t="str">
        <f t="shared" si="531"/>
        <v/>
      </c>
      <c r="K640" s="25" t="str">
        <f t="shared" ca="1" si="532"/>
        <v/>
      </c>
      <c r="L640" s="21" t="str">
        <f t="shared" ca="1" si="533"/>
        <v/>
      </c>
      <c r="M640" s="21" t="str">
        <f>IF(SUMIFS('Input Sheet'!$F$3:$F$1001,'Input Sheet'!$B$3:$B$1001,$H640,'Input Sheet'!$E$3:$E$1001,M$4)=0,"",SUMIFS('Input Sheet'!$F$3:$F$1001,'Input Sheet'!$B$3:$B$1001,$H640,'Input Sheet'!$E$3:$E$1001,M$4))</f>
        <v/>
      </c>
      <c r="N640" s="21" t="str">
        <f>IF(SUMIFS('Input Sheet'!$F$3:$F$1001,'Input Sheet'!$B$3:$B$1001,$H640,'Input Sheet'!$E$3:$E$1001,N$4)=0,"",SUMIFS('Input Sheet'!$F$3:$F$1001,'Input Sheet'!$B$3:$B$1001,$H640,'Input Sheet'!$E$3:$E$1001,N$4))</f>
        <v/>
      </c>
      <c r="O640" s="21" t="str">
        <f>IF(SUMIFS('Input Sheet'!$F$3:$F$1001,'Input Sheet'!$B$3:$B$1001,$H640,'Input Sheet'!$E$3:$E$1001,O$4)=0,"",SUMIFS('Input Sheet'!$F$3:$F$1001,'Input Sheet'!$B$3:$B$1001,$H640,'Input Sheet'!$E$3:$E$1001,O$4))</f>
        <v/>
      </c>
      <c r="P640" s="21" t="str">
        <f>IF(SUMIFS('Input Sheet'!$F$3:$F$1001,'Input Sheet'!$B$3:$B$1001,$H640,'Input Sheet'!$E$3:$E$1001,P$4)=0,"",SUMIFS('Input Sheet'!$F$3:$F$1001,'Input Sheet'!$B$3:$B$1001,$H640,'Input Sheet'!$E$3:$E$1001,P$4))</f>
        <v/>
      </c>
      <c r="Q640" s="21" t="str">
        <f>IF(SUMIFS('Input Sheet'!$F$3:$F$1001,'Input Sheet'!$B$3:$B$1001,$H640,'Input Sheet'!$E$3:$E$1001,Q$4)=0,"",SUMIFS('Input Sheet'!$F$3:$F$1001,'Input Sheet'!$B$3:$B$1001,$H640,'Input Sheet'!$E$3:$E$1001,Q$4))</f>
        <v/>
      </c>
      <c r="R640" s="21" t="str">
        <f>IF(SUMIFS('Input Sheet'!$F$3:$F$1001,'Input Sheet'!$B$3:$B$1001,$H640,'Input Sheet'!$E$3:$E$1001,R$4)=0,"",SUMIFS('Input Sheet'!$F$3:$F$1001,'Input Sheet'!$B$3:$B$1001,$H640,'Input Sheet'!$E$3:$E$1001,R$4))</f>
        <v/>
      </c>
      <c r="S640" s="21" t="str">
        <f>IF(SUMIFS('Input Sheet'!$F$3:$F$1001,'Input Sheet'!$B$3:$B$1001,$H640,'Input Sheet'!$E$3:$E$1001,S$4)=0,"",SUMIFS('Input Sheet'!$F$3:$F$1001,'Input Sheet'!$B$3:$B$1001,$H640,'Input Sheet'!$E$3:$E$1001,S$4))</f>
        <v/>
      </c>
      <c r="T640" s="22">
        <v>635</v>
      </c>
    </row>
    <row r="641" spans="1:20" ht="14.25" customHeight="1" x14ac:dyDescent="0.3">
      <c r="A641" s="4" t="str">
        <f>IF('Input Sheet'!B638=0,"",'Input Sheet'!B638)</f>
        <v/>
      </c>
      <c r="B641" s="24" t="b">
        <f t="shared" si="526"/>
        <v>0</v>
      </c>
      <c r="C641" s="4">
        <f>SUMIF('Input Sheet'!B$3:B$1000,A641,'Input Sheet'!C$3:C$1000)</f>
        <v>0</v>
      </c>
      <c r="D641" s="4">
        <f>SUMIF('Input Sheet'!B$3:B$1000,A641,'Input Sheet'!D$3:D$1000)</f>
        <v>0</v>
      </c>
      <c r="E641" s="4" t="str">
        <f t="shared" ref="E641:F641" ca="1" si="658">IFERROR(RANK(K641,K$6:K$1004,1),"")</f>
        <v/>
      </c>
      <c r="F641" s="4" t="str">
        <f t="shared" ca="1" si="658"/>
        <v/>
      </c>
      <c r="G641" s="4" t="str">
        <f t="shared" ca="1" si="528"/>
        <v/>
      </c>
      <c r="H641" s="4" t="str">
        <f t="shared" si="529"/>
        <v/>
      </c>
      <c r="I641" s="4" t="str">
        <f t="shared" si="530"/>
        <v/>
      </c>
      <c r="J641" s="4" t="str">
        <f t="shared" si="531"/>
        <v/>
      </c>
      <c r="K641" s="25" t="str">
        <f t="shared" ca="1" si="532"/>
        <v/>
      </c>
      <c r="L641" s="21" t="str">
        <f t="shared" ca="1" si="533"/>
        <v/>
      </c>
      <c r="M641" s="21" t="str">
        <f>IF(SUMIFS('Input Sheet'!$F$3:$F$1001,'Input Sheet'!$B$3:$B$1001,$H641,'Input Sheet'!$E$3:$E$1001,M$4)=0,"",SUMIFS('Input Sheet'!$F$3:$F$1001,'Input Sheet'!$B$3:$B$1001,$H641,'Input Sheet'!$E$3:$E$1001,M$4))</f>
        <v/>
      </c>
      <c r="N641" s="21" t="str">
        <f>IF(SUMIFS('Input Sheet'!$F$3:$F$1001,'Input Sheet'!$B$3:$B$1001,$H641,'Input Sheet'!$E$3:$E$1001,N$4)=0,"",SUMIFS('Input Sheet'!$F$3:$F$1001,'Input Sheet'!$B$3:$B$1001,$H641,'Input Sheet'!$E$3:$E$1001,N$4))</f>
        <v/>
      </c>
      <c r="O641" s="21" t="str">
        <f>IF(SUMIFS('Input Sheet'!$F$3:$F$1001,'Input Sheet'!$B$3:$B$1001,$H641,'Input Sheet'!$E$3:$E$1001,O$4)=0,"",SUMIFS('Input Sheet'!$F$3:$F$1001,'Input Sheet'!$B$3:$B$1001,$H641,'Input Sheet'!$E$3:$E$1001,O$4))</f>
        <v/>
      </c>
      <c r="P641" s="21" t="str">
        <f>IF(SUMIFS('Input Sheet'!$F$3:$F$1001,'Input Sheet'!$B$3:$B$1001,$H641,'Input Sheet'!$E$3:$E$1001,P$4)=0,"",SUMIFS('Input Sheet'!$F$3:$F$1001,'Input Sheet'!$B$3:$B$1001,$H641,'Input Sheet'!$E$3:$E$1001,P$4))</f>
        <v/>
      </c>
      <c r="Q641" s="21" t="str">
        <f>IF(SUMIFS('Input Sheet'!$F$3:$F$1001,'Input Sheet'!$B$3:$B$1001,$H641,'Input Sheet'!$E$3:$E$1001,Q$4)=0,"",SUMIFS('Input Sheet'!$F$3:$F$1001,'Input Sheet'!$B$3:$B$1001,$H641,'Input Sheet'!$E$3:$E$1001,Q$4))</f>
        <v/>
      </c>
      <c r="R641" s="21" t="str">
        <f>IF(SUMIFS('Input Sheet'!$F$3:$F$1001,'Input Sheet'!$B$3:$B$1001,$H641,'Input Sheet'!$E$3:$E$1001,R$4)=0,"",SUMIFS('Input Sheet'!$F$3:$F$1001,'Input Sheet'!$B$3:$B$1001,$H641,'Input Sheet'!$E$3:$E$1001,R$4))</f>
        <v/>
      </c>
      <c r="S641" s="21" t="str">
        <f>IF(SUMIFS('Input Sheet'!$F$3:$F$1001,'Input Sheet'!$B$3:$B$1001,$H641,'Input Sheet'!$E$3:$E$1001,S$4)=0,"",SUMIFS('Input Sheet'!$F$3:$F$1001,'Input Sheet'!$B$3:$B$1001,$H641,'Input Sheet'!$E$3:$E$1001,S$4))</f>
        <v/>
      </c>
      <c r="T641" s="22">
        <v>636</v>
      </c>
    </row>
    <row r="642" spans="1:20" ht="14.25" customHeight="1" x14ac:dyDescent="0.3">
      <c r="A642" s="4" t="str">
        <f>IF('Input Sheet'!B639=0,"",'Input Sheet'!B639)</f>
        <v/>
      </c>
      <c r="B642" s="24" t="b">
        <f t="shared" si="526"/>
        <v>0</v>
      </c>
      <c r="C642" s="4">
        <f>SUMIF('Input Sheet'!B$3:B$1000,A642,'Input Sheet'!C$3:C$1000)</f>
        <v>0</v>
      </c>
      <c r="D642" s="4">
        <f>SUMIF('Input Sheet'!B$3:B$1000,A642,'Input Sheet'!D$3:D$1000)</f>
        <v>0</v>
      </c>
      <c r="E642" s="4" t="str">
        <f t="shared" ref="E642:F642" ca="1" si="659">IFERROR(RANK(K642,K$6:K$1004,1),"")</f>
        <v/>
      </c>
      <c r="F642" s="4" t="str">
        <f t="shared" ca="1" si="659"/>
        <v/>
      </c>
      <c r="G642" s="4" t="str">
        <f t="shared" ca="1" si="528"/>
        <v/>
      </c>
      <c r="H642" s="4" t="str">
        <f t="shared" si="529"/>
        <v/>
      </c>
      <c r="I642" s="4" t="str">
        <f t="shared" si="530"/>
        <v/>
      </c>
      <c r="J642" s="4" t="str">
        <f t="shared" si="531"/>
        <v/>
      </c>
      <c r="K642" s="25" t="str">
        <f t="shared" ca="1" si="532"/>
        <v/>
      </c>
      <c r="L642" s="21" t="str">
        <f t="shared" ca="1" si="533"/>
        <v/>
      </c>
      <c r="M642" s="21" t="str">
        <f>IF(SUMIFS('Input Sheet'!$F$3:$F$1001,'Input Sheet'!$B$3:$B$1001,$H642,'Input Sheet'!$E$3:$E$1001,M$4)=0,"",SUMIFS('Input Sheet'!$F$3:$F$1001,'Input Sheet'!$B$3:$B$1001,$H642,'Input Sheet'!$E$3:$E$1001,M$4))</f>
        <v/>
      </c>
      <c r="N642" s="21" t="str">
        <f>IF(SUMIFS('Input Sheet'!$F$3:$F$1001,'Input Sheet'!$B$3:$B$1001,$H642,'Input Sheet'!$E$3:$E$1001,N$4)=0,"",SUMIFS('Input Sheet'!$F$3:$F$1001,'Input Sheet'!$B$3:$B$1001,$H642,'Input Sheet'!$E$3:$E$1001,N$4))</f>
        <v/>
      </c>
      <c r="O642" s="21" t="str">
        <f>IF(SUMIFS('Input Sheet'!$F$3:$F$1001,'Input Sheet'!$B$3:$B$1001,$H642,'Input Sheet'!$E$3:$E$1001,O$4)=0,"",SUMIFS('Input Sheet'!$F$3:$F$1001,'Input Sheet'!$B$3:$B$1001,$H642,'Input Sheet'!$E$3:$E$1001,O$4))</f>
        <v/>
      </c>
      <c r="P642" s="21" t="str">
        <f>IF(SUMIFS('Input Sheet'!$F$3:$F$1001,'Input Sheet'!$B$3:$B$1001,$H642,'Input Sheet'!$E$3:$E$1001,P$4)=0,"",SUMIFS('Input Sheet'!$F$3:$F$1001,'Input Sheet'!$B$3:$B$1001,$H642,'Input Sheet'!$E$3:$E$1001,P$4))</f>
        <v/>
      </c>
      <c r="Q642" s="21" t="str">
        <f>IF(SUMIFS('Input Sheet'!$F$3:$F$1001,'Input Sheet'!$B$3:$B$1001,$H642,'Input Sheet'!$E$3:$E$1001,Q$4)=0,"",SUMIFS('Input Sheet'!$F$3:$F$1001,'Input Sheet'!$B$3:$B$1001,$H642,'Input Sheet'!$E$3:$E$1001,Q$4))</f>
        <v/>
      </c>
      <c r="R642" s="21" t="str">
        <f>IF(SUMIFS('Input Sheet'!$F$3:$F$1001,'Input Sheet'!$B$3:$B$1001,$H642,'Input Sheet'!$E$3:$E$1001,R$4)=0,"",SUMIFS('Input Sheet'!$F$3:$F$1001,'Input Sheet'!$B$3:$B$1001,$H642,'Input Sheet'!$E$3:$E$1001,R$4))</f>
        <v/>
      </c>
      <c r="S642" s="21" t="str">
        <f>IF(SUMIFS('Input Sheet'!$F$3:$F$1001,'Input Sheet'!$B$3:$B$1001,$H642,'Input Sheet'!$E$3:$E$1001,S$4)=0,"",SUMIFS('Input Sheet'!$F$3:$F$1001,'Input Sheet'!$B$3:$B$1001,$H642,'Input Sheet'!$E$3:$E$1001,S$4))</f>
        <v/>
      </c>
      <c r="T642" s="22">
        <v>637</v>
      </c>
    </row>
    <row r="643" spans="1:20" ht="14.25" customHeight="1" x14ac:dyDescent="0.3">
      <c r="A643" s="4" t="str">
        <f>IF('Input Sheet'!B640=0,"",'Input Sheet'!B640)</f>
        <v/>
      </c>
      <c r="B643" s="24" t="b">
        <f t="shared" si="526"/>
        <v>0</v>
      </c>
      <c r="C643" s="4">
        <f>SUMIF('Input Sheet'!B$3:B$1000,A643,'Input Sheet'!C$3:C$1000)</f>
        <v>0</v>
      </c>
      <c r="D643" s="4">
        <f>SUMIF('Input Sheet'!B$3:B$1000,A643,'Input Sheet'!D$3:D$1000)</f>
        <v>0</v>
      </c>
      <c r="E643" s="4" t="str">
        <f t="shared" ref="E643:F643" ca="1" si="660">IFERROR(RANK(K643,K$6:K$1004,1),"")</f>
        <v/>
      </c>
      <c r="F643" s="4" t="str">
        <f t="shared" ca="1" si="660"/>
        <v/>
      </c>
      <c r="G643" s="4" t="str">
        <f t="shared" ca="1" si="528"/>
        <v/>
      </c>
      <c r="H643" s="4" t="str">
        <f t="shared" si="529"/>
        <v/>
      </c>
      <c r="I643" s="4" t="str">
        <f t="shared" si="530"/>
        <v/>
      </c>
      <c r="J643" s="4" t="str">
        <f t="shared" si="531"/>
        <v/>
      </c>
      <c r="K643" s="25" t="str">
        <f t="shared" ca="1" si="532"/>
        <v/>
      </c>
      <c r="L643" s="21" t="str">
        <f t="shared" ca="1" si="533"/>
        <v/>
      </c>
      <c r="M643" s="21" t="str">
        <f>IF(SUMIFS('Input Sheet'!$F$3:$F$1001,'Input Sheet'!$B$3:$B$1001,$H643,'Input Sheet'!$E$3:$E$1001,M$4)=0,"",SUMIFS('Input Sheet'!$F$3:$F$1001,'Input Sheet'!$B$3:$B$1001,$H643,'Input Sheet'!$E$3:$E$1001,M$4))</f>
        <v/>
      </c>
      <c r="N643" s="21" t="str">
        <f>IF(SUMIFS('Input Sheet'!$F$3:$F$1001,'Input Sheet'!$B$3:$B$1001,$H643,'Input Sheet'!$E$3:$E$1001,N$4)=0,"",SUMIFS('Input Sheet'!$F$3:$F$1001,'Input Sheet'!$B$3:$B$1001,$H643,'Input Sheet'!$E$3:$E$1001,N$4))</f>
        <v/>
      </c>
      <c r="O643" s="21" t="str">
        <f>IF(SUMIFS('Input Sheet'!$F$3:$F$1001,'Input Sheet'!$B$3:$B$1001,$H643,'Input Sheet'!$E$3:$E$1001,O$4)=0,"",SUMIFS('Input Sheet'!$F$3:$F$1001,'Input Sheet'!$B$3:$B$1001,$H643,'Input Sheet'!$E$3:$E$1001,O$4))</f>
        <v/>
      </c>
      <c r="P643" s="21" t="str">
        <f>IF(SUMIFS('Input Sheet'!$F$3:$F$1001,'Input Sheet'!$B$3:$B$1001,$H643,'Input Sheet'!$E$3:$E$1001,P$4)=0,"",SUMIFS('Input Sheet'!$F$3:$F$1001,'Input Sheet'!$B$3:$B$1001,$H643,'Input Sheet'!$E$3:$E$1001,P$4))</f>
        <v/>
      </c>
      <c r="Q643" s="21" t="str">
        <f>IF(SUMIFS('Input Sheet'!$F$3:$F$1001,'Input Sheet'!$B$3:$B$1001,$H643,'Input Sheet'!$E$3:$E$1001,Q$4)=0,"",SUMIFS('Input Sheet'!$F$3:$F$1001,'Input Sheet'!$B$3:$B$1001,$H643,'Input Sheet'!$E$3:$E$1001,Q$4))</f>
        <v/>
      </c>
      <c r="R643" s="21" t="str">
        <f>IF(SUMIFS('Input Sheet'!$F$3:$F$1001,'Input Sheet'!$B$3:$B$1001,$H643,'Input Sheet'!$E$3:$E$1001,R$4)=0,"",SUMIFS('Input Sheet'!$F$3:$F$1001,'Input Sheet'!$B$3:$B$1001,$H643,'Input Sheet'!$E$3:$E$1001,R$4))</f>
        <v/>
      </c>
      <c r="S643" s="21" t="str">
        <f>IF(SUMIFS('Input Sheet'!$F$3:$F$1001,'Input Sheet'!$B$3:$B$1001,$H643,'Input Sheet'!$E$3:$E$1001,S$4)=0,"",SUMIFS('Input Sheet'!$F$3:$F$1001,'Input Sheet'!$B$3:$B$1001,$H643,'Input Sheet'!$E$3:$E$1001,S$4))</f>
        <v/>
      </c>
      <c r="T643" s="22">
        <v>638</v>
      </c>
    </row>
    <row r="644" spans="1:20" ht="14.25" customHeight="1" x14ac:dyDescent="0.3">
      <c r="A644" s="4" t="str">
        <f>IF('Input Sheet'!B641=0,"",'Input Sheet'!B641)</f>
        <v/>
      </c>
      <c r="B644" s="24" t="b">
        <f t="shared" si="526"/>
        <v>0</v>
      </c>
      <c r="C644" s="4">
        <f>SUMIF('Input Sheet'!B$3:B$1000,A644,'Input Sheet'!C$3:C$1000)</f>
        <v>0</v>
      </c>
      <c r="D644" s="4">
        <f>SUMIF('Input Sheet'!B$3:B$1000,A644,'Input Sheet'!D$3:D$1000)</f>
        <v>0</v>
      </c>
      <c r="E644" s="4" t="str">
        <f t="shared" ref="E644:F644" ca="1" si="661">IFERROR(RANK(K644,K$6:K$1004,1),"")</f>
        <v/>
      </c>
      <c r="F644" s="4" t="str">
        <f t="shared" ca="1" si="661"/>
        <v/>
      </c>
      <c r="G644" s="4" t="str">
        <f t="shared" ca="1" si="528"/>
        <v/>
      </c>
      <c r="H644" s="4" t="str">
        <f t="shared" si="529"/>
        <v/>
      </c>
      <c r="I644" s="4" t="str">
        <f t="shared" si="530"/>
        <v/>
      </c>
      <c r="J644" s="4" t="str">
        <f t="shared" si="531"/>
        <v/>
      </c>
      <c r="K644" s="25" t="str">
        <f t="shared" ca="1" si="532"/>
        <v/>
      </c>
      <c r="L644" s="21" t="str">
        <f t="shared" ca="1" si="533"/>
        <v/>
      </c>
      <c r="M644" s="21" t="str">
        <f>IF(SUMIFS('Input Sheet'!$F$3:$F$1001,'Input Sheet'!$B$3:$B$1001,$H644,'Input Sheet'!$E$3:$E$1001,M$4)=0,"",SUMIFS('Input Sheet'!$F$3:$F$1001,'Input Sheet'!$B$3:$B$1001,$H644,'Input Sheet'!$E$3:$E$1001,M$4))</f>
        <v/>
      </c>
      <c r="N644" s="21" t="str">
        <f>IF(SUMIFS('Input Sheet'!$F$3:$F$1001,'Input Sheet'!$B$3:$B$1001,$H644,'Input Sheet'!$E$3:$E$1001,N$4)=0,"",SUMIFS('Input Sheet'!$F$3:$F$1001,'Input Sheet'!$B$3:$B$1001,$H644,'Input Sheet'!$E$3:$E$1001,N$4))</f>
        <v/>
      </c>
      <c r="O644" s="21" t="str">
        <f>IF(SUMIFS('Input Sheet'!$F$3:$F$1001,'Input Sheet'!$B$3:$B$1001,$H644,'Input Sheet'!$E$3:$E$1001,O$4)=0,"",SUMIFS('Input Sheet'!$F$3:$F$1001,'Input Sheet'!$B$3:$B$1001,$H644,'Input Sheet'!$E$3:$E$1001,O$4))</f>
        <v/>
      </c>
      <c r="P644" s="21" t="str">
        <f>IF(SUMIFS('Input Sheet'!$F$3:$F$1001,'Input Sheet'!$B$3:$B$1001,$H644,'Input Sheet'!$E$3:$E$1001,P$4)=0,"",SUMIFS('Input Sheet'!$F$3:$F$1001,'Input Sheet'!$B$3:$B$1001,$H644,'Input Sheet'!$E$3:$E$1001,P$4))</f>
        <v/>
      </c>
      <c r="Q644" s="21" t="str">
        <f>IF(SUMIFS('Input Sheet'!$F$3:$F$1001,'Input Sheet'!$B$3:$B$1001,$H644,'Input Sheet'!$E$3:$E$1001,Q$4)=0,"",SUMIFS('Input Sheet'!$F$3:$F$1001,'Input Sheet'!$B$3:$B$1001,$H644,'Input Sheet'!$E$3:$E$1001,Q$4))</f>
        <v/>
      </c>
      <c r="R644" s="21" t="str">
        <f>IF(SUMIFS('Input Sheet'!$F$3:$F$1001,'Input Sheet'!$B$3:$B$1001,$H644,'Input Sheet'!$E$3:$E$1001,R$4)=0,"",SUMIFS('Input Sheet'!$F$3:$F$1001,'Input Sheet'!$B$3:$B$1001,$H644,'Input Sheet'!$E$3:$E$1001,R$4))</f>
        <v/>
      </c>
      <c r="S644" s="21" t="str">
        <f>IF(SUMIFS('Input Sheet'!$F$3:$F$1001,'Input Sheet'!$B$3:$B$1001,$H644,'Input Sheet'!$E$3:$E$1001,S$4)=0,"",SUMIFS('Input Sheet'!$F$3:$F$1001,'Input Sheet'!$B$3:$B$1001,$H644,'Input Sheet'!$E$3:$E$1001,S$4))</f>
        <v/>
      </c>
      <c r="T644" s="22">
        <v>639</v>
      </c>
    </row>
    <row r="645" spans="1:20" ht="14.25" customHeight="1" x14ac:dyDescent="0.3">
      <c r="A645" s="4" t="str">
        <f>IF('Input Sheet'!B642=0,"",'Input Sheet'!B642)</f>
        <v/>
      </c>
      <c r="B645" s="24" t="b">
        <f t="shared" si="526"/>
        <v>0</v>
      </c>
      <c r="C645" s="4">
        <f>SUMIF('Input Sheet'!B$3:B$1000,A645,'Input Sheet'!C$3:C$1000)</f>
        <v>0</v>
      </c>
      <c r="D645" s="4">
        <f>SUMIF('Input Sheet'!B$3:B$1000,A645,'Input Sheet'!D$3:D$1000)</f>
        <v>0</v>
      </c>
      <c r="E645" s="4" t="str">
        <f t="shared" ref="E645:F645" ca="1" si="662">IFERROR(RANK(K645,K$6:K$1004,1),"")</f>
        <v/>
      </c>
      <c r="F645" s="4" t="str">
        <f t="shared" ca="1" si="662"/>
        <v/>
      </c>
      <c r="G645" s="4" t="str">
        <f t="shared" ca="1" si="528"/>
        <v/>
      </c>
      <c r="H645" s="4" t="str">
        <f t="shared" si="529"/>
        <v/>
      </c>
      <c r="I645" s="4" t="str">
        <f t="shared" si="530"/>
        <v/>
      </c>
      <c r="J645" s="4" t="str">
        <f t="shared" si="531"/>
        <v/>
      </c>
      <c r="K645" s="25" t="str">
        <f t="shared" ca="1" si="532"/>
        <v/>
      </c>
      <c r="L645" s="21" t="str">
        <f t="shared" ca="1" si="533"/>
        <v/>
      </c>
      <c r="M645" s="21" t="str">
        <f>IF(SUMIFS('Input Sheet'!$F$3:$F$1001,'Input Sheet'!$B$3:$B$1001,$H645,'Input Sheet'!$E$3:$E$1001,M$4)=0,"",SUMIFS('Input Sheet'!$F$3:$F$1001,'Input Sheet'!$B$3:$B$1001,$H645,'Input Sheet'!$E$3:$E$1001,M$4))</f>
        <v/>
      </c>
      <c r="N645" s="21" t="str">
        <f>IF(SUMIFS('Input Sheet'!$F$3:$F$1001,'Input Sheet'!$B$3:$B$1001,$H645,'Input Sheet'!$E$3:$E$1001,N$4)=0,"",SUMIFS('Input Sheet'!$F$3:$F$1001,'Input Sheet'!$B$3:$B$1001,$H645,'Input Sheet'!$E$3:$E$1001,N$4))</f>
        <v/>
      </c>
      <c r="O645" s="21" t="str">
        <f>IF(SUMIFS('Input Sheet'!$F$3:$F$1001,'Input Sheet'!$B$3:$B$1001,$H645,'Input Sheet'!$E$3:$E$1001,O$4)=0,"",SUMIFS('Input Sheet'!$F$3:$F$1001,'Input Sheet'!$B$3:$B$1001,$H645,'Input Sheet'!$E$3:$E$1001,O$4))</f>
        <v/>
      </c>
      <c r="P645" s="21" t="str">
        <f>IF(SUMIFS('Input Sheet'!$F$3:$F$1001,'Input Sheet'!$B$3:$B$1001,$H645,'Input Sheet'!$E$3:$E$1001,P$4)=0,"",SUMIFS('Input Sheet'!$F$3:$F$1001,'Input Sheet'!$B$3:$B$1001,$H645,'Input Sheet'!$E$3:$E$1001,P$4))</f>
        <v/>
      </c>
      <c r="Q645" s="21" t="str">
        <f>IF(SUMIFS('Input Sheet'!$F$3:$F$1001,'Input Sheet'!$B$3:$B$1001,$H645,'Input Sheet'!$E$3:$E$1001,Q$4)=0,"",SUMIFS('Input Sheet'!$F$3:$F$1001,'Input Sheet'!$B$3:$B$1001,$H645,'Input Sheet'!$E$3:$E$1001,Q$4))</f>
        <v/>
      </c>
      <c r="R645" s="21" t="str">
        <f>IF(SUMIFS('Input Sheet'!$F$3:$F$1001,'Input Sheet'!$B$3:$B$1001,$H645,'Input Sheet'!$E$3:$E$1001,R$4)=0,"",SUMIFS('Input Sheet'!$F$3:$F$1001,'Input Sheet'!$B$3:$B$1001,$H645,'Input Sheet'!$E$3:$E$1001,R$4))</f>
        <v/>
      </c>
      <c r="S645" s="21" t="str">
        <f>IF(SUMIFS('Input Sheet'!$F$3:$F$1001,'Input Sheet'!$B$3:$B$1001,$H645,'Input Sheet'!$E$3:$E$1001,S$4)=0,"",SUMIFS('Input Sheet'!$F$3:$F$1001,'Input Sheet'!$B$3:$B$1001,$H645,'Input Sheet'!$E$3:$E$1001,S$4))</f>
        <v/>
      </c>
      <c r="T645" s="22">
        <v>640</v>
      </c>
    </row>
    <row r="646" spans="1:20" ht="14.25" customHeight="1" x14ac:dyDescent="0.3">
      <c r="A646" s="4" t="str">
        <f>IF('Input Sheet'!B643=0,"",'Input Sheet'!B643)</f>
        <v/>
      </c>
      <c r="B646" s="24" t="b">
        <f t="shared" si="526"/>
        <v>0</v>
      </c>
      <c r="C646" s="4">
        <f>SUMIF('Input Sheet'!B$3:B$1000,A646,'Input Sheet'!C$3:C$1000)</f>
        <v>0</v>
      </c>
      <c r="D646" s="4">
        <f>SUMIF('Input Sheet'!B$3:B$1000,A646,'Input Sheet'!D$3:D$1000)</f>
        <v>0</v>
      </c>
      <c r="E646" s="4" t="str">
        <f t="shared" ref="E646:F646" ca="1" si="663">IFERROR(RANK(K646,K$6:K$1004,1),"")</f>
        <v/>
      </c>
      <c r="F646" s="4" t="str">
        <f t="shared" ca="1" si="663"/>
        <v/>
      </c>
      <c r="G646" s="4" t="str">
        <f t="shared" ca="1" si="528"/>
        <v/>
      </c>
      <c r="H646" s="4" t="str">
        <f t="shared" si="529"/>
        <v/>
      </c>
      <c r="I646" s="4" t="str">
        <f t="shared" si="530"/>
        <v/>
      </c>
      <c r="J646" s="4" t="str">
        <f t="shared" si="531"/>
        <v/>
      </c>
      <c r="K646" s="25" t="str">
        <f t="shared" ca="1" si="532"/>
        <v/>
      </c>
      <c r="L646" s="21" t="str">
        <f t="shared" ca="1" si="533"/>
        <v/>
      </c>
      <c r="M646" s="21" t="str">
        <f>IF(SUMIFS('Input Sheet'!$F$3:$F$1001,'Input Sheet'!$B$3:$B$1001,$H646,'Input Sheet'!$E$3:$E$1001,M$4)=0,"",SUMIFS('Input Sheet'!$F$3:$F$1001,'Input Sheet'!$B$3:$B$1001,$H646,'Input Sheet'!$E$3:$E$1001,M$4))</f>
        <v/>
      </c>
      <c r="N646" s="21" t="str">
        <f>IF(SUMIFS('Input Sheet'!$F$3:$F$1001,'Input Sheet'!$B$3:$B$1001,$H646,'Input Sheet'!$E$3:$E$1001,N$4)=0,"",SUMIFS('Input Sheet'!$F$3:$F$1001,'Input Sheet'!$B$3:$B$1001,$H646,'Input Sheet'!$E$3:$E$1001,N$4))</f>
        <v/>
      </c>
      <c r="O646" s="21" t="str">
        <f>IF(SUMIFS('Input Sheet'!$F$3:$F$1001,'Input Sheet'!$B$3:$B$1001,$H646,'Input Sheet'!$E$3:$E$1001,O$4)=0,"",SUMIFS('Input Sheet'!$F$3:$F$1001,'Input Sheet'!$B$3:$B$1001,$H646,'Input Sheet'!$E$3:$E$1001,O$4))</f>
        <v/>
      </c>
      <c r="P646" s="21" t="str">
        <f>IF(SUMIFS('Input Sheet'!$F$3:$F$1001,'Input Sheet'!$B$3:$B$1001,$H646,'Input Sheet'!$E$3:$E$1001,P$4)=0,"",SUMIFS('Input Sheet'!$F$3:$F$1001,'Input Sheet'!$B$3:$B$1001,$H646,'Input Sheet'!$E$3:$E$1001,P$4))</f>
        <v/>
      </c>
      <c r="Q646" s="21" t="str">
        <f>IF(SUMIFS('Input Sheet'!$F$3:$F$1001,'Input Sheet'!$B$3:$B$1001,$H646,'Input Sheet'!$E$3:$E$1001,Q$4)=0,"",SUMIFS('Input Sheet'!$F$3:$F$1001,'Input Sheet'!$B$3:$B$1001,$H646,'Input Sheet'!$E$3:$E$1001,Q$4))</f>
        <v/>
      </c>
      <c r="R646" s="21" t="str">
        <f>IF(SUMIFS('Input Sheet'!$F$3:$F$1001,'Input Sheet'!$B$3:$B$1001,$H646,'Input Sheet'!$E$3:$E$1001,R$4)=0,"",SUMIFS('Input Sheet'!$F$3:$F$1001,'Input Sheet'!$B$3:$B$1001,$H646,'Input Sheet'!$E$3:$E$1001,R$4))</f>
        <v/>
      </c>
      <c r="S646" s="21" t="str">
        <f>IF(SUMIFS('Input Sheet'!$F$3:$F$1001,'Input Sheet'!$B$3:$B$1001,$H646,'Input Sheet'!$E$3:$E$1001,S$4)=0,"",SUMIFS('Input Sheet'!$F$3:$F$1001,'Input Sheet'!$B$3:$B$1001,$H646,'Input Sheet'!$E$3:$E$1001,S$4))</f>
        <v/>
      </c>
      <c r="T646" s="22">
        <v>641</v>
      </c>
    </row>
    <row r="647" spans="1:20" ht="14.25" customHeight="1" x14ac:dyDescent="0.3">
      <c r="A647" s="4" t="str">
        <f>IF('Input Sheet'!B644=0,"",'Input Sheet'!B644)</f>
        <v/>
      </c>
      <c r="B647" s="24" t="b">
        <f t="shared" si="526"/>
        <v>0</v>
      </c>
      <c r="C647" s="4">
        <f>SUMIF('Input Sheet'!B$3:B$1000,A647,'Input Sheet'!C$3:C$1000)</f>
        <v>0</v>
      </c>
      <c r="D647" s="4">
        <f>SUMIF('Input Sheet'!B$3:B$1000,A647,'Input Sheet'!D$3:D$1000)</f>
        <v>0</v>
      </c>
      <c r="E647" s="4" t="str">
        <f t="shared" ref="E647:F647" ca="1" si="664">IFERROR(RANK(K647,K$6:K$1004,1),"")</f>
        <v/>
      </c>
      <c r="F647" s="4" t="str">
        <f t="shared" ca="1" si="664"/>
        <v/>
      </c>
      <c r="G647" s="4" t="str">
        <f t="shared" ca="1" si="528"/>
        <v/>
      </c>
      <c r="H647" s="4" t="str">
        <f t="shared" si="529"/>
        <v/>
      </c>
      <c r="I647" s="4" t="str">
        <f t="shared" si="530"/>
        <v/>
      </c>
      <c r="J647" s="4" t="str">
        <f t="shared" si="531"/>
        <v/>
      </c>
      <c r="K647" s="25" t="str">
        <f t="shared" ca="1" si="532"/>
        <v/>
      </c>
      <c r="L647" s="21" t="str">
        <f t="shared" ca="1" si="533"/>
        <v/>
      </c>
      <c r="M647" s="21" t="str">
        <f>IF(SUMIFS('Input Sheet'!$F$3:$F$1001,'Input Sheet'!$B$3:$B$1001,$H647,'Input Sheet'!$E$3:$E$1001,M$4)=0,"",SUMIFS('Input Sheet'!$F$3:$F$1001,'Input Sheet'!$B$3:$B$1001,$H647,'Input Sheet'!$E$3:$E$1001,M$4))</f>
        <v/>
      </c>
      <c r="N647" s="21" t="str">
        <f>IF(SUMIFS('Input Sheet'!$F$3:$F$1001,'Input Sheet'!$B$3:$B$1001,$H647,'Input Sheet'!$E$3:$E$1001,N$4)=0,"",SUMIFS('Input Sheet'!$F$3:$F$1001,'Input Sheet'!$B$3:$B$1001,$H647,'Input Sheet'!$E$3:$E$1001,N$4))</f>
        <v/>
      </c>
      <c r="O647" s="21" t="str">
        <f>IF(SUMIFS('Input Sheet'!$F$3:$F$1001,'Input Sheet'!$B$3:$B$1001,$H647,'Input Sheet'!$E$3:$E$1001,O$4)=0,"",SUMIFS('Input Sheet'!$F$3:$F$1001,'Input Sheet'!$B$3:$B$1001,$H647,'Input Sheet'!$E$3:$E$1001,O$4))</f>
        <v/>
      </c>
      <c r="P647" s="21" t="str">
        <f>IF(SUMIFS('Input Sheet'!$F$3:$F$1001,'Input Sheet'!$B$3:$B$1001,$H647,'Input Sheet'!$E$3:$E$1001,P$4)=0,"",SUMIFS('Input Sheet'!$F$3:$F$1001,'Input Sheet'!$B$3:$B$1001,$H647,'Input Sheet'!$E$3:$E$1001,P$4))</f>
        <v/>
      </c>
      <c r="Q647" s="21" t="str">
        <f>IF(SUMIFS('Input Sheet'!$F$3:$F$1001,'Input Sheet'!$B$3:$B$1001,$H647,'Input Sheet'!$E$3:$E$1001,Q$4)=0,"",SUMIFS('Input Sheet'!$F$3:$F$1001,'Input Sheet'!$B$3:$B$1001,$H647,'Input Sheet'!$E$3:$E$1001,Q$4))</f>
        <v/>
      </c>
      <c r="R647" s="21" t="str">
        <f>IF(SUMIFS('Input Sheet'!$F$3:$F$1001,'Input Sheet'!$B$3:$B$1001,$H647,'Input Sheet'!$E$3:$E$1001,R$4)=0,"",SUMIFS('Input Sheet'!$F$3:$F$1001,'Input Sheet'!$B$3:$B$1001,$H647,'Input Sheet'!$E$3:$E$1001,R$4))</f>
        <v/>
      </c>
      <c r="S647" s="21" t="str">
        <f>IF(SUMIFS('Input Sheet'!$F$3:$F$1001,'Input Sheet'!$B$3:$B$1001,$H647,'Input Sheet'!$E$3:$E$1001,S$4)=0,"",SUMIFS('Input Sheet'!$F$3:$F$1001,'Input Sheet'!$B$3:$B$1001,$H647,'Input Sheet'!$E$3:$E$1001,S$4))</f>
        <v/>
      </c>
      <c r="T647" s="22">
        <v>642</v>
      </c>
    </row>
    <row r="648" spans="1:20" ht="14.25" customHeight="1" x14ac:dyDescent="0.3">
      <c r="A648" s="4" t="str">
        <f>IF('Input Sheet'!B645=0,"",'Input Sheet'!B645)</f>
        <v/>
      </c>
      <c r="B648" s="24" t="b">
        <f t="shared" si="526"/>
        <v>0</v>
      </c>
      <c r="C648" s="4">
        <f>SUMIF('Input Sheet'!B$3:B$1000,A648,'Input Sheet'!C$3:C$1000)</f>
        <v>0</v>
      </c>
      <c r="D648" s="4">
        <f>SUMIF('Input Sheet'!B$3:B$1000,A648,'Input Sheet'!D$3:D$1000)</f>
        <v>0</v>
      </c>
      <c r="E648" s="4" t="str">
        <f t="shared" ref="E648:F648" ca="1" si="665">IFERROR(RANK(K648,K$6:K$1004,1),"")</f>
        <v/>
      </c>
      <c r="F648" s="4" t="str">
        <f t="shared" ca="1" si="665"/>
        <v/>
      </c>
      <c r="G648" s="4" t="str">
        <f t="shared" ca="1" si="528"/>
        <v/>
      </c>
      <c r="H648" s="4" t="str">
        <f t="shared" si="529"/>
        <v/>
      </c>
      <c r="I648" s="4" t="str">
        <f t="shared" si="530"/>
        <v/>
      </c>
      <c r="J648" s="4" t="str">
        <f t="shared" si="531"/>
        <v/>
      </c>
      <c r="K648" s="25" t="str">
        <f t="shared" ca="1" si="532"/>
        <v/>
      </c>
      <c r="L648" s="21" t="str">
        <f t="shared" ca="1" si="533"/>
        <v/>
      </c>
      <c r="M648" s="21" t="str">
        <f>IF(SUMIFS('Input Sheet'!$F$3:$F$1001,'Input Sheet'!$B$3:$B$1001,$H648,'Input Sheet'!$E$3:$E$1001,M$4)=0,"",SUMIFS('Input Sheet'!$F$3:$F$1001,'Input Sheet'!$B$3:$B$1001,$H648,'Input Sheet'!$E$3:$E$1001,M$4))</f>
        <v/>
      </c>
      <c r="N648" s="21" t="str">
        <f>IF(SUMIFS('Input Sheet'!$F$3:$F$1001,'Input Sheet'!$B$3:$B$1001,$H648,'Input Sheet'!$E$3:$E$1001,N$4)=0,"",SUMIFS('Input Sheet'!$F$3:$F$1001,'Input Sheet'!$B$3:$B$1001,$H648,'Input Sheet'!$E$3:$E$1001,N$4))</f>
        <v/>
      </c>
      <c r="O648" s="21" t="str">
        <f>IF(SUMIFS('Input Sheet'!$F$3:$F$1001,'Input Sheet'!$B$3:$B$1001,$H648,'Input Sheet'!$E$3:$E$1001,O$4)=0,"",SUMIFS('Input Sheet'!$F$3:$F$1001,'Input Sheet'!$B$3:$B$1001,$H648,'Input Sheet'!$E$3:$E$1001,O$4))</f>
        <v/>
      </c>
      <c r="P648" s="21" t="str">
        <f>IF(SUMIFS('Input Sheet'!$F$3:$F$1001,'Input Sheet'!$B$3:$B$1001,$H648,'Input Sheet'!$E$3:$E$1001,P$4)=0,"",SUMIFS('Input Sheet'!$F$3:$F$1001,'Input Sheet'!$B$3:$B$1001,$H648,'Input Sheet'!$E$3:$E$1001,P$4))</f>
        <v/>
      </c>
      <c r="Q648" s="21" t="str">
        <f>IF(SUMIFS('Input Sheet'!$F$3:$F$1001,'Input Sheet'!$B$3:$B$1001,$H648,'Input Sheet'!$E$3:$E$1001,Q$4)=0,"",SUMIFS('Input Sheet'!$F$3:$F$1001,'Input Sheet'!$B$3:$B$1001,$H648,'Input Sheet'!$E$3:$E$1001,Q$4))</f>
        <v/>
      </c>
      <c r="R648" s="21" t="str">
        <f>IF(SUMIFS('Input Sheet'!$F$3:$F$1001,'Input Sheet'!$B$3:$B$1001,$H648,'Input Sheet'!$E$3:$E$1001,R$4)=0,"",SUMIFS('Input Sheet'!$F$3:$F$1001,'Input Sheet'!$B$3:$B$1001,$H648,'Input Sheet'!$E$3:$E$1001,R$4))</f>
        <v/>
      </c>
      <c r="S648" s="21" t="str">
        <f>IF(SUMIFS('Input Sheet'!$F$3:$F$1001,'Input Sheet'!$B$3:$B$1001,$H648,'Input Sheet'!$E$3:$E$1001,S$4)=0,"",SUMIFS('Input Sheet'!$F$3:$F$1001,'Input Sheet'!$B$3:$B$1001,$H648,'Input Sheet'!$E$3:$E$1001,S$4))</f>
        <v/>
      </c>
      <c r="T648" s="22">
        <v>643</v>
      </c>
    </row>
    <row r="649" spans="1:20" ht="14.25" customHeight="1" x14ac:dyDescent="0.3">
      <c r="A649" s="4" t="str">
        <f>IF('Input Sheet'!B646=0,"",'Input Sheet'!B646)</f>
        <v/>
      </c>
      <c r="B649" s="24" t="b">
        <f t="shared" si="526"/>
        <v>0</v>
      </c>
      <c r="C649" s="4">
        <f>SUMIF('Input Sheet'!B$3:B$1000,A649,'Input Sheet'!C$3:C$1000)</f>
        <v>0</v>
      </c>
      <c r="D649" s="4">
        <f>SUMIF('Input Sheet'!B$3:B$1000,A649,'Input Sheet'!D$3:D$1000)</f>
        <v>0</v>
      </c>
      <c r="E649" s="4" t="str">
        <f t="shared" ref="E649:F649" ca="1" si="666">IFERROR(RANK(K649,K$6:K$1004,1),"")</f>
        <v/>
      </c>
      <c r="F649" s="4" t="str">
        <f t="shared" ca="1" si="666"/>
        <v/>
      </c>
      <c r="G649" s="4" t="str">
        <f t="shared" ca="1" si="528"/>
        <v/>
      </c>
      <c r="H649" s="4" t="str">
        <f t="shared" si="529"/>
        <v/>
      </c>
      <c r="I649" s="4" t="str">
        <f t="shared" si="530"/>
        <v/>
      </c>
      <c r="J649" s="4" t="str">
        <f t="shared" si="531"/>
        <v/>
      </c>
      <c r="K649" s="25" t="str">
        <f t="shared" ca="1" si="532"/>
        <v/>
      </c>
      <c r="L649" s="21" t="str">
        <f t="shared" ca="1" si="533"/>
        <v/>
      </c>
      <c r="M649" s="21" t="str">
        <f>IF(SUMIFS('Input Sheet'!$F$3:$F$1001,'Input Sheet'!$B$3:$B$1001,$H649,'Input Sheet'!$E$3:$E$1001,M$4)=0,"",SUMIFS('Input Sheet'!$F$3:$F$1001,'Input Sheet'!$B$3:$B$1001,$H649,'Input Sheet'!$E$3:$E$1001,M$4))</f>
        <v/>
      </c>
      <c r="N649" s="21" t="str">
        <f>IF(SUMIFS('Input Sheet'!$F$3:$F$1001,'Input Sheet'!$B$3:$B$1001,$H649,'Input Sheet'!$E$3:$E$1001,N$4)=0,"",SUMIFS('Input Sheet'!$F$3:$F$1001,'Input Sheet'!$B$3:$B$1001,$H649,'Input Sheet'!$E$3:$E$1001,N$4))</f>
        <v/>
      </c>
      <c r="O649" s="21" t="str">
        <f>IF(SUMIFS('Input Sheet'!$F$3:$F$1001,'Input Sheet'!$B$3:$B$1001,$H649,'Input Sheet'!$E$3:$E$1001,O$4)=0,"",SUMIFS('Input Sheet'!$F$3:$F$1001,'Input Sheet'!$B$3:$B$1001,$H649,'Input Sheet'!$E$3:$E$1001,O$4))</f>
        <v/>
      </c>
      <c r="P649" s="21" t="str">
        <f>IF(SUMIFS('Input Sheet'!$F$3:$F$1001,'Input Sheet'!$B$3:$B$1001,$H649,'Input Sheet'!$E$3:$E$1001,P$4)=0,"",SUMIFS('Input Sheet'!$F$3:$F$1001,'Input Sheet'!$B$3:$B$1001,$H649,'Input Sheet'!$E$3:$E$1001,P$4))</f>
        <v/>
      </c>
      <c r="Q649" s="21" t="str">
        <f>IF(SUMIFS('Input Sheet'!$F$3:$F$1001,'Input Sheet'!$B$3:$B$1001,$H649,'Input Sheet'!$E$3:$E$1001,Q$4)=0,"",SUMIFS('Input Sheet'!$F$3:$F$1001,'Input Sheet'!$B$3:$B$1001,$H649,'Input Sheet'!$E$3:$E$1001,Q$4))</f>
        <v/>
      </c>
      <c r="R649" s="21" t="str">
        <f>IF(SUMIFS('Input Sheet'!$F$3:$F$1001,'Input Sheet'!$B$3:$B$1001,$H649,'Input Sheet'!$E$3:$E$1001,R$4)=0,"",SUMIFS('Input Sheet'!$F$3:$F$1001,'Input Sheet'!$B$3:$B$1001,$H649,'Input Sheet'!$E$3:$E$1001,R$4))</f>
        <v/>
      </c>
      <c r="S649" s="21" t="str">
        <f>IF(SUMIFS('Input Sheet'!$F$3:$F$1001,'Input Sheet'!$B$3:$B$1001,$H649,'Input Sheet'!$E$3:$E$1001,S$4)=0,"",SUMIFS('Input Sheet'!$F$3:$F$1001,'Input Sheet'!$B$3:$B$1001,$H649,'Input Sheet'!$E$3:$E$1001,S$4))</f>
        <v/>
      </c>
      <c r="T649" s="22">
        <v>644</v>
      </c>
    </row>
    <row r="650" spans="1:20" ht="14.25" customHeight="1" x14ac:dyDescent="0.3">
      <c r="A650" s="4" t="str">
        <f>IF('Input Sheet'!B647=0,"",'Input Sheet'!B647)</f>
        <v/>
      </c>
      <c r="B650" s="24" t="b">
        <f t="shared" si="526"/>
        <v>0</v>
      </c>
      <c r="C650" s="4">
        <f>SUMIF('Input Sheet'!B$3:B$1000,A650,'Input Sheet'!C$3:C$1000)</f>
        <v>0</v>
      </c>
      <c r="D650" s="4">
        <f>SUMIF('Input Sheet'!B$3:B$1000,A650,'Input Sheet'!D$3:D$1000)</f>
        <v>0</v>
      </c>
      <c r="E650" s="4" t="str">
        <f t="shared" ref="E650:F650" ca="1" si="667">IFERROR(RANK(K650,K$6:K$1004,1),"")</f>
        <v/>
      </c>
      <c r="F650" s="4" t="str">
        <f t="shared" ca="1" si="667"/>
        <v/>
      </c>
      <c r="G650" s="4" t="str">
        <f t="shared" ca="1" si="528"/>
        <v/>
      </c>
      <c r="H650" s="4" t="str">
        <f t="shared" si="529"/>
        <v/>
      </c>
      <c r="I650" s="4" t="str">
        <f t="shared" si="530"/>
        <v/>
      </c>
      <c r="J650" s="4" t="str">
        <f t="shared" si="531"/>
        <v/>
      </c>
      <c r="K650" s="25" t="str">
        <f t="shared" ca="1" si="532"/>
        <v/>
      </c>
      <c r="L650" s="21" t="str">
        <f t="shared" ca="1" si="533"/>
        <v/>
      </c>
      <c r="M650" s="21" t="str">
        <f>IF(SUMIFS('Input Sheet'!$F$3:$F$1001,'Input Sheet'!$B$3:$B$1001,$H650,'Input Sheet'!$E$3:$E$1001,M$4)=0,"",SUMIFS('Input Sheet'!$F$3:$F$1001,'Input Sheet'!$B$3:$B$1001,$H650,'Input Sheet'!$E$3:$E$1001,M$4))</f>
        <v/>
      </c>
      <c r="N650" s="21" t="str">
        <f>IF(SUMIFS('Input Sheet'!$F$3:$F$1001,'Input Sheet'!$B$3:$B$1001,$H650,'Input Sheet'!$E$3:$E$1001,N$4)=0,"",SUMIFS('Input Sheet'!$F$3:$F$1001,'Input Sheet'!$B$3:$B$1001,$H650,'Input Sheet'!$E$3:$E$1001,N$4))</f>
        <v/>
      </c>
      <c r="O650" s="21" t="str">
        <f>IF(SUMIFS('Input Sheet'!$F$3:$F$1001,'Input Sheet'!$B$3:$B$1001,$H650,'Input Sheet'!$E$3:$E$1001,O$4)=0,"",SUMIFS('Input Sheet'!$F$3:$F$1001,'Input Sheet'!$B$3:$B$1001,$H650,'Input Sheet'!$E$3:$E$1001,O$4))</f>
        <v/>
      </c>
      <c r="P650" s="21" t="str">
        <f>IF(SUMIFS('Input Sheet'!$F$3:$F$1001,'Input Sheet'!$B$3:$B$1001,$H650,'Input Sheet'!$E$3:$E$1001,P$4)=0,"",SUMIFS('Input Sheet'!$F$3:$F$1001,'Input Sheet'!$B$3:$B$1001,$H650,'Input Sheet'!$E$3:$E$1001,P$4))</f>
        <v/>
      </c>
      <c r="Q650" s="21" t="str">
        <f>IF(SUMIFS('Input Sheet'!$F$3:$F$1001,'Input Sheet'!$B$3:$B$1001,$H650,'Input Sheet'!$E$3:$E$1001,Q$4)=0,"",SUMIFS('Input Sheet'!$F$3:$F$1001,'Input Sheet'!$B$3:$B$1001,$H650,'Input Sheet'!$E$3:$E$1001,Q$4))</f>
        <v/>
      </c>
      <c r="R650" s="21" t="str">
        <f>IF(SUMIFS('Input Sheet'!$F$3:$F$1001,'Input Sheet'!$B$3:$B$1001,$H650,'Input Sheet'!$E$3:$E$1001,R$4)=0,"",SUMIFS('Input Sheet'!$F$3:$F$1001,'Input Sheet'!$B$3:$B$1001,$H650,'Input Sheet'!$E$3:$E$1001,R$4))</f>
        <v/>
      </c>
      <c r="S650" s="21" t="str">
        <f>IF(SUMIFS('Input Sheet'!$F$3:$F$1001,'Input Sheet'!$B$3:$B$1001,$H650,'Input Sheet'!$E$3:$E$1001,S$4)=0,"",SUMIFS('Input Sheet'!$F$3:$F$1001,'Input Sheet'!$B$3:$B$1001,$H650,'Input Sheet'!$E$3:$E$1001,S$4))</f>
        <v/>
      </c>
      <c r="T650" s="22">
        <v>645</v>
      </c>
    </row>
    <row r="651" spans="1:20" ht="14.25" customHeight="1" x14ac:dyDescent="0.3">
      <c r="A651" s="4" t="str">
        <f>IF('Input Sheet'!B648=0,"",'Input Sheet'!B648)</f>
        <v/>
      </c>
      <c r="B651" s="24" t="b">
        <f t="shared" si="526"/>
        <v>0</v>
      </c>
      <c r="C651" s="4">
        <f>SUMIF('Input Sheet'!B$3:B$1000,A651,'Input Sheet'!C$3:C$1000)</f>
        <v>0</v>
      </c>
      <c r="D651" s="4">
        <f>SUMIF('Input Sheet'!B$3:B$1000,A651,'Input Sheet'!D$3:D$1000)</f>
        <v>0</v>
      </c>
      <c r="E651" s="4" t="str">
        <f t="shared" ref="E651:F651" ca="1" si="668">IFERROR(RANK(K651,K$6:K$1004,1),"")</f>
        <v/>
      </c>
      <c r="F651" s="4" t="str">
        <f t="shared" ca="1" si="668"/>
        <v/>
      </c>
      <c r="G651" s="4" t="str">
        <f t="shared" ca="1" si="528"/>
        <v/>
      </c>
      <c r="H651" s="4" t="str">
        <f t="shared" si="529"/>
        <v/>
      </c>
      <c r="I651" s="4" t="str">
        <f t="shared" si="530"/>
        <v/>
      </c>
      <c r="J651" s="4" t="str">
        <f t="shared" si="531"/>
        <v/>
      </c>
      <c r="K651" s="25" t="str">
        <f t="shared" ca="1" si="532"/>
        <v/>
      </c>
      <c r="L651" s="21" t="str">
        <f t="shared" ca="1" si="533"/>
        <v/>
      </c>
      <c r="M651" s="21" t="str">
        <f>IF(SUMIFS('Input Sheet'!$F$3:$F$1001,'Input Sheet'!$B$3:$B$1001,$H651,'Input Sheet'!$E$3:$E$1001,M$4)=0,"",SUMIFS('Input Sheet'!$F$3:$F$1001,'Input Sheet'!$B$3:$B$1001,$H651,'Input Sheet'!$E$3:$E$1001,M$4))</f>
        <v/>
      </c>
      <c r="N651" s="21" t="str">
        <f>IF(SUMIFS('Input Sheet'!$F$3:$F$1001,'Input Sheet'!$B$3:$B$1001,$H651,'Input Sheet'!$E$3:$E$1001,N$4)=0,"",SUMIFS('Input Sheet'!$F$3:$F$1001,'Input Sheet'!$B$3:$B$1001,$H651,'Input Sheet'!$E$3:$E$1001,N$4))</f>
        <v/>
      </c>
      <c r="O651" s="21" t="str">
        <f>IF(SUMIFS('Input Sheet'!$F$3:$F$1001,'Input Sheet'!$B$3:$B$1001,$H651,'Input Sheet'!$E$3:$E$1001,O$4)=0,"",SUMIFS('Input Sheet'!$F$3:$F$1001,'Input Sheet'!$B$3:$B$1001,$H651,'Input Sheet'!$E$3:$E$1001,O$4))</f>
        <v/>
      </c>
      <c r="P651" s="21" t="str">
        <f>IF(SUMIFS('Input Sheet'!$F$3:$F$1001,'Input Sheet'!$B$3:$B$1001,$H651,'Input Sheet'!$E$3:$E$1001,P$4)=0,"",SUMIFS('Input Sheet'!$F$3:$F$1001,'Input Sheet'!$B$3:$B$1001,$H651,'Input Sheet'!$E$3:$E$1001,P$4))</f>
        <v/>
      </c>
      <c r="Q651" s="21" t="str">
        <f>IF(SUMIFS('Input Sheet'!$F$3:$F$1001,'Input Sheet'!$B$3:$B$1001,$H651,'Input Sheet'!$E$3:$E$1001,Q$4)=0,"",SUMIFS('Input Sheet'!$F$3:$F$1001,'Input Sheet'!$B$3:$B$1001,$H651,'Input Sheet'!$E$3:$E$1001,Q$4))</f>
        <v/>
      </c>
      <c r="R651" s="21" t="str">
        <f>IF(SUMIFS('Input Sheet'!$F$3:$F$1001,'Input Sheet'!$B$3:$B$1001,$H651,'Input Sheet'!$E$3:$E$1001,R$4)=0,"",SUMIFS('Input Sheet'!$F$3:$F$1001,'Input Sheet'!$B$3:$B$1001,$H651,'Input Sheet'!$E$3:$E$1001,R$4))</f>
        <v/>
      </c>
      <c r="S651" s="21" t="str">
        <f>IF(SUMIFS('Input Sheet'!$F$3:$F$1001,'Input Sheet'!$B$3:$B$1001,$H651,'Input Sheet'!$E$3:$E$1001,S$4)=0,"",SUMIFS('Input Sheet'!$F$3:$F$1001,'Input Sheet'!$B$3:$B$1001,$H651,'Input Sheet'!$E$3:$E$1001,S$4))</f>
        <v/>
      </c>
      <c r="T651" s="22">
        <v>646</v>
      </c>
    </row>
    <row r="652" spans="1:20" ht="14.25" customHeight="1" x14ac:dyDescent="0.3">
      <c r="A652" s="4" t="str">
        <f>IF('Input Sheet'!B649=0,"",'Input Sheet'!B649)</f>
        <v/>
      </c>
      <c r="B652" s="24" t="b">
        <f t="shared" si="526"/>
        <v>0</v>
      </c>
      <c r="C652" s="4">
        <f>SUMIF('Input Sheet'!B$3:B$1000,A652,'Input Sheet'!C$3:C$1000)</f>
        <v>0</v>
      </c>
      <c r="D652" s="4">
        <f>SUMIF('Input Sheet'!B$3:B$1000,A652,'Input Sheet'!D$3:D$1000)</f>
        <v>0</v>
      </c>
      <c r="E652" s="4" t="str">
        <f t="shared" ref="E652:F652" ca="1" si="669">IFERROR(RANK(K652,K$6:K$1004,1),"")</f>
        <v/>
      </c>
      <c r="F652" s="4" t="str">
        <f t="shared" ca="1" si="669"/>
        <v/>
      </c>
      <c r="G652" s="4" t="str">
        <f t="shared" ca="1" si="528"/>
        <v/>
      </c>
      <c r="H652" s="4" t="str">
        <f t="shared" si="529"/>
        <v/>
      </c>
      <c r="I652" s="4" t="str">
        <f t="shared" si="530"/>
        <v/>
      </c>
      <c r="J652" s="4" t="str">
        <f t="shared" si="531"/>
        <v/>
      </c>
      <c r="K652" s="25" t="str">
        <f t="shared" ca="1" si="532"/>
        <v/>
      </c>
      <c r="L652" s="21" t="str">
        <f t="shared" ca="1" si="533"/>
        <v/>
      </c>
      <c r="M652" s="21" t="str">
        <f>IF(SUMIFS('Input Sheet'!$F$3:$F$1001,'Input Sheet'!$B$3:$B$1001,$H652,'Input Sheet'!$E$3:$E$1001,M$4)=0,"",SUMIFS('Input Sheet'!$F$3:$F$1001,'Input Sheet'!$B$3:$B$1001,$H652,'Input Sheet'!$E$3:$E$1001,M$4))</f>
        <v/>
      </c>
      <c r="N652" s="21" t="str">
        <f>IF(SUMIFS('Input Sheet'!$F$3:$F$1001,'Input Sheet'!$B$3:$B$1001,$H652,'Input Sheet'!$E$3:$E$1001,N$4)=0,"",SUMIFS('Input Sheet'!$F$3:$F$1001,'Input Sheet'!$B$3:$B$1001,$H652,'Input Sheet'!$E$3:$E$1001,N$4))</f>
        <v/>
      </c>
      <c r="O652" s="21" t="str">
        <f>IF(SUMIFS('Input Sheet'!$F$3:$F$1001,'Input Sheet'!$B$3:$B$1001,$H652,'Input Sheet'!$E$3:$E$1001,O$4)=0,"",SUMIFS('Input Sheet'!$F$3:$F$1001,'Input Sheet'!$B$3:$B$1001,$H652,'Input Sheet'!$E$3:$E$1001,O$4))</f>
        <v/>
      </c>
      <c r="P652" s="21" t="str">
        <f>IF(SUMIFS('Input Sheet'!$F$3:$F$1001,'Input Sheet'!$B$3:$B$1001,$H652,'Input Sheet'!$E$3:$E$1001,P$4)=0,"",SUMIFS('Input Sheet'!$F$3:$F$1001,'Input Sheet'!$B$3:$B$1001,$H652,'Input Sheet'!$E$3:$E$1001,P$4))</f>
        <v/>
      </c>
      <c r="Q652" s="21" t="str">
        <f>IF(SUMIFS('Input Sheet'!$F$3:$F$1001,'Input Sheet'!$B$3:$B$1001,$H652,'Input Sheet'!$E$3:$E$1001,Q$4)=0,"",SUMIFS('Input Sheet'!$F$3:$F$1001,'Input Sheet'!$B$3:$B$1001,$H652,'Input Sheet'!$E$3:$E$1001,Q$4))</f>
        <v/>
      </c>
      <c r="R652" s="21" t="str">
        <f>IF(SUMIFS('Input Sheet'!$F$3:$F$1001,'Input Sheet'!$B$3:$B$1001,$H652,'Input Sheet'!$E$3:$E$1001,R$4)=0,"",SUMIFS('Input Sheet'!$F$3:$F$1001,'Input Sheet'!$B$3:$B$1001,$H652,'Input Sheet'!$E$3:$E$1001,R$4))</f>
        <v/>
      </c>
      <c r="S652" s="21" t="str">
        <f>IF(SUMIFS('Input Sheet'!$F$3:$F$1001,'Input Sheet'!$B$3:$B$1001,$H652,'Input Sheet'!$E$3:$E$1001,S$4)=0,"",SUMIFS('Input Sheet'!$F$3:$F$1001,'Input Sheet'!$B$3:$B$1001,$H652,'Input Sheet'!$E$3:$E$1001,S$4))</f>
        <v/>
      </c>
      <c r="T652" s="22">
        <v>647</v>
      </c>
    </row>
    <row r="653" spans="1:20" ht="14.25" customHeight="1" x14ac:dyDescent="0.3">
      <c r="A653" s="4" t="str">
        <f>IF('Input Sheet'!B650=0,"",'Input Sheet'!B650)</f>
        <v/>
      </c>
      <c r="B653" s="24" t="b">
        <f t="shared" si="526"/>
        <v>0</v>
      </c>
      <c r="C653" s="4">
        <f>SUMIF('Input Sheet'!B$3:B$1000,A653,'Input Sheet'!C$3:C$1000)</f>
        <v>0</v>
      </c>
      <c r="D653" s="4">
        <f>SUMIF('Input Sheet'!B$3:B$1000,A653,'Input Sheet'!D$3:D$1000)</f>
        <v>0</v>
      </c>
      <c r="E653" s="4" t="str">
        <f t="shared" ref="E653:F653" ca="1" si="670">IFERROR(RANK(K653,K$6:K$1004,1),"")</f>
        <v/>
      </c>
      <c r="F653" s="4" t="str">
        <f t="shared" ca="1" si="670"/>
        <v/>
      </c>
      <c r="G653" s="4" t="str">
        <f t="shared" ca="1" si="528"/>
        <v/>
      </c>
      <c r="H653" s="4" t="str">
        <f t="shared" si="529"/>
        <v/>
      </c>
      <c r="I653" s="4" t="str">
        <f t="shared" si="530"/>
        <v/>
      </c>
      <c r="J653" s="4" t="str">
        <f t="shared" si="531"/>
        <v/>
      </c>
      <c r="K653" s="25" t="str">
        <f t="shared" ca="1" si="532"/>
        <v/>
      </c>
      <c r="L653" s="21" t="str">
        <f t="shared" ca="1" si="533"/>
        <v/>
      </c>
      <c r="M653" s="21" t="str">
        <f>IF(SUMIFS('Input Sheet'!$F$3:$F$1001,'Input Sheet'!$B$3:$B$1001,$H653,'Input Sheet'!$E$3:$E$1001,M$4)=0,"",SUMIFS('Input Sheet'!$F$3:$F$1001,'Input Sheet'!$B$3:$B$1001,$H653,'Input Sheet'!$E$3:$E$1001,M$4))</f>
        <v/>
      </c>
      <c r="N653" s="21" t="str">
        <f>IF(SUMIFS('Input Sheet'!$F$3:$F$1001,'Input Sheet'!$B$3:$B$1001,$H653,'Input Sheet'!$E$3:$E$1001,N$4)=0,"",SUMIFS('Input Sheet'!$F$3:$F$1001,'Input Sheet'!$B$3:$B$1001,$H653,'Input Sheet'!$E$3:$E$1001,N$4))</f>
        <v/>
      </c>
      <c r="O653" s="21" t="str">
        <f>IF(SUMIFS('Input Sheet'!$F$3:$F$1001,'Input Sheet'!$B$3:$B$1001,$H653,'Input Sheet'!$E$3:$E$1001,O$4)=0,"",SUMIFS('Input Sheet'!$F$3:$F$1001,'Input Sheet'!$B$3:$B$1001,$H653,'Input Sheet'!$E$3:$E$1001,O$4))</f>
        <v/>
      </c>
      <c r="P653" s="21" t="str">
        <f>IF(SUMIFS('Input Sheet'!$F$3:$F$1001,'Input Sheet'!$B$3:$B$1001,$H653,'Input Sheet'!$E$3:$E$1001,P$4)=0,"",SUMIFS('Input Sheet'!$F$3:$F$1001,'Input Sheet'!$B$3:$B$1001,$H653,'Input Sheet'!$E$3:$E$1001,P$4))</f>
        <v/>
      </c>
      <c r="Q653" s="21" t="str">
        <f>IF(SUMIFS('Input Sheet'!$F$3:$F$1001,'Input Sheet'!$B$3:$B$1001,$H653,'Input Sheet'!$E$3:$E$1001,Q$4)=0,"",SUMIFS('Input Sheet'!$F$3:$F$1001,'Input Sheet'!$B$3:$B$1001,$H653,'Input Sheet'!$E$3:$E$1001,Q$4))</f>
        <v/>
      </c>
      <c r="R653" s="21" t="str">
        <f>IF(SUMIFS('Input Sheet'!$F$3:$F$1001,'Input Sheet'!$B$3:$B$1001,$H653,'Input Sheet'!$E$3:$E$1001,R$4)=0,"",SUMIFS('Input Sheet'!$F$3:$F$1001,'Input Sheet'!$B$3:$B$1001,$H653,'Input Sheet'!$E$3:$E$1001,R$4))</f>
        <v/>
      </c>
      <c r="S653" s="21" t="str">
        <f>IF(SUMIFS('Input Sheet'!$F$3:$F$1001,'Input Sheet'!$B$3:$B$1001,$H653,'Input Sheet'!$E$3:$E$1001,S$4)=0,"",SUMIFS('Input Sheet'!$F$3:$F$1001,'Input Sheet'!$B$3:$B$1001,$H653,'Input Sheet'!$E$3:$E$1001,S$4))</f>
        <v/>
      </c>
      <c r="T653" s="22">
        <v>648</v>
      </c>
    </row>
    <row r="654" spans="1:20" ht="14.25" customHeight="1" x14ac:dyDescent="0.3">
      <c r="A654" s="4" t="str">
        <f>IF('Input Sheet'!B651=0,"",'Input Sheet'!B651)</f>
        <v/>
      </c>
      <c r="B654" s="24" t="b">
        <f t="shared" si="526"/>
        <v>0</v>
      </c>
      <c r="C654" s="4">
        <f>SUMIF('Input Sheet'!B$3:B$1000,A654,'Input Sheet'!C$3:C$1000)</f>
        <v>0</v>
      </c>
      <c r="D654" s="4">
        <f>SUMIF('Input Sheet'!B$3:B$1000,A654,'Input Sheet'!D$3:D$1000)</f>
        <v>0</v>
      </c>
      <c r="E654" s="4" t="str">
        <f t="shared" ref="E654:F654" ca="1" si="671">IFERROR(RANK(K654,K$6:K$1004,1),"")</f>
        <v/>
      </c>
      <c r="F654" s="4" t="str">
        <f t="shared" ca="1" si="671"/>
        <v/>
      </c>
      <c r="G654" s="4" t="str">
        <f t="shared" ca="1" si="528"/>
        <v/>
      </c>
      <c r="H654" s="4" t="str">
        <f t="shared" si="529"/>
        <v/>
      </c>
      <c r="I654" s="4" t="str">
        <f t="shared" si="530"/>
        <v/>
      </c>
      <c r="J654" s="4" t="str">
        <f t="shared" si="531"/>
        <v/>
      </c>
      <c r="K654" s="25" t="str">
        <f t="shared" ca="1" si="532"/>
        <v/>
      </c>
      <c r="L654" s="21" t="str">
        <f t="shared" ca="1" si="533"/>
        <v/>
      </c>
      <c r="M654" s="21" t="str">
        <f>IF(SUMIFS('Input Sheet'!$F$3:$F$1001,'Input Sheet'!$B$3:$B$1001,$H654,'Input Sheet'!$E$3:$E$1001,M$4)=0,"",SUMIFS('Input Sheet'!$F$3:$F$1001,'Input Sheet'!$B$3:$B$1001,$H654,'Input Sheet'!$E$3:$E$1001,M$4))</f>
        <v/>
      </c>
      <c r="N654" s="21" t="str">
        <f>IF(SUMIFS('Input Sheet'!$F$3:$F$1001,'Input Sheet'!$B$3:$B$1001,$H654,'Input Sheet'!$E$3:$E$1001,N$4)=0,"",SUMIFS('Input Sheet'!$F$3:$F$1001,'Input Sheet'!$B$3:$B$1001,$H654,'Input Sheet'!$E$3:$E$1001,N$4))</f>
        <v/>
      </c>
      <c r="O654" s="21" t="str">
        <f>IF(SUMIFS('Input Sheet'!$F$3:$F$1001,'Input Sheet'!$B$3:$B$1001,$H654,'Input Sheet'!$E$3:$E$1001,O$4)=0,"",SUMIFS('Input Sheet'!$F$3:$F$1001,'Input Sheet'!$B$3:$B$1001,$H654,'Input Sheet'!$E$3:$E$1001,O$4))</f>
        <v/>
      </c>
      <c r="P654" s="21" t="str">
        <f>IF(SUMIFS('Input Sheet'!$F$3:$F$1001,'Input Sheet'!$B$3:$B$1001,$H654,'Input Sheet'!$E$3:$E$1001,P$4)=0,"",SUMIFS('Input Sheet'!$F$3:$F$1001,'Input Sheet'!$B$3:$B$1001,$H654,'Input Sheet'!$E$3:$E$1001,P$4))</f>
        <v/>
      </c>
      <c r="Q654" s="21" t="str">
        <f>IF(SUMIFS('Input Sheet'!$F$3:$F$1001,'Input Sheet'!$B$3:$B$1001,$H654,'Input Sheet'!$E$3:$E$1001,Q$4)=0,"",SUMIFS('Input Sheet'!$F$3:$F$1001,'Input Sheet'!$B$3:$B$1001,$H654,'Input Sheet'!$E$3:$E$1001,Q$4))</f>
        <v/>
      </c>
      <c r="R654" s="21" t="str">
        <f>IF(SUMIFS('Input Sheet'!$F$3:$F$1001,'Input Sheet'!$B$3:$B$1001,$H654,'Input Sheet'!$E$3:$E$1001,R$4)=0,"",SUMIFS('Input Sheet'!$F$3:$F$1001,'Input Sheet'!$B$3:$B$1001,$H654,'Input Sheet'!$E$3:$E$1001,R$4))</f>
        <v/>
      </c>
      <c r="S654" s="21" t="str">
        <f>IF(SUMIFS('Input Sheet'!$F$3:$F$1001,'Input Sheet'!$B$3:$B$1001,$H654,'Input Sheet'!$E$3:$E$1001,S$4)=0,"",SUMIFS('Input Sheet'!$F$3:$F$1001,'Input Sheet'!$B$3:$B$1001,$H654,'Input Sheet'!$E$3:$E$1001,S$4))</f>
        <v/>
      </c>
      <c r="T654" s="22">
        <v>649</v>
      </c>
    </row>
    <row r="655" spans="1:20" ht="14.25" customHeight="1" x14ac:dyDescent="0.3">
      <c r="A655" s="4" t="str">
        <f>IF('Input Sheet'!B652=0,"",'Input Sheet'!B652)</f>
        <v/>
      </c>
      <c r="B655" s="24" t="b">
        <f t="shared" si="526"/>
        <v>0</v>
      </c>
      <c r="C655" s="4">
        <f>SUMIF('Input Sheet'!B$3:B$1000,A655,'Input Sheet'!C$3:C$1000)</f>
        <v>0</v>
      </c>
      <c r="D655" s="4">
        <f>SUMIF('Input Sheet'!B$3:B$1000,A655,'Input Sheet'!D$3:D$1000)</f>
        <v>0</v>
      </c>
      <c r="E655" s="4" t="str">
        <f t="shared" ref="E655:F655" ca="1" si="672">IFERROR(RANK(K655,K$6:K$1004,1),"")</f>
        <v/>
      </c>
      <c r="F655" s="4" t="str">
        <f t="shared" ca="1" si="672"/>
        <v/>
      </c>
      <c r="G655" s="4" t="str">
        <f t="shared" ca="1" si="528"/>
        <v/>
      </c>
      <c r="H655" s="4" t="str">
        <f t="shared" si="529"/>
        <v/>
      </c>
      <c r="I655" s="4" t="str">
        <f t="shared" si="530"/>
        <v/>
      </c>
      <c r="J655" s="4" t="str">
        <f t="shared" si="531"/>
        <v/>
      </c>
      <c r="K655" s="25" t="str">
        <f t="shared" ca="1" si="532"/>
        <v/>
      </c>
      <c r="L655" s="21" t="str">
        <f t="shared" ca="1" si="533"/>
        <v/>
      </c>
      <c r="M655" s="21" t="str">
        <f>IF(SUMIFS('Input Sheet'!$F$3:$F$1001,'Input Sheet'!$B$3:$B$1001,$H655,'Input Sheet'!$E$3:$E$1001,M$4)=0,"",SUMIFS('Input Sheet'!$F$3:$F$1001,'Input Sheet'!$B$3:$B$1001,$H655,'Input Sheet'!$E$3:$E$1001,M$4))</f>
        <v/>
      </c>
      <c r="N655" s="21" t="str">
        <f>IF(SUMIFS('Input Sheet'!$F$3:$F$1001,'Input Sheet'!$B$3:$B$1001,$H655,'Input Sheet'!$E$3:$E$1001,N$4)=0,"",SUMIFS('Input Sheet'!$F$3:$F$1001,'Input Sheet'!$B$3:$B$1001,$H655,'Input Sheet'!$E$3:$E$1001,N$4))</f>
        <v/>
      </c>
      <c r="O655" s="21" t="str">
        <f>IF(SUMIFS('Input Sheet'!$F$3:$F$1001,'Input Sheet'!$B$3:$B$1001,$H655,'Input Sheet'!$E$3:$E$1001,O$4)=0,"",SUMIFS('Input Sheet'!$F$3:$F$1001,'Input Sheet'!$B$3:$B$1001,$H655,'Input Sheet'!$E$3:$E$1001,O$4))</f>
        <v/>
      </c>
      <c r="P655" s="21" t="str">
        <f>IF(SUMIFS('Input Sheet'!$F$3:$F$1001,'Input Sheet'!$B$3:$B$1001,$H655,'Input Sheet'!$E$3:$E$1001,P$4)=0,"",SUMIFS('Input Sheet'!$F$3:$F$1001,'Input Sheet'!$B$3:$B$1001,$H655,'Input Sheet'!$E$3:$E$1001,P$4))</f>
        <v/>
      </c>
      <c r="Q655" s="21" t="str">
        <f>IF(SUMIFS('Input Sheet'!$F$3:$F$1001,'Input Sheet'!$B$3:$B$1001,$H655,'Input Sheet'!$E$3:$E$1001,Q$4)=0,"",SUMIFS('Input Sheet'!$F$3:$F$1001,'Input Sheet'!$B$3:$B$1001,$H655,'Input Sheet'!$E$3:$E$1001,Q$4))</f>
        <v/>
      </c>
      <c r="R655" s="21" t="str">
        <f>IF(SUMIFS('Input Sheet'!$F$3:$F$1001,'Input Sheet'!$B$3:$B$1001,$H655,'Input Sheet'!$E$3:$E$1001,R$4)=0,"",SUMIFS('Input Sheet'!$F$3:$F$1001,'Input Sheet'!$B$3:$B$1001,$H655,'Input Sheet'!$E$3:$E$1001,R$4))</f>
        <v/>
      </c>
      <c r="S655" s="21" t="str">
        <f>IF(SUMIFS('Input Sheet'!$F$3:$F$1001,'Input Sheet'!$B$3:$B$1001,$H655,'Input Sheet'!$E$3:$E$1001,S$4)=0,"",SUMIFS('Input Sheet'!$F$3:$F$1001,'Input Sheet'!$B$3:$B$1001,$H655,'Input Sheet'!$E$3:$E$1001,S$4))</f>
        <v/>
      </c>
      <c r="T655" s="22">
        <v>650</v>
      </c>
    </row>
    <row r="656" spans="1:20" ht="14.25" customHeight="1" x14ac:dyDescent="0.3">
      <c r="A656" s="4" t="str">
        <f>IF('Input Sheet'!B653=0,"",'Input Sheet'!B653)</f>
        <v/>
      </c>
      <c r="B656" s="24" t="b">
        <f t="shared" si="526"/>
        <v>0</v>
      </c>
      <c r="C656" s="4">
        <f>SUMIF('Input Sheet'!B$3:B$1000,A656,'Input Sheet'!C$3:C$1000)</f>
        <v>0</v>
      </c>
      <c r="D656" s="4">
        <f>SUMIF('Input Sheet'!B$3:B$1000,A656,'Input Sheet'!D$3:D$1000)</f>
        <v>0</v>
      </c>
      <c r="E656" s="4" t="str">
        <f t="shared" ref="E656:F656" ca="1" si="673">IFERROR(RANK(K656,K$6:K$1004,1),"")</f>
        <v/>
      </c>
      <c r="F656" s="4" t="str">
        <f t="shared" ca="1" si="673"/>
        <v/>
      </c>
      <c r="G656" s="4" t="str">
        <f t="shared" ca="1" si="528"/>
        <v/>
      </c>
      <c r="H656" s="4" t="str">
        <f t="shared" si="529"/>
        <v/>
      </c>
      <c r="I656" s="4" t="str">
        <f t="shared" si="530"/>
        <v/>
      </c>
      <c r="J656" s="4" t="str">
        <f t="shared" si="531"/>
        <v/>
      </c>
      <c r="K656" s="25" t="str">
        <f t="shared" ca="1" si="532"/>
        <v/>
      </c>
      <c r="L656" s="21" t="str">
        <f t="shared" ca="1" si="533"/>
        <v/>
      </c>
      <c r="M656" s="21" t="str">
        <f>IF(SUMIFS('Input Sheet'!$F$3:$F$1001,'Input Sheet'!$B$3:$B$1001,$H656,'Input Sheet'!$E$3:$E$1001,M$4)=0,"",SUMIFS('Input Sheet'!$F$3:$F$1001,'Input Sheet'!$B$3:$B$1001,$H656,'Input Sheet'!$E$3:$E$1001,M$4))</f>
        <v/>
      </c>
      <c r="N656" s="21" t="str">
        <f>IF(SUMIFS('Input Sheet'!$F$3:$F$1001,'Input Sheet'!$B$3:$B$1001,$H656,'Input Sheet'!$E$3:$E$1001,N$4)=0,"",SUMIFS('Input Sheet'!$F$3:$F$1001,'Input Sheet'!$B$3:$B$1001,$H656,'Input Sheet'!$E$3:$E$1001,N$4))</f>
        <v/>
      </c>
      <c r="O656" s="21" t="str">
        <f>IF(SUMIFS('Input Sheet'!$F$3:$F$1001,'Input Sheet'!$B$3:$B$1001,$H656,'Input Sheet'!$E$3:$E$1001,O$4)=0,"",SUMIFS('Input Sheet'!$F$3:$F$1001,'Input Sheet'!$B$3:$B$1001,$H656,'Input Sheet'!$E$3:$E$1001,O$4))</f>
        <v/>
      </c>
      <c r="P656" s="21" t="str">
        <f>IF(SUMIFS('Input Sheet'!$F$3:$F$1001,'Input Sheet'!$B$3:$B$1001,$H656,'Input Sheet'!$E$3:$E$1001,P$4)=0,"",SUMIFS('Input Sheet'!$F$3:$F$1001,'Input Sheet'!$B$3:$B$1001,$H656,'Input Sheet'!$E$3:$E$1001,P$4))</f>
        <v/>
      </c>
      <c r="Q656" s="21" t="str">
        <f>IF(SUMIFS('Input Sheet'!$F$3:$F$1001,'Input Sheet'!$B$3:$B$1001,$H656,'Input Sheet'!$E$3:$E$1001,Q$4)=0,"",SUMIFS('Input Sheet'!$F$3:$F$1001,'Input Sheet'!$B$3:$B$1001,$H656,'Input Sheet'!$E$3:$E$1001,Q$4))</f>
        <v/>
      </c>
      <c r="R656" s="21" t="str">
        <f>IF(SUMIFS('Input Sheet'!$F$3:$F$1001,'Input Sheet'!$B$3:$B$1001,$H656,'Input Sheet'!$E$3:$E$1001,R$4)=0,"",SUMIFS('Input Sheet'!$F$3:$F$1001,'Input Sheet'!$B$3:$B$1001,$H656,'Input Sheet'!$E$3:$E$1001,R$4))</f>
        <v/>
      </c>
      <c r="S656" s="21" t="str">
        <f>IF(SUMIFS('Input Sheet'!$F$3:$F$1001,'Input Sheet'!$B$3:$B$1001,$H656,'Input Sheet'!$E$3:$E$1001,S$4)=0,"",SUMIFS('Input Sheet'!$F$3:$F$1001,'Input Sheet'!$B$3:$B$1001,$H656,'Input Sheet'!$E$3:$E$1001,S$4))</f>
        <v/>
      </c>
      <c r="T656" s="22">
        <v>651</v>
      </c>
    </row>
    <row r="657" spans="1:20" ht="14.25" customHeight="1" x14ac:dyDescent="0.3">
      <c r="A657" s="4" t="str">
        <f>IF('Input Sheet'!B654=0,"",'Input Sheet'!B654)</f>
        <v/>
      </c>
      <c r="B657" s="24" t="b">
        <f t="shared" si="526"/>
        <v>0</v>
      </c>
      <c r="C657" s="4">
        <f>SUMIF('Input Sheet'!B$3:B$1000,A657,'Input Sheet'!C$3:C$1000)</f>
        <v>0</v>
      </c>
      <c r="D657" s="4">
        <f>SUMIF('Input Sheet'!B$3:B$1000,A657,'Input Sheet'!D$3:D$1000)</f>
        <v>0</v>
      </c>
      <c r="E657" s="4" t="str">
        <f t="shared" ref="E657:F657" ca="1" si="674">IFERROR(RANK(K657,K$6:K$1004,1),"")</f>
        <v/>
      </c>
      <c r="F657" s="4" t="str">
        <f t="shared" ca="1" si="674"/>
        <v/>
      </c>
      <c r="G657" s="4" t="str">
        <f t="shared" ca="1" si="528"/>
        <v/>
      </c>
      <c r="H657" s="4" t="str">
        <f t="shared" si="529"/>
        <v/>
      </c>
      <c r="I657" s="4" t="str">
        <f t="shared" si="530"/>
        <v/>
      </c>
      <c r="J657" s="4" t="str">
        <f t="shared" si="531"/>
        <v/>
      </c>
      <c r="K657" s="25" t="str">
        <f t="shared" ca="1" si="532"/>
        <v/>
      </c>
      <c r="L657" s="21" t="str">
        <f t="shared" ca="1" si="533"/>
        <v/>
      </c>
      <c r="M657" s="21" t="str">
        <f>IF(SUMIFS('Input Sheet'!$F$3:$F$1001,'Input Sheet'!$B$3:$B$1001,$H657,'Input Sheet'!$E$3:$E$1001,M$4)=0,"",SUMIFS('Input Sheet'!$F$3:$F$1001,'Input Sheet'!$B$3:$B$1001,$H657,'Input Sheet'!$E$3:$E$1001,M$4))</f>
        <v/>
      </c>
      <c r="N657" s="21" t="str">
        <f>IF(SUMIFS('Input Sheet'!$F$3:$F$1001,'Input Sheet'!$B$3:$B$1001,$H657,'Input Sheet'!$E$3:$E$1001,N$4)=0,"",SUMIFS('Input Sheet'!$F$3:$F$1001,'Input Sheet'!$B$3:$B$1001,$H657,'Input Sheet'!$E$3:$E$1001,N$4))</f>
        <v/>
      </c>
      <c r="O657" s="21" t="str">
        <f>IF(SUMIFS('Input Sheet'!$F$3:$F$1001,'Input Sheet'!$B$3:$B$1001,$H657,'Input Sheet'!$E$3:$E$1001,O$4)=0,"",SUMIFS('Input Sheet'!$F$3:$F$1001,'Input Sheet'!$B$3:$B$1001,$H657,'Input Sheet'!$E$3:$E$1001,O$4))</f>
        <v/>
      </c>
      <c r="P657" s="21" t="str">
        <f>IF(SUMIFS('Input Sheet'!$F$3:$F$1001,'Input Sheet'!$B$3:$B$1001,$H657,'Input Sheet'!$E$3:$E$1001,P$4)=0,"",SUMIFS('Input Sheet'!$F$3:$F$1001,'Input Sheet'!$B$3:$B$1001,$H657,'Input Sheet'!$E$3:$E$1001,P$4))</f>
        <v/>
      </c>
      <c r="Q657" s="21" t="str">
        <f>IF(SUMIFS('Input Sheet'!$F$3:$F$1001,'Input Sheet'!$B$3:$B$1001,$H657,'Input Sheet'!$E$3:$E$1001,Q$4)=0,"",SUMIFS('Input Sheet'!$F$3:$F$1001,'Input Sheet'!$B$3:$B$1001,$H657,'Input Sheet'!$E$3:$E$1001,Q$4))</f>
        <v/>
      </c>
      <c r="R657" s="21" t="str">
        <f>IF(SUMIFS('Input Sheet'!$F$3:$F$1001,'Input Sheet'!$B$3:$B$1001,$H657,'Input Sheet'!$E$3:$E$1001,R$4)=0,"",SUMIFS('Input Sheet'!$F$3:$F$1001,'Input Sheet'!$B$3:$B$1001,$H657,'Input Sheet'!$E$3:$E$1001,R$4))</f>
        <v/>
      </c>
      <c r="S657" s="21" t="str">
        <f>IF(SUMIFS('Input Sheet'!$F$3:$F$1001,'Input Sheet'!$B$3:$B$1001,$H657,'Input Sheet'!$E$3:$E$1001,S$4)=0,"",SUMIFS('Input Sheet'!$F$3:$F$1001,'Input Sheet'!$B$3:$B$1001,$H657,'Input Sheet'!$E$3:$E$1001,S$4))</f>
        <v/>
      </c>
      <c r="T657" s="22">
        <v>652</v>
      </c>
    </row>
    <row r="658" spans="1:20" ht="14.25" customHeight="1" x14ac:dyDescent="0.3">
      <c r="A658" s="4" t="str">
        <f>IF('Input Sheet'!B655=0,"",'Input Sheet'!B655)</f>
        <v/>
      </c>
      <c r="B658" s="24" t="b">
        <f t="shared" si="526"/>
        <v>0</v>
      </c>
      <c r="C658" s="4">
        <f>SUMIF('Input Sheet'!B$3:B$1000,A658,'Input Sheet'!C$3:C$1000)</f>
        <v>0</v>
      </c>
      <c r="D658" s="4">
        <f>SUMIF('Input Sheet'!B$3:B$1000,A658,'Input Sheet'!D$3:D$1000)</f>
        <v>0</v>
      </c>
      <c r="E658" s="4" t="str">
        <f t="shared" ref="E658:F658" ca="1" si="675">IFERROR(RANK(K658,K$6:K$1004,1),"")</f>
        <v/>
      </c>
      <c r="F658" s="4" t="str">
        <f t="shared" ca="1" si="675"/>
        <v/>
      </c>
      <c r="G658" s="4" t="str">
        <f t="shared" ca="1" si="528"/>
        <v/>
      </c>
      <c r="H658" s="4" t="str">
        <f t="shared" si="529"/>
        <v/>
      </c>
      <c r="I658" s="4" t="str">
        <f t="shared" si="530"/>
        <v/>
      </c>
      <c r="J658" s="4" t="str">
        <f t="shared" si="531"/>
        <v/>
      </c>
      <c r="K658" s="25" t="str">
        <f t="shared" ca="1" si="532"/>
        <v/>
      </c>
      <c r="L658" s="21" t="str">
        <f t="shared" ca="1" si="533"/>
        <v/>
      </c>
      <c r="M658" s="21" t="str">
        <f>IF(SUMIFS('Input Sheet'!$F$3:$F$1001,'Input Sheet'!$B$3:$B$1001,$H658,'Input Sheet'!$E$3:$E$1001,M$4)=0,"",SUMIFS('Input Sheet'!$F$3:$F$1001,'Input Sheet'!$B$3:$B$1001,$H658,'Input Sheet'!$E$3:$E$1001,M$4))</f>
        <v/>
      </c>
      <c r="N658" s="21" t="str">
        <f>IF(SUMIFS('Input Sheet'!$F$3:$F$1001,'Input Sheet'!$B$3:$B$1001,$H658,'Input Sheet'!$E$3:$E$1001,N$4)=0,"",SUMIFS('Input Sheet'!$F$3:$F$1001,'Input Sheet'!$B$3:$B$1001,$H658,'Input Sheet'!$E$3:$E$1001,N$4))</f>
        <v/>
      </c>
      <c r="O658" s="21" t="str">
        <f>IF(SUMIFS('Input Sheet'!$F$3:$F$1001,'Input Sheet'!$B$3:$B$1001,$H658,'Input Sheet'!$E$3:$E$1001,O$4)=0,"",SUMIFS('Input Sheet'!$F$3:$F$1001,'Input Sheet'!$B$3:$B$1001,$H658,'Input Sheet'!$E$3:$E$1001,O$4))</f>
        <v/>
      </c>
      <c r="P658" s="21" t="str">
        <f>IF(SUMIFS('Input Sheet'!$F$3:$F$1001,'Input Sheet'!$B$3:$B$1001,$H658,'Input Sheet'!$E$3:$E$1001,P$4)=0,"",SUMIFS('Input Sheet'!$F$3:$F$1001,'Input Sheet'!$B$3:$B$1001,$H658,'Input Sheet'!$E$3:$E$1001,P$4))</f>
        <v/>
      </c>
      <c r="Q658" s="21" t="str">
        <f>IF(SUMIFS('Input Sheet'!$F$3:$F$1001,'Input Sheet'!$B$3:$B$1001,$H658,'Input Sheet'!$E$3:$E$1001,Q$4)=0,"",SUMIFS('Input Sheet'!$F$3:$F$1001,'Input Sheet'!$B$3:$B$1001,$H658,'Input Sheet'!$E$3:$E$1001,Q$4))</f>
        <v/>
      </c>
      <c r="R658" s="21" t="str">
        <f>IF(SUMIFS('Input Sheet'!$F$3:$F$1001,'Input Sheet'!$B$3:$B$1001,$H658,'Input Sheet'!$E$3:$E$1001,R$4)=0,"",SUMIFS('Input Sheet'!$F$3:$F$1001,'Input Sheet'!$B$3:$B$1001,$H658,'Input Sheet'!$E$3:$E$1001,R$4))</f>
        <v/>
      </c>
      <c r="S658" s="21" t="str">
        <f>IF(SUMIFS('Input Sheet'!$F$3:$F$1001,'Input Sheet'!$B$3:$B$1001,$H658,'Input Sheet'!$E$3:$E$1001,S$4)=0,"",SUMIFS('Input Sheet'!$F$3:$F$1001,'Input Sheet'!$B$3:$B$1001,$H658,'Input Sheet'!$E$3:$E$1001,S$4))</f>
        <v/>
      </c>
      <c r="T658" s="22">
        <v>653</v>
      </c>
    </row>
    <row r="659" spans="1:20" ht="14.25" customHeight="1" x14ac:dyDescent="0.3">
      <c r="A659" s="4" t="str">
        <f>IF('Input Sheet'!B656=0,"",'Input Sheet'!B656)</f>
        <v/>
      </c>
      <c r="B659" s="24" t="b">
        <f t="shared" si="526"/>
        <v>0</v>
      </c>
      <c r="C659" s="4">
        <f>SUMIF('Input Sheet'!B$3:B$1000,A659,'Input Sheet'!C$3:C$1000)</f>
        <v>0</v>
      </c>
      <c r="D659" s="4">
        <f>SUMIF('Input Sheet'!B$3:B$1000,A659,'Input Sheet'!D$3:D$1000)</f>
        <v>0</v>
      </c>
      <c r="E659" s="4" t="str">
        <f t="shared" ref="E659:F659" ca="1" si="676">IFERROR(RANK(K659,K$6:K$1004,1),"")</f>
        <v/>
      </c>
      <c r="F659" s="4" t="str">
        <f t="shared" ca="1" si="676"/>
        <v/>
      </c>
      <c r="G659" s="4" t="str">
        <f t="shared" ca="1" si="528"/>
        <v/>
      </c>
      <c r="H659" s="4" t="str">
        <f t="shared" si="529"/>
        <v/>
      </c>
      <c r="I659" s="4" t="str">
        <f t="shared" si="530"/>
        <v/>
      </c>
      <c r="J659" s="4" t="str">
        <f t="shared" si="531"/>
        <v/>
      </c>
      <c r="K659" s="25" t="str">
        <f t="shared" ca="1" si="532"/>
        <v/>
      </c>
      <c r="L659" s="21" t="str">
        <f t="shared" ca="1" si="533"/>
        <v/>
      </c>
      <c r="M659" s="21" t="str">
        <f>IF(SUMIFS('Input Sheet'!$F$3:$F$1001,'Input Sheet'!$B$3:$B$1001,$H659,'Input Sheet'!$E$3:$E$1001,M$4)=0,"",SUMIFS('Input Sheet'!$F$3:$F$1001,'Input Sheet'!$B$3:$B$1001,$H659,'Input Sheet'!$E$3:$E$1001,M$4))</f>
        <v/>
      </c>
      <c r="N659" s="21" t="str">
        <f>IF(SUMIFS('Input Sheet'!$F$3:$F$1001,'Input Sheet'!$B$3:$B$1001,$H659,'Input Sheet'!$E$3:$E$1001,N$4)=0,"",SUMIFS('Input Sheet'!$F$3:$F$1001,'Input Sheet'!$B$3:$B$1001,$H659,'Input Sheet'!$E$3:$E$1001,N$4))</f>
        <v/>
      </c>
      <c r="O659" s="21" t="str">
        <f>IF(SUMIFS('Input Sheet'!$F$3:$F$1001,'Input Sheet'!$B$3:$B$1001,$H659,'Input Sheet'!$E$3:$E$1001,O$4)=0,"",SUMIFS('Input Sheet'!$F$3:$F$1001,'Input Sheet'!$B$3:$B$1001,$H659,'Input Sheet'!$E$3:$E$1001,O$4))</f>
        <v/>
      </c>
      <c r="P659" s="21" t="str">
        <f>IF(SUMIFS('Input Sheet'!$F$3:$F$1001,'Input Sheet'!$B$3:$B$1001,$H659,'Input Sheet'!$E$3:$E$1001,P$4)=0,"",SUMIFS('Input Sheet'!$F$3:$F$1001,'Input Sheet'!$B$3:$B$1001,$H659,'Input Sheet'!$E$3:$E$1001,P$4))</f>
        <v/>
      </c>
      <c r="Q659" s="21" t="str">
        <f>IF(SUMIFS('Input Sheet'!$F$3:$F$1001,'Input Sheet'!$B$3:$B$1001,$H659,'Input Sheet'!$E$3:$E$1001,Q$4)=0,"",SUMIFS('Input Sheet'!$F$3:$F$1001,'Input Sheet'!$B$3:$B$1001,$H659,'Input Sheet'!$E$3:$E$1001,Q$4))</f>
        <v/>
      </c>
      <c r="R659" s="21" t="str">
        <f>IF(SUMIFS('Input Sheet'!$F$3:$F$1001,'Input Sheet'!$B$3:$B$1001,$H659,'Input Sheet'!$E$3:$E$1001,R$4)=0,"",SUMIFS('Input Sheet'!$F$3:$F$1001,'Input Sheet'!$B$3:$B$1001,$H659,'Input Sheet'!$E$3:$E$1001,R$4))</f>
        <v/>
      </c>
      <c r="S659" s="21" t="str">
        <f>IF(SUMIFS('Input Sheet'!$F$3:$F$1001,'Input Sheet'!$B$3:$B$1001,$H659,'Input Sheet'!$E$3:$E$1001,S$4)=0,"",SUMIFS('Input Sheet'!$F$3:$F$1001,'Input Sheet'!$B$3:$B$1001,$H659,'Input Sheet'!$E$3:$E$1001,S$4))</f>
        <v/>
      </c>
      <c r="T659" s="22">
        <v>654</v>
      </c>
    </row>
    <row r="660" spans="1:20" ht="14.25" customHeight="1" x14ac:dyDescent="0.3">
      <c r="A660" s="4" t="str">
        <f>IF('Input Sheet'!B657=0,"",'Input Sheet'!B657)</f>
        <v/>
      </c>
      <c r="B660" s="24" t="b">
        <f t="shared" si="526"/>
        <v>0</v>
      </c>
      <c r="C660" s="4">
        <f>SUMIF('Input Sheet'!B$3:B$1000,A660,'Input Sheet'!C$3:C$1000)</f>
        <v>0</v>
      </c>
      <c r="D660" s="4">
        <f>SUMIF('Input Sheet'!B$3:B$1000,A660,'Input Sheet'!D$3:D$1000)</f>
        <v>0</v>
      </c>
      <c r="E660" s="4" t="str">
        <f t="shared" ref="E660:F660" ca="1" si="677">IFERROR(RANK(K660,K$6:K$1004,1),"")</f>
        <v/>
      </c>
      <c r="F660" s="4" t="str">
        <f t="shared" ca="1" si="677"/>
        <v/>
      </c>
      <c r="G660" s="4" t="str">
        <f t="shared" ca="1" si="528"/>
        <v/>
      </c>
      <c r="H660" s="4" t="str">
        <f t="shared" si="529"/>
        <v/>
      </c>
      <c r="I660" s="4" t="str">
        <f t="shared" si="530"/>
        <v/>
      </c>
      <c r="J660" s="4" t="str">
        <f t="shared" si="531"/>
        <v/>
      </c>
      <c r="K660" s="25" t="str">
        <f t="shared" ca="1" si="532"/>
        <v/>
      </c>
      <c r="L660" s="21" t="str">
        <f t="shared" ca="1" si="533"/>
        <v/>
      </c>
      <c r="M660" s="21" t="str">
        <f>IF(SUMIFS('Input Sheet'!$F$3:$F$1001,'Input Sheet'!$B$3:$B$1001,$H660,'Input Sheet'!$E$3:$E$1001,M$4)=0,"",SUMIFS('Input Sheet'!$F$3:$F$1001,'Input Sheet'!$B$3:$B$1001,$H660,'Input Sheet'!$E$3:$E$1001,M$4))</f>
        <v/>
      </c>
      <c r="N660" s="21" t="str">
        <f>IF(SUMIFS('Input Sheet'!$F$3:$F$1001,'Input Sheet'!$B$3:$B$1001,$H660,'Input Sheet'!$E$3:$E$1001,N$4)=0,"",SUMIFS('Input Sheet'!$F$3:$F$1001,'Input Sheet'!$B$3:$B$1001,$H660,'Input Sheet'!$E$3:$E$1001,N$4))</f>
        <v/>
      </c>
      <c r="O660" s="21" t="str">
        <f>IF(SUMIFS('Input Sheet'!$F$3:$F$1001,'Input Sheet'!$B$3:$B$1001,$H660,'Input Sheet'!$E$3:$E$1001,O$4)=0,"",SUMIFS('Input Sheet'!$F$3:$F$1001,'Input Sheet'!$B$3:$B$1001,$H660,'Input Sheet'!$E$3:$E$1001,O$4))</f>
        <v/>
      </c>
      <c r="P660" s="21" t="str">
        <f>IF(SUMIFS('Input Sheet'!$F$3:$F$1001,'Input Sheet'!$B$3:$B$1001,$H660,'Input Sheet'!$E$3:$E$1001,P$4)=0,"",SUMIFS('Input Sheet'!$F$3:$F$1001,'Input Sheet'!$B$3:$B$1001,$H660,'Input Sheet'!$E$3:$E$1001,P$4))</f>
        <v/>
      </c>
      <c r="Q660" s="21" t="str">
        <f>IF(SUMIFS('Input Sheet'!$F$3:$F$1001,'Input Sheet'!$B$3:$B$1001,$H660,'Input Sheet'!$E$3:$E$1001,Q$4)=0,"",SUMIFS('Input Sheet'!$F$3:$F$1001,'Input Sheet'!$B$3:$B$1001,$H660,'Input Sheet'!$E$3:$E$1001,Q$4))</f>
        <v/>
      </c>
      <c r="R660" s="21" t="str">
        <f>IF(SUMIFS('Input Sheet'!$F$3:$F$1001,'Input Sheet'!$B$3:$B$1001,$H660,'Input Sheet'!$E$3:$E$1001,R$4)=0,"",SUMIFS('Input Sheet'!$F$3:$F$1001,'Input Sheet'!$B$3:$B$1001,$H660,'Input Sheet'!$E$3:$E$1001,R$4))</f>
        <v/>
      </c>
      <c r="S660" s="21" t="str">
        <f>IF(SUMIFS('Input Sheet'!$F$3:$F$1001,'Input Sheet'!$B$3:$B$1001,$H660,'Input Sheet'!$E$3:$E$1001,S$4)=0,"",SUMIFS('Input Sheet'!$F$3:$F$1001,'Input Sheet'!$B$3:$B$1001,$H660,'Input Sheet'!$E$3:$E$1001,S$4))</f>
        <v/>
      </c>
      <c r="T660" s="22">
        <v>655</v>
      </c>
    </row>
    <row r="661" spans="1:20" ht="14.25" customHeight="1" x14ac:dyDescent="0.3">
      <c r="A661" s="4" t="str">
        <f>IF('Input Sheet'!B658=0,"",'Input Sheet'!B658)</f>
        <v/>
      </c>
      <c r="B661" s="24" t="b">
        <f t="shared" si="526"/>
        <v>0</v>
      </c>
      <c r="C661" s="4">
        <f>SUMIF('Input Sheet'!B$3:B$1000,A661,'Input Sheet'!C$3:C$1000)</f>
        <v>0</v>
      </c>
      <c r="D661" s="4">
        <f>SUMIF('Input Sheet'!B$3:B$1000,A661,'Input Sheet'!D$3:D$1000)</f>
        <v>0</v>
      </c>
      <c r="E661" s="4" t="str">
        <f t="shared" ref="E661:F661" ca="1" si="678">IFERROR(RANK(K661,K$6:K$1004,1),"")</f>
        <v/>
      </c>
      <c r="F661" s="4" t="str">
        <f t="shared" ca="1" si="678"/>
        <v/>
      </c>
      <c r="G661" s="4" t="str">
        <f t="shared" ca="1" si="528"/>
        <v/>
      </c>
      <c r="H661" s="4" t="str">
        <f t="shared" si="529"/>
        <v/>
      </c>
      <c r="I661" s="4" t="str">
        <f t="shared" si="530"/>
        <v/>
      </c>
      <c r="J661" s="4" t="str">
        <f t="shared" si="531"/>
        <v/>
      </c>
      <c r="K661" s="25" t="str">
        <f t="shared" ca="1" si="532"/>
        <v/>
      </c>
      <c r="L661" s="21" t="str">
        <f t="shared" ca="1" si="533"/>
        <v/>
      </c>
      <c r="M661" s="21" t="str">
        <f>IF(SUMIFS('Input Sheet'!$F$3:$F$1001,'Input Sheet'!$B$3:$B$1001,$H661,'Input Sheet'!$E$3:$E$1001,M$4)=0,"",SUMIFS('Input Sheet'!$F$3:$F$1001,'Input Sheet'!$B$3:$B$1001,$H661,'Input Sheet'!$E$3:$E$1001,M$4))</f>
        <v/>
      </c>
      <c r="N661" s="21" t="str">
        <f>IF(SUMIFS('Input Sheet'!$F$3:$F$1001,'Input Sheet'!$B$3:$B$1001,$H661,'Input Sheet'!$E$3:$E$1001,N$4)=0,"",SUMIFS('Input Sheet'!$F$3:$F$1001,'Input Sheet'!$B$3:$B$1001,$H661,'Input Sheet'!$E$3:$E$1001,N$4))</f>
        <v/>
      </c>
      <c r="O661" s="21" t="str">
        <f>IF(SUMIFS('Input Sheet'!$F$3:$F$1001,'Input Sheet'!$B$3:$B$1001,$H661,'Input Sheet'!$E$3:$E$1001,O$4)=0,"",SUMIFS('Input Sheet'!$F$3:$F$1001,'Input Sheet'!$B$3:$B$1001,$H661,'Input Sheet'!$E$3:$E$1001,O$4))</f>
        <v/>
      </c>
      <c r="P661" s="21" t="str">
        <f>IF(SUMIFS('Input Sheet'!$F$3:$F$1001,'Input Sheet'!$B$3:$B$1001,$H661,'Input Sheet'!$E$3:$E$1001,P$4)=0,"",SUMIFS('Input Sheet'!$F$3:$F$1001,'Input Sheet'!$B$3:$B$1001,$H661,'Input Sheet'!$E$3:$E$1001,P$4))</f>
        <v/>
      </c>
      <c r="Q661" s="21" t="str">
        <f>IF(SUMIFS('Input Sheet'!$F$3:$F$1001,'Input Sheet'!$B$3:$B$1001,$H661,'Input Sheet'!$E$3:$E$1001,Q$4)=0,"",SUMIFS('Input Sheet'!$F$3:$F$1001,'Input Sheet'!$B$3:$B$1001,$H661,'Input Sheet'!$E$3:$E$1001,Q$4))</f>
        <v/>
      </c>
      <c r="R661" s="21" t="str">
        <f>IF(SUMIFS('Input Sheet'!$F$3:$F$1001,'Input Sheet'!$B$3:$B$1001,$H661,'Input Sheet'!$E$3:$E$1001,R$4)=0,"",SUMIFS('Input Sheet'!$F$3:$F$1001,'Input Sheet'!$B$3:$B$1001,$H661,'Input Sheet'!$E$3:$E$1001,R$4))</f>
        <v/>
      </c>
      <c r="S661" s="21" t="str">
        <f>IF(SUMIFS('Input Sheet'!$F$3:$F$1001,'Input Sheet'!$B$3:$B$1001,$H661,'Input Sheet'!$E$3:$E$1001,S$4)=0,"",SUMIFS('Input Sheet'!$F$3:$F$1001,'Input Sheet'!$B$3:$B$1001,$H661,'Input Sheet'!$E$3:$E$1001,S$4))</f>
        <v/>
      </c>
      <c r="T661" s="22">
        <v>656</v>
      </c>
    </row>
    <row r="662" spans="1:20" ht="14.25" customHeight="1" x14ac:dyDescent="0.3">
      <c r="A662" s="4" t="str">
        <f>IF('Input Sheet'!B659=0,"",'Input Sheet'!B659)</f>
        <v/>
      </c>
      <c r="B662" s="24" t="b">
        <f t="shared" si="526"/>
        <v>0</v>
      </c>
      <c r="C662" s="4">
        <f>SUMIF('Input Sheet'!B$3:B$1000,A662,'Input Sheet'!C$3:C$1000)</f>
        <v>0</v>
      </c>
      <c r="D662" s="4">
        <f>SUMIF('Input Sheet'!B$3:B$1000,A662,'Input Sheet'!D$3:D$1000)</f>
        <v>0</v>
      </c>
      <c r="E662" s="4" t="str">
        <f t="shared" ref="E662:F662" ca="1" si="679">IFERROR(RANK(K662,K$6:K$1004,1),"")</f>
        <v/>
      </c>
      <c r="F662" s="4" t="str">
        <f t="shared" ca="1" si="679"/>
        <v/>
      </c>
      <c r="G662" s="4" t="str">
        <f t="shared" ca="1" si="528"/>
        <v/>
      </c>
      <c r="H662" s="4" t="str">
        <f t="shared" si="529"/>
        <v/>
      </c>
      <c r="I662" s="4" t="str">
        <f t="shared" si="530"/>
        <v/>
      </c>
      <c r="J662" s="4" t="str">
        <f t="shared" si="531"/>
        <v/>
      </c>
      <c r="K662" s="25" t="str">
        <f t="shared" ca="1" si="532"/>
        <v/>
      </c>
      <c r="L662" s="21" t="str">
        <f t="shared" ca="1" si="533"/>
        <v/>
      </c>
      <c r="M662" s="21" t="str">
        <f>IF(SUMIFS('Input Sheet'!$F$3:$F$1001,'Input Sheet'!$B$3:$B$1001,$H662,'Input Sheet'!$E$3:$E$1001,M$4)=0,"",SUMIFS('Input Sheet'!$F$3:$F$1001,'Input Sheet'!$B$3:$B$1001,$H662,'Input Sheet'!$E$3:$E$1001,M$4))</f>
        <v/>
      </c>
      <c r="N662" s="21" t="str">
        <f>IF(SUMIFS('Input Sheet'!$F$3:$F$1001,'Input Sheet'!$B$3:$B$1001,$H662,'Input Sheet'!$E$3:$E$1001,N$4)=0,"",SUMIFS('Input Sheet'!$F$3:$F$1001,'Input Sheet'!$B$3:$B$1001,$H662,'Input Sheet'!$E$3:$E$1001,N$4))</f>
        <v/>
      </c>
      <c r="O662" s="21" t="str">
        <f>IF(SUMIFS('Input Sheet'!$F$3:$F$1001,'Input Sheet'!$B$3:$B$1001,$H662,'Input Sheet'!$E$3:$E$1001,O$4)=0,"",SUMIFS('Input Sheet'!$F$3:$F$1001,'Input Sheet'!$B$3:$B$1001,$H662,'Input Sheet'!$E$3:$E$1001,O$4))</f>
        <v/>
      </c>
      <c r="P662" s="21" t="str">
        <f>IF(SUMIFS('Input Sheet'!$F$3:$F$1001,'Input Sheet'!$B$3:$B$1001,$H662,'Input Sheet'!$E$3:$E$1001,P$4)=0,"",SUMIFS('Input Sheet'!$F$3:$F$1001,'Input Sheet'!$B$3:$B$1001,$H662,'Input Sheet'!$E$3:$E$1001,P$4))</f>
        <v/>
      </c>
      <c r="Q662" s="21" t="str">
        <f>IF(SUMIFS('Input Sheet'!$F$3:$F$1001,'Input Sheet'!$B$3:$B$1001,$H662,'Input Sheet'!$E$3:$E$1001,Q$4)=0,"",SUMIFS('Input Sheet'!$F$3:$F$1001,'Input Sheet'!$B$3:$B$1001,$H662,'Input Sheet'!$E$3:$E$1001,Q$4))</f>
        <v/>
      </c>
      <c r="R662" s="21" t="str">
        <f>IF(SUMIFS('Input Sheet'!$F$3:$F$1001,'Input Sheet'!$B$3:$B$1001,$H662,'Input Sheet'!$E$3:$E$1001,R$4)=0,"",SUMIFS('Input Sheet'!$F$3:$F$1001,'Input Sheet'!$B$3:$B$1001,$H662,'Input Sheet'!$E$3:$E$1001,R$4))</f>
        <v/>
      </c>
      <c r="S662" s="21" t="str">
        <f>IF(SUMIFS('Input Sheet'!$F$3:$F$1001,'Input Sheet'!$B$3:$B$1001,$H662,'Input Sheet'!$E$3:$E$1001,S$4)=0,"",SUMIFS('Input Sheet'!$F$3:$F$1001,'Input Sheet'!$B$3:$B$1001,$H662,'Input Sheet'!$E$3:$E$1001,S$4))</f>
        <v/>
      </c>
      <c r="T662" s="22">
        <v>657</v>
      </c>
    </row>
    <row r="663" spans="1:20" ht="14.25" customHeight="1" x14ac:dyDescent="0.3">
      <c r="A663" s="4" t="str">
        <f>IF('Input Sheet'!B660=0,"",'Input Sheet'!B660)</f>
        <v/>
      </c>
      <c r="B663" s="24" t="b">
        <f t="shared" si="526"/>
        <v>0</v>
      </c>
      <c r="C663" s="4">
        <f>SUMIF('Input Sheet'!B$3:B$1000,A663,'Input Sheet'!C$3:C$1000)</f>
        <v>0</v>
      </c>
      <c r="D663" s="4">
        <f>SUMIF('Input Sheet'!B$3:B$1000,A663,'Input Sheet'!D$3:D$1000)</f>
        <v>0</v>
      </c>
      <c r="E663" s="4" t="str">
        <f t="shared" ref="E663:F663" ca="1" si="680">IFERROR(RANK(K663,K$6:K$1004,1),"")</f>
        <v/>
      </c>
      <c r="F663" s="4" t="str">
        <f t="shared" ca="1" si="680"/>
        <v/>
      </c>
      <c r="G663" s="4" t="str">
        <f t="shared" ca="1" si="528"/>
        <v/>
      </c>
      <c r="H663" s="4" t="str">
        <f t="shared" si="529"/>
        <v/>
      </c>
      <c r="I663" s="4" t="str">
        <f t="shared" si="530"/>
        <v/>
      </c>
      <c r="J663" s="4" t="str">
        <f t="shared" si="531"/>
        <v/>
      </c>
      <c r="K663" s="25" t="str">
        <f t="shared" ca="1" si="532"/>
        <v/>
      </c>
      <c r="L663" s="21" t="str">
        <f t="shared" ca="1" si="533"/>
        <v/>
      </c>
      <c r="M663" s="21" t="str">
        <f>IF(SUMIFS('Input Sheet'!$F$3:$F$1001,'Input Sheet'!$B$3:$B$1001,$H663,'Input Sheet'!$E$3:$E$1001,M$4)=0,"",SUMIFS('Input Sheet'!$F$3:$F$1001,'Input Sheet'!$B$3:$B$1001,$H663,'Input Sheet'!$E$3:$E$1001,M$4))</f>
        <v/>
      </c>
      <c r="N663" s="21" t="str">
        <f>IF(SUMIFS('Input Sheet'!$F$3:$F$1001,'Input Sheet'!$B$3:$B$1001,$H663,'Input Sheet'!$E$3:$E$1001,N$4)=0,"",SUMIFS('Input Sheet'!$F$3:$F$1001,'Input Sheet'!$B$3:$B$1001,$H663,'Input Sheet'!$E$3:$E$1001,N$4))</f>
        <v/>
      </c>
      <c r="O663" s="21" t="str">
        <f>IF(SUMIFS('Input Sheet'!$F$3:$F$1001,'Input Sheet'!$B$3:$B$1001,$H663,'Input Sheet'!$E$3:$E$1001,O$4)=0,"",SUMIFS('Input Sheet'!$F$3:$F$1001,'Input Sheet'!$B$3:$B$1001,$H663,'Input Sheet'!$E$3:$E$1001,O$4))</f>
        <v/>
      </c>
      <c r="P663" s="21" t="str">
        <f>IF(SUMIFS('Input Sheet'!$F$3:$F$1001,'Input Sheet'!$B$3:$B$1001,$H663,'Input Sheet'!$E$3:$E$1001,P$4)=0,"",SUMIFS('Input Sheet'!$F$3:$F$1001,'Input Sheet'!$B$3:$B$1001,$H663,'Input Sheet'!$E$3:$E$1001,P$4))</f>
        <v/>
      </c>
      <c r="Q663" s="21" t="str">
        <f>IF(SUMIFS('Input Sheet'!$F$3:$F$1001,'Input Sheet'!$B$3:$B$1001,$H663,'Input Sheet'!$E$3:$E$1001,Q$4)=0,"",SUMIFS('Input Sheet'!$F$3:$F$1001,'Input Sheet'!$B$3:$B$1001,$H663,'Input Sheet'!$E$3:$E$1001,Q$4))</f>
        <v/>
      </c>
      <c r="R663" s="21" t="str">
        <f>IF(SUMIFS('Input Sheet'!$F$3:$F$1001,'Input Sheet'!$B$3:$B$1001,$H663,'Input Sheet'!$E$3:$E$1001,R$4)=0,"",SUMIFS('Input Sheet'!$F$3:$F$1001,'Input Sheet'!$B$3:$B$1001,$H663,'Input Sheet'!$E$3:$E$1001,R$4))</f>
        <v/>
      </c>
      <c r="S663" s="21" t="str">
        <f>IF(SUMIFS('Input Sheet'!$F$3:$F$1001,'Input Sheet'!$B$3:$B$1001,$H663,'Input Sheet'!$E$3:$E$1001,S$4)=0,"",SUMIFS('Input Sheet'!$F$3:$F$1001,'Input Sheet'!$B$3:$B$1001,$H663,'Input Sheet'!$E$3:$E$1001,S$4))</f>
        <v/>
      </c>
      <c r="T663" s="22">
        <v>658</v>
      </c>
    </row>
    <row r="664" spans="1:20" ht="14.25" customHeight="1" x14ac:dyDescent="0.3">
      <c r="A664" s="4" t="str">
        <f>IF('Input Sheet'!B661=0,"",'Input Sheet'!B661)</f>
        <v/>
      </c>
      <c r="B664" s="24" t="b">
        <f t="shared" si="526"/>
        <v>0</v>
      </c>
      <c r="C664" s="4">
        <f>SUMIF('Input Sheet'!B$3:B$1000,A664,'Input Sheet'!C$3:C$1000)</f>
        <v>0</v>
      </c>
      <c r="D664" s="4">
        <f>SUMIF('Input Sheet'!B$3:B$1000,A664,'Input Sheet'!D$3:D$1000)</f>
        <v>0</v>
      </c>
      <c r="E664" s="4" t="str">
        <f t="shared" ref="E664:F664" ca="1" si="681">IFERROR(RANK(K664,K$6:K$1004,1),"")</f>
        <v/>
      </c>
      <c r="F664" s="4" t="str">
        <f t="shared" ca="1" si="681"/>
        <v/>
      </c>
      <c r="G664" s="4" t="str">
        <f t="shared" ca="1" si="528"/>
        <v/>
      </c>
      <c r="H664" s="4" t="str">
        <f t="shared" si="529"/>
        <v/>
      </c>
      <c r="I664" s="4" t="str">
        <f t="shared" si="530"/>
        <v/>
      </c>
      <c r="J664" s="4" t="str">
        <f t="shared" si="531"/>
        <v/>
      </c>
      <c r="K664" s="25" t="str">
        <f t="shared" ca="1" si="532"/>
        <v/>
      </c>
      <c r="L664" s="21" t="str">
        <f t="shared" ca="1" si="533"/>
        <v/>
      </c>
      <c r="M664" s="21" t="str">
        <f>IF(SUMIFS('Input Sheet'!$F$3:$F$1001,'Input Sheet'!$B$3:$B$1001,$H664,'Input Sheet'!$E$3:$E$1001,M$4)=0,"",SUMIFS('Input Sheet'!$F$3:$F$1001,'Input Sheet'!$B$3:$B$1001,$H664,'Input Sheet'!$E$3:$E$1001,M$4))</f>
        <v/>
      </c>
      <c r="N664" s="21" t="str">
        <f>IF(SUMIFS('Input Sheet'!$F$3:$F$1001,'Input Sheet'!$B$3:$B$1001,$H664,'Input Sheet'!$E$3:$E$1001,N$4)=0,"",SUMIFS('Input Sheet'!$F$3:$F$1001,'Input Sheet'!$B$3:$B$1001,$H664,'Input Sheet'!$E$3:$E$1001,N$4))</f>
        <v/>
      </c>
      <c r="O664" s="21" t="str">
        <f>IF(SUMIFS('Input Sheet'!$F$3:$F$1001,'Input Sheet'!$B$3:$B$1001,$H664,'Input Sheet'!$E$3:$E$1001,O$4)=0,"",SUMIFS('Input Sheet'!$F$3:$F$1001,'Input Sheet'!$B$3:$B$1001,$H664,'Input Sheet'!$E$3:$E$1001,O$4))</f>
        <v/>
      </c>
      <c r="P664" s="21" t="str">
        <f>IF(SUMIFS('Input Sheet'!$F$3:$F$1001,'Input Sheet'!$B$3:$B$1001,$H664,'Input Sheet'!$E$3:$E$1001,P$4)=0,"",SUMIFS('Input Sheet'!$F$3:$F$1001,'Input Sheet'!$B$3:$B$1001,$H664,'Input Sheet'!$E$3:$E$1001,P$4))</f>
        <v/>
      </c>
      <c r="Q664" s="21" t="str">
        <f>IF(SUMIFS('Input Sheet'!$F$3:$F$1001,'Input Sheet'!$B$3:$B$1001,$H664,'Input Sheet'!$E$3:$E$1001,Q$4)=0,"",SUMIFS('Input Sheet'!$F$3:$F$1001,'Input Sheet'!$B$3:$B$1001,$H664,'Input Sheet'!$E$3:$E$1001,Q$4))</f>
        <v/>
      </c>
      <c r="R664" s="21" t="str">
        <f>IF(SUMIFS('Input Sheet'!$F$3:$F$1001,'Input Sheet'!$B$3:$B$1001,$H664,'Input Sheet'!$E$3:$E$1001,R$4)=0,"",SUMIFS('Input Sheet'!$F$3:$F$1001,'Input Sheet'!$B$3:$B$1001,$H664,'Input Sheet'!$E$3:$E$1001,R$4))</f>
        <v/>
      </c>
      <c r="S664" s="21" t="str">
        <f>IF(SUMIFS('Input Sheet'!$F$3:$F$1001,'Input Sheet'!$B$3:$B$1001,$H664,'Input Sheet'!$E$3:$E$1001,S$4)=0,"",SUMIFS('Input Sheet'!$F$3:$F$1001,'Input Sheet'!$B$3:$B$1001,$H664,'Input Sheet'!$E$3:$E$1001,S$4))</f>
        <v/>
      </c>
      <c r="T664" s="22">
        <v>659</v>
      </c>
    </row>
    <row r="665" spans="1:20" ht="14.25" customHeight="1" x14ac:dyDescent="0.3">
      <c r="A665" s="4" t="str">
        <f>IF('Input Sheet'!B662=0,"",'Input Sheet'!B662)</f>
        <v/>
      </c>
      <c r="B665" s="24" t="b">
        <f t="shared" si="526"/>
        <v>0</v>
      </c>
      <c r="C665" s="4">
        <f>SUMIF('Input Sheet'!B$3:B$1000,A665,'Input Sheet'!C$3:C$1000)</f>
        <v>0</v>
      </c>
      <c r="D665" s="4">
        <f>SUMIF('Input Sheet'!B$3:B$1000,A665,'Input Sheet'!D$3:D$1000)</f>
        <v>0</v>
      </c>
      <c r="E665" s="4" t="str">
        <f t="shared" ref="E665:F665" ca="1" si="682">IFERROR(RANK(K665,K$6:K$1004,1),"")</f>
        <v/>
      </c>
      <c r="F665" s="4" t="str">
        <f t="shared" ca="1" si="682"/>
        <v/>
      </c>
      <c r="G665" s="4" t="str">
        <f t="shared" ca="1" si="528"/>
        <v/>
      </c>
      <c r="H665" s="4" t="str">
        <f t="shared" si="529"/>
        <v/>
      </c>
      <c r="I665" s="4" t="str">
        <f t="shared" si="530"/>
        <v/>
      </c>
      <c r="J665" s="4" t="str">
        <f t="shared" si="531"/>
        <v/>
      </c>
      <c r="K665" s="25" t="str">
        <f t="shared" ca="1" si="532"/>
        <v/>
      </c>
      <c r="L665" s="21" t="str">
        <f t="shared" ca="1" si="533"/>
        <v/>
      </c>
      <c r="M665" s="21" t="str">
        <f>IF(SUMIFS('Input Sheet'!$F$3:$F$1001,'Input Sheet'!$B$3:$B$1001,$H665,'Input Sheet'!$E$3:$E$1001,M$4)=0,"",SUMIFS('Input Sheet'!$F$3:$F$1001,'Input Sheet'!$B$3:$B$1001,$H665,'Input Sheet'!$E$3:$E$1001,M$4))</f>
        <v/>
      </c>
      <c r="N665" s="21" t="str">
        <f>IF(SUMIFS('Input Sheet'!$F$3:$F$1001,'Input Sheet'!$B$3:$B$1001,$H665,'Input Sheet'!$E$3:$E$1001,N$4)=0,"",SUMIFS('Input Sheet'!$F$3:$F$1001,'Input Sheet'!$B$3:$B$1001,$H665,'Input Sheet'!$E$3:$E$1001,N$4))</f>
        <v/>
      </c>
      <c r="O665" s="21" t="str">
        <f>IF(SUMIFS('Input Sheet'!$F$3:$F$1001,'Input Sheet'!$B$3:$B$1001,$H665,'Input Sheet'!$E$3:$E$1001,O$4)=0,"",SUMIFS('Input Sheet'!$F$3:$F$1001,'Input Sheet'!$B$3:$B$1001,$H665,'Input Sheet'!$E$3:$E$1001,O$4))</f>
        <v/>
      </c>
      <c r="P665" s="21" t="str">
        <f>IF(SUMIFS('Input Sheet'!$F$3:$F$1001,'Input Sheet'!$B$3:$B$1001,$H665,'Input Sheet'!$E$3:$E$1001,P$4)=0,"",SUMIFS('Input Sheet'!$F$3:$F$1001,'Input Sheet'!$B$3:$B$1001,$H665,'Input Sheet'!$E$3:$E$1001,P$4))</f>
        <v/>
      </c>
      <c r="Q665" s="21" t="str">
        <f>IF(SUMIFS('Input Sheet'!$F$3:$F$1001,'Input Sheet'!$B$3:$B$1001,$H665,'Input Sheet'!$E$3:$E$1001,Q$4)=0,"",SUMIFS('Input Sheet'!$F$3:$F$1001,'Input Sheet'!$B$3:$B$1001,$H665,'Input Sheet'!$E$3:$E$1001,Q$4))</f>
        <v/>
      </c>
      <c r="R665" s="21" t="str">
        <f>IF(SUMIFS('Input Sheet'!$F$3:$F$1001,'Input Sheet'!$B$3:$B$1001,$H665,'Input Sheet'!$E$3:$E$1001,R$4)=0,"",SUMIFS('Input Sheet'!$F$3:$F$1001,'Input Sheet'!$B$3:$B$1001,$H665,'Input Sheet'!$E$3:$E$1001,R$4))</f>
        <v/>
      </c>
      <c r="S665" s="21" t="str">
        <f>IF(SUMIFS('Input Sheet'!$F$3:$F$1001,'Input Sheet'!$B$3:$B$1001,$H665,'Input Sheet'!$E$3:$E$1001,S$4)=0,"",SUMIFS('Input Sheet'!$F$3:$F$1001,'Input Sheet'!$B$3:$B$1001,$H665,'Input Sheet'!$E$3:$E$1001,S$4))</f>
        <v/>
      </c>
      <c r="T665" s="22">
        <v>660</v>
      </c>
    </row>
    <row r="666" spans="1:20" ht="14.25" customHeight="1" x14ac:dyDescent="0.3">
      <c r="A666" s="4" t="str">
        <f>IF('Input Sheet'!B663=0,"",'Input Sheet'!B663)</f>
        <v/>
      </c>
      <c r="B666" s="24" t="b">
        <f t="shared" si="526"/>
        <v>0</v>
      </c>
      <c r="C666" s="4">
        <f>SUMIF('Input Sheet'!B$3:B$1000,A666,'Input Sheet'!C$3:C$1000)</f>
        <v>0</v>
      </c>
      <c r="D666" s="4">
        <f>SUMIF('Input Sheet'!B$3:B$1000,A666,'Input Sheet'!D$3:D$1000)</f>
        <v>0</v>
      </c>
      <c r="E666" s="4" t="str">
        <f t="shared" ref="E666:F666" ca="1" si="683">IFERROR(RANK(K666,K$6:K$1004,1),"")</f>
        <v/>
      </c>
      <c r="F666" s="4" t="str">
        <f t="shared" ca="1" si="683"/>
        <v/>
      </c>
      <c r="G666" s="4" t="str">
        <f t="shared" ca="1" si="528"/>
        <v/>
      </c>
      <c r="H666" s="4" t="str">
        <f t="shared" si="529"/>
        <v/>
      </c>
      <c r="I666" s="4" t="str">
        <f t="shared" si="530"/>
        <v/>
      </c>
      <c r="J666" s="4" t="str">
        <f t="shared" si="531"/>
        <v/>
      </c>
      <c r="K666" s="25" t="str">
        <f t="shared" ca="1" si="532"/>
        <v/>
      </c>
      <c r="L666" s="21" t="str">
        <f t="shared" ca="1" si="533"/>
        <v/>
      </c>
      <c r="M666" s="21" t="str">
        <f>IF(SUMIFS('Input Sheet'!$F$3:$F$1001,'Input Sheet'!$B$3:$B$1001,$H666,'Input Sheet'!$E$3:$E$1001,M$4)=0,"",SUMIFS('Input Sheet'!$F$3:$F$1001,'Input Sheet'!$B$3:$B$1001,$H666,'Input Sheet'!$E$3:$E$1001,M$4))</f>
        <v/>
      </c>
      <c r="N666" s="21" t="str">
        <f>IF(SUMIFS('Input Sheet'!$F$3:$F$1001,'Input Sheet'!$B$3:$B$1001,$H666,'Input Sheet'!$E$3:$E$1001,N$4)=0,"",SUMIFS('Input Sheet'!$F$3:$F$1001,'Input Sheet'!$B$3:$B$1001,$H666,'Input Sheet'!$E$3:$E$1001,N$4))</f>
        <v/>
      </c>
      <c r="O666" s="21" t="str">
        <f>IF(SUMIFS('Input Sheet'!$F$3:$F$1001,'Input Sheet'!$B$3:$B$1001,$H666,'Input Sheet'!$E$3:$E$1001,O$4)=0,"",SUMIFS('Input Sheet'!$F$3:$F$1001,'Input Sheet'!$B$3:$B$1001,$H666,'Input Sheet'!$E$3:$E$1001,O$4))</f>
        <v/>
      </c>
      <c r="P666" s="21" t="str">
        <f>IF(SUMIFS('Input Sheet'!$F$3:$F$1001,'Input Sheet'!$B$3:$B$1001,$H666,'Input Sheet'!$E$3:$E$1001,P$4)=0,"",SUMIFS('Input Sheet'!$F$3:$F$1001,'Input Sheet'!$B$3:$B$1001,$H666,'Input Sheet'!$E$3:$E$1001,P$4))</f>
        <v/>
      </c>
      <c r="Q666" s="21" t="str">
        <f>IF(SUMIFS('Input Sheet'!$F$3:$F$1001,'Input Sheet'!$B$3:$B$1001,$H666,'Input Sheet'!$E$3:$E$1001,Q$4)=0,"",SUMIFS('Input Sheet'!$F$3:$F$1001,'Input Sheet'!$B$3:$B$1001,$H666,'Input Sheet'!$E$3:$E$1001,Q$4))</f>
        <v/>
      </c>
      <c r="R666" s="21" t="str">
        <f>IF(SUMIFS('Input Sheet'!$F$3:$F$1001,'Input Sheet'!$B$3:$B$1001,$H666,'Input Sheet'!$E$3:$E$1001,R$4)=0,"",SUMIFS('Input Sheet'!$F$3:$F$1001,'Input Sheet'!$B$3:$B$1001,$H666,'Input Sheet'!$E$3:$E$1001,R$4))</f>
        <v/>
      </c>
      <c r="S666" s="21" t="str">
        <f>IF(SUMIFS('Input Sheet'!$F$3:$F$1001,'Input Sheet'!$B$3:$B$1001,$H666,'Input Sheet'!$E$3:$E$1001,S$4)=0,"",SUMIFS('Input Sheet'!$F$3:$F$1001,'Input Sheet'!$B$3:$B$1001,$H666,'Input Sheet'!$E$3:$E$1001,S$4))</f>
        <v/>
      </c>
      <c r="T666" s="22">
        <v>661</v>
      </c>
    </row>
    <row r="667" spans="1:20" ht="14.25" customHeight="1" x14ac:dyDescent="0.3">
      <c r="A667" s="4" t="str">
        <f>IF('Input Sheet'!B664=0,"",'Input Sheet'!B664)</f>
        <v/>
      </c>
      <c r="B667" s="24" t="b">
        <f t="shared" si="526"/>
        <v>0</v>
      </c>
      <c r="C667" s="4">
        <f>SUMIF('Input Sheet'!B$3:B$1000,A667,'Input Sheet'!C$3:C$1000)</f>
        <v>0</v>
      </c>
      <c r="D667" s="4">
        <f>SUMIF('Input Sheet'!B$3:B$1000,A667,'Input Sheet'!D$3:D$1000)</f>
        <v>0</v>
      </c>
      <c r="E667" s="4" t="str">
        <f t="shared" ref="E667:F667" ca="1" si="684">IFERROR(RANK(K667,K$6:K$1004,1),"")</f>
        <v/>
      </c>
      <c r="F667" s="4" t="str">
        <f t="shared" ca="1" si="684"/>
        <v/>
      </c>
      <c r="G667" s="4" t="str">
        <f t="shared" ca="1" si="528"/>
        <v/>
      </c>
      <c r="H667" s="4" t="str">
        <f t="shared" si="529"/>
        <v/>
      </c>
      <c r="I667" s="4" t="str">
        <f t="shared" si="530"/>
        <v/>
      </c>
      <c r="J667" s="4" t="str">
        <f t="shared" si="531"/>
        <v/>
      </c>
      <c r="K667" s="25" t="str">
        <f t="shared" ca="1" si="532"/>
        <v/>
      </c>
      <c r="L667" s="21" t="str">
        <f t="shared" ca="1" si="533"/>
        <v/>
      </c>
      <c r="M667" s="21" t="str">
        <f>IF(SUMIFS('Input Sheet'!$F$3:$F$1001,'Input Sheet'!$B$3:$B$1001,$H667,'Input Sheet'!$E$3:$E$1001,M$4)=0,"",SUMIFS('Input Sheet'!$F$3:$F$1001,'Input Sheet'!$B$3:$B$1001,$H667,'Input Sheet'!$E$3:$E$1001,M$4))</f>
        <v/>
      </c>
      <c r="N667" s="21" t="str">
        <f>IF(SUMIFS('Input Sheet'!$F$3:$F$1001,'Input Sheet'!$B$3:$B$1001,$H667,'Input Sheet'!$E$3:$E$1001,N$4)=0,"",SUMIFS('Input Sheet'!$F$3:$F$1001,'Input Sheet'!$B$3:$B$1001,$H667,'Input Sheet'!$E$3:$E$1001,N$4))</f>
        <v/>
      </c>
      <c r="O667" s="21" t="str">
        <f>IF(SUMIFS('Input Sheet'!$F$3:$F$1001,'Input Sheet'!$B$3:$B$1001,$H667,'Input Sheet'!$E$3:$E$1001,O$4)=0,"",SUMIFS('Input Sheet'!$F$3:$F$1001,'Input Sheet'!$B$3:$B$1001,$H667,'Input Sheet'!$E$3:$E$1001,O$4))</f>
        <v/>
      </c>
      <c r="P667" s="21" t="str">
        <f>IF(SUMIFS('Input Sheet'!$F$3:$F$1001,'Input Sheet'!$B$3:$B$1001,$H667,'Input Sheet'!$E$3:$E$1001,P$4)=0,"",SUMIFS('Input Sheet'!$F$3:$F$1001,'Input Sheet'!$B$3:$B$1001,$H667,'Input Sheet'!$E$3:$E$1001,P$4))</f>
        <v/>
      </c>
      <c r="Q667" s="21" t="str">
        <f>IF(SUMIFS('Input Sheet'!$F$3:$F$1001,'Input Sheet'!$B$3:$B$1001,$H667,'Input Sheet'!$E$3:$E$1001,Q$4)=0,"",SUMIFS('Input Sheet'!$F$3:$F$1001,'Input Sheet'!$B$3:$B$1001,$H667,'Input Sheet'!$E$3:$E$1001,Q$4))</f>
        <v/>
      </c>
      <c r="R667" s="21" t="str">
        <f>IF(SUMIFS('Input Sheet'!$F$3:$F$1001,'Input Sheet'!$B$3:$B$1001,$H667,'Input Sheet'!$E$3:$E$1001,R$4)=0,"",SUMIFS('Input Sheet'!$F$3:$F$1001,'Input Sheet'!$B$3:$B$1001,$H667,'Input Sheet'!$E$3:$E$1001,R$4))</f>
        <v/>
      </c>
      <c r="S667" s="21" t="str">
        <f>IF(SUMIFS('Input Sheet'!$F$3:$F$1001,'Input Sheet'!$B$3:$B$1001,$H667,'Input Sheet'!$E$3:$E$1001,S$4)=0,"",SUMIFS('Input Sheet'!$F$3:$F$1001,'Input Sheet'!$B$3:$B$1001,$H667,'Input Sheet'!$E$3:$E$1001,S$4))</f>
        <v/>
      </c>
      <c r="T667" s="22">
        <v>662</v>
      </c>
    </row>
    <row r="668" spans="1:20" ht="14.25" customHeight="1" x14ac:dyDescent="0.3">
      <c r="A668" s="4" t="str">
        <f>IF('Input Sheet'!B665=0,"",'Input Sheet'!B665)</f>
        <v/>
      </c>
      <c r="B668" s="24" t="b">
        <f t="shared" si="526"/>
        <v>0</v>
      </c>
      <c r="C668" s="4">
        <f>SUMIF('Input Sheet'!B$3:B$1000,A668,'Input Sheet'!C$3:C$1000)</f>
        <v>0</v>
      </c>
      <c r="D668" s="4">
        <f>SUMIF('Input Sheet'!B$3:B$1000,A668,'Input Sheet'!D$3:D$1000)</f>
        <v>0</v>
      </c>
      <c r="E668" s="4" t="str">
        <f t="shared" ref="E668:F668" ca="1" si="685">IFERROR(RANK(K668,K$6:K$1004,1),"")</f>
        <v/>
      </c>
      <c r="F668" s="4" t="str">
        <f t="shared" ca="1" si="685"/>
        <v/>
      </c>
      <c r="G668" s="4" t="str">
        <f t="shared" ca="1" si="528"/>
        <v/>
      </c>
      <c r="H668" s="4" t="str">
        <f t="shared" si="529"/>
        <v/>
      </c>
      <c r="I668" s="4" t="str">
        <f t="shared" si="530"/>
        <v/>
      </c>
      <c r="J668" s="4" t="str">
        <f t="shared" si="531"/>
        <v/>
      </c>
      <c r="K668" s="25" t="str">
        <f t="shared" ca="1" si="532"/>
        <v/>
      </c>
      <c r="L668" s="21" t="str">
        <f t="shared" ca="1" si="533"/>
        <v/>
      </c>
      <c r="M668" s="21" t="str">
        <f>IF(SUMIFS('Input Sheet'!$F$3:$F$1001,'Input Sheet'!$B$3:$B$1001,$H668,'Input Sheet'!$E$3:$E$1001,M$4)=0,"",SUMIFS('Input Sheet'!$F$3:$F$1001,'Input Sheet'!$B$3:$B$1001,$H668,'Input Sheet'!$E$3:$E$1001,M$4))</f>
        <v/>
      </c>
      <c r="N668" s="21" t="str">
        <f>IF(SUMIFS('Input Sheet'!$F$3:$F$1001,'Input Sheet'!$B$3:$B$1001,$H668,'Input Sheet'!$E$3:$E$1001,N$4)=0,"",SUMIFS('Input Sheet'!$F$3:$F$1001,'Input Sheet'!$B$3:$B$1001,$H668,'Input Sheet'!$E$3:$E$1001,N$4))</f>
        <v/>
      </c>
      <c r="O668" s="21" t="str">
        <f>IF(SUMIFS('Input Sheet'!$F$3:$F$1001,'Input Sheet'!$B$3:$B$1001,$H668,'Input Sheet'!$E$3:$E$1001,O$4)=0,"",SUMIFS('Input Sheet'!$F$3:$F$1001,'Input Sheet'!$B$3:$B$1001,$H668,'Input Sheet'!$E$3:$E$1001,O$4))</f>
        <v/>
      </c>
      <c r="P668" s="21" t="str">
        <f>IF(SUMIFS('Input Sheet'!$F$3:$F$1001,'Input Sheet'!$B$3:$B$1001,$H668,'Input Sheet'!$E$3:$E$1001,P$4)=0,"",SUMIFS('Input Sheet'!$F$3:$F$1001,'Input Sheet'!$B$3:$B$1001,$H668,'Input Sheet'!$E$3:$E$1001,P$4))</f>
        <v/>
      </c>
      <c r="Q668" s="21" t="str">
        <f>IF(SUMIFS('Input Sheet'!$F$3:$F$1001,'Input Sheet'!$B$3:$B$1001,$H668,'Input Sheet'!$E$3:$E$1001,Q$4)=0,"",SUMIFS('Input Sheet'!$F$3:$F$1001,'Input Sheet'!$B$3:$B$1001,$H668,'Input Sheet'!$E$3:$E$1001,Q$4))</f>
        <v/>
      </c>
      <c r="R668" s="21" t="str">
        <f>IF(SUMIFS('Input Sheet'!$F$3:$F$1001,'Input Sheet'!$B$3:$B$1001,$H668,'Input Sheet'!$E$3:$E$1001,R$4)=0,"",SUMIFS('Input Sheet'!$F$3:$F$1001,'Input Sheet'!$B$3:$B$1001,$H668,'Input Sheet'!$E$3:$E$1001,R$4))</f>
        <v/>
      </c>
      <c r="S668" s="21" t="str">
        <f>IF(SUMIFS('Input Sheet'!$F$3:$F$1001,'Input Sheet'!$B$3:$B$1001,$H668,'Input Sheet'!$E$3:$E$1001,S$4)=0,"",SUMIFS('Input Sheet'!$F$3:$F$1001,'Input Sheet'!$B$3:$B$1001,$H668,'Input Sheet'!$E$3:$E$1001,S$4))</f>
        <v/>
      </c>
      <c r="T668" s="22">
        <v>663</v>
      </c>
    </row>
    <row r="669" spans="1:20" ht="14.25" customHeight="1" x14ac:dyDescent="0.3">
      <c r="A669" s="4" t="str">
        <f>IF('Input Sheet'!B666=0,"",'Input Sheet'!B666)</f>
        <v/>
      </c>
      <c r="B669" s="24" t="b">
        <f t="shared" si="526"/>
        <v>0</v>
      </c>
      <c r="C669" s="4">
        <f>SUMIF('Input Sheet'!B$3:B$1000,A669,'Input Sheet'!C$3:C$1000)</f>
        <v>0</v>
      </c>
      <c r="D669" s="4">
        <f>SUMIF('Input Sheet'!B$3:B$1000,A669,'Input Sheet'!D$3:D$1000)</f>
        <v>0</v>
      </c>
      <c r="E669" s="4" t="str">
        <f t="shared" ref="E669:F669" ca="1" si="686">IFERROR(RANK(K669,K$6:K$1004,1),"")</f>
        <v/>
      </c>
      <c r="F669" s="4" t="str">
        <f t="shared" ca="1" si="686"/>
        <v/>
      </c>
      <c r="G669" s="4" t="str">
        <f t="shared" ca="1" si="528"/>
        <v/>
      </c>
      <c r="H669" s="4" t="str">
        <f t="shared" si="529"/>
        <v/>
      </c>
      <c r="I669" s="4" t="str">
        <f t="shared" si="530"/>
        <v/>
      </c>
      <c r="J669" s="4" t="str">
        <f t="shared" si="531"/>
        <v/>
      </c>
      <c r="K669" s="25" t="str">
        <f t="shared" ca="1" si="532"/>
        <v/>
      </c>
      <c r="L669" s="21" t="str">
        <f t="shared" ca="1" si="533"/>
        <v/>
      </c>
      <c r="M669" s="21" t="str">
        <f>IF(SUMIFS('Input Sheet'!$F$3:$F$1001,'Input Sheet'!$B$3:$B$1001,$H669,'Input Sheet'!$E$3:$E$1001,M$4)=0,"",SUMIFS('Input Sheet'!$F$3:$F$1001,'Input Sheet'!$B$3:$B$1001,$H669,'Input Sheet'!$E$3:$E$1001,M$4))</f>
        <v/>
      </c>
      <c r="N669" s="21" t="str">
        <f>IF(SUMIFS('Input Sheet'!$F$3:$F$1001,'Input Sheet'!$B$3:$B$1001,$H669,'Input Sheet'!$E$3:$E$1001,N$4)=0,"",SUMIFS('Input Sheet'!$F$3:$F$1001,'Input Sheet'!$B$3:$B$1001,$H669,'Input Sheet'!$E$3:$E$1001,N$4))</f>
        <v/>
      </c>
      <c r="O669" s="21" t="str">
        <f>IF(SUMIFS('Input Sheet'!$F$3:$F$1001,'Input Sheet'!$B$3:$B$1001,$H669,'Input Sheet'!$E$3:$E$1001,O$4)=0,"",SUMIFS('Input Sheet'!$F$3:$F$1001,'Input Sheet'!$B$3:$B$1001,$H669,'Input Sheet'!$E$3:$E$1001,O$4))</f>
        <v/>
      </c>
      <c r="P669" s="21" t="str">
        <f>IF(SUMIFS('Input Sheet'!$F$3:$F$1001,'Input Sheet'!$B$3:$B$1001,$H669,'Input Sheet'!$E$3:$E$1001,P$4)=0,"",SUMIFS('Input Sheet'!$F$3:$F$1001,'Input Sheet'!$B$3:$B$1001,$H669,'Input Sheet'!$E$3:$E$1001,P$4))</f>
        <v/>
      </c>
      <c r="Q669" s="21" t="str">
        <f>IF(SUMIFS('Input Sheet'!$F$3:$F$1001,'Input Sheet'!$B$3:$B$1001,$H669,'Input Sheet'!$E$3:$E$1001,Q$4)=0,"",SUMIFS('Input Sheet'!$F$3:$F$1001,'Input Sheet'!$B$3:$B$1001,$H669,'Input Sheet'!$E$3:$E$1001,Q$4))</f>
        <v/>
      </c>
      <c r="R669" s="21" t="str">
        <f>IF(SUMIFS('Input Sheet'!$F$3:$F$1001,'Input Sheet'!$B$3:$B$1001,$H669,'Input Sheet'!$E$3:$E$1001,R$4)=0,"",SUMIFS('Input Sheet'!$F$3:$F$1001,'Input Sheet'!$B$3:$B$1001,$H669,'Input Sheet'!$E$3:$E$1001,R$4))</f>
        <v/>
      </c>
      <c r="S669" s="21" t="str">
        <f>IF(SUMIFS('Input Sheet'!$F$3:$F$1001,'Input Sheet'!$B$3:$B$1001,$H669,'Input Sheet'!$E$3:$E$1001,S$4)=0,"",SUMIFS('Input Sheet'!$F$3:$F$1001,'Input Sheet'!$B$3:$B$1001,$H669,'Input Sheet'!$E$3:$E$1001,S$4))</f>
        <v/>
      </c>
      <c r="T669" s="22">
        <v>664</v>
      </c>
    </row>
    <row r="670" spans="1:20" ht="14.25" customHeight="1" x14ac:dyDescent="0.3">
      <c r="A670" s="4" t="str">
        <f>IF('Input Sheet'!B667=0,"",'Input Sheet'!B667)</f>
        <v/>
      </c>
      <c r="B670" s="24" t="b">
        <f t="shared" si="526"/>
        <v>0</v>
      </c>
      <c r="C670" s="4">
        <f>SUMIF('Input Sheet'!B$3:B$1000,A670,'Input Sheet'!C$3:C$1000)</f>
        <v>0</v>
      </c>
      <c r="D670" s="4">
        <f>SUMIF('Input Sheet'!B$3:B$1000,A670,'Input Sheet'!D$3:D$1000)</f>
        <v>0</v>
      </c>
      <c r="E670" s="4" t="str">
        <f t="shared" ref="E670:F670" ca="1" si="687">IFERROR(RANK(K670,K$6:K$1004,1),"")</f>
        <v/>
      </c>
      <c r="F670" s="4" t="str">
        <f t="shared" ca="1" si="687"/>
        <v/>
      </c>
      <c r="G670" s="4" t="str">
        <f t="shared" ca="1" si="528"/>
        <v/>
      </c>
      <c r="H670" s="4" t="str">
        <f t="shared" si="529"/>
        <v/>
      </c>
      <c r="I670" s="4" t="str">
        <f t="shared" si="530"/>
        <v/>
      </c>
      <c r="J670" s="4" t="str">
        <f t="shared" si="531"/>
        <v/>
      </c>
      <c r="K670" s="25" t="str">
        <f t="shared" ca="1" si="532"/>
        <v/>
      </c>
      <c r="L670" s="21" t="str">
        <f t="shared" ca="1" si="533"/>
        <v/>
      </c>
      <c r="M670" s="21" t="str">
        <f>IF(SUMIFS('Input Sheet'!$F$3:$F$1001,'Input Sheet'!$B$3:$B$1001,$H670,'Input Sheet'!$E$3:$E$1001,M$4)=0,"",SUMIFS('Input Sheet'!$F$3:$F$1001,'Input Sheet'!$B$3:$B$1001,$H670,'Input Sheet'!$E$3:$E$1001,M$4))</f>
        <v/>
      </c>
      <c r="N670" s="21" t="str">
        <f>IF(SUMIFS('Input Sheet'!$F$3:$F$1001,'Input Sheet'!$B$3:$B$1001,$H670,'Input Sheet'!$E$3:$E$1001,N$4)=0,"",SUMIFS('Input Sheet'!$F$3:$F$1001,'Input Sheet'!$B$3:$B$1001,$H670,'Input Sheet'!$E$3:$E$1001,N$4))</f>
        <v/>
      </c>
      <c r="O670" s="21" t="str">
        <f>IF(SUMIFS('Input Sheet'!$F$3:$F$1001,'Input Sheet'!$B$3:$B$1001,$H670,'Input Sheet'!$E$3:$E$1001,O$4)=0,"",SUMIFS('Input Sheet'!$F$3:$F$1001,'Input Sheet'!$B$3:$B$1001,$H670,'Input Sheet'!$E$3:$E$1001,O$4))</f>
        <v/>
      </c>
      <c r="P670" s="21" t="str">
        <f>IF(SUMIFS('Input Sheet'!$F$3:$F$1001,'Input Sheet'!$B$3:$B$1001,$H670,'Input Sheet'!$E$3:$E$1001,P$4)=0,"",SUMIFS('Input Sheet'!$F$3:$F$1001,'Input Sheet'!$B$3:$B$1001,$H670,'Input Sheet'!$E$3:$E$1001,P$4))</f>
        <v/>
      </c>
      <c r="Q670" s="21" t="str">
        <f>IF(SUMIFS('Input Sheet'!$F$3:$F$1001,'Input Sheet'!$B$3:$B$1001,$H670,'Input Sheet'!$E$3:$E$1001,Q$4)=0,"",SUMIFS('Input Sheet'!$F$3:$F$1001,'Input Sheet'!$B$3:$B$1001,$H670,'Input Sheet'!$E$3:$E$1001,Q$4))</f>
        <v/>
      </c>
      <c r="R670" s="21" t="str">
        <f>IF(SUMIFS('Input Sheet'!$F$3:$F$1001,'Input Sheet'!$B$3:$B$1001,$H670,'Input Sheet'!$E$3:$E$1001,R$4)=0,"",SUMIFS('Input Sheet'!$F$3:$F$1001,'Input Sheet'!$B$3:$B$1001,$H670,'Input Sheet'!$E$3:$E$1001,R$4))</f>
        <v/>
      </c>
      <c r="S670" s="21" t="str">
        <f>IF(SUMIFS('Input Sheet'!$F$3:$F$1001,'Input Sheet'!$B$3:$B$1001,$H670,'Input Sheet'!$E$3:$E$1001,S$4)=0,"",SUMIFS('Input Sheet'!$F$3:$F$1001,'Input Sheet'!$B$3:$B$1001,$H670,'Input Sheet'!$E$3:$E$1001,S$4))</f>
        <v/>
      </c>
      <c r="T670" s="22">
        <v>665</v>
      </c>
    </row>
    <row r="671" spans="1:20" ht="14.25" customHeight="1" x14ac:dyDescent="0.3">
      <c r="A671" s="4" t="str">
        <f>IF('Input Sheet'!B668=0,"",'Input Sheet'!B668)</f>
        <v/>
      </c>
      <c r="B671" s="24" t="b">
        <f t="shared" si="526"/>
        <v>0</v>
      </c>
      <c r="C671" s="4">
        <f>SUMIF('Input Sheet'!B$3:B$1000,A671,'Input Sheet'!C$3:C$1000)</f>
        <v>0</v>
      </c>
      <c r="D671" s="4">
        <f>SUMIF('Input Sheet'!B$3:B$1000,A671,'Input Sheet'!D$3:D$1000)</f>
        <v>0</v>
      </c>
      <c r="E671" s="4" t="str">
        <f t="shared" ref="E671:F671" ca="1" si="688">IFERROR(RANK(K671,K$6:K$1004,1),"")</f>
        <v/>
      </c>
      <c r="F671" s="4" t="str">
        <f t="shared" ca="1" si="688"/>
        <v/>
      </c>
      <c r="G671" s="4" t="str">
        <f t="shared" ca="1" si="528"/>
        <v/>
      </c>
      <c r="H671" s="4" t="str">
        <f t="shared" si="529"/>
        <v/>
      </c>
      <c r="I671" s="4" t="str">
        <f t="shared" si="530"/>
        <v/>
      </c>
      <c r="J671" s="4" t="str">
        <f t="shared" si="531"/>
        <v/>
      </c>
      <c r="K671" s="25" t="str">
        <f t="shared" ca="1" si="532"/>
        <v/>
      </c>
      <c r="L671" s="21" t="str">
        <f t="shared" ca="1" si="533"/>
        <v/>
      </c>
      <c r="M671" s="21" t="str">
        <f>IF(SUMIFS('Input Sheet'!$F$3:$F$1001,'Input Sheet'!$B$3:$B$1001,$H671,'Input Sheet'!$E$3:$E$1001,M$4)=0,"",SUMIFS('Input Sheet'!$F$3:$F$1001,'Input Sheet'!$B$3:$B$1001,$H671,'Input Sheet'!$E$3:$E$1001,M$4))</f>
        <v/>
      </c>
      <c r="N671" s="21" t="str">
        <f>IF(SUMIFS('Input Sheet'!$F$3:$F$1001,'Input Sheet'!$B$3:$B$1001,$H671,'Input Sheet'!$E$3:$E$1001,N$4)=0,"",SUMIFS('Input Sheet'!$F$3:$F$1001,'Input Sheet'!$B$3:$B$1001,$H671,'Input Sheet'!$E$3:$E$1001,N$4))</f>
        <v/>
      </c>
      <c r="O671" s="21" t="str">
        <f>IF(SUMIFS('Input Sheet'!$F$3:$F$1001,'Input Sheet'!$B$3:$B$1001,$H671,'Input Sheet'!$E$3:$E$1001,O$4)=0,"",SUMIFS('Input Sheet'!$F$3:$F$1001,'Input Sheet'!$B$3:$B$1001,$H671,'Input Sheet'!$E$3:$E$1001,O$4))</f>
        <v/>
      </c>
      <c r="P671" s="21" t="str">
        <f>IF(SUMIFS('Input Sheet'!$F$3:$F$1001,'Input Sheet'!$B$3:$B$1001,$H671,'Input Sheet'!$E$3:$E$1001,P$4)=0,"",SUMIFS('Input Sheet'!$F$3:$F$1001,'Input Sheet'!$B$3:$B$1001,$H671,'Input Sheet'!$E$3:$E$1001,P$4))</f>
        <v/>
      </c>
      <c r="Q671" s="21" t="str">
        <f>IF(SUMIFS('Input Sheet'!$F$3:$F$1001,'Input Sheet'!$B$3:$B$1001,$H671,'Input Sheet'!$E$3:$E$1001,Q$4)=0,"",SUMIFS('Input Sheet'!$F$3:$F$1001,'Input Sheet'!$B$3:$B$1001,$H671,'Input Sheet'!$E$3:$E$1001,Q$4))</f>
        <v/>
      </c>
      <c r="R671" s="21" t="str">
        <f>IF(SUMIFS('Input Sheet'!$F$3:$F$1001,'Input Sheet'!$B$3:$B$1001,$H671,'Input Sheet'!$E$3:$E$1001,R$4)=0,"",SUMIFS('Input Sheet'!$F$3:$F$1001,'Input Sheet'!$B$3:$B$1001,$H671,'Input Sheet'!$E$3:$E$1001,R$4))</f>
        <v/>
      </c>
      <c r="S671" s="21" t="str">
        <f>IF(SUMIFS('Input Sheet'!$F$3:$F$1001,'Input Sheet'!$B$3:$B$1001,$H671,'Input Sheet'!$E$3:$E$1001,S$4)=0,"",SUMIFS('Input Sheet'!$F$3:$F$1001,'Input Sheet'!$B$3:$B$1001,$H671,'Input Sheet'!$E$3:$E$1001,S$4))</f>
        <v/>
      </c>
      <c r="T671" s="22">
        <v>666</v>
      </c>
    </row>
    <row r="672" spans="1:20" ht="14.25" customHeight="1" x14ac:dyDescent="0.3">
      <c r="A672" s="4" t="str">
        <f>IF('Input Sheet'!B669=0,"",'Input Sheet'!B669)</f>
        <v/>
      </c>
      <c r="B672" s="24" t="b">
        <f t="shared" si="526"/>
        <v>0</v>
      </c>
      <c r="C672" s="4">
        <f>SUMIF('Input Sheet'!B$3:B$1000,A672,'Input Sheet'!C$3:C$1000)</f>
        <v>0</v>
      </c>
      <c r="D672" s="4">
        <f>SUMIF('Input Sheet'!B$3:B$1000,A672,'Input Sheet'!D$3:D$1000)</f>
        <v>0</v>
      </c>
      <c r="E672" s="4" t="str">
        <f t="shared" ref="E672:F672" ca="1" si="689">IFERROR(RANK(K672,K$6:K$1004,1),"")</f>
        <v/>
      </c>
      <c r="F672" s="4" t="str">
        <f t="shared" ca="1" si="689"/>
        <v/>
      </c>
      <c r="G672" s="4" t="str">
        <f t="shared" ca="1" si="528"/>
        <v/>
      </c>
      <c r="H672" s="4" t="str">
        <f t="shared" si="529"/>
        <v/>
      </c>
      <c r="I672" s="4" t="str">
        <f t="shared" si="530"/>
        <v/>
      </c>
      <c r="J672" s="4" t="str">
        <f t="shared" si="531"/>
        <v/>
      </c>
      <c r="K672" s="25" t="str">
        <f t="shared" ca="1" si="532"/>
        <v/>
      </c>
      <c r="L672" s="21" t="str">
        <f t="shared" ca="1" si="533"/>
        <v/>
      </c>
      <c r="M672" s="21" t="str">
        <f>IF(SUMIFS('Input Sheet'!$F$3:$F$1001,'Input Sheet'!$B$3:$B$1001,$H672,'Input Sheet'!$E$3:$E$1001,M$4)=0,"",SUMIFS('Input Sheet'!$F$3:$F$1001,'Input Sheet'!$B$3:$B$1001,$H672,'Input Sheet'!$E$3:$E$1001,M$4))</f>
        <v/>
      </c>
      <c r="N672" s="21" t="str">
        <f>IF(SUMIFS('Input Sheet'!$F$3:$F$1001,'Input Sheet'!$B$3:$B$1001,$H672,'Input Sheet'!$E$3:$E$1001,N$4)=0,"",SUMIFS('Input Sheet'!$F$3:$F$1001,'Input Sheet'!$B$3:$B$1001,$H672,'Input Sheet'!$E$3:$E$1001,N$4))</f>
        <v/>
      </c>
      <c r="O672" s="21" t="str">
        <f>IF(SUMIFS('Input Sheet'!$F$3:$F$1001,'Input Sheet'!$B$3:$B$1001,$H672,'Input Sheet'!$E$3:$E$1001,O$4)=0,"",SUMIFS('Input Sheet'!$F$3:$F$1001,'Input Sheet'!$B$3:$B$1001,$H672,'Input Sheet'!$E$3:$E$1001,O$4))</f>
        <v/>
      </c>
      <c r="P672" s="21" t="str">
        <f>IF(SUMIFS('Input Sheet'!$F$3:$F$1001,'Input Sheet'!$B$3:$B$1001,$H672,'Input Sheet'!$E$3:$E$1001,P$4)=0,"",SUMIFS('Input Sheet'!$F$3:$F$1001,'Input Sheet'!$B$3:$B$1001,$H672,'Input Sheet'!$E$3:$E$1001,P$4))</f>
        <v/>
      </c>
      <c r="Q672" s="21" t="str">
        <f>IF(SUMIFS('Input Sheet'!$F$3:$F$1001,'Input Sheet'!$B$3:$B$1001,$H672,'Input Sheet'!$E$3:$E$1001,Q$4)=0,"",SUMIFS('Input Sheet'!$F$3:$F$1001,'Input Sheet'!$B$3:$B$1001,$H672,'Input Sheet'!$E$3:$E$1001,Q$4))</f>
        <v/>
      </c>
      <c r="R672" s="21" t="str">
        <f>IF(SUMIFS('Input Sheet'!$F$3:$F$1001,'Input Sheet'!$B$3:$B$1001,$H672,'Input Sheet'!$E$3:$E$1001,R$4)=0,"",SUMIFS('Input Sheet'!$F$3:$F$1001,'Input Sheet'!$B$3:$B$1001,$H672,'Input Sheet'!$E$3:$E$1001,R$4))</f>
        <v/>
      </c>
      <c r="S672" s="21" t="str">
        <f>IF(SUMIFS('Input Sheet'!$F$3:$F$1001,'Input Sheet'!$B$3:$B$1001,$H672,'Input Sheet'!$E$3:$E$1001,S$4)=0,"",SUMIFS('Input Sheet'!$F$3:$F$1001,'Input Sheet'!$B$3:$B$1001,$H672,'Input Sheet'!$E$3:$E$1001,S$4))</f>
        <v/>
      </c>
      <c r="T672" s="22">
        <v>667</v>
      </c>
    </row>
    <row r="673" spans="1:20" ht="14.25" customHeight="1" x14ac:dyDescent="0.3">
      <c r="A673" s="4" t="str">
        <f>IF('Input Sheet'!B670=0,"",'Input Sheet'!B670)</f>
        <v/>
      </c>
      <c r="B673" s="24" t="b">
        <f t="shared" si="526"/>
        <v>0</v>
      </c>
      <c r="C673" s="4">
        <f>SUMIF('Input Sheet'!B$3:B$1000,A673,'Input Sheet'!C$3:C$1000)</f>
        <v>0</v>
      </c>
      <c r="D673" s="4">
        <f>SUMIF('Input Sheet'!B$3:B$1000,A673,'Input Sheet'!D$3:D$1000)</f>
        <v>0</v>
      </c>
      <c r="E673" s="4" t="str">
        <f t="shared" ref="E673:F673" ca="1" si="690">IFERROR(RANK(K673,K$6:K$1004,1),"")</f>
        <v/>
      </c>
      <c r="F673" s="4" t="str">
        <f t="shared" ca="1" si="690"/>
        <v/>
      </c>
      <c r="G673" s="4" t="str">
        <f t="shared" ca="1" si="528"/>
        <v/>
      </c>
      <c r="H673" s="4" t="str">
        <f t="shared" si="529"/>
        <v/>
      </c>
      <c r="I673" s="4" t="str">
        <f t="shared" si="530"/>
        <v/>
      </c>
      <c r="J673" s="4" t="str">
        <f t="shared" si="531"/>
        <v/>
      </c>
      <c r="K673" s="25" t="str">
        <f t="shared" ca="1" si="532"/>
        <v/>
      </c>
      <c r="L673" s="21" t="str">
        <f t="shared" ca="1" si="533"/>
        <v/>
      </c>
      <c r="M673" s="21" t="str">
        <f>IF(SUMIFS('Input Sheet'!$F$3:$F$1001,'Input Sheet'!$B$3:$B$1001,$H673,'Input Sheet'!$E$3:$E$1001,M$4)=0,"",SUMIFS('Input Sheet'!$F$3:$F$1001,'Input Sheet'!$B$3:$B$1001,$H673,'Input Sheet'!$E$3:$E$1001,M$4))</f>
        <v/>
      </c>
      <c r="N673" s="21" t="str">
        <f>IF(SUMIFS('Input Sheet'!$F$3:$F$1001,'Input Sheet'!$B$3:$B$1001,$H673,'Input Sheet'!$E$3:$E$1001,N$4)=0,"",SUMIFS('Input Sheet'!$F$3:$F$1001,'Input Sheet'!$B$3:$B$1001,$H673,'Input Sheet'!$E$3:$E$1001,N$4))</f>
        <v/>
      </c>
      <c r="O673" s="21" t="str">
        <f>IF(SUMIFS('Input Sheet'!$F$3:$F$1001,'Input Sheet'!$B$3:$B$1001,$H673,'Input Sheet'!$E$3:$E$1001,O$4)=0,"",SUMIFS('Input Sheet'!$F$3:$F$1001,'Input Sheet'!$B$3:$B$1001,$H673,'Input Sheet'!$E$3:$E$1001,O$4))</f>
        <v/>
      </c>
      <c r="P673" s="21" t="str">
        <f>IF(SUMIFS('Input Sheet'!$F$3:$F$1001,'Input Sheet'!$B$3:$B$1001,$H673,'Input Sheet'!$E$3:$E$1001,P$4)=0,"",SUMIFS('Input Sheet'!$F$3:$F$1001,'Input Sheet'!$B$3:$B$1001,$H673,'Input Sheet'!$E$3:$E$1001,P$4))</f>
        <v/>
      </c>
      <c r="Q673" s="21" t="str">
        <f>IF(SUMIFS('Input Sheet'!$F$3:$F$1001,'Input Sheet'!$B$3:$B$1001,$H673,'Input Sheet'!$E$3:$E$1001,Q$4)=0,"",SUMIFS('Input Sheet'!$F$3:$F$1001,'Input Sheet'!$B$3:$B$1001,$H673,'Input Sheet'!$E$3:$E$1001,Q$4))</f>
        <v/>
      </c>
      <c r="R673" s="21" t="str">
        <f>IF(SUMIFS('Input Sheet'!$F$3:$F$1001,'Input Sheet'!$B$3:$B$1001,$H673,'Input Sheet'!$E$3:$E$1001,R$4)=0,"",SUMIFS('Input Sheet'!$F$3:$F$1001,'Input Sheet'!$B$3:$B$1001,$H673,'Input Sheet'!$E$3:$E$1001,R$4))</f>
        <v/>
      </c>
      <c r="S673" s="21" t="str">
        <f>IF(SUMIFS('Input Sheet'!$F$3:$F$1001,'Input Sheet'!$B$3:$B$1001,$H673,'Input Sheet'!$E$3:$E$1001,S$4)=0,"",SUMIFS('Input Sheet'!$F$3:$F$1001,'Input Sheet'!$B$3:$B$1001,$H673,'Input Sheet'!$E$3:$E$1001,S$4))</f>
        <v/>
      </c>
      <c r="T673" s="22">
        <v>668</v>
      </c>
    </row>
    <row r="674" spans="1:20" ht="14.25" customHeight="1" x14ac:dyDescent="0.3">
      <c r="A674" s="4" t="str">
        <f>IF('Input Sheet'!B671=0,"",'Input Sheet'!B671)</f>
        <v/>
      </c>
      <c r="B674" s="24" t="b">
        <f t="shared" si="526"/>
        <v>0</v>
      </c>
      <c r="C674" s="4">
        <f>SUMIF('Input Sheet'!B$3:B$1000,A674,'Input Sheet'!C$3:C$1000)</f>
        <v>0</v>
      </c>
      <c r="D674" s="4">
        <f>SUMIF('Input Sheet'!B$3:B$1000,A674,'Input Sheet'!D$3:D$1000)</f>
        <v>0</v>
      </c>
      <c r="E674" s="4" t="str">
        <f t="shared" ref="E674:F674" ca="1" si="691">IFERROR(RANK(K674,K$6:K$1004,1),"")</f>
        <v/>
      </c>
      <c r="F674" s="4" t="str">
        <f t="shared" ca="1" si="691"/>
        <v/>
      </c>
      <c r="G674" s="4" t="str">
        <f t="shared" ca="1" si="528"/>
        <v/>
      </c>
      <c r="H674" s="4" t="str">
        <f t="shared" si="529"/>
        <v/>
      </c>
      <c r="I674" s="4" t="str">
        <f t="shared" si="530"/>
        <v/>
      </c>
      <c r="J674" s="4" t="str">
        <f t="shared" si="531"/>
        <v/>
      </c>
      <c r="K674" s="25" t="str">
        <f t="shared" ca="1" si="532"/>
        <v/>
      </c>
      <c r="L674" s="21" t="str">
        <f t="shared" ca="1" si="533"/>
        <v/>
      </c>
      <c r="M674" s="21" t="str">
        <f>IF(SUMIFS('Input Sheet'!$F$3:$F$1001,'Input Sheet'!$B$3:$B$1001,$H674,'Input Sheet'!$E$3:$E$1001,M$4)=0,"",SUMIFS('Input Sheet'!$F$3:$F$1001,'Input Sheet'!$B$3:$B$1001,$H674,'Input Sheet'!$E$3:$E$1001,M$4))</f>
        <v/>
      </c>
      <c r="N674" s="21" t="str">
        <f>IF(SUMIFS('Input Sheet'!$F$3:$F$1001,'Input Sheet'!$B$3:$B$1001,$H674,'Input Sheet'!$E$3:$E$1001,N$4)=0,"",SUMIFS('Input Sheet'!$F$3:$F$1001,'Input Sheet'!$B$3:$B$1001,$H674,'Input Sheet'!$E$3:$E$1001,N$4))</f>
        <v/>
      </c>
      <c r="O674" s="21" t="str">
        <f>IF(SUMIFS('Input Sheet'!$F$3:$F$1001,'Input Sheet'!$B$3:$B$1001,$H674,'Input Sheet'!$E$3:$E$1001,O$4)=0,"",SUMIFS('Input Sheet'!$F$3:$F$1001,'Input Sheet'!$B$3:$B$1001,$H674,'Input Sheet'!$E$3:$E$1001,O$4))</f>
        <v/>
      </c>
      <c r="P674" s="21" t="str">
        <f>IF(SUMIFS('Input Sheet'!$F$3:$F$1001,'Input Sheet'!$B$3:$B$1001,$H674,'Input Sheet'!$E$3:$E$1001,P$4)=0,"",SUMIFS('Input Sheet'!$F$3:$F$1001,'Input Sheet'!$B$3:$B$1001,$H674,'Input Sheet'!$E$3:$E$1001,P$4))</f>
        <v/>
      </c>
      <c r="Q674" s="21" t="str">
        <f>IF(SUMIFS('Input Sheet'!$F$3:$F$1001,'Input Sheet'!$B$3:$B$1001,$H674,'Input Sheet'!$E$3:$E$1001,Q$4)=0,"",SUMIFS('Input Sheet'!$F$3:$F$1001,'Input Sheet'!$B$3:$B$1001,$H674,'Input Sheet'!$E$3:$E$1001,Q$4))</f>
        <v/>
      </c>
      <c r="R674" s="21" t="str">
        <f>IF(SUMIFS('Input Sheet'!$F$3:$F$1001,'Input Sheet'!$B$3:$B$1001,$H674,'Input Sheet'!$E$3:$E$1001,R$4)=0,"",SUMIFS('Input Sheet'!$F$3:$F$1001,'Input Sheet'!$B$3:$B$1001,$H674,'Input Sheet'!$E$3:$E$1001,R$4))</f>
        <v/>
      </c>
      <c r="S674" s="21" t="str">
        <f>IF(SUMIFS('Input Sheet'!$F$3:$F$1001,'Input Sheet'!$B$3:$B$1001,$H674,'Input Sheet'!$E$3:$E$1001,S$4)=0,"",SUMIFS('Input Sheet'!$F$3:$F$1001,'Input Sheet'!$B$3:$B$1001,$H674,'Input Sheet'!$E$3:$E$1001,S$4))</f>
        <v/>
      </c>
      <c r="T674" s="22">
        <v>669</v>
      </c>
    </row>
    <row r="675" spans="1:20" ht="14.25" customHeight="1" x14ac:dyDescent="0.3">
      <c r="A675" s="4" t="str">
        <f>IF('Input Sheet'!B672=0,"",'Input Sheet'!B672)</f>
        <v/>
      </c>
      <c r="B675" s="24" t="b">
        <f t="shared" si="526"/>
        <v>0</v>
      </c>
      <c r="C675" s="4">
        <f>SUMIF('Input Sheet'!B$3:B$1000,A675,'Input Sheet'!C$3:C$1000)</f>
        <v>0</v>
      </c>
      <c r="D675" s="4">
        <f>SUMIF('Input Sheet'!B$3:B$1000,A675,'Input Sheet'!D$3:D$1000)</f>
        <v>0</v>
      </c>
      <c r="E675" s="4" t="str">
        <f t="shared" ref="E675:F675" ca="1" si="692">IFERROR(RANK(K675,K$6:K$1004,1),"")</f>
        <v/>
      </c>
      <c r="F675" s="4" t="str">
        <f t="shared" ca="1" si="692"/>
        <v/>
      </c>
      <c r="G675" s="4" t="str">
        <f t="shared" ca="1" si="528"/>
        <v/>
      </c>
      <c r="H675" s="4" t="str">
        <f t="shared" si="529"/>
        <v/>
      </c>
      <c r="I675" s="4" t="str">
        <f t="shared" si="530"/>
        <v/>
      </c>
      <c r="J675" s="4" t="str">
        <f t="shared" si="531"/>
        <v/>
      </c>
      <c r="K675" s="25" t="str">
        <f t="shared" ca="1" si="532"/>
        <v/>
      </c>
      <c r="L675" s="21" t="str">
        <f t="shared" ca="1" si="533"/>
        <v/>
      </c>
      <c r="M675" s="21" t="str">
        <f>IF(SUMIFS('Input Sheet'!$F$3:$F$1001,'Input Sheet'!$B$3:$B$1001,$H675,'Input Sheet'!$E$3:$E$1001,M$4)=0,"",SUMIFS('Input Sheet'!$F$3:$F$1001,'Input Sheet'!$B$3:$B$1001,$H675,'Input Sheet'!$E$3:$E$1001,M$4))</f>
        <v/>
      </c>
      <c r="N675" s="21" t="str">
        <f>IF(SUMIFS('Input Sheet'!$F$3:$F$1001,'Input Sheet'!$B$3:$B$1001,$H675,'Input Sheet'!$E$3:$E$1001,N$4)=0,"",SUMIFS('Input Sheet'!$F$3:$F$1001,'Input Sheet'!$B$3:$B$1001,$H675,'Input Sheet'!$E$3:$E$1001,N$4))</f>
        <v/>
      </c>
      <c r="O675" s="21" t="str">
        <f>IF(SUMIFS('Input Sheet'!$F$3:$F$1001,'Input Sheet'!$B$3:$B$1001,$H675,'Input Sheet'!$E$3:$E$1001,O$4)=0,"",SUMIFS('Input Sheet'!$F$3:$F$1001,'Input Sheet'!$B$3:$B$1001,$H675,'Input Sheet'!$E$3:$E$1001,O$4))</f>
        <v/>
      </c>
      <c r="P675" s="21" t="str">
        <f>IF(SUMIFS('Input Sheet'!$F$3:$F$1001,'Input Sheet'!$B$3:$B$1001,$H675,'Input Sheet'!$E$3:$E$1001,P$4)=0,"",SUMIFS('Input Sheet'!$F$3:$F$1001,'Input Sheet'!$B$3:$B$1001,$H675,'Input Sheet'!$E$3:$E$1001,P$4))</f>
        <v/>
      </c>
      <c r="Q675" s="21" t="str">
        <f>IF(SUMIFS('Input Sheet'!$F$3:$F$1001,'Input Sheet'!$B$3:$B$1001,$H675,'Input Sheet'!$E$3:$E$1001,Q$4)=0,"",SUMIFS('Input Sheet'!$F$3:$F$1001,'Input Sheet'!$B$3:$B$1001,$H675,'Input Sheet'!$E$3:$E$1001,Q$4))</f>
        <v/>
      </c>
      <c r="R675" s="21" t="str">
        <f>IF(SUMIFS('Input Sheet'!$F$3:$F$1001,'Input Sheet'!$B$3:$B$1001,$H675,'Input Sheet'!$E$3:$E$1001,R$4)=0,"",SUMIFS('Input Sheet'!$F$3:$F$1001,'Input Sheet'!$B$3:$B$1001,$H675,'Input Sheet'!$E$3:$E$1001,R$4))</f>
        <v/>
      </c>
      <c r="S675" s="21" t="str">
        <f>IF(SUMIFS('Input Sheet'!$F$3:$F$1001,'Input Sheet'!$B$3:$B$1001,$H675,'Input Sheet'!$E$3:$E$1001,S$4)=0,"",SUMIFS('Input Sheet'!$F$3:$F$1001,'Input Sheet'!$B$3:$B$1001,$H675,'Input Sheet'!$E$3:$E$1001,S$4))</f>
        <v/>
      </c>
      <c r="T675" s="22">
        <v>670</v>
      </c>
    </row>
    <row r="676" spans="1:20" ht="14.25" customHeight="1" x14ac:dyDescent="0.3">
      <c r="A676" s="4" t="str">
        <f>IF('Input Sheet'!B673=0,"",'Input Sheet'!B673)</f>
        <v/>
      </c>
      <c r="B676" s="24" t="b">
        <f t="shared" si="526"/>
        <v>0</v>
      </c>
      <c r="C676" s="4">
        <f>SUMIF('Input Sheet'!B$3:B$1000,A676,'Input Sheet'!C$3:C$1000)</f>
        <v>0</v>
      </c>
      <c r="D676" s="4">
        <f>SUMIF('Input Sheet'!B$3:B$1000,A676,'Input Sheet'!D$3:D$1000)</f>
        <v>0</v>
      </c>
      <c r="E676" s="4" t="str">
        <f t="shared" ref="E676:F676" ca="1" si="693">IFERROR(RANK(K676,K$6:K$1004,1),"")</f>
        <v/>
      </c>
      <c r="F676" s="4" t="str">
        <f t="shared" ca="1" si="693"/>
        <v/>
      </c>
      <c r="G676" s="4" t="str">
        <f t="shared" ca="1" si="528"/>
        <v/>
      </c>
      <c r="H676" s="4" t="str">
        <f t="shared" si="529"/>
        <v/>
      </c>
      <c r="I676" s="4" t="str">
        <f t="shared" si="530"/>
        <v/>
      </c>
      <c r="J676" s="4" t="str">
        <f t="shared" si="531"/>
        <v/>
      </c>
      <c r="K676" s="25" t="str">
        <f t="shared" ca="1" si="532"/>
        <v/>
      </c>
      <c r="L676" s="21" t="str">
        <f t="shared" ca="1" si="533"/>
        <v/>
      </c>
      <c r="M676" s="21" t="str">
        <f>IF(SUMIFS('Input Sheet'!$F$3:$F$1001,'Input Sheet'!$B$3:$B$1001,$H676,'Input Sheet'!$E$3:$E$1001,M$4)=0,"",SUMIFS('Input Sheet'!$F$3:$F$1001,'Input Sheet'!$B$3:$B$1001,$H676,'Input Sheet'!$E$3:$E$1001,M$4))</f>
        <v/>
      </c>
      <c r="N676" s="21" t="str">
        <f>IF(SUMIFS('Input Sheet'!$F$3:$F$1001,'Input Sheet'!$B$3:$B$1001,$H676,'Input Sheet'!$E$3:$E$1001,N$4)=0,"",SUMIFS('Input Sheet'!$F$3:$F$1001,'Input Sheet'!$B$3:$B$1001,$H676,'Input Sheet'!$E$3:$E$1001,N$4))</f>
        <v/>
      </c>
      <c r="O676" s="21" t="str">
        <f>IF(SUMIFS('Input Sheet'!$F$3:$F$1001,'Input Sheet'!$B$3:$B$1001,$H676,'Input Sheet'!$E$3:$E$1001,O$4)=0,"",SUMIFS('Input Sheet'!$F$3:$F$1001,'Input Sheet'!$B$3:$B$1001,$H676,'Input Sheet'!$E$3:$E$1001,O$4))</f>
        <v/>
      </c>
      <c r="P676" s="21" t="str">
        <f>IF(SUMIFS('Input Sheet'!$F$3:$F$1001,'Input Sheet'!$B$3:$B$1001,$H676,'Input Sheet'!$E$3:$E$1001,P$4)=0,"",SUMIFS('Input Sheet'!$F$3:$F$1001,'Input Sheet'!$B$3:$B$1001,$H676,'Input Sheet'!$E$3:$E$1001,P$4))</f>
        <v/>
      </c>
      <c r="Q676" s="21" t="str">
        <f>IF(SUMIFS('Input Sheet'!$F$3:$F$1001,'Input Sheet'!$B$3:$B$1001,$H676,'Input Sheet'!$E$3:$E$1001,Q$4)=0,"",SUMIFS('Input Sheet'!$F$3:$F$1001,'Input Sheet'!$B$3:$B$1001,$H676,'Input Sheet'!$E$3:$E$1001,Q$4))</f>
        <v/>
      </c>
      <c r="R676" s="21" t="str">
        <f>IF(SUMIFS('Input Sheet'!$F$3:$F$1001,'Input Sheet'!$B$3:$B$1001,$H676,'Input Sheet'!$E$3:$E$1001,R$4)=0,"",SUMIFS('Input Sheet'!$F$3:$F$1001,'Input Sheet'!$B$3:$B$1001,$H676,'Input Sheet'!$E$3:$E$1001,R$4))</f>
        <v/>
      </c>
      <c r="S676" s="21" t="str">
        <f>IF(SUMIFS('Input Sheet'!$F$3:$F$1001,'Input Sheet'!$B$3:$B$1001,$H676,'Input Sheet'!$E$3:$E$1001,S$4)=0,"",SUMIFS('Input Sheet'!$F$3:$F$1001,'Input Sheet'!$B$3:$B$1001,$H676,'Input Sheet'!$E$3:$E$1001,S$4))</f>
        <v/>
      </c>
      <c r="T676" s="22">
        <v>671</v>
      </c>
    </row>
    <row r="677" spans="1:20" ht="14.25" customHeight="1" x14ac:dyDescent="0.3">
      <c r="A677" s="4" t="str">
        <f>IF('Input Sheet'!B674=0,"",'Input Sheet'!B674)</f>
        <v/>
      </c>
      <c r="B677" s="24" t="b">
        <f t="shared" si="526"/>
        <v>0</v>
      </c>
      <c r="C677" s="4">
        <f>SUMIF('Input Sheet'!B$3:B$1000,A677,'Input Sheet'!C$3:C$1000)</f>
        <v>0</v>
      </c>
      <c r="D677" s="4">
        <f>SUMIF('Input Sheet'!B$3:B$1000,A677,'Input Sheet'!D$3:D$1000)</f>
        <v>0</v>
      </c>
      <c r="E677" s="4" t="str">
        <f t="shared" ref="E677:F677" ca="1" si="694">IFERROR(RANK(K677,K$6:K$1004,1),"")</f>
        <v/>
      </c>
      <c r="F677" s="4" t="str">
        <f t="shared" ca="1" si="694"/>
        <v/>
      </c>
      <c r="G677" s="4" t="str">
        <f t="shared" ca="1" si="528"/>
        <v/>
      </c>
      <c r="H677" s="4" t="str">
        <f t="shared" si="529"/>
        <v/>
      </c>
      <c r="I677" s="4" t="str">
        <f t="shared" si="530"/>
        <v/>
      </c>
      <c r="J677" s="4" t="str">
        <f t="shared" si="531"/>
        <v/>
      </c>
      <c r="K677" s="25" t="str">
        <f t="shared" ca="1" si="532"/>
        <v/>
      </c>
      <c r="L677" s="21" t="str">
        <f t="shared" ca="1" si="533"/>
        <v/>
      </c>
      <c r="M677" s="21" t="str">
        <f>IF(SUMIFS('Input Sheet'!$F$3:$F$1001,'Input Sheet'!$B$3:$B$1001,$H677,'Input Sheet'!$E$3:$E$1001,M$4)=0,"",SUMIFS('Input Sheet'!$F$3:$F$1001,'Input Sheet'!$B$3:$B$1001,$H677,'Input Sheet'!$E$3:$E$1001,M$4))</f>
        <v/>
      </c>
      <c r="N677" s="21" t="str">
        <f>IF(SUMIFS('Input Sheet'!$F$3:$F$1001,'Input Sheet'!$B$3:$B$1001,$H677,'Input Sheet'!$E$3:$E$1001,N$4)=0,"",SUMIFS('Input Sheet'!$F$3:$F$1001,'Input Sheet'!$B$3:$B$1001,$H677,'Input Sheet'!$E$3:$E$1001,N$4))</f>
        <v/>
      </c>
      <c r="O677" s="21" t="str">
        <f>IF(SUMIFS('Input Sheet'!$F$3:$F$1001,'Input Sheet'!$B$3:$B$1001,$H677,'Input Sheet'!$E$3:$E$1001,O$4)=0,"",SUMIFS('Input Sheet'!$F$3:$F$1001,'Input Sheet'!$B$3:$B$1001,$H677,'Input Sheet'!$E$3:$E$1001,O$4))</f>
        <v/>
      </c>
      <c r="P677" s="21" t="str">
        <f>IF(SUMIFS('Input Sheet'!$F$3:$F$1001,'Input Sheet'!$B$3:$B$1001,$H677,'Input Sheet'!$E$3:$E$1001,P$4)=0,"",SUMIFS('Input Sheet'!$F$3:$F$1001,'Input Sheet'!$B$3:$B$1001,$H677,'Input Sheet'!$E$3:$E$1001,P$4))</f>
        <v/>
      </c>
      <c r="Q677" s="21" t="str">
        <f>IF(SUMIFS('Input Sheet'!$F$3:$F$1001,'Input Sheet'!$B$3:$B$1001,$H677,'Input Sheet'!$E$3:$E$1001,Q$4)=0,"",SUMIFS('Input Sheet'!$F$3:$F$1001,'Input Sheet'!$B$3:$B$1001,$H677,'Input Sheet'!$E$3:$E$1001,Q$4))</f>
        <v/>
      </c>
      <c r="R677" s="21" t="str">
        <f>IF(SUMIFS('Input Sheet'!$F$3:$F$1001,'Input Sheet'!$B$3:$B$1001,$H677,'Input Sheet'!$E$3:$E$1001,R$4)=0,"",SUMIFS('Input Sheet'!$F$3:$F$1001,'Input Sheet'!$B$3:$B$1001,$H677,'Input Sheet'!$E$3:$E$1001,R$4))</f>
        <v/>
      </c>
      <c r="S677" s="21" t="str">
        <f>IF(SUMIFS('Input Sheet'!$F$3:$F$1001,'Input Sheet'!$B$3:$B$1001,$H677,'Input Sheet'!$E$3:$E$1001,S$4)=0,"",SUMIFS('Input Sheet'!$F$3:$F$1001,'Input Sheet'!$B$3:$B$1001,$H677,'Input Sheet'!$E$3:$E$1001,S$4))</f>
        <v/>
      </c>
      <c r="T677" s="22">
        <v>672</v>
      </c>
    </row>
    <row r="678" spans="1:20" ht="14.25" customHeight="1" x14ac:dyDescent="0.3">
      <c r="A678" s="4" t="str">
        <f>IF('Input Sheet'!B675=0,"",'Input Sheet'!B675)</f>
        <v/>
      </c>
      <c r="B678" s="24" t="b">
        <f t="shared" si="526"/>
        <v>0</v>
      </c>
      <c r="C678" s="4">
        <f>SUMIF('Input Sheet'!B$3:B$1000,A678,'Input Sheet'!C$3:C$1000)</f>
        <v>0</v>
      </c>
      <c r="D678" s="4">
        <f>SUMIF('Input Sheet'!B$3:B$1000,A678,'Input Sheet'!D$3:D$1000)</f>
        <v>0</v>
      </c>
      <c r="E678" s="4" t="str">
        <f t="shared" ref="E678:F678" ca="1" si="695">IFERROR(RANK(K678,K$6:K$1004,1),"")</f>
        <v/>
      </c>
      <c r="F678" s="4" t="str">
        <f t="shared" ca="1" si="695"/>
        <v/>
      </c>
      <c r="G678" s="4" t="str">
        <f t="shared" ca="1" si="528"/>
        <v/>
      </c>
      <c r="H678" s="4" t="str">
        <f t="shared" si="529"/>
        <v/>
      </c>
      <c r="I678" s="4" t="str">
        <f t="shared" si="530"/>
        <v/>
      </c>
      <c r="J678" s="4" t="str">
        <f t="shared" si="531"/>
        <v/>
      </c>
      <c r="K678" s="25" t="str">
        <f t="shared" ca="1" si="532"/>
        <v/>
      </c>
      <c r="L678" s="21" t="str">
        <f t="shared" ca="1" si="533"/>
        <v/>
      </c>
      <c r="M678" s="21" t="str">
        <f>IF(SUMIFS('Input Sheet'!$F$3:$F$1001,'Input Sheet'!$B$3:$B$1001,$H678,'Input Sheet'!$E$3:$E$1001,M$4)=0,"",SUMIFS('Input Sheet'!$F$3:$F$1001,'Input Sheet'!$B$3:$B$1001,$H678,'Input Sheet'!$E$3:$E$1001,M$4))</f>
        <v/>
      </c>
      <c r="N678" s="21" t="str">
        <f>IF(SUMIFS('Input Sheet'!$F$3:$F$1001,'Input Sheet'!$B$3:$B$1001,$H678,'Input Sheet'!$E$3:$E$1001,N$4)=0,"",SUMIFS('Input Sheet'!$F$3:$F$1001,'Input Sheet'!$B$3:$B$1001,$H678,'Input Sheet'!$E$3:$E$1001,N$4))</f>
        <v/>
      </c>
      <c r="O678" s="21" t="str">
        <f>IF(SUMIFS('Input Sheet'!$F$3:$F$1001,'Input Sheet'!$B$3:$B$1001,$H678,'Input Sheet'!$E$3:$E$1001,O$4)=0,"",SUMIFS('Input Sheet'!$F$3:$F$1001,'Input Sheet'!$B$3:$B$1001,$H678,'Input Sheet'!$E$3:$E$1001,O$4))</f>
        <v/>
      </c>
      <c r="P678" s="21" t="str">
        <f>IF(SUMIFS('Input Sheet'!$F$3:$F$1001,'Input Sheet'!$B$3:$B$1001,$H678,'Input Sheet'!$E$3:$E$1001,P$4)=0,"",SUMIFS('Input Sheet'!$F$3:$F$1001,'Input Sheet'!$B$3:$B$1001,$H678,'Input Sheet'!$E$3:$E$1001,P$4))</f>
        <v/>
      </c>
      <c r="Q678" s="21" t="str">
        <f>IF(SUMIFS('Input Sheet'!$F$3:$F$1001,'Input Sheet'!$B$3:$B$1001,$H678,'Input Sheet'!$E$3:$E$1001,Q$4)=0,"",SUMIFS('Input Sheet'!$F$3:$F$1001,'Input Sheet'!$B$3:$B$1001,$H678,'Input Sheet'!$E$3:$E$1001,Q$4))</f>
        <v/>
      </c>
      <c r="R678" s="21" t="str">
        <f>IF(SUMIFS('Input Sheet'!$F$3:$F$1001,'Input Sheet'!$B$3:$B$1001,$H678,'Input Sheet'!$E$3:$E$1001,R$4)=0,"",SUMIFS('Input Sheet'!$F$3:$F$1001,'Input Sheet'!$B$3:$B$1001,$H678,'Input Sheet'!$E$3:$E$1001,R$4))</f>
        <v/>
      </c>
      <c r="S678" s="21" t="str">
        <f>IF(SUMIFS('Input Sheet'!$F$3:$F$1001,'Input Sheet'!$B$3:$B$1001,$H678,'Input Sheet'!$E$3:$E$1001,S$4)=0,"",SUMIFS('Input Sheet'!$F$3:$F$1001,'Input Sheet'!$B$3:$B$1001,$H678,'Input Sheet'!$E$3:$E$1001,S$4))</f>
        <v/>
      </c>
      <c r="T678" s="22">
        <v>673</v>
      </c>
    </row>
    <row r="679" spans="1:20" ht="14.25" customHeight="1" x14ac:dyDescent="0.3">
      <c r="A679" s="4" t="str">
        <f>IF('Input Sheet'!B676=0,"",'Input Sheet'!B676)</f>
        <v/>
      </c>
      <c r="B679" s="24" t="b">
        <f t="shared" si="526"/>
        <v>0</v>
      </c>
      <c r="C679" s="4">
        <f>SUMIF('Input Sheet'!B$3:B$1000,A679,'Input Sheet'!C$3:C$1000)</f>
        <v>0</v>
      </c>
      <c r="D679" s="4">
        <f>SUMIF('Input Sheet'!B$3:B$1000,A679,'Input Sheet'!D$3:D$1000)</f>
        <v>0</v>
      </c>
      <c r="E679" s="4" t="str">
        <f t="shared" ref="E679:F679" ca="1" si="696">IFERROR(RANK(K679,K$6:K$1004,1),"")</f>
        <v/>
      </c>
      <c r="F679" s="4" t="str">
        <f t="shared" ca="1" si="696"/>
        <v/>
      </c>
      <c r="G679" s="4" t="str">
        <f t="shared" ca="1" si="528"/>
        <v/>
      </c>
      <c r="H679" s="4" t="str">
        <f t="shared" si="529"/>
        <v/>
      </c>
      <c r="I679" s="4" t="str">
        <f t="shared" si="530"/>
        <v/>
      </c>
      <c r="J679" s="4" t="str">
        <f t="shared" si="531"/>
        <v/>
      </c>
      <c r="K679" s="25" t="str">
        <f t="shared" ca="1" si="532"/>
        <v/>
      </c>
      <c r="L679" s="21" t="str">
        <f t="shared" ca="1" si="533"/>
        <v/>
      </c>
      <c r="M679" s="21" t="str">
        <f>IF(SUMIFS('Input Sheet'!$F$3:$F$1001,'Input Sheet'!$B$3:$B$1001,$H679,'Input Sheet'!$E$3:$E$1001,M$4)=0,"",SUMIFS('Input Sheet'!$F$3:$F$1001,'Input Sheet'!$B$3:$B$1001,$H679,'Input Sheet'!$E$3:$E$1001,M$4))</f>
        <v/>
      </c>
      <c r="N679" s="21" t="str">
        <f>IF(SUMIFS('Input Sheet'!$F$3:$F$1001,'Input Sheet'!$B$3:$B$1001,$H679,'Input Sheet'!$E$3:$E$1001,N$4)=0,"",SUMIFS('Input Sheet'!$F$3:$F$1001,'Input Sheet'!$B$3:$B$1001,$H679,'Input Sheet'!$E$3:$E$1001,N$4))</f>
        <v/>
      </c>
      <c r="O679" s="21" t="str">
        <f>IF(SUMIFS('Input Sheet'!$F$3:$F$1001,'Input Sheet'!$B$3:$B$1001,$H679,'Input Sheet'!$E$3:$E$1001,O$4)=0,"",SUMIFS('Input Sheet'!$F$3:$F$1001,'Input Sheet'!$B$3:$B$1001,$H679,'Input Sheet'!$E$3:$E$1001,O$4))</f>
        <v/>
      </c>
      <c r="P679" s="21" t="str">
        <f>IF(SUMIFS('Input Sheet'!$F$3:$F$1001,'Input Sheet'!$B$3:$B$1001,$H679,'Input Sheet'!$E$3:$E$1001,P$4)=0,"",SUMIFS('Input Sheet'!$F$3:$F$1001,'Input Sheet'!$B$3:$B$1001,$H679,'Input Sheet'!$E$3:$E$1001,P$4))</f>
        <v/>
      </c>
      <c r="Q679" s="21" t="str">
        <f>IF(SUMIFS('Input Sheet'!$F$3:$F$1001,'Input Sheet'!$B$3:$B$1001,$H679,'Input Sheet'!$E$3:$E$1001,Q$4)=0,"",SUMIFS('Input Sheet'!$F$3:$F$1001,'Input Sheet'!$B$3:$B$1001,$H679,'Input Sheet'!$E$3:$E$1001,Q$4))</f>
        <v/>
      </c>
      <c r="R679" s="21" t="str">
        <f>IF(SUMIFS('Input Sheet'!$F$3:$F$1001,'Input Sheet'!$B$3:$B$1001,$H679,'Input Sheet'!$E$3:$E$1001,R$4)=0,"",SUMIFS('Input Sheet'!$F$3:$F$1001,'Input Sheet'!$B$3:$B$1001,$H679,'Input Sheet'!$E$3:$E$1001,R$4))</f>
        <v/>
      </c>
      <c r="S679" s="21" t="str">
        <f>IF(SUMIFS('Input Sheet'!$F$3:$F$1001,'Input Sheet'!$B$3:$B$1001,$H679,'Input Sheet'!$E$3:$E$1001,S$4)=0,"",SUMIFS('Input Sheet'!$F$3:$F$1001,'Input Sheet'!$B$3:$B$1001,$H679,'Input Sheet'!$E$3:$E$1001,S$4))</f>
        <v/>
      </c>
      <c r="T679" s="22">
        <v>674</v>
      </c>
    </row>
    <row r="680" spans="1:20" ht="14.25" customHeight="1" x14ac:dyDescent="0.3">
      <c r="A680" s="4" t="str">
        <f>IF('Input Sheet'!B677=0,"",'Input Sheet'!B677)</f>
        <v/>
      </c>
      <c r="B680" s="24" t="b">
        <f t="shared" si="526"/>
        <v>0</v>
      </c>
      <c r="C680" s="4">
        <f>SUMIF('Input Sheet'!B$3:B$1000,A680,'Input Sheet'!C$3:C$1000)</f>
        <v>0</v>
      </c>
      <c r="D680" s="4">
        <f>SUMIF('Input Sheet'!B$3:B$1000,A680,'Input Sheet'!D$3:D$1000)</f>
        <v>0</v>
      </c>
      <c r="E680" s="4" t="str">
        <f t="shared" ref="E680:F680" ca="1" si="697">IFERROR(RANK(K680,K$6:K$1004,1),"")</f>
        <v/>
      </c>
      <c r="F680" s="4" t="str">
        <f t="shared" ca="1" si="697"/>
        <v/>
      </c>
      <c r="G680" s="4" t="str">
        <f t="shared" ca="1" si="528"/>
        <v/>
      </c>
      <c r="H680" s="4" t="str">
        <f t="shared" si="529"/>
        <v/>
      </c>
      <c r="I680" s="4" t="str">
        <f t="shared" si="530"/>
        <v/>
      </c>
      <c r="J680" s="4" t="str">
        <f t="shared" si="531"/>
        <v/>
      </c>
      <c r="K680" s="25" t="str">
        <f t="shared" ca="1" si="532"/>
        <v/>
      </c>
      <c r="L680" s="21" t="str">
        <f t="shared" ca="1" si="533"/>
        <v/>
      </c>
      <c r="M680" s="21" t="str">
        <f>IF(SUMIFS('Input Sheet'!$F$3:$F$1001,'Input Sheet'!$B$3:$B$1001,$H680,'Input Sheet'!$E$3:$E$1001,M$4)=0,"",SUMIFS('Input Sheet'!$F$3:$F$1001,'Input Sheet'!$B$3:$B$1001,$H680,'Input Sheet'!$E$3:$E$1001,M$4))</f>
        <v/>
      </c>
      <c r="N680" s="21" t="str">
        <f>IF(SUMIFS('Input Sheet'!$F$3:$F$1001,'Input Sheet'!$B$3:$B$1001,$H680,'Input Sheet'!$E$3:$E$1001,N$4)=0,"",SUMIFS('Input Sheet'!$F$3:$F$1001,'Input Sheet'!$B$3:$B$1001,$H680,'Input Sheet'!$E$3:$E$1001,N$4))</f>
        <v/>
      </c>
      <c r="O680" s="21" t="str">
        <f>IF(SUMIFS('Input Sheet'!$F$3:$F$1001,'Input Sheet'!$B$3:$B$1001,$H680,'Input Sheet'!$E$3:$E$1001,O$4)=0,"",SUMIFS('Input Sheet'!$F$3:$F$1001,'Input Sheet'!$B$3:$B$1001,$H680,'Input Sheet'!$E$3:$E$1001,O$4))</f>
        <v/>
      </c>
      <c r="P680" s="21" t="str">
        <f>IF(SUMIFS('Input Sheet'!$F$3:$F$1001,'Input Sheet'!$B$3:$B$1001,$H680,'Input Sheet'!$E$3:$E$1001,P$4)=0,"",SUMIFS('Input Sheet'!$F$3:$F$1001,'Input Sheet'!$B$3:$B$1001,$H680,'Input Sheet'!$E$3:$E$1001,P$4))</f>
        <v/>
      </c>
      <c r="Q680" s="21" t="str">
        <f>IF(SUMIFS('Input Sheet'!$F$3:$F$1001,'Input Sheet'!$B$3:$B$1001,$H680,'Input Sheet'!$E$3:$E$1001,Q$4)=0,"",SUMIFS('Input Sheet'!$F$3:$F$1001,'Input Sheet'!$B$3:$B$1001,$H680,'Input Sheet'!$E$3:$E$1001,Q$4))</f>
        <v/>
      </c>
      <c r="R680" s="21" t="str">
        <f>IF(SUMIFS('Input Sheet'!$F$3:$F$1001,'Input Sheet'!$B$3:$B$1001,$H680,'Input Sheet'!$E$3:$E$1001,R$4)=0,"",SUMIFS('Input Sheet'!$F$3:$F$1001,'Input Sheet'!$B$3:$B$1001,$H680,'Input Sheet'!$E$3:$E$1001,R$4))</f>
        <v/>
      </c>
      <c r="S680" s="21" t="str">
        <f>IF(SUMIFS('Input Sheet'!$F$3:$F$1001,'Input Sheet'!$B$3:$B$1001,$H680,'Input Sheet'!$E$3:$E$1001,S$4)=0,"",SUMIFS('Input Sheet'!$F$3:$F$1001,'Input Sheet'!$B$3:$B$1001,$H680,'Input Sheet'!$E$3:$E$1001,S$4))</f>
        <v/>
      </c>
      <c r="T680" s="22">
        <v>675</v>
      </c>
    </row>
    <row r="681" spans="1:20" ht="14.25" customHeight="1" x14ac:dyDescent="0.3">
      <c r="A681" s="4" t="str">
        <f>IF('Input Sheet'!B678=0,"",'Input Sheet'!B678)</f>
        <v/>
      </c>
      <c r="B681" s="24" t="b">
        <f t="shared" si="526"/>
        <v>0</v>
      </c>
      <c r="C681" s="4">
        <f>SUMIF('Input Sheet'!B$3:B$1000,A681,'Input Sheet'!C$3:C$1000)</f>
        <v>0</v>
      </c>
      <c r="D681" s="4">
        <f>SUMIF('Input Sheet'!B$3:B$1000,A681,'Input Sheet'!D$3:D$1000)</f>
        <v>0</v>
      </c>
      <c r="E681" s="4" t="str">
        <f t="shared" ref="E681:F681" ca="1" si="698">IFERROR(RANK(K681,K$6:K$1004,1),"")</f>
        <v/>
      </c>
      <c r="F681" s="4" t="str">
        <f t="shared" ca="1" si="698"/>
        <v/>
      </c>
      <c r="G681" s="4" t="str">
        <f t="shared" ca="1" si="528"/>
        <v/>
      </c>
      <c r="H681" s="4" t="str">
        <f t="shared" si="529"/>
        <v/>
      </c>
      <c r="I681" s="4" t="str">
        <f t="shared" si="530"/>
        <v/>
      </c>
      <c r="J681" s="4" t="str">
        <f t="shared" si="531"/>
        <v/>
      </c>
      <c r="K681" s="25" t="str">
        <f t="shared" ca="1" si="532"/>
        <v/>
      </c>
      <c r="L681" s="21" t="str">
        <f t="shared" ca="1" si="533"/>
        <v/>
      </c>
      <c r="M681" s="21" t="str">
        <f>IF(SUMIFS('Input Sheet'!$F$3:$F$1001,'Input Sheet'!$B$3:$B$1001,$H681,'Input Sheet'!$E$3:$E$1001,M$4)=0,"",SUMIFS('Input Sheet'!$F$3:$F$1001,'Input Sheet'!$B$3:$B$1001,$H681,'Input Sheet'!$E$3:$E$1001,M$4))</f>
        <v/>
      </c>
      <c r="N681" s="21" t="str">
        <f>IF(SUMIFS('Input Sheet'!$F$3:$F$1001,'Input Sheet'!$B$3:$B$1001,$H681,'Input Sheet'!$E$3:$E$1001,N$4)=0,"",SUMIFS('Input Sheet'!$F$3:$F$1001,'Input Sheet'!$B$3:$B$1001,$H681,'Input Sheet'!$E$3:$E$1001,N$4))</f>
        <v/>
      </c>
      <c r="O681" s="21" t="str">
        <f>IF(SUMIFS('Input Sheet'!$F$3:$F$1001,'Input Sheet'!$B$3:$B$1001,$H681,'Input Sheet'!$E$3:$E$1001,O$4)=0,"",SUMIFS('Input Sheet'!$F$3:$F$1001,'Input Sheet'!$B$3:$B$1001,$H681,'Input Sheet'!$E$3:$E$1001,O$4))</f>
        <v/>
      </c>
      <c r="P681" s="21" t="str">
        <f>IF(SUMIFS('Input Sheet'!$F$3:$F$1001,'Input Sheet'!$B$3:$B$1001,$H681,'Input Sheet'!$E$3:$E$1001,P$4)=0,"",SUMIFS('Input Sheet'!$F$3:$F$1001,'Input Sheet'!$B$3:$B$1001,$H681,'Input Sheet'!$E$3:$E$1001,P$4))</f>
        <v/>
      </c>
      <c r="Q681" s="21" t="str">
        <f>IF(SUMIFS('Input Sheet'!$F$3:$F$1001,'Input Sheet'!$B$3:$B$1001,$H681,'Input Sheet'!$E$3:$E$1001,Q$4)=0,"",SUMIFS('Input Sheet'!$F$3:$F$1001,'Input Sheet'!$B$3:$B$1001,$H681,'Input Sheet'!$E$3:$E$1001,Q$4))</f>
        <v/>
      </c>
      <c r="R681" s="21" t="str">
        <f>IF(SUMIFS('Input Sheet'!$F$3:$F$1001,'Input Sheet'!$B$3:$B$1001,$H681,'Input Sheet'!$E$3:$E$1001,R$4)=0,"",SUMIFS('Input Sheet'!$F$3:$F$1001,'Input Sheet'!$B$3:$B$1001,$H681,'Input Sheet'!$E$3:$E$1001,R$4))</f>
        <v/>
      </c>
      <c r="S681" s="21" t="str">
        <f>IF(SUMIFS('Input Sheet'!$F$3:$F$1001,'Input Sheet'!$B$3:$B$1001,$H681,'Input Sheet'!$E$3:$E$1001,S$4)=0,"",SUMIFS('Input Sheet'!$F$3:$F$1001,'Input Sheet'!$B$3:$B$1001,$H681,'Input Sheet'!$E$3:$E$1001,S$4))</f>
        <v/>
      </c>
      <c r="T681" s="22">
        <v>676</v>
      </c>
    </row>
    <row r="682" spans="1:20" ht="14.25" customHeight="1" x14ac:dyDescent="0.3">
      <c r="A682" s="4" t="str">
        <f>IF('Input Sheet'!B679=0,"",'Input Sheet'!B679)</f>
        <v/>
      </c>
      <c r="B682" s="24" t="b">
        <f t="shared" si="526"/>
        <v>0</v>
      </c>
      <c r="C682" s="4">
        <f>SUMIF('Input Sheet'!B$3:B$1000,A682,'Input Sheet'!C$3:C$1000)</f>
        <v>0</v>
      </c>
      <c r="D682" s="4">
        <f>SUMIF('Input Sheet'!B$3:B$1000,A682,'Input Sheet'!D$3:D$1000)</f>
        <v>0</v>
      </c>
      <c r="E682" s="4" t="str">
        <f t="shared" ref="E682:F682" ca="1" si="699">IFERROR(RANK(K682,K$6:K$1004,1),"")</f>
        <v/>
      </c>
      <c r="F682" s="4" t="str">
        <f t="shared" ca="1" si="699"/>
        <v/>
      </c>
      <c r="G682" s="4" t="str">
        <f t="shared" ca="1" si="528"/>
        <v/>
      </c>
      <c r="H682" s="4" t="str">
        <f t="shared" si="529"/>
        <v/>
      </c>
      <c r="I682" s="4" t="str">
        <f t="shared" si="530"/>
        <v/>
      </c>
      <c r="J682" s="4" t="str">
        <f t="shared" si="531"/>
        <v/>
      </c>
      <c r="K682" s="25" t="str">
        <f t="shared" ca="1" si="532"/>
        <v/>
      </c>
      <c r="L682" s="21" t="str">
        <f t="shared" ca="1" si="533"/>
        <v/>
      </c>
      <c r="M682" s="21" t="str">
        <f>IF(SUMIFS('Input Sheet'!$F$3:$F$1001,'Input Sheet'!$B$3:$B$1001,$H682,'Input Sheet'!$E$3:$E$1001,M$4)=0,"",SUMIFS('Input Sheet'!$F$3:$F$1001,'Input Sheet'!$B$3:$B$1001,$H682,'Input Sheet'!$E$3:$E$1001,M$4))</f>
        <v/>
      </c>
      <c r="N682" s="21" t="str">
        <f>IF(SUMIFS('Input Sheet'!$F$3:$F$1001,'Input Sheet'!$B$3:$B$1001,$H682,'Input Sheet'!$E$3:$E$1001,N$4)=0,"",SUMIFS('Input Sheet'!$F$3:$F$1001,'Input Sheet'!$B$3:$B$1001,$H682,'Input Sheet'!$E$3:$E$1001,N$4))</f>
        <v/>
      </c>
      <c r="O682" s="21" t="str">
        <f>IF(SUMIFS('Input Sheet'!$F$3:$F$1001,'Input Sheet'!$B$3:$B$1001,$H682,'Input Sheet'!$E$3:$E$1001,O$4)=0,"",SUMIFS('Input Sheet'!$F$3:$F$1001,'Input Sheet'!$B$3:$B$1001,$H682,'Input Sheet'!$E$3:$E$1001,O$4))</f>
        <v/>
      </c>
      <c r="P682" s="21" t="str">
        <f>IF(SUMIFS('Input Sheet'!$F$3:$F$1001,'Input Sheet'!$B$3:$B$1001,$H682,'Input Sheet'!$E$3:$E$1001,P$4)=0,"",SUMIFS('Input Sheet'!$F$3:$F$1001,'Input Sheet'!$B$3:$B$1001,$H682,'Input Sheet'!$E$3:$E$1001,P$4))</f>
        <v/>
      </c>
      <c r="Q682" s="21" t="str">
        <f>IF(SUMIFS('Input Sheet'!$F$3:$F$1001,'Input Sheet'!$B$3:$B$1001,$H682,'Input Sheet'!$E$3:$E$1001,Q$4)=0,"",SUMIFS('Input Sheet'!$F$3:$F$1001,'Input Sheet'!$B$3:$B$1001,$H682,'Input Sheet'!$E$3:$E$1001,Q$4))</f>
        <v/>
      </c>
      <c r="R682" s="21" t="str">
        <f>IF(SUMIFS('Input Sheet'!$F$3:$F$1001,'Input Sheet'!$B$3:$B$1001,$H682,'Input Sheet'!$E$3:$E$1001,R$4)=0,"",SUMIFS('Input Sheet'!$F$3:$F$1001,'Input Sheet'!$B$3:$B$1001,$H682,'Input Sheet'!$E$3:$E$1001,R$4))</f>
        <v/>
      </c>
      <c r="S682" s="21" t="str">
        <f>IF(SUMIFS('Input Sheet'!$F$3:$F$1001,'Input Sheet'!$B$3:$B$1001,$H682,'Input Sheet'!$E$3:$E$1001,S$4)=0,"",SUMIFS('Input Sheet'!$F$3:$F$1001,'Input Sheet'!$B$3:$B$1001,$H682,'Input Sheet'!$E$3:$E$1001,S$4))</f>
        <v/>
      </c>
      <c r="T682" s="22">
        <v>677</v>
      </c>
    </row>
    <row r="683" spans="1:20" ht="14.25" customHeight="1" x14ac:dyDescent="0.3">
      <c r="A683" s="4" t="str">
        <f>IF('Input Sheet'!B680=0,"",'Input Sheet'!B680)</f>
        <v/>
      </c>
      <c r="B683" s="24" t="b">
        <f t="shared" si="526"/>
        <v>0</v>
      </c>
      <c r="C683" s="4">
        <f>SUMIF('Input Sheet'!B$3:B$1000,A683,'Input Sheet'!C$3:C$1000)</f>
        <v>0</v>
      </c>
      <c r="D683" s="4">
        <f>SUMIF('Input Sheet'!B$3:B$1000,A683,'Input Sheet'!D$3:D$1000)</f>
        <v>0</v>
      </c>
      <c r="E683" s="4" t="str">
        <f t="shared" ref="E683:F683" ca="1" si="700">IFERROR(RANK(K683,K$6:K$1004,1),"")</f>
        <v/>
      </c>
      <c r="F683" s="4" t="str">
        <f t="shared" ca="1" si="700"/>
        <v/>
      </c>
      <c r="G683" s="4" t="str">
        <f t="shared" ca="1" si="528"/>
        <v/>
      </c>
      <c r="H683" s="4" t="str">
        <f t="shared" si="529"/>
        <v/>
      </c>
      <c r="I683" s="4" t="str">
        <f t="shared" si="530"/>
        <v/>
      </c>
      <c r="J683" s="4" t="str">
        <f t="shared" si="531"/>
        <v/>
      </c>
      <c r="K683" s="25" t="str">
        <f t="shared" ca="1" si="532"/>
        <v/>
      </c>
      <c r="L683" s="21" t="str">
        <f t="shared" ca="1" si="533"/>
        <v/>
      </c>
      <c r="M683" s="21" t="str">
        <f>IF(SUMIFS('Input Sheet'!$F$3:$F$1001,'Input Sheet'!$B$3:$B$1001,$H683,'Input Sheet'!$E$3:$E$1001,M$4)=0,"",SUMIFS('Input Sheet'!$F$3:$F$1001,'Input Sheet'!$B$3:$B$1001,$H683,'Input Sheet'!$E$3:$E$1001,M$4))</f>
        <v/>
      </c>
      <c r="N683" s="21" t="str">
        <f>IF(SUMIFS('Input Sheet'!$F$3:$F$1001,'Input Sheet'!$B$3:$B$1001,$H683,'Input Sheet'!$E$3:$E$1001,N$4)=0,"",SUMIFS('Input Sheet'!$F$3:$F$1001,'Input Sheet'!$B$3:$B$1001,$H683,'Input Sheet'!$E$3:$E$1001,N$4))</f>
        <v/>
      </c>
      <c r="O683" s="21" t="str">
        <f>IF(SUMIFS('Input Sheet'!$F$3:$F$1001,'Input Sheet'!$B$3:$B$1001,$H683,'Input Sheet'!$E$3:$E$1001,O$4)=0,"",SUMIFS('Input Sheet'!$F$3:$F$1001,'Input Sheet'!$B$3:$B$1001,$H683,'Input Sheet'!$E$3:$E$1001,O$4))</f>
        <v/>
      </c>
      <c r="P683" s="21" t="str">
        <f>IF(SUMIFS('Input Sheet'!$F$3:$F$1001,'Input Sheet'!$B$3:$B$1001,$H683,'Input Sheet'!$E$3:$E$1001,P$4)=0,"",SUMIFS('Input Sheet'!$F$3:$F$1001,'Input Sheet'!$B$3:$B$1001,$H683,'Input Sheet'!$E$3:$E$1001,P$4))</f>
        <v/>
      </c>
      <c r="Q683" s="21" t="str">
        <f>IF(SUMIFS('Input Sheet'!$F$3:$F$1001,'Input Sheet'!$B$3:$B$1001,$H683,'Input Sheet'!$E$3:$E$1001,Q$4)=0,"",SUMIFS('Input Sheet'!$F$3:$F$1001,'Input Sheet'!$B$3:$B$1001,$H683,'Input Sheet'!$E$3:$E$1001,Q$4))</f>
        <v/>
      </c>
      <c r="R683" s="21" t="str">
        <f>IF(SUMIFS('Input Sheet'!$F$3:$F$1001,'Input Sheet'!$B$3:$B$1001,$H683,'Input Sheet'!$E$3:$E$1001,R$4)=0,"",SUMIFS('Input Sheet'!$F$3:$F$1001,'Input Sheet'!$B$3:$B$1001,$H683,'Input Sheet'!$E$3:$E$1001,R$4))</f>
        <v/>
      </c>
      <c r="S683" s="21" t="str">
        <f>IF(SUMIFS('Input Sheet'!$F$3:$F$1001,'Input Sheet'!$B$3:$B$1001,$H683,'Input Sheet'!$E$3:$E$1001,S$4)=0,"",SUMIFS('Input Sheet'!$F$3:$F$1001,'Input Sheet'!$B$3:$B$1001,$H683,'Input Sheet'!$E$3:$E$1001,S$4))</f>
        <v/>
      </c>
      <c r="T683" s="22">
        <v>678</v>
      </c>
    </row>
    <row r="684" spans="1:20" ht="14.25" customHeight="1" x14ac:dyDescent="0.3">
      <c r="A684" s="4" t="str">
        <f>IF('Input Sheet'!B681=0,"",'Input Sheet'!B681)</f>
        <v/>
      </c>
      <c r="B684" s="24" t="b">
        <f t="shared" si="526"/>
        <v>0</v>
      </c>
      <c r="C684" s="4">
        <f>SUMIF('Input Sheet'!B$3:B$1000,A684,'Input Sheet'!C$3:C$1000)</f>
        <v>0</v>
      </c>
      <c r="D684" s="4">
        <f>SUMIF('Input Sheet'!B$3:B$1000,A684,'Input Sheet'!D$3:D$1000)</f>
        <v>0</v>
      </c>
      <c r="E684" s="4" t="str">
        <f t="shared" ref="E684:F684" ca="1" si="701">IFERROR(RANK(K684,K$6:K$1004,1),"")</f>
        <v/>
      </c>
      <c r="F684" s="4" t="str">
        <f t="shared" ca="1" si="701"/>
        <v/>
      </c>
      <c r="G684" s="4" t="str">
        <f t="shared" ca="1" si="528"/>
        <v/>
      </c>
      <c r="H684" s="4" t="str">
        <f t="shared" si="529"/>
        <v/>
      </c>
      <c r="I684" s="4" t="str">
        <f t="shared" si="530"/>
        <v/>
      </c>
      <c r="J684" s="4" t="str">
        <f t="shared" si="531"/>
        <v/>
      </c>
      <c r="K684" s="25" t="str">
        <f t="shared" ca="1" si="532"/>
        <v/>
      </c>
      <c r="L684" s="21" t="str">
        <f t="shared" ca="1" si="533"/>
        <v/>
      </c>
      <c r="M684" s="21" t="str">
        <f>IF(SUMIFS('Input Sheet'!$F$3:$F$1001,'Input Sheet'!$B$3:$B$1001,$H684,'Input Sheet'!$E$3:$E$1001,M$4)=0,"",SUMIFS('Input Sheet'!$F$3:$F$1001,'Input Sheet'!$B$3:$B$1001,$H684,'Input Sheet'!$E$3:$E$1001,M$4))</f>
        <v/>
      </c>
      <c r="N684" s="21" t="str">
        <f>IF(SUMIFS('Input Sheet'!$F$3:$F$1001,'Input Sheet'!$B$3:$B$1001,$H684,'Input Sheet'!$E$3:$E$1001,N$4)=0,"",SUMIFS('Input Sheet'!$F$3:$F$1001,'Input Sheet'!$B$3:$B$1001,$H684,'Input Sheet'!$E$3:$E$1001,N$4))</f>
        <v/>
      </c>
      <c r="O684" s="21" t="str">
        <f>IF(SUMIFS('Input Sheet'!$F$3:$F$1001,'Input Sheet'!$B$3:$B$1001,$H684,'Input Sheet'!$E$3:$E$1001,O$4)=0,"",SUMIFS('Input Sheet'!$F$3:$F$1001,'Input Sheet'!$B$3:$B$1001,$H684,'Input Sheet'!$E$3:$E$1001,O$4))</f>
        <v/>
      </c>
      <c r="P684" s="21" t="str">
        <f>IF(SUMIFS('Input Sheet'!$F$3:$F$1001,'Input Sheet'!$B$3:$B$1001,$H684,'Input Sheet'!$E$3:$E$1001,P$4)=0,"",SUMIFS('Input Sheet'!$F$3:$F$1001,'Input Sheet'!$B$3:$B$1001,$H684,'Input Sheet'!$E$3:$E$1001,P$4))</f>
        <v/>
      </c>
      <c r="Q684" s="21" t="str">
        <f>IF(SUMIFS('Input Sheet'!$F$3:$F$1001,'Input Sheet'!$B$3:$B$1001,$H684,'Input Sheet'!$E$3:$E$1001,Q$4)=0,"",SUMIFS('Input Sheet'!$F$3:$F$1001,'Input Sheet'!$B$3:$B$1001,$H684,'Input Sheet'!$E$3:$E$1001,Q$4))</f>
        <v/>
      </c>
      <c r="R684" s="21" t="str">
        <f>IF(SUMIFS('Input Sheet'!$F$3:$F$1001,'Input Sheet'!$B$3:$B$1001,$H684,'Input Sheet'!$E$3:$E$1001,R$4)=0,"",SUMIFS('Input Sheet'!$F$3:$F$1001,'Input Sheet'!$B$3:$B$1001,$H684,'Input Sheet'!$E$3:$E$1001,R$4))</f>
        <v/>
      </c>
      <c r="S684" s="21" t="str">
        <f>IF(SUMIFS('Input Sheet'!$F$3:$F$1001,'Input Sheet'!$B$3:$B$1001,$H684,'Input Sheet'!$E$3:$E$1001,S$4)=0,"",SUMIFS('Input Sheet'!$F$3:$F$1001,'Input Sheet'!$B$3:$B$1001,$H684,'Input Sheet'!$E$3:$E$1001,S$4))</f>
        <v/>
      </c>
      <c r="T684" s="22">
        <v>679</v>
      </c>
    </row>
    <row r="685" spans="1:20" ht="14.25" customHeight="1" x14ac:dyDescent="0.3">
      <c r="A685" s="4" t="str">
        <f>IF('Input Sheet'!B682=0,"",'Input Sheet'!B682)</f>
        <v/>
      </c>
      <c r="B685" s="24" t="b">
        <f t="shared" si="526"/>
        <v>0</v>
      </c>
      <c r="C685" s="4">
        <f>SUMIF('Input Sheet'!B$3:B$1000,A685,'Input Sheet'!C$3:C$1000)</f>
        <v>0</v>
      </c>
      <c r="D685" s="4">
        <f>SUMIF('Input Sheet'!B$3:B$1000,A685,'Input Sheet'!D$3:D$1000)</f>
        <v>0</v>
      </c>
      <c r="E685" s="4" t="str">
        <f t="shared" ref="E685:F685" ca="1" si="702">IFERROR(RANK(K685,K$6:K$1004,1),"")</f>
        <v/>
      </c>
      <c r="F685" s="4" t="str">
        <f t="shared" ca="1" si="702"/>
        <v/>
      </c>
      <c r="G685" s="4" t="str">
        <f t="shared" ca="1" si="528"/>
        <v/>
      </c>
      <c r="H685" s="4" t="str">
        <f t="shared" si="529"/>
        <v/>
      </c>
      <c r="I685" s="4" t="str">
        <f t="shared" si="530"/>
        <v/>
      </c>
      <c r="J685" s="4" t="str">
        <f t="shared" si="531"/>
        <v/>
      </c>
      <c r="K685" s="25" t="str">
        <f t="shared" ca="1" si="532"/>
        <v/>
      </c>
      <c r="L685" s="21" t="str">
        <f t="shared" ca="1" si="533"/>
        <v/>
      </c>
      <c r="M685" s="21" t="str">
        <f>IF(SUMIFS('Input Sheet'!$F$3:$F$1001,'Input Sheet'!$B$3:$B$1001,$H685,'Input Sheet'!$E$3:$E$1001,M$4)=0,"",SUMIFS('Input Sheet'!$F$3:$F$1001,'Input Sheet'!$B$3:$B$1001,$H685,'Input Sheet'!$E$3:$E$1001,M$4))</f>
        <v/>
      </c>
      <c r="N685" s="21" t="str">
        <f>IF(SUMIFS('Input Sheet'!$F$3:$F$1001,'Input Sheet'!$B$3:$B$1001,$H685,'Input Sheet'!$E$3:$E$1001,N$4)=0,"",SUMIFS('Input Sheet'!$F$3:$F$1001,'Input Sheet'!$B$3:$B$1001,$H685,'Input Sheet'!$E$3:$E$1001,N$4))</f>
        <v/>
      </c>
      <c r="O685" s="21" t="str">
        <f>IF(SUMIFS('Input Sheet'!$F$3:$F$1001,'Input Sheet'!$B$3:$B$1001,$H685,'Input Sheet'!$E$3:$E$1001,O$4)=0,"",SUMIFS('Input Sheet'!$F$3:$F$1001,'Input Sheet'!$B$3:$B$1001,$H685,'Input Sheet'!$E$3:$E$1001,O$4))</f>
        <v/>
      </c>
      <c r="P685" s="21" t="str">
        <f>IF(SUMIFS('Input Sheet'!$F$3:$F$1001,'Input Sheet'!$B$3:$B$1001,$H685,'Input Sheet'!$E$3:$E$1001,P$4)=0,"",SUMIFS('Input Sheet'!$F$3:$F$1001,'Input Sheet'!$B$3:$B$1001,$H685,'Input Sheet'!$E$3:$E$1001,P$4))</f>
        <v/>
      </c>
      <c r="Q685" s="21" t="str">
        <f>IF(SUMIFS('Input Sheet'!$F$3:$F$1001,'Input Sheet'!$B$3:$B$1001,$H685,'Input Sheet'!$E$3:$E$1001,Q$4)=0,"",SUMIFS('Input Sheet'!$F$3:$F$1001,'Input Sheet'!$B$3:$B$1001,$H685,'Input Sheet'!$E$3:$E$1001,Q$4))</f>
        <v/>
      </c>
      <c r="R685" s="21" t="str">
        <f>IF(SUMIFS('Input Sheet'!$F$3:$F$1001,'Input Sheet'!$B$3:$B$1001,$H685,'Input Sheet'!$E$3:$E$1001,R$4)=0,"",SUMIFS('Input Sheet'!$F$3:$F$1001,'Input Sheet'!$B$3:$B$1001,$H685,'Input Sheet'!$E$3:$E$1001,R$4))</f>
        <v/>
      </c>
      <c r="S685" s="21" t="str">
        <f>IF(SUMIFS('Input Sheet'!$F$3:$F$1001,'Input Sheet'!$B$3:$B$1001,$H685,'Input Sheet'!$E$3:$E$1001,S$4)=0,"",SUMIFS('Input Sheet'!$F$3:$F$1001,'Input Sheet'!$B$3:$B$1001,$H685,'Input Sheet'!$E$3:$E$1001,S$4))</f>
        <v/>
      </c>
      <c r="T685" s="22">
        <v>680</v>
      </c>
    </row>
    <row r="686" spans="1:20" ht="14.25" customHeight="1" x14ac:dyDescent="0.3">
      <c r="A686" s="4" t="str">
        <f>IF('Input Sheet'!B683=0,"",'Input Sheet'!B683)</f>
        <v/>
      </c>
      <c r="B686" s="24" t="b">
        <f t="shared" si="526"/>
        <v>0</v>
      </c>
      <c r="C686" s="4">
        <f>SUMIF('Input Sheet'!B$3:B$1000,A686,'Input Sheet'!C$3:C$1000)</f>
        <v>0</v>
      </c>
      <c r="D686" s="4">
        <f>SUMIF('Input Sheet'!B$3:B$1000,A686,'Input Sheet'!D$3:D$1000)</f>
        <v>0</v>
      </c>
      <c r="E686" s="4" t="str">
        <f t="shared" ref="E686:F686" ca="1" si="703">IFERROR(RANK(K686,K$6:K$1004,1),"")</f>
        <v/>
      </c>
      <c r="F686" s="4" t="str">
        <f t="shared" ca="1" si="703"/>
        <v/>
      </c>
      <c r="G686" s="4" t="str">
        <f t="shared" ca="1" si="528"/>
        <v/>
      </c>
      <c r="H686" s="4" t="str">
        <f t="shared" si="529"/>
        <v/>
      </c>
      <c r="I686" s="4" t="str">
        <f t="shared" si="530"/>
        <v/>
      </c>
      <c r="J686" s="4" t="str">
        <f t="shared" si="531"/>
        <v/>
      </c>
      <c r="K686" s="25" t="str">
        <f t="shared" ca="1" si="532"/>
        <v/>
      </c>
      <c r="L686" s="21" t="str">
        <f t="shared" ca="1" si="533"/>
        <v/>
      </c>
      <c r="M686" s="21" t="str">
        <f>IF(SUMIFS('Input Sheet'!$F$3:$F$1001,'Input Sheet'!$B$3:$B$1001,$H686,'Input Sheet'!$E$3:$E$1001,M$4)=0,"",SUMIFS('Input Sheet'!$F$3:$F$1001,'Input Sheet'!$B$3:$B$1001,$H686,'Input Sheet'!$E$3:$E$1001,M$4))</f>
        <v/>
      </c>
      <c r="N686" s="21" t="str">
        <f>IF(SUMIFS('Input Sheet'!$F$3:$F$1001,'Input Sheet'!$B$3:$B$1001,$H686,'Input Sheet'!$E$3:$E$1001,N$4)=0,"",SUMIFS('Input Sheet'!$F$3:$F$1001,'Input Sheet'!$B$3:$B$1001,$H686,'Input Sheet'!$E$3:$E$1001,N$4))</f>
        <v/>
      </c>
      <c r="O686" s="21" t="str">
        <f>IF(SUMIFS('Input Sheet'!$F$3:$F$1001,'Input Sheet'!$B$3:$B$1001,$H686,'Input Sheet'!$E$3:$E$1001,O$4)=0,"",SUMIFS('Input Sheet'!$F$3:$F$1001,'Input Sheet'!$B$3:$B$1001,$H686,'Input Sheet'!$E$3:$E$1001,O$4))</f>
        <v/>
      </c>
      <c r="P686" s="21" t="str">
        <f>IF(SUMIFS('Input Sheet'!$F$3:$F$1001,'Input Sheet'!$B$3:$B$1001,$H686,'Input Sheet'!$E$3:$E$1001,P$4)=0,"",SUMIFS('Input Sheet'!$F$3:$F$1001,'Input Sheet'!$B$3:$B$1001,$H686,'Input Sheet'!$E$3:$E$1001,P$4))</f>
        <v/>
      </c>
      <c r="Q686" s="21" t="str">
        <f>IF(SUMIFS('Input Sheet'!$F$3:$F$1001,'Input Sheet'!$B$3:$B$1001,$H686,'Input Sheet'!$E$3:$E$1001,Q$4)=0,"",SUMIFS('Input Sheet'!$F$3:$F$1001,'Input Sheet'!$B$3:$B$1001,$H686,'Input Sheet'!$E$3:$E$1001,Q$4))</f>
        <v/>
      </c>
      <c r="R686" s="21" t="str">
        <f>IF(SUMIFS('Input Sheet'!$F$3:$F$1001,'Input Sheet'!$B$3:$B$1001,$H686,'Input Sheet'!$E$3:$E$1001,R$4)=0,"",SUMIFS('Input Sheet'!$F$3:$F$1001,'Input Sheet'!$B$3:$B$1001,$H686,'Input Sheet'!$E$3:$E$1001,R$4))</f>
        <v/>
      </c>
      <c r="S686" s="21" t="str">
        <f>IF(SUMIFS('Input Sheet'!$F$3:$F$1001,'Input Sheet'!$B$3:$B$1001,$H686,'Input Sheet'!$E$3:$E$1001,S$4)=0,"",SUMIFS('Input Sheet'!$F$3:$F$1001,'Input Sheet'!$B$3:$B$1001,$H686,'Input Sheet'!$E$3:$E$1001,S$4))</f>
        <v/>
      </c>
      <c r="T686" s="22">
        <v>681</v>
      </c>
    </row>
    <row r="687" spans="1:20" ht="14.25" customHeight="1" x14ac:dyDescent="0.3">
      <c r="A687" s="4" t="str">
        <f>IF('Input Sheet'!B684=0,"",'Input Sheet'!B684)</f>
        <v/>
      </c>
      <c r="B687" s="24" t="b">
        <f t="shared" si="526"/>
        <v>0</v>
      </c>
      <c r="C687" s="4">
        <f>SUMIF('Input Sheet'!B$3:B$1000,A687,'Input Sheet'!C$3:C$1000)</f>
        <v>0</v>
      </c>
      <c r="D687" s="4">
        <f>SUMIF('Input Sheet'!B$3:B$1000,A687,'Input Sheet'!D$3:D$1000)</f>
        <v>0</v>
      </c>
      <c r="E687" s="4" t="str">
        <f t="shared" ref="E687:F687" ca="1" si="704">IFERROR(RANK(K687,K$6:K$1004,1),"")</f>
        <v/>
      </c>
      <c r="F687" s="4" t="str">
        <f t="shared" ca="1" si="704"/>
        <v/>
      </c>
      <c r="G687" s="4" t="str">
        <f t="shared" ca="1" si="528"/>
        <v/>
      </c>
      <c r="H687" s="4" t="str">
        <f t="shared" si="529"/>
        <v/>
      </c>
      <c r="I687" s="4" t="str">
        <f t="shared" si="530"/>
        <v/>
      </c>
      <c r="J687" s="4" t="str">
        <f t="shared" si="531"/>
        <v/>
      </c>
      <c r="K687" s="25" t="str">
        <f t="shared" ca="1" si="532"/>
        <v/>
      </c>
      <c r="L687" s="21" t="str">
        <f t="shared" ca="1" si="533"/>
        <v/>
      </c>
      <c r="M687" s="21" t="str">
        <f>IF(SUMIFS('Input Sheet'!$F$3:$F$1001,'Input Sheet'!$B$3:$B$1001,$H687,'Input Sheet'!$E$3:$E$1001,M$4)=0,"",SUMIFS('Input Sheet'!$F$3:$F$1001,'Input Sheet'!$B$3:$B$1001,$H687,'Input Sheet'!$E$3:$E$1001,M$4))</f>
        <v/>
      </c>
      <c r="N687" s="21" t="str">
        <f>IF(SUMIFS('Input Sheet'!$F$3:$F$1001,'Input Sheet'!$B$3:$B$1001,$H687,'Input Sheet'!$E$3:$E$1001,N$4)=0,"",SUMIFS('Input Sheet'!$F$3:$F$1001,'Input Sheet'!$B$3:$B$1001,$H687,'Input Sheet'!$E$3:$E$1001,N$4))</f>
        <v/>
      </c>
      <c r="O687" s="21" t="str">
        <f>IF(SUMIFS('Input Sheet'!$F$3:$F$1001,'Input Sheet'!$B$3:$B$1001,$H687,'Input Sheet'!$E$3:$E$1001,O$4)=0,"",SUMIFS('Input Sheet'!$F$3:$F$1001,'Input Sheet'!$B$3:$B$1001,$H687,'Input Sheet'!$E$3:$E$1001,O$4))</f>
        <v/>
      </c>
      <c r="P687" s="21" t="str">
        <f>IF(SUMIFS('Input Sheet'!$F$3:$F$1001,'Input Sheet'!$B$3:$B$1001,$H687,'Input Sheet'!$E$3:$E$1001,P$4)=0,"",SUMIFS('Input Sheet'!$F$3:$F$1001,'Input Sheet'!$B$3:$B$1001,$H687,'Input Sheet'!$E$3:$E$1001,P$4))</f>
        <v/>
      </c>
      <c r="Q687" s="21" t="str">
        <f>IF(SUMIFS('Input Sheet'!$F$3:$F$1001,'Input Sheet'!$B$3:$B$1001,$H687,'Input Sheet'!$E$3:$E$1001,Q$4)=0,"",SUMIFS('Input Sheet'!$F$3:$F$1001,'Input Sheet'!$B$3:$B$1001,$H687,'Input Sheet'!$E$3:$E$1001,Q$4))</f>
        <v/>
      </c>
      <c r="R687" s="21" t="str">
        <f>IF(SUMIFS('Input Sheet'!$F$3:$F$1001,'Input Sheet'!$B$3:$B$1001,$H687,'Input Sheet'!$E$3:$E$1001,R$4)=0,"",SUMIFS('Input Sheet'!$F$3:$F$1001,'Input Sheet'!$B$3:$B$1001,$H687,'Input Sheet'!$E$3:$E$1001,R$4))</f>
        <v/>
      </c>
      <c r="S687" s="21" t="str">
        <f>IF(SUMIFS('Input Sheet'!$F$3:$F$1001,'Input Sheet'!$B$3:$B$1001,$H687,'Input Sheet'!$E$3:$E$1001,S$4)=0,"",SUMIFS('Input Sheet'!$F$3:$F$1001,'Input Sheet'!$B$3:$B$1001,$H687,'Input Sheet'!$E$3:$E$1001,S$4))</f>
        <v/>
      </c>
      <c r="T687" s="22">
        <v>682</v>
      </c>
    </row>
    <row r="688" spans="1:20" ht="14.25" customHeight="1" x14ac:dyDescent="0.3">
      <c r="A688" s="4" t="str">
        <f>IF('Input Sheet'!B685=0,"",'Input Sheet'!B685)</f>
        <v/>
      </c>
      <c r="B688" s="24" t="b">
        <f t="shared" si="526"/>
        <v>0</v>
      </c>
      <c r="C688" s="4">
        <f>SUMIF('Input Sheet'!B$3:B$1000,A688,'Input Sheet'!C$3:C$1000)</f>
        <v>0</v>
      </c>
      <c r="D688" s="4">
        <f>SUMIF('Input Sheet'!B$3:B$1000,A688,'Input Sheet'!D$3:D$1000)</f>
        <v>0</v>
      </c>
      <c r="E688" s="4" t="str">
        <f t="shared" ref="E688:F688" ca="1" si="705">IFERROR(RANK(K688,K$6:K$1004,1),"")</f>
        <v/>
      </c>
      <c r="F688" s="4" t="str">
        <f t="shared" ca="1" si="705"/>
        <v/>
      </c>
      <c r="G688" s="4" t="str">
        <f t="shared" ca="1" si="528"/>
        <v/>
      </c>
      <c r="H688" s="4" t="str">
        <f t="shared" si="529"/>
        <v/>
      </c>
      <c r="I688" s="4" t="str">
        <f t="shared" si="530"/>
        <v/>
      </c>
      <c r="J688" s="4" t="str">
        <f t="shared" si="531"/>
        <v/>
      </c>
      <c r="K688" s="25" t="str">
        <f t="shared" ca="1" si="532"/>
        <v/>
      </c>
      <c r="L688" s="21" t="str">
        <f t="shared" ca="1" si="533"/>
        <v/>
      </c>
      <c r="M688" s="21" t="str">
        <f>IF(SUMIFS('Input Sheet'!$F$3:$F$1001,'Input Sheet'!$B$3:$B$1001,$H688,'Input Sheet'!$E$3:$E$1001,M$4)=0,"",SUMIFS('Input Sheet'!$F$3:$F$1001,'Input Sheet'!$B$3:$B$1001,$H688,'Input Sheet'!$E$3:$E$1001,M$4))</f>
        <v/>
      </c>
      <c r="N688" s="21" t="str">
        <f>IF(SUMIFS('Input Sheet'!$F$3:$F$1001,'Input Sheet'!$B$3:$B$1001,$H688,'Input Sheet'!$E$3:$E$1001,N$4)=0,"",SUMIFS('Input Sheet'!$F$3:$F$1001,'Input Sheet'!$B$3:$B$1001,$H688,'Input Sheet'!$E$3:$E$1001,N$4))</f>
        <v/>
      </c>
      <c r="O688" s="21" t="str">
        <f>IF(SUMIFS('Input Sheet'!$F$3:$F$1001,'Input Sheet'!$B$3:$B$1001,$H688,'Input Sheet'!$E$3:$E$1001,O$4)=0,"",SUMIFS('Input Sheet'!$F$3:$F$1001,'Input Sheet'!$B$3:$B$1001,$H688,'Input Sheet'!$E$3:$E$1001,O$4))</f>
        <v/>
      </c>
      <c r="P688" s="21" t="str">
        <f>IF(SUMIFS('Input Sheet'!$F$3:$F$1001,'Input Sheet'!$B$3:$B$1001,$H688,'Input Sheet'!$E$3:$E$1001,P$4)=0,"",SUMIFS('Input Sheet'!$F$3:$F$1001,'Input Sheet'!$B$3:$B$1001,$H688,'Input Sheet'!$E$3:$E$1001,P$4))</f>
        <v/>
      </c>
      <c r="Q688" s="21" t="str">
        <f>IF(SUMIFS('Input Sheet'!$F$3:$F$1001,'Input Sheet'!$B$3:$B$1001,$H688,'Input Sheet'!$E$3:$E$1001,Q$4)=0,"",SUMIFS('Input Sheet'!$F$3:$F$1001,'Input Sheet'!$B$3:$B$1001,$H688,'Input Sheet'!$E$3:$E$1001,Q$4))</f>
        <v/>
      </c>
      <c r="R688" s="21" t="str">
        <f>IF(SUMIFS('Input Sheet'!$F$3:$F$1001,'Input Sheet'!$B$3:$B$1001,$H688,'Input Sheet'!$E$3:$E$1001,R$4)=0,"",SUMIFS('Input Sheet'!$F$3:$F$1001,'Input Sheet'!$B$3:$B$1001,$H688,'Input Sheet'!$E$3:$E$1001,R$4))</f>
        <v/>
      </c>
      <c r="S688" s="21" t="str">
        <f>IF(SUMIFS('Input Sheet'!$F$3:$F$1001,'Input Sheet'!$B$3:$B$1001,$H688,'Input Sheet'!$E$3:$E$1001,S$4)=0,"",SUMIFS('Input Sheet'!$F$3:$F$1001,'Input Sheet'!$B$3:$B$1001,$H688,'Input Sheet'!$E$3:$E$1001,S$4))</f>
        <v/>
      </c>
      <c r="T688" s="22">
        <v>683</v>
      </c>
    </row>
    <row r="689" spans="1:20" ht="14.25" customHeight="1" x14ac:dyDescent="0.3">
      <c r="A689" s="4" t="str">
        <f>IF('Input Sheet'!B686=0,"",'Input Sheet'!B686)</f>
        <v/>
      </c>
      <c r="B689" s="24" t="b">
        <f t="shared" si="526"/>
        <v>0</v>
      </c>
      <c r="C689" s="4">
        <f>SUMIF('Input Sheet'!B$3:B$1000,A689,'Input Sheet'!C$3:C$1000)</f>
        <v>0</v>
      </c>
      <c r="D689" s="4">
        <f>SUMIF('Input Sheet'!B$3:B$1000,A689,'Input Sheet'!D$3:D$1000)</f>
        <v>0</v>
      </c>
      <c r="E689" s="4" t="str">
        <f t="shared" ref="E689:F689" ca="1" si="706">IFERROR(RANK(K689,K$6:K$1004,1),"")</f>
        <v/>
      </c>
      <c r="F689" s="4" t="str">
        <f t="shared" ca="1" si="706"/>
        <v/>
      </c>
      <c r="G689" s="4" t="str">
        <f t="shared" ca="1" si="528"/>
        <v/>
      </c>
      <c r="H689" s="4" t="str">
        <f t="shared" si="529"/>
        <v/>
      </c>
      <c r="I689" s="4" t="str">
        <f t="shared" si="530"/>
        <v/>
      </c>
      <c r="J689" s="4" t="str">
        <f t="shared" si="531"/>
        <v/>
      </c>
      <c r="K689" s="25" t="str">
        <f t="shared" ca="1" si="532"/>
        <v/>
      </c>
      <c r="L689" s="21" t="str">
        <f t="shared" ca="1" si="533"/>
        <v/>
      </c>
      <c r="M689" s="21" t="str">
        <f>IF(SUMIFS('Input Sheet'!$F$3:$F$1001,'Input Sheet'!$B$3:$B$1001,$H689,'Input Sheet'!$E$3:$E$1001,M$4)=0,"",SUMIFS('Input Sheet'!$F$3:$F$1001,'Input Sheet'!$B$3:$B$1001,$H689,'Input Sheet'!$E$3:$E$1001,M$4))</f>
        <v/>
      </c>
      <c r="N689" s="21" t="str">
        <f>IF(SUMIFS('Input Sheet'!$F$3:$F$1001,'Input Sheet'!$B$3:$B$1001,$H689,'Input Sheet'!$E$3:$E$1001,N$4)=0,"",SUMIFS('Input Sheet'!$F$3:$F$1001,'Input Sheet'!$B$3:$B$1001,$H689,'Input Sheet'!$E$3:$E$1001,N$4))</f>
        <v/>
      </c>
      <c r="O689" s="21" t="str">
        <f>IF(SUMIFS('Input Sheet'!$F$3:$F$1001,'Input Sheet'!$B$3:$B$1001,$H689,'Input Sheet'!$E$3:$E$1001,O$4)=0,"",SUMIFS('Input Sheet'!$F$3:$F$1001,'Input Sheet'!$B$3:$B$1001,$H689,'Input Sheet'!$E$3:$E$1001,O$4))</f>
        <v/>
      </c>
      <c r="P689" s="21" t="str">
        <f>IF(SUMIFS('Input Sheet'!$F$3:$F$1001,'Input Sheet'!$B$3:$B$1001,$H689,'Input Sheet'!$E$3:$E$1001,P$4)=0,"",SUMIFS('Input Sheet'!$F$3:$F$1001,'Input Sheet'!$B$3:$B$1001,$H689,'Input Sheet'!$E$3:$E$1001,P$4))</f>
        <v/>
      </c>
      <c r="Q689" s="21" t="str">
        <f>IF(SUMIFS('Input Sheet'!$F$3:$F$1001,'Input Sheet'!$B$3:$B$1001,$H689,'Input Sheet'!$E$3:$E$1001,Q$4)=0,"",SUMIFS('Input Sheet'!$F$3:$F$1001,'Input Sheet'!$B$3:$B$1001,$H689,'Input Sheet'!$E$3:$E$1001,Q$4))</f>
        <v/>
      </c>
      <c r="R689" s="21" t="str">
        <f>IF(SUMIFS('Input Sheet'!$F$3:$F$1001,'Input Sheet'!$B$3:$B$1001,$H689,'Input Sheet'!$E$3:$E$1001,R$4)=0,"",SUMIFS('Input Sheet'!$F$3:$F$1001,'Input Sheet'!$B$3:$B$1001,$H689,'Input Sheet'!$E$3:$E$1001,R$4))</f>
        <v/>
      </c>
      <c r="S689" s="21" t="str">
        <f>IF(SUMIFS('Input Sheet'!$F$3:$F$1001,'Input Sheet'!$B$3:$B$1001,$H689,'Input Sheet'!$E$3:$E$1001,S$4)=0,"",SUMIFS('Input Sheet'!$F$3:$F$1001,'Input Sheet'!$B$3:$B$1001,$H689,'Input Sheet'!$E$3:$E$1001,S$4))</f>
        <v/>
      </c>
      <c r="T689" s="22">
        <v>684</v>
      </c>
    </row>
    <row r="690" spans="1:20" ht="14.25" customHeight="1" x14ac:dyDescent="0.3">
      <c r="A690" s="4" t="str">
        <f>IF('Input Sheet'!B687=0,"",'Input Sheet'!B687)</f>
        <v/>
      </c>
      <c r="B690" s="24" t="b">
        <f t="shared" si="526"/>
        <v>0</v>
      </c>
      <c r="C690" s="4">
        <f>SUMIF('Input Sheet'!B$3:B$1000,A690,'Input Sheet'!C$3:C$1000)</f>
        <v>0</v>
      </c>
      <c r="D690" s="4">
        <f>SUMIF('Input Sheet'!B$3:B$1000,A690,'Input Sheet'!D$3:D$1000)</f>
        <v>0</v>
      </c>
      <c r="E690" s="4" t="str">
        <f t="shared" ref="E690:F690" ca="1" si="707">IFERROR(RANK(K690,K$6:K$1004,1),"")</f>
        <v/>
      </c>
      <c r="F690" s="4" t="str">
        <f t="shared" ca="1" si="707"/>
        <v/>
      </c>
      <c r="G690" s="4" t="str">
        <f t="shared" ca="1" si="528"/>
        <v/>
      </c>
      <c r="H690" s="4" t="str">
        <f t="shared" si="529"/>
        <v/>
      </c>
      <c r="I690" s="4" t="str">
        <f t="shared" si="530"/>
        <v/>
      </c>
      <c r="J690" s="4" t="str">
        <f t="shared" si="531"/>
        <v/>
      </c>
      <c r="K690" s="25" t="str">
        <f t="shared" ca="1" si="532"/>
        <v/>
      </c>
      <c r="L690" s="21" t="str">
        <f t="shared" ca="1" si="533"/>
        <v/>
      </c>
      <c r="M690" s="21" t="str">
        <f>IF(SUMIFS('Input Sheet'!$F$3:$F$1001,'Input Sheet'!$B$3:$B$1001,$H690,'Input Sheet'!$E$3:$E$1001,M$4)=0,"",SUMIFS('Input Sheet'!$F$3:$F$1001,'Input Sheet'!$B$3:$B$1001,$H690,'Input Sheet'!$E$3:$E$1001,M$4))</f>
        <v/>
      </c>
      <c r="N690" s="21" t="str">
        <f>IF(SUMIFS('Input Sheet'!$F$3:$F$1001,'Input Sheet'!$B$3:$B$1001,$H690,'Input Sheet'!$E$3:$E$1001,N$4)=0,"",SUMIFS('Input Sheet'!$F$3:$F$1001,'Input Sheet'!$B$3:$B$1001,$H690,'Input Sheet'!$E$3:$E$1001,N$4))</f>
        <v/>
      </c>
      <c r="O690" s="21" t="str">
        <f>IF(SUMIFS('Input Sheet'!$F$3:$F$1001,'Input Sheet'!$B$3:$B$1001,$H690,'Input Sheet'!$E$3:$E$1001,O$4)=0,"",SUMIFS('Input Sheet'!$F$3:$F$1001,'Input Sheet'!$B$3:$B$1001,$H690,'Input Sheet'!$E$3:$E$1001,O$4))</f>
        <v/>
      </c>
      <c r="P690" s="21" t="str">
        <f>IF(SUMIFS('Input Sheet'!$F$3:$F$1001,'Input Sheet'!$B$3:$B$1001,$H690,'Input Sheet'!$E$3:$E$1001,P$4)=0,"",SUMIFS('Input Sheet'!$F$3:$F$1001,'Input Sheet'!$B$3:$B$1001,$H690,'Input Sheet'!$E$3:$E$1001,P$4))</f>
        <v/>
      </c>
      <c r="Q690" s="21" t="str">
        <f>IF(SUMIFS('Input Sheet'!$F$3:$F$1001,'Input Sheet'!$B$3:$B$1001,$H690,'Input Sheet'!$E$3:$E$1001,Q$4)=0,"",SUMIFS('Input Sheet'!$F$3:$F$1001,'Input Sheet'!$B$3:$B$1001,$H690,'Input Sheet'!$E$3:$E$1001,Q$4))</f>
        <v/>
      </c>
      <c r="R690" s="21" t="str">
        <f>IF(SUMIFS('Input Sheet'!$F$3:$F$1001,'Input Sheet'!$B$3:$B$1001,$H690,'Input Sheet'!$E$3:$E$1001,R$4)=0,"",SUMIFS('Input Sheet'!$F$3:$F$1001,'Input Sheet'!$B$3:$B$1001,$H690,'Input Sheet'!$E$3:$E$1001,R$4))</f>
        <v/>
      </c>
      <c r="S690" s="21" t="str">
        <f>IF(SUMIFS('Input Sheet'!$F$3:$F$1001,'Input Sheet'!$B$3:$B$1001,$H690,'Input Sheet'!$E$3:$E$1001,S$4)=0,"",SUMIFS('Input Sheet'!$F$3:$F$1001,'Input Sheet'!$B$3:$B$1001,$H690,'Input Sheet'!$E$3:$E$1001,S$4))</f>
        <v/>
      </c>
      <c r="T690" s="22">
        <v>685</v>
      </c>
    </row>
    <row r="691" spans="1:20" ht="14.25" customHeight="1" x14ac:dyDescent="0.3">
      <c r="A691" s="4" t="str">
        <f>IF('Input Sheet'!B688=0,"",'Input Sheet'!B688)</f>
        <v/>
      </c>
      <c r="B691" s="24" t="b">
        <f t="shared" si="526"/>
        <v>0</v>
      </c>
      <c r="C691" s="4">
        <f>SUMIF('Input Sheet'!B$3:B$1000,A691,'Input Sheet'!C$3:C$1000)</f>
        <v>0</v>
      </c>
      <c r="D691" s="4">
        <f>SUMIF('Input Sheet'!B$3:B$1000,A691,'Input Sheet'!D$3:D$1000)</f>
        <v>0</v>
      </c>
      <c r="E691" s="4" t="str">
        <f t="shared" ref="E691:F691" ca="1" si="708">IFERROR(RANK(K691,K$6:K$1004,1),"")</f>
        <v/>
      </c>
      <c r="F691" s="4" t="str">
        <f t="shared" ca="1" si="708"/>
        <v/>
      </c>
      <c r="G691" s="4" t="str">
        <f t="shared" ca="1" si="528"/>
        <v/>
      </c>
      <c r="H691" s="4" t="str">
        <f t="shared" si="529"/>
        <v/>
      </c>
      <c r="I691" s="4" t="str">
        <f t="shared" si="530"/>
        <v/>
      </c>
      <c r="J691" s="4" t="str">
        <f t="shared" si="531"/>
        <v/>
      </c>
      <c r="K691" s="25" t="str">
        <f t="shared" ca="1" si="532"/>
        <v/>
      </c>
      <c r="L691" s="21" t="str">
        <f t="shared" ca="1" si="533"/>
        <v/>
      </c>
      <c r="M691" s="21" t="str">
        <f>IF(SUMIFS('Input Sheet'!$F$3:$F$1001,'Input Sheet'!$B$3:$B$1001,$H691,'Input Sheet'!$E$3:$E$1001,M$4)=0,"",SUMIFS('Input Sheet'!$F$3:$F$1001,'Input Sheet'!$B$3:$B$1001,$H691,'Input Sheet'!$E$3:$E$1001,M$4))</f>
        <v/>
      </c>
      <c r="N691" s="21" t="str">
        <f>IF(SUMIFS('Input Sheet'!$F$3:$F$1001,'Input Sheet'!$B$3:$B$1001,$H691,'Input Sheet'!$E$3:$E$1001,N$4)=0,"",SUMIFS('Input Sheet'!$F$3:$F$1001,'Input Sheet'!$B$3:$B$1001,$H691,'Input Sheet'!$E$3:$E$1001,N$4))</f>
        <v/>
      </c>
      <c r="O691" s="21" t="str">
        <f>IF(SUMIFS('Input Sheet'!$F$3:$F$1001,'Input Sheet'!$B$3:$B$1001,$H691,'Input Sheet'!$E$3:$E$1001,O$4)=0,"",SUMIFS('Input Sheet'!$F$3:$F$1001,'Input Sheet'!$B$3:$B$1001,$H691,'Input Sheet'!$E$3:$E$1001,O$4))</f>
        <v/>
      </c>
      <c r="P691" s="21" t="str">
        <f>IF(SUMIFS('Input Sheet'!$F$3:$F$1001,'Input Sheet'!$B$3:$B$1001,$H691,'Input Sheet'!$E$3:$E$1001,P$4)=0,"",SUMIFS('Input Sheet'!$F$3:$F$1001,'Input Sheet'!$B$3:$B$1001,$H691,'Input Sheet'!$E$3:$E$1001,P$4))</f>
        <v/>
      </c>
      <c r="Q691" s="21" t="str">
        <f>IF(SUMIFS('Input Sheet'!$F$3:$F$1001,'Input Sheet'!$B$3:$B$1001,$H691,'Input Sheet'!$E$3:$E$1001,Q$4)=0,"",SUMIFS('Input Sheet'!$F$3:$F$1001,'Input Sheet'!$B$3:$B$1001,$H691,'Input Sheet'!$E$3:$E$1001,Q$4))</f>
        <v/>
      </c>
      <c r="R691" s="21" t="str">
        <f>IF(SUMIFS('Input Sheet'!$F$3:$F$1001,'Input Sheet'!$B$3:$B$1001,$H691,'Input Sheet'!$E$3:$E$1001,R$4)=0,"",SUMIFS('Input Sheet'!$F$3:$F$1001,'Input Sheet'!$B$3:$B$1001,$H691,'Input Sheet'!$E$3:$E$1001,R$4))</f>
        <v/>
      </c>
      <c r="S691" s="21" t="str">
        <f>IF(SUMIFS('Input Sheet'!$F$3:$F$1001,'Input Sheet'!$B$3:$B$1001,$H691,'Input Sheet'!$E$3:$E$1001,S$4)=0,"",SUMIFS('Input Sheet'!$F$3:$F$1001,'Input Sheet'!$B$3:$B$1001,$H691,'Input Sheet'!$E$3:$E$1001,S$4))</f>
        <v/>
      </c>
      <c r="T691" s="22">
        <v>686</v>
      </c>
    </row>
    <row r="692" spans="1:20" ht="14.25" customHeight="1" x14ac:dyDescent="0.3">
      <c r="A692" s="4" t="str">
        <f>IF('Input Sheet'!B689=0,"",'Input Sheet'!B689)</f>
        <v/>
      </c>
      <c r="B692" s="24" t="b">
        <f t="shared" si="526"/>
        <v>0</v>
      </c>
      <c r="C692" s="4">
        <f>SUMIF('Input Sheet'!B$3:B$1000,A692,'Input Sheet'!C$3:C$1000)</f>
        <v>0</v>
      </c>
      <c r="D692" s="4">
        <f>SUMIF('Input Sheet'!B$3:B$1000,A692,'Input Sheet'!D$3:D$1000)</f>
        <v>0</v>
      </c>
      <c r="E692" s="4" t="str">
        <f t="shared" ref="E692:F692" ca="1" si="709">IFERROR(RANK(K692,K$6:K$1004,1),"")</f>
        <v/>
      </c>
      <c r="F692" s="4" t="str">
        <f t="shared" ca="1" si="709"/>
        <v/>
      </c>
      <c r="G692" s="4" t="str">
        <f t="shared" ca="1" si="528"/>
        <v/>
      </c>
      <c r="H692" s="4" t="str">
        <f t="shared" si="529"/>
        <v/>
      </c>
      <c r="I692" s="4" t="str">
        <f t="shared" si="530"/>
        <v/>
      </c>
      <c r="J692" s="4" t="str">
        <f t="shared" si="531"/>
        <v/>
      </c>
      <c r="K692" s="25" t="str">
        <f t="shared" ca="1" si="532"/>
        <v/>
      </c>
      <c r="L692" s="21" t="str">
        <f t="shared" ca="1" si="533"/>
        <v/>
      </c>
      <c r="M692" s="21" t="str">
        <f>IF(SUMIFS('Input Sheet'!$F$3:$F$1001,'Input Sheet'!$B$3:$B$1001,$H692,'Input Sheet'!$E$3:$E$1001,M$4)=0,"",SUMIFS('Input Sheet'!$F$3:$F$1001,'Input Sheet'!$B$3:$B$1001,$H692,'Input Sheet'!$E$3:$E$1001,M$4))</f>
        <v/>
      </c>
      <c r="N692" s="21" t="str">
        <f>IF(SUMIFS('Input Sheet'!$F$3:$F$1001,'Input Sheet'!$B$3:$B$1001,$H692,'Input Sheet'!$E$3:$E$1001,N$4)=0,"",SUMIFS('Input Sheet'!$F$3:$F$1001,'Input Sheet'!$B$3:$B$1001,$H692,'Input Sheet'!$E$3:$E$1001,N$4))</f>
        <v/>
      </c>
      <c r="O692" s="21" t="str">
        <f>IF(SUMIFS('Input Sheet'!$F$3:$F$1001,'Input Sheet'!$B$3:$B$1001,$H692,'Input Sheet'!$E$3:$E$1001,O$4)=0,"",SUMIFS('Input Sheet'!$F$3:$F$1001,'Input Sheet'!$B$3:$B$1001,$H692,'Input Sheet'!$E$3:$E$1001,O$4))</f>
        <v/>
      </c>
      <c r="P692" s="21" t="str">
        <f>IF(SUMIFS('Input Sheet'!$F$3:$F$1001,'Input Sheet'!$B$3:$B$1001,$H692,'Input Sheet'!$E$3:$E$1001,P$4)=0,"",SUMIFS('Input Sheet'!$F$3:$F$1001,'Input Sheet'!$B$3:$B$1001,$H692,'Input Sheet'!$E$3:$E$1001,P$4))</f>
        <v/>
      </c>
      <c r="Q692" s="21" t="str">
        <f>IF(SUMIFS('Input Sheet'!$F$3:$F$1001,'Input Sheet'!$B$3:$B$1001,$H692,'Input Sheet'!$E$3:$E$1001,Q$4)=0,"",SUMIFS('Input Sheet'!$F$3:$F$1001,'Input Sheet'!$B$3:$B$1001,$H692,'Input Sheet'!$E$3:$E$1001,Q$4))</f>
        <v/>
      </c>
      <c r="R692" s="21" t="str">
        <f>IF(SUMIFS('Input Sheet'!$F$3:$F$1001,'Input Sheet'!$B$3:$B$1001,$H692,'Input Sheet'!$E$3:$E$1001,R$4)=0,"",SUMIFS('Input Sheet'!$F$3:$F$1001,'Input Sheet'!$B$3:$B$1001,$H692,'Input Sheet'!$E$3:$E$1001,R$4))</f>
        <v/>
      </c>
      <c r="S692" s="21" t="str">
        <f>IF(SUMIFS('Input Sheet'!$F$3:$F$1001,'Input Sheet'!$B$3:$B$1001,$H692,'Input Sheet'!$E$3:$E$1001,S$4)=0,"",SUMIFS('Input Sheet'!$F$3:$F$1001,'Input Sheet'!$B$3:$B$1001,$H692,'Input Sheet'!$E$3:$E$1001,S$4))</f>
        <v/>
      </c>
      <c r="T692" s="22">
        <v>687</v>
      </c>
    </row>
    <row r="693" spans="1:20" ht="14.25" customHeight="1" x14ac:dyDescent="0.3">
      <c r="A693" s="4" t="str">
        <f>IF('Input Sheet'!B690=0,"",'Input Sheet'!B690)</f>
        <v/>
      </c>
      <c r="B693" s="24" t="b">
        <f t="shared" si="526"/>
        <v>0</v>
      </c>
      <c r="C693" s="4">
        <f>SUMIF('Input Sheet'!B$3:B$1000,A693,'Input Sheet'!C$3:C$1000)</f>
        <v>0</v>
      </c>
      <c r="D693" s="4">
        <f>SUMIF('Input Sheet'!B$3:B$1000,A693,'Input Sheet'!D$3:D$1000)</f>
        <v>0</v>
      </c>
      <c r="E693" s="4" t="str">
        <f t="shared" ref="E693:F693" ca="1" si="710">IFERROR(RANK(K693,K$6:K$1004,1),"")</f>
        <v/>
      </c>
      <c r="F693" s="4" t="str">
        <f t="shared" ca="1" si="710"/>
        <v/>
      </c>
      <c r="G693" s="4" t="str">
        <f t="shared" ca="1" si="528"/>
        <v/>
      </c>
      <c r="H693" s="4" t="str">
        <f t="shared" si="529"/>
        <v/>
      </c>
      <c r="I693" s="4" t="str">
        <f t="shared" si="530"/>
        <v/>
      </c>
      <c r="J693" s="4" t="str">
        <f t="shared" si="531"/>
        <v/>
      </c>
      <c r="K693" s="25" t="str">
        <f t="shared" ca="1" si="532"/>
        <v/>
      </c>
      <c r="L693" s="21" t="str">
        <f t="shared" ca="1" si="533"/>
        <v/>
      </c>
      <c r="M693" s="21" t="str">
        <f>IF(SUMIFS('Input Sheet'!$F$3:$F$1001,'Input Sheet'!$B$3:$B$1001,$H693,'Input Sheet'!$E$3:$E$1001,M$4)=0,"",SUMIFS('Input Sheet'!$F$3:$F$1001,'Input Sheet'!$B$3:$B$1001,$H693,'Input Sheet'!$E$3:$E$1001,M$4))</f>
        <v/>
      </c>
      <c r="N693" s="21" t="str">
        <f>IF(SUMIFS('Input Sheet'!$F$3:$F$1001,'Input Sheet'!$B$3:$B$1001,$H693,'Input Sheet'!$E$3:$E$1001,N$4)=0,"",SUMIFS('Input Sheet'!$F$3:$F$1001,'Input Sheet'!$B$3:$B$1001,$H693,'Input Sheet'!$E$3:$E$1001,N$4))</f>
        <v/>
      </c>
      <c r="O693" s="21" t="str">
        <f>IF(SUMIFS('Input Sheet'!$F$3:$F$1001,'Input Sheet'!$B$3:$B$1001,$H693,'Input Sheet'!$E$3:$E$1001,O$4)=0,"",SUMIFS('Input Sheet'!$F$3:$F$1001,'Input Sheet'!$B$3:$B$1001,$H693,'Input Sheet'!$E$3:$E$1001,O$4))</f>
        <v/>
      </c>
      <c r="P693" s="21" t="str">
        <f>IF(SUMIFS('Input Sheet'!$F$3:$F$1001,'Input Sheet'!$B$3:$B$1001,$H693,'Input Sheet'!$E$3:$E$1001,P$4)=0,"",SUMIFS('Input Sheet'!$F$3:$F$1001,'Input Sheet'!$B$3:$B$1001,$H693,'Input Sheet'!$E$3:$E$1001,P$4))</f>
        <v/>
      </c>
      <c r="Q693" s="21" t="str">
        <f>IF(SUMIFS('Input Sheet'!$F$3:$F$1001,'Input Sheet'!$B$3:$B$1001,$H693,'Input Sheet'!$E$3:$E$1001,Q$4)=0,"",SUMIFS('Input Sheet'!$F$3:$F$1001,'Input Sheet'!$B$3:$B$1001,$H693,'Input Sheet'!$E$3:$E$1001,Q$4))</f>
        <v/>
      </c>
      <c r="R693" s="21" t="str">
        <f>IF(SUMIFS('Input Sheet'!$F$3:$F$1001,'Input Sheet'!$B$3:$B$1001,$H693,'Input Sheet'!$E$3:$E$1001,R$4)=0,"",SUMIFS('Input Sheet'!$F$3:$F$1001,'Input Sheet'!$B$3:$B$1001,$H693,'Input Sheet'!$E$3:$E$1001,R$4))</f>
        <v/>
      </c>
      <c r="S693" s="21" t="str">
        <f>IF(SUMIFS('Input Sheet'!$F$3:$F$1001,'Input Sheet'!$B$3:$B$1001,$H693,'Input Sheet'!$E$3:$E$1001,S$4)=0,"",SUMIFS('Input Sheet'!$F$3:$F$1001,'Input Sheet'!$B$3:$B$1001,$H693,'Input Sheet'!$E$3:$E$1001,S$4))</f>
        <v/>
      </c>
      <c r="T693" s="22">
        <v>688</v>
      </c>
    </row>
    <row r="694" spans="1:20" ht="14.25" customHeight="1" x14ac:dyDescent="0.3">
      <c r="A694" s="4" t="str">
        <f>IF('Input Sheet'!B691=0,"",'Input Sheet'!B691)</f>
        <v/>
      </c>
      <c r="B694" s="24" t="b">
        <f t="shared" si="526"/>
        <v>0</v>
      </c>
      <c r="C694" s="4">
        <f>SUMIF('Input Sheet'!B$3:B$1000,A694,'Input Sheet'!C$3:C$1000)</f>
        <v>0</v>
      </c>
      <c r="D694" s="4">
        <f>SUMIF('Input Sheet'!B$3:B$1000,A694,'Input Sheet'!D$3:D$1000)</f>
        <v>0</v>
      </c>
      <c r="E694" s="4" t="str">
        <f t="shared" ref="E694:F694" ca="1" si="711">IFERROR(RANK(K694,K$6:K$1004,1),"")</f>
        <v/>
      </c>
      <c r="F694" s="4" t="str">
        <f t="shared" ca="1" si="711"/>
        <v/>
      </c>
      <c r="G694" s="4" t="str">
        <f t="shared" ca="1" si="528"/>
        <v/>
      </c>
      <c r="H694" s="4" t="str">
        <f t="shared" si="529"/>
        <v/>
      </c>
      <c r="I694" s="4" t="str">
        <f t="shared" si="530"/>
        <v/>
      </c>
      <c r="J694" s="4" t="str">
        <f t="shared" si="531"/>
        <v/>
      </c>
      <c r="K694" s="25" t="str">
        <f t="shared" ca="1" si="532"/>
        <v/>
      </c>
      <c r="L694" s="21" t="str">
        <f t="shared" ca="1" si="533"/>
        <v/>
      </c>
      <c r="M694" s="21" t="str">
        <f>IF(SUMIFS('Input Sheet'!$F$3:$F$1001,'Input Sheet'!$B$3:$B$1001,$H694,'Input Sheet'!$E$3:$E$1001,M$4)=0,"",SUMIFS('Input Sheet'!$F$3:$F$1001,'Input Sheet'!$B$3:$B$1001,$H694,'Input Sheet'!$E$3:$E$1001,M$4))</f>
        <v/>
      </c>
      <c r="N694" s="21" t="str">
        <f>IF(SUMIFS('Input Sheet'!$F$3:$F$1001,'Input Sheet'!$B$3:$B$1001,$H694,'Input Sheet'!$E$3:$E$1001,N$4)=0,"",SUMIFS('Input Sheet'!$F$3:$F$1001,'Input Sheet'!$B$3:$B$1001,$H694,'Input Sheet'!$E$3:$E$1001,N$4))</f>
        <v/>
      </c>
      <c r="O694" s="21" t="str">
        <f>IF(SUMIFS('Input Sheet'!$F$3:$F$1001,'Input Sheet'!$B$3:$B$1001,$H694,'Input Sheet'!$E$3:$E$1001,O$4)=0,"",SUMIFS('Input Sheet'!$F$3:$F$1001,'Input Sheet'!$B$3:$B$1001,$H694,'Input Sheet'!$E$3:$E$1001,O$4))</f>
        <v/>
      </c>
      <c r="P694" s="21" t="str">
        <f>IF(SUMIFS('Input Sheet'!$F$3:$F$1001,'Input Sheet'!$B$3:$B$1001,$H694,'Input Sheet'!$E$3:$E$1001,P$4)=0,"",SUMIFS('Input Sheet'!$F$3:$F$1001,'Input Sheet'!$B$3:$B$1001,$H694,'Input Sheet'!$E$3:$E$1001,P$4))</f>
        <v/>
      </c>
      <c r="Q694" s="21" t="str">
        <f>IF(SUMIFS('Input Sheet'!$F$3:$F$1001,'Input Sheet'!$B$3:$B$1001,$H694,'Input Sheet'!$E$3:$E$1001,Q$4)=0,"",SUMIFS('Input Sheet'!$F$3:$F$1001,'Input Sheet'!$B$3:$B$1001,$H694,'Input Sheet'!$E$3:$E$1001,Q$4))</f>
        <v/>
      </c>
      <c r="R694" s="21" t="str">
        <f>IF(SUMIFS('Input Sheet'!$F$3:$F$1001,'Input Sheet'!$B$3:$B$1001,$H694,'Input Sheet'!$E$3:$E$1001,R$4)=0,"",SUMIFS('Input Sheet'!$F$3:$F$1001,'Input Sheet'!$B$3:$B$1001,$H694,'Input Sheet'!$E$3:$E$1001,R$4))</f>
        <v/>
      </c>
      <c r="S694" s="21" t="str">
        <f>IF(SUMIFS('Input Sheet'!$F$3:$F$1001,'Input Sheet'!$B$3:$B$1001,$H694,'Input Sheet'!$E$3:$E$1001,S$4)=0,"",SUMIFS('Input Sheet'!$F$3:$F$1001,'Input Sheet'!$B$3:$B$1001,$H694,'Input Sheet'!$E$3:$E$1001,S$4))</f>
        <v/>
      </c>
      <c r="T694" s="22">
        <v>689</v>
      </c>
    </row>
    <row r="695" spans="1:20" ht="14.25" customHeight="1" x14ac:dyDescent="0.3">
      <c r="A695" s="4" t="str">
        <f>IF('Input Sheet'!B692=0,"",'Input Sheet'!B692)</f>
        <v/>
      </c>
      <c r="B695" s="24" t="b">
        <f t="shared" si="526"/>
        <v>0</v>
      </c>
      <c r="C695" s="4">
        <f>SUMIF('Input Sheet'!B$3:B$1000,A695,'Input Sheet'!C$3:C$1000)</f>
        <v>0</v>
      </c>
      <c r="D695" s="4">
        <f>SUMIF('Input Sheet'!B$3:B$1000,A695,'Input Sheet'!D$3:D$1000)</f>
        <v>0</v>
      </c>
      <c r="E695" s="4" t="str">
        <f t="shared" ref="E695:F695" ca="1" si="712">IFERROR(RANK(K695,K$6:K$1004,1),"")</f>
        <v/>
      </c>
      <c r="F695" s="4" t="str">
        <f t="shared" ca="1" si="712"/>
        <v/>
      </c>
      <c r="G695" s="4" t="str">
        <f t="shared" ca="1" si="528"/>
        <v/>
      </c>
      <c r="H695" s="4" t="str">
        <f t="shared" si="529"/>
        <v/>
      </c>
      <c r="I695" s="4" t="str">
        <f t="shared" si="530"/>
        <v/>
      </c>
      <c r="J695" s="4" t="str">
        <f t="shared" si="531"/>
        <v/>
      </c>
      <c r="K695" s="25" t="str">
        <f t="shared" ca="1" si="532"/>
        <v/>
      </c>
      <c r="L695" s="21" t="str">
        <f t="shared" ca="1" si="533"/>
        <v/>
      </c>
      <c r="M695" s="21" t="str">
        <f>IF(SUMIFS('Input Sheet'!$F$3:$F$1001,'Input Sheet'!$B$3:$B$1001,$H695,'Input Sheet'!$E$3:$E$1001,M$4)=0,"",SUMIFS('Input Sheet'!$F$3:$F$1001,'Input Sheet'!$B$3:$B$1001,$H695,'Input Sheet'!$E$3:$E$1001,M$4))</f>
        <v/>
      </c>
      <c r="N695" s="21" t="str">
        <f>IF(SUMIFS('Input Sheet'!$F$3:$F$1001,'Input Sheet'!$B$3:$B$1001,$H695,'Input Sheet'!$E$3:$E$1001,N$4)=0,"",SUMIFS('Input Sheet'!$F$3:$F$1001,'Input Sheet'!$B$3:$B$1001,$H695,'Input Sheet'!$E$3:$E$1001,N$4))</f>
        <v/>
      </c>
      <c r="O695" s="21" t="str">
        <f>IF(SUMIFS('Input Sheet'!$F$3:$F$1001,'Input Sheet'!$B$3:$B$1001,$H695,'Input Sheet'!$E$3:$E$1001,O$4)=0,"",SUMIFS('Input Sheet'!$F$3:$F$1001,'Input Sheet'!$B$3:$B$1001,$H695,'Input Sheet'!$E$3:$E$1001,O$4))</f>
        <v/>
      </c>
      <c r="P695" s="21" t="str">
        <f>IF(SUMIFS('Input Sheet'!$F$3:$F$1001,'Input Sheet'!$B$3:$B$1001,$H695,'Input Sheet'!$E$3:$E$1001,P$4)=0,"",SUMIFS('Input Sheet'!$F$3:$F$1001,'Input Sheet'!$B$3:$B$1001,$H695,'Input Sheet'!$E$3:$E$1001,P$4))</f>
        <v/>
      </c>
      <c r="Q695" s="21" t="str">
        <f>IF(SUMIFS('Input Sheet'!$F$3:$F$1001,'Input Sheet'!$B$3:$B$1001,$H695,'Input Sheet'!$E$3:$E$1001,Q$4)=0,"",SUMIFS('Input Sheet'!$F$3:$F$1001,'Input Sheet'!$B$3:$B$1001,$H695,'Input Sheet'!$E$3:$E$1001,Q$4))</f>
        <v/>
      </c>
      <c r="R695" s="21" t="str">
        <f>IF(SUMIFS('Input Sheet'!$F$3:$F$1001,'Input Sheet'!$B$3:$B$1001,$H695,'Input Sheet'!$E$3:$E$1001,R$4)=0,"",SUMIFS('Input Sheet'!$F$3:$F$1001,'Input Sheet'!$B$3:$B$1001,$H695,'Input Sheet'!$E$3:$E$1001,R$4))</f>
        <v/>
      </c>
      <c r="S695" s="21" t="str">
        <f>IF(SUMIFS('Input Sheet'!$F$3:$F$1001,'Input Sheet'!$B$3:$B$1001,$H695,'Input Sheet'!$E$3:$E$1001,S$4)=0,"",SUMIFS('Input Sheet'!$F$3:$F$1001,'Input Sheet'!$B$3:$B$1001,$H695,'Input Sheet'!$E$3:$E$1001,S$4))</f>
        <v/>
      </c>
      <c r="T695" s="22">
        <v>690</v>
      </c>
    </row>
    <row r="696" spans="1:20" ht="14.25" customHeight="1" x14ac:dyDescent="0.3">
      <c r="A696" s="4" t="str">
        <f>IF('Input Sheet'!B693=0,"",'Input Sheet'!B693)</f>
        <v/>
      </c>
      <c r="B696" s="24" t="b">
        <f t="shared" si="526"/>
        <v>0</v>
      </c>
      <c r="C696" s="4">
        <f>SUMIF('Input Sheet'!B$3:B$1000,A696,'Input Sheet'!C$3:C$1000)</f>
        <v>0</v>
      </c>
      <c r="D696" s="4">
        <f>SUMIF('Input Sheet'!B$3:B$1000,A696,'Input Sheet'!D$3:D$1000)</f>
        <v>0</v>
      </c>
      <c r="E696" s="4" t="str">
        <f t="shared" ref="E696:F696" ca="1" si="713">IFERROR(RANK(K696,K$6:K$1004,1),"")</f>
        <v/>
      </c>
      <c r="F696" s="4" t="str">
        <f t="shared" ca="1" si="713"/>
        <v/>
      </c>
      <c r="G696" s="4" t="str">
        <f t="shared" ca="1" si="528"/>
        <v/>
      </c>
      <c r="H696" s="4" t="str">
        <f t="shared" si="529"/>
        <v/>
      </c>
      <c r="I696" s="4" t="str">
        <f t="shared" si="530"/>
        <v/>
      </c>
      <c r="J696" s="4" t="str">
        <f t="shared" si="531"/>
        <v/>
      </c>
      <c r="K696" s="25" t="str">
        <f t="shared" ca="1" si="532"/>
        <v/>
      </c>
      <c r="L696" s="21" t="str">
        <f t="shared" ca="1" si="533"/>
        <v/>
      </c>
      <c r="M696" s="21" t="str">
        <f>IF(SUMIFS('Input Sheet'!$F$3:$F$1001,'Input Sheet'!$B$3:$B$1001,$H696,'Input Sheet'!$E$3:$E$1001,M$4)=0,"",SUMIFS('Input Sheet'!$F$3:$F$1001,'Input Sheet'!$B$3:$B$1001,$H696,'Input Sheet'!$E$3:$E$1001,M$4))</f>
        <v/>
      </c>
      <c r="N696" s="21" t="str">
        <f>IF(SUMIFS('Input Sheet'!$F$3:$F$1001,'Input Sheet'!$B$3:$B$1001,$H696,'Input Sheet'!$E$3:$E$1001,N$4)=0,"",SUMIFS('Input Sheet'!$F$3:$F$1001,'Input Sheet'!$B$3:$B$1001,$H696,'Input Sheet'!$E$3:$E$1001,N$4))</f>
        <v/>
      </c>
      <c r="O696" s="21" t="str">
        <f>IF(SUMIFS('Input Sheet'!$F$3:$F$1001,'Input Sheet'!$B$3:$B$1001,$H696,'Input Sheet'!$E$3:$E$1001,O$4)=0,"",SUMIFS('Input Sheet'!$F$3:$F$1001,'Input Sheet'!$B$3:$B$1001,$H696,'Input Sheet'!$E$3:$E$1001,O$4))</f>
        <v/>
      </c>
      <c r="P696" s="21" t="str">
        <f>IF(SUMIFS('Input Sheet'!$F$3:$F$1001,'Input Sheet'!$B$3:$B$1001,$H696,'Input Sheet'!$E$3:$E$1001,P$4)=0,"",SUMIFS('Input Sheet'!$F$3:$F$1001,'Input Sheet'!$B$3:$B$1001,$H696,'Input Sheet'!$E$3:$E$1001,P$4))</f>
        <v/>
      </c>
      <c r="Q696" s="21" t="str">
        <f>IF(SUMIFS('Input Sheet'!$F$3:$F$1001,'Input Sheet'!$B$3:$B$1001,$H696,'Input Sheet'!$E$3:$E$1001,Q$4)=0,"",SUMIFS('Input Sheet'!$F$3:$F$1001,'Input Sheet'!$B$3:$B$1001,$H696,'Input Sheet'!$E$3:$E$1001,Q$4))</f>
        <v/>
      </c>
      <c r="R696" s="21" t="str">
        <f>IF(SUMIFS('Input Sheet'!$F$3:$F$1001,'Input Sheet'!$B$3:$B$1001,$H696,'Input Sheet'!$E$3:$E$1001,R$4)=0,"",SUMIFS('Input Sheet'!$F$3:$F$1001,'Input Sheet'!$B$3:$B$1001,$H696,'Input Sheet'!$E$3:$E$1001,R$4))</f>
        <v/>
      </c>
      <c r="S696" s="21" t="str">
        <f>IF(SUMIFS('Input Sheet'!$F$3:$F$1001,'Input Sheet'!$B$3:$B$1001,$H696,'Input Sheet'!$E$3:$E$1001,S$4)=0,"",SUMIFS('Input Sheet'!$F$3:$F$1001,'Input Sheet'!$B$3:$B$1001,$H696,'Input Sheet'!$E$3:$E$1001,S$4))</f>
        <v/>
      </c>
      <c r="T696" s="22">
        <v>691</v>
      </c>
    </row>
    <row r="697" spans="1:20" ht="14.25" customHeight="1" x14ac:dyDescent="0.3">
      <c r="A697" s="4" t="str">
        <f>IF('Input Sheet'!B694=0,"",'Input Sheet'!B694)</f>
        <v/>
      </c>
      <c r="B697" s="24" t="b">
        <f t="shared" si="526"/>
        <v>0</v>
      </c>
      <c r="C697" s="4">
        <f>SUMIF('Input Sheet'!B$3:B$1000,A697,'Input Sheet'!C$3:C$1000)</f>
        <v>0</v>
      </c>
      <c r="D697" s="4">
        <f>SUMIF('Input Sheet'!B$3:B$1000,A697,'Input Sheet'!D$3:D$1000)</f>
        <v>0</v>
      </c>
      <c r="E697" s="4" t="str">
        <f t="shared" ref="E697:F697" ca="1" si="714">IFERROR(RANK(K697,K$6:K$1004,1),"")</f>
        <v/>
      </c>
      <c r="F697" s="4" t="str">
        <f t="shared" ca="1" si="714"/>
        <v/>
      </c>
      <c r="G697" s="4" t="str">
        <f t="shared" ca="1" si="528"/>
        <v/>
      </c>
      <c r="H697" s="4" t="str">
        <f t="shared" si="529"/>
        <v/>
      </c>
      <c r="I697" s="4" t="str">
        <f t="shared" si="530"/>
        <v/>
      </c>
      <c r="J697" s="4" t="str">
        <f t="shared" si="531"/>
        <v/>
      </c>
      <c r="K697" s="25" t="str">
        <f t="shared" ca="1" si="532"/>
        <v/>
      </c>
      <c r="L697" s="21" t="str">
        <f t="shared" ca="1" si="533"/>
        <v/>
      </c>
      <c r="M697" s="21" t="str">
        <f>IF(SUMIFS('Input Sheet'!$F$3:$F$1001,'Input Sheet'!$B$3:$B$1001,$H697,'Input Sheet'!$E$3:$E$1001,M$4)=0,"",SUMIFS('Input Sheet'!$F$3:$F$1001,'Input Sheet'!$B$3:$B$1001,$H697,'Input Sheet'!$E$3:$E$1001,M$4))</f>
        <v/>
      </c>
      <c r="N697" s="21" t="str">
        <f>IF(SUMIFS('Input Sheet'!$F$3:$F$1001,'Input Sheet'!$B$3:$B$1001,$H697,'Input Sheet'!$E$3:$E$1001,N$4)=0,"",SUMIFS('Input Sheet'!$F$3:$F$1001,'Input Sheet'!$B$3:$B$1001,$H697,'Input Sheet'!$E$3:$E$1001,N$4))</f>
        <v/>
      </c>
      <c r="O697" s="21" t="str">
        <f>IF(SUMIFS('Input Sheet'!$F$3:$F$1001,'Input Sheet'!$B$3:$B$1001,$H697,'Input Sheet'!$E$3:$E$1001,O$4)=0,"",SUMIFS('Input Sheet'!$F$3:$F$1001,'Input Sheet'!$B$3:$B$1001,$H697,'Input Sheet'!$E$3:$E$1001,O$4))</f>
        <v/>
      </c>
      <c r="P697" s="21" t="str">
        <f>IF(SUMIFS('Input Sheet'!$F$3:$F$1001,'Input Sheet'!$B$3:$B$1001,$H697,'Input Sheet'!$E$3:$E$1001,P$4)=0,"",SUMIFS('Input Sheet'!$F$3:$F$1001,'Input Sheet'!$B$3:$B$1001,$H697,'Input Sheet'!$E$3:$E$1001,P$4))</f>
        <v/>
      </c>
      <c r="Q697" s="21" t="str">
        <f>IF(SUMIFS('Input Sheet'!$F$3:$F$1001,'Input Sheet'!$B$3:$B$1001,$H697,'Input Sheet'!$E$3:$E$1001,Q$4)=0,"",SUMIFS('Input Sheet'!$F$3:$F$1001,'Input Sheet'!$B$3:$B$1001,$H697,'Input Sheet'!$E$3:$E$1001,Q$4))</f>
        <v/>
      </c>
      <c r="R697" s="21" t="str">
        <f>IF(SUMIFS('Input Sheet'!$F$3:$F$1001,'Input Sheet'!$B$3:$B$1001,$H697,'Input Sheet'!$E$3:$E$1001,R$4)=0,"",SUMIFS('Input Sheet'!$F$3:$F$1001,'Input Sheet'!$B$3:$B$1001,$H697,'Input Sheet'!$E$3:$E$1001,R$4))</f>
        <v/>
      </c>
      <c r="S697" s="21" t="str">
        <f>IF(SUMIFS('Input Sheet'!$F$3:$F$1001,'Input Sheet'!$B$3:$B$1001,$H697,'Input Sheet'!$E$3:$E$1001,S$4)=0,"",SUMIFS('Input Sheet'!$F$3:$F$1001,'Input Sheet'!$B$3:$B$1001,$H697,'Input Sheet'!$E$3:$E$1001,S$4))</f>
        <v/>
      </c>
      <c r="T697" s="22">
        <v>692</v>
      </c>
    </row>
    <row r="698" spans="1:20" ht="14.25" customHeight="1" x14ac:dyDescent="0.3">
      <c r="A698" s="4" t="str">
        <f>IF('Input Sheet'!B695=0,"",'Input Sheet'!B695)</f>
        <v/>
      </c>
      <c r="B698" s="24" t="b">
        <f t="shared" si="526"/>
        <v>0</v>
      </c>
      <c r="C698" s="4">
        <f>SUMIF('Input Sheet'!B$3:B$1000,A698,'Input Sheet'!C$3:C$1000)</f>
        <v>0</v>
      </c>
      <c r="D698" s="4">
        <f>SUMIF('Input Sheet'!B$3:B$1000,A698,'Input Sheet'!D$3:D$1000)</f>
        <v>0</v>
      </c>
      <c r="E698" s="4" t="str">
        <f t="shared" ref="E698:F698" ca="1" si="715">IFERROR(RANK(K698,K$6:K$1004,1),"")</f>
        <v/>
      </c>
      <c r="F698" s="4" t="str">
        <f t="shared" ca="1" si="715"/>
        <v/>
      </c>
      <c r="G698" s="4" t="str">
        <f t="shared" ca="1" si="528"/>
        <v/>
      </c>
      <c r="H698" s="4" t="str">
        <f t="shared" si="529"/>
        <v/>
      </c>
      <c r="I698" s="4" t="str">
        <f t="shared" si="530"/>
        <v/>
      </c>
      <c r="J698" s="4" t="str">
        <f t="shared" si="531"/>
        <v/>
      </c>
      <c r="K698" s="25" t="str">
        <f t="shared" ca="1" si="532"/>
        <v/>
      </c>
      <c r="L698" s="21" t="str">
        <f t="shared" ca="1" si="533"/>
        <v/>
      </c>
      <c r="M698" s="21" t="str">
        <f>IF(SUMIFS('Input Sheet'!$F$3:$F$1001,'Input Sheet'!$B$3:$B$1001,$H698,'Input Sheet'!$E$3:$E$1001,M$4)=0,"",SUMIFS('Input Sheet'!$F$3:$F$1001,'Input Sheet'!$B$3:$B$1001,$H698,'Input Sheet'!$E$3:$E$1001,M$4))</f>
        <v/>
      </c>
      <c r="N698" s="21" t="str">
        <f>IF(SUMIFS('Input Sheet'!$F$3:$F$1001,'Input Sheet'!$B$3:$B$1001,$H698,'Input Sheet'!$E$3:$E$1001,N$4)=0,"",SUMIFS('Input Sheet'!$F$3:$F$1001,'Input Sheet'!$B$3:$B$1001,$H698,'Input Sheet'!$E$3:$E$1001,N$4))</f>
        <v/>
      </c>
      <c r="O698" s="21" t="str">
        <f>IF(SUMIFS('Input Sheet'!$F$3:$F$1001,'Input Sheet'!$B$3:$B$1001,$H698,'Input Sheet'!$E$3:$E$1001,O$4)=0,"",SUMIFS('Input Sheet'!$F$3:$F$1001,'Input Sheet'!$B$3:$B$1001,$H698,'Input Sheet'!$E$3:$E$1001,O$4))</f>
        <v/>
      </c>
      <c r="P698" s="21" t="str">
        <f>IF(SUMIFS('Input Sheet'!$F$3:$F$1001,'Input Sheet'!$B$3:$B$1001,$H698,'Input Sheet'!$E$3:$E$1001,P$4)=0,"",SUMIFS('Input Sheet'!$F$3:$F$1001,'Input Sheet'!$B$3:$B$1001,$H698,'Input Sheet'!$E$3:$E$1001,P$4))</f>
        <v/>
      </c>
      <c r="Q698" s="21" t="str">
        <f>IF(SUMIFS('Input Sheet'!$F$3:$F$1001,'Input Sheet'!$B$3:$B$1001,$H698,'Input Sheet'!$E$3:$E$1001,Q$4)=0,"",SUMIFS('Input Sheet'!$F$3:$F$1001,'Input Sheet'!$B$3:$B$1001,$H698,'Input Sheet'!$E$3:$E$1001,Q$4))</f>
        <v/>
      </c>
      <c r="R698" s="21" t="str">
        <f>IF(SUMIFS('Input Sheet'!$F$3:$F$1001,'Input Sheet'!$B$3:$B$1001,$H698,'Input Sheet'!$E$3:$E$1001,R$4)=0,"",SUMIFS('Input Sheet'!$F$3:$F$1001,'Input Sheet'!$B$3:$B$1001,$H698,'Input Sheet'!$E$3:$E$1001,R$4))</f>
        <v/>
      </c>
      <c r="S698" s="21" t="str">
        <f>IF(SUMIFS('Input Sheet'!$F$3:$F$1001,'Input Sheet'!$B$3:$B$1001,$H698,'Input Sheet'!$E$3:$E$1001,S$4)=0,"",SUMIFS('Input Sheet'!$F$3:$F$1001,'Input Sheet'!$B$3:$B$1001,$H698,'Input Sheet'!$E$3:$E$1001,S$4))</f>
        <v/>
      </c>
      <c r="T698" s="22">
        <v>693</v>
      </c>
    </row>
    <row r="699" spans="1:20" ht="14.25" customHeight="1" x14ac:dyDescent="0.3">
      <c r="A699" s="4" t="str">
        <f>IF('Input Sheet'!B696=0,"",'Input Sheet'!B696)</f>
        <v/>
      </c>
      <c r="B699" s="24" t="b">
        <f t="shared" si="526"/>
        <v>0</v>
      </c>
      <c r="C699" s="4">
        <f>SUMIF('Input Sheet'!B$3:B$1000,A699,'Input Sheet'!C$3:C$1000)</f>
        <v>0</v>
      </c>
      <c r="D699" s="4">
        <f>SUMIF('Input Sheet'!B$3:B$1000,A699,'Input Sheet'!D$3:D$1000)</f>
        <v>0</v>
      </c>
      <c r="E699" s="4" t="str">
        <f t="shared" ref="E699:F699" ca="1" si="716">IFERROR(RANK(K699,K$6:K$1004,1),"")</f>
        <v/>
      </c>
      <c r="F699" s="4" t="str">
        <f t="shared" ca="1" si="716"/>
        <v/>
      </c>
      <c r="G699" s="4" t="str">
        <f t="shared" ca="1" si="528"/>
        <v/>
      </c>
      <c r="H699" s="4" t="str">
        <f t="shared" si="529"/>
        <v/>
      </c>
      <c r="I699" s="4" t="str">
        <f t="shared" si="530"/>
        <v/>
      </c>
      <c r="J699" s="4" t="str">
        <f t="shared" si="531"/>
        <v/>
      </c>
      <c r="K699" s="25" t="str">
        <f t="shared" ca="1" si="532"/>
        <v/>
      </c>
      <c r="L699" s="21" t="str">
        <f t="shared" ca="1" si="533"/>
        <v/>
      </c>
      <c r="M699" s="21" t="str">
        <f>IF(SUMIFS('Input Sheet'!$F$3:$F$1001,'Input Sheet'!$B$3:$B$1001,$H699,'Input Sheet'!$E$3:$E$1001,M$4)=0,"",SUMIFS('Input Sheet'!$F$3:$F$1001,'Input Sheet'!$B$3:$B$1001,$H699,'Input Sheet'!$E$3:$E$1001,M$4))</f>
        <v/>
      </c>
      <c r="N699" s="21" t="str">
        <f>IF(SUMIFS('Input Sheet'!$F$3:$F$1001,'Input Sheet'!$B$3:$B$1001,$H699,'Input Sheet'!$E$3:$E$1001,N$4)=0,"",SUMIFS('Input Sheet'!$F$3:$F$1001,'Input Sheet'!$B$3:$B$1001,$H699,'Input Sheet'!$E$3:$E$1001,N$4))</f>
        <v/>
      </c>
      <c r="O699" s="21" t="str">
        <f>IF(SUMIFS('Input Sheet'!$F$3:$F$1001,'Input Sheet'!$B$3:$B$1001,$H699,'Input Sheet'!$E$3:$E$1001,O$4)=0,"",SUMIFS('Input Sheet'!$F$3:$F$1001,'Input Sheet'!$B$3:$B$1001,$H699,'Input Sheet'!$E$3:$E$1001,O$4))</f>
        <v/>
      </c>
      <c r="P699" s="21" t="str">
        <f>IF(SUMIFS('Input Sheet'!$F$3:$F$1001,'Input Sheet'!$B$3:$B$1001,$H699,'Input Sheet'!$E$3:$E$1001,P$4)=0,"",SUMIFS('Input Sheet'!$F$3:$F$1001,'Input Sheet'!$B$3:$B$1001,$H699,'Input Sheet'!$E$3:$E$1001,P$4))</f>
        <v/>
      </c>
      <c r="Q699" s="21" t="str">
        <f>IF(SUMIFS('Input Sheet'!$F$3:$F$1001,'Input Sheet'!$B$3:$B$1001,$H699,'Input Sheet'!$E$3:$E$1001,Q$4)=0,"",SUMIFS('Input Sheet'!$F$3:$F$1001,'Input Sheet'!$B$3:$B$1001,$H699,'Input Sheet'!$E$3:$E$1001,Q$4))</f>
        <v/>
      </c>
      <c r="R699" s="21" t="str">
        <f>IF(SUMIFS('Input Sheet'!$F$3:$F$1001,'Input Sheet'!$B$3:$B$1001,$H699,'Input Sheet'!$E$3:$E$1001,R$4)=0,"",SUMIFS('Input Sheet'!$F$3:$F$1001,'Input Sheet'!$B$3:$B$1001,$H699,'Input Sheet'!$E$3:$E$1001,R$4))</f>
        <v/>
      </c>
      <c r="S699" s="21" t="str">
        <f>IF(SUMIFS('Input Sheet'!$F$3:$F$1001,'Input Sheet'!$B$3:$B$1001,$H699,'Input Sheet'!$E$3:$E$1001,S$4)=0,"",SUMIFS('Input Sheet'!$F$3:$F$1001,'Input Sheet'!$B$3:$B$1001,$H699,'Input Sheet'!$E$3:$E$1001,S$4))</f>
        <v/>
      </c>
      <c r="T699" s="22">
        <v>694</v>
      </c>
    </row>
    <row r="700" spans="1:20" ht="14.25" customHeight="1" x14ac:dyDescent="0.3">
      <c r="A700" s="4" t="str">
        <f>IF('Input Sheet'!B697=0,"",'Input Sheet'!B697)</f>
        <v/>
      </c>
      <c r="B700" s="24" t="b">
        <f t="shared" si="526"/>
        <v>0</v>
      </c>
      <c r="C700" s="4">
        <f>SUMIF('Input Sheet'!B$3:B$1000,A700,'Input Sheet'!C$3:C$1000)</f>
        <v>0</v>
      </c>
      <c r="D700" s="4">
        <f>SUMIF('Input Sheet'!B$3:B$1000,A700,'Input Sheet'!D$3:D$1000)</f>
        <v>0</v>
      </c>
      <c r="E700" s="4" t="str">
        <f t="shared" ref="E700:F700" ca="1" si="717">IFERROR(RANK(K700,K$6:K$1004,1),"")</f>
        <v/>
      </c>
      <c r="F700" s="4" t="str">
        <f t="shared" ca="1" si="717"/>
        <v/>
      </c>
      <c r="G700" s="4" t="str">
        <f t="shared" ca="1" si="528"/>
        <v/>
      </c>
      <c r="H700" s="4" t="str">
        <f t="shared" si="529"/>
        <v/>
      </c>
      <c r="I700" s="4" t="str">
        <f t="shared" si="530"/>
        <v/>
      </c>
      <c r="J700" s="4" t="str">
        <f t="shared" si="531"/>
        <v/>
      </c>
      <c r="K700" s="25" t="str">
        <f t="shared" ca="1" si="532"/>
        <v/>
      </c>
      <c r="L700" s="21" t="str">
        <f t="shared" ca="1" si="533"/>
        <v/>
      </c>
      <c r="M700" s="21" t="str">
        <f>IF(SUMIFS('Input Sheet'!$F$3:$F$1001,'Input Sheet'!$B$3:$B$1001,$H700,'Input Sheet'!$E$3:$E$1001,M$4)=0,"",SUMIFS('Input Sheet'!$F$3:$F$1001,'Input Sheet'!$B$3:$B$1001,$H700,'Input Sheet'!$E$3:$E$1001,M$4))</f>
        <v/>
      </c>
      <c r="N700" s="21" t="str">
        <f>IF(SUMIFS('Input Sheet'!$F$3:$F$1001,'Input Sheet'!$B$3:$B$1001,$H700,'Input Sheet'!$E$3:$E$1001,N$4)=0,"",SUMIFS('Input Sheet'!$F$3:$F$1001,'Input Sheet'!$B$3:$B$1001,$H700,'Input Sheet'!$E$3:$E$1001,N$4))</f>
        <v/>
      </c>
      <c r="O700" s="21" t="str">
        <f>IF(SUMIFS('Input Sheet'!$F$3:$F$1001,'Input Sheet'!$B$3:$B$1001,$H700,'Input Sheet'!$E$3:$E$1001,O$4)=0,"",SUMIFS('Input Sheet'!$F$3:$F$1001,'Input Sheet'!$B$3:$B$1001,$H700,'Input Sheet'!$E$3:$E$1001,O$4))</f>
        <v/>
      </c>
      <c r="P700" s="21" t="str">
        <f>IF(SUMIFS('Input Sheet'!$F$3:$F$1001,'Input Sheet'!$B$3:$B$1001,$H700,'Input Sheet'!$E$3:$E$1001,P$4)=0,"",SUMIFS('Input Sheet'!$F$3:$F$1001,'Input Sheet'!$B$3:$B$1001,$H700,'Input Sheet'!$E$3:$E$1001,P$4))</f>
        <v/>
      </c>
      <c r="Q700" s="21" t="str">
        <f>IF(SUMIFS('Input Sheet'!$F$3:$F$1001,'Input Sheet'!$B$3:$B$1001,$H700,'Input Sheet'!$E$3:$E$1001,Q$4)=0,"",SUMIFS('Input Sheet'!$F$3:$F$1001,'Input Sheet'!$B$3:$B$1001,$H700,'Input Sheet'!$E$3:$E$1001,Q$4))</f>
        <v/>
      </c>
      <c r="R700" s="21" t="str">
        <f>IF(SUMIFS('Input Sheet'!$F$3:$F$1001,'Input Sheet'!$B$3:$B$1001,$H700,'Input Sheet'!$E$3:$E$1001,R$4)=0,"",SUMIFS('Input Sheet'!$F$3:$F$1001,'Input Sheet'!$B$3:$B$1001,$H700,'Input Sheet'!$E$3:$E$1001,R$4))</f>
        <v/>
      </c>
      <c r="S700" s="21" t="str">
        <f>IF(SUMIFS('Input Sheet'!$F$3:$F$1001,'Input Sheet'!$B$3:$B$1001,$H700,'Input Sheet'!$E$3:$E$1001,S$4)=0,"",SUMIFS('Input Sheet'!$F$3:$F$1001,'Input Sheet'!$B$3:$B$1001,$H700,'Input Sheet'!$E$3:$E$1001,S$4))</f>
        <v/>
      </c>
      <c r="T700" s="22">
        <v>695</v>
      </c>
    </row>
    <row r="701" spans="1:20" ht="14.25" customHeight="1" x14ac:dyDescent="0.3">
      <c r="A701" s="4" t="str">
        <f>IF('Input Sheet'!B698=0,"",'Input Sheet'!B698)</f>
        <v/>
      </c>
      <c r="B701" s="24" t="b">
        <f t="shared" si="526"/>
        <v>0</v>
      </c>
      <c r="C701" s="4">
        <f>SUMIF('Input Sheet'!B$3:B$1000,A701,'Input Sheet'!C$3:C$1000)</f>
        <v>0</v>
      </c>
      <c r="D701" s="4">
        <f>SUMIF('Input Sheet'!B$3:B$1000,A701,'Input Sheet'!D$3:D$1000)</f>
        <v>0</v>
      </c>
      <c r="E701" s="4" t="str">
        <f t="shared" ref="E701:F701" ca="1" si="718">IFERROR(RANK(K701,K$6:K$1004,1),"")</f>
        <v/>
      </c>
      <c r="F701" s="4" t="str">
        <f t="shared" ca="1" si="718"/>
        <v/>
      </c>
      <c r="G701" s="4" t="str">
        <f t="shared" ca="1" si="528"/>
        <v/>
      </c>
      <c r="H701" s="4" t="str">
        <f t="shared" si="529"/>
        <v/>
      </c>
      <c r="I701" s="4" t="str">
        <f t="shared" si="530"/>
        <v/>
      </c>
      <c r="J701" s="4" t="str">
        <f t="shared" si="531"/>
        <v/>
      </c>
      <c r="K701" s="25" t="str">
        <f t="shared" ca="1" si="532"/>
        <v/>
      </c>
      <c r="L701" s="21" t="str">
        <f t="shared" ca="1" si="533"/>
        <v/>
      </c>
      <c r="M701" s="21" t="str">
        <f>IF(SUMIFS('Input Sheet'!$F$3:$F$1001,'Input Sheet'!$B$3:$B$1001,$H701,'Input Sheet'!$E$3:$E$1001,M$4)=0,"",SUMIFS('Input Sheet'!$F$3:$F$1001,'Input Sheet'!$B$3:$B$1001,$H701,'Input Sheet'!$E$3:$E$1001,M$4))</f>
        <v/>
      </c>
      <c r="N701" s="21" t="str">
        <f>IF(SUMIFS('Input Sheet'!$F$3:$F$1001,'Input Sheet'!$B$3:$B$1001,$H701,'Input Sheet'!$E$3:$E$1001,N$4)=0,"",SUMIFS('Input Sheet'!$F$3:$F$1001,'Input Sheet'!$B$3:$B$1001,$H701,'Input Sheet'!$E$3:$E$1001,N$4))</f>
        <v/>
      </c>
      <c r="O701" s="21" t="str">
        <f>IF(SUMIFS('Input Sheet'!$F$3:$F$1001,'Input Sheet'!$B$3:$B$1001,$H701,'Input Sheet'!$E$3:$E$1001,O$4)=0,"",SUMIFS('Input Sheet'!$F$3:$F$1001,'Input Sheet'!$B$3:$B$1001,$H701,'Input Sheet'!$E$3:$E$1001,O$4))</f>
        <v/>
      </c>
      <c r="P701" s="21" t="str">
        <f>IF(SUMIFS('Input Sheet'!$F$3:$F$1001,'Input Sheet'!$B$3:$B$1001,$H701,'Input Sheet'!$E$3:$E$1001,P$4)=0,"",SUMIFS('Input Sheet'!$F$3:$F$1001,'Input Sheet'!$B$3:$B$1001,$H701,'Input Sheet'!$E$3:$E$1001,P$4))</f>
        <v/>
      </c>
      <c r="Q701" s="21" t="str">
        <f>IF(SUMIFS('Input Sheet'!$F$3:$F$1001,'Input Sheet'!$B$3:$B$1001,$H701,'Input Sheet'!$E$3:$E$1001,Q$4)=0,"",SUMIFS('Input Sheet'!$F$3:$F$1001,'Input Sheet'!$B$3:$B$1001,$H701,'Input Sheet'!$E$3:$E$1001,Q$4))</f>
        <v/>
      </c>
      <c r="R701" s="21" t="str">
        <f>IF(SUMIFS('Input Sheet'!$F$3:$F$1001,'Input Sheet'!$B$3:$B$1001,$H701,'Input Sheet'!$E$3:$E$1001,R$4)=0,"",SUMIFS('Input Sheet'!$F$3:$F$1001,'Input Sheet'!$B$3:$B$1001,$H701,'Input Sheet'!$E$3:$E$1001,R$4))</f>
        <v/>
      </c>
      <c r="S701" s="21" t="str">
        <f>IF(SUMIFS('Input Sheet'!$F$3:$F$1001,'Input Sheet'!$B$3:$B$1001,$H701,'Input Sheet'!$E$3:$E$1001,S$4)=0,"",SUMIFS('Input Sheet'!$F$3:$F$1001,'Input Sheet'!$B$3:$B$1001,$H701,'Input Sheet'!$E$3:$E$1001,S$4))</f>
        <v/>
      </c>
      <c r="T701" s="22">
        <v>696</v>
      </c>
    </row>
    <row r="702" spans="1:20" ht="14.25" customHeight="1" x14ac:dyDescent="0.3">
      <c r="A702" s="4" t="str">
        <f>IF('Input Sheet'!B699=0,"",'Input Sheet'!B699)</f>
        <v/>
      </c>
      <c r="B702" s="24" t="b">
        <f t="shared" si="526"/>
        <v>0</v>
      </c>
      <c r="C702" s="4">
        <f>SUMIF('Input Sheet'!B$3:B$1000,A702,'Input Sheet'!C$3:C$1000)</f>
        <v>0</v>
      </c>
      <c r="D702" s="4">
        <f>SUMIF('Input Sheet'!B$3:B$1000,A702,'Input Sheet'!D$3:D$1000)</f>
        <v>0</v>
      </c>
      <c r="E702" s="4" t="str">
        <f t="shared" ref="E702:F702" ca="1" si="719">IFERROR(RANK(K702,K$6:K$1004,1),"")</f>
        <v/>
      </c>
      <c r="F702" s="4" t="str">
        <f t="shared" ca="1" si="719"/>
        <v/>
      </c>
      <c r="G702" s="4" t="str">
        <f t="shared" ca="1" si="528"/>
        <v/>
      </c>
      <c r="H702" s="4" t="str">
        <f t="shared" si="529"/>
        <v/>
      </c>
      <c r="I702" s="4" t="str">
        <f t="shared" si="530"/>
        <v/>
      </c>
      <c r="J702" s="4" t="str">
        <f t="shared" si="531"/>
        <v/>
      </c>
      <c r="K702" s="25" t="str">
        <f t="shared" ca="1" si="532"/>
        <v/>
      </c>
      <c r="L702" s="21" t="str">
        <f t="shared" ca="1" si="533"/>
        <v/>
      </c>
      <c r="M702" s="21" t="str">
        <f>IF(SUMIFS('Input Sheet'!$F$3:$F$1001,'Input Sheet'!$B$3:$B$1001,$H702,'Input Sheet'!$E$3:$E$1001,M$4)=0,"",SUMIFS('Input Sheet'!$F$3:$F$1001,'Input Sheet'!$B$3:$B$1001,$H702,'Input Sheet'!$E$3:$E$1001,M$4))</f>
        <v/>
      </c>
      <c r="N702" s="21" t="str">
        <f>IF(SUMIFS('Input Sheet'!$F$3:$F$1001,'Input Sheet'!$B$3:$B$1001,$H702,'Input Sheet'!$E$3:$E$1001,N$4)=0,"",SUMIFS('Input Sheet'!$F$3:$F$1001,'Input Sheet'!$B$3:$B$1001,$H702,'Input Sheet'!$E$3:$E$1001,N$4))</f>
        <v/>
      </c>
      <c r="O702" s="21" t="str">
        <f>IF(SUMIFS('Input Sheet'!$F$3:$F$1001,'Input Sheet'!$B$3:$B$1001,$H702,'Input Sheet'!$E$3:$E$1001,O$4)=0,"",SUMIFS('Input Sheet'!$F$3:$F$1001,'Input Sheet'!$B$3:$B$1001,$H702,'Input Sheet'!$E$3:$E$1001,O$4))</f>
        <v/>
      </c>
      <c r="P702" s="21" t="str">
        <f>IF(SUMIFS('Input Sheet'!$F$3:$F$1001,'Input Sheet'!$B$3:$B$1001,$H702,'Input Sheet'!$E$3:$E$1001,P$4)=0,"",SUMIFS('Input Sheet'!$F$3:$F$1001,'Input Sheet'!$B$3:$B$1001,$H702,'Input Sheet'!$E$3:$E$1001,P$4))</f>
        <v/>
      </c>
      <c r="Q702" s="21" t="str">
        <f>IF(SUMIFS('Input Sheet'!$F$3:$F$1001,'Input Sheet'!$B$3:$B$1001,$H702,'Input Sheet'!$E$3:$E$1001,Q$4)=0,"",SUMIFS('Input Sheet'!$F$3:$F$1001,'Input Sheet'!$B$3:$B$1001,$H702,'Input Sheet'!$E$3:$E$1001,Q$4))</f>
        <v/>
      </c>
      <c r="R702" s="21" t="str">
        <f>IF(SUMIFS('Input Sheet'!$F$3:$F$1001,'Input Sheet'!$B$3:$B$1001,$H702,'Input Sheet'!$E$3:$E$1001,R$4)=0,"",SUMIFS('Input Sheet'!$F$3:$F$1001,'Input Sheet'!$B$3:$B$1001,$H702,'Input Sheet'!$E$3:$E$1001,R$4))</f>
        <v/>
      </c>
      <c r="S702" s="21" t="str">
        <f>IF(SUMIFS('Input Sheet'!$F$3:$F$1001,'Input Sheet'!$B$3:$B$1001,$H702,'Input Sheet'!$E$3:$E$1001,S$4)=0,"",SUMIFS('Input Sheet'!$F$3:$F$1001,'Input Sheet'!$B$3:$B$1001,$H702,'Input Sheet'!$E$3:$E$1001,S$4))</f>
        <v/>
      </c>
      <c r="T702" s="22">
        <v>697</v>
      </c>
    </row>
    <row r="703" spans="1:20" ht="14.25" customHeight="1" x14ac:dyDescent="0.3">
      <c r="A703" s="4" t="str">
        <f>IF('Input Sheet'!B700=0,"",'Input Sheet'!B700)</f>
        <v/>
      </c>
      <c r="B703" s="24" t="b">
        <f t="shared" si="526"/>
        <v>0</v>
      </c>
      <c r="C703" s="4">
        <f>SUMIF('Input Sheet'!B$3:B$1000,A703,'Input Sheet'!C$3:C$1000)</f>
        <v>0</v>
      </c>
      <c r="D703" s="4">
        <f>SUMIF('Input Sheet'!B$3:B$1000,A703,'Input Sheet'!D$3:D$1000)</f>
        <v>0</v>
      </c>
      <c r="E703" s="4" t="str">
        <f t="shared" ref="E703:F703" ca="1" si="720">IFERROR(RANK(K703,K$6:K$1004,1),"")</f>
        <v/>
      </c>
      <c r="F703" s="4" t="str">
        <f t="shared" ca="1" si="720"/>
        <v/>
      </c>
      <c r="G703" s="4" t="str">
        <f t="shared" ca="1" si="528"/>
        <v/>
      </c>
      <c r="H703" s="4" t="str">
        <f t="shared" si="529"/>
        <v/>
      </c>
      <c r="I703" s="4" t="str">
        <f t="shared" si="530"/>
        <v/>
      </c>
      <c r="J703" s="4" t="str">
        <f t="shared" si="531"/>
        <v/>
      </c>
      <c r="K703" s="25" t="str">
        <f t="shared" ca="1" si="532"/>
        <v/>
      </c>
      <c r="L703" s="21" t="str">
        <f t="shared" ca="1" si="533"/>
        <v/>
      </c>
      <c r="M703" s="21" t="str">
        <f>IF(SUMIFS('Input Sheet'!$F$3:$F$1001,'Input Sheet'!$B$3:$B$1001,$H703,'Input Sheet'!$E$3:$E$1001,M$4)=0,"",SUMIFS('Input Sheet'!$F$3:$F$1001,'Input Sheet'!$B$3:$B$1001,$H703,'Input Sheet'!$E$3:$E$1001,M$4))</f>
        <v/>
      </c>
      <c r="N703" s="21" t="str">
        <f>IF(SUMIFS('Input Sheet'!$F$3:$F$1001,'Input Sheet'!$B$3:$B$1001,$H703,'Input Sheet'!$E$3:$E$1001,N$4)=0,"",SUMIFS('Input Sheet'!$F$3:$F$1001,'Input Sheet'!$B$3:$B$1001,$H703,'Input Sheet'!$E$3:$E$1001,N$4))</f>
        <v/>
      </c>
      <c r="O703" s="21" t="str">
        <f>IF(SUMIFS('Input Sheet'!$F$3:$F$1001,'Input Sheet'!$B$3:$B$1001,$H703,'Input Sheet'!$E$3:$E$1001,O$4)=0,"",SUMIFS('Input Sheet'!$F$3:$F$1001,'Input Sheet'!$B$3:$B$1001,$H703,'Input Sheet'!$E$3:$E$1001,O$4))</f>
        <v/>
      </c>
      <c r="P703" s="21" t="str">
        <f>IF(SUMIFS('Input Sheet'!$F$3:$F$1001,'Input Sheet'!$B$3:$B$1001,$H703,'Input Sheet'!$E$3:$E$1001,P$4)=0,"",SUMIFS('Input Sheet'!$F$3:$F$1001,'Input Sheet'!$B$3:$B$1001,$H703,'Input Sheet'!$E$3:$E$1001,P$4))</f>
        <v/>
      </c>
      <c r="Q703" s="21" t="str">
        <f>IF(SUMIFS('Input Sheet'!$F$3:$F$1001,'Input Sheet'!$B$3:$B$1001,$H703,'Input Sheet'!$E$3:$E$1001,Q$4)=0,"",SUMIFS('Input Sheet'!$F$3:$F$1001,'Input Sheet'!$B$3:$B$1001,$H703,'Input Sheet'!$E$3:$E$1001,Q$4))</f>
        <v/>
      </c>
      <c r="R703" s="21" t="str">
        <f>IF(SUMIFS('Input Sheet'!$F$3:$F$1001,'Input Sheet'!$B$3:$B$1001,$H703,'Input Sheet'!$E$3:$E$1001,R$4)=0,"",SUMIFS('Input Sheet'!$F$3:$F$1001,'Input Sheet'!$B$3:$B$1001,$H703,'Input Sheet'!$E$3:$E$1001,R$4))</f>
        <v/>
      </c>
      <c r="S703" s="21" t="str">
        <f>IF(SUMIFS('Input Sheet'!$F$3:$F$1001,'Input Sheet'!$B$3:$B$1001,$H703,'Input Sheet'!$E$3:$E$1001,S$4)=0,"",SUMIFS('Input Sheet'!$F$3:$F$1001,'Input Sheet'!$B$3:$B$1001,$H703,'Input Sheet'!$E$3:$E$1001,S$4))</f>
        <v/>
      </c>
      <c r="T703" s="22">
        <v>698</v>
      </c>
    </row>
    <row r="704" spans="1:20" ht="14.25" customHeight="1" x14ac:dyDescent="0.3">
      <c r="A704" s="4" t="str">
        <f>IF('Input Sheet'!B701=0,"",'Input Sheet'!B701)</f>
        <v/>
      </c>
      <c r="B704" s="24" t="b">
        <f t="shared" si="526"/>
        <v>0</v>
      </c>
      <c r="C704" s="4">
        <f>SUMIF('Input Sheet'!B$3:B$1000,A704,'Input Sheet'!C$3:C$1000)</f>
        <v>0</v>
      </c>
      <c r="D704" s="4">
        <f>SUMIF('Input Sheet'!B$3:B$1000,A704,'Input Sheet'!D$3:D$1000)</f>
        <v>0</v>
      </c>
      <c r="E704" s="4" t="str">
        <f t="shared" ref="E704:F704" ca="1" si="721">IFERROR(RANK(K704,K$6:K$1004,1),"")</f>
        <v/>
      </c>
      <c r="F704" s="4" t="str">
        <f t="shared" ca="1" si="721"/>
        <v/>
      </c>
      <c r="G704" s="4" t="str">
        <f t="shared" ca="1" si="528"/>
        <v/>
      </c>
      <c r="H704" s="4" t="str">
        <f t="shared" si="529"/>
        <v/>
      </c>
      <c r="I704" s="4" t="str">
        <f t="shared" si="530"/>
        <v/>
      </c>
      <c r="J704" s="4" t="str">
        <f t="shared" si="531"/>
        <v/>
      </c>
      <c r="K704" s="25" t="str">
        <f t="shared" ca="1" si="532"/>
        <v/>
      </c>
      <c r="L704" s="21" t="str">
        <f t="shared" ca="1" si="533"/>
        <v/>
      </c>
      <c r="M704" s="21" t="str">
        <f>IF(SUMIFS('Input Sheet'!$F$3:$F$1001,'Input Sheet'!$B$3:$B$1001,$H704,'Input Sheet'!$E$3:$E$1001,M$4)=0,"",SUMIFS('Input Sheet'!$F$3:$F$1001,'Input Sheet'!$B$3:$B$1001,$H704,'Input Sheet'!$E$3:$E$1001,M$4))</f>
        <v/>
      </c>
      <c r="N704" s="21" t="str">
        <f>IF(SUMIFS('Input Sheet'!$F$3:$F$1001,'Input Sheet'!$B$3:$B$1001,$H704,'Input Sheet'!$E$3:$E$1001,N$4)=0,"",SUMIFS('Input Sheet'!$F$3:$F$1001,'Input Sheet'!$B$3:$B$1001,$H704,'Input Sheet'!$E$3:$E$1001,N$4))</f>
        <v/>
      </c>
      <c r="O704" s="21" t="str">
        <f>IF(SUMIFS('Input Sheet'!$F$3:$F$1001,'Input Sheet'!$B$3:$B$1001,$H704,'Input Sheet'!$E$3:$E$1001,O$4)=0,"",SUMIFS('Input Sheet'!$F$3:$F$1001,'Input Sheet'!$B$3:$B$1001,$H704,'Input Sheet'!$E$3:$E$1001,O$4))</f>
        <v/>
      </c>
      <c r="P704" s="21" t="str">
        <f>IF(SUMIFS('Input Sheet'!$F$3:$F$1001,'Input Sheet'!$B$3:$B$1001,$H704,'Input Sheet'!$E$3:$E$1001,P$4)=0,"",SUMIFS('Input Sheet'!$F$3:$F$1001,'Input Sheet'!$B$3:$B$1001,$H704,'Input Sheet'!$E$3:$E$1001,P$4))</f>
        <v/>
      </c>
      <c r="Q704" s="21" t="str">
        <f>IF(SUMIFS('Input Sheet'!$F$3:$F$1001,'Input Sheet'!$B$3:$B$1001,$H704,'Input Sheet'!$E$3:$E$1001,Q$4)=0,"",SUMIFS('Input Sheet'!$F$3:$F$1001,'Input Sheet'!$B$3:$B$1001,$H704,'Input Sheet'!$E$3:$E$1001,Q$4))</f>
        <v/>
      </c>
      <c r="R704" s="21" t="str">
        <f>IF(SUMIFS('Input Sheet'!$F$3:$F$1001,'Input Sheet'!$B$3:$B$1001,$H704,'Input Sheet'!$E$3:$E$1001,R$4)=0,"",SUMIFS('Input Sheet'!$F$3:$F$1001,'Input Sheet'!$B$3:$B$1001,$H704,'Input Sheet'!$E$3:$E$1001,R$4))</f>
        <v/>
      </c>
      <c r="S704" s="21" t="str">
        <f>IF(SUMIFS('Input Sheet'!$F$3:$F$1001,'Input Sheet'!$B$3:$B$1001,$H704,'Input Sheet'!$E$3:$E$1001,S$4)=0,"",SUMIFS('Input Sheet'!$F$3:$F$1001,'Input Sheet'!$B$3:$B$1001,$H704,'Input Sheet'!$E$3:$E$1001,S$4))</f>
        <v/>
      </c>
      <c r="T704" s="22">
        <v>699</v>
      </c>
    </row>
    <row r="705" spans="1:20" ht="14.25" customHeight="1" x14ac:dyDescent="0.3">
      <c r="A705" s="4" t="str">
        <f>IF('Input Sheet'!B702=0,"",'Input Sheet'!B702)</f>
        <v/>
      </c>
      <c r="B705" s="24" t="b">
        <f t="shared" si="526"/>
        <v>0</v>
      </c>
      <c r="C705" s="4">
        <f>SUMIF('Input Sheet'!B$3:B$1000,A705,'Input Sheet'!C$3:C$1000)</f>
        <v>0</v>
      </c>
      <c r="D705" s="4">
        <f>SUMIF('Input Sheet'!B$3:B$1000,A705,'Input Sheet'!D$3:D$1000)</f>
        <v>0</v>
      </c>
      <c r="E705" s="4" t="str">
        <f t="shared" ref="E705:F705" ca="1" si="722">IFERROR(RANK(K705,K$6:K$1004,1),"")</f>
        <v/>
      </c>
      <c r="F705" s="4" t="str">
        <f t="shared" ca="1" si="722"/>
        <v/>
      </c>
      <c r="G705" s="4" t="str">
        <f t="shared" ca="1" si="528"/>
        <v/>
      </c>
      <c r="H705" s="4" t="str">
        <f t="shared" si="529"/>
        <v/>
      </c>
      <c r="I705" s="4" t="str">
        <f t="shared" si="530"/>
        <v/>
      </c>
      <c r="J705" s="4" t="str">
        <f t="shared" si="531"/>
        <v/>
      </c>
      <c r="K705" s="25" t="str">
        <f t="shared" ca="1" si="532"/>
        <v/>
      </c>
      <c r="L705" s="21" t="str">
        <f t="shared" ca="1" si="533"/>
        <v/>
      </c>
      <c r="M705" s="21" t="str">
        <f>IF(SUMIFS('Input Sheet'!$F$3:$F$1001,'Input Sheet'!$B$3:$B$1001,$H705,'Input Sheet'!$E$3:$E$1001,M$4)=0,"",SUMIFS('Input Sheet'!$F$3:$F$1001,'Input Sheet'!$B$3:$B$1001,$H705,'Input Sheet'!$E$3:$E$1001,M$4))</f>
        <v/>
      </c>
      <c r="N705" s="21" t="str">
        <f>IF(SUMIFS('Input Sheet'!$F$3:$F$1001,'Input Sheet'!$B$3:$B$1001,$H705,'Input Sheet'!$E$3:$E$1001,N$4)=0,"",SUMIFS('Input Sheet'!$F$3:$F$1001,'Input Sheet'!$B$3:$B$1001,$H705,'Input Sheet'!$E$3:$E$1001,N$4))</f>
        <v/>
      </c>
      <c r="O705" s="21" t="str">
        <f>IF(SUMIFS('Input Sheet'!$F$3:$F$1001,'Input Sheet'!$B$3:$B$1001,$H705,'Input Sheet'!$E$3:$E$1001,O$4)=0,"",SUMIFS('Input Sheet'!$F$3:$F$1001,'Input Sheet'!$B$3:$B$1001,$H705,'Input Sheet'!$E$3:$E$1001,O$4))</f>
        <v/>
      </c>
      <c r="P705" s="21" t="str">
        <f>IF(SUMIFS('Input Sheet'!$F$3:$F$1001,'Input Sheet'!$B$3:$B$1001,$H705,'Input Sheet'!$E$3:$E$1001,P$4)=0,"",SUMIFS('Input Sheet'!$F$3:$F$1001,'Input Sheet'!$B$3:$B$1001,$H705,'Input Sheet'!$E$3:$E$1001,P$4))</f>
        <v/>
      </c>
      <c r="Q705" s="21" t="str">
        <f>IF(SUMIFS('Input Sheet'!$F$3:$F$1001,'Input Sheet'!$B$3:$B$1001,$H705,'Input Sheet'!$E$3:$E$1001,Q$4)=0,"",SUMIFS('Input Sheet'!$F$3:$F$1001,'Input Sheet'!$B$3:$B$1001,$H705,'Input Sheet'!$E$3:$E$1001,Q$4))</f>
        <v/>
      </c>
      <c r="R705" s="21" t="str">
        <f>IF(SUMIFS('Input Sheet'!$F$3:$F$1001,'Input Sheet'!$B$3:$B$1001,$H705,'Input Sheet'!$E$3:$E$1001,R$4)=0,"",SUMIFS('Input Sheet'!$F$3:$F$1001,'Input Sheet'!$B$3:$B$1001,$H705,'Input Sheet'!$E$3:$E$1001,R$4))</f>
        <v/>
      </c>
      <c r="S705" s="21" t="str">
        <f>IF(SUMIFS('Input Sheet'!$F$3:$F$1001,'Input Sheet'!$B$3:$B$1001,$H705,'Input Sheet'!$E$3:$E$1001,S$4)=0,"",SUMIFS('Input Sheet'!$F$3:$F$1001,'Input Sheet'!$B$3:$B$1001,$H705,'Input Sheet'!$E$3:$E$1001,S$4))</f>
        <v/>
      </c>
      <c r="T705" s="22">
        <v>700</v>
      </c>
    </row>
    <row r="706" spans="1:20" ht="14.25" customHeight="1" x14ac:dyDescent="0.3">
      <c r="A706" s="4" t="str">
        <f>IF('Input Sheet'!B703=0,"",'Input Sheet'!B703)</f>
        <v/>
      </c>
      <c r="B706" s="24" t="b">
        <f t="shared" si="526"/>
        <v>0</v>
      </c>
      <c r="C706" s="4">
        <f>SUMIF('Input Sheet'!B$3:B$1000,A706,'Input Sheet'!C$3:C$1000)</f>
        <v>0</v>
      </c>
      <c r="D706" s="4">
        <f>SUMIF('Input Sheet'!B$3:B$1000,A706,'Input Sheet'!D$3:D$1000)</f>
        <v>0</v>
      </c>
      <c r="E706" s="4" t="str">
        <f t="shared" ref="E706:F706" ca="1" si="723">IFERROR(RANK(K706,K$6:K$1004,1),"")</f>
        <v/>
      </c>
      <c r="F706" s="4" t="str">
        <f t="shared" ca="1" si="723"/>
        <v/>
      </c>
      <c r="G706" s="4" t="str">
        <f t="shared" ca="1" si="528"/>
        <v/>
      </c>
      <c r="H706" s="4" t="str">
        <f t="shared" si="529"/>
        <v/>
      </c>
      <c r="I706" s="4" t="str">
        <f t="shared" si="530"/>
        <v/>
      </c>
      <c r="J706" s="4" t="str">
        <f t="shared" si="531"/>
        <v/>
      </c>
      <c r="K706" s="25" t="str">
        <f t="shared" ca="1" si="532"/>
        <v/>
      </c>
      <c r="L706" s="21" t="str">
        <f t="shared" ca="1" si="533"/>
        <v/>
      </c>
      <c r="M706" s="21" t="str">
        <f>IF(SUMIFS('Input Sheet'!$F$3:$F$1001,'Input Sheet'!$B$3:$B$1001,$H706,'Input Sheet'!$E$3:$E$1001,M$4)=0,"",SUMIFS('Input Sheet'!$F$3:$F$1001,'Input Sheet'!$B$3:$B$1001,$H706,'Input Sheet'!$E$3:$E$1001,M$4))</f>
        <v/>
      </c>
      <c r="N706" s="21" t="str">
        <f>IF(SUMIFS('Input Sheet'!$F$3:$F$1001,'Input Sheet'!$B$3:$B$1001,$H706,'Input Sheet'!$E$3:$E$1001,N$4)=0,"",SUMIFS('Input Sheet'!$F$3:$F$1001,'Input Sheet'!$B$3:$B$1001,$H706,'Input Sheet'!$E$3:$E$1001,N$4))</f>
        <v/>
      </c>
      <c r="O706" s="21" t="str">
        <f>IF(SUMIFS('Input Sheet'!$F$3:$F$1001,'Input Sheet'!$B$3:$B$1001,$H706,'Input Sheet'!$E$3:$E$1001,O$4)=0,"",SUMIFS('Input Sheet'!$F$3:$F$1001,'Input Sheet'!$B$3:$B$1001,$H706,'Input Sheet'!$E$3:$E$1001,O$4))</f>
        <v/>
      </c>
      <c r="P706" s="21" t="str">
        <f>IF(SUMIFS('Input Sheet'!$F$3:$F$1001,'Input Sheet'!$B$3:$B$1001,$H706,'Input Sheet'!$E$3:$E$1001,P$4)=0,"",SUMIFS('Input Sheet'!$F$3:$F$1001,'Input Sheet'!$B$3:$B$1001,$H706,'Input Sheet'!$E$3:$E$1001,P$4))</f>
        <v/>
      </c>
      <c r="Q706" s="21" t="str">
        <f>IF(SUMIFS('Input Sheet'!$F$3:$F$1001,'Input Sheet'!$B$3:$B$1001,$H706,'Input Sheet'!$E$3:$E$1001,Q$4)=0,"",SUMIFS('Input Sheet'!$F$3:$F$1001,'Input Sheet'!$B$3:$B$1001,$H706,'Input Sheet'!$E$3:$E$1001,Q$4))</f>
        <v/>
      </c>
      <c r="R706" s="21" t="str">
        <f>IF(SUMIFS('Input Sheet'!$F$3:$F$1001,'Input Sheet'!$B$3:$B$1001,$H706,'Input Sheet'!$E$3:$E$1001,R$4)=0,"",SUMIFS('Input Sheet'!$F$3:$F$1001,'Input Sheet'!$B$3:$B$1001,$H706,'Input Sheet'!$E$3:$E$1001,R$4))</f>
        <v/>
      </c>
      <c r="S706" s="21" t="str">
        <f>IF(SUMIFS('Input Sheet'!$F$3:$F$1001,'Input Sheet'!$B$3:$B$1001,$H706,'Input Sheet'!$E$3:$E$1001,S$4)=0,"",SUMIFS('Input Sheet'!$F$3:$F$1001,'Input Sheet'!$B$3:$B$1001,$H706,'Input Sheet'!$E$3:$E$1001,S$4))</f>
        <v/>
      </c>
      <c r="T706" s="22">
        <v>701</v>
      </c>
    </row>
    <row r="707" spans="1:20" ht="14.25" customHeight="1" x14ac:dyDescent="0.3">
      <c r="A707" s="4" t="str">
        <f>IF('Input Sheet'!B704=0,"",'Input Sheet'!B704)</f>
        <v/>
      </c>
      <c r="B707" s="24" t="b">
        <f t="shared" si="526"/>
        <v>0</v>
      </c>
      <c r="C707" s="4">
        <f>SUMIF('Input Sheet'!B$3:B$1000,A707,'Input Sheet'!C$3:C$1000)</f>
        <v>0</v>
      </c>
      <c r="D707" s="4">
        <f>SUMIF('Input Sheet'!B$3:B$1000,A707,'Input Sheet'!D$3:D$1000)</f>
        <v>0</v>
      </c>
      <c r="E707" s="4" t="str">
        <f t="shared" ref="E707:F707" ca="1" si="724">IFERROR(RANK(K707,K$6:K$1004,1),"")</f>
        <v/>
      </c>
      <c r="F707" s="4" t="str">
        <f t="shared" ca="1" si="724"/>
        <v/>
      </c>
      <c r="G707" s="4" t="str">
        <f t="shared" ca="1" si="528"/>
        <v/>
      </c>
      <c r="H707" s="4" t="str">
        <f t="shared" si="529"/>
        <v/>
      </c>
      <c r="I707" s="4" t="str">
        <f t="shared" si="530"/>
        <v/>
      </c>
      <c r="J707" s="4" t="str">
        <f t="shared" si="531"/>
        <v/>
      </c>
      <c r="K707" s="25" t="str">
        <f t="shared" ca="1" si="532"/>
        <v/>
      </c>
      <c r="L707" s="21" t="str">
        <f t="shared" ca="1" si="533"/>
        <v/>
      </c>
      <c r="M707" s="21" t="str">
        <f>IF(SUMIFS('Input Sheet'!$F$3:$F$1001,'Input Sheet'!$B$3:$B$1001,$H707,'Input Sheet'!$E$3:$E$1001,M$4)=0,"",SUMIFS('Input Sheet'!$F$3:$F$1001,'Input Sheet'!$B$3:$B$1001,$H707,'Input Sheet'!$E$3:$E$1001,M$4))</f>
        <v/>
      </c>
      <c r="N707" s="21" t="str">
        <f>IF(SUMIFS('Input Sheet'!$F$3:$F$1001,'Input Sheet'!$B$3:$B$1001,$H707,'Input Sheet'!$E$3:$E$1001,N$4)=0,"",SUMIFS('Input Sheet'!$F$3:$F$1001,'Input Sheet'!$B$3:$B$1001,$H707,'Input Sheet'!$E$3:$E$1001,N$4))</f>
        <v/>
      </c>
      <c r="O707" s="21" t="str">
        <f>IF(SUMIFS('Input Sheet'!$F$3:$F$1001,'Input Sheet'!$B$3:$B$1001,$H707,'Input Sheet'!$E$3:$E$1001,O$4)=0,"",SUMIFS('Input Sheet'!$F$3:$F$1001,'Input Sheet'!$B$3:$B$1001,$H707,'Input Sheet'!$E$3:$E$1001,O$4))</f>
        <v/>
      </c>
      <c r="P707" s="21" t="str">
        <f>IF(SUMIFS('Input Sheet'!$F$3:$F$1001,'Input Sheet'!$B$3:$B$1001,$H707,'Input Sheet'!$E$3:$E$1001,P$4)=0,"",SUMIFS('Input Sheet'!$F$3:$F$1001,'Input Sheet'!$B$3:$B$1001,$H707,'Input Sheet'!$E$3:$E$1001,P$4))</f>
        <v/>
      </c>
      <c r="Q707" s="21" t="str">
        <f>IF(SUMIFS('Input Sheet'!$F$3:$F$1001,'Input Sheet'!$B$3:$B$1001,$H707,'Input Sheet'!$E$3:$E$1001,Q$4)=0,"",SUMIFS('Input Sheet'!$F$3:$F$1001,'Input Sheet'!$B$3:$B$1001,$H707,'Input Sheet'!$E$3:$E$1001,Q$4))</f>
        <v/>
      </c>
      <c r="R707" s="21" t="str">
        <f>IF(SUMIFS('Input Sheet'!$F$3:$F$1001,'Input Sheet'!$B$3:$B$1001,$H707,'Input Sheet'!$E$3:$E$1001,R$4)=0,"",SUMIFS('Input Sheet'!$F$3:$F$1001,'Input Sheet'!$B$3:$B$1001,$H707,'Input Sheet'!$E$3:$E$1001,R$4))</f>
        <v/>
      </c>
      <c r="S707" s="21" t="str">
        <f>IF(SUMIFS('Input Sheet'!$F$3:$F$1001,'Input Sheet'!$B$3:$B$1001,$H707,'Input Sheet'!$E$3:$E$1001,S$4)=0,"",SUMIFS('Input Sheet'!$F$3:$F$1001,'Input Sheet'!$B$3:$B$1001,$H707,'Input Sheet'!$E$3:$E$1001,S$4))</f>
        <v/>
      </c>
      <c r="T707" s="22">
        <v>702</v>
      </c>
    </row>
    <row r="708" spans="1:20" ht="14.25" customHeight="1" x14ac:dyDescent="0.3">
      <c r="A708" s="4" t="str">
        <f>IF('Input Sheet'!B705=0,"",'Input Sheet'!B705)</f>
        <v/>
      </c>
      <c r="B708" s="24" t="b">
        <f t="shared" si="526"/>
        <v>0</v>
      </c>
      <c r="C708" s="4">
        <f>SUMIF('Input Sheet'!B$3:B$1000,A708,'Input Sheet'!C$3:C$1000)</f>
        <v>0</v>
      </c>
      <c r="D708" s="4">
        <f>SUMIF('Input Sheet'!B$3:B$1000,A708,'Input Sheet'!D$3:D$1000)</f>
        <v>0</v>
      </c>
      <c r="E708" s="4" t="str">
        <f t="shared" ref="E708:F708" ca="1" si="725">IFERROR(RANK(K708,K$6:K$1004,1),"")</f>
        <v/>
      </c>
      <c r="F708" s="4" t="str">
        <f t="shared" ca="1" si="725"/>
        <v/>
      </c>
      <c r="G708" s="4" t="str">
        <f t="shared" ca="1" si="528"/>
        <v/>
      </c>
      <c r="H708" s="4" t="str">
        <f t="shared" si="529"/>
        <v/>
      </c>
      <c r="I708" s="4" t="str">
        <f t="shared" si="530"/>
        <v/>
      </c>
      <c r="J708" s="4" t="str">
        <f t="shared" si="531"/>
        <v/>
      </c>
      <c r="K708" s="25" t="str">
        <f t="shared" ca="1" si="532"/>
        <v/>
      </c>
      <c r="L708" s="21" t="str">
        <f t="shared" ca="1" si="533"/>
        <v/>
      </c>
      <c r="M708" s="21" t="str">
        <f>IF(SUMIFS('Input Sheet'!$F$3:$F$1001,'Input Sheet'!$B$3:$B$1001,$H708,'Input Sheet'!$E$3:$E$1001,M$4)=0,"",SUMIFS('Input Sheet'!$F$3:$F$1001,'Input Sheet'!$B$3:$B$1001,$H708,'Input Sheet'!$E$3:$E$1001,M$4))</f>
        <v/>
      </c>
      <c r="N708" s="21" t="str">
        <f>IF(SUMIFS('Input Sheet'!$F$3:$F$1001,'Input Sheet'!$B$3:$B$1001,$H708,'Input Sheet'!$E$3:$E$1001,N$4)=0,"",SUMIFS('Input Sheet'!$F$3:$F$1001,'Input Sheet'!$B$3:$B$1001,$H708,'Input Sheet'!$E$3:$E$1001,N$4))</f>
        <v/>
      </c>
      <c r="O708" s="21" t="str">
        <f>IF(SUMIFS('Input Sheet'!$F$3:$F$1001,'Input Sheet'!$B$3:$B$1001,$H708,'Input Sheet'!$E$3:$E$1001,O$4)=0,"",SUMIFS('Input Sheet'!$F$3:$F$1001,'Input Sheet'!$B$3:$B$1001,$H708,'Input Sheet'!$E$3:$E$1001,O$4))</f>
        <v/>
      </c>
      <c r="P708" s="21" t="str">
        <f>IF(SUMIFS('Input Sheet'!$F$3:$F$1001,'Input Sheet'!$B$3:$B$1001,$H708,'Input Sheet'!$E$3:$E$1001,P$4)=0,"",SUMIFS('Input Sheet'!$F$3:$F$1001,'Input Sheet'!$B$3:$B$1001,$H708,'Input Sheet'!$E$3:$E$1001,P$4))</f>
        <v/>
      </c>
      <c r="Q708" s="21" t="str">
        <f>IF(SUMIFS('Input Sheet'!$F$3:$F$1001,'Input Sheet'!$B$3:$B$1001,$H708,'Input Sheet'!$E$3:$E$1001,Q$4)=0,"",SUMIFS('Input Sheet'!$F$3:$F$1001,'Input Sheet'!$B$3:$B$1001,$H708,'Input Sheet'!$E$3:$E$1001,Q$4))</f>
        <v/>
      </c>
      <c r="R708" s="21" t="str">
        <f>IF(SUMIFS('Input Sheet'!$F$3:$F$1001,'Input Sheet'!$B$3:$B$1001,$H708,'Input Sheet'!$E$3:$E$1001,R$4)=0,"",SUMIFS('Input Sheet'!$F$3:$F$1001,'Input Sheet'!$B$3:$B$1001,$H708,'Input Sheet'!$E$3:$E$1001,R$4))</f>
        <v/>
      </c>
      <c r="S708" s="21" t="str">
        <f>IF(SUMIFS('Input Sheet'!$F$3:$F$1001,'Input Sheet'!$B$3:$B$1001,$H708,'Input Sheet'!$E$3:$E$1001,S$4)=0,"",SUMIFS('Input Sheet'!$F$3:$F$1001,'Input Sheet'!$B$3:$B$1001,$H708,'Input Sheet'!$E$3:$E$1001,S$4))</f>
        <v/>
      </c>
      <c r="T708" s="22">
        <v>703</v>
      </c>
    </row>
    <row r="709" spans="1:20" ht="14.25" customHeight="1" x14ac:dyDescent="0.3">
      <c r="A709" s="4" t="str">
        <f>IF('Input Sheet'!B706=0,"",'Input Sheet'!B706)</f>
        <v/>
      </c>
      <c r="B709" s="24" t="b">
        <f t="shared" si="526"/>
        <v>0</v>
      </c>
      <c r="C709" s="4">
        <f>SUMIF('Input Sheet'!B$3:B$1000,A709,'Input Sheet'!C$3:C$1000)</f>
        <v>0</v>
      </c>
      <c r="D709" s="4">
        <f>SUMIF('Input Sheet'!B$3:B$1000,A709,'Input Sheet'!D$3:D$1000)</f>
        <v>0</v>
      </c>
      <c r="E709" s="4" t="str">
        <f t="shared" ref="E709:F709" ca="1" si="726">IFERROR(RANK(K709,K$6:K$1004,1),"")</f>
        <v/>
      </c>
      <c r="F709" s="4" t="str">
        <f t="shared" ca="1" si="726"/>
        <v/>
      </c>
      <c r="G709" s="4" t="str">
        <f t="shared" ca="1" si="528"/>
        <v/>
      </c>
      <c r="H709" s="4" t="str">
        <f t="shared" si="529"/>
        <v/>
      </c>
      <c r="I709" s="4" t="str">
        <f t="shared" si="530"/>
        <v/>
      </c>
      <c r="J709" s="4" t="str">
        <f t="shared" si="531"/>
        <v/>
      </c>
      <c r="K709" s="25" t="str">
        <f t="shared" ca="1" si="532"/>
        <v/>
      </c>
      <c r="L709" s="21" t="str">
        <f t="shared" ca="1" si="533"/>
        <v/>
      </c>
      <c r="M709" s="21" t="str">
        <f>IF(SUMIFS('Input Sheet'!$F$3:$F$1001,'Input Sheet'!$B$3:$B$1001,$H709,'Input Sheet'!$E$3:$E$1001,M$4)=0,"",SUMIFS('Input Sheet'!$F$3:$F$1001,'Input Sheet'!$B$3:$B$1001,$H709,'Input Sheet'!$E$3:$E$1001,M$4))</f>
        <v/>
      </c>
      <c r="N709" s="21" t="str">
        <f>IF(SUMIFS('Input Sheet'!$F$3:$F$1001,'Input Sheet'!$B$3:$B$1001,$H709,'Input Sheet'!$E$3:$E$1001,N$4)=0,"",SUMIFS('Input Sheet'!$F$3:$F$1001,'Input Sheet'!$B$3:$B$1001,$H709,'Input Sheet'!$E$3:$E$1001,N$4))</f>
        <v/>
      </c>
      <c r="O709" s="21" t="str">
        <f>IF(SUMIFS('Input Sheet'!$F$3:$F$1001,'Input Sheet'!$B$3:$B$1001,$H709,'Input Sheet'!$E$3:$E$1001,O$4)=0,"",SUMIFS('Input Sheet'!$F$3:$F$1001,'Input Sheet'!$B$3:$B$1001,$H709,'Input Sheet'!$E$3:$E$1001,O$4))</f>
        <v/>
      </c>
      <c r="P709" s="21" t="str">
        <f>IF(SUMIFS('Input Sheet'!$F$3:$F$1001,'Input Sheet'!$B$3:$B$1001,$H709,'Input Sheet'!$E$3:$E$1001,P$4)=0,"",SUMIFS('Input Sheet'!$F$3:$F$1001,'Input Sheet'!$B$3:$B$1001,$H709,'Input Sheet'!$E$3:$E$1001,P$4))</f>
        <v/>
      </c>
      <c r="Q709" s="21" t="str">
        <f>IF(SUMIFS('Input Sheet'!$F$3:$F$1001,'Input Sheet'!$B$3:$B$1001,$H709,'Input Sheet'!$E$3:$E$1001,Q$4)=0,"",SUMIFS('Input Sheet'!$F$3:$F$1001,'Input Sheet'!$B$3:$B$1001,$H709,'Input Sheet'!$E$3:$E$1001,Q$4))</f>
        <v/>
      </c>
      <c r="R709" s="21" t="str">
        <f>IF(SUMIFS('Input Sheet'!$F$3:$F$1001,'Input Sheet'!$B$3:$B$1001,$H709,'Input Sheet'!$E$3:$E$1001,R$4)=0,"",SUMIFS('Input Sheet'!$F$3:$F$1001,'Input Sheet'!$B$3:$B$1001,$H709,'Input Sheet'!$E$3:$E$1001,R$4))</f>
        <v/>
      </c>
      <c r="S709" s="21" t="str">
        <f>IF(SUMIFS('Input Sheet'!$F$3:$F$1001,'Input Sheet'!$B$3:$B$1001,$H709,'Input Sheet'!$E$3:$E$1001,S$4)=0,"",SUMIFS('Input Sheet'!$F$3:$F$1001,'Input Sheet'!$B$3:$B$1001,$H709,'Input Sheet'!$E$3:$E$1001,S$4))</f>
        <v/>
      </c>
      <c r="T709" s="22">
        <v>704</v>
      </c>
    </row>
    <row r="710" spans="1:20" ht="14.25" customHeight="1" x14ac:dyDescent="0.3">
      <c r="A710" s="4" t="str">
        <f>IF('Input Sheet'!B707=0,"",'Input Sheet'!B707)</f>
        <v/>
      </c>
      <c r="B710" s="24" t="b">
        <f t="shared" si="526"/>
        <v>0</v>
      </c>
      <c r="C710" s="4">
        <f>SUMIF('Input Sheet'!B$3:B$1000,A710,'Input Sheet'!C$3:C$1000)</f>
        <v>0</v>
      </c>
      <c r="D710" s="4">
        <f>SUMIF('Input Sheet'!B$3:B$1000,A710,'Input Sheet'!D$3:D$1000)</f>
        <v>0</v>
      </c>
      <c r="E710" s="4" t="str">
        <f t="shared" ref="E710:F710" ca="1" si="727">IFERROR(RANK(K710,K$6:K$1004,1),"")</f>
        <v/>
      </c>
      <c r="F710" s="4" t="str">
        <f t="shared" ca="1" si="727"/>
        <v/>
      </c>
      <c r="G710" s="4" t="str">
        <f t="shared" ca="1" si="528"/>
        <v/>
      </c>
      <c r="H710" s="4" t="str">
        <f t="shared" si="529"/>
        <v/>
      </c>
      <c r="I710" s="4" t="str">
        <f t="shared" si="530"/>
        <v/>
      </c>
      <c r="J710" s="4" t="str">
        <f t="shared" si="531"/>
        <v/>
      </c>
      <c r="K710" s="25" t="str">
        <f t="shared" ca="1" si="532"/>
        <v/>
      </c>
      <c r="L710" s="21" t="str">
        <f t="shared" ca="1" si="533"/>
        <v/>
      </c>
      <c r="M710" s="21" t="str">
        <f>IF(SUMIFS('Input Sheet'!$F$3:$F$1001,'Input Sheet'!$B$3:$B$1001,$H710,'Input Sheet'!$E$3:$E$1001,M$4)=0,"",SUMIFS('Input Sheet'!$F$3:$F$1001,'Input Sheet'!$B$3:$B$1001,$H710,'Input Sheet'!$E$3:$E$1001,M$4))</f>
        <v/>
      </c>
      <c r="N710" s="21" t="str">
        <f>IF(SUMIFS('Input Sheet'!$F$3:$F$1001,'Input Sheet'!$B$3:$B$1001,$H710,'Input Sheet'!$E$3:$E$1001,N$4)=0,"",SUMIFS('Input Sheet'!$F$3:$F$1001,'Input Sheet'!$B$3:$B$1001,$H710,'Input Sheet'!$E$3:$E$1001,N$4))</f>
        <v/>
      </c>
      <c r="O710" s="21" t="str">
        <f>IF(SUMIFS('Input Sheet'!$F$3:$F$1001,'Input Sheet'!$B$3:$B$1001,$H710,'Input Sheet'!$E$3:$E$1001,O$4)=0,"",SUMIFS('Input Sheet'!$F$3:$F$1001,'Input Sheet'!$B$3:$B$1001,$H710,'Input Sheet'!$E$3:$E$1001,O$4))</f>
        <v/>
      </c>
      <c r="P710" s="21" t="str">
        <f>IF(SUMIFS('Input Sheet'!$F$3:$F$1001,'Input Sheet'!$B$3:$B$1001,$H710,'Input Sheet'!$E$3:$E$1001,P$4)=0,"",SUMIFS('Input Sheet'!$F$3:$F$1001,'Input Sheet'!$B$3:$B$1001,$H710,'Input Sheet'!$E$3:$E$1001,P$4))</f>
        <v/>
      </c>
      <c r="Q710" s="21" t="str">
        <f>IF(SUMIFS('Input Sheet'!$F$3:$F$1001,'Input Sheet'!$B$3:$B$1001,$H710,'Input Sheet'!$E$3:$E$1001,Q$4)=0,"",SUMIFS('Input Sheet'!$F$3:$F$1001,'Input Sheet'!$B$3:$B$1001,$H710,'Input Sheet'!$E$3:$E$1001,Q$4))</f>
        <v/>
      </c>
      <c r="R710" s="21" t="str">
        <f>IF(SUMIFS('Input Sheet'!$F$3:$F$1001,'Input Sheet'!$B$3:$B$1001,$H710,'Input Sheet'!$E$3:$E$1001,R$4)=0,"",SUMIFS('Input Sheet'!$F$3:$F$1001,'Input Sheet'!$B$3:$B$1001,$H710,'Input Sheet'!$E$3:$E$1001,R$4))</f>
        <v/>
      </c>
      <c r="S710" s="21" t="str">
        <f>IF(SUMIFS('Input Sheet'!$F$3:$F$1001,'Input Sheet'!$B$3:$B$1001,$H710,'Input Sheet'!$E$3:$E$1001,S$4)=0,"",SUMIFS('Input Sheet'!$F$3:$F$1001,'Input Sheet'!$B$3:$B$1001,$H710,'Input Sheet'!$E$3:$E$1001,S$4))</f>
        <v/>
      </c>
      <c r="T710" s="22">
        <v>705</v>
      </c>
    </row>
    <row r="711" spans="1:20" ht="14.25" customHeight="1" x14ac:dyDescent="0.3">
      <c r="A711" s="4" t="str">
        <f>IF('Input Sheet'!B708=0,"",'Input Sheet'!B708)</f>
        <v/>
      </c>
      <c r="B711" s="24" t="b">
        <f t="shared" si="526"/>
        <v>0</v>
      </c>
      <c r="C711" s="4">
        <f>SUMIF('Input Sheet'!B$3:B$1000,A711,'Input Sheet'!C$3:C$1000)</f>
        <v>0</v>
      </c>
      <c r="D711" s="4">
        <f>SUMIF('Input Sheet'!B$3:B$1000,A711,'Input Sheet'!D$3:D$1000)</f>
        <v>0</v>
      </c>
      <c r="E711" s="4" t="str">
        <f t="shared" ref="E711:F711" ca="1" si="728">IFERROR(RANK(K711,K$6:K$1004,1),"")</f>
        <v/>
      </c>
      <c r="F711" s="4" t="str">
        <f t="shared" ca="1" si="728"/>
        <v/>
      </c>
      <c r="G711" s="4" t="str">
        <f t="shared" ca="1" si="528"/>
        <v/>
      </c>
      <c r="H711" s="4" t="str">
        <f t="shared" si="529"/>
        <v/>
      </c>
      <c r="I711" s="4" t="str">
        <f t="shared" si="530"/>
        <v/>
      </c>
      <c r="J711" s="4" t="str">
        <f t="shared" si="531"/>
        <v/>
      </c>
      <c r="K711" s="25" t="str">
        <f t="shared" ca="1" si="532"/>
        <v/>
      </c>
      <c r="L711" s="21" t="str">
        <f t="shared" ca="1" si="533"/>
        <v/>
      </c>
      <c r="M711" s="21" t="str">
        <f>IF(SUMIFS('Input Sheet'!$F$3:$F$1001,'Input Sheet'!$B$3:$B$1001,$H711,'Input Sheet'!$E$3:$E$1001,M$4)=0,"",SUMIFS('Input Sheet'!$F$3:$F$1001,'Input Sheet'!$B$3:$B$1001,$H711,'Input Sheet'!$E$3:$E$1001,M$4))</f>
        <v/>
      </c>
      <c r="N711" s="21" t="str">
        <f>IF(SUMIFS('Input Sheet'!$F$3:$F$1001,'Input Sheet'!$B$3:$B$1001,$H711,'Input Sheet'!$E$3:$E$1001,N$4)=0,"",SUMIFS('Input Sheet'!$F$3:$F$1001,'Input Sheet'!$B$3:$B$1001,$H711,'Input Sheet'!$E$3:$E$1001,N$4))</f>
        <v/>
      </c>
      <c r="O711" s="21" t="str">
        <f>IF(SUMIFS('Input Sheet'!$F$3:$F$1001,'Input Sheet'!$B$3:$B$1001,$H711,'Input Sheet'!$E$3:$E$1001,O$4)=0,"",SUMIFS('Input Sheet'!$F$3:$F$1001,'Input Sheet'!$B$3:$B$1001,$H711,'Input Sheet'!$E$3:$E$1001,O$4))</f>
        <v/>
      </c>
      <c r="P711" s="21" t="str">
        <f>IF(SUMIFS('Input Sheet'!$F$3:$F$1001,'Input Sheet'!$B$3:$B$1001,$H711,'Input Sheet'!$E$3:$E$1001,P$4)=0,"",SUMIFS('Input Sheet'!$F$3:$F$1001,'Input Sheet'!$B$3:$B$1001,$H711,'Input Sheet'!$E$3:$E$1001,P$4))</f>
        <v/>
      </c>
      <c r="Q711" s="21" t="str">
        <f>IF(SUMIFS('Input Sheet'!$F$3:$F$1001,'Input Sheet'!$B$3:$B$1001,$H711,'Input Sheet'!$E$3:$E$1001,Q$4)=0,"",SUMIFS('Input Sheet'!$F$3:$F$1001,'Input Sheet'!$B$3:$B$1001,$H711,'Input Sheet'!$E$3:$E$1001,Q$4))</f>
        <v/>
      </c>
      <c r="R711" s="21" t="str">
        <f>IF(SUMIFS('Input Sheet'!$F$3:$F$1001,'Input Sheet'!$B$3:$B$1001,$H711,'Input Sheet'!$E$3:$E$1001,R$4)=0,"",SUMIFS('Input Sheet'!$F$3:$F$1001,'Input Sheet'!$B$3:$B$1001,$H711,'Input Sheet'!$E$3:$E$1001,R$4))</f>
        <v/>
      </c>
      <c r="S711" s="21" t="str">
        <f>IF(SUMIFS('Input Sheet'!$F$3:$F$1001,'Input Sheet'!$B$3:$B$1001,$H711,'Input Sheet'!$E$3:$E$1001,S$4)=0,"",SUMIFS('Input Sheet'!$F$3:$F$1001,'Input Sheet'!$B$3:$B$1001,$H711,'Input Sheet'!$E$3:$E$1001,S$4))</f>
        <v/>
      </c>
      <c r="T711" s="22">
        <v>706</v>
      </c>
    </row>
    <row r="712" spans="1:20" ht="14.25" customHeight="1" x14ac:dyDescent="0.3">
      <c r="A712" s="4" t="str">
        <f>IF('Input Sheet'!B709=0,"",'Input Sheet'!B709)</f>
        <v/>
      </c>
      <c r="B712" s="24" t="b">
        <f t="shared" si="526"/>
        <v>0</v>
      </c>
      <c r="C712" s="4">
        <f>SUMIF('Input Sheet'!B$3:B$1000,A712,'Input Sheet'!C$3:C$1000)</f>
        <v>0</v>
      </c>
      <c r="D712" s="4">
        <f>SUMIF('Input Sheet'!B$3:B$1000,A712,'Input Sheet'!D$3:D$1000)</f>
        <v>0</v>
      </c>
      <c r="E712" s="4" t="str">
        <f t="shared" ref="E712:F712" ca="1" si="729">IFERROR(RANK(K712,K$6:K$1004,1),"")</f>
        <v/>
      </c>
      <c r="F712" s="4" t="str">
        <f t="shared" ca="1" si="729"/>
        <v/>
      </c>
      <c r="G712" s="4" t="str">
        <f t="shared" ca="1" si="528"/>
        <v/>
      </c>
      <c r="H712" s="4" t="str">
        <f t="shared" si="529"/>
        <v/>
      </c>
      <c r="I712" s="4" t="str">
        <f t="shared" si="530"/>
        <v/>
      </c>
      <c r="J712" s="4" t="str">
        <f t="shared" si="531"/>
        <v/>
      </c>
      <c r="K712" s="25" t="str">
        <f t="shared" ca="1" si="532"/>
        <v/>
      </c>
      <c r="L712" s="21" t="str">
        <f t="shared" ca="1" si="533"/>
        <v/>
      </c>
      <c r="M712" s="21" t="str">
        <f>IF(SUMIFS('Input Sheet'!$F$3:$F$1001,'Input Sheet'!$B$3:$B$1001,$H712,'Input Sheet'!$E$3:$E$1001,M$4)=0,"",SUMIFS('Input Sheet'!$F$3:$F$1001,'Input Sheet'!$B$3:$B$1001,$H712,'Input Sheet'!$E$3:$E$1001,M$4))</f>
        <v/>
      </c>
      <c r="N712" s="21" t="str">
        <f>IF(SUMIFS('Input Sheet'!$F$3:$F$1001,'Input Sheet'!$B$3:$B$1001,$H712,'Input Sheet'!$E$3:$E$1001,N$4)=0,"",SUMIFS('Input Sheet'!$F$3:$F$1001,'Input Sheet'!$B$3:$B$1001,$H712,'Input Sheet'!$E$3:$E$1001,N$4))</f>
        <v/>
      </c>
      <c r="O712" s="21" t="str">
        <f>IF(SUMIFS('Input Sheet'!$F$3:$F$1001,'Input Sheet'!$B$3:$B$1001,$H712,'Input Sheet'!$E$3:$E$1001,O$4)=0,"",SUMIFS('Input Sheet'!$F$3:$F$1001,'Input Sheet'!$B$3:$B$1001,$H712,'Input Sheet'!$E$3:$E$1001,O$4))</f>
        <v/>
      </c>
      <c r="P712" s="21" t="str">
        <f>IF(SUMIFS('Input Sheet'!$F$3:$F$1001,'Input Sheet'!$B$3:$B$1001,$H712,'Input Sheet'!$E$3:$E$1001,P$4)=0,"",SUMIFS('Input Sheet'!$F$3:$F$1001,'Input Sheet'!$B$3:$B$1001,$H712,'Input Sheet'!$E$3:$E$1001,P$4))</f>
        <v/>
      </c>
      <c r="Q712" s="21" t="str">
        <f>IF(SUMIFS('Input Sheet'!$F$3:$F$1001,'Input Sheet'!$B$3:$B$1001,$H712,'Input Sheet'!$E$3:$E$1001,Q$4)=0,"",SUMIFS('Input Sheet'!$F$3:$F$1001,'Input Sheet'!$B$3:$B$1001,$H712,'Input Sheet'!$E$3:$E$1001,Q$4))</f>
        <v/>
      </c>
      <c r="R712" s="21" t="str">
        <f>IF(SUMIFS('Input Sheet'!$F$3:$F$1001,'Input Sheet'!$B$3:$B$1001,$H712,'Input Sheet'!$E$3:$E$1001,R$4)=0,"",SUMIFS('Input Sheet'!$F$3:$F$1001,'Input Sheet'!$B$3:$B$1001,$H712,'Input Sheet'!$E$3:$E$1001,R$4))</f>
        <v/>
      </c>
      <c r="S712" s="21" t="str">
        <f>IF(SUMIFS('Input Sheet'!$F$3:$F$1001,'Input Sheet'!$B$3:$B$1001,$H712,'Input Sheet'!$E$3:$E$1001,S$4)=0,"",SUMIFS('Input Sheet'!$F$3:$F$1001,'Input Sheet'!$B$3:$B$1001,$H712,'Input Sheet'!$E$3:$E$1001,S$4))</f>
        <v/>
      </c>
      <c r="T712" s="22">
        <v>707</v>
      </c>
    </row>
    <row r="713" spans="1:20" ht="14.25" customHeight="1" x14ac:dyDescent="0.3">
      <c r="A713" s="4" t="str">
        <f>IF('Input Sheet'!B710=0,"",'Input Sheet'!B710)</f>
        <v/>
      </c>
      <c r="B713" s="24" t="b">
        <f t="shared" si="526"/>
        <v>0</v>
      </c>
      <c r="C713" s="4">
        <f>SUMIF('Input Sheet'!B$3:B$1000,A713,'Input Sheet'!C$3:C$1000)</f>
        <v>0</v>
      </c>
      <c r="D713" s="4">
        <f>SUMIF('Input Sheet'!B$3:B$1000,A713,'Input Sheet'!D$3:D$1000)</f>
        <v>0</v>
      </c>
      <c r="E713" s="4" t="str">
        <f t="shared" ref="E713:F713" ca="1" si="730">IFERROR(RANK(K713,K$6:K$1004,1),"")</f>
        <v/>
      </c>
      <c r="F713" s="4" t="str">
        <f t="shared" ca="1" si="730"/>
        <v/>
      </c>
      <c r="G713" s="4" t="str">
        <f t="shared" ca="1" si="528"/>
        <v/>
      </c>
      <c r="H713" s="4" t="str">
        <f t="shared" si="529"/>
        <v/>
      </c>
      <c r="I713" s="4" t="str">
        <f t="shared" si="530"/>
        <v/>
      </c>
      <c r="J713" s="4" t="str">
        <f t="shared" si="531"/>
        <v/>
      </c>
      <c r="K713" s="25" t="str">
        <f t="shared" ca="1" si="532"/>
        <v/>
      </c>
      <c r="L713" s="21" t="str">
        <f t="shared" ca="1" si="533"/>
        <v/>
      </c>
      <c r="M713" s="21" t="str">
        <f>IF(SUMIFS('Input Sheet'!$F$3:$F$1001,'Input Sheet'!$B$3:$B$1001,$H713,'Input Sheet'!$E$3:$E$1001,M$4)=0,"",SUMIFS('Input Sheet'!$F$3:$F$1001,'Input Sheet'!$B$3:$B$1001,$H713,'Input Sheet'!$E$3:$E$1001,M$4))</f>
        <v/>
      </c>
      <c r="N713" s="21" t="str">
        <f>IF(SUMIFS('Input Sheet'!$F$3:$F$1001,'Input Sheet'!$B$3:$B$1001,$H713,'Input Sheet'!$E$3:$E$1001,N$4)=0,"",SUMIFS('Input Sheet'!$F$3:$F$1001,'Input Sheet'!$B$3:$B$1001,$H713,'Input Sheet'!$E$3:$E$1001,N$4))</f>
        <v/>
      </c>
      <c r="O713" s="21" t="str">
        <f>IF(SUMIFS('Input Sheet'!$F$3:$F$1001,'Input Sheet'!$B$3:$B$1001,$H713,'Input Sheet'!$E$3:$E$1001,O$4)=0,"",SUMIFS('Input Sheet'!$F$3:$F$1001,'Input Sheet'!$B$3:$B$1001,$H713,'Input Sheet'!$E$3:$E$1001,O$4))</f>
        <v/>
      </c>
      <c r="P713" s="21" t="str">
        <f>IF(SUMIFS('Input Sheet'!$F$3:$F$1001,'Input Sheet'!$B$3:$B$1001,$H713,'Input Sheet'!$E$3:$E$1001,P$4)=0,"",SUMIFS('Input Sheet'!$F$3:$F$1001,'Input Sheet'!$B$3:$B$1001,$H713,'Input Sheet'!$E$3:$E$1001,P$4))</f>
        <v/>
      </c>
      <c r="Q713" s="21" t="str">
        <f>IF(SUMIFS('Input Sheet'!$F$3:$F$1001,'Input Sheet'!$B$3:$B$1001,$H713,'Input Sheet'!$E$3:$E$1001,Q$4)=0,"",SUMIFS('Input Sheet'!$F$3:$F$1001,'Input Sheet'!$B$3:$B$1001,$H713,'Input Sheet'!$E$3:$E$1001,Q$4))</f>
        <v/>
      </c>
      <c r="R713" s="21" t="str">
        <f>IF(SUMIFS('Input Sheet'!$F$3:$F$1001,'Input Sheet'!$B$3:$B$1001,$H713,'Input Sheet'!$E$3:$E$1001,R$4)=0,"",SUMIFS('Input Sheet'!$F$3:$F$1001,'Input Sheet'!$B$3:$B$1001,$H713,'Input Sheet'!$E$3:$E$1001,R$4))</f>
        <v/>
      </c>
      <c r="S713" s="21" t="str">
        <f>IF(SUMIFS('Input Sheet'!$F$3:$F$1001,'Input Sheet'!$B$3:$B$1001,$H713,'Input Sheet'!$E$3:$E$1001,S$4)=0,"",SUMIFS('Input Sheet'!$F$3:$F$1001,'Input Sheet'!$B$3:$B$1001,$H713,'Input Sheet'!$E$3:$E$1001,S$4))</f>
        <v/>
      </c>
      <c r="T713" s="22">
        <v>708</v>
      </c>
    </row>
    <row r="714" spans="1:20" ht="14.25" customHeight="1" x14ac:dyDescent="0.3">
      <c r="A714" s="4" t="str">
        <f>IF('Input Sheet'!B711=0,"",'Input Sheet'!B711)</f>
        <v/>
      </c>
      <c r="B714" s="24" t="b">
        <f t="shared" si="526"/>
        <v>0</v>
      </c>
      <c r="C714" s="4">
        <f>SUMIF('Input Sheet'!B$3:B$1000,A714,'Input Sheet'!C$3:C$1000)</f>
        <v>0</v>
      </c>
      <c r="D714" s="4">
        <f>SUMIF('Input Sheet'!B$3:B$1000,A714,'Input Sheet'!D$3:D$1000)</f>
        <v>0</v>
      </c>
      <c r="E714" s="4" t="str">
        <f t="shared" ref="E714:F714" ca="1" si="731">IFERROR(RANK(K714,K$6:K$1004,1),"")</f>
        <v/>
      </c>
      <c r="F714" s="4" t="str">
        <f t="shared" ca="1" si="731"/>
        <v/>
      </c>
      <c r="G714" s="4" t="str">
        <f t="shared" ca="1" si="528"/>
        <v/>
      </c>
      <c r="H714" s="4" t="str">
        <f t="shared" si="529"/>
        <v/>
      </c>
      <c r="I714" s="4" t="str">
        <f t="shared" si="530"/>
        <v/>
      </c>
      <c r="J714" s="4" t="str">
        <f t="shared" si="531"/>
        <v/>
      </c>
      <c r="K714" s="25" t="str">
        <f t="shared" ca="1" si="532"/>
        <v/>
      </c>
      <c r="L714" s="21" t="str">
        <f t="shared" ca="1" si="533"/>
        <v/>
      </c>
      <c r="M714" s="21" t="str">
        <f>IF(SUMIFS('Input Sheet'!$F$3:$F$1001,'Input Sheet'!$B$3:$B$1001,$H714,'Input Sheet'!$E$3:$E$1001,M$4)=0,"",SUMIFS('Input Sheet'!$F$3:$F$1001,'Input Sheet'!$B$3:$B$1001,$H714,'Input Sheet'!$E$3:$E$1001,M$4))</f>
        <v/>
      </c>
      <c r="N714" s="21" t="str">
        <f>IF(SUMIFS('Input Sheet'!$F$3:$F$1001,'Input Sheet'!$B$3:$B$1001,$H714,'Input Sheet'!$E$3:$E$1001,N$4)=0,"",SUMIFS('Input Sheet'!$F$3:$F$1001,'Input Sheet'!$B$3:$B$1001,$H714,'Input Sheet'!$E$3:$E$1001,N$4))</f>
        <v/>
      </c>
      <c r="O714" s="21" t="str">
        <f>IF(SUMIFS('Input Sheet'!$F$3:$F$1001,'Input Sheet'!$B$3:$B$1001,$H714,'Input Sheet'!$E$3:$E$1001,O$4)=0,"",SUMIFS('Input Sheet'!$F$3:$F$1001,'Input Sheet'!$B$3:$B$1001,$H714,'Input Sheet'!$E$3:$E$1001,O$4))</f>
        <v/>
      </c>
      <c r="P714" s="21" t="str">
        <f>IF(SUMIFS('Input Sheet'!$F$3:$F$1001,'Input Sheet'!$B$3:$B$1001,$H714,'Input Sheet'!$E$3:$E$1001,P$4)=0,"",SUMIFS('Input Sheet'!$F$3:$F$1001,'Input Sheet'!$B$3:$B$1001,$H714,'Input Sheet'!$E$3:$E$1001,P$4))</f>
        <v/>
      </c>
      <c r="Q714" s="21" t="str">
        <f>IF(SUMIFS('Input Sheet'!$F$3:$F$1001,'Input Sheet'!$B$3:$B$1001,$H714,'Input Sheet'!$E$3:$E$1001,Q$4)=0,"",SUMIFS('Input Sheet'!$F$3:$F$1001,'Input Sheet'!$B$3:$B$1001,$H714,'Input Sheet'!$E$3:$E$1001,Q$4))</f>
        <v/>
      </c>
      <c r="R714" s="21" t="str">
        <f>IF(SUMIFS('Input Sheet'!$F$3:$F$1001,'Input Sheet'!$B$3:$B$1001,$H714,'Input Sheet'!$E$3:$E$1001,R$4)=0,"",SUMIFS('Input Sheet'!$F$3:$F$1001,'Input Sheet'!$B$3:$B$1001,$H714,'Input Sheet'!$E$3:$E$1001,R$4))</f>
        <v/>
      </c>
      <c r="S714" s="21" t="str">
        <f>IF(SUMIFS('Input Sheet'!$F$3:$F$1001,'Input Sheet'!$B$3:$B$1001,$H714,'Input Sheet'!$E$3:$E$1001,S$4)=0,"",SUMIFS('Input Sheet'!$F$3:$F$1001,'Input Sheet'!$B$3:$B$1001,$H714,'Input Sheet'!$E$3:$E$1001,S$4))</f>
        <v/>
      </c>
      <c r="T714" s="22">
        <v>709</v>
      </c>
    </row>
    <row r="715" spans="1:20" ht="14.25" customHeight="1" x14ac:dyDescent="0.3">
      <c r="A715" s="4" t="str">
        <f>IF('Input Sheet'!B712=0,"",'Input Sheet'!B712)</f>
        <v/>
      </c>
      <c r="B715" s="24" t="b">
        <f t="shared" si="526"/>
        <v>0</v>
      </c>
      <c r="C715" s="4">
        <f>SUMIF('Input Sheet'!B$3:B$1000,A715,'Input Sheet'!C$3:C$1000)</f>
        <v>0</v>
      </c>
      <c r="D715" s="4">
        <f>SUMIF('Input Sheet'!B$3:B$1000,A715,'Input Sheet'!D$3:D$1000)</f>
        <v>0</v>
      </c>
      <c r="E715" s="4" t="str">
        <f t="shared" ref="E715:F715" ca="1" si="732">IFERROR(RANK(K715,K$6:K$1004,1),"")</f>
        <v/>
      </c>
      <c r="F715" s="4" t="str">
        <f t="shared" ca="1" si="732"/>
        <v/>
      </c>
      <c r="G715" s="4" t="str">
        <f t="shared" ca="1" si="528"/>
        <v/>
      </c>
      <c r="H715" s="4" t="str">
        <f t="shared" si="529"/>
        <v/>
      </c>
      <c r="I715" s="4" t="str">
        <f t="shared" si="530"/>
        <v/>
      </c>
      <c r="J715" s="4" t="str">
        <f t="shared" si="531"/>
        <v/>
      </c>
      <c r="K715" s="25" t="str">
        <f t="shared" ca="1" si="532"/>
        <v/>
      </c>
      <c r="L715" s="21" t="str">
        <f t="shared" ca="1" si="533"/>
        <v/>
      </c>
      <c r="M715" s="21" t="str">
        <f>IF(SUMIFS('Input Sheet'!$F$3:$F$1001,'Input Sheet'!$B$3:$B$1001,$H715,'Input Sheet'!$E$3:$E$1001,M$4)=0,"",SUMIFS('Input Sheet'!$F$3:$F$1001,'Input Sheet'!$B$3:$B$1001,$H715,'Input Sheet'!$E$3:$E$1001,M$4))</f>
        <v/>
      </c>
      <c r="N715" s="21" t="str">
        <f>IF(SUMIFS('Input Sheet'!$F$3:$F$1001,'Input Sheet'!$B$3:$B$1001,$H715,'Input Sheet'!$E$3:$E$1001,N$4)=0,"",SUMIFS('Input Sheet'!$F$3:$F$1001,'Input Sheet'!$B$3:$B$1001,$H715,'Input Sheet'!$E$3:$E$1001,N$4))</f>
        <v/>
      </c>
      <c r="O715" s="21" t="str">
        <f>IF(SUMIFS('Input Sheet'!$F$3:$F$1001,'Input Sheet'!$B$3:$B$1001,$H715,'Input Sheet'!$E$3:$E$1001,O$4)=0,"",SUMIFS('Input Sheet'!$F$3:$F$1001,'Input Sheet'!$B$3:$B$1001,$H715,'Input Sheet'!$E$3:$E$1001,O$4))</f>
        <v/>
      </c>
      <c r="P715" s="21" t="str">
        <f>IF(SUMIFS('Input Sheet'!$F$3:$F$1001,'Input Sheet'!$B$3:$B$1001,$H715,'Input Sheet'!$E$3:$E$1001,P$4)=0,"",SUMIFS('Input Sheet'!$F$3:$F$1001,'Input Sheet'!$B$3:$B$1001,$H715,'Input Sheet'!$E$3:$E$1001,P$4))</f>
        <v/>
      </c>
      <c r="Q715" s="21" t="str">
        <f>IF(SUMIFS('Input Sheet'!$F$3:$F$1001,'Input Sheet'!$B$3:$B$1001,$H715,'Input Sheet'!$E$3:$E$1001,Q$4)=0,"",SUMIFS('Input Sheet'!$F$3:$F$1001,'Input Sheet'!$B$3:$B$1001,$H715,'Input Sheet'!$E$3:$E$1001,Q$4))</f>
        <v/>
      </c>
      <c r="R715" s="21" t="str">
        <f>IF(SUMIFS('Input Sheet'!$F$3:$F$1001,'Input Sheet'!$B$3:$B$1001,$H715,'Input Sheet'!$E$3:$E$1001,R$4)=0,"",SUMIFS('Input Sheet'!$F$3:$F$1001,'Input Sheet'!$B$3:$B$1001,$H715,'Input Sheet'!$E$3:$E$1001,R$4))</f>
        <v/>
      </c>
      <c r="S715" s="21" t="str">
        <f>IF(SUMIFS('Input Sheet'!$F$3:$F$1001,'Input Sheet'!$B$3:$B$1001,$H715,'Input Sheet'!$E$3:$E$1001,S$4)=0,"",SUMIFS('Input Sheet'!$F$3:$F$1001,'Input Sheet'!$B$3:$B$1001,$H715,'Input Sheet'!$E$3:$E$1001,S$4))</f>
        <v/>
      </c>
      <c r="T715" s="22">
        <v>710</v>
      </c>
    </row>
    <row r="716" spans="1:20" ht="14.25" customHeight="1" x14ac:dyDescent="0.3">
      <c r="A716" s="4" t="str">
        <f>IF('Input Sheet'!B713=0,"",'Input Sheet'!B713)</f>
        <v/>
      </c>
      <c r="B716" s="24" t="b">
        <f t="shared" si="526"/>
        <v>0</v>
      </c>
      <c r="C716" s="4">
        <f>SUMIF('Input Sheet'!B$3:B$1000,A716,'Input Sheet'!C$3:C$1000)</f>
        <v>0</v>
      </c>
      <c r="D716" s="4">
        <f>SUMIF('Input Sheet'!B$3:B$1000,A716,'Input Sheet'!D$3:D$1000)</f>
        <v>0</v>
      </c>
      <c r="E716" s="4" t="str">
        <f t="shared" ref="E716:F716" ca="1" si="733">IFERROR(RANK(K716,K$6:K$1004,1),"")</f>
        <v/>
      </c>
      <c r="F716" s="4" t="str">
        <f t="shared" ca="1" si="733"/>
        <v/>
      </c>
      <c r="G716" s="4" t="str">
        <f t="shared" ca="1" si="528"/>
        <v/>
      </c>
      <c r="H716" s="4" t="str">
        <f t="shared" si="529"/>
        <v/>
      </c>
      <c r="I716" s="4" t="str">
        <f t="shared" si="530"/>
        <v/>
      </c>
      <c r="J716" s="4" t="str">
        <f t="shared" si="531"/>
        <v/>
      </c>
      <c r="K716" s="25" t="str">
        <f t="shared" ca="1" si="532"/>
        <v/>
      </c>
      <c r="L716" s="21" t="str">
        <f t="shared" ca="1" si="533"/>
        <v/>
      </c>
      <c r="M716" s="21" t="str">
        <f>IF(SUMIFS('Input Sheet'!$F$3:$F$1001,'Input Sheet'!$B$3:$B$1001,$H716,'Input Sheet'!$E$3:$E$1001,M$4)=0,"",SUMIFS('Input Sheet'!$F$3:$F$1001,'Input Sheet'!$B$3:$B$1001,$H716,'Input Sheet'!$E$3:$E$1001,M$4))</f>
        <v/>
      </c>
      <c r="N716" s="21" t="str">
        <f>IF(SUMIFS('Input Sheet'!$F$3:$F$1001,'Input Sheet'!$B$3:$B$1001,$H716,'Input Sheet'!$E$3:$E$1001,N$4)=0,"",SUMIFS('Input Sheet'!$F$3:$F$1001,'Input Sheet'!$B$3:$B$1001,$H716,'Input Sheet'!$E$3:$E$1001,N$4))</f>
        <v/>
      </c>
      <c r="O716" s="21" t="str">
        <f>IF(SUMIFS('Input Sheet'!$F$3:$F$1001,'Input Sheet'!$B$3:$B$1001,$H716,'Input Sheet'!$E$3:$E$1001,O$4)=0,"",SUMIFS('Input Sheet'!$F$3:$F$1001,'Input Sheet'!$B$3:$B$1001,$H716,'Input Sheet'!$E$3:$E$1001,O$4))</f>
        <v/>
      </c>
      <c r="P716" s="21" t="str">
        <f>IF(SUMIFS('Input Sheet'!$F$3:$F$1001,'Input Sheet'!$B$3:$B$1001,$H716,'Input Sheet'!$E$3:$E$1001,P$4)=0,"",SUMIFS('Input Sheet'!$F$3:$F$1001,'Input Sheet'!$B$3:$B$1001,$H716,'Input Sheet'!$E$3:$E$1001,P$4))</f>
        <v/>
      </c>
      <c r="Q716" s="21" t="str">
        <f>IF(SUMIFS('Input Sheet'!$F$3:$F$1001,'Input Sheet'!$B$3:$B$1001,$H716,'Input Sheet'!$E$3:$E$1001,Q$4)=0,"",SUMIFS('Input Sheet'!$F$3:$F$1001,'Input Sheet'!$B$3:$B$1001,$H716,'Input Sheet'!$E$3:$E$1001,Q$4))</f>
        <v/>
      </c>
      <c r="R716" s="21" t="str">
        <f>IF(SUMIFS('Input Sheet'!$F$3:$F$1001,'Input Sheet'!$B$3:$B$1001,$H716,'Input Sheet'!$E$3:$E$1001,R$4)=0,"",SUMIFS('Input Sheet'!$F$3:$F$1001,'Input Sheet'!$B$3:$B$1001,$H716,'Input Sheet'!$E$3:$E$1001,R$4))</f>
        <v/>
      </c>
      <c r="S716" s="21" t="str">
        <f>IF(SUMIFS('Input Sheet'!$F$3:$F$1001,'Input Sheet'!$B$3:$B$1001,$H716,'Input Sheet'!$E$3:$E$1001,S$4)=0,"",SUMIFS('Input Sheet'!$F$3:$F$1001,'Input Sheet'!$B$3:$B$1001,$H716,'Input Sheet'!$E$3:$E$1001,S$4))</f>
        <v/>
      </c>
      <c r="T716" s="22">
        <v>711</v>
      </c>
    </row>
    <row r="717" spans="1:20" ht="14.25" customHeight="1" x14ac:dyDescent="0.3">
      <c r="A717" s="4" t="str">
        <f>IF('Input Sheet'!B714=0,"",'Input Sheet'!B714)</f>
        <v/>
      </c>
      <c r="B717" s="24" t="b">
        <f t="shared" si="526"/>
        <v>0</v>
      </c>
      <c r="C717" s="4">
        <f>SUMIF('Input Sheet'!B$3:B$1000,A717,'Input Sheet'!C$3:C$1000)</f>
        <v>0</v>
      </c>
      <c r="D717" s="4">
        <f>SUMIF('Input Sheet'!B$3:B$1000,A717,'Input Sheet'!D$3:D$1000)</f>
        <v>0</v>
      </c>
      <c r="E717" s="4" t="str">
        <f t="shared" ref="E717:F717" ca="1" si="734">IFERROR(RANK(K717,K$6:K$1004,1),"")</f>
        <v/>
      </c>
      <c r="F717" s="4" t="str">
        <f t="shared" ca="1" si="734"/>
        <v/>
      </c>
      <c r="G717" s="4" t="str">
        <f t="shared" ca="1" si="528"/>
        <v/>
      </c>
      <c r="H717" s="4" t="str">
        <f t="shared" si="529"/>
        <v/>
      </c>
      <c r="I717" s="4" t="str">
        <f t="shared" si="530"/>
        <v/>
      </c>
      <c r="J717" s="4" t="str">
        <f t="shared" si="531"/>
        <v/>
      </c>
      <c r="K717" s="25" t="str">
        <f t="shared" ca="1" si="532"/>
        <v/>
      </c>
      <c r="L717" s="21" t="str">
        <f t="shared" ca="1" si="533"/>
        <v/>
      </c>
      <c r="M717" s="21" t="str">
        <f>IF(SUMIFS('Input Sheet'!$F$3:$F$1001,'Input Sheet'!$B$3:$B$1001,$H717,'Input Sheet'!$E$3:$E$1001,M$4)=0,"",SUMIFS('Input Sheet'!$F$3:$F$1001,'Input Sheet'!$B$3:$B$1001,$H717,'Input Sheet'!$E$3:$E$1001,M$4))</f>
        <v/>
      </c>
      <c r="N717" s="21" t="str">
        <f>IF(SUMIFS('Input Sheet'!$F$3:$F$1001,'Input Sheet'!$B$3:$B$1001,$H717,'Input Sheet'!$E$3:$E$1001,N$4)=0,"",SUMIFS('Input Sheet'!$F$3:$F$1001,'Input Sheet'!$B$3:$B$1001,$H717,'Input Sheet'!$E$3:$E$1001,N$4))</f>
        <v/>
      </c>
      <c r="O717" s="21" t="str">
        <f>IF(SUMIFS('Input Sheet'!$F$3:$F$1001,'Input Sheet'!$B$3:$B$1001,$H717,'Input Sheet'!$E$3:$E$1001,O$4)=0,"",SUMIFS('Input Sheet'!$F$3:$F$1001,'Input Sheet'!$B$3:$B$1001,$H717,'Input Sheet'!$E$3:$E$1001,O$4))</f>
        <v/>
      </c>
      <c r="P717" s="21" t="str">
        <f>IF(SUMIFS('Input Sheet'!$F$3:$F$1001,'Input Sheet'!$B$3:$B$1001,$H717,'Input Sheet'!$E$3:$E$1001,P$4)=0,"",SUMIFS('Input Sheet'!$F$3:$F$1001,'Input Sheet'!$B$3:$B$1001,$H717,'Input Sheet'!$E$3:$E$1001,P$4))</f>
        <v/>
      </c>
      <c r="Q717" s="21" t="str">
        <f>IF(SUMIFS('Input Sheet'!$F$3:$F$1001,'Input Sheet'!$B$3:$B$1001,$H717,'Input Sheet'!$E$3:$E$1001,Q$4)=0,"",SUMIFS('Input Sheet'!$F$3:$F$1001,'Input Sheet'!$B$3:$B$1001,$H717,'Input Sheet'!$E$3:$E$1001,Q$4))</f>
        <v/>
      </c>
      <c r="R717" s="21" t="str">
        <f>IF(SUMIFS('Input Sheet'!$F$3:$F$1001,'Input Sheet'!$B$3:$B$1001,$H717,'Input Sheet'!$E$3:$E$1001,R$4)=0,"",SUMIFS('Input Sheet'!$F$3:$F$1001,'Input Sheet'!$B$3:$B$1001,$H717,'Input Sheet'!$E$3:$E$1001,R$4))</f>
        <v/>
      </c>
      <c r="S717" s="21" t="str">
        <f>IF(SUMIFS('Input Sheet'!$F$3:$F$1001,'Input Sheet'!$B$3:$B$1001,$H717,'Input Sheet'!$E$3:$E$1001,S$4)=0,"",SUMIFS('Input Sheet'!$F$3:$F$1001,'Input Sheet'!$B$3:$B$1001,$H717,'Input Sheet'!$E$3:$E$1001,S$4))</f>
        <v/>
      </c>
      <c r="T717" s="22">
        <v>712</v>
      </c>
    </row>
    <row r="718" spans="1:20" ht="14.25" customHeight="1" x14ac:dyDescent="0.3">
      <c r="A718" s="4" t="str">
        <f>IF('Input Sheet'!B715=0,"",'Input Sheet'!B715)</f>
        <v/>
      </c>
      <c r="B718" s="24" t="b">
        <f t="shared" si="526"/>
        <v>0</v>
      </c>
      <c r="C718" s="4">
        <f>SUMIF('Input Sheet'!B$3:B$1000,A718,'Input Sheet'!C$3:C$1000)</f>
        <v>0</v>
      </c>
      <c r="D718" s="4">
        <f>SUMIF('Input Sheet'!B$3:B$1000,A718,'Input Sheet'!D$3:D$1000)</f>
        <v>0</v>
      </c>
      <c r="E718" s="4" t="str">
        <f t="shared" ref="E718:F718" ca="1" si="735">IFERROR(RANK(K718,K$6:K$1004,1),"")</f>
        <v/>
      </c>
      <c r="F718" s="4" t="str">
        <f t="shared" ca="1" si="735"/>
        <v/>
      </c>
      <c r="G718" s="4" t="str">
        <f t="shared" ca="1" si="528"/>
        <v/>
      </c>
      <c r="H718" s="4" t="str">
        <f t="shared" si="529"/>
        <v/>
      </c>
      <c r="I718" s="4" t="str">
        <f t="shared" si="530"/>
        <v/>
      </c>
      <c r="J718" s="4" t="str">
        <f t="shared" si="531"/>
        <v/>
      </c>
      <c r="K718" s="25" t="str">
        <f t="shared" ca="1" si="532"/>
        <v/>
      </c>
      <c r="L718" s="21" t="str">
        <f t="shared" ca="1" si="533"/>
        <v/>
      </c>
      <c r="M718" s="21" t="str">
        <f>IF(SUMIFS('Input Sheet'!$F$3:$F$1001,'Input Sheet'!$B$3:$B$1001,$H718,'Input Sheet'!$E$3:$E$1001,M$4)=0,"",SUMIFS('Input Sheet'!$F$3:$F$1001,'Input Sheet'!$B$3:$B$1001,$H718,'Input Sheet'!$E$3:$E$1001,M$4))</f>
        <v/>
      </c>
      <c r="N718" s="21" t="str">
        <f>IF(SUMIFS('Input Sheet'!$F$3:$F$1001,'Input Sheet'!$B$3:$B$1001,$H718,'Input Sheet'!$E$3:$E$1001,N$4)=0,"",SUMIFS('Input Sheet'!$F$3:$F$1001,'Input Sheet'!$B$3:$B$1001,$H718,'Input Sheet'!$E$3:$E$1001,N$4))</f>
        <v/>
      </c>
      <c r="O718" s="21" t="str">
        <f>IF(SUMIFS('Input Sheet'!$F$3:$F$1001,'Input Sheet'!$B$3:$B$1001,$H718,'Input Sheet'!$E$3:$E$1001,O$4)=0,"",SUMIFS('Input Sheet'!$F$3:$F$1001,'Input Sheet'!$B$3:$B$1001,$H718,'Input Sheet'!$E$3:$E$1001,O$4))</f>
        <v/>
      </c>
      <c r="P718" s="21" t="str">
        <f>IF(SUMIFS('Input Sheet'!$F$3:$F$1001,'Input Sheet'!$B$3:$B$1001,$H718,'Input Sheet'!$E$3:$E$1001,P$4)=0,"",SUMIFS('Input Sheet'!$F$3:$F$1001,'Input Sheet'!$B$3:$B$1001,$H718,'Input Sheet'!$E$3:$E$1001,P$4))</f>
        <v/>
      </c>
      <c r="Q718" s="21" t="str">
        <f>IF(SUMIFS('Input Sheet'!$F$3:$F$1001,'Input Sheet'!$B$3:$B$1001,$H718,'Input Sheet'!$E$3:$E$1001,Q$4)=0,"",SUMIFS('Input Sheet'!$F$3:$F$1001,'Input Sheet'!$B$3:$B$1001,$H718,'Input Sheet'!$E$3:$E$1001,Q$4))</f>
        <v/>
      </c>
      <c r="R718" s="21" t="str">
        <f>IF(SUMIFS('Input Sheet'!$F$3:$F$1001,'Input Sheet'!$B$3:$B$1001,$H718,'Input Sheet'!$E$3:$E$1001,R$4)=0,"",SUMIFS('Input Sheet'!$F$3:$F$1001,'Input Sheet'!$B$3:$B$1001,$H718,'Input Sheet'!$E$3:$E$1001,R$4))</f>
        <v/>
      </c>
      <c r="S718" s="21" t="str">
        <f>IF(SUMIFS('Input Sheet'!$F$3:$F$1001,'Input Sheet'!$B$3:$B$1001,$H718,'Input Sheet'!$E$3:$E$1001,S$4)=0,"",SUMIFS('Input Sheet'!$F$3:$F$1001,'Input Sheet'!$B$3:$B$1001,$H718,'Input Sheet'!$E$3:$E$1001,S$4))</f>
        <v/>
      </c>
      <c r="T718" s="22">
        <v>713</v>
      </c>
    </row>
    <row r="719" spans="1:20" ht="14.25" customHeight="1" x14ac:dyDescent="0.3">
      <c r="A719" s="4" t="str">
        <f>IF('Input Sheet'!B716=0,"",'Input Sheet'!B716)</f>
        <v/>
      </c>
      <c r="B719" s="24" t="b">
        <f t="shared" si="526"/>
        <v>0</v>
      </c>
      <c r="C719" s="4">
        <f>SUMIF('Input Sheet'!B$3:B$1000,A719,'Input Sheet'!C$3:C$1000)</f>
        <v>0</v>
      </c>
      <c r="D719" s="4">
        <f>SUMIF('Input Sheet'!B$3:B$1000,A719,'Input Sheet'!D$3:D$1000)</f>
        <v>0</v>
      </c>
      <c r="E719" s="4" t="str">
        <f t="shared" ref="E719:F719" ca="1" si="736">IFERROR(RANK(K719,K$6:K$1004,1),"")</f>
        <v/>
      </c>
      <c r="F719" s="4" t="str">
        <f t="shared" ca="1" si="736"/>
        <v/>
      </c>
      <c r="G719" s="4" t="str">
        <f t="shared" ca="1" si="528"/>
        <v/>
      </c>
      <c r="H719" s="4" t="str">
        <f t="shared" si="529"/>
        <v/>
      </c>
      <c r="I719" s="4" t="str">
        <f t="shared" si="530"/>
        <v/>
      </c>
      <c r="J719" s="4" t="str">
        <f t="shared" si="531"/>
        <v/>
      </c>
      <c r="K719" s="25" t="str">
        <f t="shared" ca="1" si="532"/>
        <v/>
      </c>
      <c r="L719" s="21" t="str">
        <f t="shared" ca="1" si="533"/>
        <v/>
      </c>
      <c r="M719" s="21" t="str">
        <f>IF(SUMIFS('Input Sheet'!$F$3:$F$1001,'Input Sheet'!$B$3:$B$1001,$H719,'Input Sheet'!$E$3:$E$1001,M$4)=0,"",SUMIFS('Input Sheet'!$F$3:$F$1001,'Input Sheet'!$B$3:$B$1001,$H719,'Input Sheet'!$E$3:$E$1001,M$4))</f>
        <v/>
      </c>
      <c r="N719" s="21" t="str">
        <f>IF(SUMIFS('Input Sheet'!$F$3:$F$1001,'Input Sheet'!$B$3:$B$1001,$H719,'Input Sheet'!$E$3:$E$1001,N$4)=0,"",SUMIFS('Input Sheet'!$F$3:$F$1001,'Input Sheet'!$B$3:$B$1001,$H719,'Input Sheet'!$E$3:$E$1001,N$4))</f>
        <v/>
      </c>
      <c r="O719" s="21" t="str">
        <f>IF(SUMIFS('Input Sheet'!$F$3:$F$1001,'Input Sheet'!$B$3:$B$1001,$H719,'Input Sheet'!$E$3:$E$1001,O$4)=0,"",SUMIFS('Input Sheet'!$F$3:$F$1001,'Input Sheet'!$B$3:$B$1001,$H719,'Input Sheet'!$E$3:$E$1001,O$4))</f>
        <v/>
      </c>
      <c r="P719" s="21" t="str">
        <f>IF(SUMIFS('Input Sheet'!$F$3:$F$1001,'Input Sheet'!$B$3:$B$1001,$H719,'Input Sheet'!$E$3:$E$1001,P$4)=0,"",SUMIFS('Input Sheet'!$F$3:$F$1001,'Input Sheet'!$B$3:$B$1001,$H719,'Input Sheet'!$E$3:$E$1001,P$4))</f>
        <v/>
      </c>
      <c r="Q719" s="21" t="str">
        <f>IF(SUMIFS('Input Sheet'!$F$3:$F$1001,'Input Sheet'!$B$3:$B$1001,$H719,'Input Sheet'!$E$3:$E$1001,Q$4)=0,"",SUMIFS('Input Sheet'!$F$3:$F$1001,'Input Sheet'!$B$3:$B$1001,$H719,'Input Sheet'!$E$3:$E$1001,Q$4))</f>
        <v/>
      </c>
      <c r="R719" s="21" t="str">
        <f>IF(SUMIFS('Input Sheet'!$F$3:$F$1001,'Input Sheet'!$B$3:$B$1001,$H719,'Input Sheet'!$E$3:$E$1001,R$4)=0,"",SUMIFS('Input Sheet'!$F$3:$F$1001,'Input Sheet'!$B$3:$B$1001,$H719,'Input Sheet'!$E$3:$E$1001,R$4))</f>
        <v/>
      </c>
      <c r="S719" s="21" t="str">
        <f>IF(SUMIFS('Input Sheet'!$F$3:$F$1001,'Input Sheet'!$B$3:$B$1001,$H719,'Input Sheet'!$E$3:$E$1001,S$4)=0,"",SUMIFS('Input Sheet'!$F$3:$F$1001,'Input Sheet'!$B$3:$B$1001,$H719,'Input Sheet'!$E$3:$E$1001,S$4))</f>
        <v/>
      </c>
      <c r="T719" s="22">
        <v>714</v>
      </c>
    </row>
    <row r="720" spans="1:20" ht="14.25" customHeight="1" x14ac:dyDescent="0.3">
      <c r="A720" s="4" t="str">
        <f>IF('Input Sheet'!B717=0,"",'Input Sheet'!B717)</f>
        <v/>
      </c>
      <c r="B720" s="24" t="b">
        <f t="shared" si="526"/>
        <v>0</v>
      </c>
      <c r="C720" s="4">
        <f>SUMIF('Input Sheet'!B$3:B$1000,A720,'Input Sheet'!C$3:C$1000)</f>
        <v>0</v>
      </c>
      <c r="D720" s="4">
        <f>SUMIF('Input Sheet'!B$3:B$1000,A720,'Input Sheet'!D$3:D$1000)</f>
        <v>0</v>
      </c>
      <c r="E720" s="4" t="str">
        <f t="shared" ref="E720:F720" ca="1" si="737">IFERROR(RANK(K720,K$6:K$1004,1),"")</f>
        <v/>
      </c>
      <c r="F720" s="4" t="str">
        <f t="shared" ca="1" si="737"/>
        <v/>
      </c>
      <c r="G720" s="4" t="str">
        <f t="shared" ca="1" si="528"/>
        <v/>
      </c>
      <c r="H720" s="4" t="str">
        <f t="shared" si="529"/>
        <v/>
      </c>
      <c r="I720" s="4" t="str">
        <f t="shared" si="530"/>
        <v/>
      </c>
      <c r="J720" s="4" t="str">
        <f t="shared" si="531"/>
        <v/>
      </c>
      <c r="K720" s="25" t="str">
        <f t="shared" ca="1" si="532"/>
        <v/>
      </c>
      <c r="L720" s="21" t="str">
        <f t="shared" ca="1" si="533"/>
        <v/>
      </c>
      <c r="M720" s="21" t="str">
        <f>IF(SUMIFS('Input Sheet'!$F$3:$F$1001,'Input Sheet'!$B$3:$B$1001,$H720,'Input Sheet'!$E$3:$E$1001,M$4)=0,"",SUMIFS('Input Sheet'!$F$3:$F$1001,'Input Sheet'!$B$3:$B$1001,$H720,'Input Sheet'!$E$3:$E$1001,M$4))</f>
        <v/>
      </c>
      <c r="N720" s="21" t="str">
        <f>IF(SUMIFS('Input Sheet'!$F$3:$F$1001,'Input Sheet'!$B$3:$B$1001,$H720,'Input Sheet'!$E$3:$E$1001,N$4)=0,"",SUMIFS('Input Sheet'!$F$3:$F$1001,'Input Sheet'!$B$3:$B$1001,$H720,'Input Sheet'!$E$3:$E$1001,N$4))</f>
        <v/>
      </c>
      <c r="O720" s="21" t="str">
        <f>IF(SUMIFS('Input Sheet'!$F$3:$F$1001,'Input Sheet'!$B$3:$B$1001,$H720,'Input Sheet'!$E$3:$E$1001,O$4)=0,"",SUMIFS('Input Sheet'!$F$3:$F$1001,'Input Sheet'!$B$3:$B$1001,$H720,'Input Sheet'!$E$3:$E$1001,O$4))</f>
        <v/>
      </c>
      <c r="P720" s="21" t="str">
        <f>IF(SUMIFS('Input Sheet'!$F$3:$F$1001,'Input Sheet'!$B$3:$B$1001,$H720,'Input Sheet'!$E$3:$E$1001,P$4)=0,"",SUMIFS('Input Sheet'!$F$3:$F$1001,'Input Sheet'!$B$3:$B$1001,$H720,'Input Sheet'!$E$3:$E$1001,P$4))</f>
        <v/>
      </c>
      <c r="Q720" s="21" t="str">
        <f>IF(SUMIFS('Input Sheet'!$F$3:$F$1001,'Input Sheet'!$B$3:$B$1001,$H720,'Input Sheet'!$E$3:$E$1001,Q$4)=0,"",SUMIFS('Input Sheet'!$F$3:$F$1001,'Input Sheet'!$B$3:$B$1001,$H720,'Input Sheet'!$E$3:$E$1001,Q$4))</f>
        <v/>
      </c>
      <c r="R720" s="21" t="str">
        <f>IF(SUMIFS('Input Sheet'!$F$3:$F$1001,'Input Sheet'!$B$3:$B$1001,$H720,'Input Sheet'!$E$3:$E$1001,R$4)=0,"",SUMIFS('Input Sheet'!$F$3:$F$1001,'Input Sheet'!$B$3:$B$1001,$H720,'Input Sheet'!$E$3:$E$1001,R$4))</f>
        <v/>
      </c>
      <c r="S720" s="21" t="str">
        <f>IF(SUMIFS('Input Sheet'!$F$3:$F$1001,'Input Sheet'!$B$3:$B$1001,$H720,'Input Sheet'!$E$3:$E$1001,S$4)=0,"",SUMIFS('Input Sheet'!$F$3:$F$1001,'Input Sheet'!$B$3:$B$1001,$H720,'Input Sheet'!$E$3:$E$1001,S$4))</f>
        <v/>
      </c>
      <c r="T720" s="22">
        <v>715</v>
      </c>
    </row>
    <row r="721" spans="1:20" ht="14.25" customHeight="1" x14ac:dyDescent="0.3">
      <c r="A721" s="4" t="str">
        <f>IF('Input Sheet'!B718=0,"",'Input Sheet'!B718)</f>
        <v/>
      </c>
      <c r="B721" s="24" t="b">
        <f t="shared" si="526"/>
        <v>0</v>
      </c>
      <c r="C721" s="4">
        <f>SUMIF('Input Sheet'!B$3:B$1000,A721,'Input Sheet'!C$3:C$1000)</f>
        <v>0</v>
      </c>
      <c r="D721" s="4">
        <f>SUMIF('Input Sheet'!B$3:B$1000,A721,'Input Sheet'!D$3:D$1000)</f>
        <v>0</v>
      </c>
      <c r="E721" s="4" t="str">
        <f t="shared" ref="E721:F721" ca="1" si="738">IFERROR(RANK(K721,K$6:K$1004,1),"")</f>
        <v/>
      </c>
      <c r="F721" s="4" t="str">
        <f t="shared" ca="1" si="738"/>
        <v/>
      </c>
      <c r="G721" s="4" t="str">
        <f t="shared" ca="1" si="528"/>
        <v/>
      </c>
      <c r="H721" s="4" t="str">
        <f t="shared" si="529"/>
        <v/>
      </c>
      <c r="I721" s="4" t="str">
        <f t="shared" si="530"/>
        <v/>
      </c>
      <c r="J721" s="4" t="str">
        <f t="shared" si="531"/>
        <v/>
      </c>
      <c r="K721" s="25" t="str">
        <f t="shared" ca="1" si="532"/>
        <v/>
      </c>
      <c r="L721" s="21" t="str">
        <f t="shared" ca="1" si="533"/>
        <v/>
      </c>
      <c r="M721" s="21" t="str">
        <f>IF(SUMIFS('Input Sheet'!$F$3:$F$1001,'Input Sheet'!$B$3:$B$1001,$H721,'Input Sheet'!$E$3:$E$1001,M$4)=0,"",SUMIFS('Input Sheet'!$F$3:$F$1001,'Input Sheet'!$B$3:$B$1001,$H721,'Input Sheet'!$E$3:$E$1001,M$4))</f>
        <v/>
      </c>
      <c r="N721" s="21" t="str">
        <f>IF(SUMIFS('Input Sheet'!$F$3:$F$1001,'Input Sheet'!$B$3:$B$1001,$H721,'Input Sheet'!$E$3:$E$1001,N$4)=0,"",SUMIFS('Input Sheet'!$F$3:$F$1001,'Input Sheet'!$B$3:$B$1001,$H721,'Input Sheet'!$E$3:$E$1001,N$4))</f>
        <v/>
      </c>
      <c r="O721" s="21" t="str">
        <f>IF(SUMIFS('Input Sheet'!$F$3:$F$1001,'Input Sheet'!$B$3:$B$1001,$H721,'Input Sheet'!$E$3:$E$1001,O$4)=0,"",SUMIFS('Input Sheet'!$F$3:$F$1001,'Input Sheet'!$B$3:$B$1001,$H721,'Input Sheet'!$E$3:$E$1001,O$4))</f>
        <v/>
      </c>
      <c r="P721" s="21" t="str">
        <f>IF(SUMIFS('Input Sheet'!$F$3:$F$1001,'Input Sheet'!$B$3:$B$1001,$H721,'Input Sheet'!$E$3:$E$1001,P$4)=0,"",SUMIFS('Input Sheet'!$F$3:$F$1001,'Input Sheet'!$B$3:$B$1001,$H721,'Input Sheet'!$E$3:$E$1001,P$4))</f>
        <v/>
      </c>
      <c r="Q721" s="21" t="str">
        <f>IF(SUMIFS('Input Sheet'!$F$3:$F$1001,'Input Sheet'!$B$3:$B$1001,$H721,'Input Sheet'!$E$3:$E$1001,Q$4)=0,"",SUMIFS('Input Sheet'!$F$3:$F$1001,'Input Sheet'!$B$3:$B$1001,$H721,'Input Sheet'!$E$3:$E$1001,Q$4))</f>
        <v/>
      </c>
      <c r="R721" s="21" t="str">
        <f>IF(SUMIFS('Input Sheet'!$F$3:$F$1001,'Input Sheet'!$B$3:$B$1001,$H721,'Input Sheet'!$E$3:$E$1001,R$4)=0,"",SUMIFS('Input Sheet'!$F$3:$F$1001,'Input Sheet'!$B$3:$B$1001,$H721,'Input Sheet'!$E$3:$E$1001,R$4))</f>
        <v/>
      </c>
      <c r="S721" s="21" t="str">
        <f>IF(SUMIFS('Input Sheet'!$F$3:$F$1001,'Input Sheet'!$B$3:$B$1001,$H721,'Input Sheet'!$E$3:$E$1001,S$4)=0,"",SUMIFS('Input Sheet'!$F$3:$F$1001,'Input Sheet'!$B$3:$B$1001,$H721,'Input Sheet'!$E$3:$E$1001,S$4))</f>
        <v/>
      </c>
      <c r="T721" s="22">
        <v>716</v>
      </c>
    </row>
    <row r="722" spans="1:20" ht="14.25" customHeight="1" x14ac:dyDescent="0.3">
      <c r="A722" s="4" t="str">
        <f>IF('Input Sheet'!B719=0,"",'Input Sheet'!B719)</f>
        <v/>
      </c>
      <c r="B722" s="24" t="b">
        <f t="shared" si="526"/>
        <v>0</v>
      </c>
      <c r="C722" s="4">
        <f>SUMIF('Input Sheet'!B$3:B$1000,A722,'Input Sheet'!C$3:C$1000)</f>
        <v>0</v>
      </c>
      <c r="D722" s="4">
        <f>SUMIF('Input Sheet'!B$3:B$1000,A722,'Input Sheet'!D$3:D$1000)</f>
        <v>0</v>
      </c>
      <c r="E722" s="4" t="str">
        <f t="shared" ref="E722:F722" ca="1" si="739">IFERROR(RANK(K722,K$6:K$1004,1),"")</f>
        <v/>
      </c>
      <c r="F722" s="4" t="str">
        <f t="shared" ca="1" si="739"/>
        <v/>
      </c>
      <c r="G722" s="4" t="str">
        <f t="shared" ca="1" si="528"/>
        <v/>
      </c>
      <c r="H722" s="4" t="str">
        <f t="shared" si="529"/>
        <v/>
      </c>
      <c r="I722" s="4" t="str">
        <f t="shared" si="530"/>
        <v/>
      </c>
      <c r="J722" s="4" t="str">
        <f t="shared" si="531"/>
        <v/>
      </c>
      <c r="K722" s="25" t="str">
        <f t="shared" ca="1" si="532"/>
        <v/>
      </c>
      <c r="L722" s="21" t="str">
        <f t="shared" ca="1" si="533"/>
        <v/>
      </c>
      <c r="M722" s="21" t="str">
        <f>IF(SUMIFS('Input Sheet'!$F$3:$F$1001,'Input Sheet'!$B$3:$B$1001,$H722,'Input Sheet'!$E$3:$E$1001,M$4)=0,"",SUMIFS('Input Sheet'!$F$3:$F$1001,'Input Sheet'!$B$3:$B$1001,$H722,'Input Sheet'!$E$3:$E$1001,M$4))</f>
        <v/>
      </c>
      <c r="N722" s="21" t="str">
        <f>IF(SUMIFS('Input Sheet'!$F$3:$F$1001,'Input Sheet'!$B$3:$B$1001,$H722,'Input Sheet'!$E$3:$E$1001,N$4)=0,"",SUMIFS('Input Sheet'!$F$3:$F$1001,'Input Sheet'!$B$3:$B$1001,$H722,'Input Sheet'!$E$3:$E$1001,N$4))</f>
        <v/>
      </c>
      <c r="O722" s="21" t="str">
        <f>IF(SUMIFS('Input Sheet'!$F$3:$F$1001,'Input Sheet'!$B$3:$B$1001,$H722,'Input Sheet'!$E$3:$E$1001,O$4)=0,"",SUMIFS('Input Sheet'!$F$3:$F$1001,'Input Sheet'!$B$3:$B$1001,$H722,'Input Sheet'!$E$3:$E$1001,O$4))</f>
        <v/>
      </c>
      <c r="P722" s="21" t="str">
        <f>IF(SUMIFS('Input Sheet'!$F$3:$F$1001,'Input Sheet'!$B$3:$B$1001,$H722,'Input Sheet'!$E$3:$E$1001,P$4)=0,"",SUMIFS('Input Sheet'!$F$3:$F$1001,'Input Sheet'!$B$3:$B$1001,$H722,'Input Sheet'!$E$3:$E$1001,P$4))</f>
        <v/>
      </c>
      <c r="Q722" s="21" t="str">
        <f>IF(SUMIFS('Input Sheet'!$F$3:$F$1001,'Input Sheet'!$B$3:$B$1001,$H722,'Input Sheet'!$E$3:$E$1001,Q$4)=0,"",SUMIFS('Input Sheet'!$F$3:$F$1001,'Input Sheet'!$B$3:$B$1001,$H722,'Input Sheet'!$E$3:$E$1001,Q$4))</f>
        <v/>
      </c>
      <c r="R722" s="21" t="str">
        <f>IF(SUMIFS('Input Sheet'!$F$3:$F$1001,'Input Sheet'!$B$3:$B$1001,$H722,'Input Sheet'!$E$3:$E$1001,R$4)=0,"",SUMIFS('Input Sheet'!$F$3:$F$1001,'Input Sheet'!$B$3:$B$1001,$H722,'Input Sheet'!$E$3:$E$1001,R$4))</f>
        <v/>
      </c>
      <c r="S722" s="21" t="str">
        <f>IF(SUMIFS('Input Sheet'!$F$3:$F$1001,'Input Sheet'!$B$3:$B$1001,$H722,'Input Sheet'!$E$3:$E$1001,S$4)=0,"",SUMIFS('Input Sheet'!$F$3:$F$1001,'Input Sheet'!$B$3:$B$1001,$H722,'Input Sheet'!$E$3:$E$1001,S$4))</f>
        <v/>
      </c>
      <c r="T722" s="22">
        <v>717</v>
      </c>
    </row>
    <row r="723" spans="1:20" ht="14.25" customHeight="1" x14ac:dyDescent="0.3">
      <c r="A723" s="4" t="str">
        <f>IF('Input Sheet'!B720=0,"",'Input Sheet'!B720)</f>
        <v/>
      </c>
      <c r="B723" s="24" t="b">
        <f t="shared" si="526"/>
        <v>0</v>
      </c>
      <c r="C723" s="4">
        <f>SUMIF('Input Sheet'!B$3:B$1000,A723,'Input Sheet'!C$3:C$1000)</f>
        <v>0</v>
      </c>
      <c r="D723" s="4">
        <f>SUMIF('Input Sheet'!B$3:B$1000,A723,'Input Sheet'!D$3:D$1000)</f>
        <v>0</v>
      </c>
      <c r="E723" s="4" t="str">
        <f t="shared" ref="E723:F723" ca="1" si="740">IFERROR(RANK(K723,K$6:K$1004,1),"")</f>
        <v/>
      </c>
      <c r="F723" s="4" t="str">
        <f t="shared" ca="1" si="740"/>
        <v/>
      </c>
      <c r="G723" s="4" t="str">
        <f t="shared" ca="1" si="528"/>
        <v/>
      </c>
      <c r="H723" s="4" t="str">
        <f t="shared" si="529"/>
        <v/>
      </c>
      <c r="I723" s="4" t="str">
        <f t="shared" si="530"/>
        <v/>
      </c>
      <c r="J723" s="4" t="str">
        <f t="shared" si="531"/>
        <v/>
      </c>
      <c r="K723" s="25" t="str">
        <f t="shared" ca="1" si="532"/>
        <v/>
      </c>
      <c r="L723" s="21" t="str">
        <f t="shared" ca="1" si="533"/>
        <v/>
      </c>
      <c r="M723" s="21" t="str">
        <f>IF(SUMIFS('Input Sheet'!$F$3:$F$1001,'Input Sheet'!$B$3:$B$1001,$H723,'Input Sheet'!$E$3:$E$1001,M$4)=0,"",SUMIFS('Input Sheet'!$F$3:$F$1001,'Input Sheet'!$B$3:$B$1001,$H723,'Input Sheet'!$E$3:$E$1001,M$4))</f>
        <v/>
      </c>
      <c r="N723" s="21" t="str">
        <f>IF(SUMIFS('Input Sheet'!$F$3:$F$1001,'Input Sheet'!$B$3:$B$1001,$H723,'Input Sheet'!$E$3:$E$1001,N$4)=0,"",SUMIFS('Input Sheet'!$F$3:$F$1001,'Input Sheet'!$B$3:$B$1001,$H723,'Input Sheet'!$E$3:$E$1001,N$4))</f>
        <v/>
      </c>
      <c r="O723" s="21" t="str">
        <f>IF(SUMIFS('Input Sheet'!$F$3:$F$1001,'Input Sheet'!$B$3:$B$1001,$H723,'Input Sheet'!$E$3:$E$1001,O$4)=0,"",SUMIFS('Input Sheet'!$F$3:$F$1001,'Input Sheet'!$B$3:$B$1001,$H723,'Input Sheet'!$E$3:$E$1001,O$4))</f>
        <v/>
      </c>
      <c r="P723" s="21" t="str">
        <f>IF(SUMIFS('Input Sheet'!$F$3:$F$1001,'Input Sheet'!$B$3:$B$1001,$H723,'Input Sheet'!$E$3:$E$1001,P$4)=0,"",SUMIFS('Input Sheet'!$F$3:$F$1001,'Input Sheet'!$B$3:$B$1001,$H723,'Input Sheet'!$E$3:$E$1001,P$4))</f>
        <v/>
      </c>
      <c r="Q723" s="21" t="str">
        <f>IF(SUMIFS('Input Sheet'!$F$3:$F$1001,'Input Sheet'!$B$3:$B$1001,$H723,'Input Sheet'!$E$3:$E$1001,Q$4)=0,"",SUMIFS('Input Sheet'!$F$3:$F$1001,'Input Sheet'!$B$3:$B$1001,$H723,'Input Sheet'!$E$3:$E$1001,Q$4))</f>
        <v/>
      </c>
      <c r="R723" s="21" t="str">
        <f>IF(SUMIFS('Input Sheet'!$F$3:$F$1001,'Input Sheet'!$B$3:$B$1001,$H723,'Input Sheet'!$E$3:$E$1001,R$4)=0,"",SUMIFS('Input Sheet'!$F$3:$F$1001,'Input Sheet'!$B$3:$B$1001,$H723,'Input Sheet'!$E$3:$E$1001,R$4))</f>
        <v/>
      </c>
      <c r="S723" s="21" t="str">
        <f>IF(SUMIFS('Input Sheet'!$F$3:$F$1001,'Input Sheet'!$B$3:$B$1001,$H723,'Input Sheet'!$E$3:$E$1001,S$4)=0,"",SUMIFS('Input Sheet'!$F$3:$F$1001,'Input Sheet'!$B$3:$B$1001,$H723,'Input Sheet'!$E$3:$E$1001,S$4))</f>
        <v/>
      </c>
      <c r="T723" s="22">
        <v>718</v>
      </c>
    </row>
    <row r="724" spans="1:20" ht="14.25" customHeight="1" x14ac:dyDescent="0.3">
      <c r="A724" s="4" t="str">
        <f>IF('Input Sheet'!B721=0,"",'Input Sheet'!B721)</f>
        <v/>
      </c>
      <c r="B724" s="24" t="b">
        <f t="shared" si="526"/>
        <v>0</v>
      </c>
      <c r="C724" s="4">
        <f>SUMIF('Input Sheet'!B$3:B$1000,A724,'Input Sheet'!C$3:C$1000)</f>
        <v>0</v>
      </c>
      <c r="D724" s="4">
        <f>SUMIF('Input Sheet'!B$3:B$1000,A724,'Input Sheet'!D$3:D$1000)</f>
        <v>0</v>
      </c>
      <c r="E724" s="4" t="str">
        <f t="shared" ref="E724:F724" ca="1" si="741">IFERROR(RANK(K724,K$6:K$1004,1),"")</f>
        <v/>
      </c>
      <c r="F724" s="4" t="str">
        <f t="shared" ca="1" si="741"/>
        <v/>
      </c>
      <c r="G724" s="4" t="str">
        <f t="shared" ca="1" si="528"/>
        <v/>
      </c>
      <c r="H724" s="4" t="str">
        <f t="shared" si="529"/>
        <v/>
      </c>
      <c r="I724" s="4" t="str">
        <f t="shared" si="530"/>
        <v/>
      </c>
      <c r="J724" s="4" t="str">
        <f t="shared" si="531"/>
        <v/>
      </c>
      <c r="K724" s="25" t="str">
        <f t="shared" ca="1" si="532"/>
        <v/>
      </c>
      <c r="L724" s="21" t="str">
        <f t="shared" ca="1" si="533"/>
        <v/>
      </c>
      <c r="M724" s="21" t="str">
        <f>IF(SUMIFS('Input Sheet'!$F$3:$F$1001,'Input Sheet'!$B$3:$B$1001,$H724,'Input Sheet'!$E$3:$E$1001,M$4)=0,"",SUMIFS('Input Sheet'!$F$3:$F$1001,'Input Sheet'!$B$3:$B$1001,$H724,'Input Sheet'!$E$3:$E$1001,M$4))</f>
        <v/>
      </c>
      <c r="N724" s="21" t="str">
        <f>IF(SUMIFS('Input Sheet'!$F$3:$F$1001,'Input Sheet'!$B$3:$B$1001,$H724,'Input Sheet'!$E$3:$E$1001,N$4)=0,"",SUMIFS('Input Sheet'!$F$3:$F$1001,'Input Sheet'!$B$3:$B$1001,$H724,'Input Sheet'!$E$3:$E$1001,N$4))</f>
        <v/>
      </c>
      <c r="O724" s="21" t="str">
        <f>IF(SUMIFS('Input Sheet'!$F$3:$F$1001,'Input Sheet'!$B$3:$B$1001,$H724,'Input Sheet'!$E$3:$E$1001,O$4)=0,"",SUMIFS('Input Sheet'!$F$3:$F$1001,'Input Sheet'!$B$3:$B$1001,$H724,'Input Sheet'!$E$3:$E$1001,O$4))</f>
        <v/>
      </c>
      <c r="P724" s="21" t="str">
        <f>IF(SUMIFS('Input Sheet'!$F$3:$F$1001,'Input Sheet'!$B$3:$B$1001,$H724,'Input Sheet'!$E$3:$E$1001,P$4)=0,"",SUMIFS('Input Sheet'!$F$3:$F$1001,'Input Sheet'!$B$3:$B$1001,$H724,'Input Sheet'!$E$3:$E$1001,P$4))</f>
        <v/>
      </c>
      <c r="Q724" s="21" t="str">
        <f>IF(SUMIFS('Input Sheet'!$F$3:$F$1001,'Input Sheet'!$B$3:$B$1001,$H724,'Input Sheet'!$E$3:$E$1001,Q$4)=0,"",SUMIFS('Input Sheet'!$F$3:$F$1001,'Input Sheet'!$B$3:$B$1001,$H724,'Input Sheet'!$E$3:$E$1001,Q$4))</f>
        <v/>
      </c>
      <c r="R724" s="21" t="str">
        <f>IF(SUMIFS('Input Sheet'!$F$3:$F$1001,'Input Sheet'!$B$3:$B$1001,$H724,'Input Sheet'!$E$3:$E$1001,R$4)=0,"",SUMIFS('Input Sheet'!$F$3:$F$1001,'Input Sheet'!$B$3:$B$1001,$H724,'Input Sheet'!$E$3:$E$1001,R$4))</f>
        <v/>
      </c>
      <c r="S724" s="21" t="str">
        <f>IF(SUMIFS('Input Sheet'!$F$3:$F$1001,'Input Sheet'!$B$3:$B$1001,$H724,'Input Sheet'!$E$3:$E$1001,S$4)=0,"",SUMIFS('Input Sheet'!$F$3:$F$1001,'Input Sheet'!$B$3:$B$1001,$H724,'Input Sheet'!$E$3:$E$1001,S$4))</f>
        <v/>
      </c>
      <c r="T724" s="22">
        <v>719</v>
      </c>
    </row>
    <row r="725" spans="1:20" ht="14.25" customHeight="1" x14ac:dyDescent="0.3">
      <c r="A725" s="4" t="str">
        <f>IF('Input Sheet'!B722=0,"",'Input Sheet'!B722)</f>
        <v/>
      </c>
      <c r="B725" s="24" t="b">
        <f t="shared" si="526"/>
        <v>0</v>
      </c>
      <c r="C725" s="4">
        <f>SUMIF('Input Sheet'!B$3:B$1000,A725,'Input Sheet'!C$3:C$1000)</f>
        <v>0</v>
      </c>
      <c r="D725" s="4">
        <f>SUMIF('Input Sheet'!B$3:B$1000,A725,'Input Sheet'!D$3:D$1000)</f>
        <v>0</v>
      </c>
      <c r="E725" s="4" t="str">
        <f t="shared" ref="E725:F725" ca="1" si="742">IFERROR(RANK(K725,K$6:K$1004,1),"")</f>
        <v/>
      </c>
      <c r="F725" s="4" t="str">
        <f t="shared" ca="1" si="742"/>
        <v/>
      </c>
      <c r="G725" s="4" t="str">
        <f t="shared" ca="1" si="528"/>
        <v/>
      </c>
      <c r="H725" s="4" t="str">
        <f t="shared" si="529"/>
        <v/>
      </c>
      <c r="I725" s="4" t="str">
        <f t="shared" si="530"/>
        <v/>
      </c>
      <c r="J725" s="4" t="str">
        <f t="shared" si="531"/>
        <v/>
      </c>
      <c r="K725" s="25" t="str">
        <f t="shared" ca="1" si="532"/>
        <v/>
      </c>
      <c r="L725" s="21" t="str">
        <f t="shared" ca="1" si="533"/>
        <v/>
      </c>
      <c r="M725" s="21" t="str">
        <f>IF(SUMIFS('Input Sheet'!$F$3:$F$1001,'Input Sheet'!$B$3:$B$1001,$H725,'Input Sheet'!$E$3:$E$1001,M$4)=0,"",SUMIFS('Input Sheet'!$F$3:$F$1001,'Input Sheet'!$B$3:$B$1001,$H725,'Input Sheet'!$E$3:$E$1001,M$4))</f>
        <v/>
      </c>
      <c r="N725" s="21" t="str">
        <f>IF(SUMIFS('Input Sheet'!$F$3:$F$1001,'Input Sheet'!$B$3:$B$1001,$H725,'Input Sheet'!$E$3:$E$1001,N$4)=0,"",SUMIFS('Input Sheet'!$F$3:$F$1001,'Input Sheet'!$B$3:$B$1001,$H725,'Input Sheet'!$E$3:$E$1001,N$4))</f>
        <v/>
      </c>
      <c r="O725" s="21" t="str">
        <f>IF(SUMIFS('Input Sheet'!$F$3:$F$1001,'Input Sheet'!$B$3:$B$1001,$H725,'Input Sheet'!$E$3:$E$1001,O$4)=0,"",SUMIFS('Input Sheet'!$F$3:$F$1001,'Input Sheet'!$B$3:$B$1001,$H725,'Input Sheet'!$E$3:$E$1001,O$4))</f>
        <v/>
      </c>
      <c r="P725" s="21" t="str">
        <f>IF(SUMIFS('Input Sheet'!$F$3:$F$1001,'Input Sheet'!$B$3:$B$1001,$H725,'Input Sheet'!$E$3:$E$1001,P$4)=0,"",SUMIFS('Input Sheet'!$F$3:$F$1001,'Input Sheet'!$B$3:$B$1001,$H725,'Input Sheet'!$E$3:$E$1001,P$4))</f>
        <v/>
      </c>
      <c r="Q725" s="21" t="str">
        <f>IF(SUMIFS('Input Sheet'!$F$3:$F$1001,'Input Sheet'!$B$3:$B$1001,$H725,'Input Sheet'!$E$3:$E$1001,Q$4)=0,"",SUMIFS('Input Sheet'!$F$3:$F$1001,'Input Sheet'!$B$3:$B$1001,$H725,'Input Sheet'!$E$3:$E$1001,Q$4))</f>
        <v/>
      </c>
      <c r="R725" s="21" t="str">
        <f>IF(SUMIFS('Input Sheet'!$F$3:$F$1001,'Input Sheet'!$B$3:$B$1001,$H725,'Input Sheet'!$E$3:$E$1001,R$4)=0,"",SUMIFS('Input Sheet'!$F$3:$F$1001,'Input Sheet'!$B$3:$B$1001,$H725,'Input Sheet'!$E$3:$E$1001,R$4))</f>
        <v/>
      </c>
      <c r="S725" s="21" t="str">
        <f>IF(SUMIFS('Input Sheet'!$F$3:$F$1001,'Input Sheet'!$B$3:$B$1001,$H725,'Input Sheet'!$E$3:$E$1001,S$4)=0,"",SUMIFS('Input Sheet'!$F$3:$F$1001,'Input Sheet'!$B$3:$B$1001,$H725,'Input Sheet'!$E$3:$E$1001,S$4))</f>
        <v/>
      </c>
      <c r="T725" s="22">
        <v>720</v>
      </c>
    </row>
    <row r="726" spans="1:20" ht="14.25" customHeight="1" x14ac:dyDescent="0.3">
      <c r="A726" s="4" t="str">
        <f>IF('Input Sheet'!B723=0,"",'Input Sheet'!B723)</f>
        <v/>
      </c>
      <c r="B726" s="24" t="b">
        <f t="shared" si="526"/>
        <v>0</v>
      </c>
      <c r="C726" s="4">
        <f>SUMIF('Input Sheet'!B$3:B$1000,A726,'Input Sheet'!C$3:C$1000)</f>
        <v>0</v>
      </c>
      <c r="D726" s="4">
        <f>SUMIF('Input Sheet'!B$3:B$1000,A726,'Input Sheet'!D$3:D$1000)</f>
        <v>0</v>
      </c>
      <c r="E726" s="4" t="str">
        <f t="shared" ref="E726:F726" ca="1" si="743">IFERROR(RANK(K726,K$6:K$1004,1),"")</f>
        <v/>
      </c>
      <c r="F726" s="4" t="str">
        <f t="shared" ca="1" si="743"/>
        <v/>
      </c>
      <c r="G726" s="4" t="str">
        <f t="shared" ca="1" si="528"/>
        <v/>
      </c>
      <c r="H726" s="4" t="str">
        <f t="shared" si="529"/>
        <v/>
      </c>
      <c r="I726" s="4" t="str">
        <f t="shared" si="530"/>
        <v/>
      </c>
      <c r="J726" s="4" t="str">
        <f t="shared" si="531"/>
        <v/>
      </c>
      <c r="K726" s="25" t="str">
        <f t="shared" ca="1" si="532"/>
        <v/>
      </c>
      <c r="L726" s="21" t="str">
        <f t="shared" ca="1" si="533"/>
        <v/>
      </c>
      <c r="M726" s="21" t="str">
        <f>IF(SUMIFS('Input Sheet'!$F$3:$F$1001,'Input Sheet'!$B$3:$B$1001,$H726,'Input Sheet'!$E$3:$E$1001,M$4)=0,"",SUMIFS('Input Sheet'!$F$3:$F$1001,'Input Sheet'!$B$3:$B$1001,$H726,'Input Sheet'!$E$3:$E$1001,M$4))</f>
        <v/>
      </c>
      <c r="N726" s="21" t="str">
        <f>IF(SUMIFS('Input Sheet'!$F$3:$F$1001,'Input Sheet'!$B$3:$B$1001,$H726,'Input Sheet'!$E$3:$E$1001,N$4)=0,"",SUMIFS('Input Sheet'!$F$3:$F$1001,'Input Sheet'!$B$3:$B$1001,$H726,'Input Sheet'!$E$3:$E$1001,N$4))</f>
        <v/>
      </c>
      <c r="O726" s="21" t="str">
        <f>IF(SUMIFS('Input Sheet'!$F$3:$F$1001,'Input Sheet'!$B$3:$B$1001,$H726,'Input Sheet'!$E$3:$E$1001,O$4)=0,"",SUMIFS('Input Sheet'!$F$3:$F$1001,'Input Sheet'!$B$3:$B$1001,$H726,'Input Sheet'!$E$3:$E$1001,O$4))</f>
        <v/>
      </c>
      <c r="P726" s="21" t="str">
        <f>IF(SUMIFS('Input Sheet'!$F$3:$F$1001,'Input Sheet'!$B$3:$B$1001,$H726,'Input Sheet'!$E$3:$E$1001,P$4)=0,"",SUMIFS('Input Sheet'!$F$3:$F$1001,'Input Sheet'!$B$3:$B$1001,$H726,'Input Sheet'!$E$3:$E$1001,P$4))</f>
        <v/>
      </c>
      <c r="Q726" s="21" t="str">
        <f>IF(SUMIFS('Input Sheet'!$F$3:$F$1001,'Input Sheet'!$B$3:$B$1001,$H726,'Input Sheet'!$E$3:$E$1001,Q$4)=0,"",SUMIFS('Input Sheet'!$F$3:$F$1001,'Input Sheet'!$B$3:$B$1001,$H726,'Input Sheet'!$E$3:$E$1001,Q$4))</f>
        <v/>
      </c>
      <c r="R726" s="21" t="str">
        <f>IF(SUMIFS('Input Sheet'!$F$3:$F$1001,'Input Sheet'!$B$3:$B$1001,$H726,'Input Sheet'!$E$3:$E$1001,R$4)=0,"",SUMIFS('Input Sheet'!$F$3:$F$1001,'Input Sheet'!$B$3:$B$1001,$H726,'Input Sheet'!$E$3:$E$1001,R$4))</f>
        <v/>
      </c>
      <c r="S726" s="21" t="str">
        <f>IF(SUMIFS('Input Sheet'!$F$3:$F$1001,'Input Sheet'!$B$3:$B$1001,$H726,'Input Sheet'!$E$3:$E$1001,S$4)=0,"",SUMIFS('Input Sheet'!$F$3:$F$1001,'Input Sheet'!$B$3:$B$1001,$H726,'Input Sheet'!$E$3:$E$1001,S$4))</f>
        <v/>
      </c>
      <c r="T726" s="22">
        <v>721</v>
      </c>
    </row>
    <row r="727" spans="1:20" ht="14.25" customHeight="1" x14ac:dyDescent="0.3">
      <c r="A727" s="4" t="str">
        <f>IF('Input Sheet'!B724=0,"",'Input Sheet'!B724)</f>
        <v/>
      </c>
      <c r="B727" s="24" t="b">
        <f t="shared" si="526"/>
        <v>0</v>
      </c>
      <c r="C727" s="4">
        <f>SUMIF('Input Sheet'!B$3:B$1000,A727,'Input Sheet'!C$3:C$1000)</f>
        <v>0</v>
      </c>
      <c r="D727" s="4">
        <f>SUMIF('Input Sheet'!B$3:B$1000,A727,'Input Sheet'!D$3:D$1000)</f>
        <v>0</v>
      </c>
      <c r="E727" s="4" t="str">
        <f t="shared" ref="E727:F727" ca="1" si="744">IFERROR(RANK(K727,K$6:K$1004,1),"")</f>
        <v/>
      </c>
      <c r="F727" s="4" t="str">
        <f t="shared" ca="1" si="744"/>
        <v/>
      </c>
      <c r="G727" s="4" t="str">
        <f t="shared" ca="1" si="528"/>
        <v/>
      </c>
      <c r="H727" s="4" t="str">
        <f t="shared" si="529"/>
        <v/>
      </c>
      <c r="I727" s="4" t="str">
        <f t="shared" si="530"/>
        <v/>
      </c>
      <c r="J727" s="4" t="str">
        <f t="shared" si="531"/>
        <v/>
      </c>
      <c r="K727" s="25" t="str">
        <f t="shared" ca="1" si="532"/>
        <v/>
      </c>
      <c r="L727" s="21" t="str">
        <f t="shared" ca="1" si="533"/>
        <v/>
      </c>
      <c r="M727" s="21" t="str">
        <f>IF(SUMIFS('Input Sheet'!$F$3:$F$1001,'Input Sheet'!$B$3:$B$1001,$H727,'Input Sheet'!$E$3:$E$1001,M$4)=0,"",SUMIFS('Input Sheet'!$F$3:$F$1001,'Input Sheet'!$B$3:$B$1001,$H727,'Input Sheet'!$E$3:$E$1001,M$4))</f>
        <v/>
      </c>
      <c r="N727" s="21" t="str">
        <f>IF(SUMIFS('Input Sheet'!$F$3:$F$1001,'Input Sheet'!$B$3:$B$1001,$H727,'Input Sheet'!$E$3:$E$1001,N$4)=0,"",SUMIFS('Input Sheet'!$F$3:$F$1001,'Input Sheet'!$B$3:$B$1001,$H727,'Input Sheet'!$E$3:$E$1001,N$4))</f>
        <v/>
      </c>
      <c r="O727" s="21" t="str">
        <f>IF(SUMIFS('Input Sheet'!$F$3:$F$1001,'Input Sheet'!$B$3:$B$1001,$H727,'Input Sheet'!$E$3:$E$1001,O$4)=0,"",SUMIFS('Input Sheet'!$F$3:$F$1001,'Input Sheet'!$B$3:$B$1001,$H727,'Input Sheet'!$E$3:$E$1001,O$4))</f>
        <v/>
      </c>
      <c r="P727" s="21" t="str">
        <f>IF(SUMIFS('Input Sheet'!$F$3:$F$1001,'Input Sheet'!$B$3:$B$1001,$H727,'Input Sheet'!$E$3:$E$1001,P$4)=0,"",SUMIFS('Input Sheet'!$F$3:$F$1001,'Input Sheet'!$B$3:$B$1001,$H727,'Input Sheet'!$E$3:$E$1001,P$4))</f>
        <v/>
      </c>
      <c r="Q727" s="21" t="str">
        <f>IF(SUMIFS('Input Sheet'!$F$3:$F$1001,'Input Sheet'!$B$3:$B$1001,$H727,'Input Sheet'!$E$3:$E$1001,Q$4)=0,"",SUMIFS('Input Sheet'!$F$3:$F$1001,'Input Sheet'!$B$3:$B$1001,$H727,'Input Sheet'!$E$3:$E$1001,Q$4))</f>
        <v/>
      </c>
      <c r="R727" s="21" t="str">
        <f>IF(SUMIFS('Input Sheet'!$F$3:$F$1001,'Input Sheet'!$B$3:$B$1001,$H727,'Input Sheet'!$E$3:$E$1001,R$4)=0,"",SUMIFS('Input Sheet'!$F$3:$F$1001,'Input Sheet'!$B$3:$B$1001,$H727,'Input Sheet'!$E$3:$E$1001,R$4))</f>
        <v/>
      </c>
      <c r="S727" s="21" t="str">
        <f>IF(SUMIFS('Input Sheet'!$F$3:$F$1001,'Input Sheet'!$B$3:$B$1001,$H727,'Input Sheet'!$E$3:$E$1001,S$4)=0,"",SUMIFS('Input Sheet'!$F$3:$F$1001,'Input Sheet'!$B$3:$B$1001,$H727,'Input Sheet'!$E$3:$E$1001,S$4))</f>
        <v/>
      </c>
      <c r="T727" s="22">
        <v>722</v>
      </c>
    </row>
    <row r="728" spans="1:20" ht="14.25" customHeight="1" x14ac:dyDescent="0.3">
      <c r="A728" s="4" t="str">
        <f>IF('Input Sheet'!B725=0,"",'Input Sheet'!B725)</f>
        <v/>
      </c>
      <c r="B728" s="24" t="b">
        <f t="shared" si="526"/>
        <v>0</v>
      </c>
      <c r="C728" s="4">
        <f>SUMIF('Input Sheet'!B$3:B$1000,A728,'Input Sheet'!C$3:C$1000)</f>
        <v>0</v>
      </c>
      <c r="D728" s="4">
        <f>SUMIF('Input Sheet'!B$3:B$1000,A728,'Input Sheet'!D$3:D$1000)</f>
        <v>0</v>
      </c>
      <c r="E728" s="4" t="str">
        <f t="shared" ref="E728:F728" ca="1" si="745">IFERROR(RANK(K728,K$6:K$1004,1),"")</f>
        <v/>
      </c>
      <c r="F728" s="4" t="str">
        <f t="shared" ca="1" si="745"/>
        <v/>
      </c>
      <c r="G728" s="4" t="str">
        <f t="shared" ca="1" si="528"/>
        <v/>
      </c>
      <c r="H728" s="4" t="str">
        <f t="shared" si="529"/>
        <v/>
      </c>
      <c r="I728" s="4" t="str">
        <f t="shared" si="530"/>
        <v/>
      </c>
      <c r="J728" s="4" t="str">
        <f t="shared" si="531"/>
        <v/>
      </c>
      <c r="K728" s="25" t="str">
        <f t="shared" ca="1" si="532"/>
        <v/>
      </c>
      <c r="L728" s="21" t="str">
        <f t="shared" ca="1" si="533"/>
        <v/>
      </c>
      <c r="M728" s="21" t="str">
        <f>IF(SUMIFS('Input Sheet'!$F$3:$F$1001,'Input Sheet'!$B$3:$B$1001,$H728,'Input Sheet'!$E$3:$E$1001,M$4)=0,"",SUMIFS('Input Sheet'!$F$3:$F$1001,'Input Sheet'!$B$3:$B$1001,$H728,'Input Sheet'!$E$3:$E$1001,M$4))</f>
        <v/>
      </c>
      <c r="N728" s="21" t="str">
        <f>IF(SUMIFS('Input Sheet'!$F$3:$F$1001,'Input Sheet'!$B$3:$B$1001,$H728,'Input Sheet'!$E$3:$E$1001,N$4)=0,"",SUMIFS('Input Sheet'!$F$3:$F$1001,'Input Sheet'!$B$3:$B$1001,$H728,'Input Sheet'!$E$3:$E$1001,N$4))</f>
        <v/>
      </c>
      <c r="O728" s="21" t="str">
        <f>IF(SUMIFS('Input Sheet'!$F$3:$F$1001,'Input Sheet'!$B$3:$B$1001,$H728,'Input Sheet'!$E$3:$E$1001,O$4)=0,"",SUMIFS('Input Sheet'!$F$3:$F$1001,'Input Sheet'!$B$3:$B$1001,$H728,'Input Sheet'!$E$3:$E$1001,O$4))</f>
        <v/>
      </c>
      <c r="P728" s="21" t="str">
        <f>IF(SUMIFS('Input Sheet'!$F$3:$F$1001,'Input Sheet'!$B$3:$B$1001,$H728,'Input Sheet'!$E$3:$E$1001,P$4)=0,"",SUMIFS('Input Sheet'!$F$3:$F$1001,'Input Sheet'!$B$3:$B$1001,$H728,'Input Sheet'!$E$3:$E$1001,P$4))</f>
        <v/>
      </c>
      <c r="Q728" s="21" t="str">
        <f>IF(SUMIFS('Input Sheet'!$F$3:$F$1001,'Input Sheet'!$B$3:$B$1001,$H728,'Input Sheet'!$E$3:$E$1001,Q$4)=0,"",SUMIFS('Input Sheet'!$F$3:$F$1001,'Input Sheet'!$B$3:$B$1001,$H728,'Input Sheet'!$E$3:$E$1001,Q$4))</f>
        <v/>
      </c>
      <c r="R728" s="21" t="str">
        <f>IF(SUMIFS('Input Sheet'!$F$3:$F$1001,'Input Sheet'!$B$3:$B$1001,$H728,'Input Sheet'!$E$3:$E$1001,R$4)=0,"",SUMIFS('Input Sheet'!$F$3:$F$1001,'Input Sheet'!$B$3:$B$1001,$H728,'Input Sheet'!$E$3:$E$1001,R$4))</f>
        <v/>
      </c>
      <c r="S728" s="21" t="str">
        <f>IF(SUMIFS('Input Sheet'!$F$3:$F$1001,'Input Sheet'!$B$3:$B$1001,$H728,'Input Sheet'!$E$3:$E$1001,S$4)=0,"",SUMIFS('Input Sheet'!$F$3:$F$1001,'Input Sheet'!$B$3:$B$1001,$H728,'Input Sheet'!$E$3:$E$1001,S$4))</f>
        <v/>
      </c>
      <c r="T728" s="22">
        <v>723</v>
      </c>
    </row>
    <row r="729" spans="1:20" ht="14.25" customHeight="1" x14ac:dyDescent="0.3">
      <c r="A729" s="4" t="str">
        <f>IF('Input Sheet'!B726=0,"",'Input Sheet'!B726)</f>
        <v/>
      </c>
      <c r="B729" s="24" t="b">
        <f t="shared" si="526"/>
        <v>0</v>
      </c>
      <c r="C729" s="4">
        <f>SUMIF('Input Sheet'!B$3:B$1000,A729,'Input Sheet'!C$3:C$1000)</f>
        <v>0</v>
      </c>
      <c r="D729" s="4">
        <f>SUMIF('Input Sheet'!B$3:B$1000,A729,'Input Sheet'!D$3:D$1000)</f>
        <v>0</v>
      </c>
      <c r="E729" s="4" t="str">
        <f t="shared" ref="E729:F729" ca="1" si="746">IFERROR(RANK(K729,K$6:K$1004,1),"")</f>
        <v/>
      </c>
      <c r="F729" s="4" t="str">
        <f t="shared" ca="1" si="746"/>
        <v/>
      </c>
      <c r="G729" s="4" t="str">
        <f t="shared" ca="1" si="528"/>
        <v/>
      </c>
      <c r="H729" s="4" t="str">
        <f t="shared" si="529"/>
        <v/>
      </c>
      <c r="I729" s="4" t="str">
        <f t="shared" si="530"/>
        <v/>
      </c>
      <c r="J729" s="4" t="str">
        <f t="shared" si="531"/>
        <v/>
      </c>
      <c r="K729" s="25" t="str">
        <f t="shared" ca="1" si="532"/>
        <v/>
      </c>
      <c r="L729" s="21" t="str">
        <f t="shared" ca="1" si="533"/>
        <v/>
      </c>
      <c r="M729" s="21" t="str">
        <f>IF(SUMIFS('Input Sheet'!$F$3:$F$1001,'Input Sheet'!$B$3:$B$1001,$H729,'Input Sheet'!$E$3:$E$1001,M$4)=0,"",SUMIFS('Input Sheet'!$F$3:$F$1001,'Input Sheet'!$B$3:$B$1001,$H729,'Input Sheet'!$E$3:$E$1001,M$4))</f>
        <v/>
      </c>
      <c r="N729" s="21" t="str">
        <f>IF(SUMIFS('Input Sheet'!$F$3:$F$1001,'Input Sheet'!$B$3:$B$1001,$H729,'Input Sheet'!$E$3:$E$1001,N$4)=0,"",SUMIFS('Input Sheet'!$F$3:$F$1001,'Input Sheet'!$B$3:$B$1001,$H729,'Input Sheet'!$E$3:$E$1001,N$4))</f>
        <v/>
      </c>
      <c r="O729" s="21" t="str">
        <f>IF(SUMIFS('Input Sheet'!$F$3:$F$1001,'Input Sheet'!$B$3:$B$1001,$H729,'Input Sheet'!$E$3:$E$1001,O$4)=0,"",SUMIFS('Input Sheet'!$F$3:$F$1001,'Input Sheet'!$B$3:$B$1001,$H729,'Input Sheet'!$E$3:$E$1001,O$4))</f>
        <v/>
      </c>
      <c r="P729" s="21" t="str">
        <f>IF(SUMIFS('Input Sheet'!$F$3:$F$1001,'Input Sheet'!$B$3:$B$1001,$H729,'Input Sheet'!$E$3:$E$1001,P$4)=0,"",SUMIFS('Input Sheet'!$F$3:$F$1001,'Input Sheet'!$B$3:$B$1001,$H729,'Input Sheet'!$E$3:$E$1001,P$4))</f>
        <v/>
      </c>
      <c r="Q729" s="21" t="str">
        <f>IF(SUMIFS('Input Sheet'!$F$3:$F$1001,'Input Sheet'!$B$3:$B$1001,$H729,'Input Sheet'!$E$3:$E$1001,Q$4)=0,"",SUMIFS('Input Sheet'!$F$3:$F$1001,'Input Sheet'!$B$3:$B$1001,$H729,'Input Sheet'!$E$3:$E$1001,Q$4))</f>
        <v/>
      </c>
      <c r="R729" s="21" t="str">
        <f>IF(SUMIFS('Input Sheet'!$F$3:$F$1001,'Input Sheet'!$B$3:$B$1001,$H729,'Input Sheet'!$E$3:$E$1001,R$4)=0,"",SUMIFS('Input Sheet'!$F$3:$F$1001,'Input Sheet'!$B$3:$B$1001,$H729,'Input Sheet'!$E$3:$E$1001,R$4))</f>
        <v/>
      </c>
      <c r="S729" s="21" t="str">
        <f>IF(SUMIFS('Input Sheet'!$F$3:$F$1001,'Input Sheet'!$B$3:$B$1001,$H729,'Input Sheet'!$E$3:$E$1001,S$4)=0,"",SUMIFS('Input Sheet'!$F$3:$F$1001,'Input Sheet'!$B$3:$B$1001,$H729,'Input Sheet'!$E$3:$E$1001,S$4))</f>
        <v/>
      </c>
      <c r="T729" s="22">
        <v>724</v>
      </c>
    </row>
    <row r="730" spans="1:20" ht="14.25" customHeight="1" x14ac:dyDescent="0.3">
      <c r="A730" s="4" t="str">
        <f>IF('Input Sheet'!B727=0,"",'Input Sheet'!B727)</f>
        <v/>
      </c>
      <c r="B730" s="24" t="b">
        <f t="shared" si="526"/>
        <v>0</v>
      </c>
      <c r="C730" s="4">
        <f>SUMIF('Input Sheet'!B$3:B$1000,A730,'Input Sheet'!C$3:C$1000)</f>
        <v>0</v>
      </c>
      <c r="D730" s="4">
        <f>SUMIF('Input Sheet'!B$3:B$1000,A730,'Input Sheet'!D$3:D$1000)</f>
        <v>0</v>
      </c>
      <c r="E730" s="4" t="str">
        <f t="shared" ref="E730:F730" ca="1" si="747">IFERROR(RANK(K730,K$6:K$1004,1),"")</f>
        <v/>
      </c>
      <c r="F730" s="4" t="str">
        <f t="shared" ca="1" si="747"/>
        <v/>
      </c>
      <c r="G730" s="4" t="str">
        <f t="shared" ca="1" si="528"/>
        <v/>
      </c>
      <c r="H730" s="4" t="str">
        <f t="shared" si="529"/>
        <v/>
      </c>
      <c r="I730" s="4" t="str">
        <f t="shared" si="530"/>
        <v/>
      </c>
      <c r="J730" s="4" t="str">
        <f t="shared" si="531"/>
        <v/>
      </c>
      <c r="K730" s="25" t="str">
        <f t="shared" ca="1" si="532"/>
        <v/>
      </c>
      <c r="L730" s="21" t="str">
        <f t="shared" ca="1" si="533"/>
        <v/>
      </c>
      <c r="M730" s="21" t="str">
        <f>IF(SUMIFS('Input Sheet'!$F$3:$F$1001,'Input Sheet'!$B$3:$B$1001,$H730,'Input Sheet'!$E$3:$E$1001,M$4)=0,"",SUMIFS('Input Sheet'!$F$3:$F$1001,'Input Sheet'!$B$3:$B$1001,$H730,'Input Sheet'!$E$3:$E$1001,M$4))</f>
        <v/>
      </c>
      <c r="N730" s="21" t="str">
        <f>IF(SUMIFS('Input Sheet'!$F$3:$F$1001,'Input Sheet'!$B$3:$B$1001,$H730,'Input Sheet'!$E$3:$E$1001,N$4)=0,"",SUMIFS('Input Sheet'!$F$3:$F$1001,'Input Sheet'!$B$3:$B$1001,$H730,'Input Sheet'!$E$3:$E$1001,N$4))</f>
        <v/>
      </c>
      <c r="O730" s="21" t="str">
        <f>IF(SUMIFS('Input Sheet'!$F$3:$F$1001,'Input Sheet'!$B$3:$B$1001,$H730,'Input Sheet'!$E$3:$E$1001,O$4)=0,"",SUMIFS('Input Sheet'!$F$3:$F$1001,'Input Sheet'!$B$3:$B$1001,$H730,'Input Sheet'!$E$3:$E$1001,O$4))</f>
        <v/>
      </c>
      <c r="P730" s="21" t="str">
        <f>IF(SUMIFS('Input Sheet'!$F$3:$F$1001,'Input Sheet'!$B$3:$B$1001,$H730,'Input Sheet'!$E$3:$E$1001,P$4)=0,"",SUMIFS('Input Sheet'!$F$3:$F$1001,'Input Sheet'!$B$3:$B$1001,$H730,'Input Sheet'!$E$3:$E$1001,P$4))</f>
        <v/>
      </c>
      <c r="Q730" s="21" t="str">
        <f>IF(SUMIFS('Input Sheet'!$F$3:$F$1001,'Input Sheet'!$B$3:$B$1001,$H730,'Input Sheet'!$E$3:$E$1001,Q$4)=0,"",SUMIFS('Input Sheet'!$F$3:$F$1001,'Input Sheet'!$B$3:$B$1001,$H730,'Input Sheet'!$E$3:$E$1001,Q$4))</f>
        <v/>
      </c>
      <c r="R730" s="21" t="str">
        <f>IF(SUMIFS('Input Sheet'!$F$3:$F$1001,'Input Sheet'!$B$3:$B$1001,$H730,'Input Sheet'!$E$3:$E$1001,R$4)=0,"",SUMIFS('Input Sheet'!$F$3:$F$1001,'Input Sheet'!$B$3:$B$1001,$H730,'Input Sheet'!$E$3:$E$1001,R$4))</f>
        <v/>
      </c>
      <c r="S730" s="21" t="str">
        <f>IF(SUMIFS('Input Sheet'!$F$3:$F$1001,'Input Sheet'!$B$3:$B$1001,$H730,'Input Sheet'!$E$3:$E$1001,S$4)=0,"",SUMIFS('Input Sheet'!$F$3:$F$1001,'Input Sheet'!$B$3:$B$1001,$H730,'Input Sheet'!$E$3:$E$1001,S$4))</f>
        <v/>
      </c>
      <c r="T730" s="22">
        <v>725</v>
      </c>
    </row>
    <row r="731" spans="1:20" ht="14.25" customHeight="1" x14ac:dyDescent="0.3">
      <c r="A731" s="4" t="str">
        <f>IF('Input Sheet'!B728=0,"",'Input Sheet'!B728)</f>
        <v/>
      </c>
      <c r="B731" s="24" t="b">
        <f t="shared" si="526"/>
        <v>0</v>
      </c>
      <c r="C731" s="4">
        <f>SUMIF('Input Sheet'!B$3:B$1000,A731,'Input Sheet'!C$3:C$1000)</f>
        <v>0</v>
      </c>
      <c r="D731" s="4">
        <f>SUMIF('Input Sheet'!B$3:B$1000,A731,'Input Sheet'!D$3:D$1000)</f>
        <v>0</v>
      </c>
      <c r="E731" s="4" t="str">
        <f t="shared" ref="E731:F731" ca="1" si="748">IFERROR(RANK(K731,K$6:K$1004,1),"")</f>
        <v/>
      </c>
      <c r="F731" s="4" t="str">
        <f t="shared" ca="1" si="748"/>
        <v/>
      </c>
      <c r="G731" s="4" t="str">
        <f t="shared" ca="1" si="528"/>
        <v/>
      </c>
      <c r="H731" s="4" t="str">
        <f t="shared" si="529"/>
        <v/>
      </c>
      <c r="I731" s="4" t="str">
        <f t="shared" si="530"/>
        <v/>
      </c>
      <c r="J731" s="4" t="str">
        <f t="shared" si="531"/>
        <v/>
      </c>
      <c r="K731" s="25" t="str">
        <f t="shared" ca="1" si="532"/>
        <v/>
      </c>
      <c r="L731" s="21" t="str">
        <f t="shared" ca="1" si="533"/>
        <v/>
      </c>
      <c r="M731" s="21" t="str">
        <f>IF(SUMIFS('Input Sheet'!$F$3:$F$1001,'Input Sheet'!$B$3:$B$1001,$H731,'Input Sheet'!$E$3:$E$1001,M$4)=0,"",SUMIFS('Input Sheet'!$F$3:$F$1001,'Input Sheet'!$B$3:$B$1001,$H731,'Input Sheet'!$E$3:$E$1001,M$4))</f>
        <v/>
      </c>
      <c r="N731" s="21" t="str">
        <f>IF(SUMIFS('Input Sheet'!$F$3:$F$1001,'Input Sheet'!$B$3:$B$1001,$H731,'Input Sheet'!$E$3:$E$1001,N$4)=0,"",SUMIFS('Input Sheet'!$F$3:$F$1001,'Input Sheet'!$B$3:$B$1001,$H731,'Input Sheet'!$E$3:$E$1001,N$4))</f>
        <v/>
      </c>
      <c r="O731" s="21" t="str">
        <f>IF(SUMIFS('Input Sheet'!$F$3:$F$1001,'Input Sheet'!$B$3:$B$1001,$H731,'Input Sheet'!$E$3:$E$1001,O$4)=0,"",SUMIFS('Input Sheet'!$F$3:$F$1001,'Input Sheet'!$B$3:$B$1001,$H731,'Input Sheet'!$E$3:$E$1001,O$4))</f>
        <v/>
      </c>
      <c r="P731" s="21" t="str">
        <f>IF(SUMIFS('Input Sheet'!$F$3:$F$1001,'Input Sheet'!$B$3:$B$1001,$H731,'Input Sheet'!$E$3:$E$1001,P$4)=0,"",SUMIFS('Input Sheet'!$F$3:$F$1001,'Input Sheet'!$B$3:$B$1001,$H731,'Input Sheet'!$E$3:$E$1001,P$4))</f>
        <v/>
      </c>
      <c r="Q731" s="21" t="str">
        <f>IF(SUMIFS('Input Sheet'!$F$3:$F$1001,'Input Sheet'!$B$3:$B$1001,$H731,'Input Sheet'!$E$3:$E$1001,Q$4)=0,"",SUMIFS('Input Sheet'!$F$3:$F$1001,'Input Sheet'!$B$3:$B$1001,$H731,'Input Sheet'!$E$3:$E$1001,Q$4))</f>
        <v/>
      </c>
      <c r="R731" s="21" t="str">
        <f>IF(SUMIFS('Input Sheet'!$F$3:$F$1001,'Input Sheet'!$B$3:$B$1001,$H731,'Input Sheet'!$E$3:$E$1001,R$4)=0,"",SUMIFS('Input Sheet'!$F$3:$F$1001,'Input Sheet'!$B$3:$B$1001,$H731,'Input Sheet'!$E$3:$E$1001,R$4))</f>
        <v/>
      </c>
      <c r="S731" s="21" t="str">
        <f>IF(SUMIFS('Input Sheet'!$F$3:$F$1001,'Input Sheet'!$B$3:$B$1001,$H731,'Input Sheet'!$E$3:$E$1001,S$4)=0,"",SUMIFS('Input Sheet'!$F$3:$F$1001,'Input Sheet'!$B$3:$B$1001,$H731,'Input Sheet'!$E$3:$E$1001,S$4))</f>
        <v/>
      </c>
      <c r="T731" s="22">
        <v>726</v>
      </c>
    </row>
    <row r="732" spans="1:20" ht="14.25" customHeight="1" x14ac:dyDescent="0.3">
      <c r="A732" s="4" t="str">
        <f>IF('Input Sheet'!B729=0,"",'Input Sheet'!B729)</f>
        <v/>
      </c>
      <c r="B732" s="24" t="b">
        <f t="shared" si="526"/>
        <v>0</v>
      </c>
      <c r="C732" s="4">
        <f>SUMIF('Input Sheet'!B$3:B$1000,A732,'Input Sheet'!C$3:C$1000)</f>
        <v>0</v>
      </c>
      <c r="D732" s="4">
        <f>SUMIF('Input Sheet'!B$3:B$1000,A732,'Input Sheet'!D$3:D$1000)</f>
        <v>0</v>
      </c>
      <c r="E732" s="4" t="str">
        <f t="shared" ref="E732:F732" ca="1" si="749">IFERROR(RANK(K732,K$6:K$1004,1),"")</f>
        <v/>
      </c>
      <c r="F732" s="4" t="str">
        <f t="shared" ca="1" si="749"/>
        <v/>
      </c>
      <c r="G732" s="4" t="str">
        <f t="shared" ca="1" si="528"/>
        <v/>
      </c>
      <c r="H732" s="4" t="str">
        <f t="shared" si="529"/>
        <v/>
      </c>
      <c r="I732" s="4" t="str">
        <f t="shared" si="530"/>
        <v/>
      </c>
      <c r="J732" s="4" t="str">
        <f t="shared" si="531"/>
        <v/>
      </c>
      <c r="K732" s="25" t="str">
        <f t="shared" ca="1" si="532"/>
        <v/>
      </c>
      <c r="L732" s="21" t="str">
        <f t="shared" ca="1" si="533"/>
        <v/>
      </c>
      <c r="M732" s="21" t="str">
        <f>IF(SUMIFS('Input Sheet'!$F$3:$F$1001,'Input Sheet'!$B$3:$B$1001,$H732,'Input Sheet'!$E$3:$E$1001,M$4)=0,"",SUMIFS('Input Sheet'!$F$3:$F$1001,'Input Sheet'!$B$3:$B$1001,$H732,'Input Sheet'!$E$3:$E$1001,M$4))</f>
        <v/>
      </c>
      <c r="N732" s="21" t="str">
        <f>IF(SUMIFS('Input Sheet'!$F$3:$F$1001,'Input Sheet'!$B$3:$B$1001,$H732,'Input Sheet'!$E$3:$E$1001,N$4)=0,"",SUMIFS('Input Sheet'!$F$3:$F$1001,'Input Sheet'!$B$3:$B$1001,$H732,'Input Sheet'!$E$3:$E$1001,N$4))</f>
        <v/>
      </c>
      <c r="O732" s="21" t="str">
        <f>IF(SUMIFS('Input Sheet'!$F$3:$F$1001,'Input Sheet'!$B$3:$B$1001,$H732,'Input Sheet'!$E$3:$E$1001,O$4)=0,"",SUMIFS('Input Sheet'!$F$3:$F$1001,'Input Sheet'!$B$3:$B$1001,$H732,'Input Sheet'!$E$3:$E$1001,O$4))</f>
        <v/>
      </c>
      <c r="P732" s="21" t="str">
        <f>IF(SUMIFS('Input Sheet'!$F$3:$F$1001,'Input Sheet'!$B$3:$B$1001,$H732,'Input Sheet'!$E$3:$E$1001,P$4)=0,"",SUMIFS('Input Sheet'!$F$3:$F$1001,'Input Sheet'!$B$3:$B$1001,$H732,'Input Sheet'!$E$3:$E$1001,P$4))</f>
        <v/>
      </c>
      <c r="Q732" s="21" t="str">
        <f>IF(SUMIFS('Input Sheet'!$F$3:$F$1001,'Input Sheet'!$B$3:$B$1001,$H732,'Input Sheet'!$E$3:$E$1001,Q$4)=0,"",SUMIFS('Input Sheet'!$F$3:$F$1001,'Input Sheet'!$B$3:$B$1001,$H732,'Input Sheet'!$E$3:$E$1001,Q$4))</f>
        <v/>
      </c>
      <c r="R732" s="21" t="str">
        <f>IF(SUMIFS('Input Sheet'!$F$3:$F$1001,'Input Sheet'!$B$3:$B$1001,$H732,'Input Sheet'!$E$3:$E$1001,R$4)=0,"",SUMIFS('Input Sheet'!$F$3:$F$1001,'Input Sheet'!$B$3:$B$1001,$H732,'Input Sheet'!$E$3:$E$1001,R$4))</f>
        <v/>
      </c>
      <c r="S732" s="21" t="str">
        <f>IF(SUMIFS('Input Sheet'!$F$3:$F$1001,'Input Sheet'!$B$3:$B$1001,$H732,'Input Sheet'!$E$3:$E$1001,S$4)=0,"",SUMIFS('Input Sheet'!$F$3:$F$1001,'Input Sheet'!$B$3:$B$1001,$H732,'Input Sheet'!$E$3:$E$1001,S$4))</f>
        <v/>
      </c>
      <c r="T732" s="22">
        <v>727</v>
      </c>
    </row>
    <row r="733" spans="1:20" ht="14.25" customHeight="1" x14ac:dyDescent="0.3">
      <c r="A733" s="4" t="str">
        <f>IF('Input Sheet'!B730=0,"",'Input Sheet'!B730)</f>
        <v/>
      </c>
      <c r="B733" s="24" t="b">
        <f t="shared" si="526"/>
        <v>0</v>
      </c>
      <c r="C733" s="4">
        <f>SUMIF('Input Sheet'!B$3:B$1000,A733,'Input Sheet'!C$3:C$1000)</f>
        <v>0</v>
      </c>
      <c r="D733" s="4">
        <f>SUMIF('Input Sheet'!B$3:B$1000,A733,'Input Sheet'!D$3:D$1000)</f>
        <v>0</v>
      </c>
      <c r="E733" s="4" t="str">
        <f t="shared" ref="E733:F733" ca="1" si="750">IFERROR(RANK(K733,K$6:K$1004,1),"")</f>
        <v/>
      </c>
      <c r="F733" s="4" t="str">
        <f t="shared" ca="1" si="750"/>
        <v/>
      </c>
      <c r="G733" s="4" t="str">
        <f t="shared" ca="1" si="528"/>
        <v/>
      </c>
      <c r="H733" s="4" t="str">
        <f t="shared" si="529"/>
        <v/>
      </c>
      <c r="I733" s="4" t="str">
        <f t="shared" si="530"/>
        <v/>
      </c>
      <c r="J733" s="4" t="str">
        <f t="shared" si="531"/>
        <v/>
      </c>
      <c r="K733" s="25" t="str">
        <f t="shared" ca="1" si="532"/>
        <v/>
      </c>
      <c r="L733" s="21" t="str">
        <f t="shared" ca="1" si="533"/>
        <v/>
      </c>
      <c r="M733" s="21" t="str">
        <f>IF(SUMIFS('Input Sheet'!$F$3:$F$1001,'Input Sheet'!$B$3:$B$1001,$H733,'Input Sheet'!$E$3:$E$1001,M$4)=0,"",SUMIFS('Input Sheet'!$F$3:$F$1001,'Input Sheet'!$B$3:$B$1001,$H733,'Input Sheet'!$E$3:$E$1001,M$4))</f>
        <v/>
      </c>
      <c r="N733" s="21" t="str">
        <f>IF(SUMIFS('Input Sheet'!$F$3:$F$1001,'Input Sheet'!$B$3:$B$1001,$H733,'Input Sheet'!$E$3:$E$1001,N$4)=0,"",SUMIFS('Input Sheet'!$F$3:$F$1001,'Input Sheet'!$B$3:$B$1001,$H733,'Input Sheet'!$E$3:$E$1001,N$4))</f>
        <v/>
      </c>
      <c r="O733" s="21" t="str">
        <f>IF(SUMIFS('Input Sheet'!$F$3:$F$1001,'Input Sheet'!$B$3:$B$1001,$H733,'Input Sheet'!$E$3:$E$1001,O$4)=0,"",SUMIFS('Input Sheet'!$F$3:$F$1001,'Input Sheet'!$B$3:$B$1001,$H733,'Input Sheet'!$E$3:$E$1001,O$4))</f>
        <v/>
      </c>
      <c r="P733" s="21" t="str">
        <f>IF(SUMIFS('Input Sheet'!$F$3:$F$1001,'Input Sheet'!$B$3:$B$1001,$H733,'Input Sheet'!$E$3:$E$1001,P$4)=0,"",SUMIFS('Input Sheet'!$F$3:$F$1001,'Input Sheet'!$B$3:$B$1001,$H733,'Input Sheet'!$E$3:$E$1001,P$4))</f>
        <v/>
      </c>
      <c r="Q733" s="21" t="str">
        <f>IF(SUMIFS('Input Sheet'!$F$3:$F$1001,'Input Sheet'!$B$3:$B$1001,$H733,'Input Sheet'!$E$3:$E$1001,Q$4)=0,"",SUMIFS('Input Sheet'!$F$3:$F$1001,'Input Sheet'!$B$3:$B$1001,$H733,'Input Sheet'!$E$3:$E$1001,Q$4))</f>
        <v/>
      </c>
      <c r="R733" s="21" t="str">
        <f>IF(SUMIFS('Input Sheet'!$F$3:$F$1001,'Input Sheet'!$B$3:$B$1001,$H733,'Input Sheet'!$E$3:$E$1001,R$4)=0,"",SUMIFS('Input Sheet'!$F$3:$F$1001,'Input Sheet'!$B$3:$B$1001,$H733,'Input Sheet'!$E$3:$E$1001,R$4))</f>
        <v/>
      </c>
      <c r="S733" s="21" t="str">
        <f>IF(SUMIFS('Input Sheet'!$F$3:$F$1001,'Input Sheet'!$B$3:$B$1001,$H733,'Input Sheet'!$E$3:$E$1001,S$4)=0,"",SUMIFS('Input Sheet'!$F$3:$F$1001,'Input Sheet'!$B$3:$B$1001,$H733,'Input Sheet'!$E$3:$E$1001,S$4))</f>
        <v/>
      </c>
      <c r="T733" s="22">
        <v>728</v>
      </c>
    </row>
    <row r="734" spans="1:20" ht="14.25" customHeight="1" x14ac:dyDescent="0.3">
      <c r="A734" s="4" t="str">
        <f>IF('Input Sheet'!B731=0,"",'Input Sheet'!B731)</f>
        <v/>
      </c>
      <c r="B734" s="24" t="b">
        <f t="shared" si="526"/>
        <v>0</v>
      </c>
      <c r="C734" s="4">
        <f>SUMIF('Input Sheet'!B$3:B$1000,A734,'Input Sheet'!C$3:C$1000)</f>
        <v>0</v>
      </c>
      <c r="D734" s="4">
        <f>SUMIF('Input Sheet'!B$3:B$1000,A734,'Input Sheet'!D$3:D$1000)</f>
        <v>0</v>
      </c>
      <c r="E734" s="4" t="str">
        <f t="shared" ref="E734:F734" ca="1" si="751">IFERROR(RANK(K734,K$6:K$1004,1),"")</f>
        <v/>
      </c>
      <c r="F734" s="4" t="str">
        <f t="shared" ca="1" si="751"/>
        <v/>
      </c>
      <c r="G734" s="4" t="str">
        <f t="shared" ca="1" si="528"/>
        <v/>
      </c>
      <c r="H734" s="4" t="str">
        <f t="shared" si="529"/>
        <v/>
      </c>
      <c r="I734" s="4" t="str">
        <f t="shared" si="530"/>
        <v/>
      </c>
      <c r="J734" s="4" t="str">
        <f t="shared" si="531"/>
        <v/>
      </c>
      <c r="K734" s="25" t="str">
        <f t="shared" ca="1" si="532"/>
        <v/>
      </c>
      <c r="L734" s="21" t="str">
        <f t="shared" ca="1" si="533"/>
        <v/>
      </c>
      <c r="M734" s="21" t="str">
        <f>IF(SUMIFS('Input Sheet'!$F$3:$F$1001,'Input Sheet'!$B$3:$B$1001,$H734,'Input Sheet'!$E$3:$E$1001,M$4)=0,"",SUMIFS('Input Sheet'!$F$3:$F$1001,'Input Sheet'!$B$3:$B$1001,$H734,'Input Sheet'!$E$3:$E$1001,M$4))</f>
        <v/>
      </c>
      <c r="N734" s="21" t="str">
        <f>IF(SUMIFS('Input Sheet'!$F$3:$F$1001,'Input Sheet'!$B$3:$B$1001,$H734,'Input Sheet'!$E$3:$E$1001,N$4)=0,"",SUMIFS('Input Sheet'!$F$3:$F$1001,'Input Sheet'!$B$3:$B$1001,$H734,'Input Sheet'!$E$3:$E$1001,N$4))</f>
        <v/>
      </c>
      <c r="O734" s="21" t="str">
        <f>IF(SUMIFS('Input Sheet'!$F$3:$F$1001,'Input Sheet'!$B$3:$B$1001,$H734,'Input Sheet'!$E$3:$E$1001,O$4)=0,"",SUMIFS('Input Sheet'!$F$3:$F$1001,'Input Sheet'!$B$3:$B$1001,$H734,'Input Sheet'!$E$3:$E$1001,O$4))</f>
        <v/>
      </c>
      <c r="P734" s="21" t="str">
        <f>IF(SUMIFS('Input Sheet'!$F$3:$F$1001,'Input Sheet'!$B$3:$B$1001,$H734,'Input Sheet'!$E$3:$E$1001,P$4)=0,"",SUMIFS('Input Sheet'!$F$3:$F$1001,'Input Sheet'!$B$3:$B$1001,$H734,'Input Sheet'!$E$3:$E$1001,P$4))</f>
        <v/>
      </c>
      <c r="Q734" s="21" t="str">
        <f>IF(SUMIFS('Input Sheet'!$F$3:$F$1001,'Input Sheet'!$B$3:$B$1001,$H734,'Input Sheet'!$E$3:$E$1001,Q$4)=0,"",SUMIFS('Input Sheet'!$F$3:$F$1001,'Input Sheet'!$B$3:$B$1001,$H734,'Input Sheet'!$E$3:$E$1001,Q$4))</f>
        <v/>
      </c>
      <c r="R734" s="21" t="str">
        <f>IF(SUMIFS('Input Sheet'!$F$3:$F$1001,'Input Sheet'!$B$3:$B$1001,$H734,'Input Sheet'!$E$3:$E$1001,R$4)=0,"",SUMIFS('Input Sheet'!$F$3:$F$1001,'Input Sheet'!$B$3:$B$1001,$H734,'Input Sheet'!$E$3:$E$1001,R$4))</f>
        <v/>
      </c>
      <c r="S734" s="21" t="str">
        <f>IF(SUMIFS('Input Sheet'!$F$3:$F$1001,'Input Sheet'!$B$3:$B$1001,$H734,'Input Sheet'!$E$3:$E$1001,S$4)=0,"",SUMIFS('Input Sheet'!$F$3:$F$1001,'Input Sheet'!$B$3:$B$1001,$H734,'Input Sheet'!$E$3:$E$1001,S$4))</f>
        <v/>
      </c>
      <c r="T734" s="22">
        <v>729</v>
      </c>
    </row>
    <row r="735" spans="1:20" ht="14.25" customHeight="1" x14ac:dyDescent="0.3">
      <c r="A735" s="4" t="str">
        <f>IF('Input Sheet'!B732=0,"",'Input Sheet'!B732)</f>
        <v/>
      </c>
      <c r="B735" s="24" t="b">
        <f t="shared" si="526"/>
        <v>0</v>
      </c>
      <c r="C735" s="4">
        <f>SUMIF('Input Sheet'!B$3:B$1000,A735,'Input Sheet'!C$3:C$1000)</f>
        <v>0</v>
      </c>
      <c r="D735" s="4">
        <f>SUMIF('Input Sheet'!B$3:B$1000,A735,'Input Sheet'!D$3:D$1000)</f>
        <v>0</v>
      </c>
      <c r="E735" s="4" t="str">
        <f t="shared" ref="E735:F735" ca="1" si="752">IFERROR(RANK(K735,K$6:K$1004,1),"")</f>
        <v/>
      </c>
      <c r="F735" s="4" t="str">
        <f t="shared" ca="1" si="752"/>
        <v/>
      </c>
      <c r="G735" s="4" t="str">
        <f t="shared" ca="1" si="528"/>
        <v/>
      </c>
      <c r="H735" s="4" t="str">
        <f t="shared" si="529"/>
        <v/>
      </c>
      <c r="I735" s="4" t="str">
        <f t="shared" si="530"/>
        <v/>
      </c>
      <c r="J735" s="4" t="str">
        <f t="shared" si="531"/>
        <v/>
      </c>
      <c r="K735" s="25" t="str">
        <f t="shared" ca="1" si="532"/>
        <v/>
      </c>
      <c r="L735" s="21" t="str">
        <f t="shared" ca="1" si="533"/>
        <v/>
      </c>
      <c r="M735" s="21" t="str">
        <f>IF(SUMIFS('Input Sheet'!$F$3:$F$1001,'Input Sheet'!$B$3:$B$1001,$H735,'Input Sheet'!$E$3:$E$1001,M$4)=0,"",SUMIFS('Input Sheet'!$F$3:$F$1001,'Input Sheet'!$B$3:$B$1001,$H735,'Input Sheet'!$E$3:$E$1001,M$4))</f>
        <v/>
      </c>
      <c r="N735" s="21" t="str">
        <f>IF(SUMIFS('Input Sheet'!$F$3:$F$1001,'Input Sheet'!$B$3:$B$1001,$H735,'Input Sheet'!$E$3:$E$1001,N$4)=0,"",SUMIFS('Input Sheet'!$F$3:$F$1001,'Input Sheet'!$B$3:$B$1001,$H735,'Input Sheet'!$E$3:$E$1001,N$4))</f>
        <v/>
      </c>
      <c r="O735" s="21" t="str">
        <f>IF(SUMIFS('Input Sheet'!$F$3:$F$1001,'Input Sheet'!$B$3:$B$1001,$H735,'Input Sheet'!$E$3:$E$1001,O$4)=0,"",SUMIFS('Input Sheet'!$F$3:$F$1001,'Input Sheet'!$B$3:$B$1001,$H735,'Input Sheet'!$E$3:$E$1001,O$4))</f>
        <v/>
      </c>
      <c r="P735" s="21" t="str">
        <f>IF(SUMIFS('Input Sheet'!$F$3:$F$1001,'Input Sheet'!$B$3:$B$1001,$H735,'Input Sheet'!$E$3:$E$1001,P$4)=0,"",SUMIFS('Input Sheet'!$F$3:$F$1001,'Input Sheet'!$B$3:$B$1001,$H735,'Input Sheet'!$E$3:$E$1001,P$4))</f>
        <v/>
      </c>
      <c r="Q735" s="21" t="str">
        <f>IF(SUMIFS('Input Sheet'!$F$3:$F$1001,'Input Sheet'!$B$3:$B$1001,$H735,'Input Sheet'!$E$3:$E$1001,Q$4)=0,"",SUMIFS('Input Sheet'!$F$3:$F$1001,'Input Sheet'!$B$3:$B$1001,$H735,'Input Sheet'!$E$3:$E$1001,Q$4))</f>
        <v/>
      </c>
      <c r="R735" s="21" t="str">
        <f>IF(SUMIFS('Input Sheet'!$F$3:$F$1001,'Input Sheet'!$B$3:$B$1001,$H735,'Input Sheet'!$E$3:$E$1001,R$4)=0,"",SUMIFS('Input Sheet'!$F$3:$F$1001,'Input Sheet'!$B$3:$B$1001,$H735,'Input Sheet'!$E$3:$E$1001,R$4))</f>
        <v/>
      </c>
      <c r="S735" s="21" t="str">
        <f>IF(SUMIFS('Input Sheet'!$F$3:$F$1001,'Input Sheet'!$B$3:$B$1001,$H735,'Input Sheet'!$E$3:$E$1001,S$4)=0,"",SUMIFS('Input Sheet'!$F$3:$F$1001,'Input Sheet'!$B$3:$B$1001,$H735,'Input Sheet'!$E$3:$E$1001,S$4))</f>
        <v/>
      </c>
      <c r="T735" s="22">
        <v>730</v>
      </c>
    </row>
    <row r="736" spans="1:20" ht="14.25" customHeight="1" x14ac:dyDescent="0.3">
      <c r="A736" s="4" t="str">
        <f>IF('Input Sheet'!B733=0,"",'Input Sheet'!B733)</f>
        <v/>
      </c>
      <c r="B736" s="24" t="b">
        <f t="shared" si="526"/>
        <v>0</v>
      </c>
      <c r="C736" s="4">
        <f>SUMIF('Input Sheet'!B$3:B$1000,A736,'Input Sheet'!C$3:C$1000)</f>
        <v>0</v>
      </c>
      <c r="D736" s="4">
        <f>SUMIF('Input Sheet'!B$3:B$1000,A736,'Input Sheet'!D$3:D$1000)</f>
        <v>0</v>
      </c>
      <c r="E736" s="4" t="str">
        <f t="shared" ref="E736:F736" ca="1" si="753">IFERROR(RANK(K736,K$6:K$1004,1),"")</f>
        <v/>
      </c>
      <c r="F736" s="4" t="str">
        <f t="shared" ca="1" si="753"/>
        <v/>
      </c>
      <c r="G736" s="4" t="str">
        <f t="shared" ca="1" si="528"/>
        <v/>
      </c>
      <c r="H736" s="4" t="str">
        <f t="shared" si="529"/>
        <v/>
      </c>
      <c r="I736" s="4" t="str">
        <f t="shared" si="530"/>
        <v/>
      </c>
      <c r="J736" s="4" t="str">
        <f t="shared" si="531"/>
        <v/>
      </c>
      <c r="K736" s="25" t="str">
        <f t="shared" ca="1" si="532"/>
        <v/>
      </c>
      <c r="L736" s="21" t="str">
        <f t="shared" ca="1" si="533"/>
        <v/>
      </c>
      <c r="M736" s="21" t="str">
        <f>IF(SUMIFS('Input Sheet'!$F$3:$F$1001,'Input Sheet'!$B$3:$B$1001,$H736,'Input Sheet'!$E$3:$E$1001,M$4)=0,"",SUMIFS('Input Sheet'!$F$3:$F$1001,'Input Sheet'!$B$3:$B$1001,$H736,'Input Sheet'!$E$3:$E$1001,M$4))</f>
        <v/>
      </c>
      <c r="N736" s="21" t="str">
        <f>IF(SUMIFS('Input Sheet'!$F$3:$F$1001,'Input Sheet'!$B$3:$B$1001,$H736,'Input Sheet'!$E$3:$E$1001,N$4)=0,"",SUMIFS('Input Sheet'!$F$3:$F$1001,'Input Sheet'!$B$3:$B$1001,$H736,'Input Sheet'!$E$3:$E$1001,N$4))</f>
        <v/>
      </c>
      <c r="O736" s="21" t="str">
        <f>IF(SUMIFS('Input Sheet'!$F$3:$F$1001,'Input Sheet'!$B$3:$B$1001,$H736,'Input Sheet'!$E$3:$E$1001,O$4)=0,"",SUMIFS('Input Sheet'!$F$3:$F$1001,'Input Sheet'!$B$3:$B$1001,$H736,'Input Sheet'!$E$3:$E$1001,O$4))</f>
        <v/>
      </c>
      <c r="P736" s="21" t="str">
        <f>IF(SUMIFS('Input Sheet'!$F$3:$F$1001,'Input Sheet'!$B$3:$B$1001,$H736,'Input Sheet'!$E$3:$E$1001,P$4)=0,"",SUMIFS('Input Sheet'!$F$3:$F$1001,'Input Sheet'!$B$3:$B$1001,$H736,'Input Sheet'!$E$3:$E$1001,P$4))</f>
        <v/>
      </c>
      <c r="Q736" s="21" t="str">
        <f>IF(SUMIFS('Input Sheet'!$F$3:$F$1001,'Input Sheet'!$B$3:$B$1001,$H736,'Input Sheet'!$E$3:$E$1001,Q$4)=0,"",SUMIFS('Input Sheet'!$F$3:$F$1001,'Input Sheet'!$B$3:$B$1001,$H736,'Input Sheet'!$E$3:$E$1001,Q$4))</f>
        <v/>
      </c>
      <c r="R736" s="21" t="str">
        <f>IF(SUMIFS('Input Sheet'!$F$3:$F$1001,'Input Sheet'!$B$3:$B$1001,$H736,'Input Sheet'!$E$3:$E$1001,R$4)=0,"",SUMIFS('Input Sheet'!$F$3:$F$1001,'Input Sheet'!$B$3:$B$1001,$H736,'Input Sheet'!$E$3:$E$1001,R$4))</f>
        <v/>
      </c>
      <c r="S736" s="21" t="str">
        <f>IF(SUMIFS('Input Sheet'!$F$3:$F$1001,'Input Sheet'!$B$3:$B$1001,$H736,'Input Sheet'!$E$3:$E$1001,S$4)=0,"",SUMIFS('Input Sheet'!$F$3:$F$1001,'Input Sheet'!$B$3:$B$1001,$H736,'Input Sheet'!$E$3:$E$1001,S$4))</f>
        <v/>
      </c>
      <c r="T736" s="22">
        <v>731</v>
      </c>
    </row>
    <row r="737" spans="1:20" ht="14.25" customHeight="1" x14ac:dyDescent="0.3">
      <c r="A737" s="4" t="str">
        <f>IF('Input Sheet'!B734=0,"",'Input Sheet'!B734)</f>
        <v/>
      </c>
      <c r="B737" s="24" t="b">
        <f t="shared" si="526"/>
        <v>0</v>
      </c>
      <c r="C737" s="4">
        <f>SUMIF('Input Sheet'!B$3:B$1000,A737,'Input Sheet'!C$3:C$1000)</f>
        <v>0</v>
      </c>
      <c r="D737" s="4">
        <f>SUMIF('Input Sheet'!B$3:B$1000,A737,'Input Sheet'!D$3:D$1000)</f>
        <v>0</v>
      </c>
      <c r="E737" s="4" t="str">
        <f t="shared" ref="E737:F737" ca="1" si="754">IFERROR(RANK(K737,K$6:K$1004,1),"")</f>
        <v/>
      </c>
      <c r="F737" s="4" t="str">
        <f t="shared" ca="1" si="754"/>
        <v/>
      </c>
      <c r="G737" s="4" t="str">
        <f t="shared" ca="1" si="528"/>
        <v/>
      </c>
      <c r="H737" s="4" t="str">
        <f t="shared" si="529"/>
        <v/>
      </c>
      <c r="I737" s="4" t="str">
        <f t="shared" si="530"/>
        <v/>
      </c>
      <c r="J737" s="4" t="str">
        <f t="shared" si="531"/>
        <v/>
      </c>
      <c r="K737" s="25" t="str">
        <f t="shared" ca="1" si="532"/>
        <v/>
      </c>
      <c r="L737" s="21" t="str">
        <f t="shared" ca="1" si="533"/>
        <v/>
      </c>
      <c r="M737" s="21" t="str">
        <f>IF(SUMIFS('Input Sheet'!$F$3:$F$1001,'Input Sheet'!$B$3:$B$1001,$H737,'Input Sheet'!$E$3:$E$1001,M$4)=0,"",SUMIFS('Input Sheet'!$F$3:$F$1001,'Input Sheet'!$B$3:$B$1001,$H737,'Input Sheet'!$E$3:$E$1001,M$4))</f>
        <v/>
      </c>
      <c r="N737" s="21" t="str">
        <f>IF(SUMIFS('Input Sheet'!$F$3:$F$1001,'Input Sheet'!$B$3:$B$1001,$H737,'Input Sheet'!$E$3:$E$1001,N$4)=0,"",SUMIFS('Input Sheet'!$F$3:$F$1001,'Input Sheet'!$B$3:$B$1001,$H737,'Input Sheet'!$E$3:$E$1001,N$4))</f>
        <v/>
      </c>
      <c r="O737" s="21" t="str">
        <f>IF(SUMIFS('Input Sheet'!$F$3:$F$1001,'Input Sheet'!$B$3:$B$1001,$H737,'Input Sheet'!$E$3:$E$1001,O$4)=0,"",SUMIFS('Input Sheet'!$F$3:$F$1001,'Input Sheet'!$B$3:$B$1001,$H737,'Input Sheet'!$E$3:$E$1001,O$4))</f>
        <v/>
      </c>
      <c r="P737" s="21" t="str">
        <f>IF(SUMIFS('Input Sheet'!$F$3:$F$1001,'Input Sheet'!$B$3:$B$1001,$H737,'Input Sheet'!$E$3:$E$1001,P$4)=0,"",SUMIFS('Input Sheet'!$F$3:$F$1001,'Input Sheet'!$B$3:$B$1001,$H737,'Input Sheet'!$E$3:$E$1001,P$4))</f>
        <v/>
      </c>
      <c r="Q737" s="21" t="str">
        <f>IF(SUMIFS('Input Sheet'!$F$3:$F$1001,'Input Sheet'!$B$3:$B$1001,$H737,'Input Sheet'!$E$3:$E$1001,Q$4)=0,"",SUMIFS('Input Sheet'!$F$3:$F$1001,'Input Sheet'!$B$3:$B$1001,$H737,'Input Sheet'!$E$3:$E$1001,Q$4))</f>
        <v/>
      </c>
      <c r="R737" s="21" t="str">
        <f>IF(SUMIFS('Input Sheet'!$F$3:$F$1001,'Input Sheet'!$B$3:$B$1001,$H737,'Input Sheet'!$E$3:$E$1001,R$4)=0,"",SUMIFS('Input Sheet'!$F$3:$F$1001,'Input Sheet'!$B$3:$B$1001,$H737,'Input Sheet'!$E$3:$E$1001,R$4))</f>
        <v/>
      </c>
      <c r="S737" s="21" t="str">
        <f>IF(SUMIFS('Input Sheet'!$F$3:$F$1001,'Input Sheet'!$B$3:$B$1001,$H737,'Input Sheet'!$E$3:$E$1001,S$4)=0,"",SUMIFS('Input Sheet'!$F$3:$F$1001,'Input Sheet'!$B$3:$B$1001,$H737,'Input Sheet'!$E$3:$E$1001,S$4))</f>
        <v/>
      </c>
      <c r="T737" s="22">
        <v>732</v>
      </c>
    </row>
    <row r="738" spans="1:20" ht="14.25" customHeight="1" x14ac:dyDescent="0.3">
      <c r="A738" s="4" t="str">
        <f>IF('Input Sheet'!B735=0,"",'Input Sheet'!B735)</f>
        <v/>
      </c>
      <c r="B738" s="24" t="b">
        <f t="shared" si="526"/>
        <v>0</v>
      </c>
      <c r="C738" s="4">
        <f>SUMIF('Input Sheet'!B$3:B$1000,A738,'Input Sheet'!C$3:C$1000)</f>
        <v>0</v>
      </c>
      <c r="D738" s="4">
        <f>SUMIF('Input Sheet'!B$3:B$1000,A738,'Input Sheet'!D$3:D$1000)</f>
        <v>0</v>
      </c>
      <c r="E738" s="4" t="str">
        <f t="shared" ref="E738:F738" ca="1" si="755">IFERROR(RANK(K738,K$6:K$1004,1),"")</f>
        <v/>
      </c>
      <c r="F738" s="4" t="str">
        <f t="shared" ca="1" si="755"/>
        <v/>
      </c>
      <c r="G738" s="4" t="str">
        <f t="shared" ca="1" si="528"/>
        <v/>
      </c>
      <c r="H738" s="4" t="str">
        <f t="shared" si="529"/>
        <v/>
      </c>
      <c r="I738" s="4" t="str">
        <f t="shared" si="530"/>
        <v/>
      </c>
      <c r="J738" s="4" t="str">
        <f t="shared" si="531"/>
        <v/>
      </c>
      <c r="K738" s="25" t="str">
        <f t="shared" ca="1" si="532"/>
        <v/>
      </c>
      <c r="L738" s="21" t="str">
        <f t="shared" ca="1" si="533"/>
        <v/>
      </c>
      <c r="M738" s="21" t="str">
        <f>IF(SUMIFS('Input Sheet'!$F$3:$F$1001,'Input Sheet'!$B$3:$B$1001,$H738,'Input Sheet'!$E$3:$E$1001,M$4)=0,"",SUMIFS('Input Sheet'!$F$3:$F$1001,'Input Sheet'!$B$3:$B$1001,$H738,'Input Sheet'!$E$3:$E$1001,M$4))</f>
        <v/>
      </c>
      <c r="N738" s="21" t="str">
        <f>IF(SUMIFS('Input Sheet'!$F$3:$F$1001,'Input Sheet'!$B$3:$B$1001,$H738,'Input Sheet'!$E$3:$E$1001,N$4)=0,"",SUMIFS('Input Sheet'!$F$3:$F$1001,'Input Sheet'!$B$3:$B$1001,$H738,'Input Sheet'!$E$3:$E$1001,N$4))</f>
        <v/>
      </c>
      <c r="O738" s="21" t="str">
        <f>IF(SUMIFS('Input Sheet'!$F$3:$F$1001,'Input Sheet'!$B$3:$B$1001,$H738,'Input Sheet'!$E$3:$E$1001,O$4)=0,"",SUMIFS('Input Sheet'!$F$3:$F$1001,'Input Sheet'!$B$3:$B$1001,$H738,'Input Sheet'!$E$3:$E$1001,O$4))</f>
        <v/>
      </c>
      <c r="P738" s="21" t="str">
        <f>IF(SUMIFS('Input Sheet'!$F$3:$F$1001,'Input Sheet'!$B$3:$B$1001,$H738,'Input Sheet'!$E$3:$E$1001,P$4)=0,"",SUMIFS('Input Sheet'!$F$3:$F$1001,'Input Sheet'!$B$3:$B$1001,$H738,'Input Sheet'!$E$3:$E$1001,P$4))</f>
        <v/>
      </c>
      <c r="Q738" s="21" t="str">
        <f>IF(SUMIFS('Input Sheet'!$F$3:$F$1001,'Input Sheet'!$B$3:$B$1001,$H738,'Input Sheet'!$E$3:$E$1001,Q$4)=0,"",SUMIFS('Input Sheet'!$F$3:$F$1001,'Input Sheet'!$B$3:$B$1001,$H738,'Input Sheet'!$E$3:$E$1001,Q$4))</f>
        <v/>
      </c>
      <c r="R738" s="21" t="str">
        <f>IF(SUMIFS('Input Sheet'!$F$3:$F$1001,'Input Sheet'!$B$3:$B$1001,$H738,'Input Sheet'!$E$3:$E$1001,R$4)=0,"",SUMIFS('Input Sheet'!$F$3:$F$1001,'Input Sheet'!$B$3:$B$1001,$H738,'Input Sheet'!$E$3:$E$1001,R$4))</f>
        <v/>
      </c>
      <c r="S738" s="21" t="str">
        <f>IF(SUMIFS('Input Sheet'!$F$3:$F$1001,'Input Sheet'!$B$3:$B$1001,$H738,'Input Sheet'!$E$3:$E$1001,S$4)=0,"",SUMIFS('Input Sheet'!$F$3:$F$1001,'Input Sheet'!$B$3:$B$1001,$H738,'Input Sheet'!$E$3:$E$1001,S$4))</f>
        <v/>
      </c>
      <c r="T738" s="22">
        <v>733</v>
      </c>
    </row>
    <row r="739" spans="1:20" ht="14.25" customHeight="1" x14ac:dyDescent="0.3">
      <c r="A739" s="4" t="str">
        <f>IF('Input Sheet'!B736=0,"",'Input Sheet'!B736)</f>
        <v/>
      </c>
      <c r="B739" s="24" t="b">
        <f t="shared" si="526"/>
        <v>0</v>
      </c>
      <c r="C739" s="4">
        <f>SUMIF('Input Sheet'!B$3:B$1000,A739,'Input Sheet'!C$3:C$1000)</f>
        <v>0</v>
      </c>
      <c r="D739" s="4">
        <f>SUMIF('Input Sheet'!B$3:B$1000,A739,'Input Sheet'!D$3:D$1000)</f>
        <v>0</v>
      </c>
      <c r="E739" s="4" t="str">
        <f t="shared" ref="E739:F739" ca="1" si="756">IFERROR(RANK(K739,K$6:K$1004,1),"")</f>
        <v/>
      </c>
      <c r="F739" s="4" t="str">
        <f t="shared" ca="1" si="756"/>
        <v/>
      </c>
      <c r="G739" s="4" t="str">
        <f t="shared" ca="1" si="528"/>
        <v/>
      </c>
      <c r="H739" s="4" t="str">
        <f t="shared" si="529"/>
        <v/>
      </c>
      <c r="I739" s="4" t="str">
        <f t="shared" si="530"/>
        <v/>
      </c>
      <c r="J739" s="4" t="str">
        <f t="shared" si="531"/>
        <v/>
      </c>
      <c r="K739" s="25" t="str">
        <f t="shared" ca="1" si="532"/>
        <v/>
      </c>
      <c r="L739" s="21" t="str">
        <f t="shared" ca="1" si="533"/>
        <v/>
      </c>
      <c r="M739" s="21" t="str">
        <f>IF(SUMIFS('Input Sheet'!$F$3:$F$1001,'Input Sheet'!$B$3:$B$1001,$H739,'Input Sheet'!$E$3:$E$1001,M$4)=0,"",SUMIFS('Input Sheet'!$F$3:$F$1001,'Input Sheet'!$B$3:$B$1001,$H739,'Input Sheet'!$E$3:$E$1001,M$4))</f>
        <v/>
      </c>
      <c r="N739" s="21" t="str">
        <f>IF(SUMIFS('Input Sheet'!$F$3:$F$1001,'Input Sheet'!$B$3:$B$1001,$H739,'Input Sheet'!$E$3:$E$1001,N$4)=0,"",SUMIFS('Input Sheet'!$F$3:$F$1001,'Input Sheet'!$B$3:$B$1001,$H739,'Input Sheet'!$E$3:$E$1001,N$4))</f>
        <v/>
      </c>
      <c r="O739" s="21" t="str">
        <f>IF(SUMIFS('Input Sheet'!$F$3:$F$1001,'Input Sheet'!$B$3:$B$1001,$H739,'Input Sheet'!$E$3:$E$1001,O$4)=0,"",SUMIFS('Input Sheet'!$F$3:$F$1001,'Input Sheet'!$B$3:$B$1001,$H739,'Input Sheet'!$E$3:$E$1001,O$4))</f>
        <v/>
      </c>
      <c r="P739" s="21" t="str">
        <f>IF(SUMIFS('Input Sheet'!$F$3:$F$1001,'Input Sheet'!$B$3:$B$1001,$H739,'Input Sheet'!$E$3:$E$1001,P$4)=0,"",SUMIFS('Input Sheet'!$F$3:$F$1001,'Input Sheet'!$B$3:$B$1001,$H739,'Input Sheet'!$E$3:$E$1001,P$4))</f>
        <v/>
      </c>
      <c r="Q739" s="21" t="str">
        <f>IF(SUMIFS('Input Sheet'!$F$3:$F$1001,'Input Sheet'!$B$3:$B$1001,$H739,'Input Sheet'!$E$3:$E$1001,Q$4)=0,"",SUMIFS('Input Sheet'!$F$3:$F$1001,'Input Sheet'!$B$3:$B$1001,$H739,'Input Sheet'!$E$3:$E$1001,Q$4))</f>
        <v/>
      </c>
      <c r="R739" s="21" t="str">
        <f>IF(SUMIFS('Input Sheet'!$F$3:$F$1001,'Input Sheet'!$B$3:$B$1001,$H739,'Input Sheet'!$E$3:$E$1001,R$4)=0,"",SUMIFS('Input Sheet'!$F$3:$F$1001,'Input Sheet'!$B$3:$B$1001,$H739,'Input Sheet'!$E$3:$E$1001,R$4))</f>
        <v/>
      </c>
      <c r="S739" s="21" t="str">
        <f>IF(SUMIFS('Input Sheet'!$F$3:$F$1001,'Input Sheet'!$B$3:$B$1001,$H739,'Input Sheet'!$E$3:$E$1001,S$4)=0,"",SUMIFS('Input Sheet'!$F$3:$F$1001,'Input Sheet'!$B$3:$B$1001,$H739,'Input Sheet'!$E$3:$E$1001,S$4))</f>
        <v/>
      </c>
      <c r="T739" s="22">
        <v>734</v>
      </c>
    </row>
    <row r="740" spans="1:20" ht="14.25" customHeight="1" x14ac:dyDescent="0.3">
      <c r="A740" s="4" t="str">
        <f>IF('Input Sheet'!B737=0,"",'Input Sheet'!B737)</f>
        <v/>
      </c>
      <c r="B740" s="24" t="b">
        <f t="shared" si="526"/>
        <v>0</v>
      </c>
      <c r="C740" s="4">
        <f>SUMIF('Input Sheet'!B$3:B$1000,A740,'Input Sheet'!C$3:C$1000)</f>
        <v>0</v>
      </c>
      <c r="D740" s="4">
        <f>SUMIF('Input Sheet'!B$3:B$1000,A740,'Input Sheet'!D$3:D$1000)</f>
        <v>0</v>
      </c>
      <c r="E740" s="4" t="str">
        <f t="shared" ref="E740:F740" ca="1" si="757">IFERROR(RANK(K740,K$6:K$1004,1),"")</f>
        <v/>
      </c>
      <c r="F740" s="4" t="str">
        <f t="shared" ca="1" si="757"/>
        <v/>
      </c>
      <c r="G740" s="4" t="str">
        <f t="shared" ca="1" si="528"/>
        <v/>
      </c>
      <c r="H740" s="4" t="str">
        <f t="shared" si="529"/>
        <v/>
      </c>
      <c r="I740" s="4" t="str">
        <f t="shared" si="530"/>
        <v/>
      </c>
      <c r="J740" s="4" t="str">
        <f t="shared" si="531"/>
        <v/>
      </c>
      <c r="K740" s="25" t="str">
        <f t="shared" ca="1" si="532"/>
        <v/>
      </c>
      <c r="L740" s="21" t="str">
        <f t="shared" ca="1" si="533"/>
        <v/>
      </c>
      <c r="M740" s="21" t="str">
        <f>IF(SUMIFS('Input Sheet'!$F$3:$F$1001,'Input Sheet'!$B$3:$B$1001,$H740,'Input Sheet'!$E$3:$E$1001,M$4)=0,"",SUMIFS('Input Sheet'!$F$3:$F$1001,'Input Sheet'!$B$3:$B$1001,$H740,'Input Sheet'!$E$3:$E$1001,M$4))</f>
        <v/>
      </c>
      <c r="N740" s="21" t="str">
        <f>IF(SUMIFS('Input Sheet'!$F$3:$F$1001,'Input Sheet'!$B$3:$B$1001,$H740,'Input Sheet'!$E$3:$E$1001,N$4)=0,"",SUMIFS('Input Sheet'!$F$3:$F$1001,'Input Sheet'!$B$3:$B$1001,$H740,'Input Sheet'!$E$3:$E$1001,N$4))</f>
        <v/>
      </c>
      <c r="O740" s="21" t="str">
        <f>IF(SUMIFS('Input Sheet'!$F$3:$F$1001,'Input Sheet'!$B$3:$B$1001,$H740,'Input Sheet'!$E$3:$E$1001,O$4)=0,"",SUMIFS('Input Sheet'!$F$3:$F$1001,'Input Sheet'!$B$3:$B$1001,$H740,'Input Sheet'!$E$3:$E$1001,O$4))</f>
        <v/>
      </c>
      <c r="P740" s="21" t="str">
        <f>IF(SUMIFS('Input Sheet'!$F$3:$F$1001,'Input Sheet'!$B$3:$B$1001,$H740,'Input Sheet'!$E$3:$E$1001,P$4)=0,"",SUMIFS('Input Sheet'!$F$3:$F$1001,'Input Sheet'!$B$3:$B$1001,$H740,'Input Sheet'!$E$3:$E$1001,P$4))</f>
        <v/>
      </c>
      <c r="Q740" s="21" t="str">
        <f>IF(SUMIFS('Input Sheet'!$F$3:$F$1001,'Input Sheet'!$B$3:$B$1001,$H740,'Input Sheet'!$E$3:$E$1001,Q$4)=0,"",SUMIFS('Input Sheet'!$F$3:$F$1001,'Input Sheet'!$B$3:$B$1001,$H740,'Input Sheet'!$E$3:$E$1001,Q$4))</f>
        <v/>
      </c>
      <c r="R740" s="21" t="str">
        <f>IF(SUMIFS('Input Sheet'!$F$3:$F$1001,'Input Sheet'!$B$3:$B$1001,$H740,'Input Sheet'!$E$3:$E$1001,R$4)=0,"",SUMIFS('Input Sheet'!$F$3:$F$1001,'Input Sheet'!$B$3:$B$1001,$H740,'Input Sheet'!$E$3:$E$1001,R$4))</f>
        <v/>
      </c>
      <c r="S740" s="21" t="str">
        <f>IF(SUMIFS('Input Sheet'!$F$3:$F$1001,'Input Sheet'!$B$3:$B$1001,$H740,'Input Sheet'!$E$3:$E$1001,S$4)=0,"",SUMIFS('Input Sheet'!$F$3:$F$1001,'Input Sheet'!$B$3:$B$1001,$H740,'Input Sheet'!$E$3:$E$1001,S$4))</f>
        <v/>
      </c>
      <c r="T740" s="22">
        <v>735</v>
      </c>
    </row>
    <row r="741" spans="1:20" ht="14.25" customHeight="1" x14ac:dyDescent="0.3">
      <c r="A741" s="4" t="str">
        <f>IF('Input Sheet'!B738=0,"",'Input Sheet'!B738)</f>
        <v/>
      </c>
      <c r="B741" s="24" t="b">
        <f t="shared" si="526"/>
        <v>0</v>
      </c>
      <c r="C741" s="4">
        <f>SUMIF('Input Sheet'!B$3:B$1000,A741,'Input Sheet'!C$3:C$1000)</f>
        <v>0</v>
      </c>
      <c r="D741" s="4">
        <f>SUMIF('Input Sheet'!B$3:B$1000,A741,'Input Sheet'!D$3:D$1000)</f>
        <v>0</v>
      </c>
      <c r="E741" s="4" t="str">
        <f t="shared" ref="E741:F741" ca="1" si="758">IFERROR(RANK(K741,K$6:K$1004,1),"")</f>
        <v/>
      </c>
      <c r="F741" s="4" t="str">
        <f t="shared" ca="1" si="758"/>
        <v/>
      </c>
      <c r="G741" s="4" t="str">
        <f t="shared" ca="1" si="528"/>
        <v/>
      </c>
      <c r="H741" s="4" t="str">
        <f t="shared" si="529"/>
        <v/>
      </c>
      <c r="I741" s="4" t="str">
        <f t="shared" si="530"/>
        <v/>
      </c>
      <c r="J741" s="4" t="str">
        <f t="shared" si="531"/>
        <v/>
      </c>
      <c r="K741" s="25" t="str">
        <f t="shared" ca="1" si="532"/>
        <v/>
      </c>
      <c r="L741" s="21" t="str">
        <f t="shared" ca="1" si="533"/>
        <v/>
      </c>
      <c r="M741" s="21" t="str">
        <f>IF(SUMIFS('Input Sheet'!$F$3:$F$1001,'Input Sheet'!$B$3:$B$1001,$H741,'Input Sheet'!$E$3:$E$1001,M$4)=0,"",SUMIFS('Input Sheet'!$F$3:$F$1001,'Input Sheet'!$B$3:$B$1001,$H741,'Input Sheet'!$E$3:$E$1001,M$4))</f>
        <v/>
      </c>
      <c r="N741" s="21" t="str">
        <f>IF(SUMIFS('Input Sheet'!$F$3:$F$1001,'Input Sheet'!$B$3:$B$1001,$H741,'Input Sheet'!$E$3:$E$1001,N$4)=0,"",SUMIFS('Input Sheet'!$F$3:$F$1001,'Input Sheet'!$B$3:$B$1001,$H741,'Input Sheet'!$E$3:$E$1001,N$4))</f>
        <v/>
      </c>
      <c r="O741" s="21" t="str">
        <f>IF(SUMIFS('Input Sheet'!$F$3:$F$1001,'Input Sheet'!$B$3:$B$1001,$H741,'Input Sheet'!$E$3:$E$1001,O$4)=0,"",SUMIFS('Input Sheet'!$F$3:$F$1001,'Input Sheet'!$B$3:$B$1001,$H741,'Input Sheet'!$E$3:$E$1001,O$4))</f>
        <v/>
      </c>
      <c r="P741" s="21" t="str">
        <f>IF(SUMIFS('Input Sheet'!$F$3:$F$1001,'Input Sheet'!$B$3:$B$1001,$H741,'Input Sheet'!$E$3:$E$1001,P$4)=0,"",SUMIFS('Input Sheet'!$F$3:$F$1001,'Input Sheet'!$B$3:$B$1001,$H741,'Input Sheet'!$E$3:$E$1001,P$4))</f>
        <v/>
      </c>
      <c r="Q741" s="21" t="str">
        <f>IF(SUMIFS('Input Sheet'!$F$3:$F$1001,'Input Sheet'!$B$3:$B$1001,$H741,'Input Sheet'!$E$3:$E$1001,Q$4)=0,"",SUMIFS('Input Sheet'!$F$3:$F$1001,'Input Sheet'!$B$3:$B$1001,$H741,'Input Sheet'!$E$3:$E$1001,Q$4))</f>
        <v/>
      </c>
      <c r="R741" s="21" t="str">
        <f>IF(SUMIFS('Input Sheet'!$F$3:$F$1001,'Input Sheet'!$B$3:$B$1001,$H741,'Input Sheet'!$E$3:$E$1001,R$4)=0,"",SUMIFS('Input Sheet'!$F$3:$F$1001,'Input Sheet'!$B$3:$B$1001,$H741,'Input Sheet'!$E$3:$E$1001,R$4))</f>
        <v/>
      </c>
      <c r="S741" s="21" t="str">
        <f>IF(SUMIFS('Input Sheet'!$F$3:$F$1001,'Input Sheet'!$B$3:$B$1001,$H741,'Input Sheet'!$E$3:$E$1001,S$4)=0,"",SUMIFS('Input Sheet'!$F$3:$F$1001,'Input Sheet'!$B$3:$B$1001,$H741,'Input Sheet'!$E$3:$E$1001,S$4))</f>
        <v/>
      </c>
      <c r="T741" s="22">
        <v>736</v>
      </c>
    </row>
    <row r="742" spans="1:20" ht="14.25" customHeight="1" x14ac:dyDescent="0.3">
      <c r="A742" s="4" t="str">
        <f>IF('Input Sheet'!B739=0,"",'Input Sheet'!B739)</f>
        <v/>
      </c>
      <c r="B742" s="24" t="b">
        <f t="shared" si="526"/>
        <v>0</v>
      </c>
      <c r="C742" s="4">
        <f>SUMIF('Input Sheet'!B$3:B$1000,A742,'Input Sheet'!C$3:C$1000)</f>
        <v>0</v>
      </c>
      <c r="D742" s="4">
        <f>SUMIF('Input Sheet'!B$3:B$1000,A742,'Input Sheet'!D$3:D$1000)</f>
        <v>0</v>
      </c>
      <c r="E742" s="4" t="str">
        <f t="shared" ref="E742:F742" ca="1" si="759">IFERROR(RANK(K742,K$6:K$1004,1),"")</f>
        <v/>
      </c>
      <c r="F742" s="4" t="str">
        <f t="shared" ca="1" si="759"/>
        <v/>
      </c>
      <c r="G742" s="4" t="str">
        <f t="shared" ca="1" si="528"/>
        <v/>
      </c>
      <c r="H742" s="4" t="str">
        <f t="shared" si="529"/>
        <v/>
      </c>
      <c r="I742" s="4" t="str">
        <f t="shared" si="530"/>
        <v/>
      </c>
      <c r="J742" s="4" t="str">
        <f t="shared" si="531"/>
        <v/>
      </c>
      <c r="K742" s="25" t="str">
        <f t="shared" ca="1" si="532"/>
        <v/>
      </c>
      <c r="L742" s="21" t="str">
        <f t="shared" ca="1" si="533"/>
        <v/>
      </c>
      <c r="M742" s="21" t="str">
        <f>IF(SUMIFS('Input Sheet'!$F$3:$F$1001,'Input Sheet'!$B$3:$B$1001,$H742,'Input Sheet'!$E$3:$E$1001,M$4)=0,"",SUMIFS('Input Sheet'!$F$3:$F$1001,'Input Sheet'!$B$3:$B$1001,$H742,'Input Sheet'!$E$3:$E$1001,M$4))</f>
        <v/>
      </c>
      <c r="N742" s="21" t="str">
        <f>IF(SUMIFS('Input Sheet'!$F$3:$F$1001,'Input Sheet'!$B$3:$B$1001,$H742,'Input Sheet'!$E$3:$E$1001,N$4)=0,"",SUMIFS('Input Sheet'!$F$3:$F$1001,'Input Sheet'!$B$3:$B$1001,$H742,'Input Sheet'!$E$3:$E$1001,N$4))</f>
        <v/>
      </c>
      <c r="O742" s="21" t="str">
        <f>IF(SUMIFS('Input Sheet'!$F$3:$F$1001,'Input Sheet'!$B$3:$B$1001,$H742,'Input Sheet'!$E$3:$E$1001,O$4)=0,"",SUMIFS('Input Sheet'!$F$3:$F$1001,'Input Sheet'!$B$3:$B$1001,$H742,'Input Sheet'!$E$3:$E$1001,O$4))</f>
        <v/>
      </c>
      <c r="P742" s="21" t="str">
        <f>IF(SUMIFS('Input Sheet'!$F$3:$F$1001,'Input Sheet'!$B$3:$B$1001,$H742,'Input Sheet'!$E$3:$E$1001,P$4)=0,"",SUMIFS('Input Sheet'!$F$3:$F$1001,'Input Sheet'!$B$3:$B$1001,$H742,'Input Sheet'!$E$3:$E$1001,P$4))</f>
        <v/>
      </c>
      <c r="Q742" s="21" t="str">
        <f>IF(SUMIFS('Input Sheet'!$F$3:$F$1001,'Input Sheet'!$B$3:$B$1001,$H742,'Input Sheet'!$E$3:$E$1001,Q$4)=0,"",SUMIFS('Input Sheet'!$F$3:$F$1001,'Input Sheet'!$B$3:$B$1001,$H742,'Input Sheet'!$E$3:$E$1001,Q$4))</f>
        <v/>
      </c>
      <c r="R742" s="21" t="str">
        <f>IF(SUMIFS('Input Sheet'!$F$3:$F$1001,'Input Sheet'!$B$3:$B$1001,$H742,'Input Sheet'!$E$3:$E$1001,R$4)=0,"",SUMIFS('Input Sheet'!$F$3:$F$1001,'Input Sheet'!$B$3:$B$1001,$H742,'Input Sheet'!$E$3:$E$1001,R$4))</f>
        <v/>
      </c>
      <c r="S742" s="21" t="str">
        <f>IF(SUMIFS('Input Sheet'!$F$3:$F$1001,'Input Sheet'!$B$3:$B$1001,$H742,'Input Sheet'!$E$3:$E$1001,S$4)=0,"",SUMIFS('Input Sheet'!$F$3:$F$1001,'Input Sheet'!$B$3:$B$1001,$H742,'Input Sheet'!$E$3:$E$1001,S$4))</f>
        <v/>
      </c>
      <c r="T742" s="22">
        <v>737</v>
      </c>
    </row>
    <row r="743" spans="1:20" ht="14.25" customHeight="1" x14ac:dyDescent="0.3">
      <c r="A743" s="4" t="str">
        <f>IF('Input Sheet'!B740=0,"",'Input Sheet'!B740)</f>
        <v/>
      </c>
      <c r="B743" s="24" t="b">
        <f t="shared" si="526"/>
        <v>0</v>
      </c>
      <c r="C743" s="4">
        <f>SUMIF('Input Sheet'!B$3:B$1000,A743,'Input Sheet'!C$3:C$1000)</f>
        <v>0</v>
      </c>
      <c r="D743" s="4">
        <f>SUMIF('Input Sheet'!B$3:B$1000,A743,'Input Sheet'!D$3:D$1000)</f>
        <v>0</v>
      </c>
      <c r="E743" s="4" t="str">
        <f t="shared" ref="E743:F743" ca="1" si="760">IFERROR(RANK(K743,K$6:K$1004,1),"")</f>
        <v/>
      </c>
      <c r="F743" s="4" t="str">
        <f t="shared" ca="1" si="760"/>
        <v/>
      </c>
      <c r="G743" s="4" t="str">
        <f t="shared" ca="1" si="528"/>
        <v/>
      </c>
      <c r="H743" s="4" t="str">
        <f t="shared" si="529"/>
        <v/>
      </c>
      <c r="I743" s="4" t="str">
        <f t="shared" si="530"/>
        <v/>
      </c>
      <c r="J743" s="4" t="str">
        <f t="shared" si="531"/>
        <v/>
      </c>
      <c r="K743" s="25" t="str">
        <f t="shared" ca="1" si="532"/>
        <v/>
      </c>
      <c r="L743" s="21" t="str">
        <f t="shared" ca="1" si="533"/>
        <v/>
      </c>
      <c r="M743" s="21" t="str">
        <f>IF(SUMIFS('Input Sheet'!$F$3:$F$1001,'Input Sheet'!$B$3:$B$1001,$H743,'Input Sheet'!$E$3:$E$1001,M$4)=0,"",SUMIFS('Input Sheet'!$F$3:$F$1001,'Input Sheet'!$B$3:$B$1001,$H743,'Input Sheet'!$E$3:$E$1001,M$4))</f>
        <v/>
      </c>
      <c r="N743" s="21" t="str">
        <f>IF(SUMIFS('Input Sheet'!$F$3:$F$1001,'Input Sheet'!$B$3:$B$1001,$H743,'Input Sheet'!$E$3:$E$1001,N$4)=0,"",SUMIFS('Input Sheet'!$F$3:$F$1001,'Input Sheet'!$B$3:$B$1001,$H743,'Input Sheet'!$E$3:$E$1001,N$4))</f>
        <v/>
      </c>
      <c r="O743" s="21" t="str">
        <f>IF(SUMIFS('Input Sheet'!$F$3:$F$1001,'Input Sheet'!$B$3:$B$1001,$H743,'Input Sheet'!$E$3:$E$1001,O$4)=0,"",SUMIFS('Input Sheet'!$F$3:$F$1001,'Input Sheet'!$B$3:$B$1001,$H743,'Input Sheet'!$E$3:$E$1001,O$4))</f>
        <v/>
      </c>
      <c r="P743" s="21" t="str">
        <f>IF(SUMIFS('Input Sheet'!$F$3:$F$1001,'Input Sheet'!$B$3:$B$1001,$H743,'Input Sheet'!$E$3:$E$1001,P$4)=0,"",SUMIFS('Input Sheet'!$F$3:$F$1001,'Input Sheet'!$B$3:$B$1001,$H743,'Input Sheet'!$E$3:$E$1001,P$4))</f>
        <v/>
      </c>
      <c r="Q743" s="21" t="str">
        <f>IF(SUMIFS('Input Sheet'!$F$3:$F$1001,'Input Sheet'!$B$3:$B$1001,$H743,'Input Sheet'!$E$3:$E$1001,Q$4)=0,"",SUMIFS('Input Sheet'!$F$3:$F$1001,'Input Sheet'!$B$3:$B$1001,$H743,'Input Sheet'!$E$3:$E$1001,Q$4))</f>
        <v/>
      </c>
      <c r="R743" s="21" t="str">
        <f>IF(SUMIFS('Input Sheet'!$F$3:$F$1001,'Input Sheet'!$B$3:$B$1001,$H743,'Input Sheet'!$E$3:$E$1001,R$4)=0,"",SUMIFS('Input Sheet'!$F$3:$F$1001,'Input Sheet'!$B$3:$B$1001,$H743,'Input Sheet'!$E$3:$E$1001,R$4))</f>
        <v/>
      </c>
      <c r="S743" s="21" t="str">
        <f>IF(SUMIFS('Input Sheet'!$F$3:$F$1001,'Input Sheet'!$B$3:$B$1001,$H743,'Input Sheet'!$E$3:$E$1001,S$4)=0,"",SUMIFS('Input Sheet'!$F$3:$F$1001,'Input Sheet'!$B$3:$B$1001,$H743,'Input Sheet'!$E$3:$E$1001,S$4))</f>
        <v/>
      </c>
      <c r="T743" s="22">
        <v>738</v>
      </c>
    </row>
    <row r="744" spans="1:20" ht="14.25" customHeight="1" x14ac:dyDescent="0.3">
      <c r="A744" s="4" t="str">
        <f>IF('Input Sheet'!B741=0,"",'Input Sheet'!B741)</f>
        <v/>
      </c>
      <c r="B744" s="24" t="b">
        <f t="shared" si="526"/>
        <v>0</v>
      </c>
      <c r="C744" s="4">
        <f>SUMIF('Input Sheet'!B$3:B$1000,A744,'Input Sheet'!C$3:C$1000)</f>
        <v>0</v>
      </c>
      <c r="D744" s="4">
        <f>SUMIF('Input Sheet'!B$3:B$1000,A744,'Input Sheet'!D$3:D$1000)</f>
        <v>0</v>
      </c>
      <c r="E744" s="4" t="str">
        <f t="shared" ref="E744:F744" ca="1" si="761">IFERROR(RANK(K744,K$6:K$1004,1),"")</f>
        <v/>
      </c>
      <c r="F744" s="4" t="str">
        <f t="shared" ca="1" si="761"/>
        <v/>
      </c>
      <c r="G744" s="4" t="str">
        <f t="shared" ca="1" si="528"/>
        <v/>
      </c>
      <c r="H744" s="4" t="str">
        <f t="shared" si="529"/>
        <v/>
      </c>
      <c r="I744" s="4" t="str">
        <f t="shared" si="530"/>
        <v/>
      </c>
      <c r="J744" s="4" t="str">
        <f t="shared" si="531"/>
        <v/>
      </c>
      <c r="K744" s="25" t="str">
        <f t="shared" ca="1" si="532"/>
        <v/>
      </c>
      <c r="L744" s="21" t="str">
        <f t="shared" ca="1" si="533"/>
        <v/>
      </c>
      <c r="M744" s="21" t="str">
        <f>IF(SUMIFS('Input Sheet'!$F$3:$F$1001,'Input Sheet'!$B$3:$B$1001,$H744,'Input Sheet'!$E$3:$E$1001,M$4)=0,"",SUMIFS('Input Sheet'!$F$3:$F$1001,'Input Sheet'!$B$3:$B$1001,$H744,'Input Sheet'!$E$3:$E$1001,M$4))</f>
        <v/>
      </c>
      <c r="N744" s="21" t="str">
        <f>IF(SUMIFS('Input Sheet'!$F$3:$F$1001,'Input Sheet'!$B$3:$B$1001,$H744,'Input Sheet'!$E$3:$E$1001,N$4)=0,"",SUMIFS('Input Sheet'!$F$3:$F$1001,'Input Sheet'!$B$3:$B$1001,$H744,'Input Sheet'!$E$3:$E$1001,N$4))</f>
        <v/>
      </c>
      <c r="O744" s="21" t="str">
        <f>IF(SUMIFS('Input Sheet'!$F$3:$F$1001,'Input Sheet'!$B$3:$B$1001,$H744,'Input Sheet'!$E$3:$E$1001,O$4)=0,"",SUMIFS('Input Sheet'!$F$3:$F$1001,'Input Sheet'!$B$3:$B$1001,$H744,'Input Sheet'!$E$3:$E$1001,O$4))</f>
        <v/>
      </c>
      <c r="P744" s="21" t="str">
        <f>IF(SUMIFS('Input Sheet'!$F$3:$F$1001,'Input Sheet'!$B$3:$B$1001,$H744,'Input Sheet'!$E$3:$E$1001,P$4)=0,"",SUMIFS('Input Sheet'!$F$3:$F$1001,'Input Sheet'!$B$3:$B$1001,$H744,'Input Sheet'!$E$3:$E$1001,P$4))</f>
        <v/>
      </c>
      <c r="Q744" s="21" t="str">
        <f>IF(SUMIFS('Input Sheet'!$F$3:$F$1001,'Input Sheet'!$B$3:$B$1001,$H744,'Input Sheet'!$E$3:$E$1001,Q$4)=0,"",SUMIFS('Input Sheet'!$F$3:$F$1001,'Input Sheet'!$B$3:$B$1001,$H744,'Input Sheet'!$E$3:$E$1001,Q$4))</f>
        <v/>
      </c>
      <c r="R744" s="21" t="str">
        <f>IF(SUMIFS('Input Sheet'!$F$3:$F$1001,'Input Sheet'!$B$3:$B$1001,$H744,'Input Sheet'!$E$3:$E$1001,R$4)=0,"",SUMIFS('Input Sheet'!$F$3:$F$1001,'Input Sheet'!$B$3:$B$1001,$H744,'Input Sheet'!$E$3:$E$1001,R$4))</f>
        <v/>
      </c>
      <c r="S744" s="21" t="str">
        <f>IF(SUMIFS('Input Sheet'!$F$3:$F$1001,'Input Sheet'!$B$3:$B$1001,$H744,'Input Sheet'!$E$3:$E$1001,S$4)=0,"",SUMIFS('Input Sheet'!$F$3:$F$1001,'Input Sheet'!$B$3:$B$1001,$H744,'Input Sheet'!$E$3:$E$1001,S$4))</f>
        <v/>
      </c>
      <c r="T744" s="22">
        <v>739</v>
      </c>
    </row>
    <row r="745" spans="1:20" ht="14.25" customHeight="1" x14ac:dyDescent="0.3">
      <c r="A745" s="4" t="str">
        <f>IF('Input Sheet'!B742=0,"",'Input Sheet'!B742)</f>
        <v/>
      </c>
      <c r="B745" s="24" t="b">
        <f t="shared" si="526"/>
        <v>0</v>
      </c>
      <c r="C745" s="4">
        <f>SUMIF('Input Sheet'!B$3:B$1000,A745,'Input Sheet'!C$3:C$1000)</f>
        <v>0</v>
      </c>
      <c r="D745" s="4">
        <f>SUMIF('Input Sheet'!B$3:B$1000,A745,'Input Sheet'!D$3:D$1000)</f>
        <v>0</v>
      </c>
      <c r="E745" s="4" t="str">
        <f t="shared" ref="E745:F745" ca="1" si="762">IFERROR(RANK(K745,K$6:K$1004,1),"")</f>
        <v/>
      </c>
      <c r="F745" s="4" t="str">
        <f t="shared" ca="1" si="762"/>
        <v/>
      </c>
      <c r="G745" s="4" t="str">
        <f t="shared" ca="1" si="528"/>
        <v/>
      </c>
      <c r="H745" s="4" t="str">
        <f t="shared" si="529"/>
        <v/>
      </c>
      <c r="I745" s="4" t="str">
        <f t="shared" si="530"/>
        <v/>
      </c>
      <c r="J745" s="4" t="str">
        <f t="shared" si="531"/>
        <v/>
      </c>
      <c r="K745" s="25" t="str">
        <f t="shared" ca="1" si="532"/>
        <v/>
      </c>
      <c r="L745" s="21" t="str">
        <f t="shared" ca="1" si="533"/>
        <v/>
      </c>
      <c r="M745" s="21" t="str">
        <f>IF(SUMIFS('Input Sheet'!$F$3:$F$1001,'Input Sheet'!$B$3:$B$1001,$H745,'Input Sheet'!$E$3:$E$1001,M$4)=0,"",SUMIFS('Input Sheet'!$F$3:$F$1001,'Input Sheet'!$B$3:$B$1001,$H745,'Input Sheet'!$E$3:$E$1001,M$4))</f>
        <v/>
      </c>
      <c r="N745" s="21" t="str">
        <f>IF(SUMIFS('Input Sheet'!$F$3:$F$1001,'Input Sheet'!$B$3:$B$1001,$H745,'Input Sheet'!$E$3:$E$1001,N$4)=0,"",SUMIFS('Input Sheet'!$F$3:$F$1001,'Input Sheet'!$B$3:$B$1001,$H745,'Input Sheet'!$E$3:$E$1001,N$4))</f>
        <v/>
      </c>
      <c r="O745" s="21" t="str">
        <f>IF(SUMIFS('Input Sheet'!$F$3:$F$1001,'Input Sheet'!$B$3:$B$1001,$H745,'Input Sheet'!$E$3:$E$1001,O$4)=0,"",SUMIFS('Input Sheet'!$F$3:$F$1001,'Input Sheet'!$B$3:$B$1001,$H745,'Input Sheet'!$E$3:$E$1001,O$4))</f>
        <v/>
      </c>
      <c r="P745" s="21" t="str">
        <f>IF(SUMIFS('Input Sheet'!$F$3:$F$1001,'Input Sheet'!$B$3:$B$1001,$H745,'Input Sheet'!$E$3:$E$1001,P$4)=0,"",SUMIFS('Input Sheet'!$F$3:$F$1001,'Input Sheet'!$B$3:$B$1001,$H745,'Input Sheet'!$E$3:$E$1001,P$4))</f>
        <v/>
      </c>
      <c r="Q745" s="21" t="str">
        <f>IF(SUMIFS('Input Sheet'!$F$3:$F$1001,'Input Sheet'!$B$3:$B$1001,$H745,'Input Sheet'!$E$3:$E$1001,Q$4)=0,"",SUMIFS('Input Sheet'!$F$3:$F$1001,'Input Sheet'!$B$3:$B$1001,$H745,'Input Sheet'!$E$3:$E$1001,Q$4))</f>
        <v/>
      </c>
      <c r="R745" s="21" t="str">
        <f>IF(SUMIFS('Input Sheet'!$F$3:$F$1001,'Input Sheet'!$B$3:$B$1001,$H745,'Input Sheet'!$E$3:$E$1001,R$4)=0,"",SUMIFS('Input Sheet'!$F$3:$F$1001,'Input Sheet'!$B$3:$B$1001,$H745,'Input Sheet'!$E$3:$E$1001,R$4))</f>
        <v/>
      </c>
      <c r="S745" s="21" t="str">
        <f>IF(SUMIFS('Input Sheet'!$F$3:$F$1001,'Input Sheet'!$B$3:$B$1001,$H745,'Input Sheet'!$E$3:$E$1001,S$4)=0,"",SUMIFS('Input Sheet'!$F$3:$F$1001,'Input Sheet'!$B$3:$B$1001,$H745,'Input Sheet'!$E$3:$E$1001,S$4))</f>
        <v/>
      </c>
      <c r="T745" s="22">
        <v>740</v>
      </c>
    </row>
    <row r="746" spans="1:20" ht="14.25" customHeight="1" x14ac:dyDescent="0.3">
      <c r="A746" s="4" t="str">
        <f>IF('Input Sheet'!B743=0,"",'Input Sheet'!B743)</f>
        <v/>
      </c>
      <c r="B746" s="24" t="b">
        <f t="shared" si="526"/>
        <v>0</v>
      </c>
      <c r="C746" s="4">
        <f>SUMIF('Input Sheet'!B$3:B$1000,A746,'Input Sheet'!C$3:C$1000)</f>
        <v>0</v>
      </c>
      <c r="D746" s="4">
        <f>SUMIF('Input Sheet'!B$3:B$1000,A746,'Input Sheet'!D$3:D$1000)</f>
        <v>0</v>
      </c>
      <c r="E746" s="4" t="str">
        <f t="shared" ref="E746:F746" ca="1" si="763">IFERROR(RANK(K746,K$6:K$1004,1),"")</f>
        <v/>
      </c>
      <c r="F746" s="4" t="str">
        <f t="shared" ca="1" si="763"/>
        <v/>
      </c>
      <c r="G746" s="4" t="str">
        <f t="shared" ca="1" si="528"/>
        <v/>
      </c>
      <c r="H746" s="4" t="str">
        <f t="shared" si="529"/>
        <v/>
      </c>
      <c r="I746" s="4" t="str">
        <f t="shared" si="530"/>
        <v/>
      </c>
      <c r="J746" s="4" t="str">
        <f t="shared" si="531"/>
        <v/>
      </c>
      <c r="K746" s="25" t="str">
        <f t="shared" ca="1" si="532"/>
        <v/>
      </c>
      <c r="L746" s="21" t="str">
        <f t="shared" ca="1" si="533"/>
        <v/>
      </c>
      <c r="M746" s="21" t="str">
        <f>IF(SUMIFS('Input Sheet'!$F$3:$F$1001,'Input Sheet'!$B$3:$B$1001,$H746,'Input Sheet'!$E$3:$E$1001,M$4)=0,"",SUMIFS('Input Sheet'!$F$3:$F$1001,'Input Sheet'!$B$3:$B$1001,$H746,'Input Sheet'!$E$3:$E$1001,M$4))</f>
        <v/>
      </c>
      <c r="N746" s="21" t="str">
        <f>IF(SUMIFS('Input Sheet'!$F$3:$F$1001,'Input Sheet'!$B$3:$B$1001,$H746,'Input Sheet'!$E$3:$E$1001,N$4)=0,"",SUMIFS('Input Sheet'!$F$3:$F$1001,'Input Sheet'!$B$3:$B$1001,$H746,'Input Sheet'!$E$3:$E$1001,N$4))</f>
        <v/>
      </c>
      <c r="O746" s="21" t="str">
        <f>IF(SUMIFS('Input Sheet'!$F$3:$F$1001,'Input Sheet'!$B$3:$B$1001,$H746,'Input Sheet'!$E$3:$E$1001,O$4)=0,"",SUMIFS('Input Sheet'!$F$3:$F$1001,'Input Sheet'!$B$3:$B$1001,$H746,'Input Sheet'!$E$3:$E$1001,O$4))</f>
        <v/>
      </c>
      <c r="P746" s="21" t="str">
        <f>IF(SUMIFS('Input Sheet'!$F$3:$F$1001,'Input Sheet'!$B$3:$B$1001,$H746,'Input Sheet'!$E$3:$E$1001,P$4)=0,"",SUMIFS('Input Sheet'!$F$3:$F$1001,'Input Sheet'!$B$3:$B$1001,$H746,'Input Sheet'!$E$3:$E$1001,P$4))</f>
        <v/>
      </c>
      <c r="Q746" s="21" t="str">
        <f>IF(SUMIFS('Input Sheet'!$F$3:$F$1001,'Input Sheet'!$B$3:$B$1001,$H746,'Input Sheet'!$E$3:$E$1001,Q$4)=0,"",SUMIFS('Input Sheet'!$F$3:$F$1001,'Input Sheet'!$B$3:$B$1001,$H746,'Input Sheet'!$E$3:$E$1001,Q$4))</f>
        <v/>
      </c>
      <c r="R746" s="21" t="str">
        <f>IF(SUMIFS('Input Sheet'!$F$3:$F$1001,'Input Sheet'!$B$3:$B$1001,$H746,'Input Sheet'!$E$3:$E$1001,R$4)=0,"",SUMIFS('Input Sheet'!$F$3:$F$1001,'Input Sheet'!$B$3:$B$1001,$H746,'Input Sheet'!$E$3:$E$1001,R$4))</f>
        <v/>
      </c>
      <c r="S746" s="21" t="str">
        <f>IF(SUMIFS('Input Sheet'!$F$3:$F$1001,'Input Sheet'!$B$3:$B$1001,$H746,'Input Sheet'!$E$3:$E$1001,S$4)=0,"",SUMIFS('Input Sheet'!$F$3:$F$1001,'Input Sheet'!$B$3:$B$1001,$H746,'Input Sheet'!$E$3:$E$1001,S$4))</f>
        <v/>
      </c>
      <c r="T746" s="22">
        <v>741</v>
      </c>
    </row>
    <row r="747" spans="1:20" ht="14.25" customHeight="1" x14ac:dyDescent="0.3">
      <c r="A747" s="4" t="str">
        <f>IF('Input Sheet'!B744=0,"",'Input Sheet'!B744)</f>
        <v/>
      </c>
      <c r="B747" s="24" t="b">
        <f t="shared" si="526"/>
        <v>0</v>
      </c>
      <c r="C747" s="4">
        <f>SUMIF('Input Sheet'!B$3:B$1000,A747,'Input Sheet'!C$3:C$1000)</f>
        <v>0</v>
      </c>
      <c r="D747" s="4">
        <f>SUMIF('Input Sheet'!B$3:B$1000,A747,'Input Sheet'!D$3:D$1000)</f>
        <v>0</v>
      </c>
      <c r="E747" s="4" t="str">
        <f t="shared" ref="E747:F747" ca="1" si="764">IFERROR(RANK(K747,K$6:K$1004,1),"")</f>
        <v/>
      </c>
      <c r="F747" s="4" t="str">
        <f t="shared" ca="1" si="764"/>
        <v/>
      </c>
      <c r="G747" s="4" t="str">
        <f t="shared" ca="1" si="528"/>
        <v/>
      </c>
      <c r="H747" s="4" t="str">
        <f t="shared" si="529"/>
        <v/>
      </c>
      <c r="I747" s="4" t="str">
        <f t="shared" si="530"/>
        <v/>
      </c>
      <c r="J747" s="4" t="str">
        <f t="shared" si="531"/>
        <v/>
      </c>
      <c r="K747" s="25" t="str">
        <f t="shared" ca="1" si="532"/>
        <v/>
      </c>
      <c r="L747" s="21" t="str">
        <f t="shared" ca="1" si="533"/>
        <v/>
      </c>
      <c r="M747" s="21" t="str">
        <f>IF(SUMIFS('Input Sheet'!$F$3:$F$1001,'Input Sheet'!$B$3:$B$1001,$H747,'Input Sheet'!$E$3:$E$1001,M$4)=0,"",SUMIFS('Input Sheet'!$F$3:$F$1001,'Input Sheet'!$B$3:$B$1001,$H747,'Input Sheet'!$E$3:$E$1001,M$4))</f>
        <v/>
      </c>
      <c r="N747" s="21" t="str">
        <f>IF(SUMIFS('Input Sheet'!$F$3:$F$1001,'Input Sheet'!$B$3:$B$1001,$H747,'Input Sheet'!$E$3:$E$1001,N$4)=0,"",SUMIFS('Input Sheet'!$F$3:$F$1001,'Input Sheet'!$B$3:$B$1001,$H747,'Input Sheet'!$E$3:$E$1001,N$4))</f>
        <v/>
      </c>
      <c r="O747" s="21" t="str">
        <f>IF(SUMIFS('Input Sheet'!$F$3:$F$1001,'Input Sheet'!$B$3:$B$1001,$H747,'Input Sheet'!$E$3:$E$1001,O$4)=0,"",SUMIFS('Input Sheet'!$F$3:$F$1001,'Input Sheet'!$B$3:$B$1001,$H747,'Input Sheet'!$E$3:$E$1001,O$4))</f>
        <v/>
      </c>
      <c r="P747" s="21" t="str">
        <f>IF(SUMIFS('Input Sheet'!$F$3:$F$1001,'Input Sheet'!$B$3:$B$1001,$H747,'Input Sheet'!$E$3:$E$1001,P$4)=0,"",SUMIFS('Input Sheet'!$F$3:$F$1001,'Input Sheet'!$B$3:$B$1001,$H747,'Input Sheet'!$E$3:$E$1001,P$4))</f>
        <v/>
      </c>
      <c r="Q747" s="21" t="str">
        <f>IF(SUMIFS('Input Sheet'!$F$3:$F$1001,'Input Sheet'!$B$3:$B$1001,$H747,'Input Sheet'!$E$3:$E$1001,Q$4)=0,"",SUMIFS('Input Sheet'!$F$3:$F$1001,'Input Sheet'!$B$3:$B$1001,$H747,'Input Sheet'!$E$3:$E$1001,Q$4))</f>
        <v/>
      </c>
      <c r="R747" s="21" t="str">
        <f>IF(SUMIFS('Input Sheet'!$F$3:$F$1001,'Input Sheet'!$B$3:$B$1001,$H747,'Input Sheet'!$E$3:$E$1001,R$4)=0,"",SUMIFS('Input Sheet'!$F$3:$F$1001,'Input Sheet'!$B$3:$B$1001,$H747,'Input Sheet'!$E$3:$E$1001,R$4))</f>
        <v/>
      </c>
      <c r="S747" s="21" t="str">
        <f>IF(SUMIFS('Input Sheet'!$F$3:$F$1001,'Input Sheet'!$B$3:$B$1001,$H747,'Input Sheet'!$E$3:$E$1001,S$4)=0,"",SUMIFS('Input Sheet'!$F$3:$F$1001,'Input Sheet'!$B$3:$B$1001,$H747,'Input Sheet'!$E$3:$E$1001,S$4))</f>
        <v/>
      </c>
      <c r="T747" s="22">
        <v>742</v>
      </c>
    </row>
    <row r="748" spans="1:20" ht="14.25" customHeight="1" x14ac:dyDescent="0.3">
      <c r="A748" s="4" t="str">
        <f>IF('Input Sheet'!B745=0,"",'Input Sheet'!B745)</f>
        <v/>
      </c>
      <c r="B748" s="24" t="b">
        <f t="shared" si="526"/>
        <v>0</v>
      </c>
      <c r="C748" s="4">
        <f>SUMIF('Input Sheet'!B$3:B$1000,A748,'Input Sheet'!C$3:C$1000)</f>
        <v>0</v>
      </c>
      <c r="D748" s="4">
        <f>SUMIF('Input Sheet'!B$3:B$1000,A748,'Input Sheet'!D$3:D$1000)</f>
        <v>0</v>
      </c>
      <c r="E748" s="4" t="str">
        <f t="shared" ref="E748:F748" ca="1" si="765">IFERROR(RANK(K748,K$6:K$1004,1),"")</f>
        <v/>
      </c>
      <c r="F748" s="4" t="str">
        <f t="shared" ca="1" si="765"/>
        <v/>
      </c>
      <c r="G748" s="4" t="str">
        <f t="shared" ca="1" si="528"/>
        <v/>
      </c>
      <c r="H748" s="4" t="str">
        <f t="shared" si="529"/>
        <v/>
      </c>
      <c r="I748" s="4" t="str">
        <f t="shared" si="530"/>
        <v/>
      </c>
      <c r="J748" s="4" t="str">
        <f t="shared" si="531"/>
        <v/>
      </c>
      <c r="K748" s="25" t="str">
        <f t="shared" ca="1" si="532"/>
        <v/>
      </c>
      <c r="L748" s="21" t="str">
        <f t="shared" ca="1" si="533"/>
        <v/>
      </c>
      <c r="M748" s="21" t="str">
        <f>IF(SUMIFS('Input Sheet'!$F$3:$F$1001,'Input Sheet'!$B$3:$B$1001,$H748,'Input Sheet'!$E$3:$E$1001,M$4)=0,"",SUMIFS('Input Sheet'!$F$3:$F$1001,'Input Sheet'!$B$3:$B$1001,$H748,'Input Sheet'!$E$3:$E$1001,M$4))</f>
        <v/>
      </c>
      <c r="N748" s="21" t="str">
        <f>IF(SUMIFS('Input Sheet'!$F$3:$F$1001,'Input Sheet'!$B$3:$B$1001,$H748,'Input Sheet'!$E$3:$E$1001,N$4)=0,"",SUMIFS('Input Sheet'!$F$3:$F$1001,'Input Sheet'!$B$3:$B$1001,$H748,'Input Sheet'!$E$3:$E$1001,N$4))</f>
        <v/>
      </c>
      <c r="O748" s="21" t="str">
        <f>IF(SUMIFS('Input Sheet'!$F$3:$F$1001,'Input Sheet'!$B$3:$B$1001,$H748,'Input Sheet'!$E$3:$E$1001,O$4)=0,"",SUMIFS('Input Sheet'!$F$3:$F$1001,'Input Sheet'!$B$3:$B$1001,$H748,'Input Sheet'!$E$3:$E$1001,O$4))</f>
        <v/>
      </c>
      <c r="P748" s="21" t="str">
        <f>IF(SUMIFS('Input Sheet'!$F$3:$F$1001,'Input Sheet'!$B$3:$B$1001,$H748,'Input Sheet'!$E$3:$E$1001,P$4)=0,"",SUMIFS('Input Sheet'!$F$3:$F$1001,'Input Sheet'!$B$3:$B$1001,$H748,'Input Sheet'!$E$3:$E$1001,P$4))</f>
        <v/>
      </c>
      <c r="Q748" s="21" t="str">
        <f>IF(SUMIFS('Input Sheet'!$F$3:$F$1001,'Input Sheet'!$B$3:$B$1001,$H748,'Input Sheet'!$E$3:$E$1001,Q$4)=0,"",SUMIFS('Input Sheet'!$F$3:$F$1001,'Input Sheet'!$B$3:$B$1001,$H748,'Input Sheet'!$E$3:$E$1001,Q$4))</f>
        <v/>
      </c>
      <c r="R748" s="21" t="str">
        <f>IF(SUMIFS('Input Sheet'!$F$3:$F$1001,'Input Sheet'!$B$3:$B$1001,$H748,'Input Sheet'!$E$3:$E$1001,R$4)=0,"",SUMIFS('Input Sheet'!$F$3:$F$1001,'Input Sheet'!$B$3:$B$1001,$H748,'Input Sheet'!$E$3:$E$1001,R$4))</f>
        <v/>
      </c>
      <c r="S748" s="21" t="str">
        <f>IF(SUMIFS('Input Sheet'!$F$3:$F$1001,'Input Sheet'!$B$3:$B$1001,$H748,'Input Sheet'!$E$3:$E$1001,S$4)=0,"",SUMIFS('Input Sheet'!$F$3:$F$1001,'Input Sheet'!$B$3:$B$1001,$H748,'Input Sheet'!$E$3:$E$1001,S$4))</f>
        <v/>
      </c>
      <c r="T748" s="22">
        <v>743</v>
      </c>
    </row>
    <row r="749" spans="1:20" ht="14.25" customHeight="1" x14ac:dyDescent="0.3">
      <c r="A749" s="4" t="str">
        <f>IF('Input Sheet'!B746=0,"",'Input Sheet'!B746)</f>
        <v/>
      </c>
      <c r="B749" s="24" t="b">
        <f t="shared" si="526"/>
        <v>0</v>
      </c>
      <c r="C749" s="4">
        <f>SUMIF('Input Sheet'!B$3:B$1000,A749,'Input Sheet'!C$3:C$1000)</f>
        <v>0</v>
      </c>
      <c r="D749" s="4">
        <f>SUMIF('Input Sheet'!B$3:B$1000,A749,'Input Sheet'!D$3:D$1000)</f>
        <v>0</v>
      </c>
      <c r="E749" s="4" t="str">
        <f t="shared" ref="E749:F749" ca="1" si="766">IFERROR(RANK(K749,K$6:K$1004,1),"")</f>
        <v/>
      </c>
      <c r="F749" s="4" t="str">
        <f t="shared" ca="1" si="766"/>
        <v/>
      </c>
      <c r="G749" s="4" t="str">
        <f t="shared" ca="1" si="528"/>
        <v/>
      </c>
      <c r="H749" s="4" t="str">
        <f t="shared" si="529"/>
        <v/>
      </c>
      <c r="I749" s="4" t="str">
        <f t="shared" si="530"/>
        <v/>
      </c>
      <c r="J749" s="4" t="str">
        <f t="shared" si="531"/>
        <v/>
      </c>
      <c r="K749" s="25" t="str">
        <f t="shared" ca="1" si="532"/>
        <v/>
      </c>
      <c r="L749" s="21" t="str">
        <f t="shared" ca="1" si="533"/>
        <v/>
      </c>
      <c r="M749" s="21" t="str">
        <f>IF(SUMIFS('Input Sheet'!$F$3:$F$1001,'Input Sheet'!$B$3:$B$1001,$H749,'Input Sheet'!$E$3:$E$1001,M$4)=0,"",SUMIFS('Input Sheet'!$F$3:$F$1001,'Input Sheet'!$B$3:$B$1001,$H749,'Input Sheet'!$E$3:$E$1001,M$4))</f>
        <v/>
      </c>
      <c r="N749" s="21" t="str">
        <f>IF(SUMIFS('Input Sheet'!$F$3:$F$1001,'Input Sheet'!$B$3:$B$1001,$H749,'Input Sheet'!$E$3:$E$1001,N$4)=0,"",SUMIFS('Input Sheet'!$F$3:$F$1001,'Input Sheet'!$B$3:$B$1001,$H749,'Input Sheet'!$E$3:$E$1001,N$4))</f>
        <v/>
      </c>
      <c r="O749" s="21" t="str">
        <f>IF(SUMIFS('Input Sheet'!$F$3:$F$1001,'Input Sheet'!$B$3:$B$1001,$H749,'Input Sheet'!$E$3:$E$1001,O$4)=0,"",SUMIFS('Input Sheet'!$F$3:$F$1001,'Input Sheet'!$B$3:$B$1001,$H749,'Input Sheet'!$E$3:$E$1001,O$4))</f>
        <v/>
      </c>
      <c r="P749" s="21" t="str">
        <f>IF(SUMIFS('Input Sheet'!$F$3:$F$1001,'Input Sheet'!$B$3:$B$1001,$H749,'Input Sheet'!$E$3:$E$1001,P$4)=0,"",SUMIFS('Input Sheet'!$F$3:$F$1001,'Input Sheet'!$B$3:$B$1001,$H749,'Input Sheet'!$E$3:$E$1001,P$4))</f>
        <v/>
      </c>
      <c r="Q749" s="21" t="str">
        <f>IF(SUMIFS('Input Sheet'!$F$3:$F$1001,'Input Sheet'!$B$3:$B$1001,$H749,'Input Sheet'!$E$3:$E$1001,Q$4)=0,"",SUMIFS('Input Sheet'!$F$3:$F$1001,'Input Sheet'!$B$3:$B$1001,$H749,'Input Sheet'!$E$3:$E$1001,Q$4))</f>
        <v/>
      </c>
      <c r="R749" s="21" t="str">
        <f>IF(SUMIFS('Input Sheet'!$F$3:$F$1001,'Input Sheet'!$B$3:$B$1001,$H749,'Input Sheet'!$E$3:$E$1001,R$4)=0,"",SUMIFS('Input Sheet'!$F$3:$F$1001,'Input Sheet'!$B$3:$B$1001,$H749,'Input Sheet'!$E$3:$E$1001,R$4))</f>
        <v/>
      </c>
      <c r="S749" s="21" t="str">
        <f>IF(SUMIFS('Input Sheet'!$F$3:$F$1001,'Input Sheet'!$B$3:$B$1001,$H749,'Input Sheet'!$E$3:$E$1001,S$4)=0,"",SUMIFS('Input Sheet'!$F$3:$F$1001,'Input Sheet'!$B$3:$B$1001,$H749,'Input Sheet'!$E$3:$E$1001,S$4))</f>
        <v/>
      </c>
      <c r="T749" s="22">
        <v>744</v>
      </c>
    </row>
    <row r="750" spans="1:20" ht="14.25" customHeight="1" x14ac:dyDescent="0.3">
      <c r="A750" s="4" t="str">
        <f>IF('Input Sheet'!B747=0,"",'Input Sheet'!B747)</f>
        <v/>
      </c>
      <c r="B750" s="24" t="b">
        <f t="shared" si="526"/>
        <v>0</v>
      </c>
      <c r="C750" s="4">
        <f>SUMIF('Input Sheet'!B$3:B$1000,A750,'Input Sheet'!C$3:C$1000)</f>
        <v>0</v>
      </c>
      <c r="D750" s="4">
        <f>SUMIF('Input Sheet'!B$3:B$1000,A750,'Input Sheet'!D$3:D$1000)</f>
        <v>0</v>
      </c>
      <c r="E750" s="4" t="str">
        <f t="shared" ref="E750:F750" ca="1" si="767">IFERROR(RANK(K750,K$6:K$1004,1),"")</f>
        <v/>
      </c>
      <c r="F750" s="4" t="str">
        <f t="shared" ca="1" si="767"/>
        <v/>
      </c>
      <c r="G750" s="4" t="str">
        <f t="shared" ca="1" si="528"/>
        <v/>
      </c>
      <c r="H750" s="4" t="str">
        <f t="shared" si="529"/>
        <v/>
      </c>
      <c r="I750" s="4" t="str">
        <f t="shared" si="530"/>
        <v/>
      </c>
      <c r="J750" s="4" t="str">
        <f t="shared" si="531"/>
        <v/>
      </c>
      <c r="K750" s="25" t="str">
        <f t="shared" ca="1" si="532"/>
        <v/>
      </c>
      <c r="L750" s="21" t="str">
        <f t="shared" ca="1" si="533"/>
        <v/>
      </c>
      <c r="M750" s="21" t="str">
        <f>IF(SUMIFS('Input Sheet'!$F$3:$F$1001,'Input Sheet'!$B$3:$B$1001,$H750,'Input Sheet'!$E$3:$E$1001,M$4)=0,"",SUMIFS('Input Sheet'!$F$3:$F$1001,'Input Sheet'!$B$3:$B$1001,$H750,'Input Sheet'!$E$3:$E$1001,M$4))</f>
        <v/>
      </c>
      <c r="N750" s="21" t="str">
        <f>IF(SUMIFS('Input Sheet'!$F$3:$F$1001,'Input Sheet'!$B$3:$B$1001,$H750,'Input Sheet'!$E$3:$E$1001,N$4)=0,"",SUMIFS('Input Sheet'!$F$3:$F$1001,'Input Sheet'!$B$3:$B$1001,$H750,'Input Sheet'!$E$3:$E$1001,N$4))</f>
        <v/>
      </c>
      <c r="O750" s="21" t="str">
        <f>IF(SUMIFS('Input Sheet'!$F$3:$F$1001,'Input Sheet'!$B$3:$B$1001,$H750,'Input Sheet'!$E$3:$E$1001,O$4)=0,"",SUMIFS('Input Sheet'!$F$3:$F$1001,'Input Sheet'!$B$3:$B$1001,$H750,'Input Sheet'!$E$3:$E$1001,O$4))</f>
        <v/>
      </c>
      <c r="P750" s="21" t="str">
        <f>IF(SUMIFS('Input Sheet'!$F$3:$F$1001,'Input Sheet'!$B$3:$B$1001,$H750,'Input Sheet'!$E$3:$E$1001,P$4)=0,"",SUMIFS('Input Sheet'!$F$3:$F$1001,'Input Sheet'!$B$3:$B$1001,$H750,'Input Sheet'!$E$3:$E$1001,P$4))</f>
        <v/>
      </c>
      <c r="Q750" s="21" t="str">
        <f>IF(SUMIFS('Input Sheet'!$F$3:$F$1001,'Input Sheet'!$B$3:$B$1001,$H750,'Input Sheet'!$E$3:$E$1001,Q$4)=0,"",SUMIFS('Input Sheet'!$F$3:$F$1001,'Input Sheet'!$B$3:$B$1001,$H750,'Input Sheet'!$E$3:$E$1001,Q$4))</f>
        <v/>
      </c>
      <c r="R750" s="21" t="str">
        <f>IF(SUMIFS('Input Sheet'!$F$3:$F$1001,'Input Sheet'!$B$3:$B$1001,$H750,'Input Sheet'!$E$3:$E$1001,R$4)=0,"",SUMIFS('Input Sheet'!$F$3:$F$1001,'Input Sheet'!$B$3:$B$1001,$H750,'Input Sheet'!$E$3:$E$1001,R$4))</f>
        <v/>
      </c>
      <c r="S750" s="21" t="str">
        <f>IF(SUMIFS('Input Sheet'!$F$3:$F$1001,'Input Sheet'!$B$3:$B$1001,$H750,'Input Sheet'!$E$3:$E$1001,S$4)=0,"",SUMIFS('Input Sheet'!$F$3:$F$1001,'Input Sheet'!$B$3:$B$1001,$H750,'Input Sheet'!$E$3:$E$1001,S$4))</f>
        <v/>
      </c>
      <c r="T750" s="22">
        <v>745</v>
      </c>
    </row>
    <row r="751" spans="1:20" ht="14.25" customHeight="1" x14ac:dyDescent="0.3">
      <c r="A751" s="4" t="str">
        <f>IF('Input Sheet'!B748=0,"",'Input Sheet'!B748)</f>
        <v/>
      </c>
      <c r="B751" s="24" t="b">
        <f t="shared" si="526"/>
        <v>0</v>
      </c>
      <c r="C751" s="4">
        <f>SUMIF('Input Sheet'!B$3:B$1000,A751,'Input Sheet'!C$3:C$1000)</f>
        <v>0</v>
      </c>
      <c r="D751" s="4">
        <f>SUMIF('Input Sheet'!B$3:B$1000,A751,'Input Sheet'!D$3:D$1000)</f>
        <v>0</v>
      </c>
      <c r="E751" s="4" t="str">
        <f t="shared" ref="E751:F751" ca="1" si="768">IFERROR(RANK(K751,K$6:K$1004,1),"")</f>
        <v/>
      </c>
      <c r="F751" s="4" t="str">
        <f t="shared" ca="1" si="768"/>
        <v/>
      </c>
      <c r="G751" s="4" t="str">
        <f t="shared" ca="1" si="528"/>
        <v/>
      </c>
      <c r="H751" s="4" t="str">
        <f t="shared" si="529"/>
        <v/>
      </c>
      <c r="I751" s="4" t="str">
        <f t="shared" si="530"/>
        <v/>
      </c>
      <c r="J751" s="4" t="str">
        <f t="shared" si="531"/>
        <v/>
      </c>
      <c r="K751" s="25" t="str">
        <f t="shared" ca="1" si="532"/>
        <v/>
      </c>
      <c r="L751" s="21" t="str">
        <f t="shared" ca="1" si="533"/>
        <v/>
      </c>
      <c r="M751" s="21" t="str">
        <f>IF(SUMIFS('Input Sheet'!$F$3:$F$1001,'Input Sheet'!$B$3:$B$1001,$H751,'Input Sheet'!$E$3:$E$1001,M$4)=0,"",SUMIFS('Input Sheet'!$F$3:$F$1001,'Input Sheet'!$B$3:$B$1001,$H751,'Input Sheet'!$E$3:$E$1001,M$4))</f>
        <v/>
      </c>
      <c r="N751" s="21" t="str">
        <f>IF(SUMIFS('Input Sheet'!$F$3:$F$1001,'Input Sheet'!$B$3:$B$1001,$H751,'Input Sheet'!$E$3:$E$1001,N$4)=0,"",SUMIFS('Input Sheet'!$F$3:$F$1001,'Input Sheet'!$B$3:$B$1001,$H751,'Input Sheet'!$E$3:$E$1001,N$4))</f>
        <v/>
      </c>
      <c r="O751" s="21" t="str">
        <f>IF(SUMIFS('Input Sheet'!$F$3:$F$1001,'Input Sheet'!$B$3:$B$1001,$H751,'Input Sheet'!$E$3:$E$1001,O$4)=0,"",SUMIFS('Input Sheet'!$F$3:$F$1001,'Input Sheet'!$B$3:$B$1001,$H751,'Input Sheet'!$E$3:$E$1001,O$4))</f>
        <v/>
      </c>
      <c r="P751" s="21" t="str">
        <f>IF(SUMIFS('Input Sheet'!$F$3:$F$1001,'Input Sheet'!$B$3:$B$1001,$H751,'Input Sheet'!$E$3:$E$1001,P$4)=0,"",SUMIFS('Input Sheet'!$F$3:$F$1001,'Input Sheet'!$B$3:$B$1001,$H751,'Input Sheet'!$E$3:$E$1001,P$4))</f>
        <v/>
      </c>
      <c r="Q751" s="21" t="str">
        <f>IF(SUMIFS('Input Sheet'!$F$3:$F$1001,'Input Sheet'!$B$3:$B$1001,$H751,'Input Sheet'!$E$3:$E$1001,Q$4)=0,"",SUMIFS('Input Sheet'!$F$3:$F$1001,'Input Sheet'!$B$3:$B$1001,$H751,'Input Sheet'!$E$3:$E$1001,Q$4))</f>
        <v/>
      </c>
      <c r="R751" s="21" t="str">
        <f>IF(SUMIFS('Input Sheet'!$F$3:$F$1001,'Input Sheet'!$B$3:$B$1001,$H751,'Input Sheet'!$E$3:$E$1001,R$4)=0,"",SUMIFS('Input Sheet'!$F$3:$F$1001,'Input Sheet'!$B$3:$B$1001,$H751,'Input Sheet'!$E$3:$E$1001,R$4))</f>
        <v/>
      </c>
      <c r="S751" s="21" t="str">
        <f>IF(SUMIFS('Input Sheet'!$F$3:$F$1001,'Input Sheet'!$B$3:$B$1001,$H751,'Input Sheet'!$E$3:$E$1001,S$4)=0,"",SUMIFS('Input Sheet'!$F$3:$F$1001,'Input Sheet'!$B$3:$B$1001,$H751,'Input Sheet'!$E$3:$E$1001,S$4))</f>
        <v/>
      </c>
      <c r="T751" s="22">
        <v>746</v>
      </c>
    </row>
    <row r="752" spans="1:20" ht="14.25" customHeight="1" x14ac:dyDescent="0.3">
      <c r="A752" s="4" t="str">
        <f>IF('Input Sheet'!B749=0,"",'Input Sheet'!B749)</f>
        <v/>
      </c>
      <c r="B752" s="24" t="b">
        <f t="shared" si="526"/>
        <v>0</v>
      </c>
      <c r="C752" s="4">
        <f>SUMIF('Input Sheet'!B$3:B$1000,A752,'Input Sheet'!C$3:C$1000)</f>
        <v>0</v>
      </c>
      <c r="D752" s="4">
        <f>SUMIF('Input Sheet'!B$3:B$1000,A752,'Input Sheet'!D$3:D$1000)</f>
        <v>0</v>
      </c>
      <c r="E752" s="4" t="str">
        <f t="shared" ref="E752:F752" ca="1" si="769">IFERROR(RANK(K752,K$6:K$1004,1),"")</f>
        <v/>
      </c>
      <c r="F752" s="4" t="str">
        <f t="shared" ca="1" si="769"/>
        <v/>
      </c>
      <c r="G752" s="4" t="str">
        <f t="shared" ca="1" si="528"/>
        <v/>
      </c>
      <c r="H752" s="4" t="str">
        <f t="shared" si="529"/>
        <v/>
      </c>
      <c r="I752" s="4" t="str">
        <f t="shared" si="530"/>
        <v/>
      </c>
      <c r="J752" s="4" t="str">
        <f t="shared" si="531"/>
        <v/>
      </c>
      <c r="K752" s="25" t="str">
        <f t="shared" ca="1" si="532"/>
        <v/>
      </c>
      <c r="L752" s="21" t="str">
        <f t="shared" ca="1" si="533"/>
        <v/>
      </c>
      <c r="M752" s="21" t="str">
        <f>IF(SUMIFS('Input Sheet'!$F$3:$F$1001,'Input Sheet'!$B$3:$B$1001,$H752,'Input Sheet'!$E$3:$E$1001,M$4)=0,"",SUMIFS('Input Sheet'!$F$3:$F$1001,'Input Sheet'!$B$3:$B$1001,$H752,'Input Sheet'!$E$3:$E$1001,M$4))</f>
        <v/>
      </c>
      <c r="N752" s="21" t="str">
        <f>IF(SUMIFS('Input Sheet'!$F$3:$F$1001,'Input Sheet'!$B$3:$B$1001,$H752,'Input Sheet'!$E$3:$E$1001,N$4)=0,"",SUMIFS('Input Sheet'!$F$3:$F$1001,'Input Sheet'!$B$3:$B$1001,$H752,'Input Sheet'!$E$3:$E$1001,N$4))</f>
        <v/>
      </c>
      <c r="O752" s="21" t="str">
        <f>IF(SUMIFS('Input Sheet'!$F$3:$F$1001,'Input Sheet'!$B$3:$B$1001,$H752,'Input Sheet'!$E$3:$E$1001,O$4)=0,"",SUMIFS('Input Sheet'!$F$3:$F$1001,'Input Sheet'!$B$3:$B$1001,$H752,'Input Sheet'!$E$3:$E$1001,O$4))</f>
        <v/>
      </c>
      <c r="P752" s="21" t="str">
        <f>IF(SUMIFS('Input Sheet'!$F$3:$F$1001,'Input Sheet'!$B$3:$B$1001,$H752,'Input Sheet'!$E$3:$E$1001,P$4)=0,"",SUMIFS('Input Sheet'!$F$3:$F$1001,'Input Sheet'!$B$3:$B$1001,$H752,'Input Sheet'!$E$3:$E$1001,P$4))</f>
        <v/>
      </c>
      <c r="Q752" s="21" t="str">
        <f>IF(SUMIFS('Input Sheet'!$F$3:$F$1001,'Input Sheet'!$B$3:$B$1001,$H752,'Input Sheet'!$E$3:$E$1001,Q$4)=0,"",SUMIFS('Input Sheet'!$F$3:$F$1001,'Input Sheet'!$B$3:$B$1001,$H752,'Input Sheet'!$E$3:$E$1001,Q$4))</f>
        <v/>
      </c>
      <c r="R752" s="21" t="str">
        <f>IF(SUMIFS('Input Sheet'!$F$3:$F$1001,'Input Sheet'!$B$3:$B$1001,$H752,'Input Sheet'!$E$3:$E$1001,R$4)=0,"",SUMIFS('Input Sheet'!$F$3:$F$1001,'Input Sheet'!$B$3:$B$1001,$H752,'Input Sheet'!$E$3:$E$1001,R$4))</f>
        <v/>
      </c>
      <c r="S752" s="21" t="str">
        <f>IF(SUMIFS('Input Sheet'!$F$3:$F$1001,'Input Sheet'!$B$3:$B$1001,$H752,'Input Sheet'!$E$3:$E$1001,S$4)=0,"",SUMIFS('Input Sheet'!$F$3:$F$1001,'Input Sheet'!$B$3:$B$1001,$H752,'Input Sheet'!$E$3:$E$1001,S$4))</f>
        <v/>
      </c>
      <c r="T752" s="22">
        <v>747</v>
      </c>
    </row>
    <row r="753" spans="1:20" ht="14.25" customHeight="1" x14ac:dyDescent="0.3">
      <c r="A753" s="4" t="str">
        <f>IF('Input Sheet'!B750=0,"",'Input Sheet'!B750)</f>
        <v/>
      </c>
      <c r="B753" s="24" t="b">
        <f t="shared" si="526"/>
        <v>0</v>
      </c>
      <c r="C753" s="4">
        <f>SUMIF('Input Sheet'!B$3:B$1000,A753,'Input Sheet'!C$3:C$1000)</f>
        <v>0</v>
      </c>
      <c r="D753" s="4">
        <f>SUMIF('Input Sheet'!B$3:B$1000,A753,'Input Sheet'!D$3:D$1000)</f>
        <v>0</v>
      </c>
      <c r="E753" s="4" t="str">
        <f t="shared" ref="E753:F753" ca="1" si="770">IFERROR(RANK(K753,K$6:K$1004,1),"")</f>
        <v/>
      </c>
      <c r="F753" s="4" t="str">
        <f t="shared" ca="1" si="770"/>
        <v/>
      </c>
      <c r="G753" s="4" t="str">
        <f t="shared" ca="1" si="528"/>
        <v/>
      </c>
      <c r="H753" s="4" t="str">
        <f t="shared" si="529"/>
        <v/>
      </c>
      <c r="I753" s="4" t="str">
        <f t="shared" si="530"/>
        <v/>
      </c>
      <c r="J753" s="4" t="str">
        <f t="shared" si="531"/>
        <v/>
      </c>
      <c r="K753" s="25" t="str">
        <f t="shared" ca="1" si="532"/>
        <v/>
      </c>
      <c r="L753" s="21" t="str">
        <f t="shared" ca="1" si="533"/>
        <v/>
      </c>
      <c r="M753" s="21" t="str">
        <f>IF(SUMIFS('Input Sheet'!$F$3:$F$1001,'Input Sheet'!$B$3:$B$1001,$H753,'Input Sheet'!$E$3:$E$1001,M$4)=0,"",SUMIFS('Input Sheet'!$F$3:$F$1001,'Input Sheet'!$B$3:$B$1001,$H753,'Input Sheet'!$E$3:$E$1001,M$4))</f>
        <v/>
      </c>
      <c r="N753" s="21" t="str">
        <f>IF(SUMIFS('Input Sheet'!$F$3:$F$1001,'Input Sheet'!$B$3:$B$1001,$H753,'Input Sheet'!$E$3:$E$1001,N$4)=0,"",SUMIFS('Input Sheet'!$F$3:$F$1001,'Input Sheet'!$B$3:$B$1001,$H753,'Input Sheet'!$E$3:$E$1001,N$4))</f>
        <v/>
      </c>
      <c r="O753" s="21" t="str">
        <f>IF(SUMIFS('Input Sheet'!$F$3:$F$1001,'Input Sheet'!$B$3:$B$1001,$H753,'Input Sheet'!$E$3:$E$1001,O$4)=0,"",SUMIFS('Input Sheet'!$F$3:$F$1001,'Input Sheet'!$B$3:$B$1001,$H753,'Input Sheet'!$E$3:$E$1001,O$4))</f>
        <v/>
      </c>
      <c r="P753" s="21" t="str">
        <f>IF(SUMIFS('Input Sheet'!$F$3:$F$1001,'Input Sheet'!$B$3:$B$1001,$H753,'Input Sheet'!$E$3:$E$1001,P$4)=0,"",SUMIFS('Input Sheet'!$F$3:$F$1001,'Input Sheet'!$B$3:$B$1001,$H753,'Input Sheet'!$E$3:$E$1001,P$4))</f>
        <v/>
      </c>
      <c r="Q753" s="21" t="str">
        <f>IF(SUMIFS('Input Sheet'!$F$3:$F$1001,'Input Sheet'!$B$3:$B$1001,$H753,'Input Sheet'!$E$3:$E$1001,Q$4)=0,"",SUMIFS('Input Sheet'!$F$3:$F$1001,'Input Sheet'!$B$3:$B$1001,$H753,'Input Sheet'!$E$3:$E$1001,Q$4))</f>
        <v/>
      </c>
      <c r="R753" s="21" t="str">
        <f>IF(SUMIFS('Input Sheet'!$F$3:$F$1001,'Input Sheet'!$B$3:$B$1001,$H753,'Input Sheet'!$E$3:$E$1001,R$4)=0,"",SUMIFS('Input Sheet'!$F$3:$F$1001,'Input Sheet'!$B$3:$B$1001,$H753,'Input Sheet'!$E$3:$E$1001,R$4))</f>
        <v/>
      </c>
      <c r="S753" s="21" t="str">
        <f>IF(SUMIFS('Input Sheet'!$F$3:$F$1001,'Input Sheet'!$B$3:$B$1001,$H753,'Input Sheet'!$E$3:$E$1001,S$4)=0,"",SUMIFS('Input Sheet'!$F$3:$F$1001,'Input Sheet'!$B$3:$B$1001,$H753,'Input Sheet'!$E$3:$E$1001,S$4))</f>
        <v/>
      </c>
      <c r="T753" s="22">
        <v>748</v>
      </c>
    </row>
    <row r="754" spans="1:20" ht="14.25" customHeight="1" x14ac:dyDescent="0.3">
      <c r="A754" s="4" t="str">
        <f>IF('Input Sheet'!B751=0,"",'Input Sheet'!B751)</f>
        <v/>
      </c>
      <c r="B754" s="24" t="b">
        <f t="shared" si="526"/>
        <v>0</v>
      </c>
      <c r="C754" s="4">
        <f>SUMIF('Input Sheet'!B$3:B$1000,A754,'Input Sheet'!C$3:C$1000)</f>
        <v>0</v>
      </c>
      <c r="D754" s="4">
        <f>SUMIF('Input Sheet'!B$3:B$1000,A754,'Input Sheet'!D$3:D$1000)</f>
        <v>0</v>
      </c>
      <c r="E754" s="4" t="str">
        <f t="shared" ref="E754:F754" ca="1" si="771">IFERROR(RANK(K754,K$6:K$1004,1),"")</f>
        <v/>
      </c>
      <c r="F754" s="4" t="str">
        <f t="shared" ca="1" si="771"/>
        <v/>
      </c>
      <c r="G754" s="4" t="str">
        <f t="shared" ca="1" si="528"/>
        <v/>
      </c>
      <c r="H754" s="4" t="str">
        <f t="shared" si="529"/>
        <v/>
      </c>
      <c r="I754" s="4" t="str">
        <f t="shared" si="530"/>
        <v/>
      </c>
      <c r="J754" s="4" t="str">
        <f t="shared" si="531"/>
        <v/>
      </c>
      <c r="K754" s="25" t="str">
        <f t="shared" ca="1" si="532"/>
        <v/>
      </c>
      <c r="L754" s="21" t="str">
        <f t="shared" ca="1" si="533"/>
        <v/>
      </c>
      <c r="M754" s="21" t="str">
        <f>IF(SUMIFS('Input Sheet'!$F$3:$F$1001,'Input Sheet'!$B$3:$B$1001,$H754,'Input Sheet'!$E$3:$E$1001,M$4)=0,"",SUMIFS('Input Sheet'!$F$3:$F$1001,'Input Sheet'!$B$3:$B$1001,$H754,'Input Sheet'!$E$3:$E$1001,M$4))</f>
        <v/>
      </c>
      <c r="N754" s="21" t="str">
        <f>IF(SUMIFS('Input Sheet'!$F$3:$F$1001,'Input Sheet'!$B$3:$B$1001,$H754,'Input Sheet'!$E$3:$E$1001,N$4)=0,"",SUMIFS('Input Sheet'!$F$3:$F$1001,'Input Sheet'!$B$3:$B$1001,$H754,'Input Sheet'!$E$3:$E$1001,N$4))</f>
        <v/>
      </c>
      <c r="O754" s="21" t="str">
        <f>IF(SUMIFS('Input Sheet'!$F$3:$F$1001,'Input Sheet'!$B$3:$B$1001,$H754,'Input Sheet'!$E$3:$E$1001,O$4)=0,"",SUMIFS('Input Sheet'!$F$3:$F$1001,'Input Sheet'!$B$3:$B$1001,$H754,'Input Sheet'!$E$3:$E$1001,O$4))</f>
        <v/>
      </c>
      <c r="P754" s="21" t="str">
        <f>IF(SUMIFS('Input Sheet'!$F$3:$F$1001,'Input Sheet'!$B$3:$B$1001,$H754,'Input Sheet'!$E$3:$E$1001,P$4)=0,"",SUMIFS('Input Sheet'!$F$3:$F$1001,'Input Sheet'!$B$3:$B$1001,$H754,'Input Sheet'!$E$3:$E$1001,P$4))</f>
        <v/>
      </c>
      <c r="Q754" s="21" t="str">
        <f>IF(SUMIFS('Input Sheet'!$F$3:$F$1001,'Input Sheet'!$B$3:$B$1001,$H754,'Input Sheet'!$E$3:$E$1001,Q$4)=0,"",SUMIFS('Input Sheet'!$F$3:$F$1001,'Input Sheet'!$B$3:$B$1001,$H754,'Input Sheet'!$E$3:$E$1001,Q$4))</f>
        <v/>
      </c>
      <c r="R754" s="21" t="str">
        <f>IF(SUMIFS('Input Sheet'!$F$3:$F$1001,'Input Sheet'!$B$3:$B$1001,$H754,'Input Sheet'!$E$3:$E$1001,R$4)=0,"",SUMIFS('Input Sheet'!$F$3:$F$1001,'Input Sheet'!$B$3:$B$1001,$H754,'Input Sheet'!$E$3:$E$1001,R$4))</f>
        <v/>
      </c>
      <c r="S754" s="21" t="str">
        <f>IF(SUMIFS('Input Sheet'!$F$3:$F$1001,'Input Sheet'!$B$3:$B$1001,$H754,'Input Sheet'!$E$3:$E$1001,S$4)=0,"",SUMIFS('Input Sheet'!$F$3:$F$1001,'Input Sheet'!$B$3:$B$1001,$H754,'Input Sheet'!$E$3:$E$1001,S$4))</f>
        <v/>
      </c>
      <c r="T754" s="22">
        <v>749</v>
      </c>
    </row>
    <row r="755" spans="1:20" ht="14.25" customHeight="1" x14ac:dyDescent="0.3">
      <c r="A755" s="4" t="str">
        <f>IF('Input Sheet'!B752=0,"",'Input Sheet'!B752)</f>
        <v/>
      </c>
      <c r="B755" s="24" t="b">
        <f t="shared" si="526"/>
        <v>0</v>
      </c>
      <c r="C755" s="4">
        <f>SUMIF('Input Sheet'!B$3:B$1000,A755,'Input Sheet'!C$3:C$1000)</f>
        <v>0</v>
      </c>
      <c r="D755" s="4">
        <f>SUMIF('Input Sheet'!B$3:B$1000,A755,'Input Sheet'!D$3:D$1000)</f>
        <v>0</v>
      </c>
      <c r="E755" s="4" t="str">
        <f t="shared" ref="E755:F755" ca="1" si="772">IFERROR(RANK(K755,K$6:K$1004,1),"")</f>
        <v/>
      </c>
      <c r="F755" s="4" t="str">
        <f t="shared" ca="1" si="772"/>
        <v/>
      </c>
      <c r="G755" s="4" t="str">
        <f t="shared" ca="1" si="528"/>
        <v/>
      </c>
      <c r="H755" s="4" t="str">
        <f t="shared" si="529"/>
        <v/>
      </c>
      <c r="I755" s="4" t="str">
        <f t="shared" si="530"/>
        <v/>
      </c>
      <c r="J755" s="4" t="str">
        <f t="shared" si="531"/>
        <v/>
      </c>
      <c r="K755" s="25" t="str">
        <f t="shared" ca="1" si="532"/>
        <v/>
      </c>
      <c r="L755" s="21" t="str">
        <f t="shared" ca="1" si="533"/>
        <v/>
      </c>
      <c r="M755" s="21" t="str">
        <f>IF(SUMIFS('Input Sheet'!$F$3:$F$1001,'Input Sheet'!$B$3:$B$1001,$H755,'Input Sheet'!$E$3:$E$1001,M$4)=0,"",SUMIFS('Input Sheet'!$F$3:$F$1001,'Input Sheet'!$B$3:$B$1001,$H755,'Input Sheet'!$E$3:$E$1001,M$4))</f>
        <v/>
      </c>
      <c r="N755" s="21" t="str">
        <f>IF(SUMIFS('Input Sheet'!$F$3:$F$1001,'Input Sheet'!$B$3:$B$1001,$H755,'Input Sheet'!$E$3:$E$1001,N$4)=0,"",SUMIFS('Input Sheet'!$F$3:$F$1001,'Input Sheet'!$B$3:$B$1001,$H755,'Input Sheet'!$E$3:$E$1001,N$4))</f>
        <v/>
      </c>
      <c r="O755" s="21" t="str">
        <f>IF(SUMIFS('Input Sheet'!$F$3:$F$1001,'Input Sheet'!$B$3:$B$1001,$H755,'Input Sheet'!$E$3:$E$1001,O$4)=0,"",SUMIFS('Input Sheet'!$F$3:$F$1001,'Input Sheet'!$B$3:$B$1001,$H755,'Input Sheet'!$E$3:$E$1001,O$4))</f>
        <v/>
      </c>
      <c r="P755" s="21" t="str">
        <f>IF(SUMIFS('Input Sheet'!$F$3:$F$1001,'Input Sheet'!$B$3:$B$1001,$H755,'Input Sheet'!$E$3:$E$1001,P$4)=0,"",SUMIFS('Input Sheet'!$F$3:$F$1001,'Input Sheet'!$B$3:$B$1001,$H755,'Input Sheet'!$E$3:$E$1001,P$4))</f>
        <v/>
      </c>
      <c r="Q755" s="21" t="str">
        <f>IF(SUMIFS('Input Sheet'!$F$3:$F$1001,'Input Sheet'!$B$3:$B$1001,$H755,'Input Sheet'!$E$3:$E$1001,Q$4)=0,"",SUMIFS('Input Sheet'!$F$3:$F$1001,'Input Sheet'!$B$3:$B$1001,$H755,'Input Sheet'!$E$3:$E$1001,Q$4))</f>
        <v/>
      </c>
      <c r="R755" s="21" t="str">
        <f>IF(SUMIFS('Input Sheet'!$F$3:$F$1001,'Input Sheet'!$B$3:$B$1001,$H755,'Input Sheet'!$E$3:$E$1001,R$4)=0,"",SUMIFS('Input Sheet'!$F$3:$F$1001,'Input Sheet'!$B$3:$B$1001,$H755,'Input Sheet'!$E$3:$E$1001,R$4))</f>
        <v/>
      </c>
      <c r="S755" s="21" t="str">
        <f>IF(SUMIFS('Input Sheet'!$F$3:$F$1001,'Input Sheet'!$B$3:$B$1001,$H755,'Input Sheet'!$E$3:$E$1001,S$4)=0,"",SUMIFS('Input Sheet'!$F$3:$F$1001,'Input Sheet'!$B$3:$B$1001,$H755,'Input Sheet'!$E$3:$E$1001,S$4))</f>
        <v/>
      </c>
      <c r="T755" s="22">
        <v>750</v>
      </c>
    </row>
    <row r="756" spans="1:20" ht="14.25" customHeight="1" x14ac:dyDescent="0.3">
      <c r="A756" s="4" t="str">
        <f>IF('Input Sheet'!B753=0,"",'Input Sheet'!B753)</f>
        <v/>
      </c>
      <c r="B756" s="24" t="b">
        <f t="shared" si="526"/>
        <v>0</v>
      </c>
      <c r="C756" s="4">
        <f>SUMIF('Input Sheet'!B$3:B$1000,A756,'Input Sheet'!C$3:C$1000)</f>
        <v>0</v>
      </c>
      <c r="D756" s="4">
        <f>SUMIF('Input Sheet'!B$3:B$1000,A756,'Input Sheet'!D$3:D$1000)</f>
        <v>0</v>
      </c>
      <c r="E756" s="4" t="str">
        <f t="shared" ref="E756:F756" ca="1" si="773">IFERROR(RANK(K756,K$6:K$1004,1),"")</f>
        <v/>
      </c>
      <c r="F756" s="4" t="str">
        <f t="shared" ca="1" si="773"/>
        <v/>
      </c>
      <c r="G756" s="4" t="str">
        <f t="shared" ca="1" si="528"/>
        <v/>
      </c>
      <c r="H756" s="4" t="str">
        <f t="shared" si="529"/>
        <v/>
      </c>
      <c r="I756" s="4" t="str">
        <f t="shared" si="530"/>
        <v/>
      </c>
      <c r="J756" s="4" t="str">
        <f t="shared" si="531"/>
        <v/>
      </c>
      <c r="K756" s="25" t="str">
        <f t="shared" ca="1" si="532"/>
        <v/>
      </c>
      <c r="L756" s="21" t="str">
        <f t="shared" ca="1" si="533"/>
        <v/>
      </c>
      <c r="M756" s="21" t="str">
        <f>IF(SUMIFS('Input Sheet'!$F$3:$F$1001,'Input Sheet'!$B$3:$B$1001,$H756,'Input Sheet'!$E$3:$E$1001,M$4)=0,"",SUMIFS('Input Sheet'!$F$3:$F$1001,'Input Sheet'!$B$3:$B$1001,$H756,'Input Sheet'!$E$3:$E$1001,M$4))</f>
        <v/>
      </c>
      <c r="N756" s="21" t="str">
        <f>IF(SUMIFS('Input Sheet'!$F$3:$F$1001,'Input Sheet'!$B$3:$B$1001,$H756,'Input Sheet'!$E$3:$E$1001,N$4)=0,"",SUMIFS('Input Sheet'!$F$3:$F$1001,'Input Sheet'!$B$3:$B$1001,$H756,'Input Sheet'!$E$3:$E$1001,N$4))</f>
        <v/>
      </c>
      <c r="O756" s="21" t="str">
        <f>IF(SUMIFS('Input Sheet'!$F$3:$F$1001,'Input Sheet'!$B$3:$B$1001,$H756,'Input Sheet'!$E$3:$E$1001,O$4)=0,"",SUMIFS('Input Sheet'!$F$3:$F$1001,'Input Sheet'!$B$3:$B$1001,$H756,'Input Sheet'!$E$3:$E$1001,O$4))</f>
        <v/>
      </c>
      <c r="P756" s="21" t="str">
        <f>IF(SUMIFS('Input Sheet'!$F$3:$F$1001,'Input Sheet'!$B$3:$B$1001,$H756,'Input Sheet'!$E$3:$E$1001,P$4)=0,"",SUMIFS('Input Sheet'!$F$3:$F$1001,'Input Sheet'!$B$3:$B$1001,$H756,'Input Sheet'!$E$3:$E$1001,P$4))</f>
        <v/>
      </c>
      <c r="Q756" s="21" t="str">
        <f>IF(SUMIFS('Input Sheet'!$F$3:$F$1001,'Input Sheet'!$B$3:$B$1001,$H756,'Input Sheet'!$E$3:$E$1001,Q$4)=0,"",SUMIFS('Input Sheet'!$F$3:$F$1001,'Input Sheet'!$B$3:$B$1001,$H756,'Input Sheet'!$E$3:$E$1001,Q$4))</f>
        <v/>
      </c>
      <c r="R756" s="21" t="str">
        <f>IF(SUMIFS('Input Sheet'!$F$3:$F$1001,'Input Sheet'!$B$3:$B$1001,$H756,'Input Sheet'!$E$3:$E$1001,R$4)=0,"",SUMIFS('Input Sheet'!$F$3:$F$1001,'Input Sheet'!$B$3:$B$1001,$H756,'Input Sheet'!$E$3:$E$1001,R$4))</f>
        <v/>
      </c>
      <c r="S756" s="21" t="str">
        <f>IF(SUMIFS('Input Sheet'!$F$3:$F$1001,'Input Sheet'!$B$3:$B$1001,$H756,'Input Sheet'!$E$3:$E$1001,S$4)=0,"",SUMIFS('Input Sheet'!$F$3:$F$1001,'Input Sheet'!$B$3:$B$1001,$H756,'Input Sheet'!$E$3:$E$1001,S$4))</f>
        <v/>
      </c>
      <c r="T756" s="22">
        <v>751</v>
      </c>
    </row>
    <row r="757" spans="1:20" ht="14.25" customHeight="1" x14ac:dyDescent="0.3">
      <c r="A757" s="4" t="str">
        <f>IF('Input Sheet'!B754=0,"",'Input Sheet'!B754)</f>
        <v/>
      </c>
      <c r="B757" s="24" t="b">
        <f t="shared" si="526"/>
        <v>0</v>
      </c>
      <c r="C757" s="4">
        <f>SUMIF('Input Sheet'!B$3:B$1000,A757,'Input Sheet'!C$3:C$1000)</f>
        <v>0</v>
      </c>
      <c r="D757" s="4">
        <f>SUMIF('Input Sheet'!B$3:B$1000,A757,'Input Sheet'!D$3:D$1000)</f>
        <v>0</v>
      </c>
      <c r="E757" s="4" t="str">
        <f t="shared" ref="E757:F757" ca="1" si="774">IFERROR(RANK(K757,K$6:K$1004,1),"")</f>
        <v/>
      </c>
      <c r="F757" s="4" t="str">
        <f t="shared" ca="1" si="774"/>
        <v/>
      </c>
      <c r="G757" s="4" t="str">
        <f t="shared" ca="1" si="528"/>
        <v/>
      </c>
      <c r="H757" s="4" t="str">
        <f t="shared" si="529"/>
        <v/>
      </c>
      <c r="I757" s="4" t="str">
        <f t="shared" si="530"/>
        <v/>
      </c>
      <c r="J757" s="4" t="str">
        <f t="shared" si="531"/>
        <v/>
      </c>
      <c r="K757" s="25" t="str">
        <f t="shared" ca="1" si="532"/>
        <v/>
      </c>
      <c r="L757" s="21" t="str">
        <f t="shared" ca="1" si="533"/>
        <v/>
      </c>
      <c r="M757" s="21" t="str">
        <f>IF(SUMIFS('Input Sheet'!$F$3:$F$1001,'Input Sheet'!$B$3:$B$1001,$H757,'Input Sheet'!$E$3:$E$1001,M$4)=0,"",SUMIFS('Input Sheet'!$F$3:$F$1001,'Input Sheet'!$B$3:$B$1001,$H757,'Input Sheet'!$E$3:$E$1001,M$4))</f>
        <v/>
      </c>
      <c r="N757" s="21" t="str">
        <f>IF(SUMIFS('Input Sheet'!$F$3:$F$1001,'Input Sheet'!$B$3:$B$1001,$H757,'Input Sheet'!$E$3:$E$1001,N$4)=0,"",SUMIFS('Input Sheet'!$F$3:$F$1001,'Input Sheet'!$B$3:$B$1001,$H757,'Input Sheet'!$E$3:$E$1001,N$4))</f>
        <v/>
      </c>
      <c r="O757" s="21" t="str">
        <f>IF(SUMIFS('Input Sheet'!$F$3:$F$1001,'Input Sheet'!$B$3:$B$1001,$H757,'Input Sheet'!$E$3:$E$1001,O$4)=0,"",SUMIFS('Input Sheet'!$F$3:$F$1001,'Input Sheet'!$B$3:$B$1001,$H757,'Input Sheet'!$E$3:$E$1001,O$4))</f>
        <v/>
      </c>
      <c r="P757" s="21" t="str">
        <f>IF(SUMIFS('Input Sheet'!$F$3:$F$1001,'Input Sheet'!$B$3:$B$1001,$H757,'Input Sheet'!$E$3:$E$1001,P$4)=0,"",SUMIFS('Input Sheet'!$F$3:$F$1001,'Input Sheet'!$B$3:$B$1001,$H757,'Input Sheet'!$E$3:$E$1001,P$4))</f>
        <v/>
      </c>
      <c r="Q757" s="21" t="str">
        <f>IF(SUMIFS('Input Sheet'!$F$3:$F$1001,'Input Sheet'!$B$3:$B$1001,$H757,'Input Sheet'!$E$3:$E$1001,Q$4)=0,"",SUMIFS('Input Sheet'!$F$3:$F$1001,'Input Sheet'!$B$3:$B$1001,$H757,'Input Sheet'!$E$3:$E$1001,Q$4))</f>
        <v/>
      </c>
      <c r="R757" s="21" t="str">
        <f>IF(SUMIFS('Input Sheet'!$F$3:$F$1001,'Input Sheet'!$B$3:$B$1001,$H757,'Input Sheet'!$E$3:$E$1001,R$4)=0,"",SUMIFS('Input Sheet'!$F$3:$F$1001,'Input Sheet'!$B$3:$B$1001,$H757,'Input Sheet'!$E$3:$E$1001,R$4))</f>
        <v/>
      </c>
      <c r="S757" s="21" t="str">
        <f>IF(SUMIFS('Input Sheet'!$F$3:$F$1001,'Input Sheet'!$B$3:$B$1001,$H757,'Input Sheet'!$E$3:$E$1001,S$4)=0,"",SUMIFS('Input Sheet'!$F$3:$F$1001,'Input Sheet'!$B$3:$B$1001,$H757,'Input Sheet'!$E$3:$E$1001,S$4))</f>
        <v/>
      </c>
      <c r="T757" s="22">
        <v>752</v>
      </c>
    </row>
    <row r="758" spans="1:20" ht="14.25" customHeight="1" x14ac:dyDescent="0.3">
      <c r="A758" s="4" t="str">
        <f>IF('Input Sheet'!B755=0,"",'Input Sheet'!B755)</f>
        <v/>
      </c>
      <c r="B758" s="24" t="b">
        <f t="shared" si="526"/>
        <v>0</v>
      </c>
      <c r="C758" s="4">
        <f>SUMIF('Input Sheet'!B$3:B$1000,A758,'Input Sheet'!C$3:C$1000)</f>
        <v>0</v>
      </c>
      <c r="D758" s="4">
        <f>SUMIF('Input Sheet'!B$3:B$1000,A758,'Input Sheet'!D$3:D$1000)</f>
        <v>0</v>
      </c>
      <c r="E758" s="4" t="str">
        <f t="shared" ref="E758:F758" ca="1" si="775">IFERROR(RANK(K758,K$6:K$1004,1),"")</f>
        <v/>
      </c>
      <c r="F758" s="4" t="str">
        <f t="shared" ca="1" si="775"/>
        <v/>
      </c>
      <c r="G758" s="4" t="str">
        <f t="shared" ca="1" si="528"/>
        <v/>
      </c>
      <c r="H758" s="4" t="str">
        <f t="shared" si="529"/>
        <v/>
      </c>
      <c r="I758" s="4" t="str">
        <f t="shared" si="530"/>
        <v/>
      </c>
      <c r="J758" s="4" t="str">
        <f t="shared" si="531"/>
        <v/>
      </c>
      <c r="K758" s="25" t="str">
        <f t="shared" ca="1" si="532"/>
        <v/>
      </c>
      <c r="L758" s="21" t="str">
        <f t="shared" ca="1" si="533"/>
        <v/>
      </c>
      <c r="M758" s="21" t="str">
        <f>IF(SUMIFS('Input Sheet'!$F$3:$F$1001,'Input Sheet'!$B$3:$B$1001,$H758,'Input Sheet'!$E$3:$E$1001,M$4)=0,"",SUMIFS('Input Sheet'!$F$3:$F$1001,'Input Sheet'!$B$3:$B$1001,$H758,'Input Sheet'!$E$3:$E$1001,M$4))</f>
        <v/>
      </c>
      <c r="N758" s="21" t="str">
        <f>IF(SUMIFS('Input Sheet'!$F$3:$F$1001,'Input Sheet'!$B$3:$B$1001,$H758,'Input Sheet'!$E$3:$E$1001,N$4)=0,"",SUMIFS('Input Sheet'!$F$3:$F$1001,'Input Sheet'!$B$3:$B$1001,$H758,'Input Sheet'!$E$3:$E$1001,N$4))</f>
        <v/>
      </c>
      <c r="O758" s="21" t="str">
        <f>IF(SUMIFS('Input Sheet'!$F$3:$F$1001,'Input Sheet'!$B$3:$B$1001,$H758,'Input Sheet'!$E$3:$E$1001,O$4)=0,"",SUMIFS('Input Sheet'!$F$3:$F$1001,'Input Sheet'!$B$3:$B$1001,$H758,'Input Sheet'!$E$3:$E$1001,O$4))</f>
        <v/>
      </c>
      <c r="P758" s="21" t="str">
        <f>IF(SUMIFS('Input Sheet'!$F$3:$F$1001,'Input Sheet'!$B$3:$B$1001,$H758,'Input Sheet'!$E$3:$E$1001,P$4)=0,"",SUMIFS('Input Sheet'!$F$3:$F$1001,'Input Sheet'!$B$3:$B$1001,$H758,'Input Sheet'!$E$3:$E$1001,P$4))</f>
        <v/>
      </c>
      <c r="Q758" s="21" t="str">
        <f>IF(SUMIFS('Input Sheet'!$F$3:$F$1001,'Input Sheet'!$B$3:$B$1001,$H758,'Input Sheet'!$E$3:$E$1001,Q$4)=0,"",SUMIFS('Input Sheet'!$F$3:$F$1001,'Input Sheet'!$B$3:$B$1001,$H758,'Input Sheet'!$E$3:$E$1001,Q$4))</f>
        <v/>
      </c>
      <c r="R758" s="21" t="str">
        <f>IF(SUMIFS('Input Sheet'!$F$3:$F$1001,'Input Sheet'!$B$3:$B$1001,$H758,'Input Sheet'!$E$3:$E$1001,R$4)=0,"",SUMIFS('Input Sheet'!$F$3:$F$1001,'Input Sheet'!$B$3:$B$1001,$H758,'Input Sheet'!$E$3:$E$1001,R$4))</f>
        <v/>
      </c>
      <c r="S758" s="21" t="str">
        <f>IF(SUMIFS('Input Sheet'!$F$3:$F$1001,'Input Sheet'!$B$3:$B$1001,$H758,'Input Sheet'!$E$3:$E$1001,S$4)=0,"",SUMIFS('Input Sheet'!$F$3:$F$1001,'Input Sheet'!$B$3:$B$1001,$H758,'Input Sheet'!$E$3:$E$1001,S$4))</f>
        <v/>
      </c>
      <c r="T758" s="22">
        <v>753</v>
      </c>
    </row>
    <row r="759" spans="1:20" ht="14.25" customHeight="1" x14ac:dyDescent="0.3">
      <c r="A759" s="4" t="str">
        <f>IF('Input Sheet'!B756=0,"",'Input Sheet'!B756)</f>
        <v/>
      </c>
      <c r="B759" s="24" t="b">
        <f t="shared" si="526"/>
        <v>0</v>
      </c>
      <c r="C759" s="4">
        <f>SUMIF('Input Sheet'!B$3:B$1000,A759,'Input Sheet'!C$3:C$1000)</f>
        <v>0</v>
      </c>
      <c r="D759" s="4">
        <f>SUMIF('Input Sheet'!B$3:B$1000,A759,'Input Sheet'!D$3:D$1000)</f>
        <v>0</v>
      </c>
      <c r="E759" s="4" t="str">
        <f t="shared" ref="E759:F759" ca="1" si="776">IFERROR(RANK(K759,K$6:K$1004,1),"")</f>
        <v/>
      </c>
      <c r="F759" s="4" t="str">
        <f t="shared" ca="1" si="776"/>
        <v/>
      </c>
      <c r="G759" s="4" t="str">
        <f t="shared" ca="1" si="528"/>
        <v/>
      </c>
      <c r="H759" s="4" t="str">
        <f t="shared" si="529"/>
        <v/>
      </c>
      <c r="I759" s="4" t="str">
        <f t="shared" si="530"/>
        <v/>
      </c>
      <c r="J759" s="4" t="str">
        <f t="shared" si="531"/>
        <v/>
      </c>
      <c r="K759" s="25" t="str">
        <f t="shared" ca="1" si="532"/>
        <v/>
      </c>
      <c r="L759" s="21" t="str">
        <f t="shared" ca="1" si="533"/>
        <v/>
      </c>
      <c r="M759" s="21" t="str">
        <f>IF(SUMIFS('Input Sheet'!$F$3:$F$1001,'Input Sheet'!$B$3:$B$1001,$H759,'Input Sheet'!$E$3:$E$1001,M$4)=0,"",SUMIFS('Input Sheet'!$F$3:$F$1001,'Input Sheet'!$B$3:$B$1001,$H759,'Input Sheet'!$E$3:$E$1001,M$4))</f>
        <v/>
      </c>
      <c r="N759" s="21" t="str">
        <f>IF(SUMIFS('Input Sheet'!$F$3:$F$1001,'Input Sheet'!$B$3:$B$1001,$H759,'Input Sheet'!$E$3:$E$1001,N$4)=0,"",SUMIFS('Input Sheet'!$F$3:$F$1001,'Input Sheet'!$B$3:$B$1001,$H759,'Input Sheet'!$E$3:$E$1001,N$4))</f>
        <v/>
      </c>
      <c r="O759" s="21" t="str">
        <f>IF(SUMIFS('Input Sheet'!$F$3:$F$1001,'Input Sheet'!$B$3:$B$1001,$H759,'Input Sheet'!$E$3:$E$1001,O$4)=0,"",SUMIFS('Input Sheet'!$F$3:$F$1001,'Input Sheet'!$B$3:$B$1001,$H759,'Input Sheet'!$E$3:$E$1001,O$4))</f>
        <v/>
      </c>
      <c r="P759" s="21" t="str">
        <f>IF(SUMIFS('Input Sheet'!$F$3:$F$1001,'Input Sheet'!$B$3:$B$1001,$H759,'Input Sheet'!$E$3:$E$1001,P$4)=0,"",SUMIFS('Input Sheet'!$F$3:$F$1001,'Input Sheet'!$B$3:$B$1001,$H759,'Input Sheet'!$E$3:$E$1001,P$4))</f>
        <v/>
      </c>
      <c r="Q759" s="21" t="str">
        <f>IF(SUMIFS('Input Sheet'!$F$3:$F$1001,'Input Sheet'!$B$3:$B$1001,$H759,'Input Sheet'!$E$3:$E$1001,Q$4)=0,"",SUMIFS('Input Sheet'!$F$3:$F$1001,'Input Sheet'!$B$3:$B$1001,$H759,'Input Sheet'!$E$3:$E$1001,Q$4))</f>
        <v/>
      </c>
      <c r="R759" s="21" t="str">
        <f>IF(SUMIFS('Input Sheet'!$F$3:$F$1001,'Input Sheet'!$B$3:$B$1001,$H759,'Input Sheet'!$E$3:$E$1001,R$4)=0,"",SUMIFS('Input Sheet'!$F$3:$F$1001,'Input Sheet'!$B$3:$B$1001,$H759,'Input Sheet'!$E$3:$E$1001,R$4))</f>
        <v/>
      </c>
      <c r="S759" s="21" t="str">
        <f>IF(SUMIFS('Input Sheet'!$F$3:$F$1001,'Input Sheet'!$B$3:$B$1001,$H759,'Input Sheet'!$E$3:$E$1001,S$4)=0,"",SUMIFS('Input Sheet'!$F$3:$F$1001,'Input Sheet'!$B$3:$B$1001,$H759,'Input Sheet'!$E$3:$E$1001,S$4))</f>
        <v/>
      </c>
      <c r="T759" s="22">
        <v>754</v>
      </c>
    </row>
    <row r="760" spans="1:20" ht="14.25" customHeight="1" x14ac:dyDescent="0.3">
      <c r="A760" s="4" t="str">
        <f>IF('Input Sheet'!B757=0,"",'Input Sheet'!B757)</f>
        <v/>
      </c>
      <c r="B760" s="24" t="b">
        <f t="shared" si="526"/>
        <v>0</v>
      </c>
      <c r="C760" s="4">
        <f>SUMIF('Input Sheet'!B$3:B$1000,A760,'Input Sheet'!C$3:C$1000)</f>
        <v>0</v>
      </c>
      <c r="D760" s="4">
        <f>SUMIF('Input Sheet'!B$3:B$1000,A760,'Input Sheet'!D$3:D$1000)</f>
        <v>0</v>
      </c>
      <c r="E760" s="4" t="str">
        <f t="shared" ref="E760:F760" ca="1" si="777">IFERROR(RANK(K760,K$6:K$1004,1),"")</f>
        <v/>
      </c>
      <c r="F760" s="4" t="str">
        <f t="shared" ca="1" si="777"/>
        <v/>
      </c>
      <c r="G760" s="4" t="str">
        <f t="shared" ca="1" si="528"/>
        <v/>
      </c>
      <c r="H760" s="4" t="str">
        <f t="shared" si="529"/>
        <v/>
      </c>
      <c r="I760" s="4" t="str">
        <f t="shared" si="530"/>
        <v/>
      </c>
      <c r="J760" s="4" t="str">
        <f t="shared" si="531"/>
        <v/>
      </c>
      <c r="K760" s="25" t="str">
        <f t="shared" ca="1" si="532"/>
        <v/>
      </c>
      <c r="L760" s="21" t="str">
        <f t="shared" ca="1" si="533"/>
        <v/>
      </c>
      <c r="M760" s="21" t="str">
        <f>IF(SUMIFS('Input Sheet'!$F$3:$F$1001,'Input Sheet'!$B$3:$B$1001,$H760,'Input Sheet'!$E$3:$E$1001,M$4)=0,"",SUMIFS('Input Sheet'!$F$3:$F$1001,'Input Sheet'!$B$3:$B$1001,$H760,'Input Sheet'!$E$3:$E$1001,M$4))</f>
        <v/>
      </c>
      <c r="N760" s="21" t="str">
        <f>IF(SUMIFS('Input Sheet'!$F$3:$F$1001,'Input Sheet'!$B$3:$B$1001,$H760,'Input Sheet'!$E$3:$E$1001,N$4)=0,"",SUMIFS('Input Sheet'!$F$3:$F$1001,'Input Sheet'!$B$3:$B$1001,$H760,'Input Sheet'!$E$3:$E$1001,N$4))</f>
        <v/>
      </c>
      <c r="O760" s="21" t="str">
        <f>IF(SUMIFS('Input Sheet'!$F$3:$F$1001,'Input Sheet'!$B$3:$B$1001,$H760,'Input Sheet'!$E$3:$E$1001,O$4)=0,"",SUMIFS('Input Sheet'!$F$3:$F$1001,'Input Sheet'!$B$3:$B$1001,$H760,'Input Sheet'!$E$3:$E$1001,O$4))</f>
        <v/>
      </c>
      <c r="P760" s="21" t="str">
        <f>IF(SUMIFS('Input Sheet'!$F$3:$F$1001,'Input Sheet'!$B$3:$B$1001,$H760,'Input Sheet'!$E$3:$E$1001,P$4)=0,"",SUMIFS('Input Sheet'!$F$3:$F$1001,'Input Sheet'!$B$3:$B$1001,$H760,'Input Sheet'!$E$3:$E$1001,P$4))</f>
        <v/>
      </c>
      <c r="Q760" s="21" t="str">
        <f>IF(SUMIFS('Input Sheet'!$F$3:$F$1001,'Input Sheet'!$B$3:$B$1001,$H760,'Input Sheet'!$E$3:$E$1001,Q$4)=0,"",SUMIFS('Input Sheet'!$F$3:$F$1001,'Input Sheet'!$B$3:$B$1001,$H760,'Input Sheet'!$E$3:$E$1001,Q$4))</f>
        <v/>
      </c>
      <c r="R760" s="21" t="str">
        <f>IF(SUMIFS('Input Sheet'!$F$3:$F$1001,'Input Sheet'!$B$3:$B$1001,$H760,'Input Sheet'!$E$3:$E$1001,R$4)=0,"",SUMIFS('Input Sheet'!$F$3:$F$1001,'Input Sheet'!$B$3:$B$1001,$H760,'Input Sheet'!$E$3:$E$1001,R$4))</f>
        <v/>
      </c>
      <c r="S760" s="21" t="str">
        <f>IF(SUMIFS('Input Sheet'!$F$3:$F$1001,'Input Sheet'!$B$3:$B$1001,$H760,'Input Sheet'!$E$3:$E$1001,S$4)=0,"",SUMIFS('Input Sheet'!$F$3:$F$1001,'Input Sheet'!$B$3:$B$1001,$H760,'Input Sheet'!$E$3:$E$1001,S$4))</f>
        <v/>
      </c>
      <c r="T760" s="22">
        <v>755</v>
      </c>
    </row>
    <row r="761" spans="1:20" ht="14.25" customHeight="1" x14ac:dyDescent="0.3">
      <c r="A761" s="4" t="str">
        <f>IF('Input Sheet'!B758=0,"",'Input Sheet'!B758)</f>
        <v/>
      </c>
      <c r="B761" s="24" t="b">
        <f t="shared" si="526"/>
        <v>0</v>
      </c>
      <c r="C761" s="4">
        <f>SUMIF('Input Sheet'!B$3:B$1000,A761,'Input Sheet'!C$3:C$1000)</f>
        <v>0</v>
      </c>
      <c r="D761" s="4">
        <f>SUMIF('Input Sheet'!B$3:B$1000,A761,'Input Sheet'!D$3:D$1000)</f>
        <v>0</v>
      </c>
      <c r="E761" s="4" t="str">
        <f t="shared" ref="E761:F761" ca="1" si="778">IFERROR(RANK(K761,K$6:K$1004,1),"")</f>
        <v/>
      </c>
      <c r="F761" s="4" t="str">
        <f t="shared" ca="1" si="778"/>
        <v/>
      </c>
      <c r="G761" s="4" t="str">
        <f t="shared" ca="1" si="528"/>
        <v/>
      </c>
      <c r="H761" s="4" t="str">
        <f t="shared" si="529"/>
        <v/>
      </c>
      <c r="I761" s="4" t="str">
        <f t="shared" si="530"/>
        <v/>
      </c>
      <c r="J761" s="4" t="str">
        <f t="shared" si="531"/>
        <v/>
      </c>
      <c r="K761" s="25" t="str">
        <f t="shared" ca="1" si="532"/>
        <v/>
      </c>
      <c r="L761" s="21" t="str">
        <f t="shared" ca="1" si="533"/>
        <v/>
      </c>
      <c r="M761" s="21" t="str">
        <f>IF(SUMIFS('Input Sheet'!$F$3:$F$1001,'Input Sheet'!$B$3:$B$1001,$H761,'Input Sheet'!$E$3:$E$1001,M$4)=0,"",SUMIFS('Input Sheet'!$F$3:$F$1001,'Input Sheet'!$B$3:$B$1001,$H761,'Input Sheet'!$E$3:$E$1001,M$4))</f>
        <v/>
      </c>
      <c r="N761" s="21" t="str">
        <f>IF(SUMIFS('Input Sheet'!$F$3:$F$1001,'Input Sheet'!$B$3:$B$1001,$H761,'Input Sheet'!$E$3:$E$1001,N$4)=0,"",SUMIFS('Input Sheet'!$F$3:$F$1001,'Input Sheet'!$B$3:$B$1001,$H761,'Input Sheet'!$E$3:$E$1001,N$4))</f>
        <v/>
      </c>
      <c r="O761" s="21" t="str">
        <f>IF(SUMIFS('Input Sheet'!$F$3:$F$1001,'Input Sheet'!$B$3:$B$1001,$H761,'Input Sheet'!$E$3:$E$1001,O$4)=0,"",SUMIFS('Input Sheet'!$F$3:$F$1001,'Input Sheet'!$B$3:$B$1001,$H761,'Input Sheet'!$E$3:$E$1001,O$4))</f>
        <v/>
      </c>
      <c r="P761" s="21" t="str">
        <f>IF(SUMIFS('Input Sheet'!$F$3:$F$1001,'Input Sheet'!$B$3:$B$1001,$H761,'Input Sheet'!$E$3:$E$1001,P$4)=0,"",SUMIFS('Input Sheet'!$F$3:$F$1001,'Input Sheet'!$B$3:$B$1001,$H761,'Input Sheet'!$E$3:$E$1001,P$4))</f>
        <v/>
      </c>
      <c r="Q761" s="21" t="str">
        <f>IF(SUMIFS('Input Sheet'!$F$3:$F$1001,'Input Sheet'!$B$3:$B$1001,$H761,'Input Sheet'!$E$3:$E$1001,Q$4)=0,"",SUMIFS('Input Sheet'!$F$3:$F$1001,'Input Sheet'!$B$3:$B$1001,$H761,'Input Sheet'!$E$3:$E$1001,Q$4))</f>
        <v/>
      </c>
      <c r="R761" s="21" t="str">
        <f>IF(SUMIFS('Input Sheet'!$F$3:$F$1001,'Input Sheet'!$B$3:$B$1001,$H761,'Input Sheet'!$E$3:$E$1001,R$4)=0,"",SUMIFS('Input Sheet'!$F$3:$F$1001,'Input Sheet'!$B$3:$B$1001,$H761,'Input Sheet'!$E$3:$E$1001,R$4))</f>
        <v/>
      </c>
      <c r="S761" s="21" t="str">
        <f>IF(SUMIFS('Input Sheet'!$F$3:$F$1001,'Input Sheet'!$B$3:$B$1001,$H761,'Input Sheet'!$E$3:$E$1001,S$4)=0,"",SUMIFS('Input Sheet'!$F$3:$F$1001,'Input Sheet'!$B$3:$B$1001,$H761,'Input Sheet'!$E$3:$E$1001,S$4))</f>
        <v/>
      </c>
      <c r="T761" s="22">
        <v>756</v>
      </c>
    </row>
    <row r="762" spans="1:20" ht="14.25" customHeight="1" x14ac:dyDescent="0.3">
      <c r="A762" s="4" t="str">
        <f>IF('Input Sheet'!B759=0,"",'Input Sheet'!B759)</f>
        <v/>
      </c>
      <c r="B762" s="24" t="b">
        <f t="shared" si="526"/>
        <v>0</v>
      </c>
      <c r="C762" s="4">
        <f>SUMIF('Input Sheet'!B$3:B$1000,A762,'Input Sheet'!C$3:C$1000)</f>
        <v>0</v>
      </c>
      <c r="D762" s="4">
        <f>SUMIF('Input Sheet'!B$3:B$1000,A762,'Input Sheet'!D$3:D$1000)</f>
        <v>0</v>
      </c>
      <c r="E762" s="4" t="str">
        <f t="shared" ref="E762:F762" ca="1" si="779">IFERROR(RANK(K762,K$6:K$1004,1),"")</f>
        <v/>
      </c>
      <c r="F762" s="4" t="str">
        <f t="shared" ca="1" si="779"/>
        <v/>
      </c>
      <c r="G762" s="4" t="str">
        <f t="shared" ca="1" si="528"/>
        <v/>
      </c>
      <c r="H762" s="4" t="str">
        <f t="shared" si="529"/>
        <v/>
      </c>
      <c r="I762" s="4" t="str">
        <f t="shared" si="530"/>
        <v/>
      </c>
      <c r="J762" s="4" t="str">
        <f t="shared" si="531"/>
        <v/>
      </c>
      <c r="K762" s="25" t="str">
        <f t="shared" ca="1" si="532"/>
        <v/>
      </c>
      <c r="L762" s="21" t="str">
        <f t="shared" ca="1" si="533"/>
        <v/>
      </c>
      <c r="M762" s="21" t="str">
        <f>IF(SUMIFS('Input Sheet'!$F$3:$F$1001,'Input Sheet'!$B$3:$B$1001,$H762,'Input Sheet'!$E$3:$E$1001,M$4)=0,"",SUMIFS('Input Sheet'!$F$3:$F$1001,'Input Sheet'!$B$3:$B$1001,$H762,'Input Sheet'!$E$3:$E$1001,M$4))</f>
        <v/>
      </c>
      <c r="N762" s="21" t="str">
        <f>IF(SUMIFS('Input Sheet'!$F$3:$F$1001,'Input Sheet'!$B$3:$B$1001,$H762,'Input Sheet'!$E$3:$E$1001,N$4)=0,"",SUMIFS('Input Sheet'!$F$3:$F$1001,'Input Sheet'!$B$3:$B$1001,$H762,'Input Sheet'!$E$3:$E$1001,N$4))</f>
        <v/>
      </c>
      <c r="O762" s="21" t="str">
        <f>IF(SUMIFS('Input Sheet'!$F$3:$F$1001,'Input Sheet'!$B$3:$B$1001,$H762,'Input Sheet'!$E$3:$E$1001,O$4)=0,"",SUMIFS('Input Sheet'!$F$3:$F$1001,'Input Sheet'!$B$3:$B$1001,$H762,'Input Sheet'!$E$3:$E$1001,O$4))</f>
        <v/>
      </c>
      <c r="P762" s="21" t="str">
        <f>IF(SUMIFS('Input Sheet'!$F$3:$F$1001,'Input Sheet'!$B$3:$B$1001,$H762,'Input Sheet'!$E$3:$E$1001,P$4)=0,"",SUMIFS('Input Sheet'!$F$3:$F$1001,'Input Sheet'!$B$3:$B$1001,$H762,'Input Sheet'!$E$3:$E$1001,P$4))</f>
        <v/>
      </c>
      <c r="Q762" s="21" t="str">
        <f>IF(SUMIFS('Input Sheet'!$F$3:$F$1001,'Input Sheet'!$B$3:$B$1001,$H762,'Input Sheet'!$E$3:$E$1001,Q$4)=0,"",SUMIFS('Input Sheet'!$F$3:$F$1001,'Input Sheet'!$B$3:$B$1001,$H762,'Input Sheet'!$E$3:$E$1001,Q$4))</f>
        <v/>
      </c>
      <c r="R762" s="21" t="str">
        <f>IF(SUMIFS('Input Sheet'!$F$3:$F$1001,'Input Sheet'!$B$3:$B$1001,$H762,'Input Sheet'!$E$3:$E$1001,R$4)=0,"",SUMIFS('Input Sheet'!$F$3:$F$1001,'Input Sheet'!$B$3:$B$1001,$H762,'Input Sheet'!$E$3:$E$1001,R$4))</f>
        <v/>
      </c>
      <c r="S762" s="21" t="str">
        <f>IF(SUMIFS('Input Sheet'!$F$3:$F$1001,'Input Sheet'!$B$3:$B$1001,$H762,'Input Sheet'!$E$3:$E$1001,S$4)=0,"",SUMIFS('Input Sheet'!$F$3:$F$1001,'Input Sheet'!$B$3:$B$1001,$H762,'Input Sheet'!$E$3:$E$1001,S$4))</f>
        <v/>
      </c>
      <c r="T762" s="22">
        <v>757</v>
      </c>
    </row>
    <row r="763" spans="1:20" ht="14.25" customHeight="1" x14ac:dyDescent="0.3">
      <c r="A763" s="4" t="str">
        <f>IF('Input Sheet'!B760=0,"",'Input Sheet'!B760)</f>
        <v/>
      </c>
      <c r="B763" s="24" t="b">
        <f t="shared" si="526"/>
        <v>0</v>
      </c>
      <c r="C763" s="4">
        <f>SUMIF('Input Sheet'!B$3:B$1000,A763,'Input Sheet'!C$3:C$1000)</f>
        <v>0</v>
      </c>
      <c r="D763" s="4">
        <f>SUMIF('Input Sheet'!B$3:B$1000,A763,'Input Sheet'!D$3:D$1000)</f>
        <v>0</v>
      </c>
      <c r="E763" s="4" t="str">
        <f t="shared" ref="E763:F763" ca="1" si="780">IFERROR(RANK(K763,K$6:K$1004,1),"")</f>
        <v/>
      </c>
      <c r="F763" s="4" t="str">
        <f t="shared" ca="1" si="780"/>
        <v/>
      </c>
      <c r="G763" s="4" t="str">
        <f t="shared" ca="1" si="528"/>
        <v/>
      </c>
      <c r="H763" s="4" t="str">
        <f t="shared" si="529"/>
        <v/>
      </c>
      <c r="I763" s="4" t="str">
        <f t="shared" si="530"/>
        <v/>
      </c>
      <c r="J763" s="4" t="str">
        <f t="shared" si="531"/>
        <v/>
      </c>
      <c r="K763" s="25" t="str">
        <f t="shared" ca="1" si="532"/>
        <v/>
      </c>
      <c r="L763" s="21" t="str">
        <f t="shared" ca="1" si="533"/>
        <v/>
      </c>
      <c r="M763" s="21" t="str">
        <f>IF(SUMIFS('Input Sheet'!$F$3:$F$1001,'Input Sheet'!$B$3:$B$1001,$H763,'Input Sheet'!$E$3:$E$1001,M$4)=0,"",SUMIFS('Input Sheet'!$F$3:$F$1001,'Input Sheet'!$B$3:$B$1001,$H763,'Input Sheet'!$E$3:$E$1001,M$4))</f>
        <v/>
      </c>
      <c r="N763" s="21" t="str">
        <f>IF(SUMIFS('Input Sheet'!$F$3:$F$1001,'Input Sheet'!$B$3:$B$1001,$H763,'Input Sheet'!$E$3:$E$1001,N$4)=0,"",SUMIFS('Input Sheet'!$F$3:$F$1001,'Input Sheet'!$B$3:$B$1001,$H763,'Input Sheet'!$E$3:$E$1001,N$4))</f>
        <v/>
      </c>
      <c r="O763" s="21" t="str">
        <f>IF(SUMIFS('Input Sheet'!$F$3:$F$1001,'Input Sheet'!$B$3:$B$1001,$H763,'Input Sheet'!$E$3:$E$1001,O$4)=0,"",SUMIFS('Input Sheet'!$F$3:$F$1001,'Input Sheet'!$B$3:$B$1001,$H763,'Input Sheet'!$E$3:$E$1001,O$4))</f>
        <v/>
      </c>
      <c r="P763" s="21" t="str">
        <f>IF(SUMIFS('Input Sheet'!$F$3:$F$1001,'Input Sheet'!$B$3:$B$1001,$H763,'Input Sheet'!$E$3:$E$1001,P$4)=0,"",SUMIFS('Input Sheet'!$F$3:$F$1001,'Input Sheet'!$B$3:$B$1001,$H763,'Input Sheet'!$E$3:$E$1001,P$4))</f>
        <v/>
      </c>
      <c r="Q763" s="21" t="str">
        <f>IF(SUMIFS('Input Sheet'!$F$3:$F$1001,'Input Sheet'!$B$3:$B$1001,$H763,'Input Sheet'!$E$3:$E$1001,Q$4)=0,"",SUMIFS('Input Sheet'!$F$3:$F$1001,'Input Sheet'!$B$3:$B$1001,$H763,'Input Sheet'!$E$3:$E$1001,Q$4))</f>
        <v/>
      </c>
      <c r="R763" s="21" t="str">
        <f>IF(SUMIFS('Input Sheet'!$F$3:$F$1001,'Input Sheet'!$B$3:$B$1001,$H763,'Input Sheet'!$E$3:$E$1001,R$4)=0,"",SUMIFS('Input Sheet'!$F$3:$F$1001,'Input Sheet'!$B$3:$B$1001,$H763,'Input Sheet'!$E$3:$E$1001,R$4))</f>
        <v/>
      </c>
      <c r="S763" s="21" t="str">
        <f>IF(SUMIFS('Input Sheet'!$F$3:$F$1001,'Input Sheet'!$B$3:$B$1001,$H763,'Input Sheet'!$E$3:$E$1001,S$4)=0,"",SUMIFS('Input Sheet'!$F$3:$F$1001,'Input Sheet'!$B$3:$B$1001,$H763,'Input Sheet'!$E$3:$E$1001,S$4))</f>
        <v/>
      </c>
      <c r="T763" s="22">
        <v>758</v>
      </c>
    </row>
    <row r="764" spans="1:20" ht="14.25" customHeight="1" x14ac:dyDescent="0.3">
      <c r="A764" s="4" t="str">
        <f>IF('Input Sheet'!B761=0,"",'Input Sheet'!B761)</f>
        <v/>
      </c>
      <c r="B764" s="24" t="b">
        <f t="shared" si="526"/>
        <v>0</v>
      </c>
      <c r="C764" s="4">
        <f>SUMIF('Input Sheet'!B$3:B$1000,A764,'Input Sheet'!C$3:C$1000)</f>
        <v>0</v>
      </c>
      <c r="D764" s="4">
        <f>SUMIF('Input Sheet'!B$3:B$1000,A764,'Input Sheet'!D$3:D$1000)</f>
        <v>0</v>
      </c>
      <c r="E764" s="4" t="str">
        <f t="shared" ref="E764:F764" ca="1" si="781">IFERROR(RANK(K764,K$6:K$1004,1),"")</f>
        <v/>
      </c>
      <c r="F764" s="4" t="str">
        <f t="shared" ca="1" si="781"/>
        <v/>
      </c>
      <c r="G764" s="4" t="str">
        <f t="shared" ca="1" si="528"/>
        <v/>
      </c>
      <c r="H764" s="4" t="str">
        <f t="shared" si="529"/>
        <v/>
      </c>
      <c r="I764" s="4" t="str">
        <f t="shared" si="530"/>
        <v/>
      </c>
      <c r="J764" s="4" t="str">
        <f t="shared" si="531"/>
        <v/>
      </c>
      <c r="K764" s="25" t="str">
        <f t="shared" ca="1" si="532"/>
        <v/>
      </c>
      <c r="L764" s="21" t="str">
        <f t="shared" ca="1" si="533"/>
        <v/>
      </c>
      <c r="M764" s="21" t="str">
        <f>IF(SUMIFS('Input Sheet'!$F$3:$F$1001,'Input Sheet'!$B$3:$B$1001,$H764,'Input Sheet'!$E$3:$E$1001,M$4)=0,"",SUMIFS('Input Sheet'!$F$3:$F$1001,'Input Sheet'!$B$3:$B$1001,$H764,'Input Sheet'!$E$3:$E$1001,M$4))</f>
        <v/>
      </c>
      <c r="N764" s="21" t="str">
        <f>IF(SUMIFS('Input Sheet'!$F$3:$F$1001,'Input Sheet'!$B$3:$B$1001,$H764,'Input Sheet'!$E$3:$E$1001,N$4)=0,"",SUMIFS('Input Sheet'!$F$3:$F$1001,'Input Sheet'!$B$3:$B$1001,$H764,'Input Sheet'!$E$3:$E$1001,N$4))</f>
        <v/>
      </c>
      <c r="O764" s="21" t="str">
        <f>IF(SUMIFS('Input Sheet'!$F$3:$F$1001,'Input Sheet'!$B$3:$B$1001,$H764,'Input Sheet'!$E$3:$E$1001,O$4)=0,"",SUMIFS('Input Sheet'!$F$3:$F$1001,'Input Sheet'!$B$3:$B$1001,$H764,'Input Sheet'!$E$3:$E$1001,O$4))</f>
        <v/>
      </c>
      <c r="P764" s="21" t="str">
        <f>IF(SUMIFS('Input Sheet'!$F$3:$F$1001,'Input Sheet'!$B$3:$B$1001,$H764,'Input Sheet'!$E$3:$E$1001,P$4)=0,"",SUMIFS('Input Sheet'!$F$3:$F$1001,'Input Sheet'!$B$3:$B$1001,$H764,'Input Sheet'!$E$3:$E$1001,P$4))</f>
        <v/>
      </c>
      <c r="Q764" s="21" t="str">
        <f>IF(SUMIFS('Input Sheet'!$F$3:$F$1001,'Input Sheet'!$B$3:$B$1001,$H764,'Input Sheet'!$E$3:$E$1001,Q$4)=0,"",SUMIFS('Input Sheet'!$F$3:$F$1001,'Input Sheet'!$B$3:$B$1001,$H764,'Input Sheet'!$E$3:$E$1001,Q$4))</f>
        <v/>
      </c>
      <c r="R764" s="21" t="str">
        <f>IF(SUMIFS('Input Sheet'!$F$3:$F$1001,'Input Sheet'!$B$3:$B$1001,$H764,'Input Sheet'!$E$3:$E$1001,R$4)=0,"",SUMIFS('Input Sheet'!$F$3:$F$1001,'Input Sheet'!$B$3:$B$1001,$H764,'Input Sheet'!$E$3:$E$1001,R$4))</f>
        <v/>
      </c>
      <c r="S764" s="21" t="str">
        <f>IF(SUMIFS('Input Sheet'!$F$3:$F$1001,'Input Sheet'!$B$3:$B$1001,$H764,'Input Sheet'!$E$3:$E$1001,S$4)=0,"",SUMIFS('Input Sheet'!$F$3:$F$1001,'Input Sheet'!$B$3:$B$1001,$H764,'Input Sheet'!$E$3:$E$1001,S$4))</f>
        <v/>
      </c>
      <c r="T764" s="22">
        <v>759</v>
      </c>
    </row>
    <row r="765" spans="1:20" ht="14.25" customHeight="1" x14ac:dyDescent="0.3">
      <c r="A765" s="4" t="str">
        <f>IF('Input Sheet'!B762=0,"",'Input Sheet'!B762)</f>
        <v/>
      </c>
      <c r="B765" s="24" t="b">
        <f t="shared" si="526"/>
        <v>0</v>
      </c>
      <c r="C765" s="4">
        <f>SUMIF('Input Sheet'!B$3:B$1000,A765,'Input Sheet'!C$3:C$1000)</f>
        <v>0</v>
      </c>
      <c r="D765" s="4">
        <f>SUMIF('Input Sheet'!B$3:B$1000,A765,'Input Sheet'!D$3:D$1000)</f>
        <v>0</v>
      </c>
      <c r="E765" s="4" t="str">
        <f t="shared" ref="E765:F765" ca="1" si="782">IFERROR(RANK(K765,K$6:K$1004,1),"")</f>
        <v/>
      </c>
      <c r="F765" s="4" t="str">
        <f t="shared" ca="1" si="782"/>
        <v/>
      </c>
      <c r="G765" s="4" t="str">
        <f t="shared" ca="1" si="528"/>
        <v/>
      </c>
      <c r="H765" s="4" t="str">
        <f t="shared" si="529"/>
        <v/>
      </c>
      <c r="I765" s="4" t="str">
        <f t="shared" si="530"/>
        <v/>
      </c>
      <c r="J765" s="4" t="str">
        <f t="shared" si="531"/>
        <v/>
      </c>
      <c r="K765" s="25" t="str">
        <f t="shared" ca="1" si="532"/>
        <v/>
      </c>
      <c r="L765" s="21" t="str">
        <f t="shared" ca="1" si="533"/>
        <v/>
      </c>
      <c r="M765" s="21" t="str">
        <f>IF(SUMIFS('Input Sheet'!$F$3:$F$1001,'Input Sheet'!$B$3:$B$1001,$H765,'Input Sheet'!$E$3:$E$1001,M$4)=0,"",SUMIFS('Input Sheet'!$F$3:$F$1001,'Input Sheet'!$B$3:$B$1001,$H765,'Input Sheet'!$E$3:$E$1001,M$4))</f>
        <v/>
      </c>
      <c r="N765" s="21" t="str">
        <f>IF(SUMIFS('Input Sheet'!$F$3:$F$1001,'Input Sheet'!$B$3:$B$1001,$H765,'Input Sheet'!$E$3:$E$1001,N$4)=0,"",SUMIFS('Input Sheet'!$F$3:$F$1001,'Input Sheet'!$B$3:$B$1001,$H765,'Input Sheet'!$E$3:$E$1001,N$4))</f>
        <v/>
      </c>
      <c r="O765" s="21" t="str">
        <f>IF(SUMIFS('Input Sheet'!$F$3:$F$1001,'Input Sheet'!$B$3:$B$1001,$H765,'Input Sheet'!$E$3:$E$1001,O$4)=0,"",SUMIFS('Input Sheet'!$F$3:$F$1001,'Input Sheet'!$B$3:$B$1001,$H765,'Input Sheet'!$E$3:$E$1001,O$4))</f>
        <v/>
      </c>
      <c r="P765" s="21" t="str">
        <f>IF(SUMIFS('Input Sheet'!$F$3:$F$1001,'Input Sheet'!$B$3:$B$1001,$H765,'Input Sheet'!$E$3:$E$1001,P$4)=0,"",SUMIFS('Input Sheet'!$F$3:$F$1001,'Input Sheet'!$B$3:$B$1001,$H765,'Input Sheet'!$E$3:$E$1001,P$4))</f>
        <v/>
      </c>
      <c r="Q765" s="21" t="str">
        <f>IF(SUMIFS('Input Sheet'!$F$3:$F$1001,'Input Sheet'!$B$3:$B$1001,$H765,'Input Sheet'!$E$3:$E$1001,Q$4)=0,"",SUMIFS('Input Sheet'!$F$3:$F$1001,'Input Sheet'!$B$3:$B$1001,$H765,'Input Sheet'!$E$3:$E$1001,Q$4))</f>
        <v/>
      </c>
      <c r="R765" s="21" t="str">
        <f>IF(SUMIFS('Input Sheet'!$F$3:$F$1001,'Input Sheet'!$B$3:$B$1001,$H765,'Input Sheet'!$E$3:$E$1001,R$4)=0,"",SUMIFS('Input Sheet'!$F$3:$F$1001,'Input Sheet'!$B$3:$B$1001,$H765,'Input Sheet'!$E$3:$E$1001,R$4))</f>
        <v/>
      </c>
      <c r="S765" s="21" t="str">
        <f>IF(SUMIFS('Input Sheet'!$F$3:$F$1001,'Input Sheet'!$B$3:$B$1001,$H765,'Input Sheet'!$E$3:$E$1001,S$4)=0,"",SUMIFS('Input Sheet'!$F$3:$F$1001,'Input Sheet'!$B$3:$B$1001,$H765,'Input Sheet'!$E$3:$E$1001,S$4))</f>
        <v/>
      </c>
      <c r="T765" s="22">
        <v>760</v>
      </c>
    </row>
    <row r="766" spans="1:20" ht="14.25" customHeight="1" x14ac:dyDescent="0.3">
      <c r="A766" s="4" t="str">
        <f>IF('Input Sheet'!B763=0,"",'Input Sheet'!B763)</f>
        <v/>
      </c>
      <c r="B766" s="24" t="b">
        <f t="shared" si="526"/>
        <v>0</v>
      </c>
      <c r="C766" s="4">
        <f>SUMIF('Input Sheet'!B$3:B$1000,A766,'Input Sheet'!C$3:C$1000)</f>
        <v>0</v>
      </c>
      <c r="D766" s="4">
        <f>SUMIF('Input Sheet'!B$3:B$1000,A766,'Input Sheet'!D$3:D$1000)</f>
        <v>0</v>
      </c>
      <c r="E766" s="4" t="str">
        <f t="shared" ref="E766:F766" ca="1" si="783">IFERROR(RANK(K766,K$6:K$1004,1),"")</f>
        <v/>
      </c>
      <c r="F766" s="4" t="str">
        <f t="shared" ca="1" si="783"/>
        <v/>
      </c>
      <c r="G766" s="4" t="str">
        <f t="shared" ca="1" si="528"/>
        <v/>
      </c>
      <c r="H766" s="4" t="str">
        <f t="shared" si="529"/>
        <v/>
      </c>
      <c r="I766" s="4" t="str">
        <f t="shared" si="530"/>
        <v/>
      </c>
      <c r="J766" s="4" t="str">
        <f t="shared" si="531"/>
        <v/>
      </c>
      <c r="K766" s="25" t="str">
        <f t="shared" ca="1" si="532"/>
        <v/>
      </c>
      <c r="L766" s="21" t="str">
        <f t="shared" ca="1" si="533"/>
        <v/>
      </c>
      <c r="M766" s="21" t="str">
        <f>IF(SUMIFS('Input Sheet'!$F$3:$F$1001,'Input Sheet'!$B$3:$B$1001,$H766,'Input Sheet'!$E$3:$E$1001,M$4)=0,"",SUMIFS('Input Sheet'!$F$3:$F$1001,'Input Sheet'!$B$3:$B$1001,$H766,'Input Sheet'!$E$3:$E$1001,M$4))</f>
        <v/>
      </c>
      <c r="N766" s="21" t="str">
        <f>IF(SUMIFS('Input Sheet'!$F$3:$F$1001,'Input Sheet'!$B$3:$B$1001,$H766,'Input Sheet'!$E$3:$E$1001,N$4)=0,"",SUMIFS('Input Sheet'!$F$3:$F$1001,'Input Sheet'!$B$3:$B$1001,$H766,'Input Sheet'!$E$3:$E$1001,N$4))</f>
        <v/>
      </c>
      <c r="O766" s="21" t="str">
        <f>IF(SUMIFS('Input Sheet'!$F$3:$F$1001,'Input Sheet'!$B$3:$B$1001,$H766,'Input Sheet'!$E$3:$E$1001,O$4)=0,"",SUMIFS('Input Sheet'!$F$3:$F$1001,'Input Sheet'!$B$3:$B$1001,$H766,'Input Sheet'!$E$3:$E$1001,O$4))</f>
        <v/>
      </c>
      <c r="P766" s="21" t="str">
        <f>IF(SUMIFS('Input Sheet'!$F$3:$F$1001,'Input Sheet'!$B$3:$B$1001,$H766,'Input Sheet'!$E$3:$E$1001,P$4)=0,"",SUMIFS('Input Sheet'!$F$3:$F$1001,'Input Sheet'!$B$3:$B$1001,$H766,'Input Sheet'!$E$3:$E$1001,P$4))</f>
        <v/>
      </c>
      <c r="Q766" s="21" t="str">
        <f>IF(SUMIFS('Input Sheet'!$F$3:$F$1001,'Input Sheet'!$B$3:$B$1001,$H766,'Input Sheet'!$E$3:$E$1001,Q$4)=0,"",SUMIFS('Input Sheet'!$F$3:$F$1001,'Input Sheet'!$B$3:$B$1001,$H766,'Input Sheet'!$E$3:$E$1001,Q$4))</f>
        <v/>
      </c>
      <c r="R766" s="21" t="str">
        <f>IF(SUMIFS('Input Sheet'!$F$3:$F$1001,'Input Sheet'!$B$3:$B$1001,$H766,'Input Sheet'!$E$3:$E$1001,R$4)=0,"",SUMIFS('Input Sheet'!$F$3:$F$1001,'Input Sheet'!$B$3:$B$1001,$H766,'Input Sheet'!$E$3:$E$1001,R$4))</f>
        <v/>
      </c>
      <c r="S766" s="21" t="str">
        <f>IF(SUMIFS('Input Sheet'!$F$3:$F$1001,'Input Sheet'!$B$3:$B$1001,$H766,'Input Sheet'!$E$3:$E$1001,S$4)=0,"",SUMIFS('Input Sheet'!$F$3:$F$1001,'Input Sheet'!$B$3:$B$1001,$H766,'Input Sheet'!$E$3:$E$1001,S$4))</f>
        <v/>
      </c>
      <c r="T766" s="22">
        <v>761</v>
      </c>
    </row>
    <row r="767" spans="1:20" ht="14.25" customHeight="1" x14ac:dyDescent="0.3">
      <c r="A767" s="4" t="str">
        <f>IF('Input Sheet'!B764=0,"",'Input Sheet'!B764)</f>
        <v/>
      </c>
      <c r="B767" s="24" t="b">
        <f t="shared" si="526"/>
        <v>0</v>
      </c>
      <c r="C767" s="4">
        <f>SUMIF('Input Sheet'!B$3:B$1000,A767,'Input Sheet'!C$3:C$1000)</f>
        <v>0</v>
      </c>
      <c r="D767" s="4">
        <f>SUMIF('Input Sheet'!B$3:B$1000,A767,'Input Sheet'!D$3:D$1000)</f>
        <v>0</v>
      </c>
      <c r="E767" s="4" t="str">
        <f t="shared" ref="E767:F767" ca="1" si="784">IFERROR(RANK(K767,K$6:K$1004,1),"")</f>
        <v/>
      </c>
      <c r="F767" s="4" t="str">
        <f t="shared" ca="1" si="784"/>
        <v/>
      </c>
      <c r="G767" s="4" t="str">
        <f t="shared" ca="1" si="528"/>
        <v/>
      </c>
      <c r="H767" s="4" t="str">
        <f t="shared" si="529"/>
        <v/>
      </c>
      <c r="I767" s="4" t="str">
        <f t="shared" si="530"/>
        <v/>
      </c>
      <c r="J767" s="4" t="str">
        <f t="shared" si="531"/>
        <v/>
      </c>
      <c r="K767" s="25" t="str">
        <f t="shared" ca="1" si="532"/>
        <v/>
      </c>
      <c r="L767" s="21" t="str">
        <f t="shared" ca="1" si="533"/>
        <v/>
      </c>
      <c r="M767" s="21" t="str">
        <f>IF(SUMIFS('Input Sheet'!$F$3:$F$1001,'Input Sheet'!$B$3:$B$1001,$H767,'Input Sheet'!$E$3:$E$1001,M$4)=0,"",SUMIFS('Input Sheet'!$F$3:$F$1001,'Input Sheet'!$B$3:$B$1001,$H767,'Input Sheet'!$E$3:$E$1001,M$4))</f>
        <v/>
      </c>
      <c r="N767" s="21" t="str">
        <f>IF(SUMIFS('Input Sheet'!$F$3:$F$1001,'Input Sheet'!$B$3:$B$1001,$H767,'Input Sheet'!$E$3:$E$1001,N$4)=0,"",SUMIFS('Input Sheet'!$F$3:$F$1001,'Input Sheet'!$B$3:$B$1001,$H767,'Input Sheet'!$E$3:$E$1001,N$4))</f>
        <v/>
      </c>
      <c r="O767" s="21" t="str">
        <f>IF(SUMIFS('Input Sheet'!$F$3:$F$1001,'Input Sheet'!$B$3:$B$1001,$H767,'Input Sheet'!$E$3:$E$1001,O$4)=0,"",SUMIFS('Input Sheet'!$F$3:$F$1001,'Input Sheet'!$B$3:$B$1001,$H767,'Input Sheet'!$E$3:$E$1001,O$4))</f>
        <v/>
      </c>
      <c r="P767" s="21" t="str">
        <f>IF(SUMIFS('Input Sheet'!$F$3:$F$1001,'Input Sheet'!$B$3:$B$1001,$H767,'Input Sheet'!$E$3:$E$1001,P$4)=0,"",SUMIFS('Input Sheet'!$F$3:$F$1001,'Input Sheet'!$B$3:$B$1001,$H767,'Input Sheet'!$E$3:$E$1001,P$4))</f>
        <v/>
      </c>
      <c r="Q767" s="21" t="str">
        <f>IF(SUMIFS('Input Sheet'!$F$3:$F$1001,'Input Sheet'!$B$3:$B$1001,$H767,'Input Sheet'!$E$3:$E$1001,Q$4)=0,"",SUMIFS('Input Sheet'!$F$3:$F$1001,'Input Sheet'!$B$3:$B$1001,$H767,'Input Sheet'!$E$3:$E$1001,Q$4))</f>
        <v/>
      </c>
      <c r="R767" s="21" t="str">
        <f>IF(SUMIFS('Input Sheet'!$F$3:$F$1001,'Input Sheet'!$B$3:$B$1001,$H767,'Input Sheet'!$E$3:$E$1001,R$4)=0,"",SUMIFS('Input Sheet'!$F$3:$F$1001,'Input Sheet'!$B$3:$B$1001,$H767,'Input Sheet'!$E$3:$E$1001,R$4))</f>
        <v/>
      </c>
      <c r="S767" s="21" t="str">
        <f>IF(SUMIFS('Input Sheet'!$F$3:$F$1001,'Input Sheet'!$B$3:$B$1001,$H767,'Input Sheet'!$E$3:$E$1001,S$4)=0,"",SUMIFS('Input Sheet'!$F$3:$F$1001,'Input Sheet'!$B$3:$B$1001,$H767,'Input Sheet'!$E$3:$E$1001,S$4))</f>
        <v/>
      </c>
      <c r="T767" s="22">
        <v>762</v>
      </c>
    </row>
    <row r="768" spans="1:20" ht="14.25" customHeight="1" x14ac:dyDescent="0.3">
      <c r="A768" s="4" t="str">
        <f>IF('Input Sheet'!B765=0,"",'Input Sheet'!B765)</f>
        <v/>
      </c>
      <c r="B768" s="24" t="b">
        <f t="shared" si="526"/>
        <v>0</v>
      </c>
      <c r="C768" s="4">
        <f>SUMIF('Input Sheet'!B$3:B$1000,A768,'Input Sheet'!C$3:C$1000)</f>
        <v>0</v>
      </c>
      <c r="D768" s="4">
        <f>SUMIF('Input Sheet'!B$3:B$1000,A768,'Input Sheet'!D$3:D$1000)</f>
        <v>0</v>
      </c>
      <c r="E768" s="4" t="str">
        <f t="shared" ref="E768:F768" ca="1" si="785">IFERROR(RANK(K768,K$6:K$1004,1),"")</f>
        <v/>
      </c>
      <c r="F768" s="4" t="str">
        <f t="shared" ca="1" si="785"/>
        <v/>
      </c>
      <c r="G768" s="4" t="str">
        <f t="shared" ca="1" si="528"/>
        <v/>
      </c>
      <c r="H768" s="4" t="str">
        <f t="shared" si="529"/>
        <v/>
      </c>
      <c r="I768" s="4" t="str">
        <f t="shared" si="530"/>
        <v/>
      </c>
      <c r="J768" s="4" t="str">
        <f t="shared" si="531"/>
        <v/>
      </c>
      <c r="K768" s="25" t="str">
        <f t="shared" ca="1" si="532"/>
        <v/>
      </c>
      <c r="L768" s="21" t="str">
        <f t="shared" ca="1" si="533"/>
        <v/>
      </c>
      <c r="M768" s="21" t="str">
        <f>IF(SUMIFS('Input Sheet'!$F$3:$F$1001,'Input Sheet'!$B$3:$B$1001,$H768,'Input Sheet'!$E$3:$E$1001,M$4)=0,"",SUMIFS('Input Sheet'!$F$3:$F$1001,'Input Sheet'!$B$3:$B$1001,$H768,'Input Sheet'!$E$3:$E$1001,M$4))</f>
        <v/>
      </c>
      <c r="N768" s="21" t="str">
        <f>IF(SUMIFS('Input Sheet'!$F$3:$F$1001,'Input Sheet'!$B$3:$B$1001,$H768,'Input Sheet'!$E$3:$E$1001,N$4)=0,"",SUMIFS('Input Sheet'!$F$3:$F$1001,'Input Sheet'!$B$3:$B$1001,$H768,'Input Sheet'!$E$3:$E$1001,N$4))</f>
        <v/>
      </c>
      <c r="O768" s="21" t="str">
        <f>IF(SUMIFS('Input Sheet'!$F$3:$F$1001,'Input Sheet'!$B$3:$B$1001,$H768,'Input Sheet'!$E$3:$E$1001,O$4)=0,"",SUMIFS('Input Sheet'!$F$3:$F$1001,'Input Sheet'!$B$3:$B$1001,$H768,'Input Sheet'!$E$3:$E$1001,O$4))</f>
        <v/>
      </c>
      <c r="P768" s="21" t="str">
        <f>IF(SUMIFS('Input Sheet'!$F$3:$F$1001,'Input Sheet'!$B$3:$B$1001,$H768,'Input Sheet'!$E$3:$E$1001,P$4)=0,"",SUMIFS('Input Sheet'!$F$3:$F$1001,'Input Sheet'!$B$3:$B$1001,$H768,'Input Sheet'!$E$3:$E$1001,P$4))</f>
        <v/>
      </c>
      <c r="Q768" s="21" t="str">
        <f>IF(SUMIFS('Input Sheet'!$F$3:$F$1001,'Input Sheet'!$B$3:$B$1001,$H768,'Input Sheet'!$E$3:$E$1001,Q$4)=0,"",SUMIFS('Input Sheet'!$F$3:$F$1001,'Input Sheet'!$B$3:$B$1001,$H768,'Input Sheet'!$E$3:$E$1001,Q$4))</f>
        <v/>
      </c>
      <c r="R768" s="21" t="str">
        <f>IF(SUMIFS('Input Sheet'!$F$3:$F$1001,'Input Sheet'!$B$3:$B$1001,$H768,'Input Sheet'!$E$3:$E$1001,R$4)=0,"",SUMIFS('Input Sheet'!$F$3:$F$1001,'Input Sheet'!$B$3:$B$1001,$H768,'Input Sheet'!$E$3:$E$1001,R$4))</f>
        <v/>
      </c>
      <c r="S768" s="21" t="str">
        <f>IF(SUMIFS('Input Sheet'!$F$3:$F$1001,'Input Sheet'!$B$3:$B$1001,$H768,'Input Sheet'!$E$3:$E$1001,S$4)=0,"",SUMIFS('Input Sheet'!$F$3:$F$1001,'Input Sheet'!$B$3:$B$1001,$H768,'Input Sheet'!$E$3:$E$1001,S$4))</f>
        <v/>
      </c>
      <c r="T768" s="22">
        <v>763</v>
      </c>
    </row>
    <row r="769" spans="1:20" ht="14.25" customHeight="1" x14ac:dyDescent="0.3">
      <c r="A769" s="4" t="str">
        <f>IF('Input Sheet'!B766=0,"",'Input Sheet'!B766)</f>
        <v/>
      </c>
      <c r="B769" s="24" t="b">
        <f t="shared" si="526"/>
        <v>0</v>
      </c>
      <c r="C769" s="4">
        <f>SUMIF('Input Sheet'!B$3:B$1000,A769,'Input Sheet'!C$3:C$1000)</f>
        <v>0</v>
      </c>
      <c r="D769" s="4">
        <f>SUMIF('Input Sheet'!B$3:B$1000,A769,'Input Sheet'!D$3:D$1000)</f>
        <v>0</v>
      </c>
      <c r="E769" s="4" t="str">
        <f t="shared" ref="E769:F769" ca="1" si="786">IFERROR(RANK(K769,K$6:K$1004,1),"")</f>
        <v/>
      </c>
      <c r="F769" s="4" t="str">
        <f t="shared" ca="1" si="786"/>
        <v/>
      </c>
      <c r="G769" s="4" t="str">
        <f t="shared" ca="1" si="528"/>
        <v/>
      </c>
      <c r="H769" s="4" t="str">
        <f t="shared" si="529"/>
        <v/>
      </c>
      <c r="I769" s="4" t="str">
        <f t="shared" si="530"/>
        <v/>
      </c>
      <c r="J769" s="4" t="str">
        <f t="shared" si="531"/>
        <v/>
      </c>
      <c r="K769" s="25" t="str">
        <f t="shared" ca="1" si="532"/>
        <v/>
      </c>
      <c r="L769" s="21" t="str">
        <f t="shared" ca="1" si="533"/>
        <v/>
      </c>
      <c r="M769" s="21" t="str">
        <f>IF(SUMIFS('Input Sheet'!$F$3:$F$1001,'Input Sheet'!$B$3:$B$1001,$H769,'Input Sheet'!$E$3:$E$1001,M$4)=0,"",SUMIFS('Input Sheet'!$F$3:$F$1001,'Input Sheet'!$B$3:$B$1001,$H769,'Input Sheet'!$E$3:$E$1001,M$4))</f>
        <v/>
      </c>
      <c r="N769" s="21" t="str">
        <f>IF(SUMIFS('Input Sheet'!$F$3:$F$1001,'Input Sheet'!$B$3:$B$1001,$H769,'Input Sheet'!$E$3:$E$1001,N$4)=0,"",SUMIFS('Input Sheet'!$F$3:$F$1001,'Input Sheet'!$B$3:$B$1001,$H769,'Input Sheet'!$E$3:$E$1001,N$4))</f>
        <v/>
      </c>
      <c r="O769" s="21" t="str">
        <f>IF(SUMIFS('Input Sheet'!$F$3:$F$1001,'Input Sheet'!$B$3:$B$1001,$H769,'Input Sheet'!$E$3:$E$1001,O$4)=0,"",SUMIFS('Input Sheet'!$F$3:$F$1001,'Input Sheet'!$B$3:$B$1001,$H769,'Input Sheet'!$E$3:$E$1001,O$4))</f>
        <v/>
      </c>
      <c r="P769" s="21" t="str">
        <f>IF(SUMIFS('Input Sheet'!$F$3:$F$1001,'Input Sheet'!$B$3:$B$1001,$H769,'Input Sheet'!$E$3:$E$1001,P$4)=0,"",SUMIFS('Input Sheet'!$F$3:$F$1001,'Input Sheet'!$B$3:$B$1001,$H769,'Input Sheet'!$E$3:$E$1001,P$4))</f>
        <v/>
      </c>
      <c r="Q769" s="21" t="str">
        <f>IF(SUMIFS('Input Sheet'!$F$3:$F$1001,'Input Sheet'!$B$3:$B$1001,$H769,'Input Sheet'!$E$3:$E$1001,Q$4)=0,"",SUMIFS('Input Sheet'!$F$3:$F$1001,'Input Sheet'!$B$3:$B$1001,$H769,'Input Sheet'!$E$3:$E$1001,Q$4))</f>
        <v/>
      </c>
      <c r="R769" s="21" t="str">
        <f>IF(SUMIFS('Input Sheet'!$F$3:$F$1001,'Input Sheet'!$B$3:$B$1001,$H769,'Input Sheet'!$E$3:$E$1001,R$4)=0,"",SUMIFS('Input Sheet'!$F$3:$F$1001,'Input Sheet'!$B$3:$B$1001,$H769,'Input Sheet'!$E$3:$E$1001,R$4))</f>
        <v/>
      </c>
      <c r="S769" s="21" t="str">
        <f>IF(SUMIFS('Input Sheet'!$F$3:$F$1001,'Input Sheet'!$B$3:$B$1001,$H769,'Input Sheet'!$E$3:$E$1001,S$4)=0,"",SUMIFS('Input Sheet'!$F$3:$F$1001,'Input Sheet'!$B$3:$B$1001,$H769,'Input Sheet'!$E$3:$E$1001,S$4))</f>
        <v/>
      </c>
      <c r="T769" s="22">
        <v>764</v>
      </c>
    </row>
    <row r="770" spans="1:20" ht="14.25" customHeight="1" x14ac:dyDescent="0.3">
      <c r="A770" s="4" t="str">
        <f>IF('Input Sheet'!B767=0,"",'Input Sheet'!B767)</f>
        <v/>
      </c>
      <c r="B770" s="24" t="b">
        <f t="shared" si="526"/>
        <v>0</v>
      </c>
      <c r="C770" s="4">
        <f>SUMIF('Input Sheet'!B$3:B$1000,A770,'Input Sheet'!C$3:C$1000)</f>
        <v>0</v>
      </c>
      <c r="D770" s="4">
        <f>SUMIF('Input Sheet'!B$3:B$1000,A770,'Input Sheet'!D$3:D$1000)</f>
        <v>0</v>
      </c>
      <c r="E770" s="4" t="str">
        <f t="shared" ref="E770:F770" ca="1" si="787">IFERROR(RANK(K770,K$6:K$1004,1),"")</f>
        <v/>
      </c>
      <c r="F770" s="4" t="str">
        <f t="shared" ca="1" si="787"/>
        <v/>
      </c>
      <c r="G770" s="4" t="str">
        <f t="shared" ca="1" si="528"/>
        <v/>
      </c>
      <c r="H770" s="4" t="str">
        <f t="shared" si="529"/>
        <v/>
      </c>
      <c r="I770" s="4" t="str">
        <f t="shared" si="530"/>
        <v/>
      </c>
      <c r="J770" s="4" t="str">
        <f t="shared" si="531"/>
        <v/>
      </c>
      <c r="K770" s="25" t="str">
        <f t="shared" ca="1" si="532"/>
        <v/>
      </c>
      <c r="L770" s="21" t="str">
        <f t="shared" ca="1" si="533"/>
        <v/>
      </c>
      <c r="M770" s="21" t="str">
        <f>IF(SUMIFS('Input Sheet'!$F$3:$F$1001,'Input Sheet'!$B$3:$B$1001,$H770,'Input Sheet'!$E$3:$E$1001,M$4)=0,"",SUMIFS('Input Sheet'!$F$3:$F$1001,'Input Sheet'!$B$3:$B$1001,$H770,'Input Sheet'!$E$3:$E$1001,M$4))</f>
        <v/>
      </c>
      <c r="N770" s="21" t="str">
        <f>IF(SUMIFS('Input Sheet'!$F$3:$F$1001,'Input Sheet'!$B$3:$B$1001,$H770,'Input Sheet'!$E$3:$E$1001,N$4)=0,"",SUMIFS('Input Sheet'!$F$3:$F$1001,'Input Sheet'!$B$3:$B$1001,$H770,'Input Sheet'!$E$3:$E$1001,N$4))</f>
        <v/>
      </c>
      <c r="O770" s="21" t="str">
        <f>IF(SUMIFS('Input Sheet'!$F$3:$F$1001,'Input Sheet'!$B$3:$B$1001,$H770,'Input Sheet'!$E$3:$E$1001,O$4)=0,"",SUMIFS('Input Sheet'!$F$3:$F$1001,'Input Sheet'!$B$3:$B$1001,$H770,'Input Sheet'!$E$3:$E$1001,O$4))</f>
        <v/>
      </c>
      <c r="P770" s="21" t="str">
        <f>IF(SUMIFS('Input Sheet'!$F$3:$F$1001,'Input Sheet'!$B$3:$B$1001,$H770,'Input Sheet'!$E$3:$E$1001,P$4)=0,"",SUMIFS('Input Sheet'!$F$3:$F$1001,'Input Sheet'!$B$3:$B$1001,$H770,'Input Sheet'!$E$3:$E$1001,P$4))</f>
        <v/>
      </c>
      <c r="Q770" s="21" t="str">
        <f>IF(SUMIFS('Input Sheet'!$F$3:$F$1001,'Input Sheet'!$B$3:$B$1001,$H770,'Input Sheet'!$E$3:$E$1001,Q$4)=0,"",SUMIFS('Input Sheet'!$F$3:$F$1001,'Input Sheet'!$B$3:$B$1001,$H770,'Input Sheet'!$E$3:$E$1001,Q$4))</f>
        <v/>
      </c>
      <c r="R770" s="21" t="str">
        <f>IF(SUMIFS('Input Sheet'!$F$3:$F$1001,'Input Sheet'!$B$3:$B$1001,$H770,'Input Sheet'!$E$3:$E$1001,R$4)=0,"",SUMIFS('Input Sheet'!$F$3:$F$1001,'Input Sheet'!$B$3:$B$1001,$H770,'Input Sheet'!$E$3:$E$1001,R$4))</f>
        <v/>
      </c>
      <c r="S770" s="21" t="str">
        <f>IF(SUMIFS('Input Sheet'!$F$3:$F$1001,'Input Sheet'!$B$3:$B$1001,$H770,'Input Sheet'!$E$3:$E$1001,S$4)=0,"",SUMIFS('Input Sheet'!$F$3:$F$1001,'Input Sheet'!$B$3:$B$1001,$H770,'Input Sheet'!$E$3:$E$1001,S$4))</f>
        <v/>
      </c>
      <c r="T770" s="22">
        <v>765</v>
      </c>
    </row>
    <row r="771" spans="1:20" ht="14.25" customHeight="1" x14ac:dyDescent="0.3">
      <c r="A771" s="4" t="str">
        <f>IF('Input Sheet'!B768=0,"",'Input Sheet'!B768)</f>
        <v/>
      </c>
      <c r="B771" s="24" t="b">
        <f t="shared" ref="B771:B1005" si="788">IFERROR(VLOOKUP(A771,$A772:A$1005,1,FALSE)=0,1)</f>
        <v>0</v>
      </c>
      <c r="C771" s="4">
        <f>SUMIF('Input Sheet'!B$3:B$1000,A771,'Input Sheet'!C$3:C$1000)</f>
        <v>0</v>
      </c>
      <c r="D771" s="4">
        <f>SUMIF('Input Sheet'!B$3:B$1000,A771,'Input Sheet'!D$3:D$1000)</f>
        <v>0</v>
      </c>
      <c r="E771" s="4" t="str">
        <f t="shared" ref="E771:F771" ca="1" si="789">IFERROR(RANK(K771,K$6:K$1004,1),"")</f>
        <v/>
      </c>
      <c r="F771" s="4" t="str">
        <f t="shared" ca="1" si="789"/>
        <v/>
      </c>
      <c r="G771" s="4" t="str">
        <f t="shared" ref="G771:G1005" ca="1" si="790">IFERROR(RANK(L771,L$6:L$1004,0),"")</f>
        <v/>
      </c>
      <c r="H771" s="4" t="str">
        <f t="shared" ref="H771:H1005" si="791">IF($B771=1,$A771,"")</f>
        <v/>
      </c>
      <c r="I771" s="4" t="str">
        <f t="shared" ref="I771:I1005" si="792">IF($B771=1,$C771,"")</f>
        <v/>
      </c>
      <c r="J771" s="4" t="str">
        <f t="shared" ref="J771:J1005" si="793">IF($B771=1,$D771,"")</f>
        <v/>
      </c>
      <c r="K771" s="25" t="str">
        <f t="shared" ref="K771:K1005" ca="1" si="794">IF($B771=1,$C771/$D771+RAND()/1000,"")</f>
        <v/>
      </c>
      <c r="L771" s="21" t="str">
        <f t="shared" ref="L771:L1005" ca="1" si="795">IF($B771=1,$D771-$C771+RAND()/1000,"")</f>
        <v/>
      </c>
      <c r="M771" s="21" t="str">
        <f>IF(SUMIFS('Input Sheet'!$F$3:$F$1001,'Input Sheet'!$B$3:$B$1001,$H771,'Input Sheet'!$E$3:$E$1001,M$4)=0,"",SUMIFS('Input Sheet'!$F$3:$F$1001,'Input Sheet'!$B$3:$B$1001,$H771,'Input Sheet'!$E$3:$E$1001,M$4))</f>
        <v/>
      </c>
      <c r="N771" s="21" t="str">
        <f>IF(SUMIFS('Input Sheet'!$F$3:$F$1001,'Input Sheet'!$B$3:$B$1001,$H771,'Input Sheet'!$E$3:$E$1001,N$4)=0,"",SUMIFS('Input Sheet'!$F$3:$F$1001,'Input Sheet'!$B$3:$B$1001,$H771,'Input Sheet'!$E$3:$E$1001,N$4))</f>
        <v/>
      </c>
      <c r="O771" s="21" t="str">
        <f>IF(SUMIFS('Input Sheet'!$F$3:$F$1001,'Input Sheet'!$B$3:$B$1001,$H771,'Input Sheet'!$E$3:$E$1001,O$4)=0,"",SUMIFS('Input Sheet'!$F$3:$F$1001,'Input Sheet'!$B$3:$B$1001,$H771,'Input Sheet'!$E$3:$E$1001,O$4))</f>
        <v/>
      </c>
      <c r="P771" s="21" t="str">
        <f>IF(SUMIFS('Input Sheet'!$F$3:$F$1001,'Input Sheet'!$B$3:$B$1001,$H771,'Input Sheet'!$E$3:$E$1001,P$4)=0,"",SUMIFS('Input Sheet'!$F$3:$F$1001,'Input Sheet'!$B$3:$B$1001,$H771,'Input Sheet'!$E$3:$E$1001,P$4))</f>
        <v/>
      </c>
      <c r="Q771" s="21" t="str">
        <f>IF(SUMIFS('Input Sheet'!$F$3:$F$1001,'Input Sheet'!$B$3:$B$1001,$H771,'Input Sheet'!$E$3:$E$1001,Q$4)=0,"",SUMIFS('Input Sheet'!$F$3:$F$1001,'Input Sheet'!$B$3:$B$1001,$H771,'Input Sheet'!$E$3:$E$1001,Q$4))</f>
        <v/>
      </c>
      <c r="R771" s="21" t="str">
        <f>IF(SUMIFS('Input Sheet'!$F$3:$F$1001,'Input Sheet'!$B$3:$B$1001,$H771,'Input Sheet'!$E$3:$E$1001,R$4)=0,"",SUMIFS('Input Sheet'!$F$3:$F$1001,'Input Sheet'!$B$3:$B$1001,$H771,'Input Sheet'!$E$3:$E$1001,R$4))</f>
        <v/>
      </c>
      <c r="S771" s="21" t="str">
        <f>IF(SUMIFS('Input Sheet'!$F$3:$F$1001,'Input Sheet'!$B$3:$B$1001,$H771,'Input Sheet'!$E$3:$E$1001,S$4)=0,"",SUMIFS('Input Sheet'!$F$3:$F$1001,'Input Sheet'!$B$3:$B$1001,$H771,'Input Sheet'!$E$3:$E$1001,S$4))</f>
        <v/>
      </c>
      <c r="T771" s="22">
        <v>766</v>
      </c>
    </row>
    <row r="772" spans="1:20" ht="14.25" customHeight="1" x14ac:dyDescent="0.3">
      <c r="A772" s="4" t="str">
        <f>IF('Input Sheet'!B769=0,"",'Input Sheet'!B769)</f>
        <v/>
      </c>
      <c r="B772" s="24" t="b">
        <f t="shared" si="788"/>
        <v>0</v>
      </c>
      <c r="C772" s="4">
        <f>SUMIF('Input Sheet'!B$3:B$1000,A772,'Input Sheet'!C$3:C$1000)</f>
        <v>0</v>
      </c>
      <c r="D772" s="4">
        <f>SUMIF('Input Sheet'!B$3:B$1000,A772,'Input Sheet'!D$3:D$1000)</f>
        <v>0</v>
      </c>
      <c r="E772" s="4" t="str">
        <f t="shared" ref="E772:F772" ca="1" si="796">IFERROR(RANK(K772,K$6:K$1004,1),"")</f>
        <v/>
      </c>
      <c r="F772" s="4" t="str">
        <f t="shared" ca="1" si="796"/>
        <v/>
      </c>
      <c r="G772" s="4" t="str">
        <f t="shared" ca="1" si="790"/>
        <v/>
      </c>
      <c r="H772" s="4" t="str">
        <f t="shared" si="791"/>
        <v/>
      </c>
      <c r="I772" s="4" t="str">
        <f t="shared" si="792"/>
        <v/>
      </c>
      <c r="J772" s="4" t="str">
        <f t="shared" si="793"/>
        <v/>
      </c>
      <c r="K772" s="25" t="str">
        <f t="shared" ca="1" si="794"/>
        <v/>
      </c>
      <c r="L772" s="21" t="str">
        <f t="shared" ca="1" si="795"/>
        <v/>
      </c>
      <c r="M772" s="21" t="str">
        <f>IF(SUMIFS('Input Sheet'!$F$3:$F$1001,'Input Sheet'!$B$3:$B$1001,$H772,'Input Sheet'!$E$3:$E$1001,M$4)=0,"",SUMIFS('Input Sheet'!$F$3:$F$1001,'Input Sheet'!$B$3:$B$1001,$H772,'Input Sheet'!$E$3:$E$1001,M$4))</f>
        <v/>
      </c>
      <c r="N772" s="21" t="str">
        <f>IF(SUMIFS('Input Sheet'!$F$3:$F$1001,'Input Sheet'!$B$3:$B$1001,$H772,'Input Sheet'!$E$3:$E$1001,N$4)=0,"",SUMIFS('Input Sheet'!$F$3:$F$1001,'Input Sheet'!$B$3:$B$1001,$H772,'Input Sheet'!$E$3:$E$1001,N$4))</f>
        <v/>
      </c>
      <c r="O772" s="21" t="str">
        <f>IF(SUMIFS('Input Sheet'!$F$3:$F$1001,'Input Sheet'!$B$3:$B$1001,$H772,'Input Sheet'!$E$3:$E$1001,O$4)=0,"",SUMIFS('Input Sheet'!$F$3:$F$1001,'Input Sheet'!$B$3:$B$1001,$H772,'Input Sheet'!$E$3:$E$1001,O$4))</f>
        <v/>
      </c>
      <c r="P772" s="21" t="str">
        <f>IF(SUMIFS('Input Sheet'!$F$3:$F$1001,'Input Sheet'!$B$3:$B$1001,$H772,'Input Sheet'!$E$3:$E$1001,P$4)=0,"",SUMIFS('Input Sheet'!$F$3:$F$1001,'Input Sheet'!$B$3:$B$1001,$H772,'Input Sheet'!$E$3:$E$1001,P$4))</f>
        <v/>
      </c>
      <c r="Q772" s="21" t="str">
        <f>IF(SUMIFS('Input Sheet'!$F$3:$F$1001,'Input Sheet'!$B$3:$B$1001,$H772,'Input Sheet'!$E$3:$E$1001,Q$4)=0,"",SUMIFS('Input Sheet'!$F$3:$F$1001,'Input Sheet'!$B$3:$B$1001,$H772,'Input Sheet'!$E$3:$E$1001,Q$4))</f>
        <v/>
      </c>
      <c r="R772" s="21" t="str">
        <f>IF(SUMIFS('Input Sheet'!$F$3:$F$1001,'Input Sheet'!$B$3:$B$1001,$H772,'Input Sheet'!$E$3:$E$1001,R$4)=0,"",SUMIFS('Input Sheet'!$F$3:$F$1001,'Input Sheet'!$B$3:$B$1001,$H772,'Input Sheet'!$E$3:$E$1001,R$4))</f>
        <v/>
      </c>
      <c r="S772" s="21" t="str">
        <f>IF(SUMIFS('Input Sheet'!$F$3:$F$1001,'Input Sheet'!$B$3:$B$1001,$H772,'Input Sheet'!$E$3:$E$1001,S$4)=0,"",SUMIFS('Input Sheet'!$F$3:$F$1001,'Input Sheet'!$B$3:$B$1001,$H772,'Input Sheet'!$E$3:$E$1001,S$4))</f>
        <v/>
      </c>
      <c r="T772" s="22">
        <v>767</v>
      </c>
    </row>
    <row r="773" spans="1:20" ht="14.25" customHeight="1" x14ac:dyDescent="0.3">
      <c r="A773" s="4" t="str">
        <f>IF('Input Sheet'!B770=0,"",'Input Sheet'!B770)</f>
        <v/>
      </c>
      <c r="B773" s="24" t="b">
        <f t="shared" si="788"/>
        <v>0</v>
      </c>
      <c r="C773" s="4">
        <f>SUMIF('Input Sheet'!B$3:B$1000,A773,'Input Sheet'!C$3:C$1000)</f>
        <v>0</v>
      </c>
      <c r="D773" s="4">
        <f>SUMIF('Input Sheet'!B$3:B$1000,A773,'Input Sheet'!D$3:D$1000)</f>
        <v>0</v>
      </c>
      <c r="E773" s="4" t="str">
        <f t="shared" ref="E773:F773" ca="1" si="797">IFERROR(RANK(K773,K$6:K$1004,1),"")</f>
        <v/>
      </c>
      <c r="F773" s="4" t="str">
        <f t="shared" ca="1" si="797"/>
        <v/>
      </c>
      <c r="G773" s="4" t="str">
        <f t="shared" ca="1" si="790"/>
        <v/>
      </c>
      <c r="H773" s="4" t="str">
        <f t="shared" si="791"/>
        <v/>
      </c>
      <c r="I773" s="4" t="str">
        <f t="shared" si="792"/>
        <v/>
      </c>
      <c r="J773" s="4" t="str">
        <f t="shared" si="793"/>
        <v/>
      </c>
      <c r="K773" s="25" t="str">
        <f t="shared" ca="1" si="794"/>
        <v/>
      </c>
      <c r="L773" s="21" t="str">
        <f t="shared" ca="1" si="795"/>
        <v/>
      </c>
      <c r="M773" s="21" t="str">
        <f>IF(SUMIFS('Input Sheet'!$F$3:$F$1001,'Input Sheet'!$B$3:$B$1001,$H773,'Input Sheet'!$E$3:$E$1001,M$4)=0,"",SUMIFS('Input Sheet'!$F$3:$F$1001,'Input Sheet'!$B$3:$B$1001,$H773,'Input Sheet'!$E$3:$E$1001,M$4))</f>
        <v/>
      </c>
      <c r="N773" s="21" t="str">
        <f>IF(SUMIFS('Input Sheet'!$F$3:$F$1001,'Input Sheet'!$B$3:$B$1001,$H773,'Input Sheet'!$E$3:$E$1001,N$4)=0,"",SUMIFS('Input Sheet'!$F$3:$F$1001,'Input Sheet'!$B$3:$B$1001,$H773,'Input Sheet'!$E$3:$E$1001,N$4))</f>
        <v/>
      </c>
      <c r="O773" s="21" t="str">
        <f>IF(SUMIFS('Input Sheet'!$F$3:$F$1001,'Input Sheet'!$B$3:$B$1001,$H773,'Input Sheet'!$E$3:$E$1001,O$4)=0,"",SUMIFS('Input Sheet'!$F$3:$F$1001,'Input Sheet'!$B$3:$B$1001,$H773,'Input Sheet'!$E$3:$E$1001,O$4))</f>
        <v/>
      </c>
      <c r="P773" s="21" t="str">
        <f>IF(SUMIFS('Input Sheet'!$F$3:$F$1001,'Input Sheet'!$B$3:$B$1001,$H773,'Input Sheet'!$E$3:$E$1001,P$4)=0,"",SUMIFS('Input Sheet'!$F$3:$F$1001,'Input Sheet'!$B$3:$B$1001,$H773,'Input Sheet'!$E$3:$E$1001,P$4))</f>
        <v/>
      </c>
      <c r="Q773" s="21" t="str">
        <f>IF(SUMIFS('Input Sheet'!$F$3:$F$1001,'Input Sheet'!$B$3:$B$1001,$H773,'Input Sheet'!$E$3:$E$1001,Q$4)=0,"",SUMIFS('Input Sheet'!$F$3:$F$1001,'Input Sheet'!$B$3:$B$1001,$H773,'Input Sheet'!$E$3:$E$1001,Q$4))</f>
        <v/>
      </c>
      <c r="R773" s="21" t="str">
        <f>IF(SUMIFS('Input Sheet'!$F$3:$F$1001,'Input Sheet'!$B$3:$B$1001,$H773,'Input Sheet'!$E$3:$E$1001,R$4)=0,"",SUMIFS('Input Sheet'!$F$3:$F$1001,'Input Sheet'!$B$3:$B$1001,$H773,'Input Sheet'!$E$3:$E$1001,R$4))</f>
        <v/>
      </c>
      <c r="S773" s="21" t="str">
        <f>IF(SUMIFS('Input Sheet'!$F$3:$F$1001,'Input Sheet'!$B$3:$B$1001,$H773,'Input Sheet'!$E$3:$E$1001,S$4)=0,"",SUMIFS('Input Sheet'!$F$3:$F$1001,'Input Sheet'!$B$3:$B$1001,$H773,'Input Sheet'!$E$3:$E$1001,S$4))</f>
        <v/>
      </c>
      <c r="T773" s="22">
        <v>768</v>
      </c>
    </row>
    <row r="774" spans="1:20" ht="14.25" customHeight="1" x14ac:dyDescent="0.3">
      <c r="A774" s="4" t="str">
        <f>IF('Input Sheet'!B771=0,"",'Input Sheet'!B771)</f>
        <v/>
      </c>
      <c r="B774" s="24" t="b">
        <f t="shared" si="788"/>
        <v>0</v>
      </c>
      <c r="C774" s="4">
        <f>SUMIF('Input Sheet'!B$3:B$1000,A774,'Input Sheet'!C$3:C$1000)</f>
        <v>0</v>
      </c>
      <c r="D774" s="4">
        <f>SUMIF('Input Sheet'!B$3:B$1000,A774,'Input Sheet'!D$3:D$1000)</f>
        <v>0</v>
      </c>
      <c r="E774" s="4" t="str">
        <f t="shared" ref="E774:F774" ca="1" si="798">IFERROR(RANK(K774,K$6:K$1004,1),"")</f>
        <v/>
      </c>
      <c r="F774" s="4" t="str">
        <f t="shared" ca="1" si="798"/>
        <v/>
      </c>
      <c r="G774" s="4" t="str">
        <f t="shared" ca="1" si="790"/>
        <v/>
      </c>
      <c r="H774" s="4" t="str">
        <f t="shared" si="791"/>
        <v/>
      </c>
      <c r="I774" s="4" t="str">
        <f t="shared" si="792"/>
        <v/>
      </c>
      <c r="J774" s="4" t="str">
        <f t="shared" si="793"/>
        <v/>
      </c>
      <c r="K774" s="25" t="str">
        <f t="shared" ca="1" si="794"/>
        <v/>
      </c>
      <c r="L774" s="21" t="str">
        <f t="shared" ca="1" si="795"/>
        <v/>
      </c>
      <c r="M774" s="21" t="str">
        <f>IF(SUMIFS('Input Sheet'!$F$3:$F$1001,'Input Sheet'!$B$3:$B$1001,$H774,'Input Sheet'!$E$3:$E$1001,M$4)=0,"",SUMIFS('Input Sheet'!$F$3:$F$1001,'Input Sheet'!$B$3:$B$1001,$H774,'Input Sheet'!$E$3:$E$1001,M$4))</f>
        <v/>
      </c>
      <c r="N774" s="21" t="str">
        <f>IF(SUMIFS('Input Sheet'!$F$3:$F$1001,'Input Sheet'!$B$3:$B$1001,$H774,'Input Sheet'!$E$3:$E$1001,N$4)=0,"",SUMIFS('Input Sheet'!$F$3:$F$1001,'Input Sheet'!$B$3:$B$1001,$H774,'Input Sheet'!$E$3:$E$1001,N$4))</f>
        <v/>
      </c>
      <c r="O774" s="21" t="str">
        <f>IF(SUMIFS('Input Sheet'!$F$3:$F$1001,'Input Sheet'!$B$3:$B$1001,$H774,'Input Sheet'!$E$3:$E$1001,O$4)=0,"",SUMIFS('Input Sheet'!$F$3:$F$1001,'Input Sheet'!$B$3:$B$1001,$H774,'Input Sheet'!$E$3:$E$1001,O$4))</f>
        <v/>
      </c>
      <c r="P774" s="21" t="str">
        <f>IF(SUMIFS('Input Sheet'!$F$3:$F$1001,'Input Sheet'!$B$3:$B$1001,$H774,'Input Sheet'!$E$3:$E$1001,P$4)=0,"",SUMIFS('Input Sheet'!$F$3:$F$1001,'Input Sheet'!$B$3:$B$1001,$H774,'Input Sheet'!$E$3:$E$1001,P$4))</f>
        <v/>
      </c>
      <c r="Q774" s="21" t="str">
        <f>IF(SUMIFS('Input Sheet'!$F$3:$F$1001,'Input Sheet'!$B$3:$B$1001,$H774,'Input Sheet'!$E$3:$E$1001,Q$4)=0,"",SUMIFS('Input Sheet'!$F$3:$F$1001,'Input Sheet'!$B$3:$B$1001,$H774,'Input Sheet'!$E$3:$E$1001,Q$4))</f>
        <v/>
      </c>
      <c r="R774" s="21" t="str">
        <f>IF(SUMIFS('Input Sheet'!$F$3:$F$1001,'Input Sheet'!$B$3:$B$1001,$H774,'Input Sheet'!$E$3:$E$1001,R$4)=0,"",SUMIFS('Input Sheet'!$F$3:$F$1001,'Input Sheet'!$B$3:$B$1001,$H774,'Input Sheet'!$E$3:$E$1001,R$4))</f>
        <v/>
      </c>
      <c r="S774" s="21" t="str">
        <f>IF(SUMIFS('Input Sheet'!$F$3:$F$1001,'Input Sheet'!$B$3:$B$1001,$H774,'Input Sheet'!$E$3:$E$1001,S$4)=0,"",SUMIFS('Input Sheet'!$F$3:$F$1001,'Input Sheet'!$B$3:$B$1001,$H774,'Input Sheet'!$E$3:$E$1001,S$4))</f>
        <v/>
      </c>
      <c r="T774" s="22">
        <v>769</v>
      </c>
    </row>
    <row r="775" spans="1:20" ht="14.25" customHeight="1" x14ac:dyDescent="0.3">
      <c r="A775" s="4" t="str">
        <f>IF('Input Sheet'!B772=0,"",'Input Sheet'!B772)</f>
        <v/>
      </c>
      <c r="B775" s="24" t="b">
        <f t="shared" si="788"/>
        <v>0</v>
      </c>
      <c r="C775" s="4">
        <f>SUMIF('Input Sheet'!B$3:B$1000,A775,'Input Sheet'!C$3:C$1000)</f>
        <v>0</v>
      </c>
      <c r="D775" s="4">
        <f>SUMIF('Input Sheet'!B$3:B$1000,A775,'Input Sheet'!D$3:D$1000)</f>
        <v>0</v>
      </c>
      <c r="E775" s="4" t="str">
        <f t="shared" ref="E775:F775" ca="1" si="799">IFERROR(RANK(K775,K$6:K$1004,1),"")</f>
        <v/>
      </c>
      <c r="F775" s="4" t="str">
        <f t="shared" ca="1" si="799"/>
        <v/>
      </c>
      <c r="G775" s="4" t="str">
        <f t="shared" ca="1" si="790"/>
        <v/>
      </c>
      <c r="H775" s="4" t="str">
        <f t="shared" si="791"/>
        <v/>
      </c>
      <c r="I775" s="4" t="str">
        <f t="shared" si="792"/>
        <v/>
      </c>
      <c r="J775" s="4" t="str">
        <f t="shared" si="793"/>
        <v/>
      </c>
      <c r="K775" s="25" t="str">
        <f t="shared" ca="1" si="794"/>
        <v/>
      </c>
      <c r="L775" s="21" t="str">
        <f t="shared" ca="1" si="795"/>
        <v/>
      </c>
      <c r="M775" s="21" t="str">
        <f>IF(SUMIFS('Input Sheet'!$F$3:$F$1001,'Input Sheet'!$B$3:$B$1001,$H775,'Input Sheet'!$E$3:$E$1001,M$4)=0,"",SUMIFS('Input Sheet'!$F$3:$F$1001,'Input Sheet'!$B$3:$B$1001,$H775,'Input Sheet'!$E$3:$E$1001,M$4))</f>
        <v/>
      </c>
      <c r="N775" s="21" t="str">
        <f>IF(SUMIFS('Input Sheet'!$F$3:$F$1001,'Input Sheet'!$B$3:$B$1001,$H775,'Input Sheet'!$E$3:$E$1001,N$4)=0,"",SUMIFS('Input Sheet'!$F$3:$F$1001,'Input Sheet'!$B$3:$B$1001,$H775,'Input Sheet'!$E$3:$E$1001,N$4))</f>
        <v/>
      </c>
      <c r="O775" s="21" t="str">
        <f>IF(SUMIFS('Input Sheet'!$F$3:$F$1001,'Input Sheet'!$B$3:$B$1001,$H775,'Input Sheet'!$E$3:$E$1001,O$4)=0,"",SUMIFS('Input Sheet'!$F$3:$F$1001,'Input Sheet'!$B$3:$B$1001,$H775,'Input Sheet'!$E$3:$E$1001,O$4))</f>
        <v/>
      </c>
      <c r="P775" s="21" t="str">
        <f>IF(SUMIFS('Input Sheet'!$F$3:$F$1001,'Input Sheet'!$B$3:$B$1001,$H775,'Input Sheet'!$E$3:$E$1001,P$4)=0,"",SUMIFS('Input Sheet'!$F$3:$F$1001,'Input Sheet'!$B$3:$B$1001,$H775,'Input Sheet'!$E$3:$E$1001,P$4))</f>
        <v/>
      </c>
      <c r="Q775" s="21" t="str">
        <f>IF(SUMIFS('Input Sheet'!$F$3:$F$1001,'Input Sheet'!$B$3:$B$1001,$H775,'Input Sheet'!$E$3:$E$1001,Q$4)=0,"",SUMIFS('Input Sheet'!$F$3:$F$1001,'Input Sheet'!$B$3:$B$1001,$H775,'Input Sheet'!$E$3:$E$1001,Q$4))</f>
        <v/>
      </c>
      <c r="R775" s="21" t="str">
        <f>IF(SUMIFS('Input Sheet'!$F$3:$F$1001,'Input Sheet'!$B$3:$B$1001,$H775,'Input Sheet'!$E$3:$E$1001,R$4)=0,"",SUMIFS('Input Sheet'!$F$3:$F$1001,'Input Sheet'!$B$3:$B$1001,$H775,'Input Sheet'!$E$3:$E$1001,R$4))</f>
        <v/>
      </c>
      <c r="S775" s="21" t="str">
        <f>IF(SUMIFS('Input Sheet'!$F$3:$F$1001,'Input Sheet'!$B$3:$B$1001,$H775,'Input Sheet'!$E$3:$E$1001,S$4)=0,"",SUMIFS('Input Sheet'!$F$3:$F$1001,'Input Sheet'!$B$3:$B$1001,$H775,'Input Sheet'!$E$3:$E$1001,S$4))</f>
        <v/>
      </c>
      <c r="T775" s="22">
        <v>770</v>
      </c>
    </row>
    <row r="776" spans="1:20" ht="14.25" customHeight="1" x14ac:dyDescent="0.3">
      <c r="A776" s="4" t="str">
        <f>IF('Input Sheet'!B773=0,"",'Input Sheet'!B773)</f>
        <v/>
      </c>
      <c r="B776" s="24" t="b">
        <f t="shared" si="788"/>
        <v>0</v>
      </c>
      <c r="C776" s="4">
        <f>SUMIF('Input Sheet'!B$3:B$1000,A776,'Input Sheet'!C$3:C$1000)</f>
        <v>0</v>
      </c>
      <c r="D776" s="4">
        <f>SUMIF('Input Sheet'!B$3:B$1000,A776,'Input Sheet'!D$3:D$1000)</f>
        <v>0</v>
      </c>
      <c r="E776" s="4" t="str">
        <f t="shared" ref="E776:F776" ca="1" si="800">IFERROR(RANK(K776,K$6:K$1004,1),"")</f>
        <v/>
      </c>
      <c r="F776" s="4" t="str">
        <f t="shared" ca="1" si="800"/>
        <v/>
      </c>
      <c r="G776" s="4" t="str">
        <f t="shared" ca="1" si="790"/>
        <v/>
      </c>
      <c r="H776" s="4" t="str">
        <f t="shared" si="791"/>
        <v/>
      </c>
      <c r="I776" s="4" t="str">
        <f t="shared" si="792"/>
        <v/>
      </c>
      <c r="J776" s="4" t="str">
        <f t="shared" si="793"/>
        <v/>
      </c>
      <c r="K776" s="25" t="str">
        <f t="shared" ca="1" si="794"/>
        <v/>
      </c>
      <c r="L776" s="21" t="str">
        <f t="shared" ca="1" si="795"/>
        <v/>
      </c>
      <c r="M776" s="21" t="str">
        <f>IF(SUMIFS('Input Sheet'!$F$3:$F$1001,'Input Sheet'!$B$3:$B$1001,$H776,'Input Sheet'!$E$3:$E$1001,M$4)=0,"",SUMIFS('Input Sheet'!$F$3:$F$1001,'Input Sheet'!$B$3:$B$1001,$H776,'Input Sheet'!$E$3:$E$1001,M$4))</f>
        <v/>
      </c>
      <c r="N776" s="21" t="str">
        <f>IF(SUMIFS('Input Sheet'!$F$3:$F$1001,'Input Sheet'!$B$3:$B$1001,$H776,'Input Sheet'!$E$3:$E$1001,N$4)=0,"",SUMIFS('Input Sheet'!$F$3:$F$1001,'Input Sheet'!$B$3:$B$1001,$H776,'Input Sheet'!$E$3:$E$1001,N$4))</f>
        <v/>
      </c>
      <c r="O776" s="21" t="str">
        <f>IF(SUMIFS('Input Sheet'!$F$3:$F$1001,'Input Sheet'!$B$3:$B$1001,$H776,'Input Sheet'!$E$3:$E$1001,O$4)=0,"",SUMIFS('Input Sheet'!$F$3:$F$1001,'Input Sheet'!$B$3:$B$1001,$H776,'Input Sheet'!$E$3:$E$1001,O$4))</f>
        <v/>
      </c>
      <c r="P776" s="21" t="str">
        <f>IF(SUMIFS('Input Sheet'!$F$3:$F$1001,'Input Sheet'!$B$3:$B$1001,$H776,'Input Sheet'!$E$3:$E$1001,P$4)=0,"",SUMIFS('Input Sheet'!$F$3:$F$1001,'Input Sheet'!$B$3:$B$1001,$H776,'Input Sheet'!$E$3:$E$1001,P$4))</f>
        <v/>
      </c>
      <c r="Q776" s="21" t="str">
        <f>IF(SUMIFS('Input Sheet'!$F$3:$F$1001,'Input Sheet'!$B$3:$B$1001,$H776,'Input Sheet'!$E$3:$E$1001,Q$4)=0,"",SUMIFS('Input Sheet'!$F$3:$F$1001,'Input Sheet'!$B$3:$B$1001,$H776,'Input Sheet'!$E$3:$E$1001,Q$4))</f>
        <v/>
      </c>
      <c r="R776" s="21" t="str">
        <f>IF(SUMIFS('Input Sheet'!$F$3:$F$1001,'Input Sheet'!$B$3:$B$1001,$H776,'Input Sheet'!$E$3:$E$1001,R$4)=0,"",SUMIFS('Input Sheet'!$F$3:$F$1001,'Input Sheet'!$B$3:$B$1001,$H776,'Input Sheet'!$E$3:$E$1001,R$4))</f>
        <v/>
      </c>
      <c r="S776" s="21" t="str">
        <f>IF(SUMIFS('Input Sheet'!$F$3:$F$1001,'Input Sheet'!$B$3:$B$1001,$H776,'Input Sheet'!$E$3:$E$1001,S$4)=0,"",SUMIFS('Input Sheet'!$F$3:$F$1001,'Input Sheet'!$B$3:$B$1001,$H776,'Input Sheet'!$E$3:$E$1001,S$4))</f>
        <v/>
      </c>
      <c r="T776" s="22">
        <v>771</v>
      </c>
    </row>
    <row r="777" spans="1:20" ht="14.25" customHeight="1" x14ac:dyDescent="0.3">
      <c r="A777" s="4" t="str">
        <f>IF('Input Sheet'!B774=0,"",'Input Sheet'!B774)</f>
        <v/>
      </c>
      <c r="B777" s="24" t="b">
        <f t="shared" si="788"/>
        <v>0</v>
      </c>
      <c r="C777" s="4">
        <f>SUMIF('Input Sheet'!B$3:B$1000,A777,'Input Sheet'!C$3:C$1000)</f>
        <v>0</v>
      </c>
      <c r="D777" s="4">
        <f>SUMIF('Input Sheet'!B$3:B$1000,A777,'Input Sheet'!D$3:D$1000)</f>
        <v>0</v>
      </c>
      <c r="E777" s="4" t="str">
        <f t="shared" ref="E777:F777" ca="1" si="801">IFERROR(RANK(K777,K$6:K$1004,1),"")</f>
        <v/>
      </c>
      <c r="F777" s="4" t="str">
        <f t="shared" ca="1" si="801"/>
        <v/>
      </c>
      <c r="G777" s="4" t="str">
        <f t="shared" ca="1" si="790"/>
        <v/>
      </c>
      <c r="H777" s="4" t="str">
        <f t="shared" si="791"/>
        <v/>
      </c>
      <c r="I777" s="4" t="str">
        <f t="shared" si="792"/>
        <v/>
      </c>
      <c r="J777" s="4" t="str">
        <f t="shared" si="793"/>
        <v/>
      </c>
      <c r="K777" s="25" t="str">
        <f t="shared" ca="1" si="794"/>
        <v/>
      </c>
      <c r="L777" s="21" t="str">
        <f t="shared" ca="1" si="795"/>
        <v/>
      </c>
      <c r="M777" s="21" t="str">
        <f>IF(SUMIFS('Input Sheet'!$F$3:$F$1001,'Input Sheet'!$B$3:$B$1001,$H777,'Input Sheet'!$E$3:$E$1001,M$4)=0,"",SUMIFS('Input Sheet'!$F$3:$F$1001,'Input Sheet'!$B$3:$B$1001,$H777,'Input Sheet'!$E$3:$E$1001,M$4))</f>
        <v/>
      </c>
      <c r="N777" s="21" t="str">
        <f>IF(SUMIFS('Input Sheet'!$F$3:$F$1001,'Input Sheet'!$B$3:$B$1001,$H777,'Input Sheet'!$E$3:$E$1001,N$4)=0,"",SUMIFS('Input Sheet'!$F$3:$F$1001,'Input Sheet'!$B$3:$B$1001,$H777,'Input Sheet'!$E$3:$E$1001,N$4))</f>
        <v/>
      </c>
      <c r="O777" s="21" t="str">
        <f>IF(SUMIFS('Input Sheet'!$F$3:$F$1001,'Input Sheet'!$B$3:$B$1001,$H777,'Input Sheet'!$E$3:$E$1001,O$4)=0,"",SUMIFS('Input Sheet'!$F$3:$F$1001,'Input Sheet'!$B$3:$B$1001,$H777,'Input Sheet'!$E$3:$E$1001,O$4))</f>
        <v/>
      </c>
      <c r="P777" s="21" t="str">
        <f>IF(SUMIFS('Input Sheet'!$F$3:$F$1001,'Input Sheet'!$B$3:$B$1001,$H777,'Input Sheet'!$E$3:$E$1001,P$4)=0,"",SUMIFS('Input Sheet'!$F$3:$F$1001,'Input Sheet'!$B$3:$B$1001,$H777,'Input Sheet'!$E$3:$E$1001,P$4))</f>
        <v/>
      </c>
      <c r="Q777" s="21" t="str">
        <f>IF(SUMIFS('Input Sheet'!$F$3:$F$1001,'Input Sheet'!$B$3:$B$1001,$H777,'Input Sheet'!$E$3:$E$1001,Q$4)=0,"",SUMIFS('Input Sheet'!$F$3:$F$1001,'Input Sheet'!$B$3:$B$1001,$H777,'Input Sheet'!$E$3:$E$1001,Q$4))</f>
        <v/>
      </c>
      <c r="R777" s="21" t="str">
        <f>IF(SUMIFS('Input Sheet'!$F$3:$F$1001,'Input Sheet'!$B$3:$B$1001,$H777,'Input Sheet'!$E$3:$E$1001,R$4)=0,"",SUMIFS('Input Sheet'!$F$3:$F$1001,'Input Sheet'!$B$3:$B$1001,$H777,'Input Sheet'!$E$3:$E$1001,R$4))</f>
        <v/>
      </c>
      <c r="S777" s="21" t="str">
        <f>IF(SUMIFS('Input Sheet'!$F$3:$F$1001,'Input Sheet'!$B$3:$B$1001,$H777,'Input Sheet'!$E$3:$E$1001,S$4)=0,"",SUMIFS('Input Sheet'!$F$3:$F$1001,'Input Sheet'!$B$3:$B$1001,$H777,'Input Sheet'!$E$3:$E$1001,S$4))</f>
        <v/>
      </c>
      <c r="T777" s="22">
        <v>772</v>
      </c>
    </row>
    <row r="778" spans="1:20" ht="14.25" customHeight="1" x14ac:dyDescent="0.3">
      <c r="A778" s="4" t="str">
        <f>IF('Input Sheet'!B775=0,"",'Input Sheet'!B775)</f>
        <v/>
      </c>
      <c r="B778" s="24" t="b">
        <f t="shared" si="788"/>
        <v>0</v>
      </c>
      <c r="C778" s="4">
        <f>SUMIF('Input Sheet'!B$3:B$1000,A778,'Input Sheet'!C$3:C$1000)</f>
        <v>0</v>
      </c>
      <c r="D778" s="4">
        <f>SUMIF('Input Sheet'!B$3:B$1000,A778,'Input Sheet'!D$3:D$1000)</f>
        <v>0</v>
      </c>
      <c r="E778" s="4" t="str">
        <f t="shared" ref="E778:F778" ca="1" si="802">IFERROR(RANK(K778,K$6:K$1004,1),"")</f>
        <v/>
      </c>
      <c r="F778" s="4" t="str">
        <f t="shared" ca="1" si="802"/>
        <v/>
      </c>
      <c r="G778" s="4" t="str">
        <f t="shared" ca="1" si="790"/>
        <v/>
      </c>
      <c r="H778" s="4" t="str">
        <f t="shared" si="791"/>
        <v/>
      </c>
      <c r="I778" s="4" t="str">
        <f t="shared" si="792"/>
        <v/>
      </c>
      <c r="J778" s="4" t="str">
        <f t="shared" si="793"/>
        <v/>
      </c>
      <c r="K778" s="25" t="str">
        <f t="shared" ca="1" si="794"/>
        <v/>
      </c>
      <c r="L778" s="21" t="str">
        <f t="shared" ca="1" si="795"/>
        <v/>
      </c>
      <c r="M778" s="21" t="str">
        <f>IF(SUMIFS('Input Sheet'!$F$3:$F$1001,'Input Sheet'!$B$3:$B$1001,$H778,'Input Sheet'!$E$3:$E$1001,M$4)=0,"",SUMIFS('Input Sheet'!$F$3:$F$1001,'Input Sheet'!$B$3:$B$1001,$H778,'Input Sheet'!$E$3:$E$1001,M$4))</f>
        <v/>
      </c>
      <c r="N778" s="21" t="str">
        <f>IF(SUMIFS('Input Sheet'!$F$3:$F$1001,'Input Sheet'!$B$3:$B$1001,$H778,'Input Sheet'!$E$3:$E$1001,N$4)=0,"",SUMIFS('Input Sheet'!$F$3:$F$1001,'Input Sheet'!$B$3:$B$1001,$H778,'Input Sheet'!$E$3:$E$1001,N$4))</f>
        <v/>
      </c>
      <c r="O778" s="21" t="str">
        <f>IF(SUMIFS('Input Sheet'!$F$3:$F$1001,'Input Sheet'!$B$3:$B$1001,$H778,'Input Sheet'!$E$3:$E$1001,O$4)=0,"",SUMIFS('Input Sheet'!$F$3:$F$1001,'Input Sheet'!$B$3:$B$1001,$H778,'Input Sheet'!$E$3:$E$1001,O$4))</f>
        <v/>
      </c>
      <c r="P778" s="21" t="str">
        <f>IF(SUMIFS('Input Sheet'!$F$3:$F$1001,'Input Sheet'!$B$3:$B$1001,$H778,'Input Sheet'!$E$3:$E$1001,P$4)=0,"",SUMIFS('Input Sheet'!$F$3:$F$1001,'Input Sheet'!$B$3:$B$1001,$H778,'Input Sheet'!$E$3:$E$1001,P$4))</f>
        <v/>
      </c>
      <c r="Q778" s="21" t="str">
        <f>IF(SUMIFS('Input Sheet'!$F$3:$F$1001,'Input Sheet'!$B$3:$B$1001,$H778,'Input Sheet'!$E$3:$E$1001,Q$4)=0,"",SUMIFS('Input Sheet'!$F$3:$F$1001,'Input Sheet'!$B$3:$B$1001,$H778,'Input Sheet'!$E$3:$E$1001,Q$4))</f>
        <v/>
      </c>
      <c r="R778" s="21" t="str">
        <f>IF(SUMIFS('Input Sheet'!$F$3:$F$1001,'Input Sheet'!$B$3:$B$1001,$H778,'Input Sheet'!$E$3:$E$1001,R$4)=0,"",SUMIFS('Input Sheet'!$F$3:$F$1001,'Input Sheet'!$B$3:$B$1001,$H778,'Input Sheet'!$E$3:$E$1001,R$4))</f>
        <v/>
      </c>
      <c r="S778" s="21" t="str">
        <f>IF(SUMIFS('Input Sheet'!$F$3:$F$1001,'Input Sheet'!$B$3:$B$1001,$H778,'Input Sheet'!$E$3:$E$1001,S$4)=0,"",SUMIFS('Input Sheet'!$F$3:$F$1001,'Input Sheet'!$B$3:$B$1001,$H778,'Input Sheet'!$E$3:$E$1001,S$4))</f>
        <v/>
      </c>
      <c r="T778" s="22">
        <v>773</v>
      </c>
    </row>
    <row r="779" spans="1:20" ht="14.25" customHeight="1" x14ac:dyDescent="0.3">
      <c r="A779" s="4" t="str">
        <f>IF('Input Sheet'!B776=0,"",'Input Sheet'!B776)</f>
        <v/>
      </c>
      <c r="B779" s="24" t="b">
        <f t="shared" si="788"/>
        <v>0</v>
      </c>
      <c r="C779" s="4">
        <f>SUMIF('Input Sheet'!B$3:B$1000,A779,'Input Sheet'!C$3:C$1000)</f>
        <v>0</v>
      </c>
      <c r="D779" s="4">
        <f>SUMIF('Input Sheet'!B$3:B$1000,A779,'Input Sheet'!D$3:D$1000)</f>
        <v>0</v>
      </c>
      <c r="E779" s="4" t="str">
        <f t="shared" ref="E779:F779" ca="1" si="803">IFERROR(RANK(K779,K$6:K$1004,1),"")</f>
        <v/>
      </c>
      <c r="F779" s="4" t="str">
        <f t="shared" ca="1" si="803"/>
        <v/>
      </c>
      <c r="G779" s="4" t="str">
        <f t="shared" ca="1" si="790"/>
        <v/>
      </c>
      <c r="H779" s="4" t="str">
        <f t="shared" si="791"/>
        <v/>
      </c>
      <c r="I779" s="4" t="str">
        <f t="shared" si="792"/>
        <v/>
      </c>
      <c r="J779" s="4" t="str">
        <f t="shared" si="793"/>
        <v/>
      </c>
      <c r="K779" s="25" t="str">
        <f t="shared" ca="1" si="794"/>
        <v/>
      </c>
      <c r="L779" s="21" t="str">
        <f t="shared" ca="1" si="795"/>
        <v/>
      </c>
      <c r="M779" s="21" t="str">
        <f>IF(SUMIFS('Input Sheet'!$F$3:$F$1001,'Input Sheet'!$B$3:$B$1001,$H779,'Input Sheet'!$E$3:$E$1001,M$4)=0,"",SUMIFS('Input Sheet'!$F$3:$F$1001,'Input Sheet'!$B$3:$B$1001,$H779,'Input Sheet'!$E$3:$E$1001,M$4))</f>
        <v/>
      </c>
      <c r="N779" s="21" t="str">
        <f>IF(SUMIFS('Input Sheet'!$F$3:$F$1001,'Input Sheet'!$B$3:$B$1001,$H779,'Input Sheet'!$E$3:$E$1001,N$4)=0,"",SUMIFS('Input Sheet'!$F$3:$F$1001,'Input Sheet'!$B$3:$B$1001,$H779,'Input Sheet'!$E$3:$E$1001,N$4))</f>
        <v/>
      </c>
      <c r="O779" s="21" t="str">
        <f>IF(SUMIFS('Input Sheet'!$F$3:$F$1001,'Input Sheet'!$B$3:$B$1001,$H779,'Input Sheet'!$E$3:$E$1001,O$4)=0,"",SUMIFS('Input Sheet'!$F$3:$F$1001,'Input Sheet'!$B$3:$B$1001,$H779,'Input Sheet'!$E$3:$E$1001,O$4))</f>
        <v/>
      </c>
      <c r="P779" s="21" t="str">
        <f>IF(SUMIFS('Input Sheet'!$F$3:$F$1001,'Input Sheet'!$B$3:$B$1001,$H779,'Input Sheet'!$E$3:$E$1001,P$4)=0,"",SUMIFS('Input Sheet'!$F$3:$F$1001,'Input Sheet'!$B$3:$B$1001,$H779,'Input Sheet'!$E$3:$E$1001,P$4))</f>
        <v/>
      </c>
      <c r="Q779" s="21" t="str">
        <f>IF(SUMIFS('Input Sheet'!$F$3:$F$1001,'Input Sheet'!$B$3:$B$1001,$H779,'Input Sheet'!$E$3:$E$1001,Q$4)=0,"",SUMIFS('Input Sheet'!$F$3:$F$1001,'Input Sheet'!$B$3:$B$1001,$H779,'Input Sheet'!$E$3:$E$1001,Q$4))</f>
        <v/>
      </c>
      <c r="R779" s="21" t="str">
        <f>IF(SUMIFS('Input Sheet'!$F$3:$F$1001,'Input Sheet'!$B$3:$B$1001,$H779,'Input Sheet'!$E$3:$E$1001,R$4)=0,"",SUMIFS('Input Sheet'!$F$3:$F$1001,'Input Sheet'!$B$3:$B$1001,$H779,'Input Sheet'!$E$3:$E$1001,R$4))</f>
        <v/>
      </c>
      <c r="S779" s="21" t="str">
        <f>IF(SUMIFS('Input Sheet'!$F$3:$F$1001,'Input Sheet'!$B$3:$B$1001,$H779,'Input Sheet'!$E$3:$E$1001,S$4)=0,"",SUMIFS('Input Sheet'!$F$3:$F$1001,'Input Sheet'!$B$3:$B$1001,$H779,'Input Sheet'!$E$3:$E$1001,S$4))</f>
        <v/>
      </c>
      <c r="T779" s="22">
        <v>774</v>
      </c>
    </row>
    <row r="780" spans="1:20" ht="14.25" customHeight="1" x14ac:dyDescent="0.3">
      <c r="A780" s="4" t="str">
        <f>IF('Input Sheet'!B777=0,"",'Input Sheet'!B777)</f>
        <v/>
      </c>
      <c r="B780" s="24" t="b">
        <f t="shared" si="788"/>
        <v>0</v>
      </c>
      <c r="C780" s="4">
        <f>SUMIF('Input Sheet'!B$3:B$1000,A780,'Input Sheet'!C$3:C$1000)</f>
        <v>0</v>
      </c>
      <c r="D780" s="4">
        <f>SUMIF('Input Sheet'!B$3:B$1000,A780,'Input Sheet'!D$3:D$1000)</f>
        <v>0</v>
      </c>
      <c r="E780" s="4" t="str">
        <f t="shared" ref="E780:F780" ca="1" si="804">IFERROR(RANK(K780,K$6:K$1004,1),"")</f>
        <v/>
      </c>
      <c r="F780" s="4" t="str">
        <f t="shared" ca="1" si="804"/>
        <v/>
      </c>
      <c r="G780" s="4" t="str">
        <f t="shared" ca="1" si="790"/>
        <v/>
      </c>
      <c r="H780" s="4" t="str">
        <f t="shared" si="791"/>
        <v/>
      </c>
      <c r="I780" s="4" t="str">
        <f t="shared" si="792"/>
        <v/>
      </c>
      <c r="J780" s="4" t="str">
        <f t="shared" si="793"/>
        <v/>
      </c>
      <c r="K780" s="25" t="str">
        <f t="shared" ca="1" si="794"/>
        <v/>
      </c>
      <c r="L780" s="21" t="str">
        <f t="shared" ca="1" si="795"/>
        <v/>
      </c>
      <c r="M780" s="21" t="str">
        <f>IF(SUMIFS('Input Sheet'!$F$3:$F$1001,'Input Sheet'!$B$3:$B$1001,$H780,'Input Sheet'!$E$3:$E$1001,M$4)=0,"",SUMIFS('Input Sheet'!$F$3:$F$1001,'Input Sheet'!$B$3:$B$1001,$H780,'Input Sheet'!$E$3:$E$1001,M$4))</f>
        <v/>
      </c>
      <c r="N780" s="21" t="str">
        <f>IF(SUMIFS('Input Sheet'!$F$3:$F$1001,'Input Sheet'!$B$3:$B$1001,$H780,'Input Sheet'!$E$3:$E$1001,N$4)=0,"",SUMIFS('Input Sheet'!$F$3:$F$1001,'Input Sheet'!$B$3:$B$1001,$H780,'Input Sheet'!$E$3:$E$1001,N$4))</f>
        <v/>
      </c>
      <c r="O780" s="21" t="str">
        <f>IF(SUMIFS('Input Sheet'!$F$3:$F$1001,'Input Sheet'!$B$3:$B$1001,$H780,'Input Sheet'!$E$3:$E$1001,O$4)=0,"",SUMIFS('Input Sheet'!$F$3:$F$1001,'Input Sheet'!$B$3:$B$1001,$H780,'Input Sheet'!$E$3:$E$1001,O$4))</f>
        <v/>
      </c>
      <c r="P780" s="21" t="str">
        <f>IF(SUMIFS('Input Sheet'!$F$3:$F$1001,'Input Sheet'!$B$3:$B$1001,$H780,'Input Sheet'!$E$3:$E$1001,P$4)=0,"",SUMIFS('Input Sheet'!$F$3:$F$1001,'Input Sheet'!$B$3:$B$1001,$H780,'Input Sheet'!$E$3:$E$1001,P$4))</f>
        <v/>
      </c>
      <c r="Q780" s="21" t="str">
        <f>IF(SUMIFS('Input Sheet'!$F$3:$F$1001,'Input Sheet'!$B$3:$B$1001,$H780,'Input Sheet'!$E$3:$E$1001,Q$4)=0,"",SUMIFS('Input Sheet'!$F$3:$F$1001,'Input Sheet'!$B$3:$B$1001,$H780,'Input Sheet'!$E$3:$E$1001,Q$4))</f>
        <v/>
      </c>
      <c r="R780" s="21" t="str">
        <f>IF(SUMIFS('Input Sheet'!$F$3:$F$1001,'Input Sheet'!$B$3:$B$1001,$H780,'Input Sheet'!$E$3:$E$1001,R$4)=0,"",SUMIFS('Input Sheet'!$F$3:$F$1001,'Input Sheet'!$B$3:$B$1001,$H780,'Input Sheet'!$E$3:$E$1001,R$4))</f>
        <v/>
      </c>
      <c r="S780" s="21" t="str">
        <f>IF(SUMIFS('Input Sheet'!$F$3:$F$1001,'Input Sheet'!$B$3:$B$1001,$H780,'Input Sheet'!$E$3:$E$1001,S$4)=0,"",SUMIFS('Input Sheet'!$F$3:$F$1001,'Input Sheet'!$B$3:$B$1001,$H780,'Input Sheet'!$E$3:$E$1001,S$4))</f>
        <v/>
      </c>
      <c r="T780" s="22">
        <v>775</v>
      </c>
    </row>
    <row r="781" spans="1:20" ht="14.25" customHeight="1" x14ac:dyDescent="0.3">
      <c r="A781" s="4" t="str">
        <f>IF('Input Sheet'!B778=0,"",'Input Sheet'!B778)</f>
        <v/>
      </c>
      <c r="B781" s="24" t="b">
        <f t="shared" si="788"/>
        <v>0</v>
      </c>
      <c r="C781" s="4">
        <f>SUMIF('Input Sheet'!B$3:B$1000,A781,'Input Sheet'!C$3:C$1000)</f>
        <v>0</v>
      </c>
      <c r="D781" s="4">
        <f>SUMIF('Input Sheet'!B$3:B$1000,A781,'Input Sheet'!D$3:D$1000)</f>
        <v>0</v>
      </c>
      <c r="E781" s="4" t="str">
        <f t="shared" ref="E781:F781" ca="1" si="805">IFERROR(RANK(K781,K$6:K$1004,1),"")</f>
        <v/>
      </c>
      <c r="F781" s="4" t="str">
        <f t="shared" ca="1" si="805"/>
        <v/>
      </c>
      <c r="G781" s="4" t="str">
        <f t="shared" ca="1" si="790"/>
        <v/>
      </c>
      <c r="H781" s="4" t="str">
        <f t="shared" si="791"/>
        <v/>
      </c>
      <c r="I781" s="4" t="str">
        <f t="shared" si="792"/>
        <v/>
      </c>
      <c r="J781" s="4" t="str">
        <f t="shared" si="793"/>
        <v/>
      </c>
      <c r="K781" s="25" t="str">
        <f t="shared" ca="1" si="794"/>
        <v/>
      </c>
      <c r="L781" s="21" t="str">
        <f t="shared" ca="1" si="795"/>
        <v/>
      </c>
      <c r="M781" s="21" t="str">
        <f>IF(SUMIFS('Input Sheet'!$F$3:$F$1001,'Input Sheet'!$B$3:$B$1001,$H781,'Input Sheet'!$E$3:$E$1001,M$4)=0,"",SUMIFS('Input Sheet'!$F$3:$F$1001,'Input Sheet'!$B$3:$B$1001,$H781,'Input Sheet'!$E$3:$E$1001,M$4))</f>
        <v/>
      </c>
      <c r="N781" s="21" t="str">
        <f>IF(SUMIFS('Input Sheet'!$F$3:$F$1001,'Input Sheet'!$B$3:$B$1001,$H781,'Input Sheet'!$E$3:$E$1001,N$4)=0,"",SUMIFS('Input Sheet'!$F$3:$F$1001,'Input Sheet'!$B$3:$B$1001,$H781,'Input Sheet'!$E$3:$E$1001,N$4))</f>
        <v/>
      </c>
      <c r="O781" s="21" t="str">
        <f>IF(SUMIFS('Input Sheet'!$F$3:$F$1001,'Input Sheet'!$B$3:$B$1001,$H781,'Input Sheet'!$E$3:$E$1001,O$4)=0,"",SUMIFS('Input Sheet'!$F$3:$F$1001,'Input Sheet'!$B$3:$B$1001,$H781,'Input Sheet'!$E$3:$E$1001,O$4))</f>
        <v/>
      </c>
      <c r="P781" s="21" t="str">
        <f>IF(SUMIFS('Input Sheet'!$F$3:$F$1001,'Input Sheet'!$B$3:$B$1001,$H781,'Input Sheet'!$E$3:$E$1001,P$4)=0,"",SUMIFS('Input Sheet'!$F$3:$F$1001,'Input Sheet'!$B$3:$B$1001,$H781,'Input Sheet'!$E$3:$E$1001,P$4))</f>
        <v/>
      </c>
      <c r="Q781" s="21" t="str">
        <f>IF(SUMIFS('Input Sheet'!$F$3:$F$1001,'Input Sheet'!$B$3:$B$1001,$H781,'Input Sheet'!$E$3:$E$1001,Q$4)=0,"",SUMIFS('Input Sheet'!$F$3:$F$1001,'Input Sheet'!$B$3:$B$1001,$H781,'Input Sheet'!$E$3:$E$1001,Q$4))</f>
        <v/>
      </c>
      <c r="R781" s="21" t="str">
        <f>IF(SUMIFS('Input Sheet'!$F$3:$F$1001,'Input Sheet'!$B$3:$B$1001,$H781,'Input Sheet'!$E$3:$E$1001,R$4)=0,"",SUMIFS('Input Sheet'!$F$3:$F$1001,'Input Sheet'!$B$3:$B$1001,$H781,'Input Sheet'!$E$3:$E$1001,R$4))</f>
        <v/>
      </c>
      <c r="S781" s="21" t="str">
        <f>IF(SUMIFS('Input Sheet'!$F$3:$F$1001,'Input Sheet'!$B$3:$B$1001,$H781,'Input Sheet'!$E$3:$E$1001,S$4)=0,"",SUMIFS('Input Sheet'!$F$3:$F$1001,'Input Sheet'!$B$3:$B$1001,$H781,'Input Sheet'!$E$3:$E$1001,S$4))</f>
        <v/>
      </c>
      <c r="T781" s="22">
        <v>776</v>
      </c>
    </row>
    <row r="782" spans="1:20" ht="14.25" customHeight="1" x14ac:dyDescent="0.3">
      <c r="A782" s="4" t="str">
        <f>IF('Input Sheet'!B779=0,"",'Input Sheet'!B779)</f>
        <v/>
      </c>
      <c r="B782" s="24" t="b">
        <f t="shared" si="788"/>
        <v>0</v>
      </c>
      <c r="C782" s="4">
        <f>SUMIF('Input Sheet'!B$3:B$1000,A782,'Input Sheet'!C$3:C$1000)</f>
        <v>0</v>
      </c>
      <c r="D782" s="4">
        <f>SUMIF('Input Sheet'!B$3:B$1000,A782,'Input Sheet'!D$3:D$1000)</f>
        <v>0</v>
      </c>
      <c r="E782" s="4" t="str">
        <f t="shared" ref="E782:F782" ca="1" si="806">IFERROR(RANK(K782,K$6:K$1004,1),"")</f>
        <v/>
      </c>
      <c r="F782" s="4" t="str">
        <f t="shared" ca="1" si="806"/>
        <v/>
      </c>
      <c r="G782" s="4" t="str">
        <f t="shared" ca="1" si="790"/>
        <v/>
      </c>
      <c r="H782" s="4" t="str">
        <f t="shared" si="791"/>
        <v/>
      </c>
      <c r="I782" s="4" t="str">
        <f t="shared" si="792"/>
        <v/>
      </c>
      <c r="J782" s="4" t="str">
        <f t="shared" si="793"/>
        <v/>
      </c>
      <c r="K782" s="25" t="str">
        <f t="shared" ca="1" si="794"/>
        <v/>
      </c>
      <c r="L782" s="21" t="str">
        <f t="shared" ca="1" si="795"/>
        <v/>
      </c>
      <c r="M782" s="21" t="str">
        <f>IF(SUMIFS('Input Sheet'!$F$3:$F$1001,'Input Sheet'!$B$3:$B$1001,$H782,'Input Sheet'!$E$3:$E$1001,M$4)=0,"",SUMIFS('Input Sheet'!$F$3:$F$1001,'Input Sheet'!$B$3:$B$1001,$H782,'Input Sheet'!$E$3:$E$1001,M$4))</f>
        <v/>
      </c>
      <c r="N782" s="21" t="str">
        <f>IF(SUMIFS('Input Sheet'!$F$3:$F$1001,'Input Sheet'!$B$3:$B$1001,$H782,'Input Sheet'!$E$3:$E$1001,N$4)=0,"",SUMIFS('Input Sheet'!$F$3:$F$1001,'Input Sheet'!$B$3:$B$1001,$H782,'Input Sheet'!$E$3:$E$1001,N$4))</f>
        <v/>
      </c>
      <c r="O782" s="21" t="str">
        <f>IF(SUMIFS('Input Sheet'!$F$3:$F$1001,'Input Sheet'!$B$3:$B$1001,$H782,'Input Sheet'!$E$3:$E$1001,O$4)=0,"",SUMIFS('Input Sheet'!$F$3:$F$1001,'Input Sheet'!$B$3:$B$1001,$H782,'Input Sheet'!$E$3:$E$1001,O$4))</f>
        <v/>
      </c>
      <c r="P782" s="21" t="str">
        <f>IF(SUMIFS('Input Sheet'!$F$3:$F$1001,'Input Sheet'!$B$3:$B$1001,$H782,'Input Sheet'!$E$3:$E$1001,P$4)=0,"",SUMIFS('Input Sheet'!$F$3:$F$1001,'Input Sheet'!$B$3:$B$1001,$H782,'Input Sheet'!$E$3:$E$1001,P$4))</f>
        <v/>
      </c>
      <c r="Q782" s="21" t="str">
        <f>IF(SUMIFS('Input Sheet'!$F$3:$F$1001,'Input Sheet'!$B$3:$B$1001,$H782,'Input Sheet'!$E$3:$E$1001,Q$4)=0,"",SUMIFS('Input Sheet'!$F$3:$F$1001,'Input Sheet'!$B$3:$B$1001,$H782,'Input Sheet'!$E$3:$E$1001,Q$4))</f>
        <v/>
      </c>
      <c r="R782" s="21" t="str">
        <f>IF(SUMIFS('Input Sheet'!$F$3:$F$1001,'Input Sheet'!$B$3:$B$1001,$H782,'Input Sheet'!$E$3:$E$1001,R$4)=0,"",SUMIFS('Input Sheet'!$F$3:$F$1001,'Input Sheet'!$B$3:$B$1001,$H782,'Input Sheet'!$E$3:$E$1001,R$4))</f>
        <v/>
      </c>
      <c r="S782" s="21" t="str">
        <f>IF(SUMIFS('Input Sheet'!$F$3:$F$1001,'Input Sheet'!$B$3:$B$1001,$H782,'Input Sheet'!$E$3:$E$1001,S$4)=0,"",SUMIFS('Input Sheet'!$F$3:$F$1001,'Input Sheet'!$B$3:$B$1001,$H782,'Input Sheet'!$E$3:$E$1001,S$4))</f>
        <v/>
      </c>
      <c r="T782" s="22">
        <v>777</v>
      </c>
    </row>
    <row r="783" spans="1:20" ht="14.25" customHeight="1" x14ac:dyDescent="0.3">
      <c r="A783" s="4" t="str">
        <f>IF('Input Sheet'!B780=0,"",'Input Sheet'!B780)</f>
        <v/>
      </c>
      <c r="B783" s="24" t="b">
        <f t="shared" si="788"/>
        <v>0</v>
      </c>
      <c r="C783" s="4">
        <f>SUMIF('Input Sheet'!B$3:B$1000,A783,'Input Sheet'!C$3:C$1000)</f>
        <v>0</v>
      </c>
      <c r="D783" s="4">
        <f>SUMIF('Input Sheet'!B$3:B$1000,A783,'Input Sheet'!D$3:D$1000)</f>
        <v>0</v>
      </c>
      <c r="E783" s="4" t="str">
        <f t="shared" ref="E783:F783" ca="1" si="807">IFERROR(RANK(K783,K$6:K$1004,1),"")</f>
        <v/>
      </c>
      <c r="F783" s="4" t="str">
        <f t="shared" ca="1" si="807"/>
        <v/>
      </c>
      <c r="G783" s="4" t="str">
        <f t="shared" ca="1" si="790"/>
        <v/>
      </c>
      <c r="H783" s="4" t="str">
        <f t="shared" si="791"/>
        <v/>
      </c>
      <c r="I783" s="4" t="str">
        <f t="shared" si="792"/>
        <v/>
      </c>
      <c r="J783" s="4" t="str">
        <f t="shared" si="793"/>
        <v/>
      </c>
      <c r="K783" s="25" t="str">
        <f t="shared" ca="1" si="794"/>
        <v/>
      </c>
      <c r="L783" s="21" t="str">
        <f t="shared" ca="1" si="795"/>
        <v/>
      </c>
      <c r="M783" s="21" t="str">
        <f>IF(SUMIFS('Input Sheet'!$F$3:$F$1001,'Input Sheet'!$B$3:$B$1001,$H783,'Input Sheet'!$E$3:$E$1001,M$4)=0,"",SUMIFS('Input Sheet'!$F$3:$F$1001,'Input Sheet'!$B$3:$B$1001,$H783,'Input Sheet'!$E$3:$E$1001,M$4))</f>
        <v/>
      </c>
      <c r="N783" s="21" t="str">
        <f>IF(SUMIFS('Input Sheet'!$F$3:$F$1001,'Input Sheet'!$B$3:$B$1001,$H783,'Input Sheet'!$E$3:$E$1001,N$4)=0,"",SUMIFS('Input Sheet'!$F$3:$F$1001,'Input Sheet'!$B$3:$B$1001,$H783,'Input Sheet'!$E$3:$E$1001,N$4))</f>
        <v/>
      </c>
      <c r="O783" s="21" t="str">
        <f>IF(SUMIFS('Input Sheet'!$F$3:$F$1001,'Input Sheet'!$B$3:$B$1001,$H783,'Input Sheet'!$E$3:$E$1001,O$4)=0,"",SUMIFS('Input Sheet'!$F$3:$F$1001,'Input Sheet'!$B$3:$B$1001,$H783,'Input Sheet'!$E$3:$E$1001,O$4))</f>
        <v/>
      </c>
      <c r="P783" s="21" t="str">
        <f>IF(SUMIFS('Input Sheet'!$F$3:$F$1001,'Input Sheet'!$B$3:$B$1001,$H783,'Input Sheet'!$E$3:$E$1001,P$4)=0,"",SUMIFS('Input Sheet'!$F$3:$F$1001,'Input Sheet'!$B$3:$B$1001,$H783,'Input Sheet'!$E$3:$E$1001,P$4))</f>
        <v/>
      </c>
      <c r="Q783" s="21" t="str">
        <f>IF(SUMIFS('Input Sheet'!$F$3:$F$1001,'Input Sheet'!$B$3:$B$1001,$H783,'Input Sheet'!$E$3:$E$1001,Q$4)=0,"",SUMIFS('Input Sheet'!$F$3:$F$1001,'Input Sheet'!$B$3:$B$1001,$H783,'Input Sheet'!$E$3:$E$1001,Q$4))</f>
        <v/>
      </c>
      <c r="R783" s="21" t="str">
        <f>IF(SUMIFS('Input Sheet'!$F$3:$F$1001,'Input Sheet'!$B$3:$B$1001,$H783,'Input Sheet'!$E$3:$E$1001,R$4)=0,"",SUMIFS('Input Sheet'!$F$3:$F$1001,'Input Sheet'!$B$3:$B$1001,$H783,'Input Sheet'!$E$3:$E$1001,R$4))</f>
        <v/>
      </c>
      <c r="S783" s="21" t="str">
        <f>IF(SUMIFS('Input Sheet'!$F$3:$F$1001,'Input Sheet'!$B$3:$B$1001,$H783,'Input Sheet'!$E$3:$E$1001,S$4)=0,"",SUMIFS('Input Sheet'!$F$3:$F$1001,'Input Sheet'!$B$3:$B$1001,$H783,'Input Sheet'!$E$3:$E$1001,S$4))</f>
        <v/>
      </c>
      <c r="T783" s="22">
        <v>778</v>
      </c>
    </row>
    <row r="784" spans="1:20" ht="14.25" customHeight="1" x14ac:dyDescent="0.3">
      <c r="A784" s="4" t="str">
        <f>IF('Input Sheet'!B781=0,"",'Input Sheet'!B781)</f>
        <v/>
      </c>
      <c r="B784" s="24" t="b">
        <f t="shared" si="788"/>
        <v>0</v>
      </c>
      <c r="C784" s="4">
        <f>SUMIF('Input Sheet'!B$3:B$1000,A784,'Input Sheet'!C$3:C$1000)</f>
        <v>0</v>
      </c>
      <c r="D784" s="4">
        <f>SUMIF('Input Sheet'!B$3:B$1000,A784,'Input Sheet'!D$3:D$1000)</f>
        <v>0</v>
      </c>
      <c r="E784" s="4" t="str">
        <f t="shared" ref="E784:F784" ca="1" si="808">IFERROR(RANK(K784,K$6:K$1004,1),"")</f>
        <v/>
      </c>
      <c r="F784" s="4" t="str">
        <f t="shared" ca="1" si="808"/>
        <v/>
      </c>
      <c r="G784" s="4" t="str">
        <f t="shared" ca="1" si="790"/>
        <v/>
      </c>
      <c r="H784" s="4" t="str">
        <f t="shared" si="791"/>
        <v/>
      </c>
      <c r="I784" s="4" t="str">
        <f t="shared" si="792"/>
        <v/>
      </c>
      <c r="J784" s="4" t="str">
        <f t="shared" si="793"/>
        <v/>
      </c>
      <c r="K784" s="25" t="str">
        <f t="shared" ca="1" si="794"/>
        <v/>
      </c>
      <c r="L784" s="21" t="str">
        <f t="shared" ca="1" si="795"/>
        <v/>
      </c>
      <c r="M784" s="21" t="str">
        <f>IF(SUMIFS('Input Sheet'!$F$3:$F$1001,'Input Sheet'!$B$3:$B$1001,$H784,'Input Sheet'!$E$3:$E$1001,M$4)=0,"",SUMIFS('Input Sheet'!$F$3:$F$1001,'Input Sheet'!$B$3:$B$1001,$H784,'Input Sheet'!$E$3:$E$1001,M$4))</f>
        <v/>
      </c>
      <c r="N784" s="21" t="str">
        <f>IF(SUMIFS('Input Sheet'!$F$3:$F$1001,'Input Sheet'!$B$3:$B$1001,$H784,'Input Sheet'!$E$3:$E$1001,N$4)=0,"",SUMIFS('Input Sheet'!$F$3:$F$1001,'Input Sheet'!$B$3:$B$1001,$H784,'Input Sheet'!$E$3:$E$1001,N$4))</f>
        <v/>
      </c>
      <c r="O784" s="21" t="str">
        <f>IF(SUMIFS('Input Sheet'!$F$3:$F$1001,'Input Sheet'!$B$3:$B$1001,$H784,'Input Sheet'!$E$3:$E$1001,O$4)=0,"",SUMIFS('Input Sheet'!$F$3:$F$1001,'Input Sheet'!$B$3:$B$1001,$H784,'Input Sheet'!$E$3:$E$1001,O$4))</f>
        <v/>
      </c>
      <c r="P784" s="21" t="str">
        <f>IF(SUMIFS('Input Sheet'!$F$3:$F$1001,'Input Sheet'!$B$3:$B$1001,$H784,'Input Sheet'!$E$3:$E$1001,P$4)=0,"",SUMIFS('Input Sheet'!$F$3:$F$1001,'Input Sheet'!$B$3:$B$1001,$H784,'Input Sheet'!$E$3:$E$1001,P$4))</f>
        <v/>
      </c>
      <c r="Q784" s="21" t="str">
        <f>IF(SUMIFS('Input Sheet'!$F$3:$F$1001,'Input Sheet'!$B$3:$B$1001,$H784,'Input Sheet'!$E$3:$E$1001,Q$4)=0,"",SUMIFS('Input Sheet'!$F$3:$F$1001,'Input Sheet'!$B$3:$B$1001,$H784,'Input Sheet'!$E$3:$E$1001,Q$4))</f>
        <v/>
      </c>
      <c r="R784" s="21" t="str">
        <f>IF(SUMIFS('Input Sheet'!$F$3:$F$1001,'Input Sheet'!$B$3:$B$1001,$H784,'Input Sheet'!$E$3:$E$1001,R$4)=0,"",SUMIFS('Input Sheet'!$F$3:$F$1001,'Input Sheet'!$B$3:$B$1001,$H784,'Input Sheet'!$E$3:$E$1001,R$4))</f>
        <v/>
      </c>
      <c r="S784" s="21" t="str">
        <f>IF(SUMIFS('Input Sheet'!$F$3:$F$1001,'Input Sheet'!$B$3:$B$1001,$H784,'Input Sheet'!$E$3:$E$1001,S$4)=0,"",SUMIFS('Input Sheet'!$F$3:$F$1001,'Input Sheet'!$B$3:$B$1001,$H784,'Input Sheet'!$E$3:$E$1001,S$4))</f>
        <v/>
      </c>
      <c r="T784" s="22">
        <v>779</v>
      </c>
    </row>
    <row r="785" spans="1:20" ht="14.25" customHeight="1" x14ac:dyDescent="0.3">
      <c r="A785" s="4" t="str">
        <f>IF('Input Sheet'!B782=0,"",'Input Sheet'!B782)</f>
        <v/>
      </c>
      <c r="B785" s="24" t="b">
        <f t="shared" si="788"/>
        <v>0</v>
      </c>
      <c r="C785" s="4">
        <f>SUMIF('Input Sheet'!B$3:B$1000,A785,'Input Sheet'!C$3:C$1000)</f>
        <v>0</v>
      </c>
      <c r="D785" s="4">
        <f>SUMIF('Input Sheet'!B$3:B$1000,A785,'Input Sheet'!D$3:D$1000)</f>
        <v>0</v>
      </c>
      <c r="E785" s="4" t="str">
        <f t="shared" ref="E785:F785" ca="1" si="809">IFERROR(RANK(K785,K$6:K$1004,1),"")</f>
        <v/>
      </c>
      <c r="F785" s="4" t="str">
        <f t="shared" ca="1" si="809"/>
        <v/>
      </c>
      <c r="G785" s="4" t="str">
        <f t="shared" ca="1" si="790"/>
        <v/>
      </c>
      <c r="H785" s="4" t="str">
        <f t="shared" si="791"/>
        <v/>
      </c>
      <c r="I785" s="4" t="str">
        <f t="shared" si="792"/>
        <v/>
      </c>
      <c r="J785" s="4" t="str">
        <f t="shared" si="793"/>
        <v/>
      </c>
      <c r="K785" s="25" t="str">
        <f t="shared" ca="1" si="794"/>
        <v/>
      </c>
      <c r="L785" s="21" t="str">
        <f t="shared" ca="1" si="795"/>
        <v/>
      </c>
      <c r="M785" s="21" t="str">
        <f>IF(SUMIFS('Input Sheet'!$F$3:$F$1001,'Input Sheet'!$B$3:$B$1001,$H785,'Input Sheet'!$E$3:$E$1001,M$4)=0,"",SUMIFS('Input Sheet'!$F$3:$F$1001,'Input Sheet'!$B$3:$B$1001,$H785,'Input Sheet'!$E$3:$E$1001,M$4))</f>
        <v/>
      </c>
      <c r="N785" s="21" t="str">
        <f>IF(SUMIFS('Input Sheet'!$F$3:$F$1001,'Input Sheet'!$B$3:$B$1001,$H785,'Input Sheet'!$E$3:$E$1001,N$4)=0,"",SUMIFS('Input Sheet'!$F$3:$F$1001,'Input Sheet'!$B$3:$B$1001,$H785,'Input Sheet'!$E$3:$E$1001,N$4))</f>
        <v/>
      </c>
      <c r="O785" s="21" t="str">
        <f>IF(SUMIFS('Input Sheet'!$F$3:$F$1001,'Input Sheet'!$B$3:$B$1001,$H785,'Input Sheet'!$E$3:$E$1001,O$4)=0,"",SUMIFS('Input Sheet'!$F$3:$F$1001,'Input Sheet'!$B$3:$B$1001,$H785,'Input Sheet'!$E$3:$E$1001,O$4))</f>
        <v/>
      </c>
      <c r="P785" s="21" t="str">
        <f>IF(SUMIFS('Input Sheet'!$F$3:$F$1001,'Input Sheet'!$B$3:$B$1001,$H785,'Input Sheet'!$E$3:$E$1001,P$4)=0,"",SUMIFS('Input Sheet'!$F$3:$F$1001,'Input Sheet'!$B$3:$B$1001,$H785,'Input Sheet'!$E$3:$E$1001,P$4))</f>
        <v/>
      </c>
      <c r="Q785" s="21" t="str">
        <f>IF(SUMIFS('Input Sheet'!$F$3:$F$1001,'Input Sheet'!$B$3:$B$1001,$H785,'Input Sheet'!$E$3:$E$1001,Q$4)=0,"",SUMIFS('Input Sheet'!$F$3:$F$1001,'Input Sheet'!$B$3:$B$1001,$H785,'Input Sheet'!$E$3:$E$1001,Q$4))</f>
        <v/>
      </c>
      <c r="R785" s="21" t="str">
        <f>IF(SUMIFS('Input Sheet'!$F$3:$F$1001,'Input Sheet'!$B$3:$B$1001,$H785,'Input Sheet'!$E$3:$E$1001,R$4)=0,"",SUMIFS('Input Sheet'!$F$3:$F$1001,'Input Sheet'!$B$3:$B$1001,$H785,'Input Sheet'!$E$3:$E$1001,R$4))</f>
        <v/>
      </c>
      <c r="S785" s="21" t="str">
        <f>IF(SUMIFS('Input Sheet'!$F$3:$F$1001,'Input Sheet'!$B$3:$B$1001,$H785,'Input Sheet'!$E$3:$E$1001,S$4)=0,"",SUMIFS('Input Sheet'!$F$3:$F$1001,'Input Sheet'!$B$3:$B$1001,$H785,'Input Sheet'!$E$3:$E$1001,S$4))</f>
        <v/>
      </c>
      <c r="T785" s="22">
        <v>780</v>
      </c>
    </row>
    <row r="786" spans="1:20" ht="14.25" customHeight="1" x14ac:dyDescent="0.3">
      <c r="A786" s="4" t="str">
        <f>IF('Input Sheet'!B783=0,"",'Input Sheet'!B783)</f>
        <v/>
      </c>
      <c r="B786" s="24" t="b">
        <f t="shared" si="788"/>
        <v>0</v>
      </c>
      <c r="C786" s="4">
        <f>SUMIF('Input Sheet'!B$3:B$1000,A786,'Input Sheet'!C$3:C$1000)</f>
        <v>0</v>
      </c>
      <c r="D786" s="4">
        <f>SUMIF('Input Sheet'!B$3:B$1000,A786,'Input Sheet'!D$3:D$1000)</f>
        <v>0</v>
      </c>
      <c r="E786" s="4" t="str">
        <f t="shared" ref="E786:F786" ca="1" si="810">IFERROR(RANK(K786,K$6:K$1004,1),"")</f>
        <v/>
      </c>
      <c r="F786" s="4" t="str">
        <f t="shared" ca="1" si="810"/>
        <v/>
      </c>
      <c r="G786" s="4" t="str">
        <f t="shared" ca="1" si="790"/>
        <v/>
      </c>
      <c r="H786" s="4" t="str">
        <f t="shared" si="791"/>
        <v/>
      </c>
      <c r="I786" s="4" t="str">
        <f t="shared" si="792"/>
        <v/>
      </c>
      <c r="J786" s="4" t="str">
        <f t="shared" si="793"/>
        <v/>
      </c>
      <c r="K786" s="25" t="str">
        <f t="shared" ca="1" si="794"/>
        <v/>
      </c>
      <c r="L786" s="21" t="str">
        <f t="shared" ca="1" si="795"/>
        <v/>
      </c>
      <c r="M786" s="21" t="str">
        <f>IF(SUMIFS('Input Sheet'!$F$3:$F$1001,'Input Sheet'!$B$3:$B$1001,$H786,'Input Sheet'!$E$3:$E$1001,M$4)=0,"",SUMIFS('Input Sheet'!$F$3:$F$1001,'Input Sheet'!$B$3:$B$1001,$H786,'Input Sheet'!$E$3:$E$1001,M$4))</f>
        <v/>
      </c>
      <c r="N786" s="21" t="str">
        <f>IF(SUMIFS('Input Sheet'!$F$3:$F$1001,'Input Sheet'!$B$3:$B$1001,$H786,'Input Sheet'!$E$3:$E$1001,N$4)=0,"",SUMIFS('Input Sheet'!$F$3:$F$1001,'Input Sheet'!$B$3:$B$1001,$H786,'Input Sheet'!$E$3:$E$1001,N$4))</f>
        <v/>
      </c>
      <c r="O786" s="21" t="str">
        <f>IF(SUMIFS('Input Sheet'!$F$3:$F$1001,'Input Sheet'!$B$3:$B$1001,$H786,'Input Sheet'!$E$3:$E$1001,O$4)=0,"",SUMIFS('Input Sheet'!$F$3:$F$1001,'Input Sheet'!$B$3:$B$1001,$H786,'Input Sheet'!$E$3:$E$1001,O$4))</f>
        <v/>
      </c>
      <c r="P786" s="21" t="str">
        <f>IF(SUMIFS('Input Sheet'!$F$3:$F$1001,'Input Sheet'!$B$3:$B$1001,$H786,'Input Sheet'!$E$3:$E$1001,P$4)=0,"",SUMIFS('Input Sheet'!$F$3:$F$1001,'Input Sheet'!$B$3:$B$1001,$H786,'Input Sheet'!$E$3:$E$1001,P$4))</f>
        <v/>
      </c>
      <c r="Q786" s="21" t="str">
        <f>IF(SUMIFS('Input Sheet'!$F$3:$F$1001,'Input Sheet'!$B$3:$B$1001,$H786,'Input Sheet'!$E$3:$E$1001,Q$4)=0,"",SUMIFS('Input Sheet'!$F$3:$F$1001,'Input Sheet'!$B$3:$B$1001,$H786,'Input Sheet'!$E$3:$E$1001,Q$4))</f>
        <v/>
      </c>
      <c r="R786" s="21" t="str">
        <f>IF(SUMIFS('Input Sheet'!$F$3:$F$1001,'Input Sheet'!$B$3:$B$1001,$H786,'Input Sheet'!$E$3:$E$1001,R$4)=0,"",SUMIFS('Input Sheet'!$F$3:$F$1001,'Input Sheet'!$B$3:$B$1001,$H786,'Input Sheet'!$E$3:$E$1001,R$4))</f>
        <v/>
      </c>
      <c r="S786" s="21" t="str">
        <f>IF(SUMIFS('Input Sheet'!$F$3:$F$1001,'Input Sheet'!$B$3:$B$1001,$H786,'Input Sheet'!$E$3:$E$1001,S$4)=0,"",SUMIFS('Input Sheet'!$F$3:$F$1001,'Input Sheet'!$B$3:$B$1001,$H786,'Input Sheet'!$E$3:$E$1001,S$4))</f>
        <v/>
      </c>
      <c r="T786" s="22">
        <v>781</v>
      </c>
    </row>
    <row r="787" spans="1:20" ht="14.25" customHeight="1" x14ac:dyDescent="0.3">
      <c r="A787" s="4" t="str">
        <f>IF('Input Sheet'!B784=0,"",'Input Sheet'!B784)</f>
        <v/>
      </c>
      <c r="B787" s="24" t="b">
        <f t="shared" si="788"/>
        <v>0</v>
      </c>
      <c r="C787" s="4">
        <f>SUMIF('Input Sheet'!B$3:B$1000,A787,'Input Sheet'!C$3:C$1000)</f>
        <v>0</v>
      </c>
      <c r="D787" s="4">
        <f>SUMIF('Input Sheet'!B$3:B$1000,A787,'Input Sheet'!D$3:D$1000)</f>
        <v>0</v>
      </c>
      <c r="E787" s="4" t="str">
        <f t="shared" ref="E787:F787" ca="1" si="811">IFERROR(RANK(K787,K$6:K$1004,1),"")</f>
        <v/>
      </c>
      <c r="F787" s="4" t="str">
        <f t="shared" ca="1" si="811"/>
        <v/>
      </c>
      <c r="G787" s="4" t="str">
        <f t="shared" ca="1" si="790"/>
        <v/>
      </c>
      <c r="H787" s="4" t="str">
        <f t="shared" si="791"/>
        <v/>
      </c>
      <c r="I787" s="4" t="str">
        <f t="shared" si="792"/>
        <v/>
      </c>
      <c r="J787" s="4" t="str">
        <f t="shared" si="793"/>
        <v/>
      </c>
      <c r="K787" s="25" t="str">
        <f t="shared" ca="1" si="794"/>
        <v/>
      </c>
      <c r="L787" s="21" t="str">
        <f t="shared" ca="1" si="795"/>
        <v/>
      </c>
      <c r="M787" s="21" t="str">
        <f>IF(SUMIFS('Input Sheet'!$F$3:$F$1001,'Input Sheet'!$B$3:$B$1001,$H787,'Input Sheet'!$E$3:$E$1001,M$4)=0,"",SUMIFS('Input Sheet'!$F$3:$F$1001,'Input Sheet'!$B$3:$B$1001,$H787,'Input Sheet'!$E$3:$E$1001,M$4))</f>
        <v/>
      </c>
      <c r="N787" s="21" t="str">
        <f>IF(SUMIFS('Input Sheet'!$F$3:$F$1001,'Input Sheet'!$B$3:$B$1001,$H787,'Input Sheet'!$E$3:$E$1001,N$4)=0,"",SUMIFS('Input Sheet'!$F$3:$F$1001,'Input Sheet'!$B$3:$B$1001,$H787,'Input Sheet'!$E$3:$E$1001,N$4))</f>
        <v/>
      </c>
      <c r="O787" s="21" t="str">
        <f>IF(SUMIFS('Input Sheet'!$F$3:$F$1001,'Input Sheet'!$B$3:$B$1001,$H787,'Input Sheet'!$E$3:$E$1001,O$4)=0,"",SUMIFS('Input Sheet'!$F$3:$F$1001,'Input Sheet'!$B$3:$B$1001,$H787,'Input Sheet'!$E$3:$E$1001,O$4))</f>
        <v/>
      </c>
      <c r="P787" s="21" t="str">
        <f>IF(SUMIFS('Input Sheet'!$F$3:$F$1001,'Input Sheet'!$B$3:$B$1001,$H787,'Input Sheet'!$E$3:$E$1001,P$4)=0,"",SUMIFS('Input Sheet'!$F$3:$F$1001,'Input Sheet'!$B$3:$B$1001,$H787,'Input Sheet'!$E$3:$E$1001,P$4))</f>
        <v/>
      </c>
      <c r="Q787" s="21" t="str">
        <f>IF(SUMIFS('Input Sheet'!$F$3:$F$1001,'Input Sheet'!$B$3:$B$1001,$H787,'Input Sheet'!$E$3:$E$1001,Q$4)=0,"",SUMIFS('Input Sheet'!$F$3:$F$1001,'Input Sheet'!$B$3:$B$1001,$H787,'Input Sheet'!$E$3:$E$1001,Q$4))</f>
        <v/>
      </c>
      <c r="R787" s="21" t="str">
        <f>IF(SUMIFS('Input Sheet'!$F$3:$F$1001,'Input Sheet'!$B$3:$B$1001,$H787,'Input Sheet'!$E$3:$E$1001,R$4)=0,"",SUMIFS('Input Sheet'!$F$3:$F$1001,'Input Sheet'!$B$3:$B$1001,$H787,'Input Sheet'!$E$3:$E$1001,R$4))</f>
        <v/>
      </c>
      <c r="S787" s="21" t="str">
        <f>IF(SUMIFS('Input Sheet'!$F$3:$F$1001,'Input Sheet'!$B$3:$B$1001,$H787,'Input Sheet'!$E$3:$E$1001,S$4)=0,"",SUMIFS('Input Sheet'!$F$3:$F$1001,'Input Sheet'!$B$3:$B$1001,$H787,'Input Sheet'!$E$3:$E$1001,S$4))</f>
        <v/>
      </c>
      <c r="T787" s="22">
        <v>782</v>
      </c>
    </row>
    <row r="788" spans="1:20" ht="14.25" customHeight="1" x14ac:dyDescent="0.3">
      <c r="A788" s="4" t="str">
        <f>IF('Input Sheet'!B785=0,"",'Input Sheet'!B785)</f>
        <v/>
      </c>
      <c r="B788" s="24" t="b">
        <f t="shared" si="788"/>
        <v>0</v>
      </c>
      <c r="C788" s="4">
        <f>SUMIF('Input Sheet'!B$3:B$1000,A788,'Input Sheet'!C$3:C$1000)</f>
        <v>0</v>
      </c>
      <c r="D788" s="4">
        <f>SUMIF('Input Sheet'!B$3:B$1000,A788,'Input Sheet'!D$3:D$1000)</f>
        <v>0</v>
      </c>
      <c r="E788" s="4" t="str">
        <f t="shared" ref="E788:F788" ca="1" si="812">IFERROR(RANK(K788,K$6:K$1004,1),"")</f>
        <v/>
      </c>
      <c r="F788" s="4" t="str">
        <f t="shared" ca="1" si="812"/>
        <v/>
      </c>
      <c r="G788" s="4" t="str">
        <f t="shared" ca="1" si="790"/>
        <v/>
      </c>
      <c r="H788" s="4" t="str">
        <f t="shared" si="791"/>
        <v/>
      </c>
      <c r="I788" s="4" t="str">
        <f t="shared" si="792"/>
        <v/>
      </c>
      <c r="J788" s="4" t="str">
        <f t="shared" si="793"/>
        <v/>
      </c>
      <c r="K788" s="25" t="str">
        <f t="shared" ca="1" si="794"/>
        <v/>
      </c>
      <c r="L788" s="21" t="str">
        <f t="shared" ca="1" si="795"/>
        <v/>
      </c>
      <c r="M788" s="21" t="str">
        <f>IF(SUMIFS('Input Sheet'!$F$3:$F$1001,'Input Sheet'!$B$3:$B$1001,$H788,'Input Sheet'!$E$3:$E$1001,M$4)=0,"",SUMIFS('Input Sheet'!$F$3:$F$1001,'Input Sheet'!$B$3:$B$1001,$H788,'Input Sheet'!$E$3:$E$1001,M$4))</f>
        <v/>
      </c>
      <c r="N788" s="21" t="str">
        <f>IF(SUMIFS('Input Sheet'!$F$3:$F$1001,'Input Sheet'!$B$3:$B$1001,$H788,'Input Sheet'!$E$3:$E$1001,N$4)=0,"",SUMIFS('Input Sheet'!$F$3:$F$1001,'Input Sheet'!$B$3:$B$1001,$H788,'Input Sheet'!$E$3:$E$1001,N$4))</f>
        <v/>
      </c>
      <c r="O788" s="21" t="str">
        <f>IF(SUMIFS('Input Sheet'!$F$3:$F$1001,'Input Sheet'!$B$3:$B$1001,$H788,'Input Sheet'!$E$3:$E$1001,O$4)=0,"",SUMIFS('Input Sheet'!$F$3:$F$1001,'Input Sheet'!$B$3:$B$1001,$H788,'Input Sheet'!$E$3:$E$1001,O$4))</f>
        <v/>
      </c>
      <c r="P788" s="21" t="str">
        <f>IF(SUMIFS('Input Sheet'!$F$3:$F$1001,'Input Sheet'!$B$3:$B$1001,$H788,'Input Sheet'!$E$3:$E$1001,P$4)=0,"",SUMIFS('Input Sheet'!$F$3:$F$1001,'Input Sheet'!$B$3:$B$1001,$H788,'Input Sheet'!$E$3:$E$1001,P$4))</f>
        <v/>
      </c>
      <c r="Q788" s="21" t="str">
        <f>IF(SUMIFS('Input Sheet'!$F$3:$F$1001,'Input Sheet'!$B$3:$B$1001,$H788,'Input Sheet'!$E$3:$E$1001,Q$4)=0,"",SUMIFS('Input Sheet'!$F$3:$F$1001,'Input Sheet'!$B$3:$B$1001,$H788,'Input Sheet'!$E$3:$E$1001,Q$4))</f>
        <v/>
      </c>
      <c r="R788" s="21" t="str">
        <f>IF(SUMIFS('Input Sheet'!$F$3:$F$1001,'Input Sheet'!$B$3:$B$1001,$H788,'Input Sheet'!$E$3:$E$1001,R$4)=0,"",SUMIFS('Input Sheet'!$F$3:$F$1001,'Input Sheet'!$B$3:$B$1001,$H788,'Input Sheet'!$E$3:$E$1001,R$4))</f>
        <v/>
      </c>
      <c r="S788" s="21" t="str">
        <f>IF(SUMIFS('Input Sheet'!$F$3:$F$1001,'Input Sheet'!$B$3:$B$1001,$H788,'Input Sheet'!$E$3:$E$1001,S$4)=0,"",SUMIFS('Input Sheet'!$F$3:$F$1001,'Input Sheet'!$B$3:$B$1001,$H788,'Input Sheet'!$E$3:$E$1001,S$4))</f>
        <v/>
      </c>
      <c r="T788" s="22">
        <v>783</v>
      </c>
    </row>
    <row r="789" spans="1:20" ht="14.25" customHeight="1" x14ac:dyDescent="0.3">
      <c r="A789" s="4" t="str">
        <f>IF('Input Sheet'!B786=0,"",'Input Sheet'!B786)</f>
        <v/>
      </c>
      <c r="B789" s="24" t="b">
        <f t="shared" si="788"/>
        <v>0</v>
      </c>
      <c r="C789" s="4">
        <f>SUMIF('Input Sheet'!B$3:B$1000,A789,'Input Sheet'!C$3:C$1000)</f>
        <v>0</v>
      </c>
      <c r="D789" s="4">
        <f>SUMIF('Input Sheet'!B$3:B$1000,A789,'Input Sheet'!D$3:D$1000)</f>
        <v>0</v>
      </c>
      <c r="E789" s="4" t="str">
        <f t="shared" ref="E789:F789" ca="1" si="813">IFERROR(RANK(K789,K$6:K$1004,1),"")</f>
        <v/>
      </c>
      <c r="F789" s="4" t="str">
        <f t="shared" ca="1" si="813"/>
        <v/>
      </c>
      <c r="G789" s="4" t="str">
        <f t="shared" ca="1" si="790"/>
        <v/>
      </c>
      <c r="H789" s="4" t="str">
        <f t="shared" si="791"/>
        <v/>
      </c>
      <c r="I789" s="4" t="str">
        <f t="shared" si="792"/>
        <v/>
      </c>
      <c r="J789" s="4" t="str">
        <f t="shared" si="793"/>
        <v/>
      </c>
      <c r="K789" s="25" t="str">
        <f t="shared" ca="1" si="794"/>
        <v/>
      </c>
      <c r="L789" s="21" t="str">
        <f t="shared" ca="1" si="795"/>
        <v/>
      </c>
      <c r="M789" s="21" t="str">
        <f>IF(SUMIFS('Input Sheet'!$F$3:$F$1001,'Input Sheet'!$B$3:$B$1001,$H789,'Input Sheet'!$E$3:$E$1001,M$4)=0,"",SUMIFS('Input Sheet'!$F$3:$F$1001,'Input Sheet'!$B$3:$B$1001,$H789,'Input Sheet'!$E$3:$E$1001,M$4))</f>
        <v/>
      </c>
      <c r="N789" s="21" t="str">
        <f>IF(SUMIFS('Input Sheet'!$F$3:$F$1001,'Input Sheet'!$B$3:$B$1001,$H789,'Input Sheet'!$E$3:$E$1001,N$4)=0,"",SUMIFS('Input Sheet'!$F$3:$F$1001,'Input Sheet'!$B$3:$B$1001,$H789,'Input Sheet'!$E$3:$E$1001,N$4))</f>
        <v/>
      </c>
      <c r="O789" s="21" t="str">
        <f>IF(SUMIFS('Input Sheet'!$F$3:$F$1001,'Input Sheet'!$B$3:$B$1001,$H789,'Input Sheet'!$E$3:$E$1001,O$4)=0,"",SUMIFS('Input Sheet'!$F$3:$F$1001,'Input Sheet'!$B$3:$B$1001,$H789,'Input Sheet'!$E$3:$E$1001,O$4))</f>
        <v/>
      </c>
      <c r="P789" s="21" t="str">
        <f>IF(SUMIFS('Input Sheet'!$F$3:$F$1001,'Input Sheet'!$B$3:$B$1001,$H789,'Input Sheet'!$E$3:$E$1001,P$4)=0,"",SUMIFS('Input Sheet'!$F$3:$F$1001,'Input Sheet'!$B$3:$B$1001,$H789,'Input Sheet'!$E$3:$E$1001,P$4))</f>
        <v/>
      </c>
      <c r="Q789" s="21" t="str">
        <f>IF(SUMIFS('Input Sheet'!$F$3:$F$1001,'Input Sheet'!$B$3:$B$1001,$H789,'Input Sheet'!$E$3:$E$1001,Q$4)=0,"",SUMIFS('Input Sheet'!$F$3:$F$1001,'Input Sheet'!$B$3:$B$1001,$H789,'Input Sheet'!$E$3:$E$1001,Q$4))</f>
        <v/>
      </c>
      <c r="R789" s="21" t="str">
        <f>IF(SUMIFS('Input Sheet'!$F$3:$F$1001,'Input Sheet'!$B$3:$B$1001,$H789,'Input Sheet'!$E$3:$E$1001,R$4)=0,"",SUMIFS('Input Sheet'!$F$3:$F$1001,'Input Sheet'!$B$3:$B$1001,$H789,'Input Sheet'!$E$3:$E$1001,R$4))</f>
        <v/>
      </c>
      <c r="S789" s="21" t="str">
        <f>IF(SUMIFS('Input Sheet'!$F$3:$F$1001,'Input Sheet'!$B$3:$B$1001,$H789,'Input Sheet'!$E$3:$E$1001,S$4)=0,"",SUMIFS('Input Sheet'!$F$3:$F$1001,'Input Sheet'!$B$3:$B$1001,$H789,'Input Sheet'!$E$3:$E$1001,S$4))</f>
        <v/>
      </c>
      <c r="T789" s="22">
        <v>784</v>
      </c>
    </row>
    <row r="790" spans="1:20" ht="14.25" customHeight="1" x14ac:dyDescent="0.3">
      <c r="A790" s="4" t="str">
        <f>IF('Input Sheet'!B787=0,"",'Input Sheet'!B787)</f>
        <v/>
      </c>
      <c r="B790" s="24" t="b">
        <f t="shared" si="788"/>
        <v>0</v>
      </c>
      <c r="C790" s="4">
        <f>SUMIF('Input Sheet'!B$3:B$1000,A790,'Input Sheet'!C$3:C$1000)</f>
        <v>0</v>
      </c>
      <c r="D790" s="4">
        <f>SUMIF('Input Sheet'!B$3:B$1000,A790,'Input Sheet'!D$3:D$1000)</f>
        <v>0</v>
      </c>
      <c r="E790" s="4" t="str">
        <f t="shared" ref="E790:F790" ca="1" si="814">IFERROR(RANK(K790,K$6:K$1004,1),"")</f>
        <v/>
      </c>
      <c r="F790" s="4" t="str">
        <f t="shared" ca="1" si="814"/>
        <v/>
      </c>
      <c r="G790" s="4" t="str">
        <f t="shared" ca="1" si="790"/>
        <v/>
      </c>
      <c r="H790" s="4" t="str">
        <f t="shared" si="791"/>
        <v/>
      </c>
      <c r="I790" s="4" t="str">
        <f t="shared" si="792"/>
        <v/>
      </c>
      <c r="J790" s="4" t="str">
        <f t="shared" si="793"/>
        <v/>
      </c>
      <c r="K790" s="25" t="str">
        <f t="shared" ca="1" si="794"/>
        <v/>
      </c>
      <c r="L790" s="21" t="str">
        <f t="shared" ca="1" si="795"/>
        <v/>
      </c>
      <c r="M790" s="21" t="str">
        <f>IF(SUMIFS('Input Sheet'!$F$3:$F$1001,'Input Sheet'!$B$3:$B$1001,$H790,'Input Sheet'!$E$3:$E$1001,M$4)=0,"",SUMIFS('Input Sheet'!$F$3:$F$1001,'Input Sheet'!$B$3:$B$1001,$H790,'Input Sheet'!$E$3:$E$1001,M$4))</f>
        <v/>
      </c>
      <c r="N790" s="21" t="str">
        <f>IF(SUMIFS('Input Sheet'!$F$3:$F$1001,'Input Sheet'!$B$3:$B$1001,$H790,'Input Sheet'!$E$3:$E$1001,N$4)=0,"",SUMIFS('Input Sheet'!$F$3:$F$1001,'Input Sheet'!$B$3:$B$1001,$H790,'Input Sheet'!$E$3:$E$1001,N$4))</f>
        <v/>
      </c>
      <c r="O790" s="21" t="str">
        <f>IF(SUMIFS('Input Sheet'!$F$3:$F$1001,'Input Sheet'!$B$3:$B$1001,$H790,'Input Sheet'!$E$3:$E$1001,O$4)=0,"",SUMIFS('Input Sheet'!$F$3:$F$1001,'Input Sheet'!$B$3:$B$1001,$H790,'Input Sheet'!$E$3:$E$1001,O$4))</f>
        <v/>
      </c>
      <c r="P790" s="21" t="str">
        <f>IF(SUMIFS('Input Sheet'!$F$3:$F$1001,'Input Sheet'!$B$3:$B$1001,$H790,'Input Sheet'!$E$3:$E$1001,P$4)=0,"",SUMIFS('Input Sheet'!$F$3:$F$1001,'Input Sheet'!$B$3:$B$1001,$H790,'Input Sheet'!$E$3:$E$1001,P$4))</f>
        <v/>
      </c>
      <c r="Q790" s="21" t="str">
        <f>IF(SUMIFS('Input Sheet'!$F$3:$F$1001,'Input Sheet'!$B$3:$B$1001,$H790,'Input Sheet'!$E$3:$E$1001,Q$4)=0,"",SUMIFS('Input Sheet'!$F$3:$F$1001,'Input Sheet'!$B$3:$B$1001,$H790,'Input Sheet'!$E$3:$E$1001,Q$4))</f>
        <v/>
      </c>
      <c r="R790" s="21" t="str">
        <f>IF(SUMIFS('Input Sheet'!$F$3:$F$1001,'Input Sheet'!$B$3:$B$1001,$H790,'Input Sheet'!$E$3:$E$1001,R$4)=0,"",SUMIFS('Input Sheet'!$F$3:$F$1001,'Input Sheet'!$B$3:$B$1001,$H790,'Input Sheet'!$E$3:$E$1001,R$4))</f>
        <v/>
      </c>
      <c r="S790" s="21" t="str">
        <f>IF(SUMIFS('Input Sheet'!$F$3:$F$1001,'Input Sheet'!$B$3:$B$1001,$H790,'Input Sheet'!$E$3:$E$1001,S$4)=0,"",SUMIFS('Input Sheet'!$F$3:$F$1001,'Input Sheet'!$B$3:$B$1001,$H790,'Input Sheet'!$E$3:$E$1001,S$4))</f>
        <v/>
      </c>
      <c r="T790" s="22">
        <v>785</v>
      </c>
    </row>
    <row r="791" spans="1:20" ht="14.25" customHeight="1" x14ac:dyDescent="0.3">
      <c r="A791" s="4" t="str">
        <f>IF('Input Sheet'!B788=0,"",'Input Sheet'!B788)</f>
        <v/>
      </c>
      <c r="B791" s="24" t="b">
        <f t="shared" si="788"/>
        <v>0</v>
      </c>
      <c r="C791" s="4">
        <f>SUMIF('Input Sheet'!B$3:B$1000,A791,'Input Sheet'!C$3:C$1000)</f>
        <v>0</v>
      </c>
      <c r="D791" s="4">
        <f>SUMIF('Input Sheet'!B$3:B$1000,A791,'Input Sheet'!D$3:D$1000)</f>
        <v>0</v>
      </c>
      <c r="E791" s="4" t="str">
        <f t="shared" ref="E791:F791" ca="1" si="815">IFERROR(RANK(K791,K$6:K$1004,1),"")</f>
        <v/>
      </c>
      <c r="F791" s="4" t="str">
        <f t="shared" ca="1" si="815"/>
        <v/>
      </c>
      <c r="G791" s="4" t="str">
        <f t="shared" ca="1" si="790"/>
        <v/>
      </c>
      <c r="H791" s="4" t="str">
        <f t="shared" si="791"/>
        <v/>
      </c>
      <c r="I791" s="4" t="str">
        <f t="shared" si="792"/>
        <v/>
      </c>
      <c r="J791" s="4" t="str">
        <f t="shared" si="793"/>
        <v/>
      </c>
      <c r="K791" s="25" t="str">
        <f t="shared" ca="1" si="794"/>
        <v/>
      </c>
      <c r="L791" s="21" t="str">
        <f t="shared" ca="1" si="795"/>
        <v/>
      </c>
      <c r="M791" s="21" t="str">
        <f>IF(SUMIFS('Input Sheet'!$F$3:$F$1001,'Input Sheet'!$B$3:$B$1001,$H791,'Input Sheet'!$E$3:$E$1001,M$4)=0,"",SUMIFS('Input Sheet'!$F$3:$F$1001,'Input Sheet'!$B$3:$B$1001,$H791,'Input Sheet'!$E$3:$E$1001,M$4))</f>
        <v/>
      </c>
      <c r="N791" s="21" t="str">
        <f>IF(SUMIFS('Input Sheet'!$F$3:$F$1001,'Input Sheet'!$B$3:$B$1001,$H791,'Input Sheet'!$E$3:$E$1001,N$4)=0,"",SUMIFS('Input Sheet'!$F$3:$F$1001,'Input Sheet'!$B$3:$B$1001,$H791,'Input Sheet'!$E$3:$E$1001,N$4))</f>
        <v/>
      </c>
      <c r="O791" s="21" t="str">
        <f>IF(SUMIFS('Input Sheet'!$F$3:$F$1001,'Input Sheet'!$B$3:$B$1001,$H791,'Input Sheet'!$E$3:$E$1001,O$4)=0,"",SUMIFS('Input Sheet'!$F$3:$F$1001,'Input Sheet'!$B$3:$B$1001,$H791,'Input Sheet'!$E$3:$E$1001,O$4))</f>
        <v/>
      </c>
      <c r="P791" s="21" t="str">
        <f>IF(SUMIFS('Input Sheet'!$F$3:$F$1001,'Input Sheet'!$B$3:$B$1001,$H791,'Input Sheet'!$E$3:$E$1001,P$4)=0,"",SUMIFS('Input Sheet'!$F$3:$F$1001,'Input Sheet'!$B$3:$B$1001,$H791,'Input Sheet'!$E$3:$E$1001,P$4))</f>
        <v/>
      </c>
      <c r="Q791" s="21" t="str">
        <f>IF(SUMIFS('Input Sheet'!$F$3:$F$1001,'Input Sheet'!$B$3:$B$1001,$H791,'Input Sheet'!$E$3:$E$1001,Q$4)=0,"",SUMIFS('Input Sheet'!$F$3:$F$1001,'Input Sheet'!$B$3:$B$1001,$H791,'Input Sheet'!$E$3:$E$1001,Q$4))</f>
        <v/>
      </c>
      <c r="R791" s="21" t="str">
        <f>IF(SUMIFS('Input Sheet'!$F$3:$F$1001,'Input Sheet'!$B$3:$B$1001,$H791,'Input Sheet'!$E$3:$E$1001,R$4)=0,"",SUMIFS('Input Sheet'!$F$3:$F$1001,'Input Sheet'!$B$3:$B$1001,$H791,'Input Sheet'!$E$3:$E$1001,R$4))</f>
        <v/>
      </c>
      <c r="S791" s="21" t="str">
        <f>IF(SUMIFS('Input Sheet'!$F$3:$F$1001,'Input Sheet'!$B$3:$B$1001,$H791,'Input Sheet'!$E$3:$E$1001,S$4)=0,"",SUMIFS('Input Sheet'!$F$3:$F$1001,'Input Sheet'!$B$3:$B$1001,$H791,'Input Sheet'!$E$3:$E$1001,S$4))</f>
        <v/>
      </c>
      <c r="T791" s="22">
        <v>786</v>
      </c>
    </row>
    <row r="792" spans="1:20" ht="14.25" customHeight="1" x14ac:dyDescent="0.3">
      <c r="A792" s="4" t="str">
        <f>IF('Input Sheet'!B789=0,"",'Input Sheet'!B789)</f>
        <v/>
      </c>
      <c r="B792" s="24" t="b">
        <f t="shared" si="788"/>
        <v>0</v>
      </c>
      <c r="C792" s="4">
        <f>SUMIF('Input Sheet'!B$3:B$1000,A792,'Input Sheet'!C$3:C$1000)</f>
        <v>0</v>
      </c>
      <c r="D792" s="4">
        <f>SUMIF('Input Sheet'!B$3:B$1000,A792,'Input Sheet'!D$3:D$1000)</f>
        <v>0</v>
      </c>
      <c r="E792" s="4" t="str">
        <f t="shared" ref="E792:F792" ca="1" si="816">IFERROR(RANK(K792,K$6:K$1004,1),"")</f>
        <v/>
      </c>
      <c r="F792" s="4" t="str">
        <f t="shared" ca="1" si="816"/>
        <v/>
      </c>
      <c r="G792" s="4" t="str">
        <f t="shared" ca="1" si="790"/>
        <v/>
      </c>
      <c r="H792" s="4" t="str">
        <f t="shared" si="791"/>
        <v/>
      </c>
      <c r="I792" s="4" t="str">
        <f t="shared" si="792"/>
        <v/>
      </c>
      <c r="J792" s="4" t="str">
        <f t="shared" si="793"/>
        <v/>
      </c>
      <c r="K792" s="25" t="str">
        <f t="shared" ca="1" si="794"/>
        <v/>
      </c>
      <c r="L792" s="21" t="str">
        <f t="shared" ca="1" si="795"/>
        <v/>
      </c>
      <c r="M792" s="21" t="str">
        <f>IF(SUMIFS('Input Sheet'!$F$3:$F$1001,'Input Sheet'!$B$3:$B$1001,$H792,'Input Sheet'!$E$3:$E$1001,M$4)=0,"",SUMIFS('Input Sheet'!$F$3:$F$1001,'Input Sheet'!$B$3:$B$1001,$H792,'Input Sheet'!$E$3:$E$1001,M$4))</f>
        <v/>
      </c>
      <c r="N792" s="21" t="str">
        <f>IF(SUMIFS('Input Sheet'!$F$3:$F$1001,'Input Sheet'!$B$3:$B$1001,$H792,'Input Sheet'!$E$3:$E$1001,N$4)=0,"",SUMIFS('Input Sheet'!$F$3:$F$1001,'Input Sheet'!$B$3:$B$1001,$H792,'Input Sheet'!$E$3:$E$1001,N$4))</f>
        <v/>
      </c>
      <c r="O792" s="21" t="str">
        <f>IF(SUMIFS('Input Sheet'!$F$3:$F$1001,'Input Sheet'!$B$3:$B$1001,$H792,'Input Sheet'!$E$3:$E$1001,O$4)=0,"",SUMIFS('Input Sheet'!$F$3:$F$1001,'Input Sheet'!$B$3:$B$1001,$H792,'Input Sheet'!$E$3:$E$1001,O$4))</f>
        <v/>
      </c>
      <c r="P792" s="21" t="str">
        <f>IF(SUMIFS('Input Sheet'!$F$3:$F$1001,'Input Sheet'!$B$3:$B$1001,$H792,'Input Sheet'!$E$3:$E$1001,P$4)=0,"",SUMIFS('Input Sheet'!$F$3:$F$1001,'Input Sheet'!$B$3:$B$1001,$H792,'Input Sheet'!$E$3:$E$1001,P$4))</f>
        <v/>
      </c>
      <c r="Q792" s="21" t="str">
        <f>IF(SUMIFS('Input Sheet'!$F$3:$F$1001,'Input Sheet'!$B$3:$B$1001,$H792,'Input Sheet'!$E$3:$E$1001,Q$4)=0,"",SUMIFS('Input Sheet'!$F$3:$F$1001,'Input Sheet'!$B$3:$B$1001,$H792,'Input Sheet'!$E$3:$E$1001,Q$4))</f>
        <v/>
      </c>
      <c r="R792" s="21" t="str">
        <f>IF(SUMIFS('Input Sheet'!$F$3:$F$1001,'Input Sheet'!$B$3:$B$1001,$H792,'Input Sheet'!$E$3:$E$1001,R$4)=0,"",SUMIFS('Input Sheet'!$F$3:$F$1001,'Input Sheet'!$B$3:$B$1001,$H792,'Input Sheet'!$E$3:$E$1001,R$4))</f>
        <v/>
      </c>
      <c r="S792" s="21" t="str">
        <f>IF(SUMIFS('Input Sheet'!$F$3:$F$1001,'Input Sheet'!$B$3:$B$1001,$H792,'Input Sheet'!$E$3:$E$1001,S$4)=0,"",SUMIFS('Input Sheet'!$F$3:$F$1001,'Input Sheet'!$B$3:$B$1001,$H792,'Input Sheet'!$E$3:$E$1001,S$4))</f>
        <v/>
      </c>
      <c r="T792" s="22">
        <v>787</v>
      </c>
    </row>
    <row r="793" spans="1:20" ht="14.25" customHeight="1" x14ac:dyDescent="0.3">
      <c r="A793" s="4" t="str">
        <f>IF('Input Sheet'!B790=0,"",'Input Sheet'!B790)</f>
        <v/>
      </c>
      <c r="B793" s="24" t="b">
        <f t="shared" si="788"/>
        <v>0</v>
      </c>
      <c r="C793" s="4">
        <f>SUMIF('Input Sheet'!B$3:B$1000,A793,'Input Sheet'!C$3:C$1000)</f>
        <v>0</v>
      </c>
      <c r="D793" s="4">
        <f>SUMIF('Input Sheet'!B$3:B$1000,A793,'Input Sheet'!D$3:D$1000)</f>
        <v>0</v>
      </c>
      <c r="E793" s="4" t="str">
        <f t="shared" ref="E793:F793" ca="1" si="817">IFERROR(RANK(K793,K$6:K$1004,1),"")</f>
        <v/>
      </c>
      <c r="F793" s="4" t="str">
        <f t="shared" ca="1" si="817"/>
        <v/>
      </c>
      <c r="G793" s="4" t="str">
        <f t="shared" ca="1" si="790"/>
        <v/>
      </c>
      <c r="H793" s="4" t="str">
        <f t="shared" si="791"/>
        <v/>
      </c>
      <c r="I793" s="4" t="str">
        <f t="shared" si="792"/>
        <v/>
      </c>
      <c r="J793" s="4" t="str">
        <f t="shared" si="793"/>
        <v/>
      </c>
      <c r="K793" s="25" t="str">
        <f t="shared" ca="1" si="794"/>
        <v/>
      </c>
      <c r="L793" s="21" t="str">
        <f t="shared" ca="1" si="795"/>
        <v/>
      </c>
      <c r="M793" s="21" t="str">
        <f>IF(SUMIFS('Input Sheet'!$F$3:$F$1001,'Input Sheet'!$B$3:$B$1001,$H793,'Input Sheet'!$E$3:$E$1001,M$4)=0,"",SUMIFS('Input Sheet'!$F$3:$F$1001,'Input Sheet'!$B$3:$B$1001,$H793,'Input Sheet'!$E$3:$E$1001,M$4))</f>
        <v/>
      </c>
      <c r="N793" s="21" t="str">
        <f>IF(SUMIFS('Input Sheet'!$F$3:$F$1001,'Input Sheet'!$B$3:$B$1001,$H793,'Input Sheet'!$E$3:$E$1001,N$4)=0,"",SUMIFS('Input Sheet'!$F$3:$F$1001,'Input Sheet'!$B$3:$B$1001,$H793,'Input Sheet'!$E$3:$E$1001,N$4))</f>
        <v/>
      </c>
      <c r="O793" s="21" t="str">
        <f>IF(SUMIFS('Input Sheet'!$F$3:$F$1001,'Input Sheet'!$B$3:$B$1001,$H793,'Input Sheet'!$E$3:$E$1001,O$4)=0,"",SUMIFS('Input Sheet'!$F$3:$F$1001,'Input Sheet'!$B$3:$B$1001,$H793,'Input Sheet'!$E$3:$E$1001,O$4))</f>
        <v/>
      </c>
      <c r="P793" s="21" t="str">
        <f>IF(SUMIFS('Input Sheet'!$F$3:$F$1001,'Input Sheet'!$B$3:$B$1001,$H793,'Input Sheet'!$E$3:$E$1001,P$4)=0,"",SUMIFS('Input Sheet'!$F$3:$F$1001,'Input Sheet'!$B$3:$B$1001,$H793,'Input Sheet'!$E$3:$E$1001,P$4))</f>
        <v/>
      </c>
      <c r="Q793" s="21" t="str">
        <f>IF(SUMIFS('Input Sheet'!$F$3:$F$1001,'Input Sheet'!$B$3:$B$1001,$H793,'Input Sheet'!$E$3:$E$1001,Q$4)=0,"",SUMIFS('Input Sheet'!$F$3:$F$1001,'Input Sheet'!$B$3:$B$1001,$H793,'Input Sheet'!$E$3:$E$1001,Q$4))</f>
        <v/>
      </c>
      <c r="R793" s="21" t="str">
        <f>IF(SUMIFS('Input Sheet'!$F$3:$F$1001,'Input Sheet'!$B$3:$B$1001,$H793,'Input Sheet'!$E$3:$E$1001,R$4)=0,"",SUMIFS('Input Sheet'!$F$3:$F$1001,'Input Sheet'!$B$3:$B$1001,$H793,'Input Sheet'!$E$3:$E$1001,R$4))</f>
        <v/>
      </c>
      <c r="S793" s="21" t="str">
        <f>IF(SUMIFS('Input Sheet'!$F$3:$F$1001,'Input Sheet'!$B$3:$B$1001,$H793,'Input Sheet'!$E$3:$E$1001,S$4)=0,"",SUMIFS('Input Sheet'!$F$3:$F$1001,'Input Sheet'!$B$3:$B$1001,$H793,'Input Sheet'!$E$3:$E$1001,S$4))</f>
        <v/>
      </c>
      <c r="T793" s="22">
        <v>788</v>
      </c>
    </row>
    <row r="794" spans="1:20" ht="14.25" customHeight="1" x14ac:dyDescent="0.3">
      <c r="A794" s="4" t="str">
        <f>IF('Input Sheet'!B791=0,"",'Input Sheet'!B791)</f>
        <v/>
      </c>
      <c r="B794" s="24" t="b">
        <f t="shared" si="788"/>
        <v>0</v>
      </c>
      <c r="C794" s="4">
        <f>SUMIF('Input Sheet'!B$3:B$1000,A794,'Input Sheet'!C$3:C$1000)</f>
        <v>0</v>
      </c>
      <c r="D794" s="4">
        <f>SUMIF('Input Sheet'!B$3:B$1000,A794,'Input Sheet'!D$3:D$1000)</f>
        <v>0</v>
      </c>
      <c r="E794" s="4" t="str">
        <f t="shared" ref="E794:F794" ca="1" si="818">IFERROR(RANK(K794,K$6:K$1004,1),"")</f>
        <v/>
      </c>
      <c r="F794" s="4" t="str">
        <f t="shared" ca="1" si="818"/>
        <v/>
      </c>
      <c r="G794" s="4" t="str">
        <f t="shared" ca="1" si="790"/>
        <v/>
      </c>
      <c r="H794" s="4" t="str">
        <f t="shared" si="791"/>
        <v/>
      </c>
      <c r="I794" s="4" t="str">
        <f t="shared" si="792"/>
        <v/>
      </c>
      <c r="J794" s="4" t="str">
        <f t="shared" si="793"/>
        <v/>
      </c>
      <c r="K794" s="25" t="str">
        <f t="shared" ca="1" si="794"/>
        <v/>
      </c>
      <c r="L794" s="21" t="str">
        <f t="shared" ca="1" si="795"/>
        <v/>
      </c>
      <c r="M794" s="21" t="str">
        <f>IF(SUMIFS('Input Sheet'!$F$3:$F$1001,'Input Sheet'!$B$3:$B$1001,$H794,'Input Sheet'!$E$3:$E$1001,M$4)=0,"",SUMIFS('Input Sheet'!$F$3:$F$1001,'Input Sheet'!$B$3:$B$1001,$H794,'Input Sheet'!$E$3:$E$1001,M$4))</f>
        <v/>
      </c>
      <c r="N794" s="21" t="str">
        <f>IF(SUMIFS('Input Sheet'!$F$3:$F$1001,'Input Sheet'!$B$3:$B$1001,$H794,'Input Sheet'!$E$3:$E$1001,N$4)=0,"",SUMIFS('Input Sheet'!$F$3:$F$1001,'Input Sheet'!$B$3:$B$1001,$H794,'Input Sheet'!$E$3:$E$1001,N$4))</f>
        <v/>
      </c>
      <c r="O794" s="21" t="str">
        <f>IF(SUMIFS('Input Sheet'!$F$3:$F$1001,'Input Sheet'!$B$3:$B$1001,$H794,'Input Sheet'!$E$3:$E$1001,O$4)=0,"",SUMIFS('Input Sheet'!$F$3:$F$1001,'Input Sheet'!$B$3:$B$1001,$H794,'Input Sheet'!$E$3:$E$1001,O$4))</f>
        <v/>
      </c>
      <c r="P794" s="21" t="str">
        <f>IF(SUMIFS('Input Sheet'!$F$3:$F$1001,'Input Sheet'!$B$3:$B$1001,$H794,'Input Sheet'!$E$3:$E$1001,P$4)=0,"",SUMIFS('Input Sheet'!$F$3:$F$1001,'Input Sheet'!$B$3:$B$1001,$H794,'Input Sheet'!$E$3:$E$1001,P$4))</f>
        <v/>
      </c>
      <c r="Q794" s="21" t="str">
        <f>IF(SUMIFS('Input Sheet'!$F$3:$F$1001,'Input Sheet'!$B$3:$B$1001,$H794,'Input Sheet'!$E$3:$E$1001,Q$4)=0,"",SUMIFS('Input Sheet'!$F$3:$F$1001,'Input Sheet'!$B$3:$B$1001,$H794,'Input Sheet'!$E$3:$E$1001,Q$4))</f>
        <v/>
      </c>
      <c r="R794" s="21" t="str">
        <f>IF(SUMIFS('Input Sheet'!$F$3:$F$1001,'Input Sheet'!$B$3:$B$1001,$H794,'Input Sheet'!$E$3:$E$1001,R$4)=0,"",SUMIFS('Input Sheet'!$F$3:$F$1001,'Input Sheet'!$B$3:$B$1001,$H794,'Input Sheet'!$E$3:$E$1001,R$4))</f>
        <v/>
      </c>
      <c r="S794" s="21" t="str">
        <f>IF(SUMIFS('Input Sheet'!$F$3:$F$1001,'Input Sheet'!$B$3:$B$1001,$H794,'Input Sheet'!$E$3:$E$1001,S$4)=0,"",SUMIFS('Input Sheet'!$F$3:$F$1001,'Input Sheet'!$B$3:$B$1001,$H794,'Input Sheet'!$E$3:$E$1001,S$4))</f>
        <v/>
      </c>
      <c r="T794" s="22">
        <v>789</v>
      </c>
    </row>
    <row r="795" spans="1:20" ht="14.25" customHeight="1" x14ac:dyDescent="0.3">
      <c r="A795" s="4" t="str">
        <f>IF('Input Sheet'!B792=0,"",'Input Sheet'!B792)</f>
        <v/>
      </c>
      <c r="B795" s="24" t="b">
        <f t="shared" si="788"/>
        <v>0</v>
      </c>
      <c r="C795" s="4">
        <f>SUMIF('Input Sheet'!B$3:B$1000,A795,'Input Sheet'!C$3:C$1000)</f>
        <v>0</v>
      </c>
      <c r="D795" s="4">
        <f>SUMIF('Input Sheet'!B$3:B$1000,A795,'Input Sheet'!D$3:D$1000)</f>
        <v>0</v>
      </c>
      <c r="E795" s="4" t="str">
        <f t="shared" ref="E795:F795" ca="1" si="819">IFERROR(RANK(K795,K$6:K$1004,1),"")</f>
        <v/>
      </c>
      <c r="F795" s="4" t="str">
        <f t="shared" ca="1" si="819"/>
        <v/>
      </c>
      <c r="G795" s="4" t="str">
        <f t="shared" ca="1" si="790"/>
        <v/>
      </c>
      <c r="H795" s="4" t="str">
        <f t="shared" si="791"/>
        <v/>
      </c>
      <c r="I795" s="4" t="str">
        <f t="shared" si="792"/>
        <v/>
      </c>
      <c r="J795" s="4" t="str">
        <f t="shared" si="793"/>
        <v/>
      </c>
      <c r="K795" s="25" t="str">
        <f t="shared" ca="1" si="794"/>
        <v/>
      </c>
      <c r="L795" s="21" t="str">
        <f t="shared" ca="1" si="795"/>
        <v/>
      </c>
      <c r="M795" s="21" t="str">
        <f>IF(SUMIFS('Input Sheet'!$F$3:$F$1001,'Input Sheet'!$B$3:$B$1001,$H795,'Input Sheet'!$E$3:$E$1001,M$4)=0,"",SUMIFS('Input Sheet'!$F$3:$F$1001,'Input Sheet'!$B$3:$B$1001,$H795,'Input Sheet'!$E$3:$E$1001,M$4))</f>
        <v/>
      </c>
      <c r="N795" s="21" t="str">
        <f>IF(SUMIFS('Input Sheet'!$F$3:$F$1001,'Input Sheet'!$B$3:$B$1001,$H795,'Input Sheet'!$E$3:$E$1001,N$4)=0,"",SUMIFS('Input Sheet'!$F$3:$F$1001,'Input Sheet'!$B$3:$B$1001,$H795,'Input Sheet'!$E$3:$E$1001,N$4))</f>
        <v/>
      </c>
      <c r="O795" s="21" t="str">
        <f>IF(SUMIFS('Input Sheet'!$F$3:$F$1001,'Input Sheet'!$B$3:$B$1001,$H795,'Input Sheet'!$E$3:$E$1001,O$4)=0,"",SUMIFS('Input Sheet'!$F$3:$F$1001,'Input Sheet'!$B$3:$B$1001,$H795,'Input Sheet'!$E$3:$E$1001,O$4))</f>
        <v/>
      </c>
      <c r="P795" s="21" t="str">
        <f>IF(SUMIFS('Input Sheet'!$F$3:$F$1001,'Input Sheet'!$B$3:$B$1001,$H795,'Input Sheet'!$E$3:$E$1001,P$4)=0,"",SUMIFS('Input Sheet'!$F$3:$F$1001,'Input Sheet'!$B$3:$B$1001,$H795,'Input Sheet'!$E$3:$E$1001,P$4))</f>
        <v/>
      </c>
      <c r="Q795" s="21" t="str">
        <f>IF(SUMIFS('Input Sheet'!$F$3:$F$1001,'Input Sheet'!$B$3:$B$1001,$H795,'Input Sheet'!$E$3:$E$1001,Q$4)=0,"",SUMIFS('Input Sheet'!$F$3:$F$1001,'Input Sheet'!$B$3:$B$1001,$H795,'Input Sheet'!$E$3:$E$1001,Q$4))</f>
        <v/>
      </c>
      <c r="R795" s="21" t="str">
        <f>IF(SUMIFS('Input Sheet'!$F$3:$F$1001,'Input Sheet'!$B$3:$B$1001,$H795,'Input Sheet'!$E$3:$E$1001,R$4)=0,"",SUMIFS('Input Sheet'!$F$3:$F$1001,'Input Sheet'!$B$3:$B$1001,$H795,'Input Sheet'!$E$3:$E$1001,R$4))</f>
        <v/>
      </c>
      <c r="S795" s="21" t="str">
        <f>IF(SUMIFS('Input Sheet'!$F$3:$F$1001,'Input Sheet'!$B$3:$B$1001,$H795,'Input Sheet'!$E$3:$E$1001,S$4)=0,"",SUMIFS('Input Sheet'!$F$3:$F$1001,'Input Sheet'!$B$3:$B$1001,$H795,'Input Sheet'!$E$3:$E$1001,S$4))</f>
        <v/>
      </c>
      <c r="T795" s="22">
        <v>790</v>
      </c>
    </row>
    <row r="796" spans="1:20" ht="14.25" customHeight="1" x14ac:dyDescent="0.3">
      <c r="A796" s="4" t="str">
        <f>IF('Input Sheet'!B793=0,"",'Input Sheet'!B793)</f>
        <v/>
      </c>
      <c r="B796" s="24" t="b">
        <f t="shared" si="788"/>
        <v>0</v>
      </c>
      <c r="C796" s="4">
        <f>SUMIF('Input Sheet'!B$3:B$1000,A796,'Input Sheet'!C$3:C$1000)</f>
        <v>0</v>
      </c>
      <c r="D796" s="4">
        <f>SUMIF('Input Sheet'!B$3:B$1000,A796,'Input Sheet'!D$3:D$1000)</f>
        <v>0</v>
      </c>
      <c r="E796" s="4" t="str">
        <f t="shared" ref="E796:F796" ca="1" si="820">IFERROR(RANK(K796,K$6:K$1004,1),"")</f>
        <v/>
      </c>
      <c r="F796" s="4" t="str">
        <f t="shared" ca="1" si="820"/>
        <v/>
      </c>
      <c r="G796" s="4" t="str">
        <f t="shared" ca="1" si="790"/>
        <v/>
      </c>
      <c r="H796" s="4" t="str">
        <f t="shared" si="791"/>
        <v/>
      </c>
      <c r="I796" s="4" t="str">
        <f t="shared" si="792"/>
        <v/>
      </c>
      <c r="J796" s="4" t="str">
        <f t="shared" si="793"/>
        <v/>
      </c>
      <c r="K796" s="25" t="str">
        <f t="shared" ca="1" si="794"/>
        <v/>
      </c>
      <c r="L796" s="21" t="str">
        <f t="shared" ca="1" si="795"/>
        <v/>
      </c>
      <c r="M796" s="21" t="str">
        <f>IF(SUMIFS('Input Sheet'!$F$3:$F$1001,'Input Sheet'!$B$3:$B$1001,$H796,'Input Sheet'!$E$3:$E$1001,M$4)=0,"",SUMIFS('Input Sheet'!$F$3:$F$1001,'Input Sheet'!$B$3:$B$1001,$H796,'Input Sheet'!$E$3:$E$1001,M$4))</f>
        <v/>
      </c>
      <c r="N796" s="21" t="str">
        <f>IF(SUMIFS('Input Sheet'!$F$3:$F$1001,'Input Sheet'!$B$3:$B$1001,$H796,'Input Sheet'!$E$3:$E$1001,N$4)=0,"",SUMIFS('Input Sheet'!$F$3:$F$1001,'Input Sheet'!$B$3:$B$1001,$H796,'Input Sheet'!$E$3:$E$1001,N$4))</f>
        <v/>
      </c>
      <c r="O796" s="21" t="str">
        <f>IF(SUMIFS('Input Sheet'!$F$3:$F$1001,'Input Sheet'!$B$3:$B$1001,$H796,'Input Sheet'!$E$3:$E$1001,O$4)=0,"",SUMIFS('Input Sheet'!$F$3:$F$1001,'Input Sheet'!$B$3:$B$1001,$H796,'Input Sheet'!$E$3:$E$1001,O$4))</f>
        <v/>
      </c>
      <c r="P796" s="21" t="str">
        <f>IF(SUMIFS('Input Sheet'!$F$3:$F$1001,'Input Sheet'!$B$3:$B$1001,$H796,'Input Sheet'!$E$3:$E$1001,P$4)=0,"",SUMIFS('Input Sheet'!$F$3:$F$1001,'Input Sheet'!$B$3:$B$1001,$H796,'Input Sheet'!$E$3:$E$1001,P$4))</f>
        <v/>
      </c>
      <c r="Q796" s="21" t="str">
        <f>IF(SUMIFS('Input Sheet'!$F$3:$F$1001,'Input Sheet'!$B$3:$B$1001,$H796,'Input Sheet'!$E$3:$E$1001,Q$4)=0,"",SUMIFS('Input Sheet'!$F$3:$F$1001,'Input Sheet'!$B$3:$B$1001,$H796,'Input Sheet'!$E$3:$E$1001,Q$4))</f>
        <v/>
      </c>
      <c r="R796" s="21" t="str">
        <f>IF(SUMIFS('Input Sheet'!$F$3:$F$1001,'Input Sheet'!$B$3:$B$1001,$H796,'Input Sheet'!$E$3:$E$1001,R$4)=0,"",SUMIFS('Input Sheet'!$F$3:$F$1001,'Input Sheet'!$B$3:$B$1001,$H796,'Input Sheet'!$E$3:$E$1001,R$4))</f>
        <v/>
      </c>
      <c r="S796" s="21" t="str">
        <f>IF(SUMIFS('Input Sheet'!$F$3:$F$1001,'Input Sheet'!$B$3:$B$1001,$H796,'Input Sheet'!$E$3:$E$1001,S$4)=0,"",SUMIFS('Input Sheet'!$F$3:$F$1001,'Input Sheet'!$B$3:$B$1001,$H796,'Input Sheet'!$E$3:$E$1001,S$4))</f>
        <v/>
      </c>
      <c r="T796" s="22">
        <v>791</v>
      </c>
    </row>
    <row r="797" spans="1:20" ht="14.25" customHeight="1" x14ac:dyDescent="0.3">
      <c r="A797" s="4" t="str">
        <f>IF('Input Sheet'!B794=0,"",'Input Sheet'!B794)</f>
        <v/>
      </c>
      <c r="B797" s="24" t="b">
        <f t="shared" si="788"/>
        <v>0</v>
      </c>
      <c r="C797" s="4">
        <f>SUMIF('Input Sheet'!B$3:B$1000,A797,'Input Sheet'!C$3:C$1000)</f>
        <v>0</v>
      </c>
      <c r="D797" s="4">
        <f>SUMIF('Input Sheet'!B$3:B$1000,A797,'Input Sheet'!D$3:D$1000)</f>
        <v>0</v>
      </c>
      <c r="E797" s="4" t="str">
        <f t="shared" ref="E797:F797" ca="1" si="821">IFERROR(RANK(K797,K$6:K$1004,1),"")</f>
        <v/>
      </c>
      <c r="F797" s="4" t="str">
        <f t="shared" ca="1" si="821"/>
        <v/>
      </c>
      <c r="G797" s="4" t="str">
        <f t="shared" ca="1" si="790"/>
        <v/>
      </c>
      <c r="H797" s="4" t="str">
        <f t="shared" si="791"/>
        <v/>
      </c>
      <c r="I797" s="4" t="str">
        <f t="shared" si="792"/>
        <v/>
      </c>
      <c r="J797" s="4" t="str">
        <f t="shared" si="793"/>
        <v/>
      </c>
      <c r="K797" s="25" t="str">
        <f t="shared" ca="1" si="794"/>
        <v/>
      </c>
      <c r="L797" s="21" t="str">
        <f t="shared" ca="1" si="795"/>
        <v/>
      </c>
      <c r="M797" s="21" t="str">
        <f>IF(SUMIFS('Input Sheet'!$F$3:$F$1001,'Input Sheet'!$B$3:$B$1001,$H797,'Input Sheet'!$E$3:$E$1001,M$4)=0,"",SUMIFS('Input Sheet'!$F$3:$F$1001,'Input Sheet'!$B$3:$B$1001,$H797,'Input Sheet'!$E$3:$E$1001,M$4))</f>
        <v/>
      </c>
      <c r="N797" s="21" t="str">
        <f>IF(SUMIFS('Input Sheet'!$F$3:$F$1001,'Input Sheet'!$B$3:$B$1001,$H797,'Input Sheet'!$E$3:$E$1001,N$4)=0,"",SUMIFS('Input Sheet'!$F$3:$F$1001,'Input Sheet'!$B$3:$B$1001,$H797,'Input Sheet'!$E$3:$E$1001,N$4))</f>
        <v/>
      </c>
      <c r="O797" s="21" t="str">
        <f>IF(SUMIFS('Input Sheet'!$F$3:$F$1001,'Input Sheet'!$B$3:$B$1001,$H797,'Input Sheet'!$E$3:$E$1001,O$4)=0,"",SUMIFS('Input Sheet'!$F$3:$F$1001,'Input Sheet'!$B$3:$B$1001,$H797,'Input Sheet'!$E$3:$E$1001,O$4))</f>
        <v/>
      </c>
      <c r="P797" s="21" t="str">
        <f>IF(SUMIFS('Input Sheet'!$F$3:$F$1001,'Input Sheet'!$B$3:$B$1001,$H797,'Input Sheet'!$E$3:$E$1001,P$4)=0,"",SUMIFS('Input Sheet'!$F$3:$F$1001,'Input Sheet'!$B$3:$B$1001,$H797,'Input Sheet'!$E$3:$E$1001,P$4))</f>
        <v/>
      </c>
      <c r="Q797" s="21" t="str">
        <f>IF(SUMIFS('Input Sheet'!$F$3:$F$1001,'Input Sheet'!$B$3:$B$1001,$H797,'Input Sheet'!$E$3:$E$1001,Q$4)=0,"",SUMIFS('Input Sheet'!$F$3:$F$1001,'Input Sheet'!$B$3:$B$1001,$H797,'Input Sheet'!$E$3:$E$1001,Q$4))</f>
        <v/>
      </c>
      <c r="R797" s="21" t="str">
        <f>IF(SUMIFS('Input Sheet'!$F$3:$F$1001,'Input Sheet'!$B$3:$B$1001,$H797,'Input Sheet'!$E$3:$E$1001,R$4)=0,"",SUMIFS('Input Sheet'!$F$3:$F$1001,'Input Sheet'!$B$3:$B$1001,$H797,'Input Sheet'!$E$3:$E$1001,R$4))</f>
        <v/>
      </c>
      <c r="S797" s="21" t="str">
        <f>IF(SUMIFS('Input Sheet'!$F$3:$F$1001,'Input Sheet'!$B$3:$B$1001,$H797,'Input Sheet'!$E$3:$E$1001,S$4)=0,"",SUMIFS('Input Sheet'!$F$3:$F$1001,'Input Sheet'!$B$3:$B$1001,$H797,'Input Sheet'!$E$3:$E$1001,S$4))</f>
        <v/>
      </c>
      <c r="T797" s="22">
        <v>792</v>
      </c>
    </row>
    <row r="798" spans="1:20" ht="14.25" customHeight="1" x14ac:dyDescent="0.3">
      <c r="A798" s="4" t="str">
        <f>IF('Input Sheet'!B795=0,"",'Input Sheet'!B795)</f>
        <v/>
      </c>
      <c r="B798" s="24" t="b">
        <f t="shared" si="788"/>
        <v>0</v>
      </c>
      <c r="C798" s="4">
        <f>SUMIF('Input Sheet'!B$3:B$1000,A798,'Input Sheet'!C$3:C$1000)</f>
        <v>0</v>
      </c>
      <c r="D798" s="4">
        <f>SUMIF('Input Sheet'!B$3:B$1000,A798,'Input Sheet'!D$3:D$1000)</f>
        <v>0</v>
      </c>
      <c r="E798" s="4" t="str">
        <f t="shared" ref="E798:F798" ca="1" si="822">IFERROR(RANK(K798,K$6:K$1004,1),"")</f>
        <v/>
      </c>
      <c r="F798" s="4" t="str">
        <f t="shared" ca="1" si="822"/>
        <v/>
      </c>
      <c r="G798" s="4" t="str">
        <f t="shared" ca="1" si="790"/>
        <v/>
      </c>
      <c r="H798" s="4" t="str">
        <f t="shared" si="791"/>
        <v/>
      </c>
      <c r="I798" s="4" t="str">
        <f t="shared" si="792"/>
        <v/>
      </c>
      <c r="J798" s="4" t="str">
        <f t="shared" si="793"/>
        <v/>
      </c>
      <c r="K798" s="25" t="str">
        <f t="shared" ca="1" si="794"/>
        <v/>
      </c>
      <c r="L798" s="21" t="str">
        <f t="shared" ca="1" si="795"/>
        <v/>
      </c>
      <c r="M798" s="21" t="str">
        <f>IF(SUMIFS('Input Sheet'!$F$3:$F$1001,'Input Sheet'!$B$3:$B$1001,$H798,'Input Sheet'!$E$3:$E$1001,M$4)=0,"",SUMIFS('Input Sheet'!$F$3:$F$1001,'Input Sheet'!$B$3:$B$1001,$H798,'Input Sheet'!$E$3:$E$1001,M$4))</f>
        <v/>
      </c>
      <c r="N798" s="21" t="str">
        <f>IF(SUMIFS('Input Sheet'!$F$3:$F$1001,'Input Sheet'!$B$3:$B$1001,$H798,'Input Sheet'!$E$3:$E$1001,N$4)=0,"",SUMIFS('Input Sheet'!$F$3:$F$1001,'Input Sheet'!$B$3:$B$1001,$H798,'Input Sheet'!$E$3:$E$1001,N$4))</f>
        <v/>
      </c>
      <c r="O798" s="21" t="str">
        <f>IF(SUMIFS('Input Sheet'!$F$3:$F$1001,'Input Sheet'!$B$3:$B$1001,$H798,'Input Sheet'!$E$3:$E$1001,O$4)=0,"",SUMIFS('Input Sheet'!$F$3:$F$1001,'Input Sheet'!$B$3:$B$1001,$H798,'Input Sheet'!$E$3:$E$1001,O$4))</f>
        <v/>
      </c>
      <c r="P798" s="21" t="str">
        <f>IF(SUMIFS('Input Sheet'!$F$3:$F$1001,'Input Sheet'!$B$3:$B$1001,$H798,'Input Sheet'!$E$3:$E$1001,P$4)=0,"",SUMIFS('Input Sheet'!$F$3:$F$1001,'Input Sheet'!$B$3:$B$1001,$H798,'Input Sheet'!$E$3:$E$1001,P$4))</f>
        <v/>
      </c>
      <c r="Q798" s="21" t="str">
        <f>IF(SUMIFS('Input Sheet'!$F$3:$F$1001,'Input Sheet'!$B$3:$B$1001,$H798,'Input Sheet'!$E$3:$E$1001,Q$4)=0,"",SUMIFS('Input Sheet'!$F$3:$F$1001,'Input Sheet'!$B$3:$B$1001,$H798,'Input Sheet'!$E$3:$E$1001,Q$4))</f>
        <v/>
      </c>
      <c r="R798" s="21" t="str">
        <f>IF(SUMIFS('Input Sheet'!$F$3:$F$1001,'Input Sheet'!$B$3:$B$1001,$H798,'Input Sheet'!$E$3:$E$1001,R$4)=0,"",SUMIFS('Input Sheet'!$F$3:$F$1001,'Input Sheet'!$B$3:$B$1001,$H798,'Input Sheet'!$E$3:$E$1001,R$4))</f>
        <v/>
      </c>
      <c r="S798" s="21" t="str">
        <f>IF(SUMIFS('Input Sheet'!$F$3:$F$1001,'Input Sheet'!$B$3:$B$1001,$H798,'Input Sheet'!$E$3:$E$1001,S$4)=0,"",SUMIFS('Input Sheet'!$F$3:$F$1001,'Input Sheet'!$B$3:$B$1001,$H798,'Input Sheet'!$E$3:$E$1001,S$4))</f>
        <v/>
      </c>
      <c r="T798" s="22">
        <v>793</v>
      </c>
    </row>
    <row r="799" spans="1:20" ht="14.25" customHeight="1" x14ac:dyDescent="0.3">
      <c r="A799" s="4" t="str">
        <f>IF('Input Sheet'!B796=0,"",'Input Sheet'!B796)</f>
        <v/>
      </c>
      <c r="B799" s="24" t="b">
        <f t="shared" si="788"/>
        <v>0</v>
      </c>
      <c r="C799" s="4">
        <f>SUMIF('Input Sheet'!B$3:B$1000,A799,'Input Sheet'!C$3:C$1000)</f>
        <v>0</v>
      </c>
      <c r="D799" s="4">
        <f>SUMIF('Input Sheet'!B$3:B$1000,A799,'Input Sheet'!D$3:D$1000)</f>
        <v>0</v>
      </c>
      <c r="E799" s="4" t="str">
        <f t="shared" ref="E799:F799" ca="1" si="823">IFERROR(RANK(K799,K$6:K$1004,1),"")</f>
        <v/>
      </c>
      <c r="F799" s="4" t="str">
        <f t="shared" ca="1" si="823"/>
        <v/>
      </c>
      <c r="G799" s="4" t="str">
        <f t="shared" ca="1" si="790"/>
        <v/>
      </c>
      <c r="H799" s="4" t="str">
        <f t="shared" si="791"/>
        <v/>
      </c>
      <c r="I799" s="4" t="str">
        <f t="shared" si="792"/>
        <v/>
      </c>
      <c r="J799" s="4" t="str">
        <f t="shared" si="793"/>
        <v/>
      </c>
      <c r="K799" s="25" t="str">
        <f t="shared" ca="1" si="794"/>
        <v/>
      </c>
      <c r="L799" s="21" t="str">
        <f t="shared" ca="1" si="795"/>
        <v/>
      </c>
      <c r="M799" s="21" t="str">
        <f>IF(SUMIFS('Input Sheet'!$F$3:$F$1001,'Input Sheet'!$B$3:$B$1001,$H799,'Input Sheet'!$E$3:$E$1001,M$4)=0,"",SUMIFS('Input Sheet'!$F$3:$F$1001,'Input Sheet'!$B$3:$B$1001,$H799,'Input Sheet'!$E$3:$E$1001,M$4))</f>
        <v/>
      </c>
      <c r="N799" s="21" t="str">
        <f>IF(SUMIFS('Input Sheet'!$F$3:$F$1001,'Input Sheet'!$B$3:$B$1001,$H799,'Input Sheet'!$E$3:$E$1001,N$4)=0,"",SUMIFS('Input Sheet'!$F$3:$F$1001,'Input Sheet'!$B$3:$B$1001,$H799,'Input Sheet'!$E$3:$E$1001,N$4))</f>
        <v/>
      </c>
      <c r="O799" s="21" t="str">
        <f>IF(SUMIFS('Input Sheet'!$F$3:$F$1001,'Input Sheet'!$B$3:$B$1001,$H799,'Input Sheet'!$E$3:$E$1001,O$4)=0,"",SUMIFS('Input Sheet'!$F$3:$F$1001,'Input Sheet'!$B$3:$B$1001,$H799,'Input Sheet'!$E$3:$E$1001,O$4))</f>
        <v/>
      </c>
      <c r="P799" s="21" t="str">
        <f>IF(SUMIFS('Input Sheet'!$F$3:$F$1001,'Input Sheet'!$B$3:$B$1001,$H799,'Input Sheet'!$E$3:$E$1001,P$4)=0,"",SUMIFS('Input Sheet'!$F$3:$F$1001,'Input Sheet'!$B$3:$B$1001,$H799,'Input Sheet'!$E$3:$E$1001,P$4))</f>
        <v/>
      </c>
      <c r="Q799" s="21" t="str">
        <f>IF(SUMIFS('Input Sheet'!$F$3:$F$1001,'Input Sheet'!$B$3:$B$1001,$H799,'Input Sheet'!$E$3:$E$1001,Q$4)=0,"",SUMIFS('Input Sheet'!$F$3:$F$1001,'Input Sheet'!$B$3:$B$1001,$H799,'Input Sheet'!$E$3:$E$1001,Q$4))</f>
        <v/>
      </c>
      <c r="R799" s="21" t="str">
        <f>IF(SUMIFS('Input Sheet'!$F$3:$F$1001,'Input Sheet'!$B$3:$B$1001,$H799,'Input Sheet'!$E$3:$E$1001,R$4)=0,"",SUMIFS('Input Sheet'!$F$3:$F$1001,'Input Sheet'!$B$3:$B$1001,$H799,'Input Sheet'!$E$3:$E$1001,R$4))</f>
        <v/>
      </c>
      <c r="S799" s="21" t="str">
        <f>IF(SUMIFS('Input Sheet'!$F$3:$F$1001,'Input Sheet'!$B$3:$B$1001,$H799,'Input Sheet'!$E$3:$E$1001,S$4)=0,"",SUMIFS('Input Sheet'!$F$3:$F$1001,'Input Sheet'!$B$3:$B$1001,$H799,'Input Sheet'!$E$3:$E$1001,S$4))</f>
        <v/>
      </c>
      <c r="T799" s="22">
        <v>794</v>
      </c>
    </row>
    <row r="800" spans="1:20" ht="14.25" customHeight="1" x14ac:dyDescent="0.3">
      <c r="A800" s="4" t="str">
        <f>IF('Input Sheet'!B797=0,"",'Input Sheet'!B797)</f>
        <v/>
      </c>
      <c r="B800" s="24" t="b">
        <f t="shared" si="788"/>
        <v>0</v>
      </c>
      <c r="C800" s="4">
        <f>SUMIF('Input Sheet'!B$3:B$1000,A800,'Input Sheet'!C$3:C$1000)</f>
        <v>0</v>
      </c>
      <c r="D800" s="4">
        <f>SUMIF('Input Sheet'!B$3:B$1000,A800,'Input Sheet'!D$3:D$1000)</f>
        <v>0</v>
      </c>
      <c r="E800" s="4" t="str">
        <f t="shared" ref="E800:F800" ca="1" si="824">IFERROR(RANK(K800,K$6:K$1004,1),"")</f>
        <v/>
      </c>
      <c r="F800" s="4" t="str">
        <f t="shared" ca="1" si="824"/>
        <v/>
      </c>
      <c r="G800" s="4" t="str">
        <f t="shared" ca="1" si="790"/>
        <v/>
      </c>
      <c r="H800" s="4" t="str">
        <f t="shared" si="791"/>
        <v/>
      </c>
      <c r="I800" s="4" t="str">
        <f t="shared" si="792"/>
        <v/>
      </c>
      <c r="J800" s="4" t="str">
        <f t="shared" si="793"/>
        <v/>
      </c>
      <c r="K800" s="25" t="str">
        <f t="shared" ca="1" si="794"/>
        <v/>
      </c>
      <c r="L800" s="21" t="str">
        <f t="shared" ca="1" si="795"/>
        <v/>
      </c>
      <c r="M800" s="21" t="str">
        <f>IF(SUMIFS('Input Sheet'!$F$3:$F$1001,'Input Sheet'!$B$3:$B$1001,$H800,'Input Sheet'!$E$3:$E$1001,M$4)=0,"",SUMIFS('Input Sheet'!$F$3:$F$1001,'Input Sheet'!$B$3:$B$1001,$H800,'Input Sheet'!$E$3:$E$1001,M$4))</f>
        <v/>
      </c>
      <c r="N800" s="21" t="str">
        <f>IF(SUMIFS('Input Sheet'!$F$3:$F$1001,'Input Sheet'!$B$3:$B$1001,$H800,'Input Sheet'!$E$3:$E$1001,N$4)=0,"",SUMIFS('Input Sheet'!$F$3:$F$1001,'Input Sheet'!$B$3:$B$1001,$H800,'Input Sheet'!$E$3:$E$1001,N$4))</f>
        <v/>
      </c>
      <c r="O800" s="21" t="str">
        <f>IF(SUMIFS('Input Sheet'!$F$3:$F$1001,'Input Sheet'!$B$3:$B$1001,$H800,'Input Sheet'!$E$3:$E$1001,O$4)=0,"",SUMIFS('Input Sheet'!$F$3:$F$1001,'Input Sheet'!$B$3:$B$1001,$H800,'Input Sheet'!$E$3:$E$1001,O$4))</f>
        <v/>
      </c>
      <c r="P800" s="21" t="str">
        <f>IF(SUMIFS('Input Sheet'!$F$3:$F$1001,'Input Sheet'!$B$3:$B$1001,$H800,'Input Sheet'!$E$3:$E$1001,P$4)=0,"",SUMIFS('Input Sheet'!$F$3:$F$1001,'Input Sheet'!$B$3:$B$1001,$H800,'Input Sheet'!$E$3:$E$1001,P$4))</f>
        <v/>
      </c>
      <c r="Q800" s="21" t="str">
        <f>IF(SUMIFS('Input Sheet'!$F$3:$F$1001,'Input Sheet'!$B$3:$B$1001,$H800,'Input Sheet'!$E$3:$E$1001,Q$4)=0,"",SUMIFS('Input Sheet'!$F$3:$F$1001,'Input Sheet'!$B$3:$B$1001,$H800,'Input Sheet'!$E$3:$E$1001,Q$4))</f>
        <v/>
      </c>
      <c r="R800" s="21" t="str">
        <f>IF(SUMIFS('Input Sheet'!$F$3:$F$1001,'Input Sheet'!$B$3:$B$1001,$H800,'Input Sheet'!$E$3:$E$1001,R$4)=0,"",SUMIFS('Input Sheet'!$F$3:$F$1001,'Input Sheet'!$B$3:$B$1001,$H800,'Input Sheet'!$E$3:$E$1001,R$4))</f>
        <v/>
      </c>
      <c r="S800" s="21" t="str">
        <f>IF(SUMIFS('Input Sheet'!$F$3:$F$1001,'Input Sheet'!$B$3:$B$1001,$H800,'Input Sheet'!$E$3:$E$1001,S$4)=0,"",SUMIFS('Input Sheet'!$F$3:$F$1001,'Input Sheet'!$B$3:$B$1001,$H800,'Input Sheet'!$E$3:$E$1001,S$4))</f>
        <v/>
      </c>
      <c r="T800" s="22">
        <v>795</v>
      </c>
    </row>
    <row r="801" spans="1:20" ht="14.25" customHeight="1" x14ac:dyDescent="0.3">
      <c r="A801" s="4" t="str">
        <f>IF('Input Sheet'!B798=0,"",'Input Sheet'!B798)</f>
        <v/>
      </c>
      <c r="B801" s="24" t="b">
        <f t="shared" si="788"/>
        <v>0</v>
      </c>
      <c r="C801" s="4">
        <f>SUMIF('Input Sheet'!B$3:B$1000,A801,'Input Sheet'!C$3:C$1000)</f>
        <v>0</v>
      </c>
      <c r="D801" s="4">
        <f>SUMIF('Input Sheet'!B$3:B$1000,A801,'Input Sheet'!D$3:D$1000)</f>
        <v>0</v>
      </c>
      <c r="E801" s="4" t="str">
        <f t="shared" ref="E801:F801" ca="1" si="825">IFERROR(RANK(K801,K$6:K$1004,1),"")</f>
        <v/>
      </c>
      <c r="F801" s="4" t="str">
        <f t="shared" ca="1" si="825"/>
        <v/>
      </c>
      <c r="G801" s="4" t="str">
        <f t="shared" ca="1" si="790"/>
        <v/>
      </c>
      <c r="H801" s="4" t="str">
        <f t="shared" si="791"/>
        <v/>
      </c>
      <c r="I801" s="4" t="str">
        <f t="shared" si="792"/>
        <v/>
      </c>
      <c r="J801" s="4" t="str">
        <f t="shared" si="793"/>
        <v/>
      </c>
      <c r="K801" s="25" t="str">
        <f t="shared" ca="1" si="794"/>
        <v/>
      </c>
      <c r="L801" s="21" t="str">
        <f t="shared" ca="1" si="795"/>
        <v/>
      </c>
      <c r="M801" s="21" t="str">
        <f>IF(SUMIFS('Input Sheet'!$F$3:$F$1001,'Input Sheet'!$B$3:$B$1001,$H801,'Input Sheet'!$E$3:$E$1001,M$4)=0,"",SUMIFS('Input Sheet'!$F$3:$F$1001,'Input Sheet'!$B$3:$B$1001,$H801,'Input Sheet'!$E$3:$E$1001,M$4))</f>
        <v/>
      </c>
      <c r="N801" s="21" t="str">
        <f>IF(SUMIFS('Input Sheet'!$F$3:$F$1001,'Input Sheet'!$B$3:$B$1001,$H801,'Input Sheet'!$E$3:$E$1001,N$4)=0,"",SUMIFS('Input Sheet'!$F$3:$F$1001,'Input Sheet'!$B$3:$B$1001,$H801,'Input Sheet'!$E$3:$E$1001,N$4))</f>
        <v/>
      </c>
      <c r="O801" s="21" t="str">
        <f>IF(SUMIFS('Input Sheet'!$F$3:$F$1001,'Input Sheet'!$B$3:$B$1001,$H801,'Input Sheet'!$E$3:$E$1001,O$4)=0,"",SUMIFS('Input Sheet'!$F$3:$F$1001,'Input Sheet'!$B$3:$B$1001,$H801,'Input Sheet'!$E$3:$E$1001,O$4))</f>
        <v/>
      </c>
      <c r="P801" s="21" t="str">
        <f>IF(SUMIFS('Input Sheet'!$F$3:$F$1001,'Input Sheet'!$B$3:$B$1001,$H801,'Input Sheet'!$E$3:$E$1001,P$4)=0,"",SUMIFS('Input Sheet'!$F$3:$F$1001,'Input Sheet'!$B$3:$B$1001,$H801,'Input Sheet'!$E$3:$E$1001,P$4))</f>
        <v/>
      </c>
      <c r="Q801" s="21" t="str">
        <f>IF(SUMIFS('Input Sheet'!$F$3:$F$1001,'Input Sheet'!$B$3:$B$1001,$H801,'Input Sheet'!$E$3:$E$1001,Q$4)=0,"",SUMIFS('Input Sheet'!$F$3:$F$1001,'Input Sheet'!$B$3:$B$1001,$H801,'Input Sheet'!$E$3:$E$1001,Q$4))</f>
        <v/>
      </c>
      <c r="R801" s="21" t="str">
        <f>IF(SUMIFS('Input Sheet'!$F$3:$F$1001,'Input Sheet'!$B$3:$B$1001,$H801,'Input Sheet'!$E$3:$E$1001,R$4)=0,"",SUMIFS('Input Sheet'!$F$3:$F$1001,'Input Sheet'!$B$3:$B$1001,$H801,'Input Sheet'!$E$3:$E$1001,R$4))</f>
        <v/>
      </c>
      <c r="S801" s="21" t="str">
        <f>IF(SUMIFS('Input Sheet'!$F$3:$F$1001,'Input Sheet'!$B$3:$B$1001,$H801,'Input Sheet'!$E$3:$E$1001,S$4)=0,"",SUMIFS('Input Sheet'!$F$3:$F$1001,'Input Sheet'!$B$3:$B$1001,$H801,'Input Sheet'!$E$3:$E$1001,S$4))</f>
        <v/>
      </c>
      <c r="T801" s="22">
        <v>796</v>
      </c>
    </row>
    <row r="802" spans="1:20" ht="14.25" customHeight="1" x14ac:dyDescent="0.3">
      <c r="A802" s="4" t="str">
        <f>IF('Input Sheet'!B799=0,"",'Input Sheet'!B799)</f>
        <v/>
      </c>
      <c r="B802" s="24" t="b">
        <f t="shared" si="788"/>
        <v>0</v>
      </c>
      <c r="C802" s="4">
        <f>SUMIF('Input Sheet'!B$3:B$1000,A802,'Input Sheet'!C$3:C$1000)</f>
        <v>0</v>
      </c>
      <c r="D802" s="4">
        <f>SUMIF('Input Sheet'!B$3:B$1000,A802,'Input Sheet'!D$3:D$1000)</f>
        <v>0</v>
      </c>
      <c r="E802" s="4" t="str">
        <f t="shared" ref="E802:F802" ca="1" si="826">IFERROR(RANK(K802,K$6:K$1004,1),"")</f>
        <v/>
      </c>
      <c r="F802" s="4" t="str">
        <f t="shared" ca="1" si="826"/>
        <v/>
      </c>
      <c r="G802" s="4" t="str">
        <f t="shared" ca="1" si="790"/>
        <v/>
      </c>
      <c r="H802" s="4" t="str">
        <f t="shared" si="791"/>
        <v/>
      </c>
      <c r="I802" s="4" t="str">
        <f t="shared" si="792"/>
        <v/>
      </c>
      <c r="J802" s="4" t="str">
        <f t="shared" si="793"/>
        <v/>
      </c>
      <c r="K802" s="25" t="str">
        <f t="shared" ca="1" si="794"/>
        <v/>
      </c>
      <c r="L802" s="21" t="str">
        <f t="shared" ca="1" si="795"/>
        <v/>
      </c>
      <c r="M802" s="21" t="str">
        <f>IF(SUMIFS('Input Sheet'!$F$3:$F$1001,'Input Sheet'!$B$3:$B$1001,$H802,'Input Sheet'!$E$3:$E$1001,M$4)=0,"",SUMIFS('Input Sheet'!$F$3:$F$1001,'Input Sheet'!$B$3:$B$1001,$H802,'Input Sheet'!$E$3:$E$1001,M$4))</f>
        <v/>
      </c>
      <c r="N802" s="21" t="str">
        <f>IF(SUMIFS('Input Sheet'!$F$3:$F$1001,'Input Sheet'!$B$3:$B$1001,$H802,'Input Sheet'!$E$3:$E$1001,N$4)=0,"",SUMIFS('Input Sheet'!$F$3:$F$1001,'Input Sheet'!$B$3:$B$1001,$H802,'Input Sheet'!$E$3:$E$1001,N$4))</f>
        <v/>
      </c>
      <c r="O802" s="21" t="str">
        <f>IF(SUMIFS('Input Sheet'!$F$3:$F$1001,'Input Sheet'!$B$3:$B$1001,$H802,'Input Sheet'!$E$3:$E$1001,O$4)=0,"",SUMIFS('Input Sheet'!$F$3:$F$1001,'Input Sheet'!$B$3:$B$1001,$H802,'Input Sheet'!$E$3:$E$1001,O$4))</f>
        <v/>
      </c>
      <c r="P802" s="21" t="str">
        <f>IF(SUMIFS('Input Sheet'!$F$3:$F$1001,'Input Sheet'!$B$3:$B$1001,$H802,'Input Sheet'!$E$3:$E$1001,P$4)=0,"",SUMIFS('Input Sheet'!$F$3:$F$1001,'Input Sheet'!$B$3:$B$1001,$H802,'Input Sheet'!$E$3:$E$1001,P$4))</f>
        <v/>
      </c>
      <c r="Q802" s="21" t="str">
        <f>IF(SUMIFS('Input Sheet'!$F$3:$F$1001,'Input Sheet'!$B$3:$B$1001,$H802,'Input Sheet'!$E$3:$E$1001,Q$4)=0,"",SUMIFS('Input Sheet'!$F$3:$F$1001,'Input Sheet'!$B$3:$B$1001,$H802,'Input Sheet'!$E$3:$E$1001,Q$4))</f>
        <v/>
      </c>
      <c r="R802" s="21" t="str">
        <f>IF(SUMIFS('Input Sheet'!$F$3:$F$1001,'Input Sheet'!$B$3:$B$1001,$H802,'Input Sheet'!$E$3:$E$1001,R$4)=0,"",SUMIFS('Input Sheet'!$F$3:$F$1001,'Input Sheet'!$B$3:$B$1001,$H802,'Input Sheet'!$E$3:$E$1001,R$4))</f>
        <v/>
      </c>
      <c r="S802" s="21" t="str">
        <f>IF(SUMIFS('Input Sheet'!$F$3:$F$1001,'Input Sheet'!$B$3:$B$1001,$H802,'Input Sheet'!$E$3:$E$1001,S$4)=0,"",SUMIFS('Input Sheet'!$F$3:$F$1001,'Input Sheet'!$B$3:$B$1001,$H802,'Input Sheet'!$E$3:$E$1001,S$4))</f>
        <v/>
      </c>
      <c r="T802" s="22">
        <v>797</v>
      </c>
    </row>
    <row r="803" spans="1:20" ht="14.25" customHeight="1" x14ac:dyDescent="0.3">
      <c r="A803" s="4" t="str">
        <f>IF('Input Sheet'!B800=0,"",'Input Sheet'!B800)</f>
        <v/>
      </c>
      <c r="B803" s="24" t="b">
        <f t="shared" si="788"/>
        <v>0</v>
      </c>
      <c r="C803" s="4">
        <f>SUMIF('Input Sheet'!B$3:B$1000,A803,'Input Sheet'!C$3:C$1000)</f>
        <v>0</v>
      </c>
      <c r="D803" s="4">
        <f>SUMIF('Input Sheet'!B$3:B$1000,A803,'Input Sheet'!D$3:D$1000)</f>
        <v>0</v>
      </c>
      <c r="E803" s="4" t="str">
        <f t="shared" ref="E803:F803" ca="1" si="827">IFERROR(RANK(K803,K$6:K$1004,1),"")</f>
        <v/>
      </c>
      <c r="F803" s="4" t="str">
        <f t="shared" ca="1" si="827"/>
        <v/>
      </c>
      <c r="G803" s="4" t="str">
        <f t="shared" ca="1" si="790"/>
        <v/>
      </c>
      <c r="H803" s="4" t="str">
        <f t="shared" si="791"/>
        <v/>
      </c>
      <c r="I803" s="4" t="str">
        <f t="shared" si="792"/>
        <v/>
      </c>
      <c r="J803" s="4" t="str">
        <f t="shared" si="793"/>
        <v/>
      </c>
      <c r="K803" s="25" t="str">
        <f t="shared" ca="1" si="794"/>
        <v/>
      </c>
      <c r="L803" s="21" t="str">
        <f t="shared" ca="1" si="795"/>
        <v/>
      </c>
      <c r="M803" s="21" t="str">
        <f>IF(SUMIFS('Input Sheet'!$F$3:$F$1001,'Input Sheet'!$B$3:$B$1001,$H803,'Input Sheet'!$E$3:$E$1001,M$4)=0,"",SUMIFS('Input Sheet'!$F$3:$F$1001,'Input Sheet'!$B$3:$B$1001,$H803,'Input Sheet'!$E$3:$E$1001,M$4))</f>
        <v/>
      </c>
      <c r="N803" s="21" t="str">
        <f>IF(SUMIFS('Input Sheet'!$F$3:$F$1001,'Input Sheet'!$B$3:$B$1001,$H803,'Input Sheet'!$E$3:$E$1001,N$4)=0,"",SUMIFS('Input Sheet'!$F$3:$F$1001,'Input Sheet'!$B$3:$B$1001,$H803,'Input Sheet'!$E$3:$E$1001,N$4))</f>
        <v/>
      </c>
      <c r="O803" s="21" t="str">
        <f>IF(SUMIFS('Input Sheet'!$F$3:$F$1001,'Input Sheet'!$B$3:$B$1001,$H803,'Input Sheet'!$E$3:$E$1001,O$4)=0,"",SUMIFS('Input Sheet'!$F$3:$F$1001,'Input Sheet'!$B$3:$B$1001,$H803,'Input Sheet'!$E$3:$E$1001,O$4))</f>
        <v/>
      </c>
      <c r="P803" s="21" t="str">
        <f>IF(SUMIFS('Input Sheet'!$F$3:$F$1001,'Input Sheet'!$B$3:$B$1001,$H803,'Input Sheet'!$E$3:$E$1001,P$4)=0,"",SUMIFS('Input Sheet'!$F$3:$F$1001,'Input Sheet'!$B$3:$B$1001,$H803,'Input Sheet'!$E$3:$E$1001,P$4))</f>
        <v/>
      </c>
      <c r="Q803" s="21" t="str">
        <f>IF(SUMIFS('Input Sheet'!$F$3:$F$1001,'Input Sheet'!$B$3:$B$1001,$H803,'Input Sheet'!$E$3:$E$1001,Q$4)=0,"",SUMIFS('Input Sheet'!$F$3:$F$1001,'Input Sheet'!$B$3:$B$1001,$H803,'Input Sheet'!$E$3:$E$1001,Q$4))</f>
        <v/>
      </c>
      <c r="R803" s="21" t="str">
        <f>IF(SUMIFS('Input Sheet'!$F$3:$F$1001,'Input Sheet'!$B$3:$B$1001,$H803,'Input Sheet'!$E$3:$E$1001,R$4)=0,"",SUMIFS('Input Sheet'!$F$3:$F$1001,'Input Sheet'!$B$3:$B$1001,$H803,'Input Sheet'!$E$3:$E$1001,R$4))</f>
        <v/>
      </c>
      <c r="S803" s="21" t="str">
        <f>IF(SUMIFS('Input Sheet'!$F$3:$F$1001,'Input Sheet'!$B$3:$B$1001,$H803,'Input Sheet'!$E$3:$E$1001,S$4)=0,"",SUMIFS('Input Sheet'!$F$3:$F$1001,'Input Sheet'!$B$3:$B$1001,$H803,'Input Sheet'!$E$3:$E$1001,S$4))</f>
        <v/>
      </c>
      <c r="T803" s="22">
        <v>798</v>
      </c>
    </row>
    <row r="804" spans="1:20" ht="14.25" customHeight="1" x14ac:dyDescent="0.3">
      <c r="A804" s="4" t="str">
        <f>IF('Input Sheet'!B801=0,"",'Input Sheet'!B801)</f>
        <v/>
      </c>
      <c r="B804" s="24" t="b">
        <f t="shared" si="788"/>
        <v>0</v>
      </c>
      <c r="C804" s="4">
        <f>SUMIF('Input Sheet'!B$3:B$1000,A804,'Input Sheet'!C$3:C$1000)</f>
        <v>0</v>
      </c>
      <c r="D804" s="4">
        <f>SUMIF('Input Sheet'!B$3:B$1000,A804,'Input Sheet'!D$3:D$1000)</f>
        <v>0</v>
      </c>
      <c r="E804" s="4" t="str">
        <f t="shared" ref="E804:F804" ca="1" si="828">IFERROR(RANK(K804,K$6:K$1004,1),"")</f>
        <v/>
      </c>
      <c r="F804" s="4" t="str">
        <f t="shared" ca="1" si="828"/>
        <v/>
      </c>
      <c r="G804" s="4" t="str">
        <f t="shared" ca="1" si="790"/>
        <v/>
      </c>
      <c r="H804" s="4" t="str">
        <f t="shared" si="791"/>
        <v/>
      </c>
      <c r="I804" s="4" t="str">
        <f t="shared" si="792"/>
        <v/>
      </c>
      <c r="J804" s="4" t="str">
        <f t="shared" si="793"/>
        <v/>
      </c>
      <c r="K804" s="25" t="str">
        <f t="shared" ca="1" si="794"/>
        <v/>
      </c>
      <c r="L804" s="21" t="str">
        <f t="shared" ca="1" si="795"/>
        <v/>
      </c>
      <c r="M804" s="21" t="str">
        <f>IF(SUMIFS('Input Sheet'!$F$3:$F$1001,'Input Sheet'!$B$3:$B$1001,$H804,'Input Sheet'!$E$3:$E$1001,M$4)=0,"",SUMIFS('Input Sheet'!$F$3:$F$1001,'Input Sheet'!$B$3:$B$1001,$H804,'Input Sheet'!$E$3:$E$1001,M$4))</f>
        <v/>
      </c>
      <c r="N804" s="21" t="str">
        <f>IF(SUMIFS('Input Sheet'!$F$3:$F$1001,'Input Sheet'!$B$3:$B$1001,$H804,'Input Sheet'!$E$3:$E$1001,N$4)=0,"",SUMIFS('Input Sheet'!$F$3:$F$1001,'Input Sheet'!$B$3:$B$1001,$H804,'Input Sheet'!$E$3:$E$1001,N$4))</f>
        <v/>
      </c>
      <c r="O804" s="21" t="str">
        <f>IF(SUMIFS('Input Sheet'!$F$3:$F$1001,'Input Sheet'!$B$3:$B$1001,$H804,'Input Sheet'!$E$3:$E$1001,O$4)=0,"",SUMIFS('Input Sheet'!$F$3:$F$1001,'Input Sheet'!$B$3:$B$1001,$H804,'Input Sheet'!$E$3:$E$1001,O$4))</f>
        <v/>
      </c>
      <c r="P804" s="21" t="str">
        <f>IF(SUMIFS('Input Sheet'!$F$3:$F$1001,'Input Sheet'!$B$3:$B$1001,$H804,'Input Sheet'!$E$3:$E$1001,P$4)=0,"",SUMIFS('Input Sheet'!$F$3:$F$1001,'Input Sheet'!$B$3:$B$1001,$H804,'Input Sheet'!$E$3:$E$1001,P$4))</f>
        <v/>
      </c>
      <c r="Q804" s="21" t="str">
        <f>IF(SUMIFS('Input Sheet'!$F$3:$F$1001,'Input Sheet'!$B$3:$B$1001,$H804,'Input Sheet'!$E$3:$E$1001,Q$4)=0,"",SUMIFS('Input Sheet'!$F$3:$F$1001,'Input Sheet'!$B$3:$B$1001,$H804,'Input Sheet'!$E$3:$E$1001,Q$4))</f>
        <v/>
      </c>
      <c r="R804" s="21" t="str">
        <f>IF(SUMIFS('Input Sheet'!$F$3:$F$1001,'Input Sheet'!$B$3:$B$1001,$H804,'Input Sheet'!$E$3:$E$1001,R$4)=0,"",SUMIFS('Input Sheet'!$F$3:$F$1001,'Input Sheet'!$B$3:$B$1001,$H804,'Input Sheet'!$E$3:$E$1001,R$4))</f>
        <v/>
      </c>
      <c r="S804" s="21" t="str">
        <f>IF(SUMIFS('Input Sheet'!$F$3:$F$1001,'Input Sheet'!$B$3:$B$1001,$H804,'Input Sheet'!$E$3:$E$1001,S$4)=0,"",SUMIFS('Input Sheet'!$F$3:$F$1001,'Input Sheet'!$B$3:$B$1001,$H804,'Input Sheet'!$E$3:$E$1001,S$4))</f>
        <v/>
      </c>
      <c r="T804" s="22">
        <v>799</v>
      </c>
    </row>
    <row r="805" spans="1:20" ht="14.25" customHeight="1" x14ac:dyDescent="0.3">
      <c r="A805" s="4" t="str">
        <f>IF('Input Sheet'!B802=0,"",'Input Sheet'!B802)</f>
        <v/>
      </c>
      <c r="B805" s="24" t="b">
        <f t="shared" si="788"/>
        <v>0</v>
      </c>
      <c r="C805" s="4">
        <f>SUMIF('Input Sheet'!B$3:B$1000,A805,'Input Sheet'!C$3:C$1000)</f>
        <v>0</v>
      </c>
      <c r="D805" s="4">
        <f>SUMIF('Input Sheet'!B$3:B$1000,A805,'Input Sheet'!D$3:D$1000)</f>
        <v>0</v>
      </c>
      <c r="E805" s="4" t="str">
        <f t="shared" ref="E805:F805" ca="1" si="829">IFERROR(RANK(K805,K$6:K$1004,1),"")</f>
        <v/>
      </c>
      <c r="F805" s="4" t="str">
        <f t="shared" ca="1" si="829"/>
        <v/>
      </c>
      <c r="G805" s="4" t="str">
        <f t="shared" ca="1" si="790"/>
        <v/>
      </c>
      <c r="H805" s="4" t="str">
        <f t="shared" si="791"/>
        <v/>
      </c>
      <c r="I805" s="4" t="str">
        <f t="shared" si="792"/>
        <v/>
      </c>
      <c r="J805" s="4" t="str">
        <f t="shared" si="793"/>
        <v/>
      </c>
      <c r="K805" s="25" t="str">
        <f t="shared" ca="1" si="794"/>
        <v/>
      </c>
      <c r="L805" s="21" t="str">
        <f t="shared" ca="1" si="795"/>
        <v/>
      </c>
      <c r="M805" s="21" t="str">
        <f>IF(SUMIFS('Input Sheet'!$F$3:$F$1001,'Input Sheet'!$B$3:$B$1001,$H805,'Input Sheet'!$E$3:$E$1001,M$4)=0,"",SUMIFS('Input Sheet'!$F$3:$F$1001,'Input Sheet'!$B$3:$B$1001,$H805,'Input Sheet'!$E$3:$E$1001,M$4))</f>
        <v/>
      </c>
      <c r="N805" s="21" t="str">
        <f>IF(SUMIFS('Input Sheet'!$F$3:$F$1001,'Input Sheet'!$B$3:$B$1001,$H805,'Input Sheet'!$E$3:$E$1001,N$4)=0,"",SUMIFS('Input Sheet'!$F$3:$F$1001,'Input Sheet'!$B$3:$B$1001,$H805,'Input Sheet'!$E$3:$E$1001,N$4))</f>
        <v/>
      </c>
      <c r="O805" s="21" t="str">
        <f>IF(SUMIFS('Input Sheet'!$F$3:$F$1001,'Input Sheet'!$B$3:$B$1001,$H805,'Input Sheet'!$E$3:$E$1001,O$4)=0,"",SUMIFS('Input Sheet'!$F$3:$F$1001,'Input Sheet'!$B$3:$B$1001,$H805,'Input Sheet'!$E$3:$E$1001,O$4))</f>
        <v/>
      </c>
      <c r="P805" s="21" t="str">
        <f>IF(SUMIFS('Input Sheet'!$F$3:$F$1001,'Input Sheet'!$B$3:$B$1001,$H805,'Input Sheet'!$E$3:$E$1001,P$4)=0,"",SUMIFS('Input Sheet'!$F$3:$F$1001,'Input Sheet'!$B$3:$B$1001,$H805,'Input Sheet'!$E$3:$E$1001,P$4))</f>
        <v/>
      </c>
      <c r="Q805" s="21" t="str">
        <f>IF(SUMIFS('Input Sheet'!$F$3:$F$1001,'Input Sheet'!$B$3:$B$1001,$H805,'Input Sheet'!$E$3:$E$1001,Q$4)=0,"",SUMIFS('Input Sheet'!$F$3:$F$1001,'Input Sheet'!$B$3:$B$1001,$H805,'Input Sheet'!$E$3:$E$1001,Q$4))</f>
        <v/>
      </c>
      <c r="R805" s="21" t="str">
        <f>IF(SUMIFS('Input Sheet'!$F$3:$F$1001,'Input Sheet'!$B$3:$B$1001,$H805,'Input Sheet'!$E$3:$E$1001,R$4)=0,"",SUMIFS('Input Sheet'!$F$3:$F$1001,'Input Sheet'!$B$3:$B$1001,$H805,'Input Sheet'!$E$3:$E$1001,R$4))</f>
        <v/>
      </c>
      <c r="S805" s="21" t="str">
        <f>IF(SUMIFS('Input Sheet'!$F$3:$F$1001,'Input Sheet'!$B$3:$B$1001,$H805,'Input Sheet'!$E$3:$E$1001,S$4)=0,"",SUMIFS('Input Sheet'!$F$3:$F$1001,'Input Sheet'!$B$3:$B$1001,$H805,'Input Sheet'!$E$3:$E$1001,S$4))</f>
        <v/>
      </c>
      <c r="T805" s="22">
        <v>800</v>
      </c>
    </row>
    <row r="806" spans="1:20" ht="14.25" customHeight="1" x14ac:dyDescent="0.3">
      <c r="A806" s="4" t="str">
        <f>IF('Input Sheet'!B803=0,"",'Input Sheet'!B803)</f>
        <v/>
      </c>
      <c r="B806" s="24" t="b">
        <f t="shared" si="788"/>
        <v>0</v>
      </c>
      <c r="C806" s="4">
        <f>SUMIF('Input Sheet'!B$3:B$1000,A806,'Input Sheet'!C$3:C$1000)</f>
        <v>0</v>
      </c>
      <c r="D806" s="4">
        <f>SUMIF('Input Sheet'!B$3:B$1000,A806,'Input Sheet'!D$3:D$1000)</f>
        <v>0</v>
      </c>
      <c r="E806" s="4" t="str">
        <f t="shared" ref="E806:F806" ca="1" si="830">IFERROR(RANK(K806,K$6:K$1004,1),"")</f>
        <v/>
      </c>
      <c r="F806" s="4" t="str">
        <f t="shared" ca="1" si="830"/>
        <v/>
      </c>
      <c r="G806" s="4" t="str">
        <f t="shared" ca="1" si="790"/>
        <v/>
      </c>
      <c r="H806" s="4" t="str">
        <f t="shared" si="791"/>
        <v/>
      </c>
      <c r="I806" s="4" t="str">
        <f t="shared" si="792"/>
        <v/>
      </c>
      <c r="J806" s="4" t="str">
        <f t="shared" si="793"/>
        <v/>
      </c>
      <c r="K806" s="25" t="str">
        <f t="shared" ca="1" si="794"/>
        <v/>
      </c>
      <c r="L806" s="21" t="str">
        <f t="shared" ca="1" si="795"/>
        <v/>
      </c>
      <c r="M806" s="21" t="str">
        <f>IF(SUMIFS('Input Sheet'!$F$3:$F$1001,'Input Sheet'!$B$3:$B$1001,$H806,'Input Sheet'!$E$3:$E$1001,M$4)=0,"",SUMIFS('Input Sheet'!$F$3:$F$1001,'Input Sheet'!$B$3:$B$1001,$H806,'Input Sheet'!$E$3:$E$1001,M$4))</f>
        <v/>
      </c>
      <c r="N806" s="21" t="str">
        <f>IF(SUMIFS('Input Sheet'!$F$3:$F$1001,'Input Sheet'!$B$3:$B$1001,$H806,'Input Sheet'!$E$3:$E$1001,N$4)=0,"",SUMIFS('Input Sheet'!$F$3:$F$1001,'Input Sheet'!$B$3:$B$1001,$H806,'Input Sheet'!$E$3:$E$1001,N$4))</f>
        <v/>
      </c>
      <c r="O806" s="21" t="str">
        <f>IF(SUMIFS('Input Sheet'!$F$3:$F$1001,'Input Sheet'!$B$3:$B$1001,$H806,'Input Sheet'!$E$3:$E$1001,O$4)=0,"",SUMIFS('Input Sheet'!$F$3:$F$1001,'Input Sheet'!$B$3:$B$1001,$H806,'Input Sheet'!$E$3:$E$1001,O$4))</f>
        <v/>
      </c>
      <c r="P806" s="21" t="str">
        <f>IF(SUMIFS('Input Sheet'!$F$3:$F$1001,'Input Sheet'!$B$3:$B$1001,$H806,'Input Sheet'!$E$3:$E$1001,P$4)=0,"",SUMIFS('Input Sheet'!$F$3:$F$1001,'Input Sheet'!$B$3:$B$1001,$H806,'Input Sheet'!$E$3:$E$1001,P$4))</f>
        <v/>
      </c>
      <c r="Q806" s="21" t="str">
        <f>IF(SUMIFS('Input Sheet'!$F$3:$F$1001,'Input Sheet'!$B$3:$B$1001,$H806,'Input Sheet'!$E$3:$E$1001,Q$4)=0,"",SUMIFS('Input Sheet'!$F$3:$F$1001,'Input Sheet'!$B$3:$B$1001,$H806,'Input Sheet'!$E$3:$E$1001,Q$4))</f>
        <v/>
      </c>
      <c r="R806" s="21" t="str">
        <f>IF(SUMIFS('Input Sheet'!$F$3:$F$1001,'Input Sheet'!$B$3:$B$1001,$H806,'Input Sheet'!$E$3:$E$1001,R$4)=0,"",SUMIFS('Input Sheet'!$F$3:$F$1001,'Input Sheet'!$B$3:$B$1001,$H806,'Input Sheet'!$E$3:$E$1001,R$4))</f>
        <v/>
      </c>
      <c r="S806" s="21" t="str">
        <f>IF(SUMIFS('Input Sheet'!$F$3:$F$1001,'Input Sheet'!$B$3:$B$1001,$H806,'Input Sheet'!$E$3:$E$1001,S$4)=0,"",SUMIFS('Input Sheet'!$F$3:$F$1001,'Input Sheet'!$B$3:$B$1001,$H806,'Input Sheet'!$E$3:$E$1001,S$4))</f>
        <v/>
      </c>
      <c r="T806" s="22">
        <v>801</v>
      </c>
    </row>
    <row r="807" spans="1:20" ht="14.25" customHeight="1" x14ac:dyDescent="0.3">
      <c r="A807" s="4" t="str">
        <f>IF('Input Sheet'!B804=0,"",'Input Sheet'!B804)</f>
        <v/>
      </c>
      <c r="B807" s="24" t="b">
        <f t="shared" si="788"/>
        <v>0</v>
      </c>
      <c r="C807" s="4">
        <f>SUMIF('Input Sheet'!B$3:B$1000,A807,'Input Sheet'!C$3:C$1000)</f>
        <v>0</v>
      </c>
      <c r="D807" s="4">
        <f>SUMIF('Input Sheet'!B$3:B$1000,A807,'Input Sheet'!D$3:D$1000)</f>
        <v>0</v>
      </c>
      <c r="E807" s="4" t="str">
        <f t="shared" ref="E807:F807" ca="1" si="831">IFERROR(RANK(K807,K$6:K$1004,1),"")</f>
        <v/>
      </c>
      <c r="F807" s="4" t="str">
        <f t="shared" ca="1" si="831"/>
        <v/>
      </c>
      <c r="G807" s="4" t="str">
        <f t="shared" ca="1" si="790"/>
        <v/>
      </c>
      <c r="H807" s="4" t="str">
        <f t="shared" si="791"/>
        <v/>
      </c>
      <c r="I807" s="4" t="str">
        <f t="shared" si="792"/>
        <v/>
      </c>
      <c r="J807" s="4" t="str">
        <f t="shared" si="793"/>
        <v/>
      </c>
      <c r="K807" s="25" t="str">
        <f t="shared" ca="1" si="794"/>
        <v/>
      </c>
      <c r="L807" s="21" t="str">
        <f t="shared" ca="1" si="795"/>
        <v/>
      </c>
      <c r="M807" s="21" t="str">
        <f>IF(SUMIFS('Input Sheet'!$F$3:$F$1001,'Input Sheet'!$B$3:$B$1001,$H807,'Input Sheet'!$E$3:$E$1001,M$4)=0,"",SUMIFS('Input Sheet'!$F$3:$F$1001,'Input Sheet'!$B$3:$B$1001,$H807,'Input Sheet'!$E$3:$E$1001,M$4))</f>
        <v/>
      </c>
      <c r="N807" s="21" t="str">
        <f>IF(SUMIFS('Input Sheet'!$F$3:$F$1001,'Input Sheet'!$B$3:$B$1001,$H807,'Input Sheet'!$E$3:$E$1001,N$4)=0,"",SUMIFS('Input Sheet'!$F$3:$F$1001,'Input Sheet'!$B$3:$B$1001,$H807,'Input Sheet'!$E$3:$E$1001,N$4))</f>
        <v/>
      </c>
      <c r="O807" s="21" t="str">
        <f>IF(SUMIFS('Input Sheet'!$F$3:$F$1001,'Input Sheet'!$B$3:$B$1001,$H807,'Input Sheet'!$E$3:$E$1001,O$4)=0,"",SUMIFS('Input Sheet'!$F$3:$F$1001,'Input Sheet'!$B$3:$B$1001,$H807,'Input Sheet'!$E$3:$E$1001,O$4))</f>
        <v/>
      </c>
      <c r="P807" s="21" t="str">
        <f>IF(SUMIFS('Input Sheet'!$F$3:$F$1001,'Input Sheet'!$B$3:$B$1001,$H807,'Input Sheet'!$E$3:$E$1001,P$4)=0,"",SUMIFS('Input Sheet'!$F$3:$F$1001,'Input Sheet'!$B$3:$B$1001,$H807,'Input Sheet'!$E$3:$E$1001,P$4))</f>
        <v/>
      </c>
      <c r="Q807" s="21" t="str">
        <f>IF(SUMIFS('Input Sheet'!$F$3:$F$1001,'Input Sheet'!$B$3:$B$1001,$H807,'Input Sheet'!$E$3:$E$1001,Q$4)=0,"",SUMIFS('Input Sheet'!$F$3:$F$1001,'Input Sheet'!$B$3:$B$1001,$H807,'Input Sheet'!$E$3:$E$1001,Q$4))</f>
        <v/>
      </c>
      <c r="R807" s="21" t="str">
        <f>IF(SUMIFS('Input Sheet'!$F$3:$F$1001,'Input Sheet'!$B$3:$B$1001,$H807,'Input Sheet'!$E$3:$E$1001,R$4)=0,"",SUMIFS('Input Sheet'!$F$3:$F$1001,'Input Sheet'!$B$3:$B$1001,$H807,'Input Sheet'!$E$3:$E$1001,R$4))</f>
        <v/>
      </c>
      <c r="S807" s="21" t="str">
        <f>IF(SUMIFS('Input Sheet'!$F$3:$F$1001,'Input Sheet'!$B$3:$B$1001,$H807,'Input Sheet'!$E$3:$E$1001,S$4)=0,"",SUMIFS('Input Sheet'!$F$3:$F$1001,'Input Sheet'!$B$3:$B$1001,$H807,'Input Sheet'!$E$3:$E$1001,S$4))</f>
        <v/>
      </c>
      <c r="T807" s="22">
        <v>802</v>
      </c>
    </row>
    <row r="808" spans="1:20" ht="14.25" customHeight="1" x14ac:dyDescent="0.3">
      <c r="A808" s="4" t="str">
        <f>IF('Input Sheet'!B805=0,"",'Input Sheet'!B805)</f>
        <v/>
      </c>
      <c r="B808" s="24" t="b">
        <f t="shared" si="788"/>
        <v>0</v>
      </c>
      <c r="C808" s="4">
        <f>SUMIF('Input Sheet'!B$3:B$1000,A808,'Input Sheet'!C$3:C$1000)</f>
        <v>0</v>
      </c>
      <c r="D808" s="4">
        <f>SUMIF('Input Sheet'!B$3:B$1000,A808,'Input Sheet'!D$3:D$1000)</f>
        <v>0</v>
      </c>
      <c r="E808" s="4" t="str">
        <f t="shared" ref="E808:F808" ca="1" si="832">IFERROR(RANK(K808,K$6:K$1004,1),"")</f>
        <v/>
      </c>
      <c r="F808" s="4" t="str">
        <f t="shared" ca="1" si="832"/>
        <v/>
      </c>
      <c r="G808" s="4" t="str">
        <f t="shared" ca="1" si="790"/>
        <v/>
      </c>
      <c r="H808" s="4" t="str">
        <f t="shared" si="791"/>
        <v/>
      </c>
      <c r="I808" s="4" t="str">
        <f t="shared" si="792"/>
        <v/>
      </c>
      <c r="J808" s="4" t="str">
        <f t="shared" si="793"/>
        <v/>
      </c>
      <c r="K808" s="25" t="str">
        <f t="shared" ca="1" si="794"/>
        <v/>
      </c>
      <c r="L808" s="21" t="str">
        <f t="shared" ca="1" si="795"/>
        <v/>
      </c>
      <c r="M808" s="21" t="str">
        <f>IF(SUMIFS('Input Sheet'!$F$3:$F$1001,'Input Sheet'!$B$3:$B$1001,$H808,'Input Sheet'!$E$3:$E$1001,M$4)=0,"",SUMIFS('Input Sheet'!$F$3:$F$1001,'Input Sheet'!$B$3:$B$1001,$H808,'Input Sheet'!$E$3:$E$1001,M$4))</f>
        <v/>
      </c>
      <c r="N808" s="21" t="str">
        <f>IF(SUMIFS('Input Sheet'!$F$3:$F$1001,'Input Sheet'!$B$3:$B$1001,$H808,'Input Sheet'!$E$3:$E$1001,N$4)=0,"",SUMIFS('Input Sheet'!$F$3:$F$1001,'Input Sheet'!$B$3:$B$1001,$H808,'Input Sheet'!$E$3:$E$1001,N$4))</f>
        <v/>
      </c>
      <c r="O808" s="21" t="str">
        <f>IF(SUMIFS('Input Sheet'!$F$3:$F$1001,'Input Sheet'!$B$3:$B$1001,$H808,'Input Sheet'!$E$3:$E$1001,O$4)=0,"",SUMIFS('Input Sheet'!$F$3:$F$1001,'Input Sheet'!$B$3:$B$1001,$H808,'Input Sheet'!$E$3:$E$1001,O$4))</f>
        <v/>
      </c>
      <c r="P808" s="21" t="str">
        <f>IF(SUMIFS('Input Sheet'!$F$3:$F$1001,'Input Sheet'!$B$3:$B$1001,$H808,'Input Sheet'!$E$3:$E$1001,P$4)=0,"",SUMIFS('Input Sheet'!$F$3:$F$1001,'Input Sheet'!$B$3:$B$1001,$H808,'Input Sheet'!$E$3:$E$1001,P$4))</f>
        <v/>
      </c>
      <c r="Q808" s="21" t="str">
        <f>IF(SUMIFS('Input Sheet'!$F$3:$F$1001,'Input Sheet'!$B$3:$B$1001,$H808,'Input Sheet'!$E$3:$E$1001,Q$4)=0,"",SUMIFS('Input Sheet'!$F$3:$F$1001,'Input Sheet'!$B$3:$B$1001,$H808,'Input Sheet'!$E$3:$E$1001,Q$4))</f>
        <v/>
      </c>
      <c r="R808" s="21" t="str">
        <f>IF(SUMIFS('Input Sheet'!$F$3:$F$1001,'Input Sheet'!$B$3:$B$1001,$H808,'Input Sheet'!$E$3:$E$1001,R$4)=0,"",SUMIFS('Input Sheet'!$F$3:$F$1001,'Input Sheet'!$B$3:$B$1001,$H808,'Input Sheet'!$E$3:$E$1001,R$4))</f>
        <v/>
      </c>
      <c r="S808" s="21" t="str">
        <f>IF(SUMIFS('Input Sheet'!$F$3:$F$1001,'Input Sheet'!$B$3:$B$1001,$H808,'Input Sheet'!$E$3:$E$1001,S$4)=0,"",SUMIFS('Input Sheet'!$F$3:$F$1001,'Input Sheet'!$B$3:$B$1001,$H808,'Input Sheet'!$E$3:$E$1001,S$4))</f>
        <v/>
      </c>
      <c r="T808" s="22">
        <v>803</v>
      </c>
    </row>
    <row r="809" spans="1:20" ht="14.25" customHeight="1" x14ac:dyDescent="0.3">
      <c r="A809" s="4" t="str">
        <f>IF('Input Sheet'!B806=0,"",'Input Sheet'!B806)</f>
        <v/>
      </c>
      <c r="B809" s="24" t="b">
        <f t="shared" si="788"/>
        <v>0</v>
      </c>
      <c r="C809" s="4">
        <f>SUMIF('Input Sheet'!B$3:B$1000,A809,'Input Sheet'!C$3:C$1000)</f>
        <v>0</v>
      </c>
      <c r="D809" s="4">
        <f>SUMIF('Input Sheet'!B$3:B$1000,A809,'Input Sheet'!D$3:D$1000)</f>
        <v>0</v>
      </c>
      <c r="E809" s="4" t="str">
        <f t="shared" ref="E809:F809" ca="1" si="833">IFERROR(RANK(K809,K$6:K$1004,1),"")</f>
        <v/>
      </c>
      <c r="F809" s="4" t="str">
        <f t="shared" ca="1" si="833"/>
        <v/>
      </c>
      <c r="G809" s="4" t="str">
        <f t="shared" ca="1" si="790"/>
        <v/>
      </c>
      <c r="H809" s="4" t="str">
        <f t="shared" si="791"/>
        <v/>
      </c>
      <c r="I809" s="4" t="str">
        <f t="shared" si="792"/>
        <v/>
      </c>
      <c r="J809" s="4" t="str">
        <f t="shared" si="793"/>
        <v/>
      </c>
      <c r="K809" s="25" t="str">
        <f t="shared" ca="1" si="794"/>
        <v/>
      </c>
      <c r="L809" s="21" t="str">
        <f t="shared" ca="1" si="795"/>
        <v/>
      </c>
      <c r="M809" s="21" t="str">
        <f>IF(SUMIFS('Input Sheet'!$F$3:$F$1001,'Input Sheet'!$B$3:$B$1001,$H809,'Input Sheet'!$E$3:$E$1001,M$4)=0,"",SUMIFS('Input Sheet'!$F$3:$F$1001,'Input Sheet'!$B$3:$B$1001,$H809,'Input Sheet'!$E$3:$E$1001,M$4))</f>
        <v/>
      </c>
      <c r="N809" s="21" t="str">
        <f>IF(SUMIFS('Input Sheet'!$F$3:$F$1001,'Input Sheet'!$B$3:$B$1001,$H809,'Input Sheet'!$E$3:$E$1001,N$4)=0,"",SUMIFS('Input Sheet'!$F$3:$F$1001,'Input Sheet'!$B$3:$B$1001,$H809,'Input Sheet'!$E$3:$E$1001,N$4))</f>
        <v/>
      </c>
      <c r="O809" s="21" t="str">
        <f>IF(SUMIFS('Input Sheet'!$F$3:$F$1001,'Input Sheet'!$B$3:$B$1001,$H809,'Input Sheet'!$E$3:$E$1001,O$4)=0,"",SUMIFS('Input Sheet'!$F$3:$F$1001,'Input Sheet'!$B$3:$B$1001,$H809,'Input Sheet'!$E$3:$E$1001,O$4))</f>
        <v/>
      </c>
      <c r="P809" s="21" t="str">
        <f>IF(SUMIFS('Input Sheet'!$F$3:$F$1001,'Input Sheet'!$B$3:$B$1001,$H809,'Input Sheet'!$E$3:$E$1001,P$4)=0,"",SUMIFS('Input Sheet'!$F$3:$F$1001,'Input Sheet'!$B$3:$B$1001,$H809,'Input Sheet'!$E$3:$E$1001,P$4))</f>
        <v/>
      </c>
      <c r="Q809" s="21" t="str">
        <f>IF(SUMIFS('Input Sheet'!$F$3:$F$1001,'Input Sheet'!$B$3:$B$1001,$H809,'Input Sheet'!$E$3:$E$1001,Q$4)=0,"",SUMIFS('Input Sheet'!$F$3:$F$1001,'Input Sheet'!$B$3:$B$1001,$H809,'Input Sheet'!$E$3:$E$1001,Q$4))</f>
        <v/>
      </c>
      <c r="R809" s="21" t="str">
        <f>IF(SUMIFS('Input Sheet'!$F$3:$F$1001,'Input Sheet'!$B$3:$B$1001,$H809,'Input Sheet'!$E$3:$E$1001,R$4)=0,"",SUMIFS('Input Sheet'!$F$3:$F$1001,'Input Sheet'!$B$3:$B$1001,$H809,'Input Sheet'!$E$3:$E$1001,R$4))</f>
        <v/>
      </c>
      <c r="S809" s="21" t="str">
        <f>IF(SUMIFS('Input Sheet'!$F$3:$F$1001,'Input Sheet'!$B$3:$B$1001,$H809,'Input Sheet'!$E$3:$E$1001,S$4)=0,"",SUMIFS('Input Sheet'!$F$3:$F$1001,'Input Sheet'!$B$3:$B$1001,$H809,'Input Sheet'!$E$3:$E$1001,S$4))</f>
        <v/>
      </c>
      <c r="T809" s="22">
        <v>804</v>
      </c>
    </row>
    <row r="810" spans="1:20" ht="14.25" customHeight="1" x14ac:dyDescent="0.3">
      <c r="A810" s="4" t="str">
        <f>IF('Input Sheet'!B807=0,"",'Input Sheet'!B807)</f>
        <v/>
      </c>
      <c r="B810" s="24" t="b">
        <f t="shared" si="788"/>
        <v>0</v>
      </c>
      <c r="C810" s="4">
        <f>SUMIF('Input Sheet'!B$3:B$1000,A810,'Input Sheet'!C$3:C$1000)</f>
        <v>0</v>
      </c>
      <c r="D810" s="4">
        <f>SUMIF('Input Sheet'!B$3:B$1000,A810,'Input Sheet'!D$3:D$1000)</f>
        <v>0</v>
      </c>
      <c r="E810" s="4" t="str">
        <f t="shared" ref="E810:F810" ca="1" si="834">IFERROR(RANK(K810,K$6:K$1004,1),"")</f>
        <v/>
      </c>
      <c r="F810" s="4" t="str">
        <f t="shared" ca="1" si="834"/>
        <v/>
      </c>
      <c r="G810" s="4" t="str">
        <f t="shared" ca="1" si="790"/>
        <v/>
      </c>
      <c r="H810" s="4" t="str">
        <f t="shared" si="791"/>
        <v/>
      </c>
      <c r="I810" s="4" t="str">
        <f t="shared" si="792"/>
        <v/>
      </c>
      <c r="J810" s="4" t="str">
        <f t="shared" si="793"/>
        <v/>
      </c>
      <c r="K810" s="25" t="str">
        <f t="shared" ca="1" si="794"/>
        <v/>
      </c>
      <c r="L810" s="21" t="str">
        <f t="shared" ca="1" si="795"/>
        <v/>
      </c>
      <c r="M810" s="21" t="str">
        <f>IF(SUMIFS('Input Sheet'!$F$3:$F$1001,'Input Sheet'!$B$3:$B$1001,$H810,'Input Sheet'!$E$3:$E$1001,M$4)=0,"",SUMIFS('Input Sheet'!$F$3:$F$1001,'Input Sheet'!$B$3:$B$1001,$H810,'Input Sheet'!$E$3:$E$1001,M$4))</f>
        <v/>
      </c>
      <c r="N810" s="21" t="str">
        <f>IF(SUMIFS('Input Sheet'!$F$3:$F$1001,'Input Sheet'!$B$3:$B$1001,$H810,'Input Sheet'!$E$3:$E$1001,N$4)=0,"",SUMIFS('Input Sheet'!$F$3:$F$1001,'Input Sheet'!$B$3:$B$1001,$H810,'Input Sheet'!$E$3:$E$1001,N$4))</f>
        <v/>
      </c>
      <c r="O810" s="21" t="str">
        <f>IF(SUMIFS('Input Sheet'!$F$3:$F$1001,'Input Sheet'!$B$3:$B$1001,$H810,'Input Sheet'!$E$3:$E$1001,O$4)=0,"",SUMIFS('Input Sheet'!$F$3:$F$1001,'Input Sheet'!$B$3:$B$1001,$H810,'Input Sheet'!$E$3:$E$1001,O$4))</f>
        <v/>
      </c>
      <c r="P810" s="21" t="str">
        <f>IF(SUMIFS('Input Sheet'!$F$3:$F$1001,'Input Sheet'!$B$3:$B$1001,$H810,'Input Sheet'!$E$3:$E$1001,P$4)=0,"",SUMIFS('Input Sheet'!$F$3:$F$1001,'Input Sheet'!$B$3:$B$1001,$H810,'Input Sheet'!$E$3:$E$1001,P$4))</f>
        <v/>
      </c>
      <c r="Q810" s="21" t="str">
        <f>IF(SUMIFS('Input Sheet'!$F$3:$F$1001,'Input Sheet'!$B$3:$B$1001,$H810,'Input Sheet'!$E$3:$E$1001,Q$4)=0,"",SUMIFS('Input Sheet'!$F$3:$F$1001,'Input Sheet'!$B$3:$B$1001,$H810,'Input Sheet'!$E$3:$E$1001,Q$4))</f>
        <v/>
      </c>
      <c r="R810" s="21" t="str">
        <f>IF(SUMIFS('Input Sheet'!$F$3:$F$1001,'Input Sheet'!$B$3:$B$1001,$H810,'Input Sheet'!$E$3:$E$1001,R$4)=0,"",SUMIFS('Input Sheet'!$F$3:$F$1001,'Input Sheet'!$B$3:$B$1001,$H810,'Input Sheet'!$E$3:$E$1001,R$4))</f>
        <v/>
      </c>
      <c r="S810" s="21" t="str">
        <f>IF(SUMIFS('Input Sheet'!$F$3:$F$1001,'Input Sheet'!$B$3:$B$1001,$H810,'Input Sheet'!$E$3:$E$1001,S$4)=0,"",SUMIFS('Input Sheet'!$F$3:$F$1001,'Input Sheet'!$B$3:$B$1001,$H810,'Input Sheet'!$E$3:$E$1001,S$4))</f>
        <v/>
      </c>
      <c r="T810" s="22">
        <v>805</v>
      </c>
    </row>
    <row r="811" spans="1:20" ht="14.25" customHeight="1" x14ac:dyDescent="0.3">
      <c r="A811" s="4" t="str">
        <f>IF('Input Sheet'!B808=0,"",'Input Sheet'!B808)</f>
        <v/>
      </c>
      <c r="B811" s="24" t="b">
        <f t="shared" si="788"/>
        <v>0</v>
      </c>
      <c r="C811" s="4">
        <f>SUMIF('Input Sheet'!B$3:B$1000,A811,'Input Sheet'!C$3:C$1000)</f>
        <v>0</v>
      </c>
      <c r="D811" s="4">
        <f>SUMIF('Input Sheet'!B$3:B$1000,A811,'Input Sheet'!D$3:D$1000)</f>
        <v>0</v>
      </c>
      <c r="E811" s="4" t="str">
        <f t="shared" ref="E811:F811" ca="1" si="835">IFERROR(RANK(K811,K$6:K$1004,1),"")</f>
        <v/>
      </c>
      <c r="F811" s="4" t="str">
        <f t="shared" ca="1" si="835"/>
        <v/>
      </c>
      <c r="G811" s="4" t="str">
        <f t="shared" ca="1" si="790"/>
        <v/>
      </c>
      <c r="H811" s="4" t="str">
        <f t="shared" si="791"/>
        <v/>
      </c>
      <c r="I811" s="4" t="str">
        <f t="shared" si="792"/>
        <v/>
      </c>
      <c r="J811" s="4" t="str">
        <f t="shared" si="793"/>
        <v/>
      </c>
      <c r="K811" s="25" t="str">
        <f t="shared" ca="1" si="794"/>
        <v/>
      </c>
      <c r="L811" s="21" t="str">
        <f t="shared" ca="1" si="795"/>
        <v/>
      </c>
      <c r="M811" s="21" t="str">
        <f>IF(SUMIFS('Input Sheet'!$F$3:$F$1001,'Input Sheet'!$B$3:$B$1001,$H811,'Input Sheet'!$E$3:$E$1001,M$4)=0,"",SUMIFS('Input Sheet'!$F$3:$F$1001,'Input Sheet'!$B$3:$B$1001,$H811,'Input Sheet'!$E$3:$E$1001,M$4))</f>
        <v/>
      </c>
      <c r="N811" s="21" t="str">
        <f>IF(SUMIFS('Input Sheet'!$F$3:$F$1001,'Input Sheet'!$B$3:$B$1001,$H811,'Input Sheet'!$E$3:$E$1001,N$4)=0,"",SUMIFS('Input Sheet'!$F$3:$F$1001,'Input Sheet'!$B$3:$B$1001,$H811,'Input Sheet'!$E$3:$E$1001,N$4))</f>
        <v/>
      </c>
      <c r="O811" s="21" t="str">
        <f>IF(SUMIFS('Input Sheet'!$F$3:$F$1001,'Input Sheet'!$B$3:$B$1001,$H811,'Input Sheet'!$E$3:$E$1001,O$4)=0,"",SUMIFS('Input Sheet'!$F$3:$F$1001,'Input Sheet'!$B$3:$B$1001,$H811,'Input Sheet'!$E$3:$E$1001,O$4))</f>
        <v/>
      </c>
      <c r="P811" s="21" t="str">
        <f>IF(SUMIFS('Input Sheet'!$F$3:$F$1001,'Input Sheet'!$B$3:$B$1001,$H811,'Input Sheet'!$E$3:$E$1001,P$4)=0,"",SUMIFS('Input Sheet'!$F$3:$F$1001,'Input Sheet'!$B$3:$B$1001,$H811,'Input Sheet'!$E$3:$E$1001,P$4))</f>
        <v/>
      </c>
      <c r="Q811" s="21" t="str">
        <f>IF(SUMIFS('Input Sheet'!$F$3:$F$1001,'Input Sheet'!$B$3:$B$1001,$H811,'Input Sheet'!$E$3:$E$1001,Q$4)=0,"",SUMIFS('Input Sheet'!$F$3:$F$1001,'Input Sheet'!$B$3:$B$1001,$H811,'Input Sheet'!$E$3:$E$1001,Q$4))</f>
        <v/>
      </c>
      <c r="R811" s="21" t="str">
        <f>IF(SUMIFS('Input Sheet'!$F$3:$F$1001,'Input Sheet'!$B$3:$B$1001,$H811,'Input Sheet'!$E$3:$E$1001,R$4)=0,"",SUMIFS('Input Sheet'!$F$3:$F$1001,'Input Sheet'!$B$3:$B$1001,$H811,'Input Sheet'!$E$3:$E$1001,R$4))</f>
        <v/>
      </c>
      <c r="S811" s="21" t="str">
        <f>IF(SUMIFS('Input Sheet'!$F$3:$F$1001,'Input Sheet'!$B$3:$B$1001,$H811,'Input Sheet'!$E$3:$E$1001,S$4)=0,"",SUMIFS('Input Sheet'!$F$3:$F$1001,'Input Sheet'!$B$3:$B$1001,$H811,'Input Sheet'!$E$3:$E$1001,S$4))</f>
        <v/>
      </c>
      <c r="T811" s="22">
        <v>806</v>
      </c>
    </row>
    <row r="812" spans="1:20" ht="14.25" customHeight="1" x14ac:dyDescent="0.3">
      <c r="A812" s="4" t="str">
        <f>IF('Input Sheet'!B809=0,"",'Input Sheet'!B809)</f>
        <v/>
      </c>
      <c r="B812" s="24" t="b">
        <f t="shared" si="788"/>
        <v>0</v>
      </c>
      <c r="C812" s="4">
        <f>SUMIF('Input Sheet'!B$3:B$1000,A812,'Input Sheet'!C$3:C$1000)</f>
        <v>0</v>
      </c>
      <c r="D812" s="4">
        <f>SUMIF('Input Sheet'!B$3:B$1000,A812,'Input Sheet'!D$3:D$1000)</f>
        <v>0</v>
      </c>
      <c r="E812" s="4" t="str">
        <f t="shared" ref="E812:F812" ca="1" si="836">IFERROR(RANK(K812,K$6:K$1004,1),"")</f>
        <v/>
      </c>
      <c r="F812" s="4" t="str">
        <f t="shared" ca="1" si="836"/>
        <v/>
      </c>
      <c r="G812" s="4" t="str">
        <f t="shared" ca="1" si="790"/>
        <v/>
      </c>
      <c r="H812" s="4" t="str">
        <f t="shared" si="791"/>
        <v/>
      </c>
      <c r="I812" s="4" t="str">
        <f t="shared" si="792"/>
        <v/>
      </c>
      <c r="J812" s="4" t="str">
        <f t="shared" si="793"/>
        <v/>
      </c>
      <c r="K812" s="25" t="str">
        <f t="shared" ca="1" si="794"/>
        <v/>
      </c>
      <c r="L812" s="21" t="str">
        <f t="shared" ca="1" si="795"/>
        <v/>
      </c>
      <c r="M812" s="21" t="str">
        <f>IF(SUMIFS('Input Sheet'!$F$3:$F$1001,'Input Sheet'!$B$3:$B$1001,$H812,'Input Sheet'!$E$3:$E$1001,M$4)=0,"",SUMIFS('Input Sheet'!$F$3:$F$1001,'Input Sheet'!$B$3:$B$1001,$H812,'Input Sheet'!$E$3:$E$1001,M$4))</f>
        <v/>
      </c>
      <c r="N812" s="21" t="str">
        <f>IF(SUMIFS('Input Sheet'!$F$3:$F$1001,'Input Sheet'!$B$3:$B$1001,$H812,'Input Sheet'!$E$3:$E$1001,N$4)=0,"",SUMIFS('Input Sheet'!$F$3:$F$1001,'Input Sheet'!$B$3:$B$1001,$H812,'Input Sheet'!$E$3:$E$1001,N$4))</f>
        <v/>
      </c>
      <c r="O812" s="21" t="str">
        <f>IF(SUMIFS('Input Sheet'!$F$3:$F$1001,'Input Sheet'!$B$3:$B$1001,$H812,'Input Sheet'!$E$3:$E$1001,O$4)=0,"",SUMIFS('Input Sheet'!$F$3:$F$1001,'Input Sheet'!$B$3:$B$1001,$H812,'Input Sheet'!$E$3:$E$1001,O$4))</f>
        <v/>
      </c>
      <c r="P812" s="21" t="str">
        <f>IF(SUMIFS('Input Sheet'!$F$3:$F$1001,'Input Sheet'!$B$3:$B$1001,$H812,'Input Sheet'!$E$3:$E$1001,P$4)=0,"",SUMIFS('Input Sheet'!$F$3:$F$1001,'Input Sheet'!$B$3:$B$1001,$H812,'Input Sheet'!$E$3:$E$1001,P$4))</f>
        <v/>
      </c>
      <c r="Q812" s="21" t="str">
        <f>IF(SUMIFS('Input Sheet'!$F$3:$F$1001,'Input Sheet'!$B$3:$B$1001,$H812,'Input Sheet'!$E$3:$E$1001,Q$4)=0,"",SUMIFS('Input Sheet'!$F$3:$F$1001,'Input Sheet'!$B$3:$B$1001,$H812,'Input Sheet'!$E$3:$E$1001,Q$4))</f>
        <v/>
      </c>
      <c r="R812" s="21" t="str">
        <f>IF(SUMIFS('Input Sheet'!$F$3:$F$1001,'Input Sheet'!$B$3:$B$1001,$H812,'Input Sheet'!$E$3:$E$1001,R$4)=0,"",SUMIFS('Input Sheet'!$F$3:$F$1001,'Input Sheet'!$B$3:$B$1001,$H812,'Input Sheet'!$E$3:$E$1001,R$4))</f>
        <v/>
      </c>
      <c r="S812" s="21" t="str">
        <f>IF(SUMIFS('Input Sheet'!$F$3:$F$1001,'Input Sheet'!$B$3:$B$1001,$H812,'Input Sheet'!$E$3:$E$1001,S$4)=0,"",SUMIFS('Input Sheet'!$F$3:$F$1001,'Input Sheet'!$B$3:$B$1001,$H812,'Input Sheet'!$E$3:$E$1001,S$4))</f>
        <v/>
      </c>
      <c r="T812" s="22">
        <v>807</v>
      </c>
    </row>
    <row r="813" spans="1:20" ht="14.25" customHeight="1" x14ac:dyDescent="0.3">
      <c r="A813" s="4" t="str">
        <f>IF('Input Sheet'!B810=0,"",'Input Sheet'!B810)</f>
        <v/>
      </c>
      <c r="B813" s="24" t="b">
        <f t="shared" si="788"/>
        <v>0</v>
      </c>
      <c r="C813" s="4">
        <f>SUMIF('Input Sheet'!B$3:B$1000,A813,'Input Sheet'!C$3:C$1000)</f>
        <v>0</v>
      </c>
      <c r="D813" s="4">
        <f>SUMIF('Input Sheet'!B$3:B$1000,A813,'Input Sheet'!D$3:D$1000)</f>
        <v>0</v>
      </c>
      <c r="E813" s="4" t="str">
        <f t="shared" ref="E813:F813" ca="1" si="837">IFERROR(RANK(K813,K$6:K$1004,1),"")</f>
        <v/>
      </c>
      <c r="F813" s="4" t="str">
        <f t="shared" ca="1" si="837"/>
        <v/>
      </c>
      <c r="G813" s="4" t="str">
        <f t="shared" ca="1" si="790"/>
        <v/>
      </c>
      <c r="H813" s="4" t="str">
        <f t="shared" si="791"/>
        <v/>
      </c>
      <c r="I813" s="4" t="str">
        <f t="shared" si="792"/>
        <v/>
      </c>
      <c r="J813" s="4" t="str">
        <f t="shared" si="793"/>
        <v/>
      </c>
      <c r="K813" s="25" t="str">
        <f t="shared" ca="1" si="794"/>
        <v/>
      </c>
      <c r="L813" s="21" t="str">
        <f t="shared" ca="1" si="795"/>
        <v/>
      </c>
      <c r="M813" s="21" t="str">
        <f>IF(SUMIFS('Input Sheet'!$F$3:$F$1001,'Input Sheet'!$B$3:$B$1001,$H813,'Input Sheet'!$E$3:$E$1001,M$4)=0,"",SUMIFS('Input Sheet'!$F$3:$F$1001,'Input Sheet'!$B$3:$B$1001,$H813,'Input Sheet'!$E$3:$E$1001,M$4))</f>
        <v/>
      </c>
      <c r="N813" s="21" t="str">
        <f>IF(SUMIFS('Input Sheet'!$F$3:$F$1001,'Input Sheet'!$B$3:$B$1001,$H813,'Input Sheet'!$E$3:$E$1001,N$4)=0,"",SUMIFS('Input Sheet'!$F$3:$F$1001,'Input Sheet'!$B$3:$B$1001,$H813,'Input Sheet'!$E$3:$E$1001,N$4))</f>
        <v/>
      </c>
      <c r="O813" s="21" t="str">
        <f>IF(SUMIFS('Input Sheet'!$F$3:$F$1001,'Input Sheet'!$B$3:$B$1001,$H813,'Input Sheet'!$E$3:$E$1001,O$4)=0,"",SUMIFS('Input Sheet'!$F$3:$F$1001,'Input Sheet'!$B$3:$B$1001,$H813,'Input Sheet'!$E$3:$E$1001,O$4))</f>
        <v/>
      </c>
      <c r="P813" s="21" t="str">
        <f>IF(SUMIFS('Input Sheet'!$F$3:$F$1001,'Input Sheet'!$B$3:$B$1001,$H813,'Input Sheet'!$E$3:$E$1001,P$4)=0,"",SUMIFS('Input Sheet'!$F$3:$F$1001,'Input Sheet'!$B$3:$B$1001,$H813,'Input Sheet'!$E$3:$E$1001,P$4))</f>
        <v/>
      </c>
      <c r="Q813" s="21" t="str">
        <f>IF(SUMIFS('Input Sheet'!$F$3:$F$1001,'Input Sheet'!$B$3:$B$1001,$H813,'Input Sheet'!$E$3:$E$1001,Q$4)=0,"",SUMIFS('Input Sheet'!$F$3:$F$1001,'Input Sheet'!$B$3:$B$1001,$H813,'Input Sheet'!$E$3:$E$1001,Q$4))</f>
        <v/>
      </c>
      <c r="R813" s="21" t="str">
        <f>IF(SUMIFS('Input Sheet'!$F$3:$F$1001,'Input Sheet'!$B$3:$B$1001,$H813,'Input Sheet'!$E$3:$E$1001,R$4)=0,"",SUMIFS('Input Sheet'!$F$3:$F$1001,'Input Sheet'!$B$3:$B$1001,$H813,'Input Sheet'!$E$3:$E$1001,R$4))</f>
        <v/>
      </c>
      <c r="S813" s="21" t="str">
        <f>IF(SUMIFS('Input Sheet'!$F$3:$F$1001,'Input Sheet'!$B$3:$B$1001,$H813,'Input Sheet'!$E$3:$E$1001,S$4)=0,"",SUMIFS('Input Sheet'!$F$3:$F$1001,'Input Sheet'!$B$3:$B$1001,$H813,'Input Sheet'!$E$3:$E$1001,S$4))</f>
        <v/>
      </c>
      <c r="T813" s="22">
        <v>808</v>
      </c>
    </row>
    <row r="814" spans="1:20" ht="14.25" customHeight="1" x14ac:dyDescent="0.3">
      <c r="A814" s="4" t="str">
        <f>IF('Input Sheet'!B811=0,"",'Input Sheet'!B811)</f>
        <v/>
      </c>
      <c r="B814" s="24" t="b">
        <f t="shared" si="788"/>
        <v>0</v>
      </c>
      <c r="C814" s="4">
        <f>SUMIF('Input Sheet'!B$3:B$1000,A814,'Input Sheet'!C$3:C$1000)</f>
        <v>0</v>
      </c>
      <c r="D814" s="4">
        <f>SUMIF('Input Sheet'!B$3:B$1000,A814,'Input Sheet'!D$3:D$1000)</f>
        <v>0</v>
      </c>
      <c r="E814" s="4" t="str">
        <f t="shared" ref="E814:F814" ca="1" si="838">IFERROR(RANK(K814,K$6:K$1004,1),"")</f>
        <v/>
      </c>
      <c r="F814" s="4" t="str">
        <f t="shared" ca="1" si="838"/>
        <v/>
      </c>
      <c r="G814" s="4" t="str">
        <f t="shared" ca="1" si="790"/>
        <v/>
      </c>
      <c r="H814" s="4" t="str">
        <f t="shared" si="791"/>
        <v/>
      </c>
      <c r="I814" s="4" t="str">
        <f t="shared" si="792"/>
        <v/>
      </c>
      <c r="J814" s="4" t="str">
        <f t="shared" si="793"/>
        <v/>
      </c>
      <c r="K814" s="25" t="str">
        <f t="shared" ca="1" si="794"/>
        <v/>
      </c>
      <c r="L814" s="21" t="str">
        <f t="shared" ca="1" si="795"/>
        <v/>
      </c>
      <c r="M814" s="21" t="str">
        <f>IF(SUMIFS('Input Sheet'!$F$3:$F$1001,'Input Sheet'!$B$3:$B$1001,$H814,'Input Sheet'!$E$3:$E$1001,M$4)=0,"",SUMIFS('Input Sheet'!$F$3:$F$1001,'Input Sheet'!$B$3:$B$1001,$H814,'Input Sheet'!$E$3:$E$1001,M$4))</f>
        <v/>
      </c>
      <c r="N814" s="21" t="str">
        <f>IF(SUMIFS('Input Sheet'!$F$3:$F$1001,'Input Sheet'!$B$3:$B$1001,$H814,'Input Sheet'!$E$3:$E$1001,N$4)=0,"",SUMIFS('Input Sheet'!$F$3:$F$1001,'Input Sheet'!$B$3:$B$1001,$H814,'Input Sheet'!$E$3:$E$1001,N$4))</f>
        <v/>
      </c>
      <c r="O814" s="21" t="str">
        <f>IF(SUMIFS('Input Sheet'!$F$3:$F$1001,'Input Sheet'!$B$3:$B$1001,$H814,'Input Sheet'!$E$3:$E$1001,O$4)=0,"",SUMIFS('Input Sheet'!$F$3:$F$1001,'Input Sheet'!$B$3:$B$1001,$H814,'Input Sheet'!$E$3:$E$1001,O$4))</f>
        <v/>
      </c>
      <c r="P814" s="21" t="str">
        <f>IF(SUMIFS('Input Sheet'!$F$3:$F$1001,'Input Sheet'!$B$3:$B$1001,$H814,'Input Sheet'!$E$3:$E$1001,P$4)=0,"",SUMIFS('Input Sheet'!$F$3:$F$1001,'Input Sheet'!$B$3:$B$1001,$H814,'Input Sheet'!$E$3:$E$1001,P$4))</f>
        <v/>
      </c>
      <c r="Q814" s="21" t="str">
        <f>IF(SUMIFS('Input Sheet'!$F$3:$F$1001,'Input Sheet'!$B$3:$B$1001,$H814,'Input Sheet'!$E$3:$E$1001,Q$4)=0,"",SUMIFS('Input Sheet'!$F$3:$F$1001,'Input Sheet'!$B$3:$B$1001,$H814,'Input Sheet'!$E$3:$E$1001,Q$4))</f>
        <v/>
      </c>
      <c r="R814" s="21" t="str">
        <f>IF(SUMIFS('Input Sheet'!$F$3:$F$1001,'Input Sheet'!$B$3:$B$1001,$H814,'Input Sheet'!$E$3:$E$1001,R$4)=0,"",SUMIFS('Input Sheet'!$F$3:$F$1001,'Input Sheet'!$B$3:$B$1001,$H814,'Input Sheet'!$E$3:$E$1001,R$4))</f>
        <v/>
      </c>
      <c r="S814" s="21" t="str">
        <f>IF(SUMIFS('Input Sheet'!$F$3:$F$1001,'Input Sheet'!$B$3:$B$1001,$H814,'Input Sheet'!$E$3:$E$1001,S$4)=0,"",SUMIFS('Input Sheet'!$F$3:$F$1001,'Input Sheet'!$B$3:$B$1001,$H814,'Input Sheet'!$E$3:$E$1001,S$4))</f>
        <v/>
      </c>
      <c r="T814" s="22">
        <v>809</v>
      </c>
    </row>
    <row r="815" spans="1:20" ht="14.25" customHeight="1" x14ac:dyDescent="0.3">
      <c r="A815" s="4" t="str">
        <f>IF('Input Sheet'!B812=0,"",'Input Sheet'!B812)</f>
        <v/>
      </c>
      <c r="B815" s="24" t="b">
        <f t="shared" si="788"/>
        <v>0</v>
      </c>
      <c r="C815" s="4">
        <f>SUMIF('Input Sheet'!B$3:B$1000,A815,'Input Sheet'!C$3:C$1000)</f>
        <v>0</v>
      </c>
      <c r="D815" s="4">
        <f>SUMIF('Input Sheet'!B$3:B$1000,A815,'Input Sheet'!D$3:D$1000)</f>
        <v>0</v>
      </c>
      <c r="E815" s="4" t="str">
        <f t="shared" ref="E815:F815" ca="1" si="839">IFERROR(RANK(K815,K$6:K$1004,1),"")</f>
        <v/>
      </c>
      <c r="F815" s="4" t="str">
        <f t="shared" ca="1" si="839"/>
        <v/>
      </c>
      <c r="G815" s="4" t="str">
        <f t="shared" ca="1" si="790"/>
        <v/>
      </c>
      <c r="H815" s="4" t="str">
        <f t="shared" si="791"/>
        <v/>
      </c>
      <c r="I815" s="4" t="str">
        <f t="shared" si="792"/>
        <v/>
      </c>
      <c r="J815" s="4" t="str">
        <f t="shared" si="793"/>
        <v/>
      </c>
      <c r="K815" s="25" t="str">
        <f t="shared" ca="1" si="794"/>
        <v/>
      </c>
      <c r="L815" s="21" t="str">
        <f t="shared" ca="1" si="795"/>
        <v/>
      </c>
      <c r="M815" s="21" t="str">
        <f>IF(SUMIFS('Input Sheet'!$F$3:$F$1001,'Input Sheet'!$B$3:$B$1001,$H815,'Input Sheet'!$E$3:$E$1001,M$4)=0,"",SUMIFS('Input Sheet'!$F$3:$F$1001,'Input Sheet'!$B$3:$B$1001,$H815,'Input Sheet'!$E$3:$E$1001,M$4))</f>
        <v/>
      </c>
      <c r="N815" s="21" t="str">
        <f>IF(SUMIFS('Input Sheet'!$F$3:$F$1001,'Input Sheet'!$B$3:$B$1001,$H815,'Input Sheet'!$E$3:$E$1001,N$4)=0,"",SUMIFS('Input Sheet'!$F$3:$F$1001,'Input Sheet'!$B$3:$B$1001,$H815,'Input Sheet'!$E$3:$E$1001,N$4))</f>
        <v/>
      </c>
      <c r="O815" s="21" t="str">
        <f>IF(SUMIFS('Input Sheet'!$F$3:$F$1001,'Input Sheet'!$B$3:$B$1001,$H815,'Input Sheet'!$E$3:$E$1001,O$4)=0,"",SUMIFS('Input Sheet'!$F$3:$F$1001,'Input Sheet'!$B$3:$B$1001,$H815,'Input Sheet'!$E$3:$E$1001,O$4))</f>
        <v/>
      </c>
      <c r="P815" s="21" t="str">
        <f>IF(SUMIFS('Input Sheet'!$F$3:$F$1001,'Input Sheet'!$B$3:$B$1001,$H815,'Input Sheet'!$E$3:$E$1001,P$4)=0,"",SUMIFS('Input Sheet'!$F$3:$F$1001,'Input Sheet'!$B$3:$B$1001,$H815,'Input Sheet'!$E$3:$E$1001,P$4))</f>
        <v/>
      </c>
      <c r="Q815" s="21" t="str">
        <f>IF(SUMIFS('Input Sheet'!$F$3:$F$1001,'Input Sheet'!$B$3:$B$1001,$H815,'Input Sheet'!$E$3:$E$1001,Q$4)=0,"",SUMIFS('Input Sheet'!$F$3:$F$1001,'Input Sheet'!$B$3:$B$1001,$H815,'Input Sheet'!$E$3:$E$1001,Q$4))</f>
        <v/>
      </c>
      <c r="R815" s="21" t="str">
        <f>IF(SUMIFS('Input Sheet'!$F$3:$F$1001,'Input Sheet'!$B$3:$B$1001,$H815,'Input Sheet'!$E$3:$E$1001,R$4)=0,"",SUMIFS('Input Sheet'!$F$3:$F$1001,'Input Sheet'!$B$3:$B$1001,$H815,'Input Sheet'!$E$3:$E$1001,R$4))</f>
        <v/>
      </c>
      <c r="S815" s="21" t="str">
        <f>IF(SUMIFS('Input Sheet'!$F$3:$F$1001,'Input Sheet'!$B$3:$B$1001,$H815,'Input Sheet'!$E$3:$E$1001,S$4)=0,"",SUMIFS('Input Sheet'!$F$3:$F$1001,'Input Sheet'!$B$3:$B$1001,$H815,'Input Sheet'!$E$3:$E$1001,S$4))</f>
        <v/>
      </c>
      <c r="T815" s="22">
        <v>810</v>
      </c>
    </row>
    <row r="816" spans="1:20" ht="14.25" customHeight="1" x14ac:dyDescent="0.3">
      <c r="A816" s="4" t="str">
        <f>IF('Input Sheet'!B813=0,"",'Input Sheet'!B813)</f>
        <v/>
      </c>
      <c r="B816" s="24" t="b">
        <f t="shared" si="788"/>
        <v>0</v>
      </c>
      <c r="C816" s="4">
        <f>SUMIF('Input Sheet'!B$3:B$1000,A816,'Input Sheet'!C$3:C$1000)</f>
        <v>0</v>
      </c>
      <c r="D816" s="4">
        <f>SUMIF('Input Sheet'!B$3:B$1000,A816,'Input Sheet'!D$3:D$1000)</f>
        <v>0</v>
      </c>
      <c r="E816" s="4" t="str">
        <f t="shared" ref="E816:F816" ca="1" si="840">IFERROR(RANK(K816,K$6:K$1004,1),"")</f>
        <v/>
      </c>
      <c r="F816" s="4" t="str">
        <f t="shared" ca="1" si="840"/>
        <v/>
      </c>
      <c r="G816" s="4" t="str">
        <f t="shared" ca="1" si="790"/>
        <v/>
      </c>
      <c r="H816" s="4" t="str">
        <f t="shared" si="791"/>
        <v/>
      </c>
      <c r="I816" s="4" t="str">
        <f t="shared" si="792"/>
        <v/>
      </c>
      <c r="J816" s="4" t="str">
        <f t="shared" si="793"/>
        <v/>
      </c>
      <c r="K816" s="25" t="str">
        <f t="shared" ca="1" si="794"/>
        <v/>
      </c>
      <c r="L816" s="21" t="str">
        <f t="shared" ca="1" si="795"/>
        <v/>
      </c>
      <c r="M816" s="21" t="str">
        <f>IF(SUMIFS('Input Sheet'!$F$3:$F$1001,'Input Sheet'!$B$3:$B$1001,$H816,'Input Sheet'!$E$3:$E$1001,M$4)=0,"",SUMIFS('Input Sheet'!$F$3:$F$1001,'Input Sheet'!$B$3:$B$1001,$H816,'Input Sheet'!$E$3:$E$1001,M$4))</f>
        <v/>
      </c>
      <c r="N816" s="21" t="str">
        <f>IF(SUMIFS('Input Sheet'!$F$3:$F$1001,'Input Sheet'!$B$3:$B$1001,$H816,'Input Sheet'!$E$3:$E$1001,N$4)=0,"",SUMIFS('Input Sheet'!$F$3:$F$1001,'Input Sheet'!$B$3:$B$1001,$H816,'Input Sheet'!$E$3:$E$1001,N$4))</f>
        <v/>
      </c>
      <c r="O816" s="21" t="str">
        <f>IF(SUMIFS('Input Sheet'!$F$3:$F$1001,'Input Sheet'!$B$3:$B$1001,$H816,'Input Sheet'!$E$3:$E$1001,O$4)=0,"",SUMIFS('Input Sheet'!$F$3:$F$1001,'Input Sheet'!$B$3:$B$1001,$H816,'Input Sheet'!$E$3:$E$1001,O$4))</f>
        <v/>
      </c>
      <c r="P816" s="21" t="str">
        <f>IF(SUMIFS('Input Sheet'!$F$3:$F$1001,'Input Sheet'!$B$3:$B$1001,$H816,'Input Sheet'!$E$3:$E$1001,P$4)=0,"",SUMIFS('Input Sheet'!$F$3:$F$1001,'Input Sheet'!$B$3:$B$1001,$H816,'Input Sheet'!$E$3:$E$1001,P$4))</f>
        <v/>
      </c>
      <c r="Q816" s="21" t="str">
        <f>IF(SUMIFS('Input Sheet'!$F$3:$F$1001,'Input Sheet'!$B$3:$B$1001,$H816,'Input Sheet'!$E$3:$E$1001,Q$4)=0,"",SUMIFS('Input Sheet'!$F$3:$F$1001,'Input Sheet'!$B$3:$B$1001,$H816,'Input Sheet'!$E$3:$E$1001,Q$4))</f>
        <v/>
      </c>
      <c r="R816" s="21" t="str">
        <f>IF(SUMIFS('Input Sheet'!$F$3:$F$1001,'Input Sheet'!$B$3:$B$1001,$H816,'Input Sheet'!$E$3:$E$1001,R$4)=0,"",SUMIFS('Input Sheet'!$F$3:$F$1001,'Input Sheet'!$B$3:$B$1001,$H816,'Input Sheet'!$E$3:$E$1001,R$4))</f>
        <v/>
      </c>
      <c r="S816" s="21" t="str">
        <f>IF(SUMIFS('Input Sheet'!$F$3:$F$1001,'Input Sheet'!$B$3:$B$1001,$H816,'Input Sheet'!$E$3:$E$1001,S$4)=0,"",SUMIFS('Input Sheet'!$F$3:$F$1001,'Input Sheet'!$B$3:$B$1001,$H816,'Input Sheet'!$E$3:$E$1001,S$4))</f>
        <v/>
      </c>
      <c r="T816" s="22">
        <v>811</v>
      </c>
    </row>
    <row r="817" spans="1:20" ht="14.25" customHeight="1" x14ac:dyDescent="0.3">
      <c r="A817" s="4" t="str">
        <f>IF('Input Sheet'!B814=0,"",'Input Sheet'!B814)</f>
        <v/>
      </c>
      <c r="B817" s="24" t="b">
        <f t="shared" si="788"/>
        <v>0</v>
      </c>
      <c r="C817" s="4">
        <f>SUMIF('Input Sheet'!B$3:B$1000,A817,'Input Sheet'!C$3:C$1000)</f>
        <v>0</v>
      </c>
      <c r="D817" s="4">
        <f>SUMIF('Input Sheet'!B$3:B$1000,A817,'Input Sheet'!D$3:D$1000)</f>
        <v>0</v>
      </c>
      <c r="E817" s="4" t="str">
        <f t="shared" ref="E817:F817" ca="1" si="841">IFERROR(RANK(K817,K$6:K$1004,1),"")</f>
        <v/>
      </c>
      <c r="F817" s="4" t="str">
        <f t="shared" ca="1" si="841"/>
        <v/>
      </c>
      <c r="G817" s="4" t="str">
        <f t="shared" ca="1" si="790"/>
        <v/>
      </c>
      <c r="H817" s="4" t="str">
        <f t="shared" si="791"/>
        <v/>
      </c>
      <c r="I817" s="4" t="str">
        <f t="shared" si="792"/>
        <v/>
      </c>
      <c r="J817" s="4" t="str">
        <f t="shared" si="793"/>
        <v/>
      </c>
      <c r="K817" s="25" t="str">
        <f t="shared" ca="1" si="794"/>
        <v/>
      </c>
      <c r="L817" s="21" t="str">
        <f t="shared" ca="1" si="795"/>
        <v/>
      </c>
      <c r="M817" s="21" t="str">
        <f>IF(SUMIFS('Input Sheet'!$F$3:$F$1001,'Input Sheet'!$B$3:$B$1001,$H817,'Input Sheet'!$E$3:$E$1001,M$4)=0,"",SUMIFS('Input Sheet'!$F$3:$F$1001,'Input Sheet'!$B$3:$B$1001,$H817,'Input Sheet'!$E$3:$E$1001,M$4))</f>
        <v/>
      </c>
      <c r="N817" s="21" t="str">
        <f>IF(SUMIFS('Input Sheet'!$F$3:$F$1001,'Input Sheet'!$B$3:$B$1001,$H817,'Input Sheet'!$E$3:$E$1001,N$4)=0,"",SUMIFS('Input Sheet'!$F$3:$F$1001,'Input Sheet'!$B$3:$B$1001,$H817,'Input Sheet'!$E$3:$E$1001,N$4))</f>
        <v/>
      </c>
      <c r="O817" s="21" t="str">
        <f>IF(SUMIFS('Input Sheet'!$F$3:$F$1001,'Input Sheet'!$B$3:$B$1001,$H817,'Input Sheet'!$E$3:$E$1001,O$4)=0,"",SUMIFS('Input Sheet'!$F$3:$F$1001,'Input Sheet'!$B$3:$B$1001,$H817,'Input Sheet'!$E$3:$E$1001,O$4))</f>
        <v/>
      </c>
      <c r="P817" s="21" t="str">
        <f>IF(SUMIFS('Input Sheet'!$F$3:$F$1001,'Input Sheet'!$B$3:$B$1001,$H817,'Input Sheet'!$E$3:$E$1001,P$4)=0,"",SUMIFS('Input Sheet'!$F$3:$F$1001,'Input Sheet'!$B$3:$B$1001,$H817,'Input Sheet'!$E$3:$E$1001,P$4))</f>
        <v/>
      </c>
      <c r="Q817" s="21" t="str">
        <f>IF(SUMIFS('Input Sheet'!$F$3:$F$1001,'Input Sheet'!$B$3:$B$1001,$H817,'Input Sheet'!$E$3:$E$1001,Q$4)=0,"",SUMIFS('Input Sheet'!$F$3:$F$1001,'Input Sheet'!$B$3:$B$1001,$H817,'Input Sheet'!$E$3:$E$1001,Q$4))</f>
        <v/>
      </c>
      <c r="R817" s="21" t="str">
        <f>IF(SUMIFS('Input Sheet'!$F$3:$F$1001,'Input Sheet'!$B$3:$B$1001,$H817,'Input Sheet'!$E$3:$E$1001,R$4)=0,"",SUMIFS('Input Sheet'!$F$3:$F$1001,'Input Sheet'!$B$3:$B$1001,$H817,'Input Sheet'!$E$3:$E$1001,R$4))</f>
        <v/>
      </c>
      <c r="S817" s="21" t="str">
        <f>IF(SUMIFS('Input Sheet'!$F$3:$F$1001,'Input Sheet'!$B$3:$B$1001,$H817,'Input Sheet'!$E$3:$E$1001,S$4)=0,"",SUMIFS('Input Sheet'!$F$3:$F$1001,'Input Sheet'!$B$3:$B$1001,$H817,'Input Sheet'!$E$3:$E$1001,S$4))</f>
        <v/>
      </c>
      <c r="T817" s="22">
        <v>812</v>
      </c>
    </row>
    <row r="818" spans="1:20" ht="14.25" customHeight="1" x14ac:dyDescent="0.3">
      <c r="A818" s="4" t="str">
        <f>IF('Input Sheet'!B815=0,"",'Input Sheet'!B815)</f>
        <v/>
      </c>
      <c r="B818" s="24" t="b">
        <f t="shared" si="788"/>
        <v>0</v>
      </c>
      <c r="C818" s="4">
        <f>SUMIF('Input Sheet'!B$3:B$1000,A818,'Input Sheet'!C$3:C$1000)</f>
        <v>0</v>
      </c>
      <c r="D818" s="4">
        <f>SUMIF('Input Sheet'!B$3:B$1000,A818,'Input Sheet'!D$3:D$1000)</f>
        <v>0</v>
      </c>
      <c r="E818" s="4" t="str">
        <f t="shared" ref="E818:F818" ca="1" si="842">IFERROR(RANK(K818,K$6:K$1004,1),"")</f>
        <v/>
      </c>
      <c r="F818" s="4" t="str">
        <f t="shared" ca="1" si="842"/>
        <v/>
      </c>
      <c r="G818" s="4" t="str">
        <f t="shared" ca="1" si="790"/>
        <v/>
      </c>
      <c r="H818" s="4" t="str">
        <f t="shared" si="791"/>
        <v/>
      </c>
      <c r="I818" s="4" t="str">
        <f t="shared" si="792"/>
        <v/>
      </c>
      <c r="J818" s="4" t="str">
        <f t="shared" si="793"/>
        <v/>
      </c>
      <c r="K818" s="25" t="str">
        <f t="shared" ca="1" si="794"/>
        <v/>
      </c>
      <c r="L818" s="21" t="str">
        <f t="shared" ca="1" si="795"/>
        <v/>
      </c>
      <c r="M818" s="21" t="str">
        <f>IF(SUMIFS('Input Sheet'!$F$3:$F$1001,'Input Sheet'!$B$3:$B$1001,$H818,'Input Sheet'!$E$3:$E$1001,M$4)=0,"",SUMIFS('Input Sheet'!$F$3:$F$1001,'Input Sheet'!$B$3:$B$1001,$H818,'Input Sheet'!$E$3:$E$1001,M$4))</f>
        <v/>
      </c>
      <c r="N818" s="21" t="str">
        <f>IF(SUMIFS('Input Sheet'!$F$3:$F$1001,'Input Sheet'!$B$3:$B$1001,$H818,'Input Sheet'!$E$3:$E$1001,N$4)=0,"",SUMIFS('Input Sheet'!$F$3:$F$1001,'Input Sheet'!$B$3:$B$1001,$H818,'Input Sheet'!$E$3:$E$1001,N$4))</f>
        <v/>
      </c>
      <c r="O818" s="21" t="str">
        <f>IF(SUMIFS('Input Sheet'!$F$3:$F$1001,'Input Sheet'!$B$3:$B$1001,$H818,'Input Sheet'!$E$3:$E$1001,O$4)=0,"",SUMIFS('Input Sheet'!$F$3:$F$1001,'Input Sheet'!$B$3:$B$1001,$H818,'Input Sheet'!$E$3:$E$1001,O$4))</f>
        <v/>
      </c>
      <c r="P818" s="21" t="str">
        <f>IF(SUMIFS('Input Sheet'!$F$3:$F$1001,'Input Sheet'!$B$3:$B$1001,$H818,'Input Sheet'!$E$3:$E$1001,P$4)=0,"",SUMIFS('Input Sheet'!$F$3:$F$1001,'Input Sheet'!$B$3:$B$1001,$H818,'Input Sheet'!$E$3:$E$1001,P$4))</f>
        <v/>
      </c>
      <c r="Q818" s="21" t="str">
        <f>IF(SUMIFS('Input Sheet'!$F$3:$F$1001,'Input Sheet'!$B$3:$B$1001,$H818,'Input Sheet'!$E$3:$E$1001,Q$4)=0,"",SUMIFS('Input Sheet'!$F$3:$F$1001,'Input Sheet'!$B$3:$B$1001,$H818,'Input Sheet'!$E$3:$E$1001,Q$4))</f>
        <v/>
      </c>
      <c r="R818" s="21" t="str">
        <f>IF(SUMIFS('Input Sheet'!$F$3:$F$1001,'Input Sheet'!$B$3:$B$1001,$H818,'Input Sheet'!$E$3:$E$1001,R$4)=0,"",SUMIFS('Input Sheet'!$F$3:$F$1001,'Input Sheet'!$B$3:$B$1001,$H818,'Input Sheet'!$E$3:$E$1001,R$4))</f>
        <v/>
      </c>
      <c r="S818" s="21" t="str">
        <f>IF(SUMIFS('Input Sheet'!$F$3:$F$1001,'Input Sheet'!$B$3:$B$1001,$H818,'Input Sheet'!$E$3:$E$1001,S$4)=0,"",SUMIFS('Input Sheet'!$F$3:$F$1001,'Input Sheet'!$B$3:$B$1001,$H818,'Input Sheet'!$E$3:$E$1001,S$4))</f>
        <v/>
      </c>
      <c r="T818" s="22">
        <v>813</v>
      </c>
    </row>
    <row r="819" spans="1:20" ht="14.25" customHeight="1" x14ac:dyDescent="0.3">
      <c r="A819" s="4" t="str">
        <f>IF('Input Sheet'!B816=0,"",'Input Sheet'!B816)</f>
        <v/>
      </c>
      <c r="B819" s="24" t="b">
        <f t="shared" si="788"/>
        <v>0</v>
      </c>
      <c r="C819" s="4">
        <f>SUMIF('Input Sheet'!B$3:B$1000,A819,'Input Sheet'!C$3:C$1000)</f>
        <v>0</v>
      </c>
      <c r="D819" s="4">
        <f>SUMIF('Input Sheet'!B$3:B$1000,A819,'Input Sheet'!D$3:D$1000)</f>
        <v>0</v>
      </c>
      <c r="E819" s="4" t="str">
        <f t="shared" ref="E819:F819" ca="1" si="843">IFERROR(RANK(K819,K$6:K$1004,1),"")</f>
        <v/>
      </c>
      <c r="F819" s="4" t="str">
        <f t="shared" ca="1" si="843"/>
        <v/>
      </c>
      <c r="G819" s="4" t="str">
        <f t="shared" ca="1" si="790"/>
        <v/>
      </c>
      <c r="H819" s="4" t="str">
        <f t="shared" si="791"/>
        <v/>
      </c>
      <c r="I819" s="4" t="str">
        <f t="shared" si="792"/>
        <v/>
      </c>
      <c r="J819" s="4" t="str">
        <f t="shared" si="793"/>
        <v/>
      </c>
      <c r="K819" s="25" t="str">
        <f t="shared" ca="1" si="794"/>
        <v/>
      </c>
      <c r="L819" s="21" t="str">
        <f t="shared" ca="1" si="795"/>
        <v/>
      </c>
      <c r="M819" s="21" t="str">
        <f>IF(SUMIFS('Input Sheet'!$F$3:$F$1001,'Input Sheet'!$B$3:$B$1001,$H819,'Input Sheet'!$E$3:$E$1001,M$4)=0,"",SUMIFS('Input Sheet'!$F$3:$F$1001,'Input Sheet'!$B$3:$B$1001,$H819,'Input Sheet'!$E$3:$E$1001,M$4))</f>
        <v/>
      </c>
      <c r="N819" s="21" t="str">
        <f>IF(SUMIFS('Input Sheet'!$F$3:$F$1001,'Input Sheet'!$B$3:$B$1001,$H819,'Input Sheet'!$E$3:$E$1001,N$4)=0,"",SUMIFS('Input Sheet'!$F$3:$F$1001,'Input Sheet'!$B$3:$B$1001,$H819,'Input Sheet'!$E$3:$E$1001,N$4))</f>
        <v/>
      </c>
      <c r="O819" s="21" t="str">
        <f>IF(SUMIFS('Input Sheet'!$F$3:$F$1001,'Input Sheet'!$B$3:$B$1001,$H819,'Input Sheet'!$E$3:$E$1001,O$4)=0,"",SUMIFS('Input Sheet'!$F$3:$F$1001,'Input Sheet'!$B$3:$B$1001,$H819,'Input Sheet'!$E$3:$E$1001,O$4))</f>
        <v/>
      </c>
      <c r="P819" s="21" t="str">
        <f>IF(SUMIFS('Input Sheet'!$F$3:$F$1001,'Input Sheet'!$B$3:$B$1001,$H819,'Input Sheet'!$E$3:$E$1001,P$4)=0,"",SUMIFS('Input Sheet'!$F$3:$F$1001,'Input Sheet'!$B$3:$B$1001,$H819,'Input Sheet'!$E$3:$E$1001,P$4))</f>
        <v/>
      </c>
      <c r="Q819" s="21" t="str">
        <f>IF(SUMIFS('Input Sheet'!$F$3:$F$1001,'Input Sheet'!$B$3:$B$1001,$H819,'Input Sheet'!$E$3:$E$1001,Q$4)=0,"",SUMIFS('Input Sheet'!$F$3:$F$1001,'Input Sheet'!$B$3:$B$1001,$H819,'Input Sheet'!$E$3:$E$1001,Q$4))</f>
        <v/>
      </c>
      <c r="R819" s="21" t="str">
        <f>IF(SUMIFS('Input Sheet'!$F$3:$F$1001,'Input Sheet'!$B$3:$B$1001,$H819,'Input Sheet'!$E$3:$E$1001,R$4)=0,"",SUMIFS('Input Sheet'!$F$3:$F$1001,'Input Sheet'!$B$3:$B$1001,$H819,'Input Sheet'!$E$3:$E$1001,R$4))</f>
        <v/>
      </c>
      <c r="S819" s="21" t="str">
        <f>IF(SUMIFS('Input Sheet'!$F$3:$F$1001,'Input Sheet'!$B$3:$B$1001,$H819,'Input Sheet'!$E$3:$E$1001,S$4)=0,"",SUMIFS('Input Sheet'!$F$3:$F$1001,'Input Sheet'!$B$3:$B$1001,$H819,'Input Sheet'!$E$3:$E$1001,S$4))</f>
        <v/>
      </c>
      <c r="T819" s="22">
        <v>814</v>
      </c>
    </row>
    <row r="820" spans="1:20" ht="14.25" customHeight="1" x14ac:dyDescent="0.3">
      <c r="A820" s="4" t="str">
        <f>IF('Input Sheet'!B817=0,"",'Input Sheet'!B817)</f>
        <v/>
      </c>
      <c r="B820" s="24" t="b">
        <f t="shared" si="788"/>
        <v>0</v>
      </c>
      <c r="C820" s="4">
        <f>SUMIF('Input Sheet'!B$3:B$1000,A820,'Input Sheet'!C$3:C$1000)</f>
        <v>0</v>
      </c>
      <c r="D820" s="4">
        <f>SUMIF('Input Sheet'!B$3:B$1000,A820,'Input Sheet'!D$3:D$1000)</f>
        <v>0</v>
      </c>
      <c r="E820" s="4" t="str">
        <f t="shared" ref="E820:F820" ca="1" si="844">IFERROR(RANK(K820,K$6:K$1004,1),"")</f>
        <v/>
      </c>
      <c r="F820" s="4" t="str">
        <f t="shared" ca="1" si="844"/>
        <v/>
      </c>
      <c r="G820" s="4" t="str">
        <f t="shared" ca="1" si="790"/>
        <v/>
      </c>
      <c r="H820" s="4" t="str">
        <f t="shared" si="791"/>
        <v/>
      </c>
      <c r="I820" s="4" t="str">
        <f t="shared" si="792"/>
        <v/>
      </c>
      <c r="J820" s="4" t="str">
        <f t="shared" si="793"/>
        <v/>
      </c>
      <c r="K820" s="25" t="str">
        <f t="shared" ca="1" si="794"/>
        <v/>
      </c>
      <c r="L820" s="21" t="str">
        <f t="shared" ca="1" si="795"/>
        <v/>
      </c>
      <c r="M820" s="21" t="str">
        <f>IF(SUMIFS('Input Sheet'!$F$3:$F$1001,'Input Sheet'!$B$3:$B$1001,$H820,'Input Sheet'!$E$3:$E$1001,M$4)=0,"",SUMIFS('Input Sheet'!$F$3:$F$1001,'Input Sheet'!$B$3:$B$1001,$H820,'Input Sheet'!$E$3:$E$1001,M$4))</f>
        <v/>
      </c>
      <c r="N820" s="21" t="str">
        <f>IF(SUMIFS('Input Sheet'!$F$3:$F$1001,'Input Sheet'!$B$3:$B$1001,$H820,'Input Sheet'!$E$3:$E$1001,N$4)=0,"",SUMIFS('Input Sheet'!$F$3:$F$1001,'Input Sheet'!$B$3:$B$1001,$H820,'Input Sheet'!$E$3:$E$1001,N$4))</f>
        <v/>
      </c>
      <c r="O820" s="21" t="str">
        <f>IF(SUMIFS('Input Sheet'!$F$3:$F$1001,'Input Sheet'!$B$3:$B$1001,$H820,'Input Sheet'!$E$3:$E$1001,O$4)=0,"",SUMIFS('Input Sheet'!$F$3:$F$1001,'Input Sheet'!$B$3:$B$1001,$H820,'Input Sheet'!$E$3:$E$1001,O$4))</f>
        <v/>
      </c>
      <c r="P820" s="21" t="str">
        <f>IF(SUMIFS('Input Sheet'!$F$3:$F$1001,'Input Sheet'!$B$3:$B$1001,$H820,'Input Sheet'!$E$3:$E$1001,P$4)=0,"",SUMIFS('Input Sheet'!$F$3:$F$1001,'Input Sheet'!$B$3:$B$1001,$H820,'Input Sheet'!$E$3:$E$1001,P$4))</f>
        <v/>
      </c>
      <c r="Q820" s="21" t="str">
        <f>IF(SUMIFS('Input Sheet'!$F$3:$F$1001,'Input Sheet'!$B$3:$B$1001,$H820,'Input Sheet'!$E$3:$E$1001,Q$4)=0,"",SUMIFS('Input Sheet'!$F$3:$F$1001,'Input Sheet'!$B$3:$B$1001,$H820,'Input Sheet'!$E$3:$E$1001,Q$4))</f>
        <v/>
      </c>
      <c r="R820" s="21" t="str">
        <f>IF(SUMIFS('Input Sheet'!$F$3:$F$1001,'Input Sheet'!$B$3:$B$1001,$H820,'Input Sheet'!$E$3:$E$1001,R$4)=0,"",SUMIFS('Input Sheet'!$F$3:$F$1001,'Input Sheet'!$B$3:$B$1001,$H820,'Input Sheet'!$E$3:$E$1001,R$4))</f>
        <v/>
      </c>
      <c r="S820" s="21" t="str">
        <f>IF(SUMIFS('Input Sheet'!$F$3:$F$1001,'Input Sheet'!$B$3:$B$1001,$H820,'Input Sheet'!$E$3:$E$1001,S$4)=0,"",SUMIFS('Input Sheet'!$F$3:$F$1001,'Input Sheet'!$B$3:$B$1001,$H820,'Input Sheet'!$E$3:$E$1001,S$4))</f>
        <v/>
      </c>
      <c r="T820" s="22">
        <v>815</v>
      </c>
    </row>
    <row r="821" spans="1:20" ht="14.25" customHeight="1" x14ac:dyDescent="0.3">
      <c r="A821" s="4" t="str">
        <f>IF('Input Sheet'!B818=0,"",'Input Sheet'!B818)</f>
        <v/>
      </c>
      <c r="B821" s="24" t="b">
        <f t="shared" si="788"/>
        <v>0</v>
      </c>
      <c r="C821" s="4">
        <f>SUMIF('Input Sheet'!B$3:B$1000,A821,'Input Sheet'!C$3:C$1000)</f>
        <v>0</v>
      </c>
      <c r="D821" s="4">
        <f>SUMIF('Input Sheet'!B$3:B$1000,A821,'Input Sheet'!D$3:D$1000)</f>
        <v>0</v>
      </c>
      <c r="E821" s="4" t="str">
        <f t="shared" ref="E821:F821" ca="1" si="845">IFERROR(RANK(K821,K$6:K$1004,1),"")</f>
        <v/>
      </c>
      <c r="F821" s="4" t="str">
        <f t="shared" ca="1" si="845"/>
        <v/>
      </c>
      <c r="G821" s="4" t="str">
        <f t="shared" ca="1" si="790"/>
        <v/>
      </c>
      <c r="H821" s="4" t="str">
        <f t="shared" si="791"/>
        <v/>
      </c>
      <c r="I821" s="4" t="str">
        <f t="shared" si="792"/>
        <v/>
      </c>
      <c r="J821" s="4" t="str">
        <f t="shared" si="793"/>
        <v/>
      </c>
      <c r="K821" s="25" t="str">
        <f t="shared" ca="1" si="794"/>
        <v/>
      </c>
      <c r="L821" s="21" t="str">
        <f t="shared" ca="1" si="795"/>
        <v/>
      </c>
      <c r="M821" s="21" t="str">
        <f>IF(SUMIFS('Input Sheet'!$F$3:$F$1001,'Input Sheet'!$B$3:$B$1001,$H821,'Input Sheet'!$E$3:$E$1001,M$4)=0,"",SUMIFS('Input Sheet'!$F$3:$F$1001,'Input Sheet'!$B$3:$B$1001,$H821,'Input Sheet'!$E$3:$E$1001,M$4))</f>
        <v/>
      </c>
      <c r="N821" s="21" t="str">
        <f>IF(SUMIFS('Input Sheet'!$F$3:$F$1001,'Input Sheet'!$B$3:$B$1001,$H821,'Input Sheet'!$E$3:$E$1001,N$4)=0,"",SUMIFS('Input Sheet'!$F$3:$F$1001,'Input Sheet'!$B$3:$B$1001,$H821,'Input Sheet'!$E$3:$E$1001,N$4))</f>
        <v/>
      </c>
      <c r="O821" s="21" t="str">
        <f>IF(SUMIFS('Input Sheet'!$F$3:$F$1001,'Input Sheet'!$B$3:$B$1001,$H821,'Input Sheet'!$E$3:$E$1001,O$4)=0,"",SUMIFS('Input Sheet'!$F$3:$F$1001,'Input Sheet'!$B$3:$B$1001,$H821,'Input Sheet'!$E$3:$E$1001,O$4))</f>
        <v/>
      </c>
      <c r="P821" s="21" t="str">
        <f>IF(SUMIFS('Input Sheet'!$F$3:$F$1001,'Input Sheet'!$B$3:$B$1001,$H821,'Input Sheet'!$E$3:$E$1001,P$4)=0,"",SUMIFS('Input Sheet'!$F$3:$F$1001,'Input Sheet'!$B$3:$B$1001,$H821,'Input Sheet'!$E$3:$E$1001,P$4))</f>
        <v/>
      </c>
      <c r="Q821" s="21" t="str">
        <f>IF(SUMIFS('Input Sheet'!$F$3:$F$1001,'Input Sheet'!$B$3:$B$1001,$H821,'Input Sheet'!$E$3:$E$1001,Q$4)=0,"",SUMIFS('Input Sheet'!$F$3:$F$1001,'Input Sheet'!$B$3:$B$1001,$H821,'Input Sheet'!$E$3:$E$1001,Q$4))</f>
        <v/>
      </c>
      <c r="R821" s="21" t="str">
        <f>IF(SUMIFS('Input Sheet'!$F$3:$F$1001,'Input Sheet'!$B$3:$B$1001,$H821,'Input Sheet'!$E$3:$E$1001,R$4)=0,"",SUMIFS('Input Sheet'!$F$3:$F$1001,'Input Sheet'!$B$3:$B$1001,$H821,'Input Sheet'!$E$3:$E$1001,R$4))</f>
        <v/>
      </c>
      <c r="S821" s="21" t="str">
        <f>IF(SUMIFS('Input Sheet'!$F$3:$F$1001,'Input Sheet'!$B$3:$B$1001,$H821,'Input Sheet'!$E$3:$E$1001,S$4)=0,"",SUMIFS('Input Sheet'!$F$3:$F$1001,'Input Sheet'!$B$3:$B$1001,$H821,'Input Sheet'!$E$3:$E$1001,S$4))</f>
        <v/>
      </c>
      <c r="T821" s="22">
        <v>816</v>
      </c>
    </row>
    <row r="822" spans="1:20" ht="14.25" customHeight="1" x14ac:dyDescent="0.3">
      <c r="A822" s="4" t="str">
        <f>IF('Input Sheet'!B819=0,"",'Input Sheet'!B819)</f>
        <v/>
      </c>
      <c r="B822" s="24" t="b">
        <f t="shared" si="788"/>
        <v>0</v>
      </c>
      <c r="C822" s="4">
        <f>SUMIF('Input Sheet'!B$3:B$1000,A822,'Input Sheet'!C$3:C$1000)</f>
        <v>0</v>
      </c>
      <c r="D822" s="4">
        <f>SUMIF('Input Sheet'!B$3:B$1000,A822,'Input Sheet'!D$3:D$1000)</f>
        <v>0</v>
      </c>
      <c r="E822" s="4" t="str">
        <f t="shared" ref="E822:F822" ca="1" si="846">IFERROR(RANK(K822,K$6:K$1004,1),"")</f>
        <v/>
      </c>
      <c r="F822" s="4" t="str">
        <f t="shared" ca="1" si="846"/>
        <v/>
      </c>
      <c r="G822" s="4" t="str">
        <f t="shared" ca="1" si="790"/>
        <v/>
      </c>
      <c r="H822" s="4" t="str">
        <f t="shared" si="791"/>
        <v/>
      </c>
      <c r="I822" s="4" t="str">
        <f t="shared" si="792"/>
        <v/>
      </c>
      <c r="J822" s="4" t="str">
        <f t="shared" si="793"/>
        <v/>
      </c>
      <c r="K822" s="25" t="str">
        <f t="shared" ca="1" si="794"/>
        <v/>
      </c>
      <c r="L822" s="21" t="str">
        <f t="shared" ca="1" si="795"/>
        <v/>
      </c>
      <c r="M822" s="21" t="str">
        <f>IF(SUMIFS('Input Sheet'!$F$3:$F$1001,'Input Sheet'!$B$3:$B$1001,$H822,'Input Sheet'!$E$3:$E$1001,M$4)=0,"",SUMIFS('Input Sheet'!$F$3:$F$1001,'Input Sheet'!$B$3:$B$1001,$H822,'Input Sheet'!$E$3:$E$1001,M$4))</f>
        <v/>
      </c>
      <c r="N822" s="21" t="str">
        <f>IF(SUMIFS('Input Sheet'!$F$3:$F$1001,'Input Sheet'!$B$3:$B$1001,$H822,'Input Sheet'!$E$3:$E$1001,N$4)=0,"",SUMIFS('Input Sheet'!$F$3:$F$1001,'Input Sheet'!$B$3:$B$1001,$H822,'Input Sheet'!$E$3:$E$1001,N$4))</f>
        <v/>
      </c>
      <c r="O822" s="21" t="str">
        <f>IF(SUMIFS('Input Sheet'!$F$3:$F$1001,'Input Sheet'!$B$3:$B$1001,$H822,'Input Sheet'!$E$3:$E$1001,O$4)=0,"",SUMIFS('Input Sheet'!$F$3:$F$1001,'Input Sheet'!$B$3:$B$1001,$H822,'Input Sheet'!$E$3:$E$1001,O$4))</f>
        <v/>
      </c>
      <c r="P822" s="21" t="str">
        <f>IF(SUMIFS('Input Sheet'!$F$3:$F$1001,'Input Sheet'!$B$3:$B$1001,$H822,'Input Sheet'!$E$3:$E$1001,P$4)=0,"",SUMIFS('Input Sheet'!$F$3:$F$1001,'Input Sheet'!$B$3:$B$1001,$H822,'Input Sheet'!$E$3:$E$1001,P$4))</f>
        <v/>
      </c>
      <c r="Q822" s="21" t="str">
        <f>IF(SUMIFS('Input Sheet'!$F$3:$F$1001,'Input Sheet'!$B$3:$B$1001,$H822,'Input Sheet'!$E$3:$E$1001,Q$4)=0,"",SUMIFS('Input Sheet'!$F$3:$F$1001,'Input Sheet'!$B$3:$B$1001,$H822,'Input Sheet'!$E$3:$E$1001,Q$4))</f>
        <v/>
      </c>
      <c r="R822" s="21" t="str">
        <f>IF(SUMIFS('Input Sheet'!$F$3:$F$1001,'Input Sheet'!$B$3:$B$1001,$H822,'Input Sheet'!$E$3:$E$1001,R$4)=0,"",SUMIFS('Input Sheet'!$F$3:$F$1001,'Input Sheet'!$B$3:$B$1001,$H822,'Input Sheet'!$E$3:$E$1001,R$4))</f>
        <v/>
      </c>
      <c r="S822" s="21" t="str">
        <f>IF(SUMIFS('Input Sheet'!$F$3:$F$1001,'Input Sheet'!$B$3:$B$1001,$H822,'Input Sheet'!$E$3:$E$1001,S$4)=0,"",SUMIFS('Input Sheet'!$F$3:$F$1001,'Input Sheet'!$B$3:$B$1001,$H822,'Input Sheet'!$E$3:$E$1001,S$4))</f>
        <v/>
      </c>
      <c r="T822" s="22">
        <v>817</v>
      </c>
    </row>
    <row r="823" spans="1:20" ht="14.25" customHeight="1" x14ac:dyDescent="0.3">
      <c r="A823" s="4" t="str">
        <f>IF('Input Sheet'!B820=0,"",'Input Sheet'!B820)</f>
        <v/>
      </c>
      <c r="B823" s="24" t="b">
        <f t="shared" si="788"/>
        <v>0</v>
      </c>
      <c r="C823" s="4">
        <f>SUMIF('Input Sheet'!B$3:B$1000,A823,'Input Sheet'!C$3:C$1000)</f>
        <v>0</v>
      </c>
      <c r="D823" s="4">
        <f>SUMIF('Input Sheet'!B$3:B$1000,A823,'Input Sheet'!D$3:D$1000)</f>
        <v>0</v>
      </c>
      <c r="E823" s="4" t="str">
        <f t="shared" ref="E823:F823" ca="1" si="847">IFERROR(RANK(K823,K$6:K$1004,1),"")</f>
        <v/>
      </c>
      <c r="F823" s="4" t="str">
        <f t="shared" ca="1" si="847"/>
        <v/>
      </c>
      <c r="G823" s="4" t="str">
        <f t="shared" ca="1" si="790"/>
        <v/>
      </c>
      <c r="H823" s="4" t="str">
        <f t="shared" si="791"/>
        <v/>
      </c>
      <c r="I823" s="4" t="str">
        <f t="shared" si="792"/>
        <v/>
      </c>
      <c r="J823" s="4" t="str">
        <f t="shared" si="793"/>
        <v/>
      </c>
      <c r="K823" s="25" t="str">
        <f t="shared" ca="1" si="794"/>
        <v/>
      </c>
      <c r="L823" s="21" t="str">
        <f t="shared" ca="1" si="795"/>
        <v/>
      </c>
      <c r="M823" s="21" t="str">
        <f>IF(SUMIFS('Input Sheet'!$F$3:$F$1001,'Input Sheet'!$B$3:$B$1001,$H823,'Input Sheet'!$E$3:$E$1001,M$4)=0,"",SUMIFS('Input Sheet'!$F$3:$F$1001,'Input Sheet'!$B$3:$B$1001,$H823,'Input Sheet'!$E$3:$E$1001,M$4))</f>
        <v/>
      </c>
      <c r="N823" s="21" t="str">
        <f>IF(SUMIFS('Input Sheet'!$F$3:$F$1001,'Input Sheet'!$B$3:$B$1001,$H823,'Input Sheet'!$E$3:$E$1001,N$4)=0,"",SUMIFS('Input Sheet'!$F$3:$F$1001,'Input Sheet'!$B$3:$B$1001,$H823,'Input Sheet'!$E$3:$E$1001,N$4))</f>
        <v/>
      </c>
      <c r="O823" s="21" t="str">
        <f>IF(SUMIFS('Input Sheet'!$F$3:$F$1001,'Input Sheet'!$B$3:$B$1001,$H823,'Input Sheet'!$E$3:$E$1001,O$4)=0,"",SUMIFS('Input Sheet'!$F$3:$F$1001,'Input Sheet'!$B$3:$B$1001,$H823,'Input Sheet'!$E$3:$E$1001,O$4))</f>
        <v/>
      </c>
      <c r="P823" s="21" t="str">
        <f>IF(SUMIFS('Input Sheet'!$F$3:$F$1001,'Input Sheet'!$B$3:$B$1001,$H823,'Input Sheet'!$E$3:$E$1001,P$4)=0,"",SUMIFS('Input Sheet'!$F$3:$F$1001,'Input Sheet'!$B$3:$B$1001,$H823,'Input Sheet'!$E$3:$E$1001,P$4))</f>
        <v/>
      </c>
      <c r="Q823" s="21" t="str">
        <f>IF(SUMIFS('Input Sheet'!$F$3:$F$1001,'Input Sheet'!$B$3:$B$1001,$H823,'Input Sheet'!$E$3:$E$1001,Q$4)=0,"",SUMIFS('Input Sheet'!$F$3:$F$1001,'Input Sheet'!$B$3:$B$1001,$H823,'Input Sheet'!$E$3:$E$1001,Q$4))</f>
        <v/>
      </c>
      <c r="R823" s="21" t="str">
        <f>IF(SUMIFS('Input Sheet'!$F$3:$F$1001,'Input Sheet'!$B$3:$B$1001,$H823,'Input Sheet'!$E$3:$E$1001,R$4)=0,"",SUMIFS('Input Sheet'!$F$3:$F$1001,'Input Sheet'!$B$3:$B$1001,$H823,'Input Sheet'!$E$3:$E$1001,R$4))</f>
        <v/>
      </c>
      <c r="S823" s="21" t="str">
        <f>IF(SUMIFS('Input Sheet'!$F$3:$F$1001,'Input Sheet'!$B$3:$B$1001,$H823,'Input Sheet'!$E$3:$E$1001,S$4)=0,"",SUMIFS('Input Sheet'!$F$3:$F$1001,'Input Sheet'!$B$3:$B$1001,$H823,'Input Sheet'!$E$3:$E$1001,S$4))</f>
        <v/>
      </c>
      <c r="T823" s="22">
        <v>818</v>
      </c>
    </row>
    <row r="824" spans="1:20" ht="14.25" customHeight="1" x14ac:dyDescent="0.3">
      <c r="A824" s="4" t="str">
        <f>IF('Input Sheet'!B821=0,"",'Input Sheet'!B821)</f>
        <v/>
      </c>
      <c r="B824" s="24" t="b">
        <f t="shared" si="788"/>
        <v>0</v>
      </c>
      <c r="C824" s="4">
        <f>SUMIF('Input Sheet'!B$3:B$1000,A824,'Input Sheet'!C$3:C$1000)</f>
        <v>0</v>
      </c>
      <c r="D824" s="4">
        <f>SUMIF('Input Sheet'!B$3:B$1000,A824,'Input Sheet'!D$3:D$1000)</f>
        <v>0</v>
      </c>
      <c r="E824" s="4" t="str">
        <f t="shared" ref="E824:F824" ca="1" si="848">IFERROR(RANK(K824,K$6:K$1004,1),"")</f>
        <v/>
      </c>
      <c r="F824" s="4" t="str">
        <f t="shared" ca="1" si="848"/>
        <v/>
      </c>
      <c r="G824" s="4" t="str">
        <f t="shared" ca="1" si="790"/>
        <v/>
      </c>
      <c r="H824" s="4" t="str">
        <f t="shared" si="791"/>
        <v/>
      </c>
      <c r="I824" s="4" t="str">
        <f t="shared" si="792"/>
        <v/>
      </c>
      <c r="J824" s="4" t="str">
        <f t="shared" si="793"/>
        <v/>
      </c>
      <c r="K824" s="25" t="str">
        <f t="shared" ca="1" si="794"/>
        <v/>
      </c>
      <c r="L824" s="21" t="str">
        <f t="shared" ca="1" si="795"/>
        <v/>
      </c>
      <c r="M824" s="21" t="str">
        <f>IF(SUMIFS('Input Sheet'!$F$3:$F$1001,'Input Sheet'!$B$3:$B$1001,$H824,'Input Sheet'!$E$3:$E$1001,M$4)=0,"",SUMIFS('Input Sheet'!$F$3:$F$1001,'Input Sheet'!$B$3:$B$1001,$H824,'Input Sheet'!$E$3:$E$1001,M$4))</f>
        <v/>
      </c>
      <c r="N824" s="21" t="str">
        <f>IF(SUMIFS('Input Sheet'!$F$3:$F$1001,'Input Sheet'!$B$3:$B$1001,$H824,'Input Sheet'!$E$3:$E$1001,N$4)=0,"",SUMIFS('Input Sheet'!$F$3:$F$1001,'Input Sheet'!$B$3:$B$1001,$H824,'Input Sheet'!$E$3:$E$1001,N$4))</f>
        <v/>
      </c>
      <c r="O824" s="21" t="str">
        <f>IF(SUMIFS('Input Sheet'!$F$3:$F$1001,'Input Sheet'!$B$3:$B$1001,$H824,'Input Sheet'!$E$3:$E$1001,O$4)=0,"",SUMIFS('Input Sheet'!$F$3:$F$1001,'Input Sheet'!$B$3:$B$1001,$H824,'Input Sheet'!$E$3:$E$1001,O$4))</f>
        <v/>
      </c>
      <c r="P824" s="21" t="str">
        <f>IF(SUMIFS('Input Sheet'!$F$3:$F$1001,'Input Sheet'!$B$3:$B$1001,$H824,'Input Sheet'!$E$3:$E$1001,P$4)=0,"",SUMIFS('Input Sheet'!$F$3:$F$1001,'Input Sheet'!$B$3:$B$1001,$H824,'Input Sheet'!$E$3:$E$1001,P$4))</f>
        <v/>
      </c>
      <c r="Q824" s="21" t="str">
        <f>IF(SUMIFS('Input Sheet'!$F$3:$F$1001,'Input Sheet'!$B$3:$B$1001,$H824,'Input Sheet'!$E$3:$E$1001,Q$4)=0,"",SUMIFS('Input Sheet'!$F$3:$F$1001,'Input Sheet'!$B$3:$B$1001,$H824,'Input Sheet'!$E$3:$E$1001,Q$4))</f>
        <v/>
      </c>
      <c r="R824" s="21" t="str">
        <f>IF(SUMIFS('Input Sheet'!$F$3:$F$1001,'Input Sheet'!$B$3:$B$1001,$H824,'Input Sheet'!$E$3:$E$1001,R$4)=0,"",SUMIFS('Input Sheet'!$F$3:$F$1001,'Input Sheet'!$B$3:$B$1001,$H824,'Input Sheet'!$E$3:$E$1001,R$4))</f>
        <v/>
      </c>
      <c r="S824" s="21" t="str">
        <f>IF(SUMIFS('Input Sheet'!$F$3:$F$1001,'Input Sheet'!$B$3:$B$1001,$H824,'Input Sheet'!$E$3:$E$1001,S$4)=0,"",SUMIFS('Input Sheet'!$F$3:$F$1001,'Input Sheet'!$B$3:$B$1001,$H824,'Input Sheet'!$E$3:$E$1001,S$4))</f>
        <v/>
      </c>
      <c r="T824" s="22">
        <v>819</v>
      </c>
    </row>
    <row r="825" spans="1:20" ht="14.25" customHeight="1" x14ac:dyDescent="0.3">
      <c r="A825" s="4" t="str">
        <f>IF('Input Sheet'!B822=0,"",'Input Sheet'!B822)</f>
        <v/>
      </c>
      <c r="B825" s="24" t="b">
        <f t="shared" si="788"/>
        <v>0</v>
      </c>
      <c r="C825" s="4">
        <f>SUMIF('Input Sheet'!B$3:B$1000,A825,'Input Sheet'!C$3:C$1000)</f>
        <v>0</v>
      </c>
      <c r="D825" s="4">
        <f>SUMIF('Input Sheet'!B$3:B$1000,A825,'Input Sheet'!D$3:D$1000)</f>
        <v>0</v>
      </c>
      <c r="E825" s="4" t="str">
        <f t="shared" ref="E825:F825" ca="1" si="849">IFERROR(RANK(K825,K$6:K$1004,1),"")</f>
        <v/>
      </c>
      <c r="F825" s="4" t="str">
        <f t="shared" ca="1" si="849"/>
        <v/>
      </c>
      <c r="G825" s="4" t="str">
        <f t="shared" ca="1" si="790"/>
        <v/>
      </c>
      <c r="H825" s="4" t="str">
        <f t="shared" si="791"/>
        <v/>
      </c>
      <c r="I825" s="4" t="str">
        <f t="shared" si="792"/>
        <v/>
      </c>
      <c r="J825" s="4" t="str">
        <f t="shared" si="793"/>
        <v/>
      </c>
      <c r="K825" s="25" t="str">
        <f t="shared" ca="1" si="794"/>
        <v/>
      </c>
      <c r="L825" s="21" t="str">
        <f t="shared" ca="1" si="795"/>
        <v/>
      </c>
      <c r="M825" s="21" t="str">
        <f>IF(SUMIFS('Input Sheet'!$F$3:$F$1001,'Input Sheet'!$B$3:$B$1001,$H825,'Input Sheet'!$E$3:$E$1001,M$4)=0,"",SUMIFS('Input Sheet'!$F$3:$F$1001,'Input Sheet'!$B$3:$B$1001,$H825,'Input Sheet'!$E$3:$E$1001,M$4))</f>
        <v/>
      </c>
      <c r="N825" s="21" t="str">
        <f>IF(SUMIFS('Input Sheet'!$F$3:$F$1001,'Input Sheet'!$B$3:$B$1001,$H825,'Input Sheet'!$E$3:$E$1001,N$4)=0,"",SUMIFS('Input Sheet'!$F$3:$F$1001,'Input Sheet'!$B$3:$B$1001,$H825,'Input Sheet'!$E$3:$E$1001,N$4))</f>
        <v/>
      </c>
      <c r="O825" s="21" t="str">
        <f>IF(SUMIFS('Input Sheet'!$F$3:$F$1001,'Input Sheet'!$B$3:$B$1001,$H825,'Input Sheet'!$E$3:$E$1001,O$4)=0,"",SUMIFS('Input Sheet'!$F$3:$F$1001,'Input Sheet'!$B$3:$B$1001,$H825,'Input Sheet'!$E$3:$E$1001,O$4))</f>
        <v/>
      </c>
      <c r="P825" s="21" t="str">
        <f>IF(SUMIFS('Input Sheet'!$F$3:$F$1001,'Input Sheet'!$B$3:$B$1001,$H825,'Input Sheet'!$E$3:$E$1001,P$4)=0,"",SUMIFS('Input Sheet'!$F$3:$F$1001,'Input Sheet'!$B$3:$B$1001,$H825,'Input Sheet'!$E$3:$E$1001,P$4))</f>
        <v/>
      </c>
      <c r="Q825" s="21" t="str">
        <f>IF(SUMIFS('Input Sheet'!$F$3:$F$1001,'Input Sheet'!$B$3:$B$1001,$H825,'Input Sheet'!$E$3:$E$1001,Q$4)=0,"",SUMIFS('Input Sheet'!$F$3:$F$1001,'Input Sheet'!$B$3:$B$1001,$H825,'Input Sheet'!$E$3:$E$1001,Q$4))</f>
        <v/>
      </c>
      <c r="R825" s="21" t="str">
        <f>IF(SUMIFS('Input Sheet'!$F$3:$F$1001,'Input Sheet'!$B$3:$B$1001,$H825,'Input Sheet'!$E$3:$E$1001,R$4)=0,"",SUMIFS('Input Sheet'!$F$3:$F$1001,'Input Sheet'!$B$3:$B$1001,$H825,'Input Sheet'!$E$3:$E$1001,R$4))</f>
        <v/>
      </c>
      <c r="S825" s="21" t="str">
        <f>IF(SUMIFS('Input Sheet'!$F$3:$F$1001,'Input Sheet'!$B$3:$B$1001,$H825,'Input Sheet'!$E$3:$E$1001,S$4)=0,"",SUMIFS('Input Sheet'!$F$3:$F$1001,'Input Sheet'!$B$3:$B$1001,$H825,'Input Sheet'!$E$3:$E$1001,S$4))</f>
        <v/>
      </c>
      <c r="T825" s="22">
        <v>820</v>
      </c>
    </row>
    <row r="826" spans="1:20" ht="14.25" customHeight="1" x14ac:dyDescent="0.3">
      <c r="A826" s="4" t="str">
        <f>IF('Input Sheet'!B823=0,"",'Input Sheet'!B823)</f>
        <v/>
      </c>
      <c r="B826" s="24" t="b">
        <f t="shared" si="788"/>
        <v>0</v>
      </c>
      <c r="C826" s="4">
        <f>SUMIF('Input Sheet'!B$3:B$1000,A826,'Input Sheet'!C$3:C$1000)</f>
        <v>0</v>
      </c>
      <c r="D826" s="4">
        <f>SUMIF('Input Sheet'!B$3:B$1000,A826,'Input Sheet'!D$3:D$1000)</f>
        <v>0</v>
      </c>
      <c r="E826" s="4" t="str">
        <f t="shared" ref="E826:F826" ca="1" si="850">IFERROR(RANK(K826,K$6:K$1004,1),"")</f>
        <v/>
      </c>
      <c r="F826" s="4" t="str">
        <f t="shared" ca="1" si="850"/>
        <v/>
      </c>
      <c r="G826" s="4" t="str">
        <f t="shared" ca="1" si="790"/>
        <v/>
      </c>
      <c r="H826" s="4" t="str">
        <f t="shared" si="791"/>
        <v/>
      </c>
      <c r="I826" s="4" t="str">
        <f t="shared" si="792"/>
        <v/>
      </c>
      <c r="J826" s="4" t="str">
        <f t="shared" si="793"/>
        <v/>
      </c>
      <c r="K826" s="25" t="str">
        <f t="shared" ca="1" si="794"/>
        <v/>
      </c>
      <c r="L826" s="21" t="str">
        <f t="shared" ca="1" si="795"/>
        <v/>
      </c>
      <c r="M826" s="21" t="str">
        <f>IF(SUMIFS('Input Sheet'!$F$3:$F$1001,'Input Sheet'!$B$3:$B$1001,$H826,'Input Sheet'!$E$3:$E$1001,M$4)=0,"",SUMIFS('Input Sheet'!$F$3:$F$1001,'Input Sheet'!$B$3:$B$1001,$H826,'Input Sheet'!$E$3:$E$1001,M$4))</f>
        <v/>
      </c>
      <c r="N826" s="21" t="str">
        <f>IF(SUMIFS('Input Sheet'!$F$3:$F$1001,'Input Sheet'!$B$3:$B$1001,$H826,'Input Sheet'!$E$3:$E$1001,N$4)=0,"",SUMIFS('Input Sheet'!$F$3:$F$1001,'Input Sheet'!$B$3:$B$1001,$H826,'Input Sheet'!$E$3:$E$1001,N$4))</f>
        <v/>
      </c>
      <c r="O826" s="21" t="str">
        <f>IF(SUMIFS('Input Sheet'!$F$3:$F$1001,'Input Sheet'!$B$3:$B$1001,$H826,'Input Sheet'!$E$3:$E$1001,O$4)=0,"",SUMIFS('Input Sheet'!$F$3:$F$1001,'Input Sheet'!$B$3:$B$1001,$H826,'Input Sheet'!$E$3:$E$1001,O$4))</f>
        <v/>
      </c>
      <c r="P826" s="21" t="str">
        <f>IF(SUMIFS('Input Sheet'!$F$3:$F$1001,'Input Sheet'!$B$3:$B$1001,$H826,'Input Sheet'!$E$3:$E$1001,P$4)=0,"",SUMIFS('Input Sheet'!$F$3:$F$1001,'Input Sheet'!$B$3:$B$1001,$H826,'Input Sheet'!$E$3:$E$1001,P$4))</f>
        <v/>
      </c>
      <c r="Q826" s="21" t="str">
        <f>IF(SUMIFS('Input Sheet'!$F$3:$F$1001,'Input Sheet'!$B$3:$B$1001,$H826,'Input Sheet'!$E$3:$E$1001,Q$4)=0,"",SUMIFS('Input Sheet'!$F$3:$F$1001,'Input Sheet'!$B$3:$B$1001,$H826,'Input Sheet'!$E$3:$E$1001,Q$4))</f>
        <v/>
      </c>
      <c r="R826" s="21" t="str">
        <f>IF(SUMIFS('Input Sheet'!$F$3:$F$1001,'Input Sheet'!$B$3:$B$1001,$H826,'Input Sheet'!$E$3:$E$1001,R$4)=0,"",SUMIFS('Input Sheet'!$F$3:$F$1001,'Input Sheet'!$B$3:$B$1001,$H826,'Input Sheet'!$E$3:$E$1001,R$4))</f>
        <v/>
      </c>
      <c r="S826" s="21" t="str">
        <f>IF(SUMIFS('Input Sheet'!$F$3:$F$1001,'Input Sheet'!$B$3:$B$1001,$H826,'Input Sheet'!$E$3:$E$1001,S$4)=0,"",SUMIFS('Input Sheet'!$F$3:$F$1001,'Input Sheet'!$B$3:$B$1001,$H826,'Input Sheet'!$E$3:$E$1001,S$4))</f>
        <v/>
      </c>
      <c r="T826" s="22">
        <v>821</v>
      </c>
    </row>
    <row r="827" spans="1:20" ht="14.25" customHeight="1" x14ac:dyDescent="0.3">
      <c r="A827" s="4" t="str">
        <f>IF('Input Sheet'!B824=0,"",'Input Sheet'!B824)</f>
        <v/>
      </c>
      <c r="B827" s="24" t="b">
        <f t="shared" si="788"/>
        <v>0</v>
      </c>
      <c r="C827" s="4">
        <f>SUMIF('Input Sheet'!B$3:B$1000,A827,'Input Sheet'!C$3:C$1000)</f>
        <v>0</v>
      </c>
      <c r="D827" s="4">
        <f>SUMIF('Input Sheet'!B$3:B$1000,A827,'Input Sheet'!D$3:D$1000)</f>
        <v>0</v>
      </c>
      <c r="E827" s="4" t="str">
        <f t="shared" ref="E827:F827" ca="1" si="851">IFERROR(RANK(K827,K$6:K$1004,1),"")</f>
        <v/>
      </c>
      <c r="F827" s="4" t="str">
        <f t="shared" ca="1" si="851"/>
        <v/>
      </c>
      <c r="G827" s="4" t="str">
        <f t="shared" ca="1" si="790"/>
        <v/>
      </c>
      <c r="H827" s="4" t="str">
        <f t="shared" si="791"/>
        <v/>
      </c>
      <c r="I827" s="4" t="str">
        <f t="shared" si="792"/>
        <v/>
      </c>
      <c r="J827" s="4" t="str">
        <f t="shared" si="793"/>
        <v/>
      </c>
      <c r="K827" s="25" t="str">
        <f t="shared" ca="1" si="794"/>
        <v/>
      </c>
      <c r="L827" s="21" t="str">
        <f t="shared" ca="1" si="795"/>
        <v/>
      </c>
      <c r="M827" s="21" t="str">
        <f>IF(SUMIFS('Input Sheet'!$F$3:$F$1001,'Input Sheet'!$B$3:$B$1001,$H827,'Input Sheet'!$E$3:$E$1001,M$4)=0,"",SUMIFS('Input Sheet'!$F$3:$F$1001,'Input Sheet'!$B$3:$B$1001,$H827,'Input Sheet'!$E$3:$E$1001,M$4))</f>
        <v/>
      </c>
      <c r="N827" s="21" t="str">
        <f>IF(SUMIFS('Input Sheet'!$F$3:$F$1001,'Input Sheet'!$B$3:$B$1001,$H827,'Input Sheet'!$E$3:$E$1001,N$4)=0,"",SUMIFS('Input Sheet'!$F$3:$F$1001,'Input Sheet'!$B$3:$B$1001,$H827,'Input Sheet'!$E$3:$E$1001,N$4))</f>
        <v/>
      </c>
      <c r="O827" s="21" t="str">
        <f>IF(SUMIFS('Input Sheet'!$F$3:$F$1001,'Input Sheet'!$B$3:$B$1001,$H827,'Input Sheet'!$E$3:$E$1001,O$4)=0,"",SUMIFS('Input Sheet'!$F$3:$F$1001,'Input Sheet'!$B$3:$B$1001,$H827,'Input Sheet'!$E$3:$E$1001,O$4))</f>
        <v/>
      </c>
      <c r="P827" s="21" t="str">
        <f>IF(SUMIFS('Input Sheet'!$F$3:$F$1001,'Input Sheet'!$B$3:$B$1001,$H827,'Input Sheet'!$E$3:$E$1001,P$4)=0,"",SUMIFS('Input Sheet'!$F$3:$F$1001,'Input Sheet'!$B$3:$B$1001,$H827,'Input Sheet'!$E$3:$E$1001,P$4))</f>
        <v/>
      </c>
      <c r="Q827" s="21" t="str">
        <f>IF(SUMIFS('Input Sheet'!$F$3:$F$1001,'Input Sheet'!$B$3:$B$1001,$H827,'Input Sheet'!$E$3:$E$1001,Q$4)=0,"",SUMIFS('Input Sheet'!$F$3:$F$1001,'Input Sheet'!$B$3:$B$1001,$H827,'Input Sheet'!$E$3:$E$1001,Q$4))</f>
        <v/>
      </c>
      <c r="R827" s="21" t="str">
        <f>IF(SUMIFS('Input Sheet'!$F$3:$F$1001,'Input Sheet'!$B$3:$B$1001,$H827,'Input Sheet'!$E$3:$E$1001,R$4)=0,"",SUMIFS('Input Sheet'!$F$3:$F$1001,'Input Sheet'!$B$3:$B$1001,$H827,'Input Sheet'!$E$3:$E$1001,R$4))</f>
        <v/>
      </c>
      <c r="S827" s="21" t="str">
        <f>IF(SUMIFS('Input Sheet'!$F$3:$F$1001,'Input Sheet'!$B$3:$B$1001,$H827,'Input Sheet'!$E$3:$E$1001,S$4)=0,"",SUMIFS('Input Sheet'!$F$3:$F$1001,'Input Sheet'!$B$3:$B$1001,$H827,'Input Sheet'!$E$3:$E$1001,S$4))</f>
        <v/>
      </c>
      <c r="T827" s="22">
        <v>822</v>
      </c>
    </row>
    <row r="828" spans="1:20" ht="14.25" customHeight="1" x14ac:dyDescent="0.3">
      <c r="A828" s="4" t="str">
        <f>IF('Input Sheet'!B825=0,"",'Input Sheet'!B825)</f>
        <v/>
      </c>
      <c r="B828" s="24" t="b">
        <f t="shared" si="788"/>
        <v>0</v>
      </c>
      <c r="C828" s="4">
        <f>SUMIF('Input Sheet'!B$3:B$1000,A828,'Input Sheet'!C$3:C$1000)</f>
        <v>0</v>
      </c>
      <c r="D828" s="4">
        <f>SUMIF('Input Sheet'!B$3:B$1000,A828,'Input Sheet'!D$3:D$1000)</f>
        <v>0</v>
      </c>
      <c r="E828" s="4" t="str">
        <f t="shared" ref="E828:F828" ca="1" si="852">IFERROR(RANK(K828,K$6:K$1004,1),"")</f>
        <v/>
      </c>
      <c r="F828" s="4" t="str">
        <f t="shared" ca="1" si="852"/>
        <v/>
      </c>
      <c r="G828" s="4" t="str">
        <f t="shared" ca="1" si="790"/>
        <v/>
      </c>
      <c r="H828" s="4" t="str">
        <f t="shared" si="791"/>
        <v/>
      </c>
      <c r="I828" s="4" t="str">
        <f t="shared" si="792"/>
        <v/>
      </c>
      <c r="J828" s="4" t="str">
        <f t="shared" si="793"/>
        <v/>
      </c>
      <c r="K828" s="25" t="str">
        <f t="shared" ca="1" si="794"/>
        <v/>
      </c>
      <c r="L828" s="21" t="str">
        <f t="shared" ca="1" si="795"/>
        <v/>
      </c>
      <c r="M828" s="21" t="str">
        <f>IF(SUMIFS('Input Sheet'!$F$3:$F$1001,'Input Sheet'!$B$3:$B$1001,$H828,'Input Sheet'!$E$3:$E$1001,M$4)=0,"",SUMIFS('Input Sheet'!$F$3:$F$1001,'Input Sheet'!$B$3:$B$1001,$H828,'Input Sheet'!$E$3:$E$1001,M$4))</f>
        <v/>
      </c>
      <c r="N828" s="21" t="str">
        <f>IF(SUMIFS('Input Sheet'!$F$3:$F$1001,'Input Sheet'!$B$3:$B$1001,$H828,'Input Sheet'!$E$3:$E$1001,N$4)=0,"",SUMIFS('Input Sheet'!$F$3:$F$1001,'Input Sheet'!$B$3:$B$1001,$H828,'Input Sheet'!$E$3:$E$1001,N$4))</f>
        <v/>
      </c>
      <c r="O828" s="21" t="str">
        <f>IF(SUMIFS('Input Sheet'!$F$3:$F$1001,'Input Sheet'!$B$3:$B$1001,$H828,'Input Sheet'!$E$3:$E$1001,O$4)=0,"",SUMIFS('Input Sheet'!$F$3:$F$1001,'Input Sheet'!$B$3:$B$1001,$H828,'Input Sheet'!$E$3:$E$1001,O$4))</f>
        <v/>
      </c>
      <c r="P828" s="21" t="str">
        <f>IF(SUMIFS('Input Sheet'!$F$3:$F$1001,'Input Sheet'!$B$3:$B$1001,$H828,'Input Sheet'!$E$3:$E$1001,P$4)=0,"",SUMIFS('Input Sheet'!$F$3:$F$1001,'Input Sheet'!$B$3:$B$1001,$H828,'Input Sheet'!$E$3:$E$1001,P$4))</f>
        <v/>
      </c>
      <c r="Q828" s="21" t="str">
        <f>IF(SUMIFS('Input Sheet'!$F$3:$F$1001,'Input Sheet'!$B$3:$B$1001,$H828,'Input Sheet'!$E$3:$E$1001,Q$4)=0,"",SUMIFS('Input Sheet'!$F$3:$F$1001,'Input Sheet'!$B$3:$B$1001,$H828,'Input Sheet'!$E$3:$E$1001,Q$4))</f>
        <v/>
      </c>
      <c r="R828" s="21" t="str">
        <f>IF(SUMIFS('Input Sheet'!$F$3:$F$1001,'Input Sheet'!$B$3:$B$1001,$H828,'Input Sheet'!$E$3:$E$1001,R$4)=0,"",SUMIFS('Input Sheet'!$F$3:$F$1001,'Input Sheet'!$B$3:$B$1001,$H828,'Input Sheet'!$E$3:$E$1001,R$4))</f>
        <v/>
      </c>
      <c r="S828" s="21" t="str">
        <f>IF(SUMIFS('Input Sheet'!$F$3:$F$1001,'Input Sheet'!$B$3:$B$1001,$H828,'Input Sheet'!$E$3:$E$1001,S$4)=0,"",SUMIFS('Input Sheet'!$F$3:$F$1001,'Input Sheet'!$B$3:$B$1001,$H828,'Input Sheet'!$E$3:$E$1001,S$4))</f>
        <v/>
      </c>
      <c r="T828" s="22">
        <v>823</v>
      </c>
    </row>
    <row r="829" spans="1:20" ht="14.25" customHeight="1" x14ac:dyDescent="0.3">
      <c r="A829" s="4" t="str">
        <f>IF('Input Sheet'!B826=0,"",'Input Sheet'!B826)</f>
        <v/>
      </c>
      <c r="B829" s="24" t="b">
        <f t="shared" si="788"/>
        <v>0</v>
      </c>
      <c r="C829" s="4">
        <f>SUMIF('Input Sheet'!B$3:B$1000,A829,'Input Sheet'!C$3:C$1000)</f>
        <v>0</v>
      </c>
      <c r="D829" s="4">
        <f>SUMIF('Input Sheet'!B$3:B$1000,A829,'Input Sheet'!D$3:D$1000)</f>
        <v>0</v>
      </c>
      <c r="E829" s="4" t="str">
        <f t="shared" ref="E829:F829" ca="1" si="853">IFERROR(RANK(K829,K$6:K$1004,1),"")</f>
        <v/>
      </c>
      <c r="F829" s="4" t="str">
        <f t="shared" ca="1" si="853"/>
        <v/>
      </c>
      <c r="G829" s="4" t="str">
        <f t="shared" ca="1" si="790"/>
        <v/>
      </c>
      <c r="H829" s="4" t="str">
        <f t="shared" si="791"/>
        <v/>
      </c>
      <c r="I829" s="4" t="str">
        <f t="shared" si="792"/>
        <v/>
      </c>
      <c r="J829" s="4" t="str">
        <f t="shared" si="793"/>
        <v/>
      </c>
      <c r="K829" s="25" t="str">
        <f t="shared" ca="1" si="794"/>
        <v/>
      </c>
      <c r="L829" s="21" t="str">
        <f t="shared" ca="1" si="795"/>
        <v/>
      </c>
      <c r="M829" s="21" t="str">
        <f>IF(SUMIFS('Input Sheet'!$F$3:$F$1001,'Input Sheet'!$B$3:$B$1001,$H829,'Input Sheet'!$E$3:$E$1001,M$4)=0,"",SUMIFS('Input Sheet'!$F$3:$F$1001,'Input Sheet'!$B$3:$B$1001,$H829,'Input Sheet'!$E$3:$E$1001,M$4))</f>
        <v/>
      </c>
      <c r="N829" s="21" t="str">
        <f>IF(SUMIFS('Input Sheet'!$F$3:$F$1001,'Input Sheet'!$B$3:$B$1001,$H829,'Input Sheet'!$E$3:$E$1001,N$4)=0,"",SUMIFS('Input Sheet'!$F$3:$F$1001,'Input Sheet'!$B$3:$B$1001,$H829,'Input Sheet'!$E$3:$E$1001,N$4))</f>
        <v/>
      </c>
      <c r="O829" s="21" t="str">
        <f>IF(SUMIFS('Input Sheet'!$F$3:$F$1001,'Input Sheet'!$B$3:$B$1001,$H829,'Input Sheet'!$E$3:$E$1001,O$4)=0,"",SUMIFS('Input Sheet'!$F$3:$F$1001,'Input Sheet'!$B$3:$B$1001,$H829,'Input Sheet'!$E$3:$E$1001,O$4))</f>
        <v/>
      </c>
      <c r="P829" s="21" t="str">
        <f>IF(SUMIFS('Input Sheet'!$F$3:$F$1001,'Input Sheet'!$B$3:$B$1001,$H829,'Input Sheet'!$E$3:$E$1001,P$4)=0,"",SUMIFS('Input Sheet'!$F$3:$F$1001,'Input Sheet'!$B$3:$B$1001,$H829,'Input Sheet'!$E$3:$E$1001,P$4))</f>
        <v/>
      </c>
      <c r="Q829" s="21" t="str">
        <f>IF(SUMIFS('Input Sheet'!$F$3:$F$1001,'Input Sheet'!$B$3:$B$1001,$H829,'Input Sheet'!$E$3:$E$1001,Q$4)=0,"",SUMIFS('Input Sheet'!$F$3:$F$1001,'Input Sheet'!$B$3:$B$1001,$H829,'Input Sheet'!$E$3:$E$1001,Q$4))</f>
        <v/>
      </c>
      <c r="R829" s="21" t="str">
        <f>IF(SUMIFS('Input Sheet'!$F$3:$F$1001,'Input Sheet'!$B$3:$B$1001,$H829,'Input Sheet'!$E$3:$E$1001,R$4)=0,"",SUMIFS('Input Sheet'!$F$3:$F$1001,'Input Sheet'!$B$3:$B$1001,$H829,'Input Sheet'!$E$3:$E$1001,R$4))</f>
        <v/>
      </c>
      <c r="S829" s="21" t="str">
        <f>IF(SUMIFS('Input Sheet'!$F$3:$F$1001,'Input Sheet'!$B$3:$B$1001,$H829,'Input Sheet'!$E$3:$E$1001,S$4)=0,"",SUMIFS('Input Sheet'!$F$3:$F$1001,'Input Sheet'!$B$3:$B$1001,$H829,'Input Sheet'!$E$3:$E$1001,S$4))</f>
        <v/>
      </c>
      <c r="T829" s="22">
        <v>824</v>
      </c>
    </row>
    <row r="830" spans="1:20" ht="14.25" customHeight="1" x14ac:dyDescent="0.3">
      <c r="A830" s="4" t="str">
        <f>IF('Input Sheet'!B827=0,"",'Input Sheet'!B827)</f>
        <v/>
      </c>
      <c r="B830" s="24" t="b">
        <f t="shared" si="788"/>
        <v>0</v>
      </c>
      <c r="C830" s="4">
        <f>SUMIF('Input Sheet'!B$3:B$1000,A830,'Input Sheet'!C$3:C$1000)</f>
        <v>0</v>
      </c>
      <c r="D830" s="4">
        <f>SUMIF('Input Sheet'!B$3:B$1000,A830,'Input Sheet'!D$3:D$1000)</f>
        <v>0</v>
      </c>
      <c r="E830" s="4" t="str">
        <f t="shared" ref="E830:F830" ca="1" si="854">IFERROR(RANK(K830,K$6:K$1004,1),"")</f>
        <v/>
      </c>
      <c r="F830" s="4" t="str">
        <f t="shared" ca="1" si="854"/>
        <v/>
      </c>
      <c r="G830" s="4" t="str">
        <f t="shared" ca="1" si="790"/>
        <v/>
      </c>
      <c r="H830" s="4" t="str">
        <f t="shared" si="791"/>
        <v/>
      </c>
      <c r="I830" s="4" t="str">
        <f t="shared" si="792"/>
        <v/>
      </c>
      <c r="J830" s="4" t="str">
        <f t="shared" si="793"/>
        <v/>
      </c>
      <c r="K830" s="25" t="str">
        <f t="shared" ca="1" si="794"/>
        <v/>
      </c>
      <c r="L830" s="21" t="str">
        <f t="shared" ca="1" si="795"/>
        <v/>
      </c>
      <c r="M830" s="21" t="str">
        <f>IF(SUMIFS('Input Sheet'!$F$3:$F$1001,'Input Sheet'!$B$3:$B$1001,$H830,'Input Sheet'!$E$3:$E$1001,M$4)=0,"",SUMIFS('Input Sheet'!$F$3:$F$1001,'Input Sheet'!$B$3:$B$1001,$H830,'Input Sheet'!$E$3:$E$1001,M$4))</f>
        <v/>
      </c>
      <c r="N830" s="21" t="str">
        <f>IF(SUMIFS('Input Sheet'!$F$3:$F$1001,'Input Sheet'!$B$3:$B$1001,$H830,'Input Sheet'!$E$3:$E$1001,N$4)=0,"",SUMIFS('Input Sheet'!$F$3:$F$1001,'Input Sheet'!$B$3:$B$1001,$H830,'Input Sheet'!$E$3:$E$1001,N$4))</f>
        <v/>
      </c>
      <c r="O830" s="21" t="str">
        <f>IF(SUMIFS('Input Sheet'!$F$3:$F$1001,'Input Sheet'!$B$3:$B$1001,$H830,'Input Sheet'!$E$3:$E$1001,O$4)=0,"",SUMIFS('Input Sheet'!$F$3:$F$1001,'Input Sheet'!$B$3:$B$1001,$H830,'Input Sheet'!$E$3:$E$1001,O$4))</f>
        <v/>
      </c>
      <c r="P830" s="21" t="str">
        <f>IF(SUMIFS('Input Sheet'!$F$3:$F$1001,'Input Sheet'!$B$3:$B$1001,$H830,'Input Sheet'!$E$3:$E$1001,P$4)=0,"",SUMIFS('Input Sheet'!$F$3:$F$1001,'Input Sheet'!$B$3:$B$1001,$H830,'Input Sheet'!$E$3:$E$1001,P$4))</f>
        <v/>
      </c>
      <c r="Q830" s="21" t="str">
        <f>IF(SUMIFS('Input Sheet'!$F$3:$F$1001,'Input Sheet'!$B$3:$B$1001,$H830,'Input Sheet'!$E$3:$E$1001,Q$4)=0,"",SUMIFS('Input Sheet'!$F$3:$F$1001,'Input Sheet'!$B$3:$B$1001,$H830,'Input Sheet'!$E$3:$E$1001,Q$4))</f>
        <v/>
      </c>
      <c r="R830" s="21" t="str">
        <f>IF(SUMIFS('Input Sheet'!$F$3:$F$1001,'Input Sheet'!$B$3:$B$1001,$H830,'Input Sheet'!$E$3:$E$1001,R$4)=0,"",SUMIFS('Input Sheet'!$F$3:$F$1001,'Input Sheet'!$B$3:$B$1001,$H830,'Input Sheet'!$E$3:$E$1001,R$4))</f>
        <v/>
      </c>
      <c r="S830" s="21" t="str">
        <f>IF(SUMIFS('Input Sheet'!$F$3:$F$1001,'Input Sheet'!$B$3:$B$1001,$H830,'Input Sheet'!$E$3:$E$1001,S$4)=0,"",SUMIFS('Input Sheet'!$F$3:$F$1001,'Input Sheet'!$B$3:$B$1001,$H830,'Input Sheet'!$E$3:$E$1001,S$4))</f>
        <v/>
      </c>
      <c r="T830" s="22">
        <v>825</v>
      </c>
    </row>
    <row r="831" spans="1:20" ht="14.25" customHeight="1" x14ac:dyDescent="0.3">
      <c r="A831" s="4" t="str">
        <f>IF('Input Sheet'!B828=0,"",'Input Sheet'!B828)</f>
        <v/>
      </c>
      <c r="B831" s="24" t="b">
        <f t="shared" si="788"/>
        <v>0</v>
      </c>
      <c r="C831" s="4">
        <f>SUMIF('Input Sheet'!B$3:B$1000,A831,'Input Sheet'!C$3:C$1000)</f>
        <v>0</v>
      </c>
      <c r="D831" s="4">
        <f>SUMIF('Input Sheet'!B$3:B$1000,A831,'Input Sheet'!D$3:D$1000)</f>
        <v>0</v>
      </c>
      <c r="E831" s="4" t="str">
        <f t="shared" ref="E831:F831" ca="1" si="855">IFERROR(RANK(K831,K$6:K$1004,1),"")</f>
        <v/>
      </c>
      <c r="F831" s="4" t="str">
        <f t="shared" ca="1" si="855"/>
        <v/>
      </c>
      <c r="G831" s="4" t="str">
        <f t="shared" ca="1" si="790"/>
        <v/>
      </c>
      <c r="H831" s="4" t="str">
        <f t="shared" si="791"/>
        <v/>
      </c>
      <c r="I831" s="4" t="str">
        <f t="shared" si="792"/>
        <v/>
      </c>
      <c r="J831" s="4" t="str">
        <f t="shared" si="793"/>
        <v/>
      </c>
      <c r="K831" s="25" t="str">
        <f t="shared" ca="1" si="794"/>
        <v/>
      </c>
      <c r="L831" s="21" t="str">
        <f t="shared" ca="1" si="795"/>
        <v/>
      </c>
      <c r="M831" s="21" t="str">
        <f>IF(SUMIFS('Input Sheet'!$F$3:$F$1001,'Input Sheet'!$B$3:$B$1001,$H831,'Input Sheet'!$E$3:$E$1001,M$4)=0,"",SUMIFS('Input Sheet'!$F$3:$F$1001,'Input Sheet'!$B$3:$B$1001,$H831,'Input Sheet'!$E$3:$E$1001,M$4))</f>
        <v/>
      </c>
      <c r="N831" s="21" t="str">
        <f>IF(SUMIFS('Input Sheet'!$F$3:$F$1001,'Input Sheet'!$B$3:$B$1001,$H831,'Input Sheet'!$E$3:$E$1001,N$4)=0,"",SUMIFS('Input Sheet'!$F$3:$F$1001,'Input Sheet'!$B$3:$B$1001,$H831,'Input Sheet'!$E$3:$E$1001,N$4))</f>
        <v/>
      </c>
      <c r="O831" s="21" t="str">
        <f>IF(SUMIFS('Input Sheet'!$F$3:$F$1001,'Input Sheet'!$B$3:$B$1001,$H831,'Input Sheet'!$E$3:$E$1001,O$4)=0,"",SUMIFS('Input Sheet'!$F$3:$F$1001,'Input Sheet'!$B$3:$B$1001,$H831,'Input Sheet'!$E$3:$E$1001,O$4))</f>
        <v/>
      </c>
      <c r="P831" s="21" t="str">
        <f>IF(SUMIFS('Input Sheet'!$F$3:$F$1001,'Input Sheet'!$B$3:$B$1001,$H831,'Input Sheet'!$E$3:$E$1001,P$4)=0,"",SUMIFS('Input Sheet'!$F$3:$F$1001,'Input Sheet'!$B$3:$B$1001,$H831,'Input Sheet'!$E$3:$E$1001,P$4))</f>
        <v/>
      </c>
      <c r="Q831" s="21" t="str">
        <f>IF(SUMIFS('Input Sheet'!$F$3:$F$1001,'Input Sheet'!$B$3:$B$1001,$H831,'Input Sheet'!$E$3:$E$1001,Q$4)=0,"",SUMIFS('Input Sheet'!$F$3:$F$1001,'Input Sheet'!$B$3:$B$1001,$H831,'Input Sheet'!$E$3:$E$1001,Q$4))</f>
        <v/>
      </c>
      <c r="R831" s="21" t="str">
        <f>IF(SUMIFS('Input Sheet'!$F$3:$F$1001,'Input Sheet'!$B$3:$B$1001,$H831,'Input Sheet'!$E$3:$E$1001,R$4)=0,"",SUMIFS('Input Sheet'!$F$3:$F$1001,'Input Sheet'!$B$3:$B$1001,$H831,'Input Sheet'!$E$3:$E$1001,R$4))</f>
        <v/>
      </c>
      <c r="S831" s="21" t="str">
        <f>IF(SUMIFS('Input Sheet'!$F$3:$F$1001,'Input Sheet'!$B$3:$B$1001,$H831,'Input Sheet'!$E$3:$E$1001,S$4)=0,"",SUMIFS('Input Sheet'!$F$3:$F$1001,'Input Sheet'!$B$3:$B$1001,$H831,'Input Sheet'!$E$3:$E$1001,S$4))</f>
        <v/>
      </c>
      <c r="T831" s="22">
        <v>826</v>
      </c>
    </row>
    <row r="832" spans="1:20" ht="14.25" customHeight="1" x14ac:dyDescent="0.3">
      <c r="A832" s="4" t="str">
        <f>IF('Input Sheet'!B829=0,"",'Input Sheet'!B829)</f>
        <v/>
      </c>
      <c r="B832" s="24" t="b">
        <f t="shared" si="788"/>
        <v>0</v>
      </c>
      <c r="C832" s="4">
        <f>SUMIF('Input Sheet'!B$3:B$1000,A832,'Input Sheet'!C$3:C$1000)</f>
        <v>0</v>
      </c>
      <c r="D832" s="4">
        <f>SUMIF('Input Sheet'!B$3:B$1000,A832,'Input Sheet'!D$3:D$1000)</f>
        <v>0</v>
      </c>
      <c r="E832" s="4" t="str">
        <f t="shared" ref="E832:F832" ca="1" si="856">IFERROR(RANK(K832,K$6:K$1004,1),"")</f>
        <v/>
      </c>
      <c r="F832" s="4" t="str">
        <f t="shared" ca="1" si="856"/>
        <v/>
      </c>
      <c r="G832" s="4" t="str">
        <f t="shared" ca="1" si="790"/>
        <v/>
      </c>
      <c r="H832" s="4" t="str">
        <f t="shared" si="791"/>
        <v/>
      </c>
      <c r="I832" s="4" t="str">
        <f t="shared" si="792"/>
        <v/>
      </c>
      <c r="J832" s="4" t="str">
        <f t="shared" si="793"/>
        <v/>
      </c>
      <c r="K832" s="25" t="str">
        <f t="shared" ca="1" si="794"/>
        <v/>
      </c>
      <c r="L832" s="21" t="str">
        <f t="shared" ca="1" si="795"/>
        <v/>
      </c>
      <c r="M832" s="21" t="str">
        <f>IF(SUMIFS('Input Sheet'!$F$3:$F$1001,'Input Sheet'!$B$3:$B$1001,$H832,'Input Sheet'!$E$3:$E$1001,M$4)=0,"",SUMIFS('Input Sheet'!$F$3:$F$1001,'Input Sheet'!$B$3:$B$1001,$H832,'Input Sheet'!$E$3:$E$1001,M$4))</f>
        <v/>
      </c>
      <c r="N832" s="21" t="str">
        <f>IF(SUMIFS('Input Sheet'!$F$3:$F$1001,'Input Sheet'!$B$3:$B$1001,$H832,'Input Sheet'!$E$3:$E$1001,N$4)=0,"",SUMIFS('Input Sheet'!$F$3:$F$1001,'Input Sheet'!$B$3:$B$1001,$H832,'Input Sheet'!$E$3:$E$1001,N$4))</f>
        <v/>
      </c>
      <c r="O832" s="21" t="str">
        <f>IF(SUMIFS('Input Sheet'!$F$3:$F$1001,'Input Sheet'!$B$3:$B$1001,$H832,'Input Sheet'!$E$3:$E$1001,O$4)=0,"",SUMIFS('Input Sheet'!$F$3:$F$1001,'Input Sheet'!$B$3:$B$1001,$H832,'Input Sheet'!$E$3:$E$1001,O$4))</f>
        <v/>
      </c>
      <c r="P832" s="21" t="str">
        <f>IF(SUMIFS('Input Sheet'!$F$3:$F$1001,'Input Sheet'!$B$3:$B$1001,$H832,'Input Sheet'!$E$3:$E$1001,P$4)=0,"",SUMIFS('Input Sheet'!$F$3:$F$1001,'Input Sheet'!$B$3:$B$1001,$H832,'Input Sheet'!$E$3:$E$1001,P$4))</f>
        <v/>
      </c>
      <c r="Q832" s="21" t="str">
        <f>IF(SUMIFS('Input Sheet'!$F$3:$F$1001,'Input Sheet'!$B$3:$B$1001,$H832,'Input Sheet'!$E$3:$E$1001,Q$4)=0,"",SUMIFS('Input Sheet'!$F$3:$F$1001,'Input Sheet'!$B$3:$B$1001,$H832,'Input Sheet'!$E$3:$E$1001,Q$4))</f>
        <v/>
      </c>
      <c r="R832" s="21" t="str">
        <f>IF(SUMIFS('Input Sheet'!$F$3:$F$1001,'Input Sheet'!$B$3:$B$1001,$H832,'Input Sheet'!$E$3:$E$1001,R$4)=0,"",SUMIFS('Input Sheet'!$F$3:$F$1001,'Input Sheet'!$B$3:$B$1001,$H832,'Input Sheet'!$E$3:$E$1001,R$4))</f>
        <v/>
      </c>
      <c r="S832" s="21" t="str">
        <f>IF(SUMIFS('Input Sheet'!$F$3:$F$1001,'Input Sheet'!$B$3:$B$1001,$H832,'Input Sheet'!$E$3:$E$1001,S$4)=0,"",SUMIFS('Input Sheet'!$F$3:$F$1001,'Input Sheet'!$B$3:$B$1001,$H832,'Input Sheet'!$E$3:$E$1001,S$4))</f>
        <v/>
      </c>
      <c r="T832" s="22">
        <v>827</v>
      </c>
    </row>
    <row r="833" spans="1:20" ht="14.25" customHeight="1" x14ac:dyDescent="0.3">
      <c r="A833" s="4" t="str">
        <f>IF('Input Sheet'!B830=0,"",'Input Sheet'!B830)</f>
        <v/>
      </c>
      <c r="B833" s="24" t="b">
        <f t="shared" si="788"/>
        <v>0</v>
      </c>
      <c r="C833" s="4">
        <f>SUMIF('Input Sheet'!B$3:B$1000,A833,'Input Sheet'!C$3:C$1000)</f>
        <v>0</v>
      </c>
      <c r="D833" s="4">
        <f>SUMIF('Input Sheet'!B$3:B$1000,A833,'Input Sheet'!D$3:D$1000)</f>
        <v>0</v>
      </c>
      <c r="E833" s="4" t="str">
        <f t="shared" ref="E833:F833" ca="1" si="857">IFERROR(RANK(K833,K$6:K$1004,1),"")</f>
        <v/>
      </c>
      <c r="F833" s="4" t="str">
        <f t="shared" ca="1" si="857"/>
        <v/>
      </c>
      <c r="G833" s="4" t="str">
        <f t="shared" ca="1" si="790"/>
        <v/>
      </c>
      <c r="H833" s="4" t="str">
        <f t="shared" si="791"/>
        <v/>
      </c>
      <c r="I833" s="4" t="str">
        <f t="shared" si="792"/>
        <v/>
      </c>
      <c r="J833" s="4" t="str">
        <f t="shared" si="793"/>
        <v/>
      </c>
      <c r="K833" s="25" t="str">
        <f t="shared" ca="1" si="794"/>
        <v/>
      </c>
      <c r="L833" s="21" t="str">
        <f t="shared" ca="1" si="795"/>
        <v/>
      </c>
      <c r="M833" s="21" t="str">
        <f>IF(SUMIFS('Input Sheet'!$F$3:$F$1001,'Input Sheet'!$B$3:$B$1001,$H833,'Input Sheet'!$E$3:$E$1001,M$4)=0,"",SUMIFS('Input Sheet'!$F$3:$F$1001,'Input Sheet'!$B$3:$B$1001,$H833,'Input Sheet'!$E$3:$E$1001,M$4))</f>
        <v/>
      </c>
      <c r="N833" s="21" t="str">
        <f>IF(SUMIFS('Input Sheet'!$F$3:$F$1001,'Input Sheet'!$B$3:$B$1001,$H833,'Input Sheet'!$E$3:$E$1001,N$4)=0,"",SUMIFS('Input Sheet'!$F$3:$F$1001,'Input Sheet'!$B$3:$B$1001,$H833,'Input Sheet'!$E$3:$E$1001,N$4))</f>
        <v/>
      </c>
      <c r="O833" s="21" t="str">
        <f>IF(SUMIFS('Input Sheet'!$F$3:$F$1001,'Input Sheet'!$B$3:$B$1001,$H833,'Input Sheet'!$E$3:$E$1001,O$4)=0,"",SUMIFS('Input Sheet'!$F$3:$F$1001,'Input Sheet'!$B$3:$B$1001,$H833,'Input Sheet'!$E$3:$E$1001,O$4))</f>
        <v/>
      </c>
      <c r="P833" s="21" t="str">
        <f>IF(SUMIFS('Input Sheet'!$F$3:$F$1001,'Input Sheet'!$B$3:$B$1001,$H833,'Input Sheet'!$E$3:$E$1001,P$4)=0,"",SUMIFS('Input Sheet'!$F$3:$F$1001,'Input Sheet'!$B$3:$B$1001,$H833,'Input Sheet'!$E$3:$E$1001,P$4))</f>
        <v/>
      </c>
      <c r="Q833" s="21" t="str">
        <f>IF(SUMIFS('Input Sheet'!$F$3:$F$1001,'Input Sheet'!$B$3:$B$1001,$H833,'Input Sheet'!$E$3:$E$1001,Q$4)=0,"",SUMIFS('Input Sheet'!$F$3:$F$1001,'Input Sheet'!$B$3:$B$1001,$H833,'Input Sheet'!$E$3:$E$1001,Q$4))</f>
        <v/>
      </c>
      <c r="R833" s="21" t="str">
        <f>IF(SUMIFS('Input Sheet'!$F$3:$F$1001,'Input Sheet'!$B$3:$B$1001,$H833,'Input Sheet'!$E$3:$E$1001,R$4)=0,"",SUMIFS('Input Sheet'!$F$3:$F$1001,'Input Sheet'!$B$3:$B$1001,$H833,'Input Sheet'!$E$3:$E$1001,R$4))</f>
        <v/>
      </c>
      <c r="S833" s="21" t="str">
        <f>IF(SUMIFS('Input Sheet'!$F$3:$F$1001,'Input Sheet'!$B$3:$B$1001,$H833,'Input Sheet'!$E$3:$E$1001,S$4)=0,"",SUMIFS('Input Sheet'!$F$3:$F$1001,'Input Sheet'!$B$3:$B$1001,$H833,'Input Sheet'!$E$3:$E$1001,S$4))</f>
        <v/>
      </c>
      <c r="T833" s="22">
        <v>828</v>
      </c>
    </row>
    <row r="834" spans="1:20" ht="14.25" customHeight="1" x14ac:dyDescent="0.3">
      <c r="A834" s="4" t="str">
        <f>IF('Input Sheet'!B831=0,"",'Input Sheet'!B831)</f>
        <v/>
      </c>
      <c r="B834" s="24" t="b">
        <f t="shared" si="788"/>
        <v>0</v>
      </c>
      <c r="C834" s="4">
        <f>SUMIF('Input Sheet'!B$3:B$1000,A834,'Input Sheet'!C$3:C$1000)</f>
        <v>0</v>
      </c>
      <c r="D834" s="4">
        <f>SUMIF('Input Sheet'!B$3:B$1000,A834,'Input Sheet'!D$3:D$1000)</f>
        <v>0</v>
      </c>
      <c r="E834" s="4" t="str">
        <f t="shared" ref="E834:F834" ca="1" si="858">IFERROR(RANK(K834,K$6:K$1004,1),"")</f>
        <v/>
      </c>
      <c r="F834" s="4" t="str">
        <f t="shared" ca="1" si="858"/>
        <v/>
      </c>
      <c r="G834" s="4" t="str">
        <f t="shared" ca="1" si="790"/>
        <v/>
      </c>
      <c r="H834" s="4" t="str">
        <f t="shared" si="791"/>
        <v/>
      </c>
      <c r="I834" s="4" t="str">
        <f t="shared" si="792"/>
        <v/>
      </c>
      <c r="J834" s="4" t="str">
        <f t="shared" si="793"/>
        <v/>
      </c>
      <c r="K834" s="25" t="str">
        <f t="shared" ca="1" si="794"/>
        <v/>
      </c>
      <c r="L834" s="21" t="str">
        <f t="shared" ca="1" si="795"/>
        <v/>
      </c>
      <c r="M834" s="21" t="str">
        <f>IF(SUMIFS('Input Sheet'!$F$3:$F$1001,'Input Sheet'!$B$3:$B$1001,$H834,'Input Sheet'!$E$3:$E$1001,M$4)=0,"",SUMIFS('Input Sheet'!$F$3:$F$1001,'Input Sheet'!$B$3:$B$1001,$H834,'Input Sheet'!$E$3:$E$1001,M$4))</f>
        <v/>
      </c>
      <c r="N834" s="21" t="str">
        <f>IF(SUMIFS('Input Sheet'!$F$3:$F$1001,'Input Sheet'!$B$3:$B$1001,$H834,'Input Sheet'!$E$3:$E$1001,N$4)=0,"",SUMIFS('Input Sheet'!$F$3:$F$1001,'Input Sheet'!$B$3:$B$1001,$H834,'Input Sheet'!$E$3:$E$1001,N$4))</f>
        <v/>
      </c>
      <c r="O834" s="21" t="str">
        <f>IF(SUMIFS('Input Sheet'!$F$3:$F$1001,'Input Sheet'!$B$3:$B$1001,$H834,'Input Sheet'!$E$3:$E$1001,O$4)=0,"",SUMIFS('Input Sheet'!$F$3:$F$1001,'Input Sheet'!$B$3:$B$1001,$H834,'Input Sheet'!$E$3:$E$1001,O$4))</f>
        <v/>
      </c>
      <c r="P834" s="21" t="str">
        <f>IF(SUMIFS('Input Sheet'!$F$3:$F$1001,'Input Sheet'!$B$3:$B$1001,$H834,'Input Sheet'!$E$3:$E$1001,P$4)=0,"",SUMIFS('Input Sheet'!$F$3:$F$1001,'Input Sheet'!$B$3:$B$1001,$H834,'Input Sheet'!$E$3:$E$1001,P$4))</f>
        <v/>
      </c>
      <c r="Q834" s="21" t="str">
        <f>IF(SUMIFS('Input Sheet'!$F$3:$F$1001,'Input Sheet'!$B$3:$B$1001,$H834,'Input Sheet'!$E$3:$E$1001,Q$4)=0,"",SUMIFS('Input Sheet'!$F$3:$F$1001,'Input Sheet'!$B$3:$B$1001,$H834,'Input Sheet'!$E$3:$E$1001,Q$4))</f>
        <v/>
      </c>
      <c r="R834" s="21" t="str">
        <f>IF(SUMIFS('Input Sheet'!$F$3:$F$1001,'Input Sheet'!$B$3:$B$1001,$H834,'Input Sheet'!$E$3:$E$1001,R$4)=0,"",SUMIFS('Input Sheet'!$F$3:$F$1001,'Input Sheet'!$B$3:$B$1001,$H834,'Input Sheet'!$E$3:$E$1001,R$4))</f>
        <v/>
      </c>
      <c r="S834" s="21" t="str">
        <f>IF(SUMIFS('Input Sheet'!$F$3:$F$1001,'Input Sheet'!$B$3:$B$1001,$H834,'Input Sheet'!$E$3:$E$1001,S$4)=0,"",SUMIFS('Input Sheet'!$F$3:$F$1001,'Input Sheet'!$B$3:$B$1001,$H834,'Input Sheet'!$E$3:$E$1001,S$4))</f>
        <v/>
      </c>
      <c r="T834" s="22">
        <v>829</v>
      </c>
    </row>
    <row r="835" spans="1:20" ht="14.25" customHeight="1" x14ac:dyDescent="0.3">
      <c r="A835" s="4" t="str">
        <f>IF('Input Sheet'!B832=0,"",'Input Sheet'!B832)</f>
        <v/>
      </c>
      <c r="B835" s="24" t="b">
        <f t="shared" si="788"/>
        <v>0</v>
      </c>
      <c r="C835" s="4">
        <f>SUMIF('Input Sheet'!B$3:B$1000,A835,'Input Sheet'!C$3:C$1000)</f>
        <v>0</v>
      </c>
      <c r="D835" s="4">
        <f>SUMIF('Input Sheet'!B$3:B$1000,A835,'Input Sheet'!D$3:D$1000)</f>
        <v>0</v>
      </c>
      <c r="E835" s="4" t="str">
        <f t="shared" ref="E835:F835" ca="1" si="859">IFERROR(RANK(K835,K$6:K$1004,1),"")</f>
        <v/>
      </c>
      <c r="F835" s="4" t="str">
        <f t="shared" ca="1" si="859"/>
        <v/>
      </c>
      <c r="G835" s="4" t="str">
        <f t="shared" ca="1" si="790"/>
        <v/>
      </c>
      <c r="H835" s="4" t="str">
        <f t="shared" si="791"/>
        <v/>
      </c>
      <c r="I835" s="4" t="str">
        <f t="shared" si="792"/>
        <v/>
      </c>
      <c r="J835" s="4" t="str">
        <f t="shared" si="793"/>
        <v/>
      </c>
      <c r="K835" s="25" t="str">
        <f t="shared" ca="1" si="794"/>
        <v/>
      </c>
      <c r="L835" s="21" t="str">
        <f t="shared" ca="1" si="795"/>
        <v/>
      </c>
      <c r="M835" s="21" t="str">
        <f>IF(SUMIFS('Input Sheet'!$F$3:$F$1001,'Input Sheet'!$B$3:$B$1001,$H835,'Input Sheet'!$E$3:$E$1001,M$4)=0,"",SUMIFS('Input Sheet'!$F$3:$F$1001,'Input Sheet'!$B$3:$B$1001,$H835,'Input Sheet'!$E$3:$E$1001,M$4))</f>
        <v/>
      </c>
      <c r="N835" s="21" t="str">
        <f>IF(SUMIFS('Input Sheet'!$F$3:$F$1001,'Input Sheet'!$B$3:$B$1001,$H835,'Input Sheet'!$E$3:$E$1001,N$4)=0,"",SUMIFS('Input Sheet'!$F$3:$F$1001,'Input Sheet'!$B$3:$B$1001,$H835,'Input Sheet'!$E$3:$E$1001,N$4))</f>
        <v/>
      </c>
      <c r="O835" s="21" t="str">
        <f>IF(SUMIFS('Input Sheet'!$F$3:$F$1001,'Input Sheet'!$B$3:$B$1001,$H835,'Input Sheet'!$E$3:$E$1001,O$4)=0,"",SUMIFS('Input Sheet'!$F$3:$F$1001,'Input Sheet'!$B$3:$B$1001,$H835,'Input Sheet'!$E$3:$E$1001,O$4))</f>
        <v/>
      </c>
      <c r="P835" s="21" t="str">
        <f>IF(SUMIFS('Input Sheet'!$F$3:$F$1001,'Input Sheet'!$B$3:$B$1001,$H835,'Input Sheet'!$E$3:$E$1001,P$4)=0,"",SUMIFS('Input Sheet'!$F$3:$F$1001,'Input Sheet'!$B$3:$B$1001,$H835,'Input Sheet'!$E$3:$E$1001,P$4))</f>
        <v/>
      </c>
      <c r="Q835" s="21" t="str">
        <f>IF(SUMIFS('Input Sheet'!$F$3:$F$1001,'Input Sheet'!$B$3:$B$1001,$H835,'Input Sheet'!$E$3:$E$1001,Q$4)=0,"",SUMIFS('Input Sheet'!$F$3:$F$1001,'Input Sheet'!$B$3:$B$1001,$H835,'Input Sheet'!$E$3:$E$1001,Q$4))</f>
        <v/>
      </c>
      <c r="R835" s="21" t="str">
        <f>IF(SUMIFS('Input Sheet'!$F$3:$F$1001,'Input Sheet'!$B$3:$B$1001,$H835,'Input Sheet'!$E$3:$E$1001,R$4)=0,"",SUMIFS('Input Sheet'!$F$3:$F$1001,'Input Sheet'!$B$3:$B$1001,$H835,'Input Sheet'!$E$3:$E$1001,R$4))</f>
        <v/>
      </c>
      <c r="S835" s="21" t="str">
        <f>IF(SUMIFS('Input Sheet'!$F$3:$F$1001,'Input Sheet'!$B$3:$B$1001,$H835,'Input Sheet'!$E$3:$E$1001,S$4)=0,"",SUMIFS('Input Sheet'!$F$3:$F$1001,'Input Sheet'!$B$3:$B$1001,$H835,'Input Sheet'!$E$3:$E$1001,S$4))</f>
        <v/>
      </c>
      <c r="T835" s="22">
        <v>830</v>
      </c>
    </row>
    <row r="836" spans="1:20" ht="14.25" customHeight="1" x14ac:dyDescent="0.3">
      <c r="A836" s="4" t="str">
        <f>IF('Input Sheet'!B833=0,"",'Input Sheet'!B833)</f>
        <v/>
      </c>
      <c r="B836" s="24" t="b">
        <f t="shared" si="788"/>
        <v>0</v>
      </c>
      <c r="C836" s="4">
        <f>SUMIF('Input Sheet'!B$3:B$1000,A836,'Input Sheet'!C$3:C$1000)</f>
        <v>0</v>
      </c>
      <c r="D836" s="4">
        <f>SUMIF('Input Sheet'!B$3:B$1000,A836,'Input Sheet'!D$3:D$1000)</f>
        <v>0</v>
      </c>
      <c r="E836" s="4" t="str">
        <f t="shared" ref="E836:F836" ca="1" si="860">IFERROR(RANK(K836,K$6:K$1004,1),"")</f>
        <v/>
      </c>
      <c r="F836" s="4" t="str">
        <f t="shared" ca="1" si="860"/>
        <v/>
      </c>
      <c r="G836" s="4" t="str">
        <f t="shared" ca="1" si="790"/>
        <v/>
      </c>
      <c r="H836" s="4" t="str">
        <f t="shared" si="791"/>
        <v/>
      </c>
      <c r="I836" s="4" t="str">
        <f t="shared" si="792"/>
        <v/>
      </c>
      <c r="J836" s="4" t="str">
        <f t="shared" si="793"/>
        <v/>
      </c>
      <c r="K836" s="25" t="str">
        <f t="shared" ca="1" si="794"/>
        <v/>
      </c>
      <c r="L836" s="21" t="str">
        <f t="shared" ca="1" si="795"/>
        <v/>
      </c>
      <c r="M836" s="21" t="str">
        <f>IF(SUMIFS('Input Sheet'!$F$3:$F$1001,'Input Sheet'!$B$3:$B$1001,$H836,'Input Sheet'!$E$3:$E$1001,M$4)=0,"",SUMIFS('Input Sheet'!$F$3:$F$1001,'Input Sheet'!$B$3:$B$1001,$H836,'Input Sheet'!$E$3:$E$1001,M$4))</f>
        <v/>
      </c>
      <c r="N836" s="21" t="str">
        <f>IF(SUMIFS('Input Sheet'!$F$3:$F$1001,'Input Sheet'!$B$3:$B$1001,$H836,'Input Sheet'!$E$3:$E$1001,N$4)=0,"",SUMIFS('Input Sheet'!$F$3:$F$1001,'Input Sheet'!$B$3:$B$1001,$H836,'Input Sheet'!$E$3:$E$1001,N$4))</f>
        <v/>
      </c>
      <c r="O836" s="21" t="str">
        <f>IF(SUMIFS('Input Sheet'!$F$3:$F$1001,'Input Sheet'!$B$3:$B$1001,$H836,'Input Sheet'!$E$3:$E$1001,O$4)=0,"",SUMIFS('Input Sheet'!$F$3:$F$1001,'Input Sheet'!$B$3:$B$1001,$H836,'Input Sheet'!$E$3:$E$1001,O$4))</f>
        <v/>
      </c>
      <c r="P836" s="21" t="str">
        <f>IF(SUMIFS('Input Sheet'!$F$3:$F$1001,'Input Sheet'!$B$3:$B$1001,$H836,'Input Sheet'!$E$3:$E$1001,P$4)=0,"",SUMIFS('Input Sheet'!$F$3:$F$1001,'Input Sheet'!$B$3:$B$1001,$H836,'Input Sheet'!$E$3:$E$1001,P$4))</f>
        <v/>
      </c>
      <c r="Q836" s="21" t="str">
        <f>IF(SUMIFS('Input Sheet'!$F$3:$F$1001,'Input Sheet'!$B$3:$B$1001,$H836,'Input Sheet'!$E$3:$E$1001,Q$4)=0,"",SUMIFS('Input Sheet'!$F$3:$F$1001,'Input Sheet'!$B$3:$B$1001,$H836,'Input Sheet'!$E$3:$E$1001,Q$4))</f>
        <v/>
      </c>
      <c r="R836" s="21" t="str">
        <f>IF(SUMIFS('Input Sheet'!$F$3:$F$1001,'Input Sheet'!$B$3:$B$1001,$H836,'Input Sheet'!$E$3:$E$1001,R$4)=0,"",SUMIFS('Input Sheet'!$F$3:$F$1001,'Input Sheet'!$B$3:$B$1001,$H836,'Input Sheet'!$E$3:$E$1001,R$4))</f>
        <v/>
      </c>
      <c r="S836" s="21" t="str">
        <f>IF(SUMIFS('Input Sheet'!$F$3:$F$1001,'Input Sheet'!$B$3:$B$1001,$H836,'Input Sheet'!$E$3:$E$1001,S$4)=0,"",SUMIFS('Input Sheet'!$F$3:$F$1001,'Input Sheet'!$B$3:$B$1001,$H836,'Input Sheet'!$E$3:$E$1001,S$4))</f>
        <v/>
      </c>
      <c r="T836" s="22">
        <v>831</v>
      </c>
    </row>
    <row r="837" spans="1:20" ht="14.25" customHeight="1" x14ac:dyDescent="0.3">
      <c r="A837" s="4" t="str">
        <f>IF('Input Sheet'!B834=0,"",'Input Sheet'!B834)</f>
        <v/>
      </c>
      <c r="B837" s="24" t="b">
        <f t="shared" si="788"/>
        <v>0</v>
      </c>
      <c r="C837" s="4">
        <f>SUMIF('Input Sheet'!B$3:B$1000,A837,'Input Sheet'!C$3:C$1000)</f>
        <v>0</v>
      </c>
      <c r="D837" s="4">
        <f>SUMIF('Input Sheet'!B$3:B$1000,A837,'Input Sheet'!D$3:D$1000)</f>
        <v>0</v>
      </c>
      <c r="E837" s="4" t="str">
        <f t="shared" ref="E837:F837" ca="1" si="861">IFERROR(RANK(K837,K$6:K$1004,1),"")</f>
        <v/>
      </c>
      <c r="F837" s="4" t="str">
        <f t="shared" ca="1" si="861"/>
        <v/>
      </c>
      <c r="G837" s="4" t="str">
        <f t="shared" ca="1" si="790"/>
        <v/>
      </c>
      <c r="H837" s="4" t="str">
        <f t="shared" si="791"/>
        <v/>
      </c>
      <c r="I837" s="4" t="str">
        <f t="shared" si="792"/>
        <v/>
      </c>
      <c r="J837" s="4" t="str">
        <f t="shared" si="793"/>
        <v/>
      </c>
      <c r="K837" s="25" t="str">
        <f t="shared" ca="1" si="794"/>
        <v/>
      </c>
      <c r="L837" s="21" t="str">
        <f t="shared" ca="1" si="795"/>
        <v/>
      </c>
      <c r="M837" s="21" t="str">
        <f>IF(SUMIFS('Input Sheet'!$F$3:$F$1001,'Input Sheet'!$B$3:$B$1001,$H837,'Input Sheet'!$E$3:$E$1001,M$4)=0,"",SUMIFS('Input Sheet'!$F$3:$F$1001,'Input Sheet'!$B$3:$B$1001,$H837,'Input Sheet'!$E$3:$E$1001,M$4))</f>
        <v/>
      </c>
      <c r="N837" s="21" t="str">
        <f>IF(SUMIFS('Input Sheet'!$F$3:$F$1001,'Input Sheet'!$B$3:$B$1001,$H837,'Input Sheet'!$E$3:$E$1001,N$4)=0,"",SUMIFS('Input Sheet'!$F$3:$F$1001,'Input Sheet'!$B$3:$B$1001,$H837,'Input Sheet'!$E$3:$E$1001,N$4))</f>
        <v/>
      </c>
      <c r="O837" s="21" t="str">
        <f>IF(SUMIFS('Input Sheet'!$F$3:$F$1001,'Input Sheet'!$B$3:$B$1001,$H837,'Input Sheet'!$E$3:$E$1001,O$4)=0,"",SUMIFS('Input Sheet'!$F$3:$F$1001,'Input Sheet'!$B$3:$B$1001,$H837,'Input Sheet'!$E$3:$E$1001,O$4))</f>
        <v/>
      </c>
      <c r="P837" s="21" t="str">
        <f>IF(SUMIFS('Input Sheet'!$F$3:$F$1001,'Input Sheet'!$B$3:$B$1001,$H837,'Input Sheet'!$E$3:$E$1001,P$4)=0,"",SUMIFS('Input Sheet'!$F$3:$F$1001,'Input Sheet'!$B$3:$B$1001,$H837,'Input Sheet'!$E$3:$E$1001,P$4))</f>
        <v/>
      </c>
      <c r="Q837" s="21" t="str">
        <f>IF(SUMIFS('Input Sheet'!$F$3:$F$1001,'Input Sheet'!$B$3:$B$1001,$H837,'Input Sheet'!$E$3:$E$1001,Q$4)=0,"",SUMIFS('Input Sheet'!$F$3:$F$1001,'Input Sheet'!$B$3:$B$1001,$H837,'Input Sheet'!$E$3:$E$1001,Q$4))</f>
        <v/>
      </c>
      <c r="R837" s="21" t="str">
        <f>IF(SUMIFS('Input Sheet'!$F$3:$F$1001,'Input Sheet'!$B$3:$B$1001,$H837,'Input Sheet'!$E$3:$E$1001,R$4)=0,"",SUMIFS('Input Sheet'!$F$3:$F$1001,'Input Sheet'!$B$3:$B$1001,$H837,'Input Sheet'!$E$3:$E$1001,R$4))</f>
        <v/>
      </c>
      <c r="S837" s="21" t="str">
        <f>IF(SUMIFS('Input Sheet'!$F$3:$F$1001,'Input Sheet'!$B$3:$B$1001,$H837,'Input Sheet'!$E$3:$E$1001,S$4)=0,"",SUMIFS('Input Sheet'!$F$3:$F$1001,'Input Sheet'!$B$3:$B$1001,$H837,'Input Sheet'!$E$3:$E$1001,S$4))</f>
        <v/>
      </c>
      <c r="T837" s="22">
        <v>832</v>
      </c>
    </row>
    <row r="838" spans="1:20" ht="14.25" customHeight="1" x14ac:dyDescent="0.3">
      <c r="A838" s="4" t="str">
        <f>IF('Input Sheet'!B835=0,"",'Input Sheet'!B835)</f>
        <v/>
      </c>
      <c r="B838" s="24" t="b">
        <f t="shared" si="788"/>
        <v>0</v>
      </c>
      <c r="C838" s="4">
        <f>SUMIF('Input Sheet'!B$3:B$1000,A838,'Input Sheet'!C$3:C$1000)</f>
        <v>0</v>
      </c>
      <c r="D838" s="4">
        <f>SUMIF('Input Sheet'!B$3:B$1000,A838,'Input Sheet'!D$3:D$1000)</f>
        <v>0</v>
      </c>
      <c r="E838" s="4" t="str">
        <f t="shared" ref="E838:F838" ca="1" si="862">IFERROR(RANK(K838,K$6:K$1004,1),"")</f>
        <v/>
      </c>
      <c r="F838" s="4" t="str">
        <f t="shared" ca="1" si="862"/>
        <v/>
      </c>
      <c r="G838" s="4" t="str">
        <f t="shared" ca="1" si="790"/>
        <v/>
      </c>
      <c r="H838" s="4" t="str">
        <f t="shared" si="791"/>
        <v/>
      </c>
      <c r="I838" s="4" t="str">
        <f t="shared" si="792"/>
        <v/>
      </c>
      <c r="J838" s="4" t="str">
        <f t="shared" si="793"/>
        <v/>
      </c>
      <c r="K838" s="25" t="str">
        <f t="shared" ca="1" si="794"/>
        <v/>
      </c>
      <c r="L838" s="21" t="str">
        <f t="shared" ca="1" si="795"/>
        <v/>
      </c>
      <c r="M838" s="21" t="str">
        <f>IF(SUMIFS('Input Sheet'!$F$3:$F$1001,'Input Sheet'!$B$3:$B$1001,$H838,'Input Sheet'!$E$3:$E$1001,M$4)=0,"",SUMIFS('Input Sheet'!$F$3:$F$1001,'Input Sheet'!$B$3:$B$1001,$H838,'Input Sheet'!$E$3:$E$1001,M$4))</f>
        <v/>
      </c>
      <c r="N838" s="21" t="str">
        <f>IF(SUMIFS('Input Sheet'!$F$3:$F$1001,'Input Sheet'!$B$3:$B$1001,$H838,'Input Sheet'!$E$3:$E$1001,N$4)=0,"",SUMIFS('Input Sheet'!$F$3:$F$1001,'Input Sheet'!$B$3:$B$1001,$H838,'Input Sheet'!$E$3:$E$1001,N$4))</f>
        <v/>
      </c>
      <c r="O838" s="21" t="str">
        <f>IF(SUMIFS('Input Sheet'!$F$3:$F$1001,'Input Sheet'!$B$3:$B$1001,$H838,'Input Sheet'!$E$3:$E$1001,O$4)=0,"",SUMIFS('Input Sheet'!$F$3:$F$1001,'Input Sheet'!$B$3:$B$1001,$H838,'Input Sheet'!$E$3:$E$1001,O$4))</f>
        <v/>
      </c>
      <c r="P838" s="21" t="str">
        <f>IF(SUMIFS('Input Sheet'!$F$3:$F$1001,'Input Sheet'!$B$3:$B$1001,$H838,'Input Sheet'!$E$3:$E$1001,P$4)=0,"",SUMIFS('Input Sheet'!$F$3:$F$1001,'Input Sheet'!$B$3:$B$1001,$H838,'Input Sheet'!$E$3:$E$1001,P$4))</f>
        <v/>
      </c>
      <c r="Q838" s="21" t="str">
        <f>IF(SUMIFS('Input Sheet'!$F$3:$F$1001,'Input Sheet'!$B$3:$B$1001,$H838,'Input Sheet'!$E$3:$E$1001,Q$4)=0,"",SUMIFS('Input Sheet'!$F$3:$F$1001,'Input Sheet'!$B$3:$B$1001,$H838,'Input Sheet'!$E$3:$E$1001,Q$4))</f>
        <v/>
      </c>
      <c r="R838" s="21" t="str">
        <f>IF(SUMIFS('Input Sheet'!$F$3:$F$1001,'Input Sheet'!$B$3:$B$1001,$H838,'Input Sheet'!$E$3:$E$1001,R$4)=0,"",SUMIFS('Input Sheet'!$F$3:$F$1001,'Input Sheet'!$B$3:$B$1001,$H838,'Input Sheet'!$E$3:$E$1001,R$4))</f>
        <v/>
      </c>
      <c r="S838" s="21" t="str">
        <f>IF(SUMIFS('Input Sheet'!$F$3:$F$1001,'Input Sheet'!$B$3:$B$1001,$H838,'Input Sheet'!$E$3:$E$1001,S$4)=0,"",SUMIFS('Input Sheet'!$F$3:$F$1001,'Input Sheet'!$B$3:$B$1001,$H838,'Input Sheet'!$E$3:$E$1001,S$4))</f>
        <v/>
      </c>
      <c r="T838" s="22">
        <v>833</v>
      </c>
    </row>
    <row r="839" spans="1:20" ht="14.25" customHeight="1" x14ac:dyDescent="0.3">
      <c r="A839" s="4" t="str">
        <f>IF('Input Sheet'!B836=0,"",'Input Sheet'!B836)</f>
        <v/>
      </c>
      <c r="B839" s="24" t="b">
        <f t="shared" si="788"/>
        <v>0</v>
      </c>
      <c r="C839" s="4">
        <f>SUMIF('Input Sheet'!B$3:B$1000,A839,'Input Sheet'!C$3:C$1000)</f>
        <v>0</v>
      </c>
      <c r="D839" s="4">
        <f>SUMIF('Input Sheet'!B$3:B$1000,A839,'Input Sheet'!D$3:D$1000)</f>
        <v>0</v>
      </c>
      <c r="E839" s="4" t="str">
        <f t="shared" ref="E839:F839" ca="1" si="863">IFERROR(RANK(K839,K$6:K$1004,1),"")</f>
        <v/>
      </c>
      <c r="F839" s="4" t="str">
        <f t="shared" ca="1" si="863"/>
        <v/>
      </c>
      <c r="G839" s="4" t="str">
        <f t="shared" ca="1" si="790"/>
        <v/>
      </c>
      <c r="H839" s="4" t="str">
        <f t="shared" si="791"/>
        <v/>
      </c>
      <c r="I839" s="4" t="str">
        <f t="shared" si="792"/>
        <v/>
      </c>
      <c r="J839" s="4" t="str">
        <f t="shared" si="793"/>
        <v/>
      </c>
      <c r="K839" s="25" t="str">
        <f t="shared" ca="1" si="794"/>
        <v/>
      </c>
      <c r="L839" s="21" t="str">
        <f t="shared" ca="1" si="795"/>
        <v/>
      </c>
      <c r="M839" s="21" t="str">
        <f>IF(SUMIFS('Input Sheet'!$F$3:$F$1001,'Input Sheet'!$B$3:$B$1001,$H839,'Input Sheet'!$E$3:$E$1001,M$4)=0,"",SUMIFS('Input Sheet'!$F$3:$F$1001,'Input Sheet'!$B$3:$B$1001,$H839,'Input Sheet'!$E$3:$E$1001,M$4))</f>
        <v/>
      </c>
      <c r="N839" s="21" t="str">
        <f>IF(SUMIFS('Input Sheet'!$F$3:$F$1001,'Input Sheet'!$B$3:$B$1001,$H839,'Input Sheet'!$E$3:$E$1001,N$4)=0,"",SUMIFS('Input Sheet'!$F$3:$F$1001,'Input Sheet'!$B$3:$B$1001,$H839,'Input Sheet'!$E$3:$E$1001,N$4))</f>
        <v/>
      </c>
      <c r="O839" s="21" t="str">
        <f>IF(SUMIFS('Input Sheet'!$F$3:$F$1001,'Input Sheet'!$B$3:$B$1001,$H839,'Input Sheet'!$E$3:$E$1001,O$4)=0,"",SUMIFS('Input Sheet'!$F$3:$F$1001,'Input Sheet'!$B$3:$B$1001,$H839,'Input Sheet'!$E$3:$E$1001,O$4))</f>
        <v/>
      </c>
      <c r="P839" s="21" t="str">
        <f>IF(SUMIFS('Input Sheet'!$F$3:$F$1001,'Input Sheet'!$B$3:$B$1001,$H839,'Input Sheet'!$E$3:$E$1001,P$4)=0,"",SUMIFS('Input Sheet'!$F$3:$F$1001,'Input Sheet'!$B$3:$B$1001,$H839,'Input Sheet'!$E$3:$E$1001,P$4))</f>
        <v/>
      </c>
      <c r="Q839" s="21" t="str">
        <f>IF(SUMIFS('Input Sheet'!$F$3:$F$1001,'Input Sheet'!$B$3:$B$1001,$H839,'Input Sheet'!$E$3:$E$1001,Q$4)=0,"",SUMIFS('Input Sheet'!$F$3:$F$1001,'Input Sheet'!$B$3:$B$1001,$H839,'Input Sheet'!$E$3:$E$1001,Q$4))</f>
        <v/>
      </c>
      <c r="R839" s="21" t="str">
        <f>IF(SUMIFS('Input Sheet'!$F$3:$F$1001,'Input Sheet'!$B$3:$B$1001,$H839,'Input Sheet'!$E$3:$E$1001,R$4)=0,"",SUMIFS('Input Sheet'!$F$3:$F$1001,'Input Sheet'!$B$3:$B$1001,$H839,'Input Sheet'!$E$3:$E$1001,R$4))</f>
        <v/>
      </c>
      <c r="S839" s="21" t="str">
        <f>IF(SUMIFS('Input Sheet'!$F$3:$F$1001,'Input Sheet'!$B$3:$B$1001,$H839,'Input Sheet'!$E$3:$E$1001,S$4)=0,"",SUMIFS('Input Sheet'!$F$3:$F$1001,'Input Sheet'!$B$3:$B$1001,$H839,'Input Sheet'!$E$3:$E$1001,S$4))</f>
        <v/>
      </c>
      <c r="T839" s="22">
        <v>834</v>
      </c>
    </row>
    <row r="840" spans="1:20" ht="14.25" customHeight="1" x14ac:dyDescent="0.3">
      <c r="A840" s="4" t="str">
        <f>IF('Input Sheet'!B837=0,"",'Input Sheet'!B837)</f>
        <v/>
      </c>
      <c r="B840" s="24" t="b">
        <f t="shared" si="788"/>
        <v>0</v>
      </c>
      <c r="C840" s="4">
        <f>SUMIF('Input Sheet'!B$3:B$1000,A840,'Input Sheet'!C$3:C$1000)</f>
        <v>0</v>
      </c>
      <c r="D840" s="4">
        <f>SUMIF('Input Sheet'!B$3:B$1000,A840,'Input Sheet'!D$3:D$1000)</f>
        <v>0</v>
      </c>
      <c r="E840" s="4" t="str">
        <f t="shared" ref="E840:F840" ca="1" si="864">IFERROR(RANK(K840,K$6:K$1004,1),"")</f>
        <v/>
      </c>
      <c r="F840" s="4" t="str">
        <f t="shared" ca="1" si="864"/>
        <v/>
      </c>
      <c r="G840" s="4" t="str">
        <f t="shared" ca="1" si="790"/>
        <v/>
      </c>
      <c r="H840" s="4" t="str">
        <f t="shared" si="791"/>
        <v/>
      </c>
      <c r="I840" s="4" t="str">
        <f t="shared" si="792"/>
        <v/>
      </c>
      <c r="J840" s="4" t="str">
        <f t="shared" si="793"/>
        <v/>
      </c>
      <c r="K840" s="25" t="str">
        <f t="shared" ca="1" si="794"/>
        <v/>
      </c>
      <c r="L840" s="21" t="str">
        <f t="shared" ca="1" si="795"/>
        <v/>
      </c>
      <c r="M840" s="21" t="str">
        <f>IF(SUMIFS('Input Sheet'!$F$3:$F$1001,'Input Sheet'!$B$3:$B$1001,$H840,'Input Sheet'!$E$3:$E$1001,M$4)=0,"",SUMIFS('Input Sheet'!$F$3:$F$1001,'Input Sheet'!$B$3:$B$1001,$H840,'Input Sheet'!$E$3:$E$1001,M$4))</f>
        <v/>
      </c>
      <c r="N840" s="21" t="str">
        <f>IF(SUMIFS('Input Sheet'!$F$3:$F$1001,'Input Sheet'!$B$3:$B$1001,$H840,'Input Sheet'!$E$3:$E$1001,N$4)=0,"",SUMIFS('Input Sheet'!$F$3:$F$1001,'Input Sheet'!$B$3:$B$1001,$H840,'Input Sheet'!$E$3:$E$1001,N$4))</f>
        <v/>
      </c>
      <c r="O840" s="21" t="str">
        <f>IF(SUMIFS('Input Sheet'!$F$3:$F$1001,'Input Sheet'!$B$3:$B$1001,$H840,'Input Sheet'!$E$3:$E$1001,O$4)=0,"",SUMIFS('Input Sheet'!$F$3:$F$1001,'Input Sheet'!$B$3:$B$1001,$H840,'Input Sheet'!$E$3:$E$1001,O$4))</f>
        <v/>
      </c>
      <c r="P840" s="21" t="str">
        <f>IF(SUMIFS('Input Sheet'!$F$3:$F$1001,'Input Sheet'!$B$3:$B$1001,$H840,'Input Sheet'!$E$3:$E$1001,P$4)=0,"",SUMIFS('Input Sheet'!$F$3:$F$1001,'Input Sheet'!$B$3:$B$1001,$H840,'Input Sheet'!$E$3:$E$1001,P$4))</f>
        <v/>
      </c>
      <c r="Q840" s="21" t="str">
        <f>IF(SUMIFS('Input Sheet'!$F$3:$F$1001,'Input Sheet'!$B$3:$B$1001,$H840,'Input Sheet'!$E$3:$E$1001,Q$4)=0,"",SUMIFS('Input Sheet'!$F$3:$F$1001,'Input Sheet'!$B$3:$B$1001,$H840,'Input Sheet'!$E$3:$E$1001,Q$4))</f>
        <v/>
      </c>
      <c r="R840" s="21" t="str">
        <f>IF(SUMIFS('Input Sheet'!$F$3:$F$1001,'Input Sheet'!$B$3:$B$1001,$H840,'Input Sheet'!$E$3:$E$1001,R$4)=0,"",SUMIFS('Input Sheet'!$F$3:$F$1001,'Input Sheet'!$B$3:$B$1001,$H840,'Input Sheet'!$E$3:$E$1001,R$4))</f>
        <v/>
      </c>
      <c r="S840" s="21" t="str">
        <f>IF(SUMIFS('Input Sheet'!$F$3:$F$1001,'Input Sheet'!$B$3:$B$1001,$H840,'Input Sheet'!$E$3:$E$1001,S$4)=0,"",SUMIFS('Input Sheet'!$F$3:$F$1001,'Input Sheet'!$B$3:$B$1001,$H840,'Input Sheet'!$E$3:$E$1001,S$4))</f>
        <v/>
      </c>
      <c r="T840" s="22">
        <v>835</v>
      </c>
    </row>
    <row r="841" spans="1:20" ht="14.25" customHeight="1" x14ac:dyDescent="0.3">
      <c r="A841" s="4" t="str">
        <f>IF('Input Sheet'!B838=0,"",'Input Sheet'!B838)</f>
        <v/>
      </c>
      <c r="B841" s="24" t="b">
        <f t="shared" si="788"/>
        <v>0</v>
      </c>
      <c r="C841" s="4">
        <f>SUMIF('Input Sheet'!B$3:B$1000,A841,'Input Sheet'!C$3:C$1000)</f>
        <v>0</v>
      </c>
      <c r="D841" s="4">
        <f>SUMIF('Input Sheet'!B$3:B$1000,A841,'Input Sheet'!D$3:D$1000)</f>
        <v>0</v>
      </c>
      <c r="E841" s="4" t="str">
        <f t="shared" ref="E841:F841" ca="1" si="865">IFERROR(RANK(K841,K$6:K$1004,1),"")</f>
        <v/>
      </c>
      <c r="F841" s="4" t="str">
        <f t="shared" ca="1" si="865"/>
        <v/>
      </c>
      <c r="G841" s="4" t="str">
        <f t="shared" ca="1" si="790"/>
        <v/>
      </c>
      <c r="H841" s="4" t="str">
        <f t="shared" si="791"/>
        <v/>
      </c>
      <c r="I841" s="4" t="str">
        <f t="shared" si="792"/>
        <v/>
      </c>
      <c r="J841" s="4" t="str">
        <f t="shared" si="793"/>
        <v/>
      </c>
      <c r="K841" s="25" t="str">
        <f t="shared" ca="1" si="794"/>
        <v/>
      </c>
      <c r="L841" s="21" t="str">
        <f t="shared" ca="1" si="795"/>
        <v/>
      </c>
      <c r="M841" s="21" t="str">
        <f>IF(SUMIFS('Input Sheet'!$F$3:$F$1001,'Input Sheet'!$B$3:$B$1001,$H841,'Input Sheet'!$E$3:$E$1001,M$4)=0,"",SUMIFS('Input Sheet'!$F$3:$F$1001,'Input Sheet'!$B$3:$B$1001,$H841,'Input Sheet'!$E$3:$E$1001,M$4))</f>
        <v/>
      </c>
      <c r="N841" s="21" t="str">
        <f>IF(SUMIFS('Input Sheet'!$F$3:$F$1001,'Input Sheet'!$B$3:$B$1001,$H841,'Input Sheet'!$E$3:$E$1001,N$4)=0,"",SUMIFS('Input Sheet'!$F$3:$F$1001,'Input Sheet'!$B$3:$B$1001,$H841,'Input Sheet'!$E$3:$E$1001,N$4))</f>
        <v/>
      </c>
      <c r="O841" s="21" t="str">
        <f>IF(SUMIFS('Input Sheet'!$F$3:$F$1001,'Input Sheet'!$B$3:$B$1001,$H841,'Input Sheet'!$E$3:$E$1001,O$4)=0,"",SUMIFS('Input Sheet'!$F$3:$F$1001,'Input Sheet'!$B$3:$B$1001,$H841,'Input Sheet'!$E$3:$E$1001,O$4))</f>
        <v/>
      </c>
      <c r="P841" s="21" t="str">
        <f>IF(SUMIFS('Input Sheet'!$F$3:$F$1001,'Input Sheet'!$B$3:$B$1001,$H841,'Input Sheet'!$E$3:$E$1001,P$4)=0,"",SUMIFS('Input Sheet'!$F$3:$F$1001,'Input Sheet'!$B$3:$B$1001,$H841,'Input Sheet'!$E$3:$E$1001,P$4))</f>
        <v/>
      </c>
      <c r="Q841" s="21" t="str">
        <f>IF(SUMIFS('Input Sheet'!$F$3:$F$1001,'Input Sheet'!$B$3:$B$1001,$H841,'Input Sheet'!$E$3:$E$1001,Q$4)=0,"",SUMIFS('Input Sheet'!$F$3:$F$1001,'Input Sheet'!$B$3:$B$1001,$H841,'Input Sheet'!$E$3:$E$1001,Q$4))</f>
        <v/>
      </c>
      <c r="R841" s="21" t="str">
        <f>IF(SUMIFS('Input Sheet'!$F$3:$F$1001,'Input Sheet'!$B$3:$B$1001,$H841,'Input Sheet'!$E$3:$E$1001,R$4)=0,"",SUMIFS('Input Sheet'!$F$3:$F$1001,'Input Sheet'!$B$3:$B$1001,$H841,'Input Sheet'!$E$3:$E$1001,R$4))</f>
        <v/>
      </c>
      <c r="S841" s="21" t="str">
        <f>IF(SUMIFS('Input Sheet'!$F$3:$F$1001,'Input Sheet'!$B$3:$B$1001,$H841,'Input Sheet'!$E$3:$E$1001,S$4)=0,"",SUMIFS('Input Sheet'!$F$3:$F$1001,'Input Sheet'!$B$3:$B$1001,$H841,'Input Sheet'!$E$3:$E$1001,S$4))</f>
        <v/>
      </c>
      <c r="T841" s="22">
        <v>836</v>
      </c>
    </row>
    <row r="842" spans="1:20" ht="14.25" customHeight="1" x14ac:dyDescent="0.3">
      <c r="A842" s="4" t="str">
        <f>IF('Input Sheet'!B839=0,"",'Input Sheet'!B839)</f>
        <v/>
      </c>
      <c r="B842" s="24" t="b">
        <f t="shared" si="788"/>
        <v>0</v>
      </c>
      <c r="C842" s="4">
        <f>SUMIF('Input Sheet'!B$3:B$1000,A842,'Input Sheet'!C$3:C$1000)</f>
        <v>0</v>
      </c>
      <c r="D842" s="4">
        <f>SUMIF('Input Sheet'!B$3:B$1000,A842,'Input Sheet'!D$3:D$1000)</f>
        <v>0</v>
      </c>
      <c r="E842" s="4" t="str">
        <f t="shared" ref="E842:F842" ca="1" si="866">IFERROR(RANK(K842,K$6:K$1004,1),"")</f>
        <v/>
      </c>
      <c r="F842" s="4" t="str">
        <f t="shared" ca="1" si="866"/>
        <v/>
      </c>
      <c r="G842" s="4" t="str">
        <f t="shared" ca="1" si="790"/>
        <v/>
      </c>
      <c r="H842" s="4" t="str">
        <f t="shared" si="791"/>
        <v/>
      </c>
      <c r="I842" s="4" t="str">
        <f t="shared" si="792"/>
        <v/>
      </c>
      <c r="J842" s="4" t="str">
        <f t="shared" si="793"/>
        <v/>
      </c>
      <c r="K842" s="25" t="str">
        <f t="shared" ca="1" si="794"/>
        <v/>
      </c>
      <c r="L842" s="21" t="str">
        <f t="shared" ca="1" si="795"/>
        <v/>
      </c>
      <c r="M842" s="21" t="str">
        <f>IF(SUMIFS('Input Sheet'!$F$3:$F$1001,'Input Sheet'!$B$3:$B$1001,$H842,'Input Sheet'!$E$3:$E$1001,M$4)=0,"",SUMIFS('Input Sheet'!$F$3:$F$1001,'Input Sheet'!$B$3:$B$1001,$H842,'Input Sheet'!$E$3:$E$1001,M$4))</f>
        <v/>
      </c>
      <c r="N842" s="21" t="str">
        <f>IF(SUMIFS('Input Sheet'!$F$3:$F$1001,'Input Sheet'!$B$3:$B$1001,$H842,'Input Sheet'!$E$3:$E$1001,N$4)=0,"",SUMIFS('Input Sheet'!$F$3:$F$1001,'Input Sheet'!$B$3:$B$1001,$H842,'Input Sheet'!$E$3:$E$1001,N$4))</f>
        <v/>
      </c>
      <c r="O842" s="21" t="str">
        <f>IF(SUMIFS('Input Sheet'!$F$3:$F$1001,'Input Sheet'!$B$3:$B$1001,$H842,'Input Sheet'!$E$3:$E$1001,O$4)=0,"",SUMIFS('Input Sheet'!$F$3:$F$1001,'Input Sheet'!$B$3:$B$1001,$H842,'Input Sheet'!$E$3:$E$1001,O$4))</f>
        <v/>
      </c>
      <c r="P842" s="21" t="str">
        <f>IF(SUMIFS('Input Sheet'!$F$3:$F$1001,'Input Sheet'!$B$3:$B$1001,$H842,'Input Sheet'!$E$3:$E$1001,P$4)=0,"",SUMIFS('Input Sheet'!$F$3:$F$1001,'Input Sheet'!$B$3:$B$1001,$H842,'Input Sheet'!$E$3:$E$1001,P$4))</f>
        <v/>
      </c>
      <c r="Q842" s="21" t="str">
        <f>IF(SUMIFS('Input Sheet'!$F$3:$F$1001,'Input Sheet'!$B$3:$B$1001,$H842,'Input Sheet'!$E$3:$E$1001,Q$4)=0,"",SUMIFS('Input Sheet'!$F$3:$F$1001,'Input Sheet'!$B$3:$B$1001,$H842,'Input Sheet'!$E$3:$E$1001,Q$4))</f>
        <v/>
      </c>
      <c r="R842" s="21" t="str">
        <f>IF(SUMIFS('Input Sheet'!$F$3:$F$1001,'Input Sheet'!$B$3:$B$1001,$H842,'Input Sheet'!$E$3:$E$1001,R$4)=0,"",SUMIFS('Input Sheet'!$F$3:$F$1001,'Input Sheet'!$B$3:$B$1001,$H842,'Input Sheet'!$E$3:$E$1001,R$4))</f>
        <v/>
      </c>
      <c r="S842" s="21" t="str">
        <f>IF(SUMIFS('Input Sheet'!$F$3:$F$1001,'Input Sheet'!$B$3:$B$1001,$H842,'Input Sheet'!$E$3:$E$1001,S$4)=0,"",SUMIFS('Input Sheet'!$F$3:$F$1001,'Input Sheet'!$B$3:$B$1001,$H842,'Input Sheet'!$E$3:$E$1001,S$4))</f>
        <v/>
      </c>
      <c r="T842" s="22">
        <v>837</v>
      </c>
    </row>
    <row r="843" spans="1:20" ht="14.25" customHeight="1" x14ac:dyDescent="0.3">
      <c r="A843" s="4" t="str">
        <f>IF('Input Sheet'!B840=0,"",'Input Sheet'!B840)</f>
        <v/>
      </c>
      <c r="B843" s="24" t="b">
        <f t="shared" si="788"/>
        <v>0</v>
      </c>
      <c r="C843" s="4">
        <f>SUMIF('Input Sheet'!B$3:B$1000,A843,'Input Sheet'!C$3:C$1000)</f>
        <v>0</v>
      </c>
      <c r="D843" s="4">
        <f>SUMIF('Input Sheet'!B$3:B$1000,A843,'Input Sheet'!D$3:D$1000)</f>
        <v>0</v>
      </c>
      <c r="E843" s="4" t="str">
        <f t="shared" ref="E843:F843" ca="1" si="867">IFERROR(RANK(K843,K$6:K$1004,1),"")</f>
        <v/>
      </c>
      <c r="F843" s="4" t="str">
        <f t="shared" ca="1" si="867"/>
        <v/>
      </c>
      <c r="G843" s="4" t="str">
        <f t="shared" ca="1" si="790"/>
        <v/>
      </c>
      <c r="H843" s="4" t="str">
        <f t="shared" si="791"/>
        <v/>
      </c>
      <c r="I843" s="4" t="str">
        <f t="shared" si="792"/>
        <v/>
      </c>
      <c r="J843" s="4" t="str">
        <f t="shared" si="793"/>
        <v/>
      </c>
      <c r="K843" s="25" t="str">
        <f t="shared" ca="1" si="794"/>
        <v/>
      </c>
      <c r="L843" s="21" t="str">
        <f t="shared" ca="1" si="795"/>
        <v/>
      </c>
      <c r="M843" s="21" t="str">
        <f>IF(SUMIFS('Input Sheet'!$F$3:$F$1001,'Input Sheet'!$B$3:$B$1001,$H843,'Input Sheet'!$E$3:$E$1001,M$4)=0,"",SUMIFS('Input Sheet'!$F$3:$F$1001,'Input Sheet'!$B$3:$B$1001,$H843,'Input Sheet'!$E$3:$E$1001,M$4))</f>
        <v/>
      </c>
      <c r="N843" s="21" t="str">
        <f>IF(SUMIFS('Input Sheet'!$F$3:$F$1001,'Input Sheet'!$B$3:$B$1001,$H843,'Input Sheet'!$E$3:$E$1001,N$4)=0,"",SUMIFS('Input Sheet'!$F$3:$F$1001,'Input Sheet'!$B$3:$B$1001,$H843,'Input Sheet'!$E$3:$E$1001,N$4))</f>
        <v/>
      </c>
      <c r="O843" s="21" t="str">
        <f>IF(SUMIFS('Input Sheet'!$F$3:$F$1001,'Input Sheet'!$B$3:$B$1001,$H843,'Input Sheet'!$E$3:$E$1001,O$4)=0,"",SUMIFS('Input Sheet'!$F$3:$F$1001,'Input Sheet'!$B$3:$B$1001,$H843,'Input Sheet'!$E$3:$E$1001,O$4))</f>
        <v/>
      </c>
      <c r="P843" s="21" t="str">
        <f>IF(SUMIFS('Input Sheet'!$F$3:$F$1001,'Input Sheet'!$B$3:$B$1001,$H843,'Input Sheet'!$E$3:$E$1001,P$4)=0,"",SUMIFS('Input Sheet'!$F$3:$F$1001,'Input Sheet'!$B$3:$B$1001,$H843,'Input Sheet'!$E$3:$E$1001,P$4))</f>
        <v/>
      </c>
      <c r="Q843" s="21" t="str">
        <f>IF(SUMIFS('Input Sheet'!$F$3:$F$1001,'Input Sheet'!$B$3:$B$1001,$H843,'Input Sheet'!$E$3:$E$1001,Q$4)=0,"",SUMIFS('Input Sheet'!$F$3:$F$1001,'Input Sheet'!$B$3:$B$1001,$H843,'Input Sheet'!$E$3:$E$1001,Q$4))</f>
        <v/>
      </c>
      <c r="R843" s="21" t="str">
        <f>IF(SUMIFS('Input Sheet'!$F$3:$F$1001,'Input Sheet'!$B$3:$B$1001,$H843,'Input Sheet'!$E$3:$E$1001,R$4)=0,"",SUMIFS('Input Sheet'!$F$3:$F$1001,'Input Sheet'!$B$3:$B$1001,$H843,'Input Sheet'!$E$3:$E$1001,R$4))</f>
        <v/>
      </c>
      <c r="S843" s="21" t="str">
        <f>IF(SUMIFS('Input Sheet'!$F$3:$F$1001,'Input Sheet'!$B$3:$B$1001,$H843,'Input Sheet'!$E$3:$E$1001,S$4)=0,"",SUMIFS('Input Sheet'!$F$3:$F$1001,'Input Sheet'!$B$3:$B$1001,$H843,'Input Sheet'!$E$3:$E$1001,S$4))</f>
        <v/>
      </c>
      <c r="T843" s="22">
        <v>838</v>
      </c>
    </row>
    <row r="844" spans="1:20" ht="14.25" customHeight="1" x14ac:dyDescent="0.3">
      <c r="A844" s="4" t="str">
        <f>IF('Input Sheet'!B841=0,"",'Input Sheet'!B841)</f>
        <v/>
      </c>
      <c r="B844" s="24" t="b">
        <f t="shared" si="788"/>
        <v>0</v>
      </c>
      <c r="C844" s="4">
        <f>SUMIF('Input Sheet'!B$3:B$1000,A844,'Input Sheet'!C$3:C$1000)</f>
        <v>0</v>
      </c>
      <c r="D844" s="4">
        <f>SUMIF('Input Sheet'!B$3:B$1000,A844,'Input Sheet'!D$3:D$1000)</f>
        <v>0</v>
      </c>
      <c r="E844" s="4" t="str">
        <f t="shared" ref="E844:F844" ca="1" si="868">IFERROR(RANK(K844,K$6:K$1004,1),"")</f>
        <v/>
      </c>
      <c r="F844" s="4" t="str">
        <f t="shared" ca="1" si="868"/>
        <v/>
      </c>
      <c r="G844" s="4" t="str">
        <f t="shared" ca="1" si="790"/>
        <v/>
      </c>
      <c r="H844" s="4" t="str">
        <f t="shared" si="791"/>
        <v/>
      </c>
      <c r="I844" s="4" t="str">
        <f t="shared" si="792"/>
        <v/>
      </c>
      <c r="J844" s="4" t="str">
        <f t="shared" si="793"/>
        <v/>
      </c>
      <c r="K844" s="25" t="str">
        <f t="shared" ca="1" si="794"/>
        <v/>
      </c>
      <c r="L844" s="21" t="str">
        <f t="shared" ca="1" si="795"/>
        <v/>
      </c>
      <c r="M844" s="21" t="str">
        <f>IF(SUMIFS('Input Sheet'!$F$3:$F$1001,'Input Sheet'!$B$3:$B$1001,$H844,'Input Sheet'!$E$3:$E$1001,M$4)=0,"",SUMIFS('Input Sheet'!$F$3:$F$1001,'Input Sheet'!$B$3:$B$1001,$H844,'Input Sheet'!$E$3:$E$1001,M$4))</f>
        <v/>
      </c>
      <c r="N844" s="21" t="str">
        <f>IF(SUMIFS('Input Sheet'!$F$3:$F$1001,'Input Sheet'!$B$3:$B$1001,$H844,'Input Sheet'!$E$3:$E$1001,N$4)=0,"",SUMIFS('Input Sheet'!$F$3:$F$1001,'Input Sheet'!$B$3:$B$1001,$H844,'Input Sheet'!$E$3:$E$1001,N$4))</f>
        <v/>
      </c>
      <c r="O844" s="21" t="str">
        <f>IF(SUMIFS('Input Sheet'!$F$3:$F$1001,'Input Sheet'!$B$3:$B$1001,$H844,'Input Sheet'!$E$3:$E$1001,O$4)=0,"",SUMIFS('Input Sheet'!$F$3:$F$1001,'Input Sheet'!$B$3:$B$1001,$H844,'Input Sheet'!$E$3:$E$1001,O$4))</f>
        <v/>
      </c>
      <c r="P844" s="21" t="str">
        <f>IF(SUMIFS('Input Sheet'!$F$3:$F$1001,'Input Sheet'!$B$3:$B$1001,$H844,'Input Sheet'!$E$3:$E$1001,P$4)=0,"",SUMIFS('Input Sheet'!$F$3:$F$1001,'Input Sheet'!$B$3:$B$1001,$H844,'Input Sheet'!$E$3:$E$1001,P$4))</f>
        <v/>
      </c>
      <c r="Q844" s="21" t="str">
        <f>IF(SUMIFS('Input Sheet'!$F$3:$F$1001,'Input Sheet'!$B$3:$B$1001,$H844,'Input Sheet'!$E$3:$E$1001,Q$4)=0,"",SUMIFS('Input Sheet'!$F$3:$F$1001,'Input Sheet'!$B$3:$B$1001,$H844,'Input Sheet'!$E$3:$E$1001,Q$4))</f>
        <v/>
      </c>
      <c r="R844" s="21" t="str">
        <f>IF(SUMIFS('Input Sheet'!$F$3:$F$1001,'Input Sheet'!$B$3:$B$1001,$H844,'Input Sheet'!$E$3:$E$1001,R$4)=0,"",SUMIFS('Input Sheet'!$F$3:$F$1001,'Input Sheet'!$B$3:$B$1001,$H844,'Input Sheet'!$E$3:$E$1001,R$4))</f>
        <v/>
      </c>
      <c r="S844" s="21" t="str">
        <f>IF(SUMIFS('Input Sheet'!$F$3:$F$1001,'Input Sheet'!$B$3:$B$1001,$H844,'Input Sheet'!$E$3:$E$1001,S$4)=0,"",SUMIFS('Input Sheet'!$F$3:$F$1001,'Input Sheet'!$B$3:$B$1001,$H844,'Input Sheet'!$E$3:$E$1001,S$4))</f>
        <v/>
      </c>
      <c r="T844" s="22">
        <v>839</v>
      </c>
    </row>
    <row r="845" spans="1:20" ht="14.25" customHeight="1" x14ac:dyDescent="0.3">
      <c r="A845" s="4" t="str">
        <f>IF('Input Sheet'!B842=0,"",'Input Sheet'!B842)</f>
        <v/>
      </c>
      <c r="B845" s="24" t="b">
        <f t="shared" si="788"/>
        <v>0</v>
      </c>
      <c r="C845" s="4">
        <f>SUMIF('Input Sheet'!B$3:B$1000,A845,'Input Sheet'!C$3:C$1000)</f>
        <v>0</v>
      </c>
      <c r="D845" s="4">
        <f>SUMIF('Input Sheet'!B$3:B$1000,A845,'Input Sheet'!D$3:D$1000)</f>
        <v>0</v>
      </c>
      <c r="E845" s="4" t="str">
        <f t="shared" ref="E845:F845" ca="1" si="869">IFERROR(RANK(K845,K$6:K$1004,1),"")</f>
        <v/>
      </c>
      <c r="F845" s="4" t="str">
        <f t="shared" ca="1" si="869"/>
        <v/>
      </c>
      <c r="G845" s="4" t="str">
        <f t="shared" ca="1" si="790"/>
        <v/>
      </c>
      <c r="H845" s="4" t="str">
        <f t="shared" si="791"/>
        <v/>
      </c>
      <c r="I845" s="4" t="str">
        <f t="shared" si="792"/>
        <v/>
      </c>
      <c r="J845" s="4" t="str">
        <f t="shared" si="793"/>
        <v/>
      </c>
      <c r="K845" s="25" t="str">
        <f t="shared" ca="1" si="794"/>
        <v/>
      </c>
      <c r="L845" s="21" t="str">
        <f t="shared" ca="1" si="795"/>
        <v/>
      </c>
      <c r="M845" s="21" t="str">
        <f>IF(SUMIFS('Input Sheet'!$F$3:$F$1001,'Input Sheet'!$B$3:$B$1001,$H845,'Input Sheet'!$E$3:$E$1001,M$4)=0,"",SUMIFS('Input Sheet'!$F$3:$F$1001,'Input Sheet'!$B$3:$B$1001,$H845,'Input Sheet'!$E$3:$E$1001,M$4))</f>
        <v/>
      </c>
      <c r="N845" s="21" t="str">
        <f>IF(SUMIFS('Input Sheet'!$F$3:$F$1001,'Input Sheet'!$B$3:$B$1001,$H845,'Input Sheet'!$E$3:$E$1001,N$4)=0,"",SUMIFS('Input Sheet'!$F$3:$F$1001,'Input Sheet'!$B$3:$B$1001,$H845,'Input Sheet'!$E$3:$E$1001,N$4))</f>
        <v/>
      </c>
      <c r="O845" s="21" t="str">
        <f>IF(SUMIFS('Input Sheet'!$F$3:$F$1001,'Input Sheet'!$B$3:$B$1001,$H845,'Input Sheet'!$E$3:$E$1001,O$4)=0,"",SUMIFS('Input Sheet'!$F$3:$F$1001,'Input Sheet'!$B$3:$B$1001,$H845,'Input Sheet'!$E$3:$E$1001,O$4))</f>
        <v/>
      </c>
      <c r="P845" s="21" t="str">
        <f>IF(SUMIFS('Input Sheet'!$F$3:$F$1001,'Input Sheet'!$B$3:$B$1001,$H845,'Input Sheet'!$E$3:$E$1001,P$4)=0,"",SUMIFS('Input Sheet'!$F$3:$F$1001,'Input Sheet'!$B$3:$B$1001,$H845,'Input Sheet'!$E$3:$E$1001,P$4))</f>
        <v/>
      </c>
      <c r="Q845" s="21" t="str">
        <f>IF(SUMIFS('Input Sheet'!$F$3:$F$1001,'Input Sheet'!$B$3:$B$1001,$H845,'Input Sheet'!$E$3:$E$1001,Q$4)=0,"",SUMIFS('Input Sheet'!$F$3:$F$1001,'Input Sheet'!$B$3:$B$1001,$H845,'Input Sheet'!$E$3:$E$1001,Q$4))</f>
        <v/>
      </c>
      <c r="R845" s="21" t="str">
        <f>IF(SUMIFS('Input Sheet'!$F$3:$F$1001,'Input Sheet'!$B$3:$B$1001,$H845,'Input Sheet'!$E$3:$E$1001,R$4)=0,"",SUMIFS('Input Sheet'!$F$3:$F$1001,'Input Sheet'!$B$3:$B$1001,$H845,'Input Sheet'!$E$3:$E$1001,R$4))</f>
        <v/>
      </c>
      <c r="S845" s="21" t="str">
        <f>IF(SUMIFS('Input Sheet'!$F$3:$F$1001,'Input Sheet'!$B$3:$B$1001,$H845,'Input Sheet'!$E$3:$E$1001,S$4)=0,"",SUMIFS('Input Sheet'!$F$3:$F$1001,'Input Sheet'!$B$3:$B$1001,$H845,'Input Sheet'!$E$3:$E$1001,S$4))</f>
        <v/>
      </c>
      <c r="T845" s="22">
        <v>840</v>
      </c>
    </row>
    <row r="846" spans="1:20" ht="14.25" customHeight="1" x14ac:dyDescent="0.3">
      <c r="A846" s="4" t="str">
        <f>IF('Input Sheet'!B843=0,"",'Input Sheet'!B843)</f>
        <v/>
      </c>
      <c r="B846" s="24" t="b">
        <f t="shared" si="788"/>
        <v>0</v>
      </c>
      <c r="C846" s="4">
        <f>SUMIF('Input Sheet'!B$3:B$1000,A846,'Input Sheet'!C$3:C$1000)</f>
        <v>0</v>
      </c>
      <c r="D846" s="4">
        <f>SUMIF('Input Sheet'!B$3:B$1000,A846,'Input Sheet'!D$3:D$1000)</f>
        <v>0</v>
      </c>
      <c r="E846" s="4" t="str">
        <f t="shared" ref="E846:F846" ca="1" si="870">IFERROR(RANK(K846,K$6:K$1004,1),"")</f>
        <v/>
      </c>
      <c r="F846" s="4" t="str">
        <f t="shared" ca="1" si="870"/>
        <v/>
      </c>
      <c r="G846" s="4" t="str">
        <f t="shared" ca="1" si="790"/>
        <v/>
      </c>
      <c r="H846" s="4" t="str">
        <f t="shared" si="791"/>
        <v/>
      </c>
      <c r="I846" s="4" t="str">
        <f t="shared" si="792"/>
        <v/>
      </c>
      <c r="J846" s="4" t="str">
        <f t="shared" si="793"/>
        <v/>
      </c>
      <c r="K846" s="25" t="str">
        <f t="shared" ca="1" si="794"/>
        <v/>
      </c>
      <c r="L846" s="21" t="str">
        <f t="shared" ca="1" si="795"/>
        <v/>
      </c>
      <c r="M846" s="21" t="str">
        <f>IF(SUMIFS('Input Sheet'!$F$3:$F$1001,'Input Sheet'!$B$3:$B$1001,$H846,'Input Sheet'!$E$3:$E$1001,M$4)=0,"",SUMIFS('Input Sheet'!$F$3:$F$1001,'Input Sheet'!$B$3:$B$1001,$H846,'Input Sheet'!$E$3:$E$1001,M$4))</f>
        <v/>
      </c>
      <c r="N846" s="21" t="str">
        <f>IF(SUMIFS('Input Sheet'!$F$3:$F$1001,'Input Sheet'!$B$3:$B$1001,$H846,'Input Sheet'!$E$3:$E$1001,N$4)=0,"",SUMIFS('Input Sheet'!$F$3:$F$1001,'Input Sheet'!$B$3:$B$1001,$H846,'Input Sheet'!$E$3:$E$1001,N$4))</f>
        <v/>
      </c>
      <c r="O846" s="21" t="str">
        <f>IF(SUMIFS('Input Sheet'!$F$3:$F$1001,'Input Sheet'!$B$3:$B$1001,$H846,'Input Sheet'!$E$3:$E$1001,O$4)=0,"",SUMIFS('Input Sheet'!$F$3:$F$1001,'Input Sheet'!$B$3:$B$1001,$H846,'Input Sheet'!$E$3:$E$1001,O$4))</f>
        <v/>
      </c>
      <c r="P846" s="21" t="str">
        <f>IF(SUMIFS('Input Sheet'!$F$3:$F$1001,'Input Sheet'!$B$3:$B$1001,$H846,'Input Sheet'!$E$3:$E$1001,P$4)=0,"",SUMIFS('Input Sheet'!$F$3:$F$1001,'Input Sheet'!$B$3:$B$1001,$H846,'Input Sheet'!$E$3:$E$1001,P$4))</f>
        <v/>
      </c>
      <c r="Q846" s="21" t="str">
        <f>IF(SUMIFS('Input Sheet'!$F$3:$F$1001,'Input Sheet'!$B$3:$B$1001,$H846,'Input Sheet'!$E$3:$E$1001,Q$4)=0,"",SUMIFS('Input Sheet'!$F$3:$F$1001,'Input Sheet'!$B$3:$B$1001,$H846,'Input Sheet'!$E$3:$E$1001,Q$4))</f>
        <v/>
      </c>
      <c r="R846" s="21" t="str">
        <f>IF(SUMIFS('Input Sheet'!$F$3:$F$1001,'Input Sheet'!$B$3:$B$1001,$H846,'Input Sheet'!$E$3:$E$1001,R$4)=0,"",SUMIFS('Input Sheet'!$F$3:$F$1001,'Input Sheet'!$B$3:$B$1001,$H846,'Input Sheet'!$E$3:$E$1001,R$4))</f>
        <v/>
      </c>
      <c r="S846" s="21" t="str">
        <f>IF(SUMIFS('Input Sheet'!$F$3:$F$1001,'Input Sheet'!$B$3:$B$1001,$H846,'Input Sheet'!$E$3:$E$1001,S$4)=0,"",SUMIFS('Input Sheet'!$F$3:$F$1001,'Input Sheet'!$B$3:$B$1001,$H846,'Input Sheet'!$E$3:$E$1001,S$4))</f>
        <v/>
      </c>
      <c r="T846" s="22">
        <v>841</v>
      </c>
    </row>
    <row r="847" spans="1:20" ht="14.25" customHeight="1" x14ac:dyDescent="0.3">
      <c r="A847" s="4" t="str">
        <f>IF('Input Sheet'!B844=0,"",'Input Sheet'!B844)</f>
        <v/>
      </c>
      <c r="B847" s="24" t="b">
        <f t="shared" si="788"/>
        <v>0</v>
      </c>
      <c r="C847" s="4">
        <f>SUMIF('Input Sheet'!B$3:B$1000,A847,'Input Sheet'!C$3:C$1000)</f>
        <v>0</v>
      </c>
      <c r="D847" s="4">
        <f>SUMIF('Input Sheet'!B$3:B$1000,A847,'Input Sheet'!D$3:D$1000)</f>
        <v>0</v>
      </c>
      <c r="E847" s="4" t="str">
        <f t="shared" ref="E847:F847" ca="1" si="871">IFERROR(RANK(K847,K$6:K$1004,1),"")</f>
        <v/>
      </c>
      <c r="F847" s="4" t="str">
        <f t="shared" ca="1" si="871"/>
        <v/>
      </c>
      <c r="G847" s="4" t="str">
        <f t="shared" ca="1" si="790"/>
        <v/>
      </c>
      <c r="H847" s="4" t="str">
        <f t="shared" si="791"/>
        <v/>
      </c>
      <c r="I847" s="4" t="str">
        <f t="shared" si="792"/>
        <v/>
      </c>
      <c r="J847" s="4" t="str">
        <f t="shared" si="793"/>
        <v/>
      </c>
      <c r="K847" s="25" t="str">
        <f t="shared" ca="1" si="794"/>
        <v/>
      </c>
      <c r="L847" s="21" t="str">
        <f t="shared" ca="1" si="795"/>
        <v/>
      </c>
      <c r="M847" s="21" t="str">
        <f>IF(SUMIFS('Input Sheet'!$F$3:$F$1001,'Input Sheet'!$B$3:$B$1001,$H847,'Input Sheet'!$E$3:$E$1001,M$4)=0,"",SUMIFS('Input Sheet'!$F$3:$F$1001,'Input Sheet'!$B$3:$B$1001,$H847,'Input Sheet'!$E$3:$E$1001,M$4))</f>
        <v/>
      </c>
      <c r="N847" s="21" t="str">
        <f>IF(SUMIFS('Input Sheet'!$F$3:$F$1001,'Input Sheet'!$B$3:$B$1001,$H847,'Input Sheet'!$E$3:$E$1001,N$4)=0,"",SUMIFS('Input Sheet'!$F$3:$F$1001,'Input Sheet'!$B$3:$B$1001,$H847,'Input Sheet'!$E$3:$E$1001,N$4))</f>
        <v/>
      </c>
      <c r="O847" s="21" t="str">
        <f>IF(SUMIFS('Input Sheet'!$F$3:$F$1001,'Input Sheet'!$B$3:$B$1001,$H847,'Input Sheet'!$E$3:$E$1001,O$4)=0,"",SUMIFS('Input Sheet'!$F$3:$F$1001,'Input Sheet'!$B$3:$B$1001,$H847,'Input Sheet'!$E$3:$E$1001,O$4))</f>
        <v/>
      </c>
      <c r="P847" s="21" t="str">
        <f>IF(SUMIFS('Input Sheet'!$F$3:$F$1001,'Input Sheet'!$B$3:$B$1001,$H847,'Input Sheet'!$E$3:$E$1001,P$4)=0,"",SUMIFS('Input Sheet'!$F$3:$F$1001,'Input Sheet'!$B$3:$B$1001,$H847,'Input Sheet'!$E$3:$E$1001,P$4))</f>
        <v/>
      </c>
      <c r="Q847" s="21" t="str">
        <f>IF(SUMIFS('Input Sheet'!$F$3:$F$1001,'Input Sheet'!$B$3:$B$1001,$H847,'Input Sheet'!$E$3:$E$1001,Q$4)=0,"",SUMIFS('Input Sheet'!$F$3:$F$1001,'Input Sheet'!$B$3:$B$1001,$H847,'Input Sheet'!$E$3:$E$1001,Q$4))</f>
        <v/>
      </c>
      <c r="R847" s="21" t="str">
        <f>IF(SUMIFS('Input Sheet'!$F$3:$F$1001,'Input Sheet'!$B$3:$B$1001,$H847,'Input Sheet'!$E$3:$E$1001,R$4)=0,"",SUMIFS('Input Sheet'!$F$3:$F$1001,'Input Sheet'!$B$3:$B$1001,$H847,'Input Sheet'!$E$3:$E$1001,R$4))</f>
        <v/>
      </c>
      <c r="S847" s="21" t="str">
        <f>IF(SUMIFS('Input Sheet'!$F$3:$F$1001,'Input Sheet'!$B$3:$B$1001,$H847,'Input Sheet'!$E$3:$E$1001,S$4)=0,"",SUMIFS('Input Sheet'!$F$3:$F$1001,'Input Sheet'!$B$3:$B$1001,$H847,'Input Sheet'!$E$3:$E$1001,S$4))</f>
        <v/>
      </c>
      <c r="T847" s="22">
        <v>842</v>
      </c>
    </row>
    <row r="848" spans="1:20" ht="14.25" customHeight="1" x14ac:dyDescent="0.3">
      <c r="A848" s="4" t="str">
        <f>IF('Input Sheet'!B845=0,"",'Input Sheet'!B845)</f>
        <v/>
      </c>
      <c r="B848" s="24" t="b">
        <f t="shared" si="788"/>
        <v>0</v>
      </c>
      <c r="C848" s="4">
        <f>SUMIF('Input Sheet'!B$3:B$1000,A848,'Input Sheet'!C$3:C$1000)</f>
        <v>0</v>
      </c>
      <c r="D848" s="4">
        <f>SUMIF('Input Sheet'!B$3:B$1000,A848,'Input Sheet'!D$3:D$1000)</f>
        <v>0</v>
      </c>
      <c r="E848" s="4" t="str">
        <f t="shared" ref="E848:F848" ca="1" si="872">IFERROR(RANK(K848,K$6:K$1004,1),"")</f>
        <v/>
      </c>
      <c r="F848" s="4" t="str">
        <f t="shared" ca="1" si="872"/>
        <v/>
      </c>
      <c r="G848" s="4" t="str">
        <f t="shared" ca="1" si="790"/>
        <v/>
      </c>
      <c r="H848" s="4" t="str">
        <f t="shared" si="791"/>
        <v/>
      </c>
      <c r="I848" s="4" t="str">
        <f t="shared" si="792"/>
        <v/>
      </c>
      <c r="J848" s="4" t="str">
        <f t="shared" si="793"/>
        <v/>
      </c>
      <c r="K848" s="25" t="str">
        <f t="shared" ca="1" si="794"/>
        <v/>
      </c>
      <c r="L848" s="21" t="str">
        <f t="shared" ca="1" si="795"/>
        <v/>
      </c>
      <c r="M848" s="21" t="str">
        <f>IF(SUMIFS('Input Sheet'!$F$3:$F$1001,'Input Sheet'!$B$3:$B$1001,$H848,'Input Sheet'!$E$3:$E$1001,M$4)=0,"",SUMIFS('Input Sheet'!$F$3:$F$1001,'Input Sheet'!$B$3:$B$1001,$H848,'Input Sheet'!$E$3:$E$1001,M$4))</f>
        <v/>
      </c>
      <c r="N848" s="21" t="str">
        <f>IF(SUMIFS('Input Sheet'!$F$3:$F$1001,'Input Sheet'!$B$3:$B$1001,$H848,'Input Sheet'!$E$3:$E$1001,N$4)=0,"",SUMIFS('Input Sheet'!$F$3:$F$1001,'Input Sheet'!$B$3:$B$1001,$H848,'Input Sheet'!$E$3:$E$1001,N$4))</f>
        <v/>
      </c>
      <c r="O848" s="21" t="str">
        <f>IF(SUMIFS('Input Sheet'!$F$3:$F$1001,'Input Sheet'!$B$3:$B$1001,$H848,'Input Sheet'!$E$3:$E$1001,O$4)=0,"",SUMIFS('Input Sheet'!$F$3:$F$1001,'Input Sheet'!$B$3:$B$1001,$H848,'Input Sheet'!$E$3:$E$1001,O$4))</f>
        <v/>
      </c>
      <c r="P848" s="21" t="str">
        <f>IF(SUMIFS('Input Sheet'!$F$3:$F$1001,'Input Sheet'!$B$3:$B$1001,$H848,'Input Sheet'!$E$3:$E$1001,P$4)=0,"",SUMIFS('Input Sheet'!$F$3:$F$1001,'Input Sheet'!$B$3:$B$1001,$H848,'Input Sheet'!$E$3:$E$1001,P$4))</f>
        <v/>
      </c>
      <c r="Q848" s="21" t="str">
        <f>IF(SUMIFS('Input Sheet'!$F$3:$F$1001,'Input Sheet'!$B$3:$B$1001,$H848,'Input Sheet'!$E$3:$E$1001,Q$4)=0,"",SUMIFS('Input Sheet'!$F$3:$F$1001,'Input Sheet'!$B$3:$B$1001,$H848,'Input Sheet'!$E$3:$E$1001,Q$4))</f>
        <v/>
      </c>
      <c r="R848" s="21" t="str">
        <f>IF(SUMIFS('Input Sheet'!$F$3:$F$1001,'Input Sheet'!$B$3:$B$1001,$H848,'Input Sheet'!$E$3:$E$1001,R$4)=0,"",SUMIFS('Input Sheet'!$F$3:$F$1001,'Input Sheet'!$B$3:$B$1001,$H848,'Input Sheet'!$E$3:$E$1001,R$4))</f>
        <v/>
      </c>
      <c r="S848" s="21" t="str">
        <f>IF(SUMIFS('Input Sheet'!$F$3:$F$1001,'Input Sheet'!$B$3:$B$1001,$H848,'Input Sheet'!$E$3:$E$1001,S$4)=0,"",SUMIFS('Input Sheet'!$F$3:$F$1001,'Input Sheet'!$B$3:$B$1001,$H848,'Input Sheet'!$E$3:$E$1001,S$4))</f>
        <v/>
      </c>
      <c r="T848" s="22">
        <v>843</v>
      </c>
    </row>
    <row r="849" spans="1:20" ht="14.25" customHeight="1" x14ac:dyDescent="0.3">
      <c r="A849" s="4" t="str">
        <f>IF('Input Sheet'!B846=0,"",'Input Sheet'!B846)</f>
        <v/>
      </c>
      <c r="B849" s="24" t="b">
        <f t="shared" si="788"/>
        <v>0</v>
      </c>
      <c r="C849" s="4">
        <f>SUMIF('Input Sheet'!B$3:B$1000,A849,'Input Sheet'!C$3:C$1000)</f>
        <v>0</v>
      </c>
      <c r="D849" s="4">
        <f>SUMIF('Input Sheet'!B$3:B$1000,A849,'Input Sheet'!D$3:D$1000)</f>
        <v>0</v>
      </c>
      <c r="E849" s="4" t="str">
        <f t="shared" ref="E849:F849" ca="1" si="873">IFERROR(RANK(K849,K$6:K$1004,1),"")</f>
        <v/>
      </c>
      <c r="F849" s="4" t="str">
        <f t="shared" ca="1" si="873"/>
        <v/>
      </c>
      <c r="G849" s="4" t="str">
        <f t="shared" ca="1" si="790"/>
        <v/>
      </c>
      <c r="H849" s="4" t="str">
        <f t="shared" si="791"/>
        <v/>
      </c>
      <c r="I849" s="4" t="str">
        <f t="shared" si="792"/>
        <v/>
      </c>
      <c r="J849" s="4" t="str">
        <f t="shared" si="793"/>
        <v/>
      </c>
      <c r="K849" s="25" t="str">
        <f t="shared" ca="1" si="794"/>
        <v/>
      </c>
      <c r="L849" s="21" t="str">
        <f t="shared" ca="1" si="795"/>
        <v/>
      </c>
      <c r="M849" s="21" t="str">
        <f>IF(SUMIFS('Input Sheet'!$F$3:$F$1001,'Input Sheet'!$B$3:$B$1001,$H849,'Input Sheet'!$E$3:$E$1001,M$4)=0,"",SUMIFS('Input Sheet'!$F$3:$F$1001,'Input Sheet'!$B$3:$B$1001,$H849,'Input Sheet'!$E$3:$E$1001,M$4))</f>
        <v/>
      </c>
      <c r="N849" s="21" t="str">
        <f>IF(SUMIFS('Input Sheet'!$F$3:$F$1001,'Input Sheet'!$B$3:$B$1001,$H849,'Input Sheet'!$E$3:$E$1001,N$4)=0,"",SUMIFS('Input Sheet'!$F$3:$F$1001,'Input Sheet'!$B$3:$B$1001,$H849,'Input Sheet'!$E$3:$E$1001,N$4))</f>
        <v/>
      </c>
      <c r="O849" s="21" t="str">
        <f>IF(SUMIFS('Input Sheet'!$F$3:$F$1001,'Input Sheet'!$B$3:$B$1001,$H849,'Input Sheet'!$E$3:$E$1001,O$4)=0,"",SUMIFS('Input Sheet'!$F$3:$F$1001,'Input Sheet'!$B$3:$B$1001,$H849,'Input Sheet'!$E$3:$E$1001,O$4))</f>
        <v/>
      </c>
      <c r="P849" s="21" t="str">
        <f>IF(SUMIFS('Input Sheet'!$F$3:$F$1001,'Input Sheet'!$B$3:$B$1001,$H849,'Input Sheet'!$E$3:$E$1001,P$4)=0,"",SUMIFS('Input Sheet'!$F$3:$F$1001,'Input Sheet'!$B$3:$B$1001,$H849,'Input Sheet'!$E$3:$E$1001,P$4))</f>
        <v/>
      </c>
      <c r="Q849" s="21" t="str">
        <f>IF(SUMIFS('Input Sheet'!$F$3:$F$1001,'Input Sheet'!$B$3:$B$1001,$H849,'Input Sheet'!$E$3:$E$1001,Q$4)=0,"",SUMIFS('Input Sheet'!$F$3:$F$1001,'Input Sheet'!$B$3:$B$1001,$H849,'Input Sheet'!$E$3:$E$1001,Q$4))</f>
        <v/>
      </c>
      <c r="R849" s="21" t="str">
        <f>IF(SUMIFS('Input Sheet'!$F$3:$F$1001,'Input Sheet'!$B$3:$B$1001,$H849,'Input Sheet'!$E$3:$E$1001,R$4)=0,"",SUMIFS('Input Sheet'!$F$3:$F$1001,'Input Sheet'!$B$3:$B$1001,$H849,'Input Sheet'!$E$3:$E$1001,R$4))</f>
        <v/>
      </c>
      <c r="S849" s="21" t="str">
        <f>IF(SUMIFS('Input Sheet'!$F$3:$F$1001,'Input Sheet'!$B$3:$B$1001,$H849,'Input Sheet'!$E$3:$E$1001,S$4)=0,"",SUMIFS('Input Sheet'!$F$3:$F$1001,'Input Sheet'!$B$3:$B$1001,$H849,'Input Sheet'!$E$3:$E$1001,S$4))</f>
        <v/>
      </c>
      <c r="T849" s="22">
        <v>844</v>
      </c>
    </row>
    <row r="850" spans="1:20" ht="14.25" customHeight="1" x14ac:dyDescent="0.3">
      <c r="A850" s="4" t="str">
        <f>IF('Input Sheet'!B847=0,"",'Input Sheet'!B847)</f>
        <v/>
      </c>
      <c r="B850" s="24" t="b">
        <f t="shared" si="788"/>
        <v>0</v>
      </c>
      <c r="C850" s="4">
        <f>SUMIF('Input Sheet'!B$3:B$1000,A850,'Input Sheet'!C$3:C$1000)</f>
        <v>0</v>
      </c>
      <c r="D850" s="4">
        <f>SUMIF('Input Sheet'!B$3:B$1000,A850,'Input Sheet'!D$3:D$1000)</f>
        <v>0</v>
      </c>
      <c r="E850" s="4" t="str">
        <f t="shared" ref="E850:F850" ca="1" si="874">IFERROR(RANK(K850,K$6:K$1004,1),"")</f>
        <v/>
      </c>
      <c r="F850" s="4" t="str">
        <f t="shared" ca="1" si="874"/>
        <v/>
      </c>
      <c r="G850" s="4" t="str">
        <f t="shared" ca="1" si="790"/>
        <v/>
      </c>
      <c r="H850" s="4" t="str">
        <f t="shared" si="791"/>
        <v/>
      </c>
      <c r="I850" s="4" t="str">
        <f t="shared" si="792"/>
        <v/>
      </c>
      <c r="J850" s="4" t="str">
        <f t="shared" si="793"/>
        <v/>
      </c>
      <c r="K850" s="25" t="str">
        <f t="shared" ca="1" si="794"/>
        <v/>
      </c>
      <c r="L850" s="21" t="str">
        <f t="shared" ca="1" si="795"/>
        <v/>
      </c>
      <c r="M850" s="21" t="str">
        <f>IF(SUMIFS('Input Sheet'!$F$3:$F$1001,'Input Sheet'!$B$3:$B$1001,$H850,'Input Sheet'!$E$3:$E$1001,M$4)=0,"",SUMIFS('Input Sheet'!$F$3:$F$1001,'Input Sheet'!$B$3:$B$1001,$H850,'Input Sheet'!$E$3:$E$1001,M$4))</f>
        <v/>
      </c>
      <c r="N850" s="21" t="str">
        <f>IF(SUMIFS('Input Sheet'!$F$3:$F$1001,'Input Sheet'!$B$3:$B$1001,$H850,'Input Sheet'!$E$3:$E$1001,N$4)=0,"",SUMIFS('Input Sheet'!$F$3:$F$1001,'Input Sheet'!$B$3:$B$1001,$H850,'Input Sheet'!$E$3:$E$1001,N$4))</f>
        <v/>
      </c>
      <c r="O850" s="21" t="str">
        <f>IF(SUMIFS('Input Sheet'!$F$3:$F$1001,'Input Sheet'!$B$3:$B$1001,$H850,'Input Sheet'!$E$3:$E$1001,O$4)=0,"",SUMIFS('Input Sheet'!$F$3:$F$1001,'Input Sheet'!$B$3:$B$1001,$H850,'Input Sheet'!$E$3:$E$1001,O$4))</f>
        <v/>
      </c>
      <c r="P850" s="21" t="str">
        <f>IF(SUMIFS('Input Sheet'!$F$3:$F$1001,'Input Sheet'!$B$3:$B$1001,$H850,'Input Sheet'!$E$3:$E$1001,P$4)=0,"",SUMIFS('Input Sheet'!$F$3:$F$1001,'Input Sheet'!$B$3:$B$1001,$H850,'Input Sheet'!$E$3:$E$1001,P$4))</f>
        <v/>
      </c>
      <c r="Q850" s="21" t="str">
        <f>IF(SUMIFS('Input Sheet'!$F$3:$F$1001,'Input Sheet'!$B$3:$B$1001,$H850,'Input Sheet'!$E$3:$E$1001,Q$4)=0,"",SUMIFS('Input Sheet'!$F$3:$F$1001,'Input Sheet'!$B$3:$B$1001,$H850,'Input Sheet'!$E$3:$E$1001,Q$4))</f>
        <v/>
      </c>
      <c r="R850" s="21" t="str">
        <f>IF(SUMIFS('Input Sheet'!$F$3:$F$1001,'Input Sheet'!$B$3:$B$1001,$H850,'Input Sheet'!$E$3:$E$1001,R$4)=0,"",SUMIFS('Input Sheet'!$F$3:$F$1001,'Input Sheet'!$B$3:$B$1001,$H850,'Input Sheet'!$E$3:$E$1001,R$4))</f>
        <v/>
      </c>
      <c r="S850" s="21" t="str">
        <f>IF(SUMIFS('Input Sheet'!$F$3:$F$1001,'Input Sheet'!$B$3:$B$1001,$H850,'Input Sheet'!$E$3:$E$1001,S$4)=0,"",SUMIFS('Input Sheet'!$F$3:$F$1001,'Input Sheet'!$B$3:$B$1001,$H850,'Input Sheet'!$E$3:$E$1001,S$4))</f>
        <v/>
      </c>
      <c r="T850" s="22">
        <v>845</v>
      </c>
    </row>
    <row r="851" spans="1:20" ht="14.25" customHeight="1" x14ac:dyDescent="0.3">
      <c r="A851" s="4" t="str">
        <f>IF('Input Sheet'!B848=0,"",'Input Sheet'!B848)</f>
        <v/>
      </c>
      <c r="B851" s="24" t="b">
        <f t="shared" si="788"/>
        <v>0</v>
      </c>
      <c r="C851" s="4">
        <f>SUMIF('Input Sheet'!B$3:B$1000,A851,'Input Sheet'!C$3:C$1000)</f>
        <v>0</v>
      </c>
      <c r="D851" s="4">
        <f>SUMIF('Input Sheet'!B$3:B$1000,A851,'Input Sheet'!D$3:D$1000)</f>
        <v>0</v>
      </c>
      <c r="E851" s="4" t="str">
        <f t="shared" ref="E851:F851" ca="1" si="875">IFERROR(RANK(K851,K$6:K$1004,1),"")</f>
        <v/>
      </c>
      <c r="F851" s="4" t="str">
        <f t="shared" ca="1" si="875"/>
        <v/>
      </c>
      <c r="G851" s="4" t="str">
        <f t="shared" ca="1" si="790"/>
        <v/>
      </c>
      <c r="H851" s="4" t="str">
        <f t="shared" si="791"/>
        <v/>
      </c>
      <c r="I851" s="4" t="str">
        <f t="shared" si="792"/>
        <v/>
      </c>
      <c r="J851" s="4" t="str">
        <f t="shared" si="793"/>
        <v/>
      </c>
      <c r="K851" s="25" t="str">
        <f t="shared" ca="1" si="794"/>
        <v/>
      </c>
      <c r="L851" s="21" t="str">
        <f t="shared" ca="1" si="795"/>
        <v/>
      </c>
      <c r="M851" s="21" t="str">
        <f>IF(SUMIFS('Input Sheet'!$F$3:$F$1001,'Input Sheet'!$B$3:$B$1001,$H851,'Input Sheet'!$E$3:$E$1001,M$4)=0,"",SUMIFS('Input Sheet'!$F$3:$F$1001,'Input Sheet'!$B$3:$B$1001,$H851,'Input Sheet'!$E$3:$E$1001,M$4))</f>
        <v/>
      </c>
      <c r="N851" s="21" t="str">
        <f>IF(SUMIFS('Input Sheet'!$F$3:$F$1001,'Input Sheet'!$B$3:$B$1001,$H851,'Input Sheet'!$E$3:$E$1001,N$4)=0,"",SUMIFS('Input Sheet'!$F$3:$F$1001,'Input Sheet'!$B$3:$B$1001,$H851,'Input Sheet'!$E$3:$E$1001,N$4))</f>
        <v/>
      </c>
      <c r="O851" s="21" t="str">
        <f>IF(SUMIFS('Input Sheet'!$F$3:$F$1001,'Input Sheet'!$B$3:$B$1001,$H851,'Input Sheet'!$E$3:$E$1001,O$4)=0,"",SUMIFS('Input Sheet'!$F$3:$F$1001,'Input Sheet'!$B$3:$B$1001,$H851,'Input Sheet'!$E$3:$E$1001,O$4))</f>
        <v/>
      </c>
      <c r="P851" s="21" t="str">
        <f>IF(SUMIFS('Input Sheet'!$F$3:$F$1001,'Input Sheet'!$B$3:$B$1001,$H851,'Input Sheet'!$E$3:$E$1001,P$4)=0,"",SUMIFS('Input Sheet'!$F$3:$F$1001,'Input Sheet'!$B$3:$B$1001,$H851,'Input Sheet'!$E$3:$E$1001,P$4))</f>
        <v/>
      </c>
      <c r="Q851" s="21" t="str">
        <f>IF(SUMIFS('Input Sheet'!$F$3:$F$1001,'Input Sheet'!$B$3:$B$1001,$H851,'Input Sheet'!$E$3:$E$1001,Q$4)=0,"",SUMIFS('Input Sheet'!$F$3:$F$1001,'Input Sheet'!$B$3:$B$1001,$H851,'Input Sheet'!$E$3:$E$1001,Q$4))</f>
        <v/>
      </c>
      <c r="R851" s="21" t="str">
        <f>IF(SUMIFS('Input Sheet'!$F$3:$F$1001,'Input Sheet'!$B$3:$B$1001,$H851,'Input Sheet'!$E$3:$E$1001,R$4)=0,"",SUMIFS('Input Sheet'!$F$3:$F$1001,'Input Sheet'!$B$3:$B$1001,$H851,'Input Sheet'!$E$3:$E$1001,R$4))</f>
        <v/>
      </c>
      <c r="S851" s="21" t="str">
        <f>IF(SUMIFS('Input Sheet'!$F$3:$F$1001,'Input Sheet'!$B$3:$B$1001,$H851,'Input Sheet'!$E$3:$E$1001,S$4)=0,"",SUMIFS('Input Sheet'!$F$3:$F$1001,'Input Sheet'!$B$3:$B$1001,$H851,'Input Sheet'!$E$3:$E$1001,S$4))</f>
        <v/>
      </c>
      <c r="T851" s="22">
        <v>846</v>
      </c>
    </row>
    <row r="852" spans="1:20" ht="14.25" customHeight="1" x14ac:dyDescent="0.3">
      <c r="A852" s="4" t="str">
        <f>IF('Input Sheet'!B849=0,"",'Input Sheet'!B849)</f>
        <v/>
      </c>
      <c r="B852" s="24" t="b">
        <f t="shared" si="788"/>
        <v>0</v>
      </c>
      <c r="C852" s="4">
        <f>SUMIF('Input Sheet'!B$3:B$1000,A852,'Input Sheet'!C$3:C$1000)</f>
        <v>0</v>
      </c>
      <c r="D852" s="4">
        <f>SUMIF('Input Sheet'!B$3:B$1000,A852,'Input Sheet'!D$3:D$1000)</f>
        <v>0</v>
      </c>
      <c r="E852" s="4" t="str">
        <f t="shared" ref="E852:F852" ca="1" si="876">IFERROR(RANK(K852,K$6:K$1004,1),"")</f>
        <v/>
      </c>
      <c r="F852" s="4" t="str">
        <f t="shared" ca="1" si="876"/>
        <v/>
      </c>
      <c r="G852" s="4" t="str">
        <f t="shared" ca="1" si="790"/>
        <v/>
      </c>
      <c r="H852" s="4" t="str">
        <f t="shared" si="791"/>
        <v/>
      </c>
      <c r="I852" s="4" t="str">
        <f t="shared" si="792"/>
        <v/>
      </c>
      <c r="J852" s="4" t="str">
        <f t="shared" si="793"/>
        <v/>
      </c>
      <c r="K852" s="25" t="str">
        <f t="shared" ca="1" si="794"/>
        <v/>
      </c>
      <c r="L852" s="21" t="str">
        <f t="shared" ca="1" si="795"/>
        <v/>
      </c>
      <c r="M852" s="21" t="str">
        <f>IF(SUMIFS('Input Sheet'!$F$3:$F$1001,'Input Sheet'!$B$3:$B$1001,$H852,'Input Sheet'!$E$3:$E$1001,M$4)=0,"",SUMIFS('Input Sheet'!$F$3:$F$1001,'Input Sheet'!$B$3:$B$1001,$H852,'Input Sheet'!$E$3:$E$1001,M$4))</f>
        <v/>
      </c>
      <c r="N852" s="21" t="str">
        <f>IF(SUMIFS('Input Sheet'!$F$3:$F$1001,'Input Sheet'!$B$3:$B$1001,$H852,'Input Sheet'!$E$3:$E$1001,N$4)=0,"",SUMIFS('Input Sheet'!$F$3:$F$1001,'Input Sheet'!$B$3:$B$1001,$H852,'Input Sheet'!$E$3:$E$1001,N$4))</f>
        <v/>
      </c>
      <c r="O852" s="21" t="str">
        <f>IF(SUMIFS('Input Sheet'!$F$3:$F$1001,'Input Sheet'!$B$3:$B$1001,$H852,'Input Sheet'!$E$3:$E$1001,O$4)=0,"",SUMIFS('Input Sheet'!$F$3:$F$1001,'Input Sheet'!$B$3:$B$1001,$H852,'Input Sheet'!$E$3:$E$1001,O$4))</f>
        <v/>
      </c>
      <c r="P852" s="21" t="str">
        <f>IF(SUMIFS('Input Sheet'!$F$3:$F$1001,'Input Sheet'!$B$3:$B$1001,$H852,'Input Sheet'!$E$3:$E$1001,P$4)=0,"",SUMIFS('Input Sheet'!$F$3:$F$1001,'Input Sheet'!$B$3:$B$1001,$H852,'Input Sheet'!$E$3:$E$1001,P$4))</f>
        <v/>
      </c>
      <c r="Q852" s="21" t="str">
        <f>IF(SUMIFS('Input Sheet'!$F$3:$F$1001,'Input Sheet'!$B$3:$B$1001,$H852,'Input Sheet'!$E$3:$E$1001,Q$4)=0,"",SUMIFS('Input Sheet'!$F$3:$F$1001,'Input Sheet'!$B$3:$B$1001,$H852,'Input Sheet'!$E$3:$E$1001,Q$4))</f>
        <v/>
      </c>
      <c r="R852" s="21" t="str">
        <f>IF(SUMIFS('Input Sheet'!$F$3:$F$1001,'Input Sheet'!$B$3:$B$1001,$H852,'Input Sheet'!$E$3:$E$1001,R$4)=0,"",SUMIFS('Input Sheet'!$F$3:$F$1001,'Input Sheet'!$B$3:$B$1001,$H852,'Input Sheet'!$E$3:$E$1001,R$4))</f>
        <v/>
      </c>
      <c r="S852" s="21" t="str">
        <f>IF(SUMIFS('Input Sheet'!$F$3:$F$1001,'Input Sheet'!$B$3:$B$1001,$H852,'Input Sheet'!$E$3:$E$1001,S$4)=0,"",SUMIFS('Input Sheet'!$F$3:$F$1001,'Input Sheet'!$B$3:$B$1001,$H852,'Input Sheet'!$E$3:$E$1001,S$4))</f>
        <v/>
      </c>
      <c r="T852" s="22">
        <v>847</v>
      </c>
    </row>
    <row r="853" spans="1:20" ht="14.25" customHeight="1" x14ac:dyDescent="0.3">
      <c r="A853" s="4" t="str">
        <f>IF('Input Sheet'!B850=0,"",'Input Sheet'!B850)</f>
        <v/>
      </c>
      <c r="B853" s="24" t="b">
        <f t="shared" si="788"/>
        <v>0</v>
      </c>
      <c r="C853" s="4">
        <f>SUMIF('Input Sheet'!B$3:B$1000,A853,'Input Sheet'!C$3:C$1000)</f>
        <v>0</v>
      </c>
      <c r="D853" s="4">
        <f>SUMIF('Input Sheet'!B$3:B$1000,A853,'Input Sheet'!D$3:D$1000)</f>
        <v>0</v>
      </c>
      <c r="E853" s="4" t="str">
        <f t="shared" ref="E853:F853" ca="1" si="877">IFERROR(RANK(K853,K$6:K$1004,1),"")</f>
        <v/>
      </c>
      <c r="F853" s="4" t="str">
        <f t="shared" ca="1" si="877"/>
        <v/>
      </c>
      <c r="G853" s="4" t="str">
        <f t="shared" ca="1" si="790"/>
        <v/>
      </c>
      <c r="H853" s="4" t="str">
        <f t="shared" si="791"/>
        <v/>
      </c>
      <c r="I853" s="4" t="str">
        <f t="shared" si="792"/>
        <v/>
      </c>
      <c r="J853" s="4" t="str">
        <f t="shared" si="793"/>
        <v/>
      </c>
      <c r="K853" s="25" t="str">
        <f t="shared" ca="1" si="794"/>
        <v/>
      </c>
      <c r="L853" s="21" t="str">
        <f t="shared" ca="1" si="795"/>
        <v/>
      </c>
      <c r="M853" s="21" t="str">
        <f>IF(SUMIFS('Input Sheet'!$F$3:$F$1001,'Input Sheet'!$B$3:$B$1001,$H853,'Input Sheet'!$E$3:$E$1001,M$4)=0,"",SUMIFS('Input Sheet'!$F$3:$F$1001,'Input Sheet'!$B$3:$B$1001,$H853,'Input Sheet'!$E$3:$E$1001,M$4))</f>
        <v/>
      </c>
      <c r="N853" s="21" t="str">
        <f>IF(SUMIFS('Input Sheet'!$F$3:$F$1001,'Input Sheet'!$B$3:$B$1001,$H853,'Input Sheet'!$E$3:$E$1001,N$4)=0,"",SUMIFS('Input Sheet'!$F$3:$F$1001,'Input Sheet'!$B$3:$B$1001,$H853,'Input Sheet'!$E$3:$E$1001,N$4))</f>
        <v/>
      </c>
      <c r="O853" s="21" t="str">
        <f>IF(SUMIFS('Input Sheet'!$F$3:$F$1001,'Input Sheet'!$B$3:$B$1001,$H853,'Input Sheet'!$E$3:$E$1001,O$4)=0,"",SUMIFS('Input Sheet'!$F$3:$F$1001,'Input Sheet'!$B$3:$B$1001,$H853,'Input Sheet'!$E$3:$E$1001,O$4))</f>
        <v/>
      </c>
      <c r="P853" s="21" t="str">
        <f>IF(SUMIFS('Input Sheet'!$F$3:$F$1001,'Input Sheet'!$B$3:$B$1001,$H853,'Input Sheet'!$E$3:$E$1001,P$4)=0,"",SUMIFS('Input Sheet'!$F$3:$F$1001,'Input Sheet'!$B$3:$B$1001,$H853,'Input Sheet'!$E$3:$E$1001,P$4))</f>
        <v/>
      </c>
      <c r="Q853" s="21" t="str">
        <f>IF(SUMIFS('Input Sheet'!$F$3:$F$1001,'Input Sheet'!$B$3:$B$1001,$H853,'Input Sheet'!$E$3:$E$1001,Q$4)=0,"",SUMIFS('Input Sheet'!$F$3:$F$1001,'Input Sheet'!$B$3:$B$1001,$H853,'Input Sheet'!$E$3:$E$1001,Q$4))</f>
        <v/>
      </c>
      <c r="R853" s="21" t="str">
        <f>IF(SUMIFS('Input Sheet'!$F$3:$F$1001,'Input Sheet'!$B$3:$B$1001,$H853,'Input Sheet'!$E$3:$E$1001,R$4)=0,"",SUMIFS('Input Sheet'!$F$3:$F$1001,'Input Sheet'!$B$3:$B$1001,$H853,'Input Sheet'!$E$3:$E$1001,R$4))</f>
        <v/>
      </c>
      <c r="S853" s="21" t="str">
        <f>IF(SUMIFS('Input Sheet'!$F$3:$F$1001,'Input Sheet'!$B$3:$B$1001,$H853,'Input Sheet'!$E$3:$E$1001,S$4)=0,"",SUMIFS('Input Sheet'!$F$3:$F$1001,'Input Sheet'!$B$3:$B$1001,$H853,'Input Sheet'!$E$3:$E$1001,S$4))</f>
        <v/>
      </c>
      <c r="T853" s="22">
        <v>848</v>
      </c>
    </row>
    <row r="854" spans="1:20" ht="14.25" customHeight="1" x14ac:dyDescent="0.3">
      <c r="A854" s="4" t="str">
        <f>IF('Input Sheet'!B851=0,"",'Input Sheet'!B851)</f>
        <v/>
      </c>
      <c r="B854" s="24" t="b">
        <f t="shared" si="788"/>
        <v>0</v>
      </c>
      <c r="C854" s="4">
        <f>SUMIF('Input Sheet'!B$3:B$1000,A854,'Input Sheet'!C$3:C$1000)</f>
        <v>0</v>
      </c>
      <c r="D854" s="4">
        <f>SUMIF('Input Sheet'!B$3:B$1000,A854,'Input Sheet'!D$3:D$1000)</f>
        <v>0</v>
      </c>
      <c r="E854" s="4" t="str">
        <f t="shared" ref="E854:F854" ca="1" si="878">IFERROR(RANK(K854,K$6:K$1004,1),"")</f>
        <v/>
      </c>
      <c r="F854" s="4" t="str">
        <f t="shared" ca="1" si="878"/>
        <v/>
      </c>
      <c r="G854" s="4" t="str">
        <f t="shared" ca="1" si="790"/>
        <v/>
      </c>
      <c r="H854" s="4" t="str">
        <f t="shared" si="791"/>
        <v/>
      </c>
      <c r="I854" s="4" t="str">
        <f t="shared" si="792"/>
        <v/>
      </c>
      <c r="J854" s="4" t="str">
        <f t="shared" si="793"/>
        <v/>
      </c>
      <c r="K854" s="25" t="str">
        <f t="shared" ca="1" si="794"/>
        <v/>
      </c>
      <c r="L854" s="21" t="str">
        <f t="shared" ca="1" si="795"/>
        <v/>
      </c>
      <c r="M854" s="21" t="str">
        <f>IF(SUMIFS('Input Sheet'!$F$3:$F$1001,'Input Sheet'!$B$3:$B$1001,$H854,'Input Sheet'!$E$3:$E$1001,M$4)=0,"",SUMIFS('Input Sheet'!$F$3:$F$1001,'Input Sheet'!$B$3:$B$1001,$H854,'Input Sheet'!$E$3:$E$1001,M$4))</f>
        <v/>
      </c>
      <c r="N854" s="21" t="str">
        <f>IF(SUMIFS('Input Sheet'!$F$3:$F$1001,'Input Sheet'!$B$3:$B$1001,$H854,'Input Sheet'!$E$3:$E$1001,N$4)=0,"",SUMIFS('Input Sheet'!$F$3:$F$1001,'Input Sheet'!$B$3:$B$1001,$H854,'Input Sheet'!$E$3:$E$1001,N$4))</f>
        <v/>
      </c>
      <c r="O854" s="21" t="str">
        <f>IF(SUMIFS('Input Sheet'!$F$3:$F$1001,'Input Sheet'!$B$3:$B$1001,$H854,'Input Sheet'!$E$3:$E$1001,O$4)=0,"",SUMIFS('Input Sheet'!$F$3:$F$1001,'Input Sheet'!$B$3:$B$1001,$H854,'Input Sheet'!$E$3:$E$1001,O$4))</f>
        <v/>
      </c>
      <c r="P854" s="21" t="str">
        <f>IF(SUMIFS('Input Sheet'!$F$3:$F$1001,'Input Sheet'!$B$3:$B$1001,$H854,'Input Sheet'!$E$3:$E$1001,P$4)=0,"",SUMIFS('Input Sheet'!$F$3:$F$1001,'Input Sheet'!$B$3:$B$1001,$H854,'Input Sheet'!$E$3:$E$1001,P$4))</f>
        <v/>
      </c>
      <c r="Q854" s="21" t="str">
        <f>IF(SUMIFS('Input Sheet'!$F$3:$F$1001,'Input Sheet'!$B$3:$B$1001,$H854,'Input Sheet'!$E$3:$E$1001,Q$4)=0,"",SUMIFS('Input Sheet'!$F$3:$F$1001,'Input Sheet'!$B$3:$B$1001,$H854,'Input Sheet'!$E$3:$E$1001,Q$4))</f>
        <v/>
      </c>
      <c r="R854" s="21" t="str">
        <f>IF(SUMIFS('Input Sheet'!$F$3:$F$1001,'Input Sheet'!$B$3:$B$1001,$H854,'Input Sheet'!$E$3:$E$1001,R$4)=0,"",SUMIFS('Input Sheet'!$F$3:$F$1001,'Input Sheet'!$B$3:$B$1001,$H854,'Input Sheet'!$E$3:$E$1001,R$4))</f>
        <v/>
      </c>
      <c r="S854" s="21" t="str">
        <f>IF(SUMIFS('Input Sheet'!$F$3:$F$1001,'Input Sheet'!$B$3:$B$1001,$H854,'Input Sheet'!$E$3:$E$1001,S$4)=0,"",SUMIFS('Input Sheet'!$F$3:$F$1001,'Input Sheet'!$B$3:$B$1001,$H854,'Input Sheet'!$E$3:$E$1001,S$4))</f>
        <v/>
      </c>
      <c r="T854" s="22">
        <v>849</v>
      </c>
    </row>
    <row r="855" spans="1:20" ht="14.25" customHeight="1" x14ac:dyDescent="0.3">
      <c r="A855" s="4" t="str">
        <f>IF('Input Sheet'!B852=0,"",'Input Sheet'!B852)</f>
        <v/>
      </c>
      <c r="B855" s="24" t="b">
        <f t="shared" si="788"/>
        <v>0</v>
      </c>
      <c r="C855" s="4">
        <f>SUMIF('Input Sheet'!B$3:B$1000,A855,'Input Sheet'!C$3:C$1000)</f>
        <v>0</v>
      </c>
      <c r="D855" s="4">
        <f>SUMIF('Input Sheet'!B$3:B$1000,A855,'Input Sheet'!D$3:D$1000)</f>
        <v>0</v>
      </c>
      <c r="E855" s="4" t="str">
        <f t="shared" ref="E855:F855" ca="1" si="879">IFERROR(RANK(K855,K$6:K$1004,1),"")</f>
        <v/>
      </c>
      <c r="F855" s="4" t="str">
        <f t="shared" ca="1" si="879"/>
        <v/>
      </c>
      <c r="G855" s="4" t="str">
        <f t="shared" ca="1" si="790"/>
        <v/>
      </c>
      <c r="H855" s="4" t="str">
        <f t="shared" si="791"/>
        <v/>
      </c>
      <c r="I855" s="4" t="str">
        <f t="shared" si="792"/>
        <v/>
      </c>
      <c r="J855" s="4" t="str">
        <f t="shared" si="793"/>
        <v/>
      </c>
      <c r="K855" s="25" t="str">
        <f t="shared" ca="1" si="794"/>
        <v/>
      </c>
      <c r="L855" s="21" t="str">
        <f t="shared" ca="1" si="795"/>
        <v/>
      </c>
      <c r="M855" s="21" t="str">
        <f>IF(SUMIFS('Input Sheet'!$F$3:$F$1001,'Input Sheet'!$B$3:$B$1001,$H855,'Input Sheet'!$E$3:$E$1001,M$4)=0,"",SUMIFS('Input Sheet'!$F$3:$F$1001,'Input Sheet'!$B$3:$B$1001,$H855,'Input Sheet'!$E$3:$E$1001,M$4))</f>
        <v/>
      </c>
      <c r="N855" s="21" t="str">
        <f>IF(SUMIFS('Input Sheet'!$F$3:$F$1001,'Input Sheet'!$B$3:$B$1001,$H855,'Input Sheet'!$E$3:$E$1001,N$4)=0,"",SUMIFS('Input Sheet'!$F$3:$F$1001,'Input Sheet'!$B$3:$B$1001,$H855,'Input Sheet'!$E$3:$E$1001,N$4))</f>
        <v/>
      </c>
      <c r="O855" s="21" t="str">
        <f>IF(SUMIFS('Input Sheet'!$F$3:$F$1001,'Input Sheet'!$B$3:$B$1001,$H855,'Input Sheet'!$E$3:$E$1001,O$4)=0,"",SUMIFS('Input Sheet'!$F$3:$F$1001,'Input Sheet'!$B$3:$B$1001,$H855,'Input Sheet'!$E$3:$E$1001,O$4))</f>
        <v/>
      </c>
      <c r="P855" s="21" t="str">
        <f>IF(SUMIFS('Input Sheet'!$F$3:$F$1001,'Input Sheet'!$B$3:$B$1001,$H855,'Input Sheet'!$E$3:$E$1001,P$4)=0,"",SUMIFS('Input Sheet'!$F$3:$F$1001,'Input Sheet'!$B$3:$B$1001,$H855,'Input Sheet'!$E$3:$E$1001,P$4))</f>
        <v/>
      </c>
      <c r="Q855" s="21" t="str">
        <f>IF(SUMIFS('Input Sheet'!$F$3:$F$1001,'Input Sheet'!$B$3:$B$1001,$H855,'Input Sheet'!$E$3:$E$1001,Q$4)=0,"",SUMIFS('Input Sheet'!$F$3:$F$1001,'Input Sheet'!$B$3:$B$1001,$H855,'Input Sheet'!$E$3:$E$1001,Q$4))</f>
        <v/>
      </c>
      <c r="R855" s="21" t="str">
        <f>IF(SUMIFS('Input Sheet'!$F$3:$F$1001,'Input Sheet'!$B$3:$B$1001,$H855,'Input Sheet'!$E$3:$E$1001,R$4)=0,"",SUMIFS('Input Sheet'!$F$3:$F$1001,'Input Sheet'!$B$3:$B$1001,$H855,'Input Sheet'!$E$3:$E$1001,R$4))</f>
        <v/>
      </c>
      <c r="S855" s="21" t="str">
        <f>IF(SUMIFS('Input Sheet'!$F$3:$F$1001,'Input Sheet'!$B$3:$B$1001,$H855,'Input Sheet'!$E$3:$E$1001,S$4)=0,"",SUMIFS('Input Sheet'!$F$3:$F$1001,'Input Sheet'!$B$3:$B$1001,$H855,'Input Sheet'!$E$3:$E$1001,S$4))</f>
        <v/>
      </c>
      <c r="T855" s="22">
        <v>850</v>
      </c>
    </row>
    <row r="856" spans="1:20" ht="14.25" customHeight="1" x14ac:dyDescent="0.3">
      <c r="A856" s="4" t="str">
        <f>IF('Input Sheet'!B853=0,"",'Input Sheet'!B853)</f>
        <v/>
      </c>
      <c r="B856" s="24" t="b">
        <f t="shared" si="788"/>
        <v>0</v>
      </c>
      <c r="C856" s="4">
        <f>SUMIF('Input Sheet'!B$3:B$1000,A856,'Input Sheet'!C$3:C$1000)</f>
        <v>0</v>
      </c>
      <c r="D856" s="4">
        <f>SUMIF('Input Sheet'!B$3:B$1000,A856,'Input Sheet'!D$3:D$1000)</f>
        <v>0</v>
      </c>
      <c r="E856" s="4" t="str">
        <f t="shared" ref="E856:F856" ca="1" si="880">IFERROR(RANK(K856,K$6:K$1004,1),"")</f>
        <v/>
      </c>
      <c r="F856" s="4" t="str">
        <f t="shared" ca="1" si="880"/>
        <v/>
      </c>
      <c r="G856" s="4" t="str">
        <f t="shared" ca="1" si="790"/>
        <v/>
      </c>
      <c r="H856" s="4" t="str">
        <f t="shared" si="791"/>
        <v/>
      </c>
      <c r="I856" s="4" t="str">
        <f t="shared" si="792"/>
        <v/>
      </c>
      <c r="J856" s="4" t="str">
        <f t="shared" si="793"/>
        <v/>
      </c>
      <c r="K856" s="25" t="str">
        <f t="shared" ca="1" si="794"/>
        <v/>
      </c>
      <c r="L856" s="21" t="str">
        <f t="shared" ca="1" si="795"/>
        <v/>
      </c>
      <c r="M856" s="21" t="str">
        <f>IF(SUMIFS('Input Sheet'!$F$3:$F$1001,'Input Sheet'!$B$3:$B$1001,$H856,'Input Sheet'!$E$3:$E$1001,M$4)=0,"",SUMIFS('Input Sheet'!$F$3:$F$1001,'Input Sheet'!$B$3:$B$1001,$H856,'Input Sheet'!$E$3:$E$1001,M$4))</f>
        <v/>
      </c>
      <c r="N856" s="21" t="str">
        <f>IF(SUMIFS('Input Sheet'!$F$3:$F$1001,'Input Sheet'!$B$3:$B$1001,$H856,'Input Sheet'!$E$3:$E$1001,N$4)=0,"",SUMIFS('Input Sheet'!$F$3:$F$1001,'Input Sheet'!$B$3:$B$1001,$H856,'Input Sheet'!$E$3:$E$1001,N$4))</f>
        <v/>
      </c>
      <c r="O856" s="21" t="str">
        <f>IF(SUMIFS('Input Sheet'!$F$3:$F$1001,'Input Sheet'!$B$3:$B$1001,$H856,'Input Sheet'!$E$3:$E$1001,O$4)=0,"",SUMIFS('Input Sheet'!$F$3:$F$1001,'Input Sheet'!$B$3:$B$1001,$H856,'Input Sheet'!$E$3:$E$1001,O$4))</f>
        <v/>
      </c>
      <c r="P856" s="21" t="str">
        <f>IF(SUMIFS('Input Sheet'!$F$3:$F$1001,'Input Sheet'!$B$3:$B$1001,$H856,'Input Sheet'!$E$3:$E$1001,P$4)=0,"",SUMIFS('Input Sheet'!$F$3:$F$1001,'Input Sheet'!$B$3:$B$1001,$H856,'Input Sheet'!$E$3:$E$1001,P$4))</f>
        <v/>
      </c>
      <c r="Q856" s="21" t="str">
        <f>IF(SUMIFS('Input Sheet'!$F$3:$F$1001,'Input Sheet'!$B$3:$B$1001,$H856,'Input Sheet'!$E$3:$E$1001,Q$4)=0,"",SUMIFS('Input Sheet'!$F$3:$F$1001,'Input Sheet'!$B$3:$B$1001,$H856,'Input Sheet'!$E$3:$E$1001,Q$4))</f>
        <v/>
      </c>
      <c r="R856" s="21" t="str">
        <f>IF(SUMIFS('Input Sheet'!$F$3:$F$1001,'Input Sheet'!$B$3:$B$1001,$H856,'Input Sheet'!$E$3:$E$1001,R$4)=0,"",SUMIFS('Input Sheet'!$F$3:$F$1001,'Input Sheet'!$B$3:$B$1001,$H856,'Input Sheet'!$E$3:$E$1001,R$4))</f>
        <v/>
      </c>
      <c r="S856" s="21" t="str">
        <f>IF(SUMIFS('Input Sheet'!$F$3:$F$1001,'Input Sheet'!$B$3:$B$1001,$H856,'Input Sheet'!$E$3:$E$1001,S$4)=0,"",SUMIFS('Input Sheet'!$F$3:$F$1001,'Input Sheet'!$B$3:$B$1001,$H856,'Input Sheet'!$E$3:$E$1001,S$4))</f>
        <v/>
      </c>
      <c r="T856" s="22">
        <v>851</v>
      </c>
    </row>
    <row r="857" spans="1:20" ht="14.25" customHeight="1" x14ac:dyDescent="0.3">
      <c r="A857" s="4" t="str">
        <f>IF('Input Sheet'!B854=0,"",'Input Sheet'!B854)</f>
        <v/>
      </c>
      <c r="B857" s="24" t="b">
        <f t="shared" si="788"/>
        <v>0</v>
      </c>
      <c r="C857" s="4">
        <f>SUMIF('Input Sheet'!B$3:B$1000,A857,'Input Sheet'!C$3:C$1000)</f>
        <v>0</v>
      </c>
      <c r="D857" s="4">
        <f>SUMIF('Input Sheet'!B$3:B$1000,A857,'Input Sheet'!D$3:D$1000)</f>
        <v>0</v>
      </c>
      <c r="E857" s="4" t="str">
        <f t="shared" ref="E857:F857" ca="1" si="881">IFERROR(RANK(K857,K$6:K$1004,1),"")</f>
        <v/>
      </c>
      <c r="F857" s="4" t="str">
        <f t="shared" ca="1" si="881"/>
        <v/>
      </c>
      <c r="G857" s="4" t="str">
        <f t="shared" ca="1" si="790"/>
        <v/>
      </c>
      <c r="H857" s="4" t="str">
        <f t="shared" si="791"/>
        <v/>
      </c>
      <c r="I857" s="4" t="str">
        <f t="shared" si="792"/>
        <v/>
      </c>
      <c r="J857" s="4" t="str">
        <f t="shared" si="793"/>
        <v/>
      </c>
      <c r="K857" s="25" t="str">
        <f t="shared" ca="1" si="794"/>
        <v/>
      </c>
      <c r="L857" s="21" t="str">
        <f t="shared" ca="1" si="795"/>
        <v/>
      </c>
      <c r="M857" s="21" t="str">
        <f>IF(SUMIFS('Input Sheet'!$F$3:$F$1001,'Input Sheet'!$B$3:$B$1001,$H857,'Input Sheet'!$E$3:$E$1001,M$4)=0,"",SUMIFS('Input Sheet'!$F$3:$F$1001,'Input Sheet'!$B$3:$B$1001,$H857,'Input Sheet'!$E$3:$E$1001,M$4))</f>
        <v/>
      </c>
      <c r="N857" s="21" t="str">
        <f>IF(SUMIFS('Input Sheet'!$F$3:$F$1001,'Input Sheet'!$B$3:$B$1001,$H857,'Input Sheet'!$E$3:$E$1001,N$4)=0,"",SUMIFS('Input Sheet'!$F$3:$F$1001,'Input Sheet'!$B$3:$B$1001,$H857,'Input Sheet'!$E$3:$E$1001,N$4))</f>
        <v/>
      </c>
      <c r="O857" s="21" t="str">
        <f>IF(SUMIFS('Input Sheet'!$F$3:$F$1001,'Input Sheet'!$B$3:$B$1001,$H857,'Input Sheet'!$E$3:$E$1001,O$4)=0,"",SUMIFS('Input Sheet'!$F$3:$F$1001,'Input Sheet'!$B$3:$B$1001,$H857,'Input Sheet'!$E$3:$E$1001,O$4))</f>
        <v/>
      </c>
      <c r="P857" s="21" t="str">
        <f>IF(SUMIFS('Input Sheet'!$F$3:$F$1001,'Input Sheet'!$B$3:$B$1001,$H857,'Input Sheet'!$E$3:$E$1001,P$4)=0,"",SUMIFS('Input Sheet'!$F$3:$F$1001,'Input Sheet'!$B$3:$B$1001,$H857,'Input Sheet'!$E$3:$E$1001,P$4))</f>
        <v/>
      </c>
      <c r="Q857" s="21" t="str">
        <f>IF(SUMIFS('Input Sheet'!$F$3:$F$1001,'Input Sheet'!$B$3:$B$1001,$H857,'Input Sheet'!$E$3:$E$1001,Q$4)=0,"",SUMIFS('Input Sheet'!$F$3:$F$1001,'Input Sheet'!$B$3:$B$1001,$H857,'Input Sheet'!$E$3:$E$1001,Q$4))</f>
        <v/>
      </c>
      <c r="R857" s="21" t="str">
        <f>IF(SUMIFS('Input Sheet'!$F$3:$F$1001,'Input Sheet'!$B$3:$B$1001,$H857,'Input Sheet'!$E$3:$E$1001,R$4)=0,"",SUMIFS('Input Sheet'!$F$3:$F$1001,'Input Sheet'!$B$3:$B$1001,$H857,'Input Sheet'!$E$3:$E$1001,R$4))</f>
        <v/>
      </c>
      <c r="S857" s="21" t="str">
        <f>IF(SUMIFS('Input Sheet'!$F$3:$F$1001,'Input Sheet'!$B$3:$B$1001,$H857,'Input Sheet'!$E$3:$E$1001,S$4)=0,"",SUMIFS('Input Sheet'!$F$3:$F$1001,'Input Sheet'!$B$3:$B$1001,$H857,'Input Sheet'!$E$3:$E$1001,S$4))</f>
        <v/>
      </c>
      <c r="T857" s="22">
        <v>852</v>
      </c>
    </row>
    <row r="858" spans="1:20" ht="14.25" customHeight="1" x14ac:dyDescent="0.3">
      <c r="A858" s="4" t="str">
        <f>IF('Input Sheet'!B855=0,"",'Input Sheet'!B855)</f>
        <v/>
      </c>
      <c r="B858" s="24" t="b">
        <f t="shared" si="788"/>
        <v>0</v>
      </c>
      <c r="C858" s="4">
        <f>SUMIF('Input Sheet'!B$3:B$1000,A858,'Input Sheet'!C$3:C$1000)</f>
        <v>0</v>
      </c>
      <c r="D858" s="4">
        <f>SUMIF('Input Sheet'!B$3:B$1000,A858,'Input Sheet'!D$3:D$1000)</f>
        <v>0</v>
      </c>
      <c r="E858" s="4" t="str">
        <f t="shared" ref="E858:F858" ca="1" si="882">IFERROR(RANK(K858,K$6:K$1004,1),"")</f>
        <v/>
      </c>
      <c r="F858" s="4" t="str">
        <f t="shared" ca="1" si="882"/>
        <v/>
      </c>
      <c r="G858" s="4" t="str">
        <f t="shared" ca="1" si="790"/>
        <v/>
      </c>
      <c r="H858" s="4" t="str">
        <f t="shared" si="791"/>
        <v/>
      </c>
      <c r="I858" s="4" t="str">
        <f t="shared" si="792"/>
        <v/>
      </c>
      <c r="J858" s="4" t="str">
        <f t="shared" si="793"/>
        <v/>
      </c>
      <c r="K858" s="25" t="str">
        <f t="shared" ca="1" si="794"/>
        <v/>
      </c>
      <c r="L858" s="21" t="str">
        <f t="shared" ca="1" si="795"/>
        <v/>
      </c>
      <c r="M858" s="21" t="str">
        <f>IF(SUMIFS('Input Sheet'!$F$3:$F$1001,'Input Sheet'!$B$3:$B$1001,$H858,'Input Sheet'!$E$3:$E$1001,M$4)=0,"",SUMIFS('Input Sheet'!$F$3:$F$1001,'Input Sheet'!$B$3:$B$1001,$H858,'Input Sheet'!$E$3:$E$1001,M$4))</f>
        <v/>
      </c>
      <c r="N858" s="21" t="str">
        <f>IF(SUMIFS('Input Sheet'!$F$3:$F$1001,'Input Sheet'!$B$3:$B$1001,$H858,'Input Sheet'!$E$3:$E$1001,N$4)=0,"",SUMIFS('Input Sheet'!$F$3:$F$1001,'Input Sheet'!$B$3:$B$1001,$H858,'Input Sheet'!$E$3:$E$1001,N$4))</f>
        <v/>
      </c>
      <c r="O858" s="21" t="str">
        <f>IF(SUMIFS('Input Sheet'!$F$3:$F$1001,'Input Sheet'!$B$3:$B$1001,$H858,'Input Sheet'!$E$3:$E$1001,O$4)=0,"",SUMIFS('Input Sheet'!$F$3:$F$1001,'Input Sheet'!$B$3:$B$1001,$H858,'Input Sheet'!$E$3:$E$1001,O$4))</f>
        <v/>
      </c>
      <c r="P858" s="21" t="str">
        <f>IF(SUMIFS('Input Sheet'!$F$3:$F$1001,'Input Sheet'!$B$3:$B$1001,$H858,'Input Sheet'!$E$3:$E$1001,P$4)=0,"",SUMIFS('Input Sheet'!$F$3:$F$1001,'Input Sheet'!$B$3:$B$1001,$H858,'Input Sheet'!$E$3:$E$1001,P$4))</f>
        <v/>
      </c>
      <c r="Q858" s="21" t="str">
        <f>IF(SUMIFS('Input Sheet'!$F$3:$F$1001,'Input Sheet'!$B$3:$B$1001,$H858,'Input Sheet'!$E$3:$E$1001,Q$4)=0,"",SUMIFS('Input Sheet'!$F$3:$F$1001,'Input Sheet'!$B$3:$B$1001,$H858,'Input Sheet'!$E$3:$E$1001,Q$4))</f>
        <v/>
      </c>
      <c r="R858" s="21" t="str">
        <f>IF(SUMIFS('Input Sheet'!$F$3:$F$1001,'Input Sheet'!$B$3:$B$1001,$H858,'Input Sheet'!$E$3:$E$1001,R$4)=0,"",SUMIFS('Input Sheet'!$F$3:$F$1001,'Input Sheet'!$B$3:$B$1001,$H858,'Input Sheet'!$E$3:$E$1001,R$4))</f>
        <v/>
      </c>
      <c r="S858" s="21" t="str">
        <f>IF(SUMIFS('Input Sheet'!$F$3:$F$1001,'Input Sheet'!$B$3:$B$1001,$H858,'Input Sheet'!$E$3:$E$1001,S$4)=0,"",SUMIFS('Input Sheet'!$F$3:$F$1001,'Input Sheet'!$B$3:$B$1001,$H858,'Input Sheet'!$E$3:$E$1001,S$4))</f>
        <v/>
      </c>
      <c r="T858" s="22">
        <v>853</v>
      </c>
    </row>
    <row r="859" spans="1:20" ht="14.25" customHeight="1" x14ac:dyDescent="0.3">
      <c r="A859" s="4" t="str">
        <f>IF('Input Sheet'!B856=0,"",'Input Sheet'!B856)</f>
        <v/>
      </c>
      <c r="B859" s="24" t="b">
        <f t="shared" si="788"/>
        <v>0</v>
      </c>
      <c r="C859" s="4">
        <f>SUMIF('Input Sheet'!B$3:B$1000,A859,'Input Sheet'!C$3:C$1000)</f>
        <v>0</v>
      </c>
      <c r="D859" s="4">
        <f>SUMIF('Input Sheet'!B$3:B$1000,A859,'Input Sheet'!D$3:D$1000)</f>
        <v>0</v>
      </c>
      <c r="E859" s="4" t="str">
        <f t="shared" ref="E859:F859" ca="1" si="883">IFERROR(RANK(K859,K$6:K$1004,1),"")</f>
        <v/>
      </c>
      <c r="F859" s="4" t="str">
        <f t="shared" ca="1" si="883"/>
        <v/>
      </c>
      <c r="G859" s="4" t="str">
        <f t="shared" ca="1" si="790"/>
        <v/>
      </c>
      <c r="H859" s="4" t="str">
        <f t="shared" si="791"/>
        <v/>
      </c>
      <c r="I859" s="4" t="str">
        <f t="shared" si="792"/>
        <v/>
      </c>
      <c r="J859" s="4" t="str">
        <f t="shared" si="793"/>
        <v/>
      </c>
      <c r="K859" s="25" t="str">
        <f t="shared" ca="1" si="794"/>
        <v/>
      </c>
      <c r="L859" s="21" t="str">
        <f t="shared" ca="1" si="795"/>
        <v/>
      </c>
      <c r="M859" s="21" t="str">
        <f>IF(SUMIFS('Input Sheet'!$F$3:$F$1001,'Input Sheet'!$B$3:$B$1001,$H859,'Input Sheet'!$E$3:$E$1001,M$4)=0,"",SUMIFS('Input Sheet'!$F$3:$F$1001,'Input Sheet'!$B$3:$B$1001,$H859,'Input Sheet'!$E$3:$E$1001,M$4))</f>
        <v/>
      </c>
      <c r="N859" s="21" t="str">
        <f>IF(SUMIFS('Input Sheet'!$F$3:$F$1001,'Input Sheet'!$B$3:$B$1001,$H859,'Input Sheet'!$E$3:$E$1001,N$4)=0,"",SUMIFS('Input Sheet'!$F$3:$F$1001,'Input Sheet'!$B$3:$B$1001,$H859,'Input Sheet'!$E$3:$E$1001,N$4))</f>
        <v/>
      </c>
      <c r="O859" s="21" t="str">
        <f>IF(SUMIFS('Input Sheet'!$F$3:$F$1001,'Input Sheet'!$B$3:$B$1001,$H859,'Input Sheet'!$E$3:$E$1001,O$4)=0,"",SUMIFS('Input Sheet'!$F$3:$F$1001,'Input Sheet'!$B$3:$B$1001,$H859,'Input Sheet'!$E$3:$E$1001,O$4))</f>
        <v/>
      </c>
      <c r="P859" s="21" t="str">
        <f>IF(SUMIFS('Input Sheet'!$F$3:$F$1001,'Input Sheet'!$B$3:$B$1001,$H859,'Input Sheet'!$E$3:$E$1001,P$4)=0,"",SUMIFS('Input Sheet'!$F$3:$F$1001,'Input Sheet'!$B$3:$B$1001,$H859,'Input Sheet'!$E$3:$E$1001,P$4))</f>
        <v/>
      </c>
      <c r="Q859" s="21" t="str">
        <f>IF(SUMIFS('Input Sheet'!$F$3:$F$1001,'Input Sheet'!$B$3:$B$1001,$H859,'Input Sheet'!$E$3:$E$1001,Q$4)=0,"",SUMIFS('Input Sheet'!$F$3:$F$1001,'Input Sheet'!$B$3:$B$1001,$H859,'Input Sheet'!$E$3:$E$1001,Q$4))</f>
        <v/>
      </c>
      <c r="R859" s="21" t="str">
        <f>IF(SUMIFS('Input Sheet'!$F$3:$F$1001,'Input Sheet'!$B$3:$B$1001,$H859,'Input Sheet'!$E$3:$E$1001,R$4)=0,"",SUMIFS('Input Sheet'!$F$3:$F$1001,'Input Sheet'!$B$3:$B$1001,$H859,'Input Sheet'!$E$3:$E$1001,R$4))</f>
        <v/>
      </c>
      <c r="S859" s="21" t="str">
        <f>IF(SUMIFS('Input Sheet'!$F$3:$F$1001,'Input Sheet'!$B$3:$B$1001,$H859,'Input Sheet'!$E$3:$E$1001,S$4)=0,"",SUMIFS('Input Sheet'!$F$3:$F$1001,'Input Sheet'!$B$3:$B$1001,$H859,'Input Sheet'!$E$3:$E$1001,S$4))</f>
        <v/>
      </c>
      <c r="T859" s="22">
        <v>854</v>
      </c>
    </row>
    <row r="860" spans="1:20" ht="14.25" customHeight="1" x14ac:dyDescent="0.3">
      <c r="A860" s="4" t="str">
        <f>IF('Input Sheet'!B857=0,"",'Input Sheet'!B857)</f>
        <v/>
      </c>
      <c r="B860" s="24" t="b">
        <f t="shared" si="788"/>
        <v>0</v>
      </c>
      <c r="C860" s="4">
        <f>SUMIF('Input Sheet'!B$3:B$1000,A860,'Input Sheet'!C$3:C$1000)</f>
        <v>0</v>
      </c>
      <c r="D860" s="4">
        <f>SUMIF('Input Sheet'!B$3:B$1000,A860,'Input Sheet'!D$3:D$1000)</f>
        <v>0</v>
      </c>
      <c r="E860" s="4" t="str">
        <f t="shared" ref="E860:F860" ca="1" si="884">IFERROR(RANK(K860,K$6:K$1004,1),"")</f>
        <v/>
      </c>
      <c r="F860" s="4" t="str">
        <f t="shared" ca="1" si="884"/>
        <v/>
      </c>
      <c r="G860" s="4" t="str">
        <f t="shared" ca="1" si="790"/>
        <v/>
      </c>
      <c r="H860" s="4" t="str">
        <f t="shared" si="791"/>
        <v/>
      </c>
      <c r="I860" s="4" t="str">
        <f t="shared" si="792"/>
        <v/>
      </c>
      <c r="J860" s="4" t="str">
        <f t="shared" si="793"/>
        <v/>
      </c>
      <c r="K860" s="25" t="str">
        <f t="shared" ca="1" si="794"/>
        <v/>
      </c>
      <c r="L860" s="21" t="str">
        <f t="shared" ca="1" si="795"/>
        <v/>
      </c>
      <c r="M860" s="21" t="str">
        <f>IF(SUMIFS('Input Sheet'!$F$3:$F$1001,'Input Sheet'!$B$3:$B$1001,$H860,'Input Sheet'!$E$3:$E$1001,M$4)=0,"",SUMIFS('Input Sheet'!$F$3:$F$1001,'Input Sheet'!$B$3:$B$1001,$H860,'Input Sheet'!$E$3:$E$1001,M$4))</f>
        <v/>
      </c>
      <c r="N860" s="21" t="str">
        <f>IF(SUMIFS('Input Sheet'!$F$3:$F$1001,'Input Sheet'!$B$3:$B$1001,$H860,'Input Sheet'!$E$3:$E$1001,N$4)=0,"",SUMIFS('Input Sheet'!$F$3:$F$1001,'Input Sheet'!$B$3:$B$1001,$H860,'Input Sheet'!$E$3:$E$1001,N$4))</f>
        <v/>
      </c>
      <c r="O860" s="21" t="str">
        <f>IF(SUMIFS('Input Sheet'!$F$3:$F$1001,'Input Sheet'!$B$3:$B$1001,$H860,'Input Sheet'!$E$3:$E$1001,O$4)=0,"",SUMIFS('Input Sheet'!$F$3:$F$1001,'Input Sheet'!$B$3:$B$1001,$H860,'Input Sheet'!$E$3:$E$1001,O$4))</f>
        <v/>
      </c>
      <c r="P860" s="21" t="str">
        <f>IF(SUMIFS('Input Sheet'!$F$3:$F$1001,'Input Sheet'!$B$3:$B$1001,$H860,'Input Sheet'!$E$3:$E$1001,P$4)=0,"",SUMIFS('Input Sheet'!$F$3:$F$1001,'Input Sheet'!$B$3:$B$1001,$H860,'Input Sheet'!$E$3:$E$1001,P$4))</f>
        <v/>
      </c>
      <c r="Q860" s="21" t="str">
        <f>IF(SUMIFS('Input Sheet'!$F$3:$F$1001,'Input Sheet'!$B$3:$B$1001,$H860,'Input Sheet'!$E$3:$E$1001,Q$4)=0,"",SUMIFS('Input Sheet'!$F$3:$F$1001,'Input Sheet'!$B$3:$B$1001,$H860,'Input Sheet'!$E$3:$E$1001,Q$4))</f>
        <v/>
      </c>
      <c r="R860" s="21" t="str">
        <f>IF(SUMIFS('Input Sheet'!$F$3:$F$1001,'Input Sheet'!$B$3:$B$1001,$H860,'Input Sheet'!$E$3:$E$1001,R$4)=0,"",SUMIFS('Input Sheet'!$F$3:$F$1001,'Input Sheet'!$B$3:$B$1001,$H860,'Input Sheet'!$E$3:$E$1001,R$4))</f>
        <v/>
      </c>
      <c r="S860" s="21" t="str">
        <f>IF(SUMIFS('Input Sheet'!$F$3:$F$1001,'Input Sheet'!$B$3:$B$1001,$H860,'Input Sheet'!$E$3:$E$1001,S$4)=0,"",SUMIFS('Input Sheet'!$F$3:$F$1001,'Input Sheet'!$B$3:$B$1001,$H860,'Input Sheet'!$E$3:$E$1001,S$4))</f>
        <v/>
      </c>
      <c r="T860" s="22">
        <v>855</v>
      </c>
    </row>
    <row r="861" spans="1:20" ht="14.25" customHeight="1" x14ac:dyDescent="0.3">
      <c r="A861" s="4" t="str">
        <f>IF('Input Sheet'!B858=0,"",'Input Sheet'!B858)</f>
        <v/>
      </c>
      <c r="B861" s="24" t="b">
        <f t="shared" si="788"/>
        <v>0</v>
      </c>
      <c r="C861" s="4">
        <f>SUMIF('Input Sheet'!B$3:B$1000,A861,'Input Sheet'!C$3:C$1000)</f>
        <v>0</v>
      </c>
      <c r="D861" s="4">
        <f>SUMIF('Input Sheet'!B$3:B$1000,A861,'Input Sheet'!D$3:D$1000)</f>
        <v>0</v>
      </c>
      <c r="E861" s="4" t="str">
        <f t="shared" ref="E861:F861" ca="1" si="885">IFERROR(RANK(K861,K$6:K$1004,1),"")</f>
        <v/>
      </c>
      <c r="F861" s="4" t="str">
        <f t="shared" ca="1" si="885"/>
        <v/>
      </c>
      <c r="G861" s="4" t="str">
        <f t="shared" ca="1" si="790"/>
        <v/>
      </c>
      <c r="H861" s="4" t="str">
        <f t="shared" si="791"/>
        <v/>
      </c>
      <c r="I861" s="4" t="str">
        <f t="shared" si="792"/>
        <v/>
      </c>
      <c r="J861" s="4" t="str">
        <f t="shared" si="793"/>
        <v/>
      </c>
      <c r="K861" s="25" t="str">
        <f t="shared" ca="1" si="794"/>
        <v/>
      </c>
      <c r="L861" s="21" t="str">
        <f t="shared" ca="1" si="795"/>
        <v/>
      </c>
      <c r="M861" s="21" t="str">
        <f>IF(SUMIFS('Input Sheet'!$F$3:$F$1001,'Input Sheet'!$B$3:$B$1001,$H861,'Input Sheet'!$E$3:$E$1001,M$4)=0,"",SUMIFS('Input Sheet'!$F$3:$F$1001,'Input Sheet'!$B$3:$B$1001,$H861,'Input Sheet'!$E$3:$E$1001,M$4))</f>
        <v/>
      </c>
      <c r="N861" s="21" t="str">
        <f>IF(SUMIFS('Input Sheet'!$F$3:$F$1001,'Input Sheet'!$B$3:$B$1001,$H861,'Input Sheet'!$E$3:$E$1001,N$4)=0,"",SUMIFS('Input Sheet'!$F$3:$F$1001,'Input Sheet'!$B$3:$B$1001,$H861,'Input Sheet'!$E$3:$E$1001,N$4))</f>
        <v/>
      </c>
      <c r="O861" s="21" t="str">
        <f>IF(SUMIFS('Input Sheet'!$F$3:$F$1001,'Input Sheet'!$B$3:$B$1001,$H861,'Input Sheet'!$E$3:$E$1001,O$4)=0,"",SUMIFS('Input Sheet'!$F$3:$F$1001,'Input Sheet'!$B$3:$B$1001,$H861,'Input Sheet'!$E$3:$E$1001,O$4))</f>
        <v/>
      </c>
      <c r="P861" s="21" t="str">
        <f>IF(SUMIFS('Input Sheet'!$F$3:$F$1001,'Input Sheet'!$B$3:$B$1001,$H861,'Input Sheet'!$E$3:$E$1001,P$4)=0,"",SUMIFS('Input Sheet'!$F$3:$F$1001,'Input Sheet'!$B$3:$B$1001,$H861,'Input Sheet'!$E$3:$E$1001,P$4))</f>
        <v/>
      </c>
      <c r="Q861" s="21" t="str">
        <f>IF(SUMIFS('Input Sheet'!$F$3:$F$1001,'Input Sheet'!$B$3:$B$1001,$H861,'Input Sheet'!$E$3:$E$1001,Q$4)=0,"",SUMIFS('Input Sheet'!$F$3:$F$1001,'Input Sheet'!$B$3:$B$1001,$H861,'Input Sheet'!$E$3:$E$1001,Q$4))</f>
        <v/>
      </c>
      <c r="R861" s="21" t="str">
        <f>IF(SUMIFS('Input Sheet'!$F$3:$F$1001,'Input Sheet'!$B$3:$B$1001,$H861,'Input Sheet'!$E$3:$E$1001,R$4)=0,"",SUMIFS('Input Sheet'!$F$3:$F$1001,'Input Sheet'!$B$3:$B$1001,$H861,'Input Sheet'!$E$3:$E$1001,R$4))</f>
        <v/>
      </c>
      <c r="S861" s="21" t="str">
        <f>IF(SUMIFS('Input Sheet'!$F$3:$F$1001,'Input Sheet'!$B$3:$B$1001,$H861,'Input Sheet'!$E$3:$E$1001,S$4)=0,"",SUMIFS('Input Sheet'!$F$3:$F$1001,'Input Sheet'!$B$3:$B$1001,$H861,'Input Sheet'!$E$3:$E$1001,S$4))</f>
        <v/>
      </c>
      <c r="T861" s="22">
        <v>856</v>
      </c>
    </row>
    <row r="862" spans="1:20" ht="14.25" customHeight="1" x14ac:dyDescent="0.3">
      <c r="A862" s="4" t="str">
        <f>IF('Input Sheet'!B859=0,"",'Input Sheet'!B859)</f>
        <v/>
      </c>
      <c r="B862" s="24" t="b">
        <f t="shared" si="788"/>
        <v>0</v>
      </c>
      <c r="C862" s="4">
        <f>SUMIF('Input Sheet'!B$3:B$1000,A862,'Input Sheet'!C$3:C$1000)</f>
        <v>0</v>
      </c>
      <c r="D862" s="4">
        <f>SUMIF('Input Sheet'!B$3:B$1000,A862,'Input Sheet'!D$3:D$1000)</f>
        <v>0</v>
      </c>
      <c r="E862" s="4" t="str">
        <f t="shared" ref="E862:F862" ca="1" si="886">IFERROR(RANK(K862,K$6:K$1004,1),"")</f>
        <v/>
      </c>
      <c r="F862" s="4" t="str">
        <f t="shared" ca="1" si="886"/>
        <v/>
      </c>
      <c r="G862" s="4" t="str">
        <f t="shared" ca="1" si="790"/>
        <v/>
      </c>
      <c r="H862" s="4" t="str">
        <f t="shared" si="791"/>
        <v/>
      </c>
      <c r="I862" s="4" t="str">
        <f t="shared" si="792"/>
        <v/>
      </c>
      <c r="J862" s="4" t="str">
        <f t="shared" si="793"/>
        <v/>
      </c>
      <c r="K862" s="25" t="str">
        <f t="shared" ca="1" si="794"/>
        <v/>
      </c>
      <c r="L862" s="21" t="str">
        <f t="shared" ca="1" si="795"/>
        <v/>
      </c>
      <c r="M862" s="21" t="str">
        <f>IF(SUMIFS('Input Sheet'!$F$3:$F$1001,'Input Sheet'!$B$3:$B$1001,$H862,'Input Sheet'!$E$3:$E$1001,M$4)=0,"",SUMIFS('Input Sheet'!$F$3:$F$1001,'Input Sheet'!$B$3:$B$1001,$H862,'Input Sheet'!$E$3:$E$1001,M$4))</f>
        <v/>
      </c>
      <c r="N862" s="21" t="str">
        <f>IF(SUMIFS('Input Sheet'!$F$3:$F$1001,'Input Sheet'!$B$3:$B$1001,$H862,'Input Sheet'!$E$3:$E$1001,N$4)=0,"",SUMIFS('Input Sheet'!$F$3:$F$1001,'Input Sheet'!$B$3:$B$1001,$H862,'Input Sheet'!$E$3:$E$1001,N$4))</f>
        <v/>
      </c>
      <c r="O862" s="21" t="str">
        <f>IF(SUMIFS('Input Sheet'!$F$3:$F$1001,'Input Sheet'!$B$3:$B$1001,$H862,'Input Sheet'!$E$3:$E$1001,O$4)=0,"",SUMIFS('Input Sheet'!$F$3:$F$1001,'Input Sheet'!$B$3:$B$1001,$H862,'Input Sheet'!$E$3:$E$1001,O$4))</f>
        <v/>
      </c>
      <c r="P862" s="21" t="str">
        <f>IF(SUMIFS('Input Sheet'!$F$3:$F$1001,'Input Sheet'!$B$3:$B$1001,$H862,'Input Sheet'!$E$3:$E$1001,P$4)=0,"",SUMIFS('Input Sheet'!$F$3:$F$1001,'Input Sheet'!$B$3:$B$1001,$H862,'Input Sheet'!$E$3:$E$1001,P$4))</f>
        <v/>
      </c>
      <c r="Q862" s="21" t="str">
        <f>IF(SUMIFS('Input Sheet'!$F$3:$F$1001,'Input Sheet'!$B$3:$B$1001,$H862,'Input Sheet'!$E$3:$E$1001,Q$4)=0,"",SUMIFS('Input Sheet'!$F$3:$F$1001,'Input Sheet'!$B$3:$B$1001,$H862,'Input Sheet'!$E$3:$E$1001,Q$4))</f>
        <v/>
      </c>
      <c r="R862" s="21" t="str">
        <f>IF(SUMIFS('Input Sheet'!$F$3:$F$1001,'Input Sheet'!$B$3:$B$1001,$H862,'Input Sheet'!$E$3:$E$1001,R$4)=0,"",SUMIFS('Input Sheet'!$F$3:$F$1001,'Input Sheet'!$B$3:$B$1001,$H862,'Input Sheet'!$E$3:$E$1001,R$4))</f>
        <v/>
      </c>
      <c r="S862" s="21" t="str">
        <f>IF(SUMIFS('Input Sheet'!$F$3:$F$1001,'Input Sheet'!$B$3:$B$1001,$H862,'Input Sheet'!$E$3:$E$1001,S$4)=0,"",SUMIFS('Input Sheet'!$F$3:$F$1001,'Input Sheet'!$B$3:$B$1001,$H862,'Input Sheet'!$E$3:$E$1001,S$4))</f>
        <v/>
      </c>
      <c r="T862" s="22">
        <v>857</v>
      </c>
    </row>
    <row r="863" spans="1:20" ht="14.25" customHeight="1" x14ac:dyDescent="0.3">
      <c r="A863" s="4" t="str">
        <f>IF('Input Sheet'!B860=0,"",'Input Sheet'!B860)</f>
        <v/>
      </c>
      <c r="B863" s="24" t="b">
        <f t="shared" si="788"/>
        <v>0</v>
      </c>
      <c r="C863" s="4">
        <f>SUMIF('Input Sheet'!B$3:B$1000,A863,'Input Sheet'!C$3:C$1000)</f>
        <v>0</v>
      </c>
      <c r="D863" s="4">
        <f>SUMIF('Input Sheet'!B$3:B$1000,A863,'Input Sheet'!D$3:D$1000)</f>
        <v>0</v>
      </c>
      <c r="E863" s="4" t="str">
        <f t="shared" ref="E863:F863" ca="1" si="887">IFERROR(RANK(K863,K$6:K$1004,1),"")</f>
        <v/>
      </c>
      <c r="F863" s="4" t="str">
        <f t="shared" ca="1" si="887"/>
        <v/>
      </c>
      <c r="G863" s="4" t="str">
        <f t="shared" ca="1" si="790"/>
        <v/>
      </c>
      <c r="H863" s="4" t="str">
        <f t="shared" si="791"/>
        <v/>
      </c>
      <c r="I863" s="4" t="str">
        <f t="shared" si="792"/>
        <v/>
      </c>
      <c r="J863" s="4" t="str">
        <f t="shared" si="793"/>
        <v/>
      </c>
      <c r="K863" s="25" t="str">
        <f t="shared" ca="1" si="794"/>
        <v/>
      </c>
      <c r="L863" s="21" t="str">
        <f t="shared" ca="1" si="795"/>
        <v/>
      </c>
      <c r="M863" s="21" t="str">
        <f>IF(SUMIFS('Input Sheet'!$F$3:$F$1001,'Input Sheet'!$B$3:$B$1001,$H863,'Input Sheet'!$E$3:$E$1001,M$4)=0,"",SUMIFS('Input Sheet'!$F$3:$F$1001,'Input Sheet'!$B$3:$B$1001,$H863,'Input Sheet'!$E$3:$E$1001,M$4))</f>
        <v/>
      </c>
      <c r="N863" s="21" t="str">
        <f>IF(SUMIFS('Input Sheet'!$F$3:$F$1001,'Input Sheet'!$B$3:$B$1001,$H863,'Input Sheet'!$E$3:$E$1001,N$4)=0,"",SUMIFS('Input Sheet'!$F$3:$F$1001,'Input Sheet'!$B$3:$B$1001,$H863,'Input Sheet'!$E$3:$E$1001,N$4))</f>
        <v/>
      </c>
      <c r="O863" s="21" t="str">
        <f>IF(SUMIFS('Input Sheet'!$F$3:$F$1001,'Input Sheet'!$B$3:$B$1001,$H863,'Input Sheet'!$E$3:$E$1001,O$4)=0,"",SUMIFS('Input Sheet'!$F$3:$F$1001,'Input Sheet'!$B$3:$B$1001,$H863,'Input Sheet'!$E$3:$E$1001,O$4))</f>
        <v/>
      </c>
      <c r="P863" s="21" t="str">
        <f>IF(SUMIFS('Input Sheet'!$F$3:$F$1001,'Input Sheet'!$B$3:$B$1001,$H863,'Input Sheet'!$E$3:$E$1001,P$4)=0,"",SUMIFS('Input Sheet'!$F$3:$F$1001,'Input Sheet'!$B$3:$B$1001,$H863,'Input Sheet'!$E$3:$E$1001,P$4))</f>
        <v/>
      </c>
      <c r="Q863" s="21" t="str">
        <f>IF(SUMIFS('Input Sheet'!$F$3:$F$1001,'Input Sheet'!$B$3:$B$1001,$H863,'Input Sheet'!$E$3:$E$1001,Q$4)=0,"",SUMIFS('Input Sheet'!$F$3:$F$1001,'Input Sheet'!$B$3:$B$1001,$H863,'Input Sheet'!$E$3:$E$1001,Q$4))</f>
        <v/>
      </c>
      <c r="R863" s="21" t="str">
        <f>IF(SUMIFS('Input Sheet'!$F$3:$F$1001,'Input Sheet'!$B$3:$B$1001,$H863,'Input Sheet'!$E$3:$E$1001,R$4)=0,"",SUMIFS('Input Sheet'!$F$3:$F$1001,'Input Sheet'!$B$3:$B$1001,$H863,'Input Sheet'!$E$3:$E$1001,R$4))</f>
        <v/>
      </c>
      <c r="S863" s="21" t="str">
        <f>IF(SUMIFS('Input Sheet'!$F$3:$F$1001,'Input Sheet'!$B$3:$B$1001,$H863,'Input Sheet'!$E$3:$E$1001,S$4)=0,"",SUMIFS('Input Sheet'!$F$3:$F$1001,'Input Sheet'!$B$3:$B$1001,$H863,'Input Sheet'!$E$3:$E$1001,S$4))</f>
        <v/>
      </c>
      <c r="T863" s="22">
        <v>858</v>
      </c>
    </row>
    <row r="864" spans="1:20" ht="14.25" customHeight="1" x14ac:dyDescent="0.3">
      <c r="A864" s="4" t="str">
        <f>IF('Input Sheet'!B861=0,"",'Input Sheet'!B861)</f>
        <v/>
      </c>
      <c r="B864" s="24" t="b">
        <f t="shared" si="788"/>
        <v>0</v>
      </c>
      <c r="C864" s="4">
        <f>SUMIF('Input Sheet'!B$3:B$1000,A864,'Input Sheet'!C$3:C$1000)</f>
        <v>0</v>
      </c>
      <c r="D864" s="4">
        <f>SUMIF('Input Sheet'!B$3:B$1000,A864,'Input Sheet'!D$3:D$1000)</f>
        <v>0</v>
      </c>
      <c r="E864" s="4" t="str">
        <f t="shared" ref="E864:F864" ca="1" si="888">IFERROR(RANK(K864,K$6:K$1004,1),"")</f>
        <v/>
      </c>
      <c r="F864" s="4" t="str">
        <f t="shared" ca="1" si="888"/>
        <v/>
      </c>
      <c r="G864" s="4" t="str">
        <f t="shared" ca="1" si="790"/>
        <v/>
      </c>
      <c r="H864" s="4" t="str">
        <f t="shared" si="791"/>
        <v/>
      </c>
      <c r="I864" s="4" t="str">
        <f t="shared" si="792"/>
        <v/>
      </c>
      <c r="J864" s="4" t="str">
        <f t="shared" si="793"/>
        <v/>
      </c>
      <c r="K864" s="25" t="str">
        <f t="shared" ca="1" si="794"/>
        <v/>
      </c>
      <c r="L864" s="21" t="str">
        <f t="shared" ca="1" si="795"/>
        <v/>
      </c>
      <c r="M864" s="21" t="str">
        <f>IF(SUMIFS('Input Sheet'!$F$3:$F$1001,'Input Sheet'!$B$3:$B$1001,$H864,'Input Sheet'!$E$3:$E$1001,M$4)=0,"",SUMIFS('Input Sheet'!$F$3:$F$1001,'Input Sheet'!$B$3:$B$1001,$H864,'Input Sheet'!$E$3:$E$1001,M$4))</f>
        <v/>
      </c>
      <c r="N864" s="21" t="str">
        <f>IF(SUMIFS('Input Sheet'!$F$3:$F$1001,'Input Sheet'!$B$3:$B$1001,$H864,'Input Sheet'!$E$3:$E$1001,N$4)=0,"",SUMIFS('Input Sheet'!$F$3:$F$1001,'Input Sheet'!$B$3:$B$1001,$H864,'Input Sheet'!$E$3:$E$1001,N$4))</f>
        <v/>
      </c>
      <c r="O864" s="21" t="str">
        <f>IF(SUMIFS('Input Sheet'!$F$3:$F$1001,'Input Sheet'!$B$3:$B$1001,$H864,'Input Sheet'!$E$3:$E$1001,O$4)=0,"",SUMIFS('Input Sheet'!$F$3:$F$1001,'Input Sheet'!$B$3:$B$1001,$H864,'Input Sheet'!$E$3:$E$1001,O$4))</f>
        <v/>
      </c>
      <c r="P864" s="21" t="str">
        <f>IF(SUMIFS('Input Sheet'!$F$3:$F$1001,'Input Sheet'!$B$3:$B$1001,$H864,'Input Sheet'!$E$3:$E$1001,P$4)=0,"",SUMIFS('Input Sheet'!$F$3:$F$1001,'Input Sheet'!$B$3:$B$1001,$H864,'Input Sheet'!$E$3:$E$1001,P$4))</f>
        <v/>
      </c>
      <c r="Q864" s="21" t="str">
        <f>IF(SUMIFS('Input Sheet'!$F$3:$F$1001,'Input Sheet'!$B$3:$B$1001,$H864,'Input Sheet'!$E$3:$E$1001,Q$4)=0,"",SUMIFS('Input Sheet'!$F$3:$F$1001,'Input Sheet'!$B$3:$B$1001,$H864,'Input Sheet'!$E$3:$E$1001,Q$4))</f>
        <v/>
      </c>
      <c r="R864" s="21" t="str">
        <f>IF(SUMIFS('Input Sheet'!$F$3:$F$1001,'Input Sheet'!$B$3:$B$1001,$H864,'Input Sheet'!$E$3:$E$1001,R$4)=0,"",SUMIFS('Input Sheet'!$F$3:$F$1001,'Input Sheet'!$B$3:$B$1001,$H864,'Input Sheet'!$E$3:$E$1001,R$4))</f>
        <v/>
      </c>
      <c r="S864" s="21" t="str">
        <f>IF(SUMIFS('Input Sheet'!$F$3:$F$1001,'Input Sheet'!$B$3:$B$1001,$H864,'Input Sheet'!$E$3:$E$1001,S$4)=0,"",SUMIFS('Input Sheet'!$F$3:$F$1001,'Input Sheet'!$B$3:$B$1001,$H864,'Input Sheet'!$E$3:$E$1001,S$4))</f>
        <v/>
      </c>
      <c r="T864" s="22">
        <v>859</v>
      </c>
    </row>
    <row r="865" spans="1:20" ht="14.25" customHeight="1" x14ac:dyDescent="0.3">
      <c r="A865" s="4" t="str">
        <f>IF('Input Sheet'!B862=0,"",'Input Sheet'!B862)</f>
        <v/>
      </c>
      <c r="B865" s="24" t="b">
        <f t="shared" si="788"/>
        <v>0</v>
      </c>
      <c r="C865" s="4">
        <f>SUMIF('Input Sheet'!B$3:B$1000,A865,'Input Sheet'!C$3:C$1000)</f>
        <v>0</v>
      </c>
      <c r="D865" s="4">
        <f>SUMIF('Input Sheet'!B$3:B$1000,A865,'Input Sheet'!D$3:D$1000)</f>
        <v>0</v>
      </c>
      <c r="E865" s="4" t="str">
        <f t="shared" ref="E865:F865" ca="1" si="889">IFERROR(RANK(K865,K$6:K$1004,1),"")</f>
        <v/>
      </c>
      <c r="F865" s="4" t="str">
        <f t="shared" ca="1" si="889"/>
        <v/>
      </c>
      <c r="G865" s="4" t="str">
        <f t="shared" ca="1" si="790"/>
        <v/>
      </c>
      <c r="H865" s="4" t="str">
        <f t="shared" si="791"/>
        <v/>
      </c>
      <c r="I865" s="4" t="str">
        <f t="shared" si="792"/>
        <v/>
      </c>
      <c r="J865" s="4" t="str">
        <f t="shared" si="793"/>
        <v/>
      </c>
      <c r="K865" s="25" t="str">
        <f t="shared" ca="1" si="794"/>
        <v/>
      </c>
      <c r="L865" s="21" t="str">
        <f t="shared" ca="1" si="795"/>
        <v/>
      </c>
      <c r="M865" s="21" t="str">
        <f>IF(SUMIFS('Input Sheet'!$F$3:$F$1001,'Input Sheet'!$B$3:$B$1001,$H865,'Input Sheet'!$E$3:$E$1001,M$4)=0,"",SUMIFS('Input Sheet'!$F$3:$F$1001,'Input Sheet'!$B$3:$B$1001,$H865,'Input Sheet'!$E$3:$E$1001,M$4))</f>
        <v/>
      </c>
      <c r="N865" s="21" t="str">
        <f>IF(SUMIFS('Input Sheet'!$F$3:$F$1001,'Input Sheet'!$B$3:$B$1001,$H865,'Input Sheet'!$E$3:$E$1001,N$4)=0,"",SUMIFS('Input Sheet'!$F$3:$F$1001,'Input Sheet'!$B$3:$B$1001,$H865,'Input Sheet'!$E$3:$E$1001,N$4))</f>
        <v/>
      </c>
      <c r="O865" s="21" t="str">
        <f>IF(SUMIFS('Input Sheet'!$F$3:$F$1001,'Input Sheet'!$B$3:$B$1001,$H865,'Input Sheet'!$E$3:$E$1001,O$4)=0,"",SUMIFS('Input Sheet'!$F$3:$F$1001,'Input Sheet'!$B$3:$B$1001,$H865,'Input Sheet'!$E$3:$E$1001,O$4))</f>
        <v/>
      </c>
      <c r="P865" s="21" t="str">
        <f>IF(SUMIFS('Input Sheet'!$F$3:$F$1001,'Input Sheet'!$B$3:$B$1001,$H865,'Input Sheet'!$E$3:$E$1001,P$4)=0,"",SUMIFS('Input Sheet'!$F$3:$F$1001,'Input Sheet'!$B$3:$B$1001,$H865,'Input Sheet'!$E$3:$E$1001,P$4))</f>
        <v/>
      </c>
      <c r="Q865" s="21" t="str">
        <f>IF(SUMIFS('Input Sheet'!$F$3:$F$1001,'Input Sheet'!$B$3:$B$1001,$H865,'Input Sheet'!$E$3:$E$1001,Q$4)=0,"",SUMIFS('Input Sheet'!$F$3:$F$1001,'Input Sheet'!$B$3:$B$1001,$H865,'Input Sheet'!$E$3:$E$1001,Q$4))</f>
        <v/>
      </c>
      <c r="R865" s="21" t="str">
        <f>IF(SUMIFS('Input Sheet'!$F$3:$F$1001,'Input Sheet'!$B$3:$B$1001,$H865,'Input Sheet'!$E$3:$E$1001,R$4)=0,"",SUMIFS('Input Sheet'!$F$3:$F$1001,'Input Sheet'!$B$3:$B$1001,$H865,'Input Sheet'!$E$3:$E$1001,R$4))</f>
        <v/>
      </c>
      <c r="S865" s="21" t="str">
        <f>IF(SUMIFS('Input Sheet'!$F$3:$F$1001,'Input Sheet'!$B$3:$B$1001,$H865,'Input Sheet'!$E$3:$E$1001,S$4)=0,"",SUMIFS('Input Sheet'!$F$3:$F$1001,'Input Sheet'!$B$3:$B$1001,$H865,'Input Sheet'!$E$3:$E$1001,S$4))</f>
        <v/>
      </c>
      <c r="T865" s="22">
        <v>860</v>
      </c>
    </row>
    <row r="866" spans="1:20" ht="14.25" customHeight="1" x14ac:dyDescent="0.3">
      <c r="A866" s="4" t="str">
        <f>IF('Input Sheet'!B863=0,"",'Input Sheet'!B863)</f>
        <v/>
      </c>
      <c r="B866" s="24" t="b">
        <f t="shared" si="788"/>
        <v>0</v>
      </c>
      <c r="C866" s="4">
        <f>SUMIF('Input Sheet'!B$3:B$1000,A866,'Input Sheet'!C$3:C$1000)</f>
        <v>0</v>
      </c>
      <c r="D866" s="4">
        <f>SUMIF('Input Sheet'!B$3:B$1000,A866,'Input Sheet'!D$3:D$1000)</f>
        <v>0</v>
      </c>
      <c r="E866" s="4" t="str">
        <f t="shared" ref="E866:F866" ca="1" si="890">IFERROR(RANK(K866,K$6:K$1004,1),"")</f>
        <v/>
      </c>
      <c r="F866" s="4" t="str">
        <f t="shared" ca="1" si="890"/>
        <v/>
      </c>
      <c r="G866" s="4" t="str">
        <f t="shared" ca="1" si="790"/>
        <v/>
      </c>
      <c r="H866" s="4" t="str">
        <f t="shared" si="791"/>
        <v/>
      </c>
      <c r="I866" s="4" t="str">
        <f t="shared" si="792"/>
        <v/>
      </c>
      <c r="J866" s="4" t="str">
        <f t="shared" si="793"/>
        <v/>
      </c>
      <c r="K866" s="25" t="str">
        <f t="shared" ca="1" si="794"/>
        <v/>
      </c>
      <c r="L866" s="21" t="str">
        <f t="shared" ca="1" si="795"/>
        <v/>
      </c>
      <c r="M866" s="21" t="str">
        <f>IF(SUMIFS('Input Sheet'!$F$3:$F$1001,'Input Sheet'!$B$3:$B$1001,$H866,'Input Sheet'!$E$3:$E$1001,M$4)=0,"",SUMIFS('Input Sheet'!$F$3:$F$1001,'Input Sheet'!$B$3:$B$1001,$H866,'Input Sheet'!$E$3:$E$1001,M$4))</f>
        <v/>
      </c>
      <c r="N866" s="21" t="str">
        <f>IF(SUMIFS('Input Sheet'!$F$3:$F$1001,'Input Sheet'!$B$3:$B$1001,$H866,'Input Sheet'!$E$3:$E$1001,N$4)=0,"",SUMIFS('Input Sheet'!$F$3:$F$1001,'Input Sheet'!$B$3:$B$1001,$H866,'Input Sheet'!$E$3:$E$1001,N$4))</f>
        <v/>
      </c>
      <c r="O866" s="21" t="str">
        <f>IF(SUMIFS('Input Sheet'!$F$3:$F$1001,'Input Sheet'!$B$3:$B$1001,$H866,'Input Sheet'!$E$3:$E$1001,O$4)=0,"",SUMIFS('Input Sheet'!$F$3:$F$1001,'Input Sheet'!$B$3:$B$1001,$H866,'Input Sheet'!$E$3:$E$1001,O$4))</f>
        <v/>
      </c>
      <c r="P866" s="21" t="str">
        <f>IF(SUMIFS('Input Sheet'!$F$3:$F$1001,'Input Sheet'!$B$3:$B$1001,$H866,'Input Sheet'!$E$3:$E$1001,P$4)=0,"",SUMIFS('Input Sheet'!$F$3:$F$1001,'Input Sheet'!$B$3:$B$1001,$H866,'Input Sheet'!$E$3:$E$1001,P$4))</f>
        <v/>
      </c>
      <c r="Q866" s="21" t="str">
        <f>IF(SUMIFS('Input Sheet'!$F$3:$F$1001,'Input Sheet'!$B$3:$B$1001,$H866,'Input Sheet'!$E$3:$E$1001,Q$4)=0,"",SUMIFS('Input Sheet'!$F$3:$F$1001,'Input Sheet'!$B$3:$B$1001,$H866,'Input Sheet'!$E$3:$E$1001,Q$4))</f>
        <v/>
      </c>
      <c r="R866" s="21" t="str">
        <f>IF(SUMIFS('Input Sheet'!$F$3:$F$1001,'Input Sheet'!$B$3:$B$1001,$H866,'Input Sheet'!$E$3:$E$1001,R$4)=0,"",SUMIFS('Input Sheet'!$F$3:$F$1001,'Input Sheet'!$B$3:$B$1001,$H866,'Input Sheet'!$E$3:$E$1001,R$4))</f>
        <v/>
      </c>
      <c r="S866" s="21" t="str">
        <f>IF(SUMIFS('Input Sheet'!$F$3:$F$1001,'Input Sheet'!$B$3:$B$1001,$H866,'Input Sheet'!$E$3:$E$1001,S$4)=0,"",SUMIFS('Input Sheet'!$F$3:$F$1001,'Input Sheet'!$B$3:$B$1001,$H866,'Input Sheet'!$E$3:$E$1001,S$4))</f>
        <v/>
      </c>
      <c r="T866" s="22">
        <v>861</v>
      </c>
    </row>
    <row r="867" spans="1:20" ht="14.25" customHeight="1" x14ac:dyDescent="0.3">
      <c r="A867" s="4" t="str">
        <f>IF('Input Sheet'!B864=0,"",'Input Sheet'!B864)</f>
        <v/>
      </c>
      <c r="B867" s="24" t="b">
        <f t="shared" si="788"/>
        <v>0</v>
      </c>
      <c r="C867" s="4">
        <f>SUMIF('Input Sheet'!B$3:B$1000,A867,'Input Sheet'!C$3:C$1000)</f>
        <v>0</v>
      </c>
      <c r="D867" s="4">
        <f>SUMIF('Input Sheet'!B$3:B$1000,A867,'Input Sheet'!D$3:D$1000)</f>
        <v>0</v>
      </c>
      <c r="E867" s="4" t="str">
        <f t="shared" ref="E867:F867" ca="1" si="891">IFERROR(RANK(K867,K$6:K$1004,1),"")</f>
        <v/>
      </c>
      <c r="F867" s="4" t="str">
        <f t="shared" ca="1" si="891"/>
        <v/>
      </c>
      <c r="G867" s="4" t="str">
        <f t="shared" ca="1" si="790"/>
        <v/>
      </c>
      <c r="H867" s="4" t="str">
        <f t="shared" si="791"/>
        <v/>
      </c>
      <c r="I867" s="4" t="str">
        <f t="shared" si="792"/>
        <v/>
      </c>
      <c r="J867" s="4" t="str">
        <f t="shared" si="793"/>
        <v/>
      </c>
      <c r="K867" s="25" t="str">
        <f t="shared" ca="1" si="794"/>
        <v/>
      </c>
      <c r="L867" s="21" t="str">
        <f t="shared" ca="1" si="795"/>
        <v/>
      </c>
      <c r="M867" s="21" t="str">
        <f>IF(SUMIFS('Input Sheet'!$F$3:$F$1001,'Input Sheet'!$B$3:$B$1001,$H867,'Input Sheet'!$E$3:$E$1001,M$4)=0,"",SUMIFS('Input Sheet'!$F$3:$F$1001,'Input Sheet'!$B$3:$B$1001,$H867,'Input Sheet'!$E$3:$E$1001,M$4))</f>
        <v/>
      </c>
      <c r="N867" s="21" t="str">
        <f>IF(SUMIFS('Input Sheet'!$F$3:$F$1001,'Input Sheet'!$B$3:$B$1001,$H867,'Input Sheet'!$E$3:$E$1001,N$4)=0,"",SUMIFS('Input Sheet'!$F$3:$F$1001,'Input Sheet'!$B$3:$B$1001,$H867,'Input Sheet'!$E$3:$E$1001,N$4))</f>
        <v/>
      </c>
      <c r="O867" s="21" t="str">
        <f>IF(SUMIFS('Input Sheet'!$F$3:$F$1001,'Input Sheet'!$B$3:$B$1001,$H867,'Input Sheet'!$E$3:$E$1001,O$4)=0,"",SUMIFS('Input Sheet'!$F$3:$F$1001,'Input Sheet'!$B$3:$B$1001,$H867,'Input Sheet'!$E$3:$E$1001,O$4))</f>
        <v/>
      </c>
      <c r="P867" s="21" t="str">
        <f>IF(SUMIFS('Input Sheet'!$F$3:$F$1001,'Input Sheet'!$B$3:$B$1001,$H867,'Input Sheet'!$E$3:$E$1001,P$4)=0,"",SUMIFS('Input Sheet'!$F$3:$F$1001,'Input Sheet'!$B$3:$B$1001,$H867,'Input Sheet'!$E$3:$E$1001,P$4))</f>
        <v/>
      </c>
      <c r="Q867" s="21" t="str">
        <f>IF(SUMIFS('Input Sheet'!$F$3:$F$1001,'Input Sheet'!$B$3:$B$1001,$H867,'Input Sheet'!$E$3:$E$1001,Q$4)=0,"",SUMIFS('Input Sheet'!$F$3:$F$1001,'Input Sheet'!$B$3:$B$1001,$H867,'Input Sheet'!$E$3:$E$1001,Q$4))</f>
        <v/>
      </c>
      <c r="R867" s="21" t="str">
        <f>IF(SUMIFS('Input Sheet'!$F$3:$F$1001,'Input Sheet'!$B$3:$B$1001,$H867,'Input Sheet'!$E$3:$E$1001,R$4)=0,"",SUMIFS('Input Sheet'!$F$3:$F$1001,'Input Sheet'!$B$3:$B$1001,$H867,'Input Sheet'!$E$3:$E$1001,R$4))</f>
        <v/>
      </c>
      <c r="S867" s="21" t="str">
        <f>IF(SUMIFS('Input Sheet'!$F$3:$F$1001,'Input Sheet'!$B$3:$B$1001,$H867,'Input Sheet'!$E$3:$E$1001,S$4)=0,"",SUMIFS('Input Sheet'!$F$3:$F$1001,'Input Sheet'!$B$3:$B$1001,$H867,'Input Sheet'!$E$3:$E$1001,S$4))</f>
        <v/>
      </c>
      <c r="T867" s="22">
        <v>862</v>
      </c>
    </row>
    <row r="868" spans="1:20" ht="14.25" customHeight="1" x14ac:dyDescent="0.3">
      <c r="A868" s="4" t="str">
        <f>IF('Input Sheet'!B865=0,"",'Input Sheet'!B865)</f>
        <v/>
      </c>
      <c r="B868" s="24" t="b">
        <f t="shared" si="788"/>
        <v>0</v>
      </c>
      <c r="C868" s="4">
        <f>SUMIF('Input Sheet'!B$3:B$1000,A868,'Input Sheet'!C$3:C$1000)</f>
        <v>0</v>
      </c>
      <c r="D868" s="4">
        <f>SUMIF('Input Sheet'!B$3:B$1000,A868,'Input Sheet'!D$3:D$1000)</f>
        <v>0</v>
      </c>
      <c r="E868" s="4" t="str">
        <f t="shared" ref="E868:F868" ca="1" si="892">IFERROR(RANK(K868,K$6:K$1004,1),"")</f>
        <v/>
      </c>
      <c r="F868" s="4" t="str">
        <f t="shared" ca="1" si="892"/>
        <v/>
      </c>
      <c r="G868" s="4" t="str">
        <f t="shared" ca="1" si="790"/>
        <v/>
      </c>
      <c r="H868" s="4" t="str">
        <f t="shared" si="791"/>
        <v/>
      </c>
      <c r="I868" s="4" t="str">
        <f t="shared" si="792"/>
        <v/>
      </c>
      <c r="J868" s="4" t="str">
        <f t="shared" si="793"/>
        <v/>
      </c>
      <c r="K868" s="25" t="str">
        <f t="shared" ca="1" si="794"/>
        <v/>
      </c>
      <c r="L868" s="21" t="str">
        <f t="shared" ca="1" si="795"/>
        <v/>
      </c>
      <c r="M868" s="21" t="str">
        <f>IF(SUMIFS('Input Sheet'!$F$3:$F$1001,'Input Sheet'!$B$3:$B$1001,$H868,'Input Sheet'!$E$3:$E$1001,M$4)=0,"",SUMIFS('Input Sheet'!$F$3:$F$1001,'Input Sheet'!$B$3:$B$1001,$H868,'Input Sheet'!$E$3:$E$1001,M$4))</f>
        <v/>
      </c>
      <c r="N868" s="21" t="str">
        <f>IF(SUMIFS('Input Sheet'!$F$3:$F$1001,'Input Sheet'!$B$3:$B$1001,$H868,'Input Sheet'!$E$3:$E$1001,N$4)=0,"",SUMIFS('Input Sheet'!$F$3:$F$1001,'Input Sheet'!$B$3:$B$1001,$H868,'Input Sheet'!$E$3:$E$1001,N$4))</f>
        <v/>
      </c>
      <c r="O868" s="21" t="str">
        <f>IF(SUMIFS('Input Sheet'!$F$3:$F$1001,'Input Sheet'!$B$3:$B$1001,$H868,'Input Sheet'!$E$3:$E$1001,O$4)=0,"",SUMIFS('Input Sheet'!$F$3:$F$1001,'Input Sheet'!$B$3:$B$1001,$H868,'Input Sheet'!$E$3:$E$1001,O$4))</f>
        <v/>
      </c>
      <c r="P868" s="21" t="str">
        <f>IF(SUMIFS('Input Sheet'!$F$3:$F$1001,'Input Sheet'!$B$3:$B$1001,$H868,'Input Sheet'!$E$3:$E$1001,P$4)=0,"",SUMIFS('Input Sheet'!$F$3:$F$1001,'Input Sheet'!$B$3:$B$1001,$H868,'Input Sheet'!$E$3:$E$1001,P$4))</f>
        <v/>
      </c>
      <c r="Q868" s="21" t="str">
        <f>IF(SUMIFS('Input Sheet'!$F$3:$F$1001,'Input Sheet'!$B$3:$B$1001,$H868,'Input Sheet'!$E$3:$E$1001,Q$4)=0,"",SUMIFS('Input Sheet'!$F$3:$F$1001,'Input Sheet'!$B$3:$B$1001,$H868,'Input Sheet'!$E$3:$E$1001,Q$4))</f>
        <v/>
      </c>
      <c r="R868" s="21" t="str">
        <f>IF(SUMIFS('Input Sheet'!$F$3:$F$1001,'Input Sheet'!$B$3:$B$1001,$H868,'Input Sheet'!$E$3:$E$1001,R$4)=0,"",SUMIFS('Input Sheet'!$F$3:$F$1001,'Input Sheet'!$B$3:$B$1001,$H868,'Input Sheet'!$E$3:$E$1001,R$4))</f>
        <v/>
      </c>
      <c r="S868" s="21" t="str">
        <f>IF(SUMIFS('Input Sheet'!$F$3:$F$1001,'Input Sheet'!$B$3:$B$1001,$H868,'Input Sheet'!$E$3:$E$1001,S$4)=0,"",SUMIFS('Input Sheet'!$F$3:$F$1001,'Input Sheet'!$B$3:$B$1001,$H868,'Input Sheet'!$E$3:$E$1001,S$4))</f>
        <v/>
      </c>
      <c r="T868" s="22">
        <v>863</v>
      </c>
    </row>
    <row r="869" spans="1:20" ht="14.25" customHeight="1" x14ac:dyDescent="0.3">
      <c r="A869" s="4" t="str">
        <f>IF('Input Sheet'!B866=0,"",'Input Sheet'!B866)</f>
        <v/>
      </c>
      <c r="B869" s="24" t="b">
        <f t="shared" si="788"/>
        <v>0</v>
      </c>
      <c r="C869" s="4">
        <f>SUMIF('Input Sheet'!B$3:B$1000,A869,'Input Sheet'!C$3:C$1000)</f>
        <v>0</v>
      </c>
      <c r="D869" s="4">
        <f>SUMIF('Input Sheet'!B$3:B$1000,A869,'Input Sheet'!D$3:D$1000)</f>
        <v>0</v>
      </c>
      <c r="E869" s="4" t="str">
        <f t="shared" ref="E869:F869" ca="1" si="893">IFERROR(RANK(K869,K$6:K$1004,1),"")</f>
        <v/>
      </c>
      <c r="F869" s="4" t="str">
        <f t="shared" ca="1" si="893"/>
        <v/>
      </c>
      <c r="G869" s="4" t="str">
        <f t="shared" ca="1" si="790"/>
        <v/>
      </c>
      <c r="H869" s="4" t="str">
        <f t="shared" si="791"/>
        <v/>
      </c>
      <c r="I869" s="4" t="str">
        <f t="shared" si="792"/>
        <v/>
      </c>
      <c r="J869" s="4" t="str">
        <f t="shared" si="793"/>
        <v/>
      </c>
      <c r="K869" s="25" t="str">
        <f t="shared" ca="1" si="794"/>
        <v/>
      </c>
      <c r="L869" s="21" t="str">
        <f t="shared" ca="1" si="795"/>
        <v/>
      </c>
      <c r="M869" s="21" t="str">
        <f>IF(SUMIFS('Input Sheet'!$F$3:$F$1001,'Input Sheet'!$B$3:$B$1001,$H869,'Input Sheet'!$E$3:$E$1001,M$4)=0,"",SUMIFS('Input Sheet'!$F$3:$F$1001,'Input Sheet'!$B$3:$B$1001,$H869,'Input Sheet'!$E$3:$E$1001,M$4))</f>
        <v/>
      </c>
      <c r="N869" s="21" t="str">
        <f>IF(SUMIFS('Input Sheet'!$F$3:$F$1001,'Input Sheet'!$B$3:$B$1001,$H869,'Input Sheet'!$E$3:$E$1001,N$4)=0,"",SUMIFS('Input Sheet'!$F$3:$F$1001,'Input Sheet'!$B$3:$B$1001,$H869,'Input Sheet'!$E$3:$E$1001,N$4))</f>
        <v/>
      </c>
      <c r="O869" s="21" t="str">
        <f>IF(SUMIFS('Input Sheet'!$F$3:$F$1001,'Input Sheet'!$B$3:$B$1001,$H869,'Input Sheet'!$E$3:$E$1001,O$4)=0,"",SUMIFS('Input Sheet'!$F$3:$F$1001,'Input Sheet'!$B$3:$B$1001,$H869,'Input Sheet'!$E$3:$E$1001,O$4))</f>
        <v/>
      </c>
      <c r="P869" s="21" t="str">
        <f>IF(SUMIFS('Input Sheet'!$F$3:$F$1001,'Input Sheet'!$B$3:$B$1001,$H869,'Input Sheet'!$E$3:$E$1001,P$4)=0,"",SUMIFS('Input Sheet'!$F$3:$F$1001,'Input Sheet'!$B$3:$B$1001,$H869,'Input Sheet'!$E$3:$E$1001,P$4))</f>
        <v/>
      </c>
      <c r="Q869" s="21" t="str">
        <f>IF(SUMIFS('Input Sheet'!$F$3:$F$1001,'Input Sheet'!$B$3:$B$1001,$H869,'Input Sheet'!$E$3:$E$1001,Q$4)=0,"",SUMIFS('Input Sheet'!$F$3:$F$1001,'Input Sheet'!$B$3:$B$1001,$H869,'Input Sheet'!$E$3:$E$1001,Q$4))</f>
        <v/>
      </c>
      <c r="R869" s="21" t="str">
        <f>IF(SUMIFS('Input Sheet'!$F$3:$F$1001,'Input Sheet'!$B$3:$B$1001,$H869,'Input Sheet'!$E$3:$E$1001,R$4)=0,"",SUMIFS('Input Sheet'!$F$3:$F$1001,'Input Sheet'!$B$3:$B$1001,$H869,'Input Sheet'!$E$3:$E$1001,R$4))</f>
        <v/>
      </c>
      <c r="S869" s="21" t="str">
        <f>IF(SUMIFS('Input Sheet'!$F$3:$F$1001,'Input Sheet'!$B$3:$B$1001,$H869,'Input Sheet'!$E$3:$E$1001,S$4)=0,"",SUMIFS('Input Sheet'!$F$3:$F$1001,'Input Sheet'!$B$3:$B$1001,$H869,'Input Sheet'!$E$3:$E$1001,S$4))</f>
        <v/>
      </c>
      <c r="T869" s="22">
        <v>864</v>
      </c>
    </row>
    <row r="870" spans="1:20" ht="14.25" customHeight="1" x14ac:dyDescent="0.3">
      <c r="A870" s="4" t="str">
        <f>IF('Input Sheet'!B867=0,"",'Input Sheet'!B867)</f>
        <v/>
      </c>
      <c r="B870" s="24" t="b">
        <f t="shared" si="788"/>
        <v>0</v>
      </c>
      <c r="C870" s="4">
        <f>SUMIF('Input Sheet'!B$3:B$1000,A870,'Input Sheet'!C$3:C$1000)</f>
        <v>0</v>
      </c>
      <c r="D870" s="4">
        <f>SUMIF('Input Sheet'!B$3:B$1000,A870,'Input Sheet'!D$3:D$1000)</f>
        <v>0</v>
      </c>
      <c r="E870" s="4" t="str">
        <f t="shared" ref="E870:F870" ca="1" si="894">IFERROR(RANK(K870,K$6:K$1004,1),"")</f>
        <v/>
      </c>
      <c r="F870" s="4" t="str">
        <f t="shared" ca="1" si="894"/>
        <v/>
      </c>
      <c r="G870" s="4" t="str">
        <f t="shared" ca="1" si="790"/>
        <v/>
      </c>
      <c r="H870" s="4" t="str">
        <f t="shared" si="791"/>
        <v/>
      </c>
      <c r="I870" s="4" t="str">
        <f t="shared" si="792"/>
        <v/>
      </c>
      <c r="J870" s="4" t="str">
        <f t="shared" si="793"/>
        <v/>
      </c>
      <c r="K870" s="25" t="str">
        <f t="shared" ca="1" si="794"/>
        <v/>
      </c>
      <c r="L870" s="21" t="str">
        <f t="shared" ca="1" si="795"/>
        <v/>
      </c>
      <c r="M870" s="21" t="str">
        <f>IF(SUMIFS('Input Sheet'!$F$3:$F$1001,'Input Sheet'!$B$3:$B$1001,$H870,'Input Sheet'!$E$3:$E$1001,M$4)=0,"",SUMIFS('Input Sheet'!$F$3:$F$1001,'Input Sheet'!$B$3:$B$1001,$H870,'Input Sheet'!$E$3:$E$1001,M$4))</f>
        <v/>
      </c>
      <c r="N870" s="21" t="str">
        <f>IF(SUMIFS('Input Sheet'!$F$3:$F$1001,'Input Sheet'!$B$3:$B$1001,$H870,'Input Sheet'!$E$3:$E$1001,N$4)=0,"",SUMIFS('Input Sheet'!$F$3:$F$1001,'Input Sheet'!$B$3:$B$1001,$H870,'Input Sheet'!$E$3:$E$1001,N$4))</f>
        <v/>
      </c>
      <c r="O870" s="21" t="str">
        <f>IF(SUMIFS('Input Sheet'!$F$3:$F$1001,'Input Sheet'!$B$3:$B$1001,$H870,'Input Sheet'!$E$3:$E$1001,O$4)=0,"",SUMIFS('Input Sheet'!$F$3:$F$1001,'Input Sheet'!$B$3:$B$1001,$H870,'Input Sheet'!$E$3:$E$1001,O$4))</f>
        <v/>
      </c>
      <c r="P870" s="21" t="str">
        <f>IF(SUMIFS('Input Sheet'!$F$3:$F$1001,'Input Sheet'!$B$3:$B$1001,$H870,'Input Sheet'!$E$3:$E$1001,P$4)=0,"",SUMIFS('Input Sheet'!$F$3:$F$1001,'Input Sheet'!$B$3:$B$1001,$H870,'Input Sheet'!$E$3:$E$1001,P$4))</f>
        <v/>
      </c>
      <c r="Q870" s="21" t="str">
        <f>IF(SUMIFS('Input Sheet'!$F$3:$F$1001,'Input Sheet'!$B$3:$B$1001,$H870,'Input Sheet'!$E$3:$E$1001,Q$4)=0,"",SUMIFS('Input Sheet'!$F$3:$F$1001,'Input Sheet'!$B$3:$B$1001,$H870,'Input Sheet'!$E$3:$E$1001,Q$4))</f>
        <v/>
      </c>
      <c r="R870" s="21" t="str">
        <f>IF(SUMIFS('Input Sheet'!$F$3:$F$1001,'Input Sheet'!$B$3:$B$1001,$H870,'Input Sheet'!$E$3:$E$1001,R$4)=0,"",SUMIFS('Input Sheet'!$F$3:$F$1001,'Input Sheet'!$B$3:$B$1001,$H870,'Input Sheet'!$E$3:$E$1001,R$4))</f>
        <v/>
      </c>
      <c r="S870" s="21" t="str">
        <f>IF(SUMIFS('Input Sheet'!$F$3:$F$1001,'Input Sheet'!$B$3:$B$1001,$H870,'Input Sheet'!$E$3:$E$1001,S$4)=0,"",SUMIFS('Input Sheet'!$F$3:$F$1001,'Input Sheet'!$B$3:$B$1001,$H870,'Input Sheet'!$E$3:$E$1001,S$4))</f>
        <v/>
      </c>
      <c r="T870" s="22">
        <v>865</v>
      </c>
    </row>
    <row r="871" spans="1:20" ht="14.25" customHeight="1" x14ac:dyDescent="0.3">
      <c r="A871" s="4" t="str">
        <f>IF('Input Sheet'!B868=0,"",'Input Sheet'!B868)</f>
        <v/>
      </c>
      <c r="B871" s="24" t="b">
        <f t="shared" si="788"/>
        <v>0</v>
      </c>
      <c r="C871" s="4">
        <f>SUMIF('Input Sheet'!B$3:B$1000,A871,'Input Sheet'!C$3:C$1000)</f>
        <v>0</v>
      </c>
      <c r="D871" s="4">
        <f>SUMIF('Input Sheet'!B$3:B$1000,A871,'Input Sheet'!D$3:D$1000)</f>
        <v>0</v>
      </c>
      <c r="E871" s="4" t="str">
        <f t="shared" ref="E871:F871" ca="1" si="895">IFERROR(RANK(K871,K$6:K$1004,1),"")</f>
        <v/>
      </c>
      <c r="F871" s="4" t="str">
        <f t="shared" ca="1" si="895"/>
        <v/>
      </c>
      <c r="G871" s="4" t="str">
        <f t="shared" ca="1" si="790"/>
        <v/>
      </c>
      <c r="H871" s="4" t="str">
        <f t="shared" si="791"/>
        <v/>
      </c>
      <c r="I871" s="4" t="str">
        <f t="shared" si="792"/>
        <v/>
      </c>
      <c r="J871" s="4" t="str">
        <f t="shared" si="793"/>
        <v/>
      </c>
      <c r="K871" s="25" t="str">
        <f t="shared" ca="1" si="794"/>
        <v/>
      </c>
      <c r="L871" s="21" t="str">
        <f t="shared" ca="1" si="795"/>
        <v/>
      </c>
      <c r="M871" s="21" t="str">
        <f>IF(SUMIFS('Input Sheet'!$F$3:$F$1001,'Input Sheet'!$B$3:$B$1001,$H871,'Input Sheet'!$E$3:$E$1001,M$4)=0,"",SUMIFS('Input Sheet'!$F$3:$F$1001,'Input Sheet'!$B$3:$B$1001,$H871,'Input Sheet'!$E$3:$E$1001,M$4))</f>
        <v/>
      </c>
      <c r="N871" s="21" t="str">
        <f>IF(SUMIFS('Input Sheet'!$F$3:$F$1001,'Input Sheet'!$B$3:$B$1001,$H871,'Input Sheet'!$E$3:$E$1001,N$4)=0,"",SUMIFS('Input Sheet'!$F$3:$F$1001,'Input Sheet'!$B$3:$B$1001,$H871,'Input Sheet'!$E$3:$E$1001,N$4))</f>
        <v/>
      </c>
      <c r="O871" s="21" t="str">
        <f>IF(SUMIFS('Input Sheet'!$F$3:$F$1001,'Input Sheet'!$B$3:$B$1001,$H871,'Input Sheet'!$E$3:$E$1001,O$4)=0,"",SUMIFS('Input Sheet'!$F$3:$F$1001,'Input Sheet'!$B$3:$B$1001,$H871,'Input Sheet'!$E$3:$E$1001,O$4))</f>
        <v/>
      </c>
      <c r="P871" s="21" t="str">
        <f>IF(SUMIFS('Input Sheet'!$F$3:$F$1001,'Input Sheet'!$B$3:$B$1001,$H871,'Input Sheet'!$E$3:$E$1001,P$4)=0,"",SUMIFS('Input Sheet'!$F$3:$F$1001,'Input Sheet'!$B$3:$B$1001,$H871,'Input Sheet'!$E$3:$E$1001,P$4))</f>
        <v/>
      </c>
      <c r="Q871" s="21" t="str">
        <f>IF(SUMIFS('Input Sheet'!$F$3:$F$1001,'Input Sheet'!$B$3:$B$1001,$H871,'Input Sheet'!$E$3:$E$1001,Q$4)=0,"",SUMIFS('Input Sheet'!$F$3:$F$1001,'Input Sheet'!$B$3:$B$1001,$H871,'Input Sheet'!$E$3:$E$1001,Q$4))</f>
        <v/>
      </c>
      <c r="R871" s="21" t="str">
        <f>IF(SUMIFS('Input Sheet'!$F$3:$F$1001,'Input Sheet'!$B$3:$B$1001,$H871,'Input Sheet'!$E$3:$E$1001,R$4)=0,"",SUMIFS('Input Sheet'!$F$3:$F$1001,'Input Sheet'!$B$3:$B$1001,$H871,'Input Sheet'!$E$3:$E$1001,R$4))</f>
        <v/>
      </c>
      <c r="S871" s="21" t="str">
        <f>IF(SUMIFS('Input Sheet'!$F$3:$F$1001,'Input Sheet'!$B$3:$B$1001,$H871,'Input Sheet'!$E$3:$E$1001,S$4)=0,"",SUMIFS('Input Sheet'!$F$3:$F$1001,'Input Sheet'!$B$3:$B$1001,$H871,'Input Sheet'!$E$3:$E$1001,S$4))</f>
        <v/>
      </c>
      <c r="T871" s="22">
        <v>866</v>
      </c>
    </row>
    <row r="872" spans="1:20" ht="14.25" customHeight="1" x14ac:dyDescent="0.3">
      <c r="A872" s="4" t="str">
        <f>IF('Input Sheet'!B869=0,"",'Input Sheet'!B869)</f>
        <v/>
      </c>
      <c r="B872" s="24" t="b">
        <f t="shared" si="788"/>
        <v>0</v>
      </c>
      <c r="C872" s="4">
        <f>SUMIF('Input Sheet'!B$3:B$1000,A872,'Input Sheet'!C$3:C$1000)</f>
        <v>0</v>
      </c>
      <c r="D872" s="4">
        <f>SUMIF('Input Sheet'!B$3:B$1000,A872,'Input Sheet'!D$3:D$1000)</f>
        <v>0</v>
      </c>
      <c r="E872" s="4" t="str">
        <f t="shared" ref="E872:F872" ca="1" si="896">IFERROR(RANK(K872,K$6:K$1004,1),"")</f>
        <v/>
      </c>
      <c r="F872" s="4" t="str">
        <f t="shared" ca="1" si="896"/>
        <v/>
      </c>
      <c r="G872" s="4" t="str">
        <f t="shared" ca="1" si="790"/>
        <v/>
      </c>
      <c r="H872" s="4" t="str">
        <f t="shared" si="791"/>
        <v/>
      </c>
      <c r="I872" s="4" t="str">
        <f t="shared" si="792"/>
        <v/>
      </c>
      <c r="J872" s="4" t="str">
        <f t="shared" si="793"/>
        <v/>
      </c>
      <c r="K872" s="25" t="str">
        <f t="shared" ca="1" si="794"/>
        <v/>
      </c>
      <c r="L872" s="21" t="str">
        <f t="shared" ca="1" si="795"/>
        <v/>
      </c>
      <c r="M872" s="21" t="str">
        <f>IF(SUMIFS('Input Sheet'!$F$3:$F$1001,'Input Sheet'!$B$3:$B$1001,$H872,'Input Sheet'!$E$3:$E$1001,M$4)=0,"",SUMIFS('Input Sheet'!$F$3:$F$1001,'Input Sheet'!$B$3:$B$1001,$H872,'Input Sheet'!$E$3:$E$1001,M$4))</f>
        <v/>
      </c>
      <c r="N872" s="21" t="str">
        <f>IF(SUMIFS('Input Sheet'!$F$3:$F$1001,'Input Sheet'!$B$3:$B$1001,$H872,'Input Sheet'!$E$3:$E$1001,N$4)=0,"",SUMIFS('Input Sheet'!$F$3:$F$1001,'Input Sheet'!$B$3:$B$1001,$H872,'Input Sheet'!$E$3:$E$1001,N$4))</f>
        <v/>
      </c>
      <c r="O872" s="21" t="str">
        <f>IF(SUMIFS('Input Sheet'!$F$3:$F$1001,'Input Sheet'!$B$3:$B$1001,$H872,'Input Sheet'!$E$3:$E$1001,O$4)=0,"",SUMIFS('Input Sheet'!$F$3:$F$1001,'Input Sheet'!$B$3:$B$1001,$H872,'Input Sheet'!$E$3:$E$1001,O$4))</f>
        <v/>
      </c>
      <c r="P872" s="21" t="str">
        <f>IF(SUMIFS('Input Sheet'!$F$3:$F$1001,'Input Sheet'!$B$3:$B$1001,$H872,'Input Sheet'!$E$3:$E$1001,P$4)=0,"",SUMIFS('Input Sheet'!$F$3:$F$1001,'Input Sheet'!$B$3:$B$1001,$H872,'Input Sheet'!$E$3:$E$1001,P$4))</f>
        <v/>
      </c>
      <c r="Q872" s="21" t="str">
        <f>IF(SUMIFS('Input Sheet'!$F$3:$F$1001,'Input Sheet'!$B$3:$B$1001,$H872,'Input Sheet'!$E$3:$E$1001,Q$4)=0,"",SUMIFS('Input Sheet'!$F$3:$F$1001,'Input Sheet'!$B$3:$B$1001,$H872,'Input Sheet'!$E$3:$E$1001,Q$4))</f>
        <v/>
      </c>
      <c r="R872" s="21" t="str">
        <f>IF(SUMIFS('Input Sheet'!$F$3:$F$1001,'Input Sheet'!$B$3:$B$1001,$H872,'Input Sheet'!$E$3:$E$1001,R$4)=0,"",SUMIFS('Input Sheet'!$F$3:$F$1001,'Input Sheet'!$B$3:$B$1001,$H872,'Input Sheet'!$E$3:$E$1001,R$4))</f>
        <v/>
      </c>
      <c r="S872" s="21" t="str">
        <f>IF(SUMIFS('Input Sheet'!$F$3:$F$1001,'Input Sheet'!$B$3:$B$1001,$H872,'Input Sheet'!$E$3:$E$1001,S$4)=0,"",SUMIFS('Input Sheet'!$F$3:$F$1001,'Input Sheet'!$B$3:$B$1001,$H872,'Input Sheet'!$E$3:$E$1001,S$4))</f>
        <v/>
      </c>
      <c r="T872" s="22">
        <v>867</v>
      </c>
    </row>
    <row r="873" spans="1:20" ht="14.25" customHeight="1" x14ac:dyDescent="0.3">
      <c r="A873" s="4" t="str">
        <f>IF('Input Sheet'!B870=0,"",'Input Sheet'!B870)</f>
        <v/>
      </c>
      <c r="B873" s="24" t="b">
        <f t="shared" si="788"/>
        <v>0</v>
      </c>
      <c r="C873" s="4">
        <f>SUMIF('Input Sheet'!B$3:B$1000,A873,'Input Sheet'!C$3:C$1000)</f>
        <v>0</v>
      </c>
      <c r="D873" s="4">
        <f>SUMIF('Input Sheet'!B$3:B$1000,A873,'Input Sheet'!D$3:D$1000)</f>
        <v>0</v>
      </c>
      <c r="E873" s="4" t="str">
        <f t="shared" ref="E873:F873" ca="1" si="897">IFERROR(RANK(K873,K$6:K$1004,1),"")</f>
        <v/>
      </c>
      <c r="F873" s="4" t="str">
        <f t="shared" ca="1" si="897"/>
        <v/>
      </c>
      <c r="G873" s="4" t="str">
        <f t="shared" ca="1" si="790"/>
        <v/>
      </c>
      <c r="H873" s="4" t="str">
        <f t="shared" si="791"/>
        <v/>
      </c>
      <c r="I873" s="4" t="str">
        <f t="shared" si="792"/>
        <v/>
      </c>
      <c r="J873" s="4" t="str">
        <f t="shared" si="793"/>
        <v/>
      </c>
      <c r="K873" s="25" t="str">
        <f t="shared" ca="1" si="794"/>
        <v/>
      </c>
      <c r="L873" s="21" t="str">
        <f t="shared" ca="1" si="795"/>
        <v/>
      </c>
      <c r="M873" s="21" t="str">
        <f>IF(SUMIFS('Input Sheet'!$F$3:$F$1001,'Input Sheet'!$B$3:$B$1001,$H873,'Input Sheet'!$E$3:$E$1001,M$4)=0,"",SUMIFS('Input Sheet'!$F$3:$F$1001,'Input Sheet'!$B$3:$B$1001,$H873,'Input Sheet'!$E$3:$E$1001,M$4))</f>
        <v/>
      </c>
      <c r="N873" s="21" t="str">
        <f>IF(SUMIFS('Input Sheet'!$F$3:$F$1001,'Input Sheet'!$B$3:$B$1001,$H873,'Input Sheet'!$E$3:$E$1001,N$4)=0,"",SUMIFS('Input Sheet'!$F$3:$F$1001,'Input Sheet'!$B$3:$B$1001,$H873,'Input Sheet'!$E$3:$E$1001,N$4))</f>
        <v/>
      </c>
      <c r="O873" s="21" t="str">
        <f>IF(SUMIFS('Input Sheet'!$F$3:$F$1001,'Input Sheet'!$B$3:$B$1001,$H873,'Input Sheet'!$E$3:$E$1001,O$4)=0,"",SUMIFS('Input Sheet'!$F$3:$F$1001,'Input Sheet'!$B$3:$B$1001,$H873,'Input Sheet'!$E$3:$E$1001,O$4))</f>
        <v/>
      </c>
      <c r="P873" s="21" t="str">
        <f>IF(SUMIFS('Input Sheet'!$F$3:$F$1001,'Input Sheet'!$B$3:$B$1001,$H873,'Input Sheet'!$E$3:$E$1001,P$4)=0,"",SUMIFS('Input Sheet'!$F$3:$F$1001,'Input Sheet'!$B$3:$B$1001,$H873,'Input Sheet'!$E$3:$E$1001,P$4))</f>
        <v/>
      </c>
      <c r="Q873" s="21" t="str">
        <f>IF(SUMIFS('Input Sheet'!$F$3:$F$1001,'Input Sheet'!$B$3:$B$1001,$H873,'Input Sheet'!$E$3:$E$1001,Q$4)=0,"",SUMIFS('Input Sheet'!$F$3:$F$1001,'Input Sheet'!$B$3:$B$1001,$H873,'Input Sheet'!$E$3:$E$1001,Q$4))</f>
        <v/>
      </c>
      <c r="R873" s="21" t="str">
        <f>IF(SUMIFS('Input Sheet'!$F$3:$F$1001,'Input Sheet'!$B$3:$B$1001,$H873,'Input Sheet'!$E$3:$E$1001,R$4)=0,"",SUMIFS('Input Sheet'!$F$3:$F$1001,'Input Sheet'!$B$3:$B$1001,$H873,'Input Sheet'!$E$3:$E$1001,R$4))</f>
        <v/>
      </c>
      <c r="S873" s="21" t="str">
        <f>IF(SUMIFS('Input Sheet'!$F$3:$F$1001,'Input Sheet'!$B$3:$B$1001,$H873,'Input Sheet'!$E$3:$E$1001,S$4)=0,"",SUMIFS('Input Sheet'!$F$3:$F$1001,'Input Sheet'!$B$3:$B$1001,$H873,'Input Sheet'!$E$3:$E$1001,S$4))</f>
        <v/>
      </c>
      <c r="T873" s="22">
        <v>868</v>
      </c>
    </row>
    <row r="874" spans="1:20" ht="14.25" customHeight="1" x14ac:dyDescent="0.3">
      <c r="A874" s="4" t="str">
        <f>IF('Input Sheet'!B871=0,"",'Input Sheet'!B871)</f>
        <v/>
      </c>
      <c r="B874" s="24" t="b">
        <f t="shared" si="788"/>
        <v>0</v>
      </c>
      <c r="C874" s="4">
        <f>SUMIF('Input Sheet'!B$3:B$1000,A874,'Input Sheet'!C$3:C$1000)</f>
        <v>0</v>
      </c>
      <c r="D874" s="4">
        <f>SUMIF('Input Sheet'!B$3:B$1000,A874,'Input Sheet'!D$3:D$1000)</f>
        <v>0</v>
      </c>
      <c r="E874" s="4" t="str">
        <f t="shared" ref="E874:F874" ca="1" si="898">IFERROR(RANK(K874,K$6:K$1004,1),"")</f>
        <v/>
      </c>
      <c r="F874" s="4" t="str">
        <f t="shared" ca="1" si="898"/>
        <v/>
      </c>
      <c r="G874" s="4" t="str">
        <f t="shared" ca="1" si="790"/>
        <v/>
      </c>
      <c r="H874" s="4" t="str">
        <f t="shared" si="791"/>
        <v/>
      </c>
      <c r="I874" s="4" t="str">
        <f t="shared" si="792"/>
        <v/>
      </c>
      <c r="J874" s="4" t="str">
        <f t="shared" si="793"/>
        <v/>
      </c>
      <c r="K874" s="25" t="str">
        <f t="shared" ca="1" si="794"/>
        <v/>
      </c>
      <c r="L874" s="21" t="str">
        <f t="shared" ca="1" si="795"/>
        <v/>
      </c>
      <c r="M874" s="21" t="str">
        <f>IF(SUMIFS('Input Sheet'!$F$3:$F$1001,'Input Sheet'!$B$3:$B$1001,$H874,'Input Sheet'!$E$3:$E$1001,M$4)=0,"",SUMIFS('Input Sheet'!$F$3:$F$1001,'Input Sheet'!$B$3:$B$1001,$H874,'Input Sheet'!$E$3:$E$1001,M$4))</f>
        <v/>
      </c>
      <c r="N874" s="21" t="str">
        <f>IF(SUMIFS('Input Sheet'!$F$3:$F$1001,'Input Sheet'!$B$3:$B$1001,$H874,'Input Sheet'!$E$3:$E$1001,N$4)=0,"",SUMIFS('Input Sheet'!$F$3:$F$1001,'Input Sheet'!$B$3:$B$1001,$H874,'Input Sheet'!$E$3:$E$1001,N$4))</f>
        <v/>
      </c>
      <c r="O874" s="21" t="str">
        <f>IF(SUMIFS('Input Sheet'!$F$3:$F$1001,'Input Sheet'!$B$3:$B$1001,$H874,'Input Sheet'!$E$3:$E$1001,O$4)=0,"",SUMIFS('Input Sheet'!$F$3:$F$1001,'Input Sheet'!$B$3:$B$1001,$H874,'Input Sheet'!$E$3:$E$1001,O$4))</f>
        <v/>
      </c>
      <c r="P874" s="21" t="str">
        <f>IF(SUMIFS('Input Sheet'!$F$3:$F$1001,'Input Sheet'!$B$3:$B$1001,$H874,'Input Sheet'!$E$3:$E$1001,P$4)=0,"",SUMIFS('Input Sheet'!$F$3:$F$1001,'Input Sheet'!$B$3:$B$1001,$H874,'Input Sheet'!$E$3:$E$1001,P$4))</f>
        <v/>
      </c>
      <c r="Q874" s="21" t="str">
        <f>IF(SUMIFS('Input Sheet'!$F$3:$F$1001,'Input Sheet'!$B$3:$B$1001,$H874,'Input Sheet'!$E$3:$E$1001,Q$4)=0,"",SUMIFS('Input Sheet'!$F$3:$F$1001,'Input Sheet'!$B$3:$B$1001,$H874,'Input Sheet'!$E$3:$E$1001,Q$4))</f>
        <v/>
      </c>
      <c r="R874" s="21" t="str">
        <f>IF(SUMIFS('Input Sheet'!$F$3:$F$1001,'Input Sheet'!$B$3:$B$1001,$H874,'Input Sheet'!$E$3:$E$1001,R$4)=0,"",SUMIFS('Input Sheet'!$F$3:$F$1001,'Input Sheet'!$B$3:$B$1001,$H874,'Input Sheet'!$E$3:$E$1001,R$4))</f>
        <v/>
      </c>
      <c r="S874" s="21" t="str">
        <f>IF(SUMIFS('Input Sheet'!$F$3:$F$1001,'Input Sheet'!$B$3:$B$1001,$H874,'Input Sheet'!$E$3:$E$1001,S$4)=0,"",SUMIFS('Input Sheet'!$F$3:$F$1001,'Input Sheet'!$B$3:$B$1001,$H874,'Input Sheet'!$E$3:$E$1001,S$4))</f>
        <v/>
      </c>
      <c r="T874" s="22">
        <v>869</v>
      </c>
    </row>
    <row r="875" spans="1:20" ht="14.25" customHeight="1" x14ac:dyDescent="0.3">
      <c r="A875" s="4" t="str">
        <f>IF('Input Sheet'!B872=0,"",'Input Sheet'!B872)</f>
        <v/>
      </c>
      <c r="B875" s="24" t="b">
        <f t="shared" si="788"/>
        <v>0</v>
      </c>
      <c r="C875" s="4">
        <f>SUMIF('Input Sheet'!B$3:B$1000,A875,'Input Sheet'!C$3:C$1000)</f>
        <v>0</v>
      </c>
      <c r="D875" s="4">
        <f>SUMIF('Input Sheet'!B$3:B$1000,A875,'Input Sheet'!D$3:D$1000)</f>
        <v>0</v>
      </c>
      <c r="E875" s="4" t="str">
        <f t="shared" ref="E875:F875" ca="1" si="899">IFERROR(RANK(K875,K$6:K$1004,1),"")</f>
        <v/>
      </c>
      <c r="F875" s="4" t="str">
        <f t="shared" ca="1" si="899"/>
        <v/>
      </c>
      <c r="G875" s="4" t="str">
        <f t="shared" ca="1" si="790"/>
        <v/>
      </c>
      <c r="H875" s="4" t="str">
        <f t="shared" si="791"/>
        <v/>
      </c>
      <c r="I875" s="4" t="str">
        <f t="shared" si="792"/>
        <v/>
      </c>
      <c r="J875" s="4" t="str">
        <f t="shared" si="793"/>
        <v/>
      </c>
      <c r="K875" s="25" t="str">
        <f t="shared" ca="1" si="794"/>
        <v/>
      </c>
      <c r="L875" s="21" t="str">
        <f t="shared" ca="1" si="795"/>
        <v/>
      </c>
      <c r="M875" s="21" t="str">
        <f>IF(SUMIFS('Input Sheet'!$F$3:$F$1001,'Input Sheet'!$B$3:$B$1001,$H875,'Input Sheet'!$E$3:$E$1001,M$4)=0,"",SUMIFS('Input Sheet'!$F$3:$F$1001,'Input Sheet'!$B$3:$B$1001,$H875,'Input Sheet'!$E$3:$E$1001,M$4))</f>
        <v/>
      </c>
      <c r="N875" s="21" t="str">
        <f>IF(SUMIFS('Input Sheet'!$F$3:$F$1001,'Input Sheet'!$B$3:$B$1001,$H875,'Input Sheet'!$E$3:$E$1001,N$4)=0,"",SUMIFS('Input Sheet'!$F$3:$F$1001,'Input Sheet'!$B$3:$B$1001,$H875,'Input Sheet'!$E$3:$E$1001,N$4))</f>
        <v/>
      </c>
      <c r="O875" s="21" t="str">
        <f>IF(SUMIFS('Input Sheet'!$F$3:$F$1001,'Input Sheet'!$B$3:$B$1001,$H875,'Input Sheet'!$E$3:$E$1001,O$4)=0,"",SUMIFS('Input Sheet'!$F$3:$F$1001,'Input Sheet'!$B$3:$B$1001,$H875,'Input Sheet'!$E$3:$E$1001,O$4))</f>
        <v/>
      </c>
      <c r="P875" s="21" t="str">
        <f>IF(SUMIFS('Input Sheet'!$F$3:$F$1001,'Input Sheet'!$B$3:$B$1001,$H875,'Input Sheet'!$E$3:$E$1001,P$4)=0,"",SUMIFS('Input Sheet'!$F$3:$F$1001,'Input Sheet'!$B$3:$B$1001,$H875,'Input Sheet'!$E$3:$E$1001,P$4))</f>
        <v/>
      </c>
      <c r="Q875" s="21" t="str">
        <f>IF(SUMIFS('Input Sheet'!$F$3:$F$1001,'Input Sheet'!$B$3:$B$1001,$H875,'Input Sheet'!$E$3:$E$1001,Q$4)=0,"",SUMIFS('Input Sheet'!$F$3:$F$1001,'Input Sheet'!$B$3:$B$1001,$H875,'Input Sheet'!$E$3:$E$1001,Q$4))</f>
        <v/>
      </c>
      <c r="R875" s="21" t="str">
        <f>IF(SUMIFS('Input Sheet'!$F$3:$F$1001,'Input Sheet'!$B$3:$B$1001,$H875,'Input Sheet'!$E$3:$E$1001,R$4)=0,"",SUMIFS('Input Sheet'!$F$3:$F$1001,'Input Sheet'!$B$3:$B$1001,$H875,'Input Sheet'!$E$3:$E$1001,R$4))</f>
        <v/>
      </c>
      <c r="S875" s="21" t="str">
        <f>IF(SUMIFS('Input Sheet'!$F$3:$F$1001,'Input Sheet'!$B$3:$B$1001,$H875,'Input Sheet'!$E$3:$E$1001,S$4)=0,"",SUMIFS('Input Sheet'!$F$3:$F$1001,'Input Sheet'!$B$3:$B$1001,$H875,'Input Sheet'!$E$3:$E$1001,S$4))</f>
        <v/>
      </c>
      <c r="T875" s="22">
        <v>870</v>
      </c>
    </row>
    <row r="876" spans="1:20" ht="14.25" customHeight="1" x14ac:dyDescent="0.3">
      <c r="A876" s="4" t="str">
        <f>IF('Input Sheet'!B873=0,"",'Input Sheet'!B873)</f>
        <v/>
      </c>
      <c r="B876" s="24" t="b">
        <f t="shared" si="788"/>
        <v>0</v>
      </c>
      <c r="C876" s="4">
        <f>SUMIF('Input Sheet'!B$3:B$1000,A876,'Input Sheet'!C$3:C$1000)</f>
        <v>0</v>
      </c>
      <c r="D876" s="4">
        <f>SUMIF('Input Sheet'!B$3:B$1000,A876,'Input Sheet'!D$3:D$1000)</f>
        <v>0</v>
      </c>
      <c r="E876" s="4" t="str">
        <f t="shared" ref="E876:F876" ca="1" si="900">IFERROR(RANK(K876,K$6:K$1004,1),"")</f>
        <v/>
      </c>
      <c r="F876" s="4" t="str">
        <f t="shared" ca="1" si="900"/>
        <v/>
      </c>
      <c r="G876" s="4" t="str">
        <f t="shared" ca="1" si="790"/>
        <v/>
      </c>
      <c r="H876" s="4" t="str">
        <f t="shared" si="791"/>
        <v/>
      </c>
      <c r="I876" s="4" t="str">
        <f t="shared" si="792"/>
        <v/>
      </c>
      <c r="J876" s="4" t="str">
        <f t="shared" si="793"/>
        <v/>
      </c>
      <c r="K876" s="25" t="str">
        <f t="shared" ca="1" si="794"/>
        <v/>
      </c>
      <c r="L876" s="21" t="str">
        <f t="shared" ca="1" si="795"/>
        <v/>
      </c>
      <c r="M876" s="21" t="str">
        <f>IF(SUMIFS('Input Sheet'!$F$3:$F$1001,'Input Sheet'!$B$3:$B$1001,$H876,'Input Sheet'!$E$3:$E$1001,M$4)=0,"",SUMIFS('Input Sheet'!$F$3:$F$1001,'Input Sheet'!$B$3:$B$1001,$H876,'Input Sheet'!$E$3:$E$1001,M$4))</f>
        <v/>
      </c>
      <c r="N876" s="21" t="str">
        <f>IF(SUMIFS('Input Sheet'!$F$3:$F$1001,'Input Sheet'!$B$3:$B$1001,$H876,'Input Sheet'!$E$3:$E$1001,N$4)=0,"",SUMIFS('Input Sheet'!$F$3:$F$1001,'Input Sheet'!$B$3:$B$1001,$H876,'Input Sheet'!$E$3:$E$1001,N$4))</f>
        <v/>
      </c>
      <c r="O876" s="21" t="str">
        <f>IF(SUMIFS('Input Sheet'!$F$3:$F$1001,'Input Sheet'!$B$3:$B$1001,$H876,'Input Sheet'!$E$3:$E$1001,O$4)=0,"",SUMIFS('Input Sheet'!$F$3:$F$1001,'Input Sheet'!$B$3:$B$1001,$H876,'Input Sheet'!$E$3:$E$1001,O$4))</f>
        <v/>
      </c>
      <c r="P876" s="21" t="str">
        <f>IF(SUMIFS('Input Sheet'!$F$3:$F$1001,'Input Sheet'!$B$3:$B$1001,$H876,'Input Sheet'!$E$3:$E$1001,P$4)=0,"",SUMIFS('Input Sheet'!$F$3:$F$1001,'Input Sheet'!$B$3:$B$1001,$H876,'Input Sheet'!$E$3:$E$1001,P$4))</f>
        <v/>
      </c>
      <c r="Q876" s="21" t="str">
        <f>IF(SUMIFS('Input Sheet'!$F$3:$F$1001,'Input Sheet'!$B$3:$B$1001,$H876,'Input Sheet'!$E$3:$E$1001,Q$4)=0,"",SUMIFS('Input Sheet'!$F$3:$F$1001,'Input Sheet'!$B$3:$B$1001,$H876,'Input Sheet'!$E$3:$E$1001,Q$4))</f>
        <v/>
      </c>
      <c r="R876" s="21" t="str">
        <f>IF(SUMIFS('Input Sheet'!$F$3:$F$1001,'Input Sheet'!$B$3:$B$1001,$H876,'Input Sheet'!$E$3:$E$1001,R$4)=0,"",SUMIFS('Input Sheet'!$F$3:$F$1001,'Input Sheet'!$B$3:$B$1001,$H876,'Input Sheet'!$E$3:$E$1001,R$4))</f>
        <v/>
      </c>
      <c r="S876" s="21" t="str">
        <f>IF(SUMIFS('Input Sheet'!$F$3:$F$1001,'Input Sheet'!$B$3:$B$1001,$H876,'Input Sheet'!$E$3:$E$1001,S$4)=0,"",SUMIFS('Input Sheet'!$F$3:$F$1001,'Input Sheet'!$B$3:$B$1001,$H876,'Input Sheet'!$E$3:$E$1001,S$4))</f>
        <v/>
      </c>
      <c r="T876" s="22">
        <v>871</v>
      </c>
    </row>
    <row r="877" spans="1:20" ht="14.25" customHeight="1" x14ac:dyDescent="0.3">
      <c r="A877" s="4" t="str">
        <f>IF('Input Sheet'!B874=0,"",'Input Sheet'!B874)</f>
        <v/>
      </c>
      <c r="B877" s="24" t="b">
        <f t="shared" si="788"/>
        <v>0</v>
      </c>
      <c r="C877" s="4">
        <f>SUMIF('Input Sheet'!B$3:B$1000,A877,'Input Sheet'!C$3:C$1000)</f>
        <v>0</v>
      </c>
      <c r="D877" s="4">
        <f>SUMIF('Input Sheet'!B$3:B$1000,A877,'Input Sheet'!D$3:D$1000)</f>
        <v>0</v>
      </c>
      <c r="E877" s="4" t="str">
        <f t="shared" ref="E877:F877" ca="1" si="901">IFERROR(RANK(K877,K$6:K$1004,1),"")</f>
        <v/>
      </c>
      <c r="F877" s="4" t="str">
        <f t="shared" ca="1" si="901"/>
        <v/>
      </c>
      <c r="G877" s="4" t="str">
        <f t="shared" ca="1" si="790"/>
        <v/>
      </c>
      <c r="H877" s="4" t="str">
        <f t="shared" si="791"/>
        <v/>
      </c>
      <c r="I877" s="4" t="str">
        <f t="shared" si="792"/>
        <v/>
      </c>
      <c r="J877" s="4" t="str">
        <f t="shared" si="793"/>
        <v/>
      </c>
      <c r="K877" s="25" t="str">
        <f t="shared" ca="1" si="794"/>
        <v/>
      </c>
      <c r="L877" s="21" t="str">
        <f t="shared" ca="1" si="795"/>
        <v/>
      </c>
      <c r="M877" s="21" t="str">
        <f>IF(SUMIFS('Input Sheet'!$F$3:$F$1001,'Input Sheet'!$B$3:$B$1001,$H877,'Input Sheet'!$E$3:$E$1001,M$4)=0,"",SUMIFS('Input Sheet'!$F$3:$F$1001,'Input Sheet'!$B$3:$B$1001,$H877,'Input Sheet'!$E$3:$E$1001,M$4))</f>
        <v/>
      </c>
      <c r="N877" s="21" t="str">
        <f>IF(SUMIFS('Input Sheet'!$F$3:$F$1001,'Input Sheet'!$B$3:$B$1001,$H877,'Input Sheet'!$E$3:$E$1001,N$4)=0,"",SUMIFS('Input Sheet'!$F$3:$F$1001,'Input Sheet'!$B$3:$B$1001,$H877,'Input Sheet'!$E$3:$E$1001,N$4))</f>
        <v/>
      </c>
      <c r="O877" s="21" t="str">
        <f>IF(SUMIFS('Input Sheet'!$F$3:$F$1001,'Input Sheet'!$B$3:$B$1001,$H877,'Input Sheet'!$E$3:$E$1001,O$4)=0,"",SUMIFS('Input Sheet'!$F$3:$F$1001,'Input Sheet'!$B$3:$B$1001,$H877,'Input Sheet'!$E$3:$E$1001,O$4))</f>
        <v/>
      </c>
      <c r="P877" s="21" t="str">
        <f>IF(SUMIFS('Input Sheet'!$F$3:$F$1001,'Input Sheet'!$B$3:$B$1001,$H877,'Input Sheet'!$E$3:$E$1001,P$4)=0,"",SUMIFS('Input Sheet'!$F$3:$F$1001,'Input Sheet'!$B$3:$B$1001,$H877,'Input Sheet'!$E$3:$E$1001,P$4))</f>
        <v/>
      </c>
      <c r="Q877" s="21" t="str">
        <f>IF(SUMIFS('Input Sheet'!$F$3:$F$1001,'Input Sheet'!$B$3:$B$1001,$H877,'Input Sheet'!$E$3:$E$1001,Q$4)=0,"",SUMIFS('Input Sheet'!$F$3:$F$1001,'Input Sheet'!$B$3:$B$1001,$H877,'Input Sheet'!$E$3:$E$1001,Q$4))</f>
        <v/>
      </c>
      <c r="R877" s="21" t="str">
        <f>IF(SUMIFS('Input Sheet'!$F$3:$F$1001,'Input Sheet'!$B$3:$B$1001,$H877,'Input Sheet'!$E$3:$E$1001,R$4)=0,"",SUMIFS('Input Sheet'!$F$3:$F$1001,'Input Sheet'!$B$3:$B$1001,$H877,'Input Sheet'!$E$3:$E$1001,R$4))</f>
        <v/>
      </c>
      <c r="S877" s="21" t="str">
        <f>IF(SUMIFS('Input Sheet'!$F$3:$F$1001,'Input Sheet'!$B$3:$B$1001,$H877,'Input Sheet'!$E$3:$E$1001,S$4)=0,"",SUMIFS('Input Sheet'!$F$3:$F$1001,'Input Sheet'!$B$3:$B$1001,$H877,'Input Sheet'!$E$3:$E$1001,S$4))</f>
        <v/>
      </c>
      <c r="T877" s="22">
        <v>872</v>
      </c>
    </row>
    <row r="878" spans="1:20" ht="14.25" customHeight="1" x14ac:dyDescent="0.3">
      <c r="A878" s="4" t="str">
        <f>IF('Input Sheet'!B875=0,"",'Input Sheet'!B875)</f>
        <v/>
      </c>
      <c r="B878" s="24" t="b">
        <f t="shared" si="788"/>
        <v>0</v>
      </c>
      <c r="C878" s="4">
        <f>SUMIF('Input Sheet'!B$3:B$1000,A878,'Input Sheet'!C$3:C$1000)</f>
        <v>0</v>
      </c>
      <c r="D878" s="4">
        <f>SUMIF('Input Sheet'!B$3:B$1000,A878,'Input Sheet'!D$3:D$1000)</f>
        <v>0</v>
      </c>
      <c r="E878" s="4" t="str">
        <f t="shared" ref="E878:F878" ca="1" si="902">IFERROR(RANK(K878,K$6:K$1004,1),"")</f>
        <v/>
      </c>
      <c r="F878" s="4" t="str">
        <f t="shared" ca="1" si="902"/>
        <v/>
      </c>
      <c r="G878" s="4" t="str">
        <f t="shared" ca="1" si="790"/>
        <v/>
      </c>
      <c r="H878" s="4" t="str">
        <f t="shared" si="791"/>
        <v/>
      </c>
      <c r="I878" s="4" t="str">
        <f t="shared" si="792"/>
        <v/>
      </c>
      <c r="J878" s="4" t="str">
        <f t="shared" si="793"/>
        <v/>
      </c>
      <c r="K878" s="25" t="str">
        <f t="shared" ca="1" si="794"/>
        <v/>
      </c>
      <c r="L878" s="21" t="str">
        <f t="shared" ca="1" si="795"/>
        <v/>
      </c>
      <c r="M878" s="21" t="str">
        <f>IF(SUMIFS('Input Sheet'!$F$3:$F$1001,'Input Sheet'!$B$3:$B$1001,$H878,'Input Sheet'!$E$3:$E$1001,M$4)=0,"",SUMIFS('Input Sheet'!$F$3:$F$1001,'Input Sheet'!$B$3:$B$1001,$H878,'Input Sheet'!$E$3:$E$1001,M$4))</f>
        <v/>
      </c>
      <c r="N878" s="21" t="str">
        <f>IF(SUMIFS('Input Sheet'!$F$3:$F$1001,'Input Sheet'!$B$3:$B$1001,$H878,'Input Sheet'!$E$3:$E$1001,N$4)=0,"",SUMIFS('Input Sheet'!$F$3:$F$1001,'Input Sheet'!$B$3:$B$1001,$H878,'Input Sheet'!$E$3:$E$1001,N$4))</f>
        <v/>
      </c>
      <c r="O878" s="21" t="str">
        <f>IF(SUMIFS('Input Sheet'!$F$3:$F$1001,'Input Sheet'!$B$3:$B$1001,$H878,'Input Sheet'!$E$3:$E$1001,O$4)=0,"",SUMIFS('Input Sheet'!$F$3:$F$1001,'Input Sheet'!$B$3:$B$1001,$H878,'Input Sheet'!$E$3:$E$1001,O$4))</f>
        <v/>
      </c>
      <c r="P878" s="21" t="str">
        <f>IF(SUMIFS('Input Sheet'!$F$3:$F$1001,'Input Sheet'!$B$3:$B$1001,$H878,'Input Sheet'!$E$3:$E$1001,P$4)=0,"",SUMIFS('Input Sheet'!$F$3:$F$1001,'Input Sheet'!$B$3:$B$1001,$H878,'Input Sheet'!$E$3:$E$1001,P$4))</f>
        <v/>
      </c>
      <c r="Q878" s="21" t="str">
        <f>IF(SUMIFS('Input Sheet'!$F$3:$F$1001,'Input Sheet'!$B$3:$B$1001,$H878,'Input Sheet'!$E$3:$E$1001,Q$4)=0,"",SUMIFS('Input Sheet'!$F$3:$F$1001,'Input Sheet'!$B$3:$B$1001,$H878,'Input Sheet'!$E$3:$E$1001,Q$4))</f>
        <v/>
      </c>
      <c r="R878" s="21" t="str">
        <f>IF(SUMIFS('Input Sheet'!$F$3:$F$1001,'Input Sheet'!$B$3:$B$1001,$H878,'Input Sheet'!$E$3:$E$1001,R$4)=0,"",SUMIFS('Input Sheet'!$F$3:$F$1001,'Input Sheet'!$B$3:$B$1001,$H878,'Input Sheet'!$E$3:$E$1001,R$4))</f>
        <v/>
      </c>
      <c r="S878" s="21" t="str">
        <f>IF(SUMIFS('Input Sheet'!$F$3:$F$1001,'Input Sheet'!$B$3:$B$1001,$H878,'Input Sheet'!$E$3:$E$1001,S$4)=0,"",SUMIFS('Input Sheet'!$F$3:$F$1001,'Input Sheet'!$B$3:$B$1001,$H878,'Input Sheet'!$E$3:$E$1001,S$4))</f>
        <v/>
      </c>
      <c r="T878" s="22">
        <v>873</v>
      </c>
    </row>
    <row r="879" spans="1:20" ht="14.25" customHeight="1" x14ac:dyDescent="0.3">
      <c r="A879" s="4" t="str">
        <f>IF('Input Sheet'!B876=0,"",'Input Sheet'!B876)</f>
        <v/>
      </c>
      <c r="B879" s="24" t="b">
        <f t="shared" si="788"/>
        <v>0</v>
      </c>
      <c r="C879" s="4">
        <f>SUMIF('Input Sheet'!B$3:B$1000,A879,'Input Sheet'!C$3:C$1000)</f>
        <v>0</v>
      </c>
      <c r="D879" s="4">
        <f>SUMIF('Input Sheet'!B$3:B$1000,A879,'Input Sheet'!D$3:D$1000)</f>
        <v>0</v>
      </c>
      <c r="E879" s="4" t="str">
        <f t="shared" ref="E879:F879" ca="1" si="903">IFERROR(RANK(K879,K$6:K$1004,1),"")</f>
        <v/>
      </c>
      <c r="F879" s="4" t="str">
        <f t="shared" ca="1" si="903"/>
        <v/>
      </c>
      <c r="G879" s="4" t="str">
        <f t="shared" ca="1" si="790"/>
        <v/>
      </c>
      <c r="H879" s="4" t="str">
        <f t="shared" si="791"/>
        <v/>
      </c>
      <c r="I879" s="4" t="str">
        <f t="shared" si="792"/>
        <v/>
      </c>
      <c r="J879" s="4" t="str">
        <f t="shared" si="793"/>
        <v/>
      </c>
      <c r="K879" s="25" t="str">
        <f t="shared" ca="1" si="794"/>
        <v/>
      </c>
      <c r="L879" s="21" t="str">
        <f t="shared" ca="1" si="795"/>
        <v/>
      </c>
      <c r="M879" s="21" t="str">
        <f>IF(SUMIFS('Input Sheet'!$F$3:$F$1001,'Input Sheet'!$B$3:$B$1001,$H879,'Input Sheet'!$E$3:$E$1001,M$4)=0,"",SUMIFS('Input Sheet'!$F$3:$F$1001,'Input Sheet'!$B$3:$B$1001,$H879,'Input Sheet'!$E$3:$E$1001,M$4))</f>
        <v/>
      </c>
      <c r="N879" s="21" t="str">
        <f>IF(SUMIFS('Input Sheet'!$F$3:$F$1001,'Input Sheet'!$B$3:$B$1001,$H879,'Input Sheet'!$E$3:$E$1001,N$4)=0,"",SUMIFS('Input Sheet'!$F$3:$F$1001,'Input Sheet'!$B$3:$B$1001,$H879,'Input Sheet'!$E$3:$E$1001,N$4))</f>
        <v/>
      </c>
      <c r="O879" s="21" t="str">
        <f>IF(SUMIFS('Input Sheet'!$F$3:$F$1001,'Input Sheet'!$B$3:$B$1001,$H879,'Input Sheet'!$E$3:$E$1001,O$4)=0,"",SUMIFS('Input Sheet'!$F$3:$F$1001,'Input Sheet'!$B$3:$B$1001,$H879,'Input Sheet'!$E$3:$E$1001,O$4))</f>
        <v/>
      </c>
      <c r="P879" s="21" t="str">
        <f>IF(SUMIFS('Input Sheet'!$F$3:$F$1001,'Input Sheet'!$B$3:$B$1001,$H879,'Input Sheet'!$E$3:$E$1001,P$4)=0,"",SUMIFS('Input Sheet'!$F$3:$F$1001,'Input Sheet'!$B$3:$B$1001,$H879,'Input Sheet'!$E$3:$E$1001,P$4))</f>
        <v/>
      </c>
      <c r="Q879" s="21" t="str">
        <f>IF(SUMIFS('Input Sheet'!$F$3:$F$1001,'Input Sheet'!$B$3:$B$1001,$H879,'Input Sheet'!$E$3:$E$1001,Q$4)=0,"",SUMIFS('Input Sheet'!$F$3:$F$1001,'Input Sheet'!$B$3:$B$1001,$H879,'Input Sheet'!$E$3:$E$1001,Q$4))</f>
        <v/>
      </c>
      <c r="R879" s="21" t="str">
        <f>IF(SUMIFS('Input Sheet'!$F$3:$F$1001,'Input Sheet'!$B$3:$B$1001,$H879,'Input Sheet'!$E$3:$E$1001,R$4)=0,"",SUMIFS('Input Sheet'!$F$3:$F$1001,'Input Sheet'!$B$3:$B$1001,$H879,'Input Sheet'!$E$3:$E$1001,R$4))</f>
        <v/>
      </c>
      <c r="S879" s="21" t="str">
        <f>IF(SUMIFS('Input Sheet'!$F$3:$F$1001,'Input Sheet'!$B$3:$B$1001,$H879,'Input Sheet'!$E$3:$E$1001,S$4)=0,"",SUMIFS('Input Sheet'!$F$3:$F$1001,'Input Sheet'!$B$3:$B$1001,$H879,'Input Sheet'!$E$3:$E$1001,S$4))</f>
        <v/>
      </c>
      <c r="T879" s="22">
        <v>874</v>
      </c>
    </row>
    <row r="880" spans="1:20" ht="14.25" customHeight="1" x14ac:dyDescent="0.3">
      <c r="A880" s="4" t="str">
        <f>IF('Input Sheet'!B877=0,"",'Input Sheet'!B877)</f>
        <v/>
      </c>
      <c r="B880" s="24" t="b">
        <f t="shared" si="788"/>
        <v>0</v>
      </c>
      <c r="C880" s="4">
        <f>SUMIF('Input Sheet'!B$3:B$1000,A880,'Input Sheet'!C$3:C$1000)</f>
        <v>0</v>
      </c>
      <c r="D880" s="4">
        <f>SUMIF('Input Sheet'!B$3:B$1000,A880,'Input Sheet'!D$3:D$1000)</f>
        <v>0</v>
      </c>
      <c r="E880" s="4" t="str">
        <f t="shared" ref="E880:F880" ca="1" si="904">IFERROR(RANK(K880,K$6:K$1004,1),"")</f>
        <v/>
      </c>
      <c r="F880" s="4" t="str">
        <f t="shared" ca="1" si="904"/>
        <v/>
      </c>
      <c r="G880" s="4" t="str">
        <f t="shared" ca="1" si="790"/>
        <v/>
      </c>
      <c r="H880" s="4" t="str">
        <f t="shared" si="791"/>
        <v/>
      </c>
      <c r="I880" s="4" t="str">
        <f t="shared" si="792"/>
        <v/>
      </c>
      <c r="J880" s="4" t="str">
        <f t="shared" si="793"/>
        <v/>
      </c>
      <c r="K880" s="25" t="str">
        <f t="shared" ca="1" si="794"/>
        <v/>
      </c>
      <c r="L880" s="21" t="str">
        <f t="shared" ca="1" si="795"/>
        <v/>
      </c>
      <c r="M880" s="21" t="str">
        <f>IF(SUMIFS('Input Sheet'!$F$3:$F$1001,'Input Sheet'!$B$3:$B$1001,$H880,'Input Sheet'!$E$3:$E$1001,M$4)=0,"",SUMIFS('Input Sheet'!$F$3:$F$1001,'Input Sheet'!$B$3:$B$1001,$H880,'Input Sheet'!$E$3:$E$1001,M$4))</f>
        <v/>
      </c>
      <c r="N880" s="21" t="str">
        <f>IF(SUMIFS('Input Sheet'!$F$3:$F$1001,'Input Sheet'!$B$3:$B$1001,$H880,'Input Sheet'!$E$3:$E$1001,N$4)=0,"",SUMIFS('Input Sheet'!$F$3:$F$1001,'Input Sheet'!$B$3:$B$1001,$H880,'Input Sheet'!$E$3:$E$1001,N$4))</f>
        <v/>
      </c>
      <c r="O880" s="21" t="str">
        <f>IF(SUMIFS('Input Sheet'!$F$3:$F$1001,'Input Sheet'!$B$3:$B$1001,$H880,'Input Sheet'!$E$3:$E$1001,O$4)=0,"",SUMIFS('Input Sheet'!$F$3:$F$1001,'Input Sheet'!$B$3:$B$1001,$H880,'Input Sheet'!$E$3:$E$1001,O$4))</f>
        <v/>
      </c>
      <c r="P880" s="21" t="str">
        <f>IF(SUMIFS('Input Sheet'!$F$3:$F$1001,'Input Sheet'!$B$3:$B$1001,$H880,'Input Sheet'!$E$3:$E$1001,P$4)=0,"",SUMIFS('Input Sheet'!$F$3:$F$1001,'Input Sheet'!$B$3:$B$1001,$H880,'Input Sheet'!$E$3:$E$1001,P$4))</f>
        <v/>
      </c>
      <c r="Q880" s="21" t="str">
        <f>IF(SUMIFS('Input Sheet'!$F$3:$F$1001,'Input Sheet'!$B$3:$B$1001,$H880,'Input Sheet'!$E$3:$E$1001,Q$4)=0,"",SUMIFS('Input Sheet'!$F$3:$F$1001,'Input Sheet'!$B$3:$B$1001,$H880,'Input Sheet'!$E$3:$E$1001,Q$4))</f>
        <v/>
      </c>
      <c r="R880" s="21" t="str">
        <f>IF(SUMIFS('Input Sheet'!$F$3:$F$1001,'Input Sheet'!$B$3:$B$1001,$H880,'Input Sheet'!$E$3:$E$1001,R$4)=0,"",SUMIFS('Input Sheet'!$F$3:$F$1001,'Input Sheet'!$B$3:$B$1001,$H880,'Input Sheet'!$E$3:$E$1001,R$4))</f>
        <v/>
      </c>
      <c r="S880" s="21" t="str">
        <f>IF(SUMIFS('Input Sheet'!$F$3:$F$1001,'Input Sheet'!$B$3:$B$1001,$H880,'Input Sheet'!$E$3:$E$1001,S$4)=0,"",SUMIFS('Input Sheet'!$F$3:$F$1001,'Input Sheet'!$B$3:$B$1001,$H880,'Input Sheet'!$E$3:$E$1001,S$4))</f>
        <v/>
      </c>
      <c r="T880" s="22">
        <v>875</v>
      </c>
    </row>
    <row r="881" spans="1:20" ht="14.25" customHeight="1" x14ac:dyDescent="0.3">
      <c r="A881" s="4" t="str">
        <f>IF('Input Sheet'!B878=0,"",'Input Sheet'!B878)</f>
        <v/>
      </c>
      <c r="B881" s="24" t="b">
        <f t="shared" si="788"/>
        <v>0</v>
      </c>
      <c r="C881" s="4">
        <f>SUMIF('Input Sheet'!B$3:B$1000,A881,'Input Sheet'!C$3:C$1000)</f>
        <v>0</v>
      </c>
      <c r="D881" s="4">
        <f>SUMIF('Input Sheet'!B$3:B$1000,A881,'Input Sheet'!D$3:D$1000)</f>
        <v>0</v>
      </c>
      <c r="E881" s="4" t="str">
        <f t="shared" ref="E881:F881" ca="1" si="905">IFERROR(RANK(K881,K$6:K$1004,1),"")</f>
        <v/>
      </c>
      <c r="F881" s="4" t="str">
        <f t="shared" ca="1" si="905"/>
        <v/>
      </c>
      <c r="G881" s="4" t="str">
        <f t="shared" ca="1" si="790"/>
        <v/>
      </c>
      <c r="H881" s="4" t="str">
        <f t="shared" si="791"/>
        <v/>
      </c>
      <c r="I881" s="4" t="str">
        <f t="shared" si="792"/>
        <v/>
      </c>
      <c r="J881" s="4" t="str">
        <f t="shared" si="793"/>
        <v/>
      </c>
      <c r="K881" s="25" t="str">
        <f t="shared" ca="1" si="794"/>
        <v/>
      </c>
      <c r="L881" s="21" t="str">
        <f t="shared" ca="1" si="795"/>
        <v/>
      </c>
      <c r="M881" s="21" t="str">
        <f>IF(SUMIFS('Input Sheet'!$F$3:$F$1001,'Input Sheet'!$B$3:$B$1001,$H881,'Input Sheet'!$E$3:$E$1001,M$4)=0,"",SUMIFS('Input Sheet'!$F$3:$F$1001,'Input Sheet'!$B$3:$B$1001,$H881,'Input Sheet'!$E$3:$E$1001,M$4))</f>
        <v/>
      </c>
      <c r="N881" s="21" t="str">
        <f>IF(SUMIFS('Input Sheet'!$F$3:$F$1001,'Input Sheet'!$B$3:$B$1001,$H881,'Input Sheet'!$E$3:$E$1001,N$4)=0,"",SUMIFS('Input Sheet'!$F$3:$F$1001,'Input Sheet'!$B$3:$B$1001,$H881,'Input Sheet'!$E$3:$E$1001,N$4))</f>
        <v/>
      </c>
      <c r="O881" s="21" t="str">
        <f>IF(SUMIFS('Input Sheet'!$F$3:$F$1001,'Input Sheet'!$B$3:$B$1001,$H881,'Input Sheet'!$E$3:$E$1001,O$4)=0,"",SUMIFS('Input Sheet'!$F$3:$F$1001,'Input Sheet'!$B$3:$B$1001,$H881,'Input Sheet'!$E$3:$E$1001,O$4))</f>
        <v/>
      </c>
      <c r="P881" s="21" t="str">
        <f>IF(SUMIFS('Input Sheet'!$F$3:$F$1001,'Input Sheet'!$B$3:$B$1001,$H881,'Input Sheet'!$E$3:$E$1001,P$4)=0,"",SUMIFS('Input Sheet'!$F$3:$F$1001,'Input Sheet'!$B$3:$B$1001,$H881,'Input Sheet'!$E$3:$E$1001,P$4))</f>
        <v/>
      </c>
      <c r="Q881" s="21" t="str">
        <f>IF(SUMIFS('Input Sheet'!$F$3:$F$1001,'Input Sheet'!$B$3:$B$1001,$H881,'Input Sheet'!$E$3:$E$1001,Q$4)=0,"",SUMIFS('Input Sheet'!$F$3:$F$1001,'Input Sheet'!$B$3:$B$1001,$H881,'Input Sheet'!$E$3:$E$1001,Q$4))</f>
        <v/>
      </c>
      <c r="R881" s="21" t="str">
        <f>IF(SUMIFS('Input Sheet'!$F$3:$F$1001,'Input Sheet'!$B$3:$B$1001,$H881,'Input Sheet'!$E$3:$E$1001,R$4)=0,"",SUMIFS('Input Sheet'!$F$3:$F$1001,'Input Sheet'!$B$3:$B$1001,$H881,'Input Sheet'!$E$3:$E$1001,R$4))</f>
        <v/>
      </c>
      <c r="S881" s="21" t="str">
        <f>IF(SUMIFS('Input Sheet'!$F$3:$F$1001,'Input Sheet'!$B$3:$B$1001,$H881,'Input Sheet'!$E$3:$E$1001,S$4)=0,"",SUMIFS('Input Sheet'!$F$3:$F$1001,'Input Sheet'!$B$3:$B$1001,$H881,'Input Sheet'!$E$3:$E$1001,S$4))</f>
        <v/>
      </c>
      <c r="T881" s="22">
        <v>876</v>
      </c>
    </row>
    <row r="882" spans="1:20" ht="14.25" customHeight="1" x14ac:dyDescent="0.3">
      <c r="A882" s="4" t="str">
        <f>IF('Input Sheet'!B879=0,"",'Input Sheet'!B879)</f>
        <v/>
      </c>
      <c r="B882" s="24" t="b">
        <f t="shared" si="788"/>
        <v>0</v>
      </c>
      <c r="C882" s="4">
        <f>SUMIF('Input Sheet'!B$3:B$1000,A882,'Input Sheet'!C$3:C$1000)</f>
        <v>0</v>
      </c>
      <c r="D882" s="4">
        <f>SUMIF('Input Sheet'!B$3:B$1000,A882,'Input Sheet'!D$3:D$1000)</f>
        <v>0</v>
      </c>
      <c r="E882" s="4" t="str">
        <f t="shared" ref="E882:F882" ca="1" si="906">IFERROR(RANK(K882,K$6:K$1004,1),"")</f>
        <v/>
      </c>
      <c r="F882" s="4" t="str">
        <f t="shared" ca="1" si="906"/>
        <v/>
      </c>
      <c r="G882" s="4" t="str">
        <f t="shared" ca="1" si="790"/>
        <v/>
      </c>
      <c r="H882" s="4" t="str">
        <f t="shared" si="791"/>
        <v/>
      </c>
      <c r="I882" s="4" t="str">
        <f t="shared" si="792"/>
        <v/>
      </c>
      <c r="J882" s="4" t="str">
        <f t="shared" si="793"/>
        <v/>
      </c>
      <c r="K882" s="25" t="str">
        <f t="shared" ca="1" si="794"/>
        <v/>
      </c>
      <c r="L882" s="21" t="str">
        <f t="shared" ca="1" si="795"/>
        <v/>
      </c>
      <c r="M882" s="21" t="str">
        <f>IF(SUMIFS('Input Sheet'!$F$3:$F$1001,'Input Sheet'!$B$3:$B$1001,$H882,'Input Sheet'!$E$3:$E$1001,M$4)=0,"",SUMIFS('Input Sheet'!$F$3:$F$1001,'Input Sheet'!$B$3:$B$1001,$H882,'Input Sheet'!$E$3:$E$1001,M$4))</f>
        <v/>
      </c>
      <c r="N882" s="21" t="str">
        <f>IF(SUMIFS('Input Sheet'!$F$3:$F$1001,'Input Sheet'!$B$3:$B$1001,$H882,'Input Sheet'!$E$3:$E$1001,N$4)=0,"",SUMIFS('Input Sheet'!$F$3:$F$1001,'Input Sheet'!$B$3:$B$1001,$H882,'Input Sheet'!$E$3:$E$1001,N$4))</f>
        <v/>
      </c>
      <c r="O882" s="21" t="str">
        <f>IF(SUMIFS('Input Sheet'!$F$3:$F$1001,'Input Sheet'!$B$3:$B$1001,$H882,'Input Sheet'!$E$3:$E$1001,O$4)=0,"",SUMIFS('Input Sheet'!$F$3:$F$1001,'Input Sheet'!$B$3:$B$1001,$H882,'Input Sheet'!$E$3:$E$1001,O$4))</f>
        <v/>
      </c>
      <c r="P882" s="21" t="str">
        <f>IF(SUMIFS('Input Sheet'!$F$3:$F$1001,'Input Sheet'!$B$3:$B$1001,$H882,'Input Sheet'!$E$3:$E$1001,P$4)=0,"",SUMIFS('Input Sheet'!$F$3:$F$1001,'Input Sheet'!$B$3:$B$1001,$H882,'Input Sheet'!$E$3:$E$1001,P$4))</f>
        <v/>
      </c>
      <c r="Q882" s="21" t="str">
        <f>IF(SUMIFS('Input Sheet'!$F$3:$F$1001,'Input Sheet'!$B$3:$B$1001,$H882,'Input Sheet'!$E$3:$E$1001,Q$4)=0,"",SUMIFS('Input Sheet'!$F$3:$F$1001,'Input Sheet'!$B$3:$B$1001,$H882,'Input Sheet'!$E$3:$E$1001,Q$4))</f>
        <v/>
      </c>
      <c r="R882" s="21" t="str">
        <f>IF(SUMIFS('Input Sheet'!$F$3:$F$1001,'Input Sheet'!$B$3:$B$1001,$H882,'Input Sheet'!$E$3:$E$1001,R$4)=0,"",SUMIFS('Input Sheet'!$F$3:$F$1001,'Input Sheet'!$B$3:$B$1001,$H882,'Input Sheet'!$E$3:$E$1001,R$4))</f>
        <v/>
      </c>
      <c r="S882" s="21" t="str">
        <f>IF(SUMIFS('Input Sheet'!$F$3:$F$1001,'Input Sheet'!$B$3:$B$1001,$H882,'Input Sheet'!$E$3:$E$1001,S$4)=0,"",SUMIFS('Input Sheet'!$F$3:$F$1001,'Input Sheet'!$B$3:$B$1001,$H882,'Input Sheet'!$E$3:$E$1001,S$4))</f>
        <v/>
      </c>
      <c r="T882" s="22">
        <v>877</v>
      </c>
    </row>
    <row r="883" spans="1:20" ht="14.25" customHeight="1" x14ac:dyDescent="0.3">
      <c r="A883" s="4" t="str">
        <f>IF('Input Sheet'!B880=0,"",'Input Sheet'!B880)</f>
        <v/>
      </c>
      <c r="B883" s="24" t="b">
        <f t="shared" si="788"/>
        <v>0</v>
      </c>
      <c r="C883" s="4">
        <f>SUMIF('Input Sheet'!B$3:B$1000,A883,'Input Sheet'!C$3:C$1000)</f>
        <v>0</v>
      </c>
      <c r="D883" s="4">
        <f>SUMIF('Input Sheet'!B$3:B$1000,A883,'Input Sheet'!D$3:D$1000)</f>
        <v>0</v>
      </c>
      <c r="E883" s="4" t="str">
        <f t="shared" ref="E883:F883" ca="1" si="907">IFERROR(RANK(K883,K$6:K$1004,1),"")</f>
        <v/>
      </c>
      <c r="F883" s="4" t="str">
        <f t="shared" ca="1" si="907"/>
        <v/>
      </c>
      <c r="G883" s="4" t="str">
        <f t="shared" ca="1" si="790"/>
        <v/>
      </c>
      <c r="H883" s="4" t="str">
        <f t="shared" si="791"/>
        <v/>
      </c>
      <c r="I883" s="4" t="str">
        <f t="shared" si="792"/>
        <v/>
      </c>
      <c r="J883" s="4" t="str">
        <f t="shared" si="793"/>
        <v/>
      </c>
      <c r="K883" s="25" t="str">
        <f t="shared" ca="1" si="794"/>
        <v/>
      </c>
      <c r="L883" s="21" t="str">
        <f t="shared" ca="1" si="795"/>
        <v/>
      </c>
      <c r="M883" s="21" t="str">
        <f>IF(SUMIFS('Input Sheet'!$F$3:$F$1001,'Input Sheet'!$B$3:$B$1001,$H883,'Input Sheet'!$E$3:$E$1001,M$4)=0,"",SUMIFS('Input Sheet'!$F$3:$F$1001,'Input Sheet'!$B$3:$B$1001,$H883,'Input Sheet'!$E$3:$E$1001,M$4))</f>
        <v/>
      </c>
      <c r="N883" s="21" t="str">
        <f>IF(SUMIFS('Input Sheet'!$F$3:$F$1001,'Input Sheet'!$B$3:$B$1001,$H883,'Input Sheet'!$E$3:$E$1001,N$4)=0,"",SUMIFS('Input Sheet'!$F$3:$F$1001,'Input Sheet'!$B$3:$B$1001,$H883,'Input Sheet'!$E$3:$E$1001,N$4))</f>
        <v/>
      </c>
      <c r="O883" s="21" t="str">
        <f>IF(SUMIFS('Input Sheet'!$F$3:$F$1001,'Input Sheet'!$B$3:$B$1001,$H883,'Input Sheet'!$E$3:$E$1001,O$4)=0,"",SUMIFS('Input Sheet'!$F$3:$F$1001,'Input Sheet'!$B$3:$B$1001,$H883,'Input Sheet'!$E$3:$E$1001,O$4))</f>
        <v/>
      </c>
      <c r="P883" s="21" t="str">
        <f>IF(SUMIFS('Input Sheet'!$F$3:$F$1001,'Input Sheet'!$B$3:$B$1001,$H883,'Input Sheet'!$E$3:$E$1001,P$4)=0,"",SUMIFS('Input Sheet'!$F$3:$F$1001,'Input Sheet'!$B$3:$B$1001,$H883,'Input Sheet'!$E$3:$E$1001,P$4))</f>
        <v/>
      </c>
      <c r="Q883" s="21" t="str">
        <f>IF(SUMIFS('Input Sheet'!$F$3:$F$1001,'Input Sheet'!$B$3:$B$1001,$H883,'Input Sheet'!$E$3:$E$1001,Q$4)=0,"",SUMIFS('Input Sheet'!$F$3:$F$1001,'Input Sheet'!$B$3:$B$1001,$H883,'Input Sheet'!$E$3:$E$1001,Q$4))</f>
        <v/>
      </c>
      <c r="R883" s="21" t="str">
        <f>IF(SUMIFS('Input Sheet'!$F$3:$F$1001,'Input Sheet'!$B$3:$B$1001,$H883,'Input Sheet'!$E$3:$E$1001,R$4)=0,"",SUMIFS('Input Sheet'!$F$3:$F$1001,'Input Sheet'!$B$3:$B$1001,$H883,'Input Sheet'!$E$3:$E$1001,R$4))</f>
        <v/>
      </c>
      <c r="S883" s="21" t="str">
        <f>IF(SUMIFS('Input Sheet'!$F$3:$F$1001,'Input Sheet'!$B$3:$B$1001,$H883,'Input Sheet'!$E$3:$E$1001,S$4)=0,"",SUMIFS('Input Sheet'!$F$3:$F$1001,'Input Sheet'!$B$3:$B$1001,$H883,'Input Sheet'!$E$3:$E$1001,S$4))</f>
        <v/>
      </c>
      <c r="T883" s="22">
        <v>878</v>
      </c>
    </row>
    <row r="884" spans="1:20" ht="14.25" customHeight="1" x14ac:dyDescent="0.3">
      <c r="A884" s="4" t="str">
        <f>IF('Input Sheet'!B881=0,"",'Input Sheet'!B881)</f>
        <v/>
      </c>
      <c r="B884" s="24" t="b">
        <f t="shared" si="788"/>
        <v>0</v>
      </c>
      <c r="C884" s="4">
        <f>SUMIF('Input Sheet'!B$3:B$1000,A884,'Input Sheet'!C$3:C$1000)</f>
        <v>0</v>
      </c>
      <c r="D884" s="4">
        <f>SUMIF('Input Sheet'!B$3:B$1000,A884,'Input Sheet'!D$3:D$1000)</f>
        <v>0</v>
      </c>
      <c r="E884" s="4" t="str">
        <f t="shared" ref="E884:F884" ca="1" si="908">IFERROR(RANK(K884,K$6:K$1004,1),"")</f>
        <v/>
      </c>
      <c r="F884" s="4" t="str">
        <f t="shared" ca="1" si="908"/>
        <v/>
      </c>
      <c r="G884" s="4" t="str">
        <f t="shared" ca="1" si="790"/>
        <v/>
      </c>
      <c r="H884" s="4" t="str">
        <f t="shared" si="791"/>
        <v/>
      </c>
      <c r="I884" s="4" t="str">
        <f t="shared" si="792"/>
        <v/>
      </c>
      <c r="J884" s="4" t="str">
        <f t="shared" si="793"/>
        <v/>
      </c>
      <c r="K884" s="25" t="str">
        <f t="shared" ca="1" si="794"/>
        <v/>
      </c>
      <c r="L884" s="21" t="str">
        <f t="shared" ca="1" si="795"/>
        <v/>
      </c>
      <c r="M884" s="21" t="str">
        <f>IF(SUMIFS('Input Sheet'!$F$3:$F$1001,'Input Sheet'!$B$3:$B$1001,$H884,'Input Sheet'!$E$3:$E$1001,M$4)=0,"",SUMIFS('Input Sheet'!$F$3:$F$1001,'Input Sheet'!$B$3:$B$1001,$H884,'Input Sheet'!$E$3:$E$1001,M$4))</f>
        <v/>
      </c>
      <c r="N884" s="21" t="str">
        <f>IF(SUMIFS('Input Sheet'!$F$3:$F$1001,'Input Sheet'!$B$3:$B$1001,$H884,'Input Sheet'!$E$3:$E$1001,N$4)=0,"",SUMIFS('Input Sheet'!$F$3:$F$1001,'Input Sheet'!$B$3:$B$1001,$H884,'Input Sheet'!$E$3:$E$1001,N$4))</f>
        <v/>
      </c>
      <c r="O884" s="21" t="str">
        <f>IF(SUMIFS('Input Sheet'!$F$3:$F$1001,'Input Sheet'!$B$3:$B$1001,$H884,'Input Sheet'!$E$3:$E$1001,O$4)=0,"",SUMIFS('Input Sheet'!$F$3:$F$1001,'Input Sheet'!$B$3:$B$1001,$H884,'Input Sheet'!$E$3:$E$1001,O$4))</f>
        <v/>
      </c>
      <c r="P884" s="21" t="str">
        <f>IF(SUMIFS('Input Sheet'!$F$3:$F$1001,'Input Sheet'!$B$3:$B$1001,$H884,'Input Sheet'!$E$3:$E$1001,P$4)=0,"",SUMIFS('Input Sheet'!$F$3:$F$1001,'Input Sheet'!$B$3:$B$1001,$H884,'Input Sheet'!$E$3:$E$1001,P$4))</f>
        <v/>
      </c>
      <c r="Q884" s="21" t="str">
        <f>IF(SUMIFS('Input Sheet'!$F$3:$F$1001,'Input Sheet'!$B$3:$B$1001,$H884,'Input Sheet'!$E$3:$E$1001,Q$4)=0,"",SUMIFS('Input Sheet'!$F$3:$F$1001,'Input Sheet'!$B$3:$B$1001,$H884,'Input Sheet'!$E$3:$E$1001,Q$4))</f>
        <v/>
      </c>
      <c r="R884" s="21" t="str">
        <f>IF(SUMIFS('Input Sheet'!$F$3:$F$1001,'Input Sheet'!$B$3:$B$1001,$H884,'Input Sheet'!$E$3:$E$1001,R$4)=0,"",SUMIFS('Input Sheet'!$F$3:$F$1001,'Input Sheet'!$B$3:$B$1001,$H884,'Input Sheet'!$E$3:$E$1001,R$4))</f>
        <v/>
      </c>
      <c r="S884" s="21" t="str">
        <f>IF(SUMIFS('Input Sheet'!$F$3:$F$1001,'Input Sheet'!$B$3:$B$1001,$H884,'Input Sheet'!$E$3:$E$1001,S$4)=0,"",SUMIFS('Input Sheet'!$F$3:$F$1001,'Input Sheet'!$B$3:$B$1001,$H884,'Input Sheet'!$E$3:$E$1001,S$4))</f>
        <v/>
      </c>
      <c r="T884" s="22">
        <v>879</v>
      </c>
    </row>
    <row r="885" spans="1:20" ht="14.25" customHeight="1" x14ac:dyDescent="0.3">
      <c r="A885" s="4" t="str">
        <f>IF('Input Sheet'!B882=0,"",'Input Sheet'!B882)</f>
        <v/>
      </c>
      <c r="B885" s="24" t="b">
        <f t="shared" si="788"/>
        <v>0</v>
      </c>
      <c r="C885" s="4">
        <f>SUMIF('Input Sheet'!B$3:B$1000,A885,'Input Sheet'!C$3:C$1000)</f>
        <v>0</v>
      </c>
      <c r="D885" s="4">
        <f>SUMIF('Input Sheet'!B$3:B$1000,A885,'Input Sheet'!D$3:D$1000)</f>
        <v>0</v>
      </c>
      <c r="E885" s="4" t="str">
        <f t="shared" ref="E885:F885" ca="1" si="909">IFERROR(RANK(K885,K$6:K$1004,1),"")</f>
        <v/>
      </c>
      <c r="F885" s="4" t="str">
        <f t="shared" ca="1" si="909"/>
        <v/>
      </c>
      <c r="G885" s="4" t="str">
        <f t="shared" ca="1" si="790"/>
        <v/>
      </c>
      <c r="H885" s="4" t="str">
        <f t="shared" si="791"/>
        <v/>
      </c>
      <c r="I885" s="4" t="str">
        <f t="shared" si="792"/>
        <v/>
      </c>
      <c r="J885" s="4" t="str">
        <f t="shared" si="793"/>
        <v/>
      </c>
      <c r="K885" s="25" t="str">
        <f t="shared" ca="1" si="794"/>
        <v/>
      </c>
      <c r="L885" s="21" t="str">
        <f t="shared" ca="1" si="795"/>
        <v/>
      </c>
      <c r="M885" s="21" t="str">
        <f>IF(SUMIFS('Input Sheet'!$F$3:$F$1001,'Input Sheet'!$B$3:$B$1001,$H885,'Input Sheet'!$E$3:$E$1001,M$4)=0,"",SUMIFS('Input Sheet'!$F$3:$F$1001,'Input Sheet'!$B$3:$B$1001,$H885,'Input Sheet'!$E$3:$E$1001,M$4))</f>
        <v/>
      </c>
      <c r="N885" s="21" t="str">
        <f>IF(SUMIFS('Input Sheet'!$F$3:$F$1001,'Input Sheet'!$B$3:$B$1001,$H885,'Input Sheet'!$E$3:$E$1001,N$4)=0,"",SUMIFS('Input Sheet'!$F$3:$F$1001,'Input Sheet'!$B$3:$B$1001,$H885,'Input Sheet'!$E$3:$E$1001,N$4))</f>
        <v/>
      </c>
      <c r="O885" s="21" t="str">
        <f>IF(SUMIFS('Input Sheet'!$F$3:$F$1001,'Input Sheet'!$B$3:$B$1001,$H885,'Input Sheet'!$E$3:$E$1001,O$4)=0,"",SUMIFS('Input Sheet'!$F$3:$F$1001,'Input Sheet'!$B$3:$B$1001,$H885,'Input Sheet'!$E$3:$E$1001,O$4))</f>
        <v/>
      </c>
      <c r="P885" s="21" t="str">
        <f>IF(SUMIFS('Input Sheet'!$F$3:$F$1001,'Input Sheet'!$B$3:$B$1001,$H885,'Input Sheet'!$E$3:$E$1001,P$4)=0,"",SUMIFS('Input Sheet'!$F$3:$F$1001,'Input Sheet'!$B$3:$B$1001,$H885,'Input Sheet'!$E$3:$E$1001,P$4))</f>
        <v/>
      </c>
      <c r="Q885" s="21" t="str">
        <f>IF(SUMIFS('Input Sheet'!$F$3:$F$1001,'Input Sheet'!$B$3:$B$1001,$H885,'Input Sheet'!$E$3:$E$1001,Q$4)=0,"",SUMIFS('Input Sheet'!$F$3:$F$1001,'Input Sheet'!$B$3:$B$1001,$H885,'Input Sheet'!$E$3:$E$1001,Q$4))</f>
        <v/>
      </c>
      <c r="R885" s="21" t="str">
        <f>IF(SUMIFS('Input Sheet'!$F$3:$F$1001,'Input Sheet'!$B$3:$B$1001,$H885,'Input Sheet'!$E$3:$E$1001,R$4)=0,"",SUMIFS('Input Sheet'!$F$3:$F$1001,'Input Sheet'!$B$3:$B$1001,$H885,'Input Sheet'!$E$3:$E$1001,R$4))</f>
        <v/>
      </c>
      <c r="S885" s="21" t="str">
        <f>IF(SUMIFS('Input Sheet'!$F$3:$F$1001,'Input Sheet'!$B$3:$B$1001,$H885,'Input Sheet'!$E$3:$E$1001,S$4)=0,"",SUMIFS('Input Sheet'!$F$3:$F$1001,'Input Sheet'!$B$3:$B$1001,$H885,'Input Sheet'!$E$3:$E$1001,S$4))</f>
        <v/>
      </c>
      <c r="T885" s="22">
        <v>880</v>
      </c>
    </row>
    <row r="886" spans="1:20" ht="14.25" customHeight="1" x14ac:dyDescent="0.3">
      <c r="A886" s="4" t="str">
        <f>IF('Input Sheet'!B883=0,"",'Input Sheet'!B883)</f>
        <v/>
      </c>
      <c r="B886" s="24" t="b">
        <f t="shared" si="788"/>
        <v>0</v>
      </c>
      <c r="C886" s="4">
        <f>SUMIF('Input Sheet'!B$3:B$1000,A886,'Input Sheet'!C$3:C$1000)</f>
        <v>0</v>
      </c>
      <c r="D886" s="4">
        <f>SUMIF('Input Sheet'!B$3:B$1000,A886,'Input Sheet'!D$3:D$1000)</f>
        <v>0</v>
      </c>
      <c r="E886" s="4" t="str">
        <f t="shared" ref="E886:F886" ca="1" si="910">IFERROR(RANK(K886,K$6:K$1004,1),"")</f>
        <v/>
      </c>
      <c r="F886" s="4" t="str">
        <f t="shared" ca="1" si="910"/>
        <v/>
      </c>
      <c r="G886" s="4" t="str">
        <f t="shared" ca="1" si="790"/>
        <v/>
      </c>
      <c r="H886" s="4" t="str">
        <f t="shared" si="791"/>
        <v/>
      </c>
      <c r="I886" s="4" t="str">
        <f t="shared" si="792"/>
        <v/>
      </c>
      <c r="J886" s="4" t="str">
        <f t="shared" si="793"/>
        <v/>
      </c>
      <c r="K886" s="25" t="str">
        <f t="shared" ca="1" si="794"/>
        <v/>
      </c>
      <c r="L886" s="21" t="str">
        <f t="shared" ca="1" si="795"/>
        <v/>
      </c>
      <c r="M886" s="21" t="str">
        <f>IF(SUMIFS('Input Sheet'!$F$3:$F$1001,'Input Sheet'!$B$3:$B$1001,$H886,'Input Sheet'!$E$3:$E$1001,M$4)=0,"",SUMIFS('Input Sheet'!$F$3:$F$1001,'Input Sheet'!$B$3:$B$1001,$H886,'Input Sheet'!$E$3:$E$1001,M$4))</f>
        <v/>
      </c>
      <c r="N886" s="21" t="str">
        <f>IF(SUMIFS('Input Sheet'!$F$3:$F$1001,'Input Sheet'!$B$3:$B$1001,$H886,'Input Sheet'!$E$3:$E$1001,N$4)=0,"",SUMIFS('Input Sheet'!$F$3:$F$1001,'Input Sheet'!$B$3:$B$1001,$H886,'Input Sheet'!$E$3:$E$1001,N$4))</f>
        <v/>
      </c>
      <c r="O886" s="21" t="str">
        <f>IF(SUMIFS('Input Sheet'!$F$3:$F$1001,'Input Sheet'!$B$3:$B$1001,$H886,'Input Sheet'!$E$3:$E$1001,O$4)=0,"",SUMIFS('Input Sheet'!$F$3:$F$1001,'Input Sheet'!$B$3:$B$1001,$H886,'Input Sheet'!$E$3:$E$1001,O$4))</f>
        <v/>
      </c>
      <c r="P886" s="21" t="str">
        <f>IF(SUMIFS('Input Sheet'!$F$3:$F$1001,'Input Sheet'!$B$3:$B$1001,$H886,'Input Sheet'!$E$3:$E$1001,P$4)=0,"",SUMIFS('Input Sheet'!$F$3:$F$1001,'Input Sheet'!$B$3:$B$1001,$H886,'Input Sheet'!$E$3:$E$1001,P$4))</f>
        <v/>
      </c>
      <c r="Q886" s="21" t="str">
        <f>IF(SUMIFS('Input Sheet'!$F$3:$F$1001,'Input Sheet'!$B$3:$B$1001,$H886,'Input Sheet'!$E$3:$E$1001,Q$4)=0,"",SUMIFS('Input Sheet'!$F$3:$F$1001,'Input Sheet'!$B$3:$B$1001,$H886,'Input Sheet'!$E$3:$E$1001,Q$4))</f>
        <v/>
      </c>
      <c r="R886" s="21" t="str">
        <f>IF(SUMIFS('Input Sheet'!$F$3:$F$1001,'Input Sheet'!$B$3:$B$1001,$H886,'Input Sheet'!$E$3:$E$1001,R$4)=0,"",SUMIFS('Input Sheet'!$F$3:$F$1001,'Input Sheet'!$B$3:$B$1001,$H886,'Input Sheet'!$E$3:$E$1001,R$4))</f>
        <v/>
      </c>
      <c r="S886" s="21" t="str">
        <f>IF(SUMIFS('Input Sheet'!$F$3:$F$1001,'Input Sheet'!$B$3:$B$1001,$H886,'Input Sheet'!$E$3:$E$1001,S$4)=0,"",SUMIFS('Input Sheet'!$F$3:$F$1001,'Input Sheet'!$B$3:$B$1001,$H886,'Input Sheet'!$E$3:$E$1001,S$4))</f>
        <v/>
      </c>
      <c r="T886" s="22">
        <v>881</v>
      </c>
    </row>
    <row r="887" spans="1:20" ht="14.25" customHeight="1" x14ac:dyDescent="0.3">
      <c r="A887" s="4" t="str">
        <f>IF('Input Sheet'!B884=0,"",'Input Sheet'!B884)</f>
        <v/>
      </c>
      <c r="B887" s="24" t="b">
        <f t="shared" si="788"/>
        <v>0</v>
      </c>
      <c r="C887" s="4">
        <f>SUMIF('Input Sheet'!B$3:B$1000,A887,'Input Sheet'!C$3:C$1000)</f>
        <v>0</v>
      </c>
      <c r="D887" s="4">
        <f>SUMIF('Input Sheet'!B$3:B$1000,A887,'Input Sheet'!D$3:D$1000)</f>
        <v>0</v>
      </c>
      <c r="E887" s="4" t="str">
        <f t="shared" ref="E887:F887" ca="1" si="911">IFERROR(RANK(K887,K$6:K$1004,1),"")</f>
        <v/>
      </c>
      <c r="F887" s="4" t="str">
        <f t="shared" ca="1" si="911"/>
        <v/>
      </c>
      <c r="G887" s="4" t="str">
        <f t="shared" ca="1" si="790"/>
        <v/>
      </c>
      <c r="H887" s="4" t="str">
        <f t="shared" si="791"/>
        <v/>
      </c>
      <c r="I887" s="4" t="str">
        <f t="shared" si="792"/>
        <v/>
      </c>
      <c r="J887" s="4" t="str">
        <f t="shared" si="793"/>
        <v/>
      </c>
      <c r="K887" s="25" t="str">
        <f t="shared" ca="1" si="794"/>
        <v/>
      </c>
      <c r="L887" s="21" t="str">
        <f t="shared" ca="1" si="795"/>
        <v/>
      </c>
      <c r="M887" s="21" t="str">
        <f>IF(SUMIFS('Input Sheet'!$F$3:$F$1001,'Input Sheet'!$B$3:$B$1001,$H887,'Input Sheet'!$E$3:$E$1001,M$4)=0,"",SUMIFS('Input Sheet'!$F$3:$F$1001,'Input Sheet'!$B$3:$B$1001,$H887,'Input Sheet'!$E$3:$E$1001,M$4))</f>
        <v/>
      </c>
      <c r="N887" s="21" t="str">
        <f>IF(SUMIFS('Input Sheet'!$F$3:$F$1001,'Input Sheet'!$B$3:$B$1001,$H887,'Input Sheet'!$E$3:$E$1001,N$4)=0,"",SUMIFS('Input Sheet'!$F$3:$F$1001,'Input Sheet'!$B$3:$B$1001,$H887,'Input Sheet'!$E$3:$E$1001,N$4))</f>
        <v/>
      </c>
      <c r="O887" s="21" t="str">
        <f>IF(SUMIFS('Input Sheet'!$F$3:$F$1001,'Input Sheet'!$B$3:$B$1001,$H887,'Input Sheet'!$E$3:$E$1001,O$4)=0,"",SUMIFS('Input Sheet'!$F$3:$F$1001,'Input Sheet'!$B$3:$B$1001,$H887,'Input Sheet'!$E$3:$E$1001,O$4))</f>
        <v/>
      </c>
      <c r="P887" s="21" t="str">
        <f>IF(SUMIFS('Input Sheet'!$F$3:$F$1001,'Input Sheet'!$B$3:$B$1001,$H887,'Input Sheet'!$E$3:$E$1001,P$4)=0,"",SUMIFS('Input Sheet'!$F$3:$F$1001,'Input Sheet'!$B$3:$B$1001,$H887,'Input Sheet'!$E$3:$E$1001,P$4))</f>
        <v/>
      </c>
      <c r="Q887" s="21" t="str">
        <f>IF(SUMIFS('Input Sheet'!$F$3:$F$1001,'Input Sheet'!$B$3:$B$1001,$H887,'Input Sheet'!$E$3:$E$1001,Q$4)=0,"",SUMIFS('Input Sheet'!$F$3:$F$1001,'Input Sheet'!$B$3:$B$1001,$H887,'Input Sheet'!$E$3:$E$1001,Q$4))</f>
        <v/>
      </c>
      <c r="R887" s="21" t="str">
        <f>IF(SUMIFS('Input Sheet'!$F$3:$F$1001,'Input Sheet'!$B$3:$B$1001,$H887,'Input Sheet'!$E$3:$E$1001,R$4)=0,"",SUMIFS('Input Sheet'!$F$3:$F$1001,'Input Sheet'!$B$3:$B$1001,$H887,'Input Sheet'!$E$3:$E$1001,R$4))</f>
        <v/>
      </c>
      <c r="S887" s="21" t="str">
        <f>IF(SUMIFS('Input Sheet'!$F$3:$F$1001,'Input Sheet'!$B$3:$B$1001,$H887,'Input Sheet'!$E$3:$E$1001,S$4)=0,"",SUMIFS('Input Sheet'!$F$3:$F$1001,'Input Sheet'!$B$3:$B$1001,$H887,'Input Sheet'!$E$3:$E$1001,S$4))</f>
        <v/>
      </c>
      <c r="T887" s="22">
        <v>882</v>
      </c>
    </row>
    <row r="888" spans="1:20" ht="14.25" customHeight="1" x14ac:dyDescent="0.3">
      <c r="A888" s="4" t="str">
        <f>IF('Input Sheet'!B885=0,"",'Input Sheet'!B885)</f>
        <v/>
      </c>
      <c r="B888" s="24" t="b">
        <f t="shared" si="788"/>
        <v>0</v>
      </c>
      <c r="C888" s="4">
        <f>SUMIF('Input Sheet'!B$3:B$1000,A888,'Input Sheet'!C$3:C$1000)</f>
        <v>0</v>
      </c>
      <c r="D888" s="4">
        <f>SUMIF('Input Sheet'!B$3:B$1000,A888,'Input Sheet'!D$3:D$1000)</f>
        <v>0</v>
      </c>
      <c r="E888" s="4" t="str">
        <f t="shared" ref="E888:F888" ca="1" si="912">IFERROR(RANK(K888,K$6:K$1004,1),"")</f>
        <v/>
      </c>
      <c r="F888" s="4" t="str">
        <f t="shared" ca="1" si="912"/>
        <v/>
      </c>
      <c r="G888" s="4" t="str">
        <f t="shared" ca="1" si="790"/>
        <v/>
      </c>
      <c r="H888" s="4" t="str">
        <f t="shared" si="791"/>
        <v/>
      </c>
      <c r="I888" s="4" t="str">
        <f t="shared" si="792"/>
        <v/>
      </c>
      <c r="J888" s="4" t="str">
        <f t="shared" si="793"/>
        <v/>
      </c>
      <c r="K888" s="25" t="str">
        <f t="shared" ca="1" si="794"/>
        <v/>
      </c>
      <c r="L888" s="21" t="str">
        <f t="shared" ca="1" si="795"/>
        <v/>
      </c>
      <c r="M888" s="21" t="str">
        <f>IF(SUMIFS('Input Sheet'!$F$3:$F$1001,'Input Sheet'!$B$3:$B$1001,$H888,'Input Sheet'!$E$3:$E$1001,M$4)=0,"",SUMIFS('Input Sheet'!$F$3:$F$1001,'Input Sheet'!$B$3:$B$1001,$H888,'Input Sheet'!$E$3:$E$1001,M$4))</f>
        <v/>
      </c>
      <c r="N888" s="21" t="str">
        <f>IF(SUMIFS('Input Sheet'!$F$3:$F$1001,'Input Sheet'!$B$3:$B$1001,$H888,'Input Sheet'!$E$3:$E$1001,N$4)=0,"",SUMIFS('Input Sheet'!$F$3:$F$1001,'Input Sheet'!$B$3:$B$1001,$H888,'Input Sheet'!$E$3:$E$1001,N$4))</f>
        <v/>
      </c>
      <c r="O888" s="21" t="str">
        <f>IF(SUMIFS('Input Sheet'!$F$3:$F$1001,'Input Sheet'!$B$3:$B$1001,$H888,'Input Sheet'!$E$3:$E$1001,O$4)=0,"",SUMIFS('Input Sheet'!$F$3:$F$1001,'Input Sheet'!$B$3:$B$1001,$H888,'Input Sheet'!$E$3:$E$1001,O$4))</f>
        <v/>
      </c>
      <c r="P888" s="21" t="str">
        <f>IF(SUMIFS('Input Sheet'!$F$3:$F$1001,'Input Sheet'!$B$3:$B$1001,$H888,'Input Sheet'!$E$3:$E$1001,P$4)=0,"",SUMIFS('Input Sheet'!$F$3:$F$1001,'Input Sheet'!$B$3:$B$1001,$H888,'Input Sheet'!$E$3:$E$1001,P$4))</f>
        <v/>
      </c>
      <c r="Q888" s="21" t="str">
        <f>IF(SUMIFS('Input Sheet'!$F$3:$F$1001,'Input Sheet'!$B$3:$B$1001,$H888,'Input Sheet'!$E$3:$E$1001,Q$4)=0,"",SUMIFS('Input Sheet'!$F$3:$F$1001,'Input Sheet'!$B$3:$B$1001,$H888,'Input Sheet'!$E$3:$E$1001,Q$4))</f>
        <v/>
      </c>
      <c r="R888" s="21" t="str">
        <f>IF(SUMIFS('Input Sheet'!$F$3:$F$1001,'Input Sheet'!$B$3:$B$1001,$H888,'Input Sheet'!$E$3:$E$1001,R$4)=0,"",SUMIFS('Input Sheet'!$F$3:$F$1001,'Input Sheet'!$B$3:$B$1001,$H888,'Input Sheet'!$E$3:$E$1001,R$4))</f>
        <v/>
      </c>
      <c r="S888" s="21" t="str">
        <f>IF(SUMIFS('Input Sheet'!$F$3:$F$1001,'Input Sheet'!$B$3:$B$1001,$H888,'Input Sheet'!$E$3:$E$1001,S$4)=0,"",SUMIFS('Input Sheet'!$F$3:$F$1001,'Input Sheet'!$B$3:$B$1001,$H888,'Input Sheet'!$E$3:$E$1001,S$4))</f>
        <v/>
      </c>
      <c r="T888" s="22">
        <v>883</v>
      </c>
    </row>
    <row r="889" spans="1:20" ht="14.25" customHeight="1" x14ac:dyDescent="0.3">
      <c r="A889" s="4" t="str">
        <f>IF('Input Sheet'!B886=0,"",'Input Sheet'!B886)</f>
        <v/>
      </c>
      <c r="B889" s="24" t="b">
        <f t="shared" si="788"/>
        <v>0</v>
      </c>
      <c r="C889" s="4">
        <f>SUMIF('Input Sheet'!B$3:B$1000,A889,'Input Sheet'!C$3:C$1000)</f>
        <v>0</v>
      </c>
      <c r="D889" s="4">
        <f>SUMIF('Input Sheet'!B$3:B$1000,A889,'Input Sheet'!D$3:D$1000)</f>
        <v>0</v>
      </c>
      <c r="E889" s="4" t="str">
        <f t="shared" ref="E889:F889" ca="1" si="913">IFERROR(RANK(K889,K$6:K$1004,1),"")</f>
        <v/>
      </c>
      <c r="F889" s="4" t="str">
        <f t="shared" ca="1" si="913"/>
        <v/>
      </c>
      <c r="G889" s="4" t="str">
        <f t="shared" ca="1" si="790"/>
        <v/>
      </c>
      <c r="H889" s="4" t="str">
        <f t="shared" si="791"/>
        <v/>
      </c>
      <c r="I889" s="4" t="str">
        <f t="shared" si="792"/>
        <v/>
      </c>
      <c r="J889" s="4" t="str">
        <f t="shared" si="793"/>
        <v/>
      </c>
      <c r="K889" s="25" t="str">
        <f t="shared" ca="1" si="794"/>
        <v/>
      </c>
      <c r="L889" s="21" t="str">
        <f t="shared" ca="1" si="795"/>
        <v/>
      </c>
      <c r="M889" s="21" t="str">
        <f>IF(SUMIFS('Input Sheet'!$F$3:$F$1001,'Input Sheet'!$B$3:$B$1001,$H889,'Input Sheet'!$E$3:$E$1001,M$4)=0,"",SUMIFS('Input Sheet'!$F$3:$F$1001,'Input Sheet'!$B$3:$B$1001,$H889,'Input Sheet'!$E$3:$E$1001,M$4))</f>
        <v/>
      </c>
      <c r="N889" s="21" t="str">
        <f>IF(SUMIFS('Input Sheet'!$F$3:$F$1001,'Input Sheet'!$B$3:$B$1001,$H889,'Input Sheet'!$E$3:$E$1001,N$4)=0,"",SUMIFS('Input Sheet'!$F$3:$F$1001,'Input Sheet'!$B$3:$B$1001,$H889,'Input Sheet'!$E$3:$E$1001,N$4))</f>
        <v/>
      </c>
      <c r="O889" s="21" t="str">
        <f>IF(SUMIFS('Input Sheet'!$F$3:$F$1001,'Input Sheet'!$B$3:$B$1001,$H889,'Input Sheet'!$E$3:$E$1001,O$4)=0,"",SUMIFS('Input Sheet'!$F$3:$F$1001,'Input Sheet'!$B$3:$B$1001,$H889,'Input Sheet'!$E$3:$E$1001,O$4))</f>
        <v/>
      </c>
      <c r="P889" s="21" t="str">
        <f>IF(SUMIFS('Input Sheet'!$F$3:$F$1001,'Input Sheet'!$B$3:$B$1001,$H889,'Input Sheet'!$E$3:$E$1001,P$4)=0,"",SUMIFS('Input Sheet'!$F$3:$F$1001,'Input Sheet'!$B$3:$B$1001,$H889,'Input Sheet'!$E$3:$E$1001,P$4))</f>
        <v/>
      </c>
      <c r="Q889" s="21" t="str">
        <f>IF(SUMIFS('Input Sheet'!$F$3:$F$1001,'Input Sheet'!$B$3:$B$1001,$H889,'Input Sheet'!$E$3:$E$1001,Q$4)=0,"",SUMIFS('Input Sheet'!$F$3:$F$1001,'Input Sheet'!$B$3:$B$1001,$H889,'Input Sheet'!$E$3:$E$1001,Q$4))</f>
        <v/>
      </c>
      <c r="R889" s="21" t="str">
        <f>IF(SUMIFS('Input Sheet'!$F$3:$F$1001,'Input Sheet'!$B$3:$B$1001,$H889,'Input Sheet'!$E$3:$E$1001,R$4)=0,"",SUMIFS('Input Sheet'!$F$3:$F$1001,'Input Sheet'!$B$3:$B$1001,$H889,'Input Sheet'!$E$3:$E$1001,R$4))</f>
        <v/>
      </c>
      <c r="S889" s="21" t="str">
        <f>IF(SUMIFS('Input Sheet'!$F$3:$F$1001,'Input Sheet'!$B$3:$B$1001,$H889,'Input Sheet'!$E$3:$E$1001,S$4)=0,"",SUMIFS('Input Sheet'!$F$3:$F$1001,'Input Sheet'!$B$3:$B$1001,$H889,'Input Sheet'!$E$3:$E$1001,S$4))</f>
        <v/>
      </c>
      <c r="T889" s="22">
        <v>884</v>
      </c>
    </row>
    <row r="890" spans="1:20" ht="14.25" customHeight="1" x14ac:dyDescent="0.3">
      <c r="A890" s="4" t="str">
        <f>IF('Input Sheet'!B887=0,"",'Input Sheet'!B887)</f>
        <v/>
      </c>
      <c r="B890" s="24" t="b">
        <f t="shared" si="788"/>
        <v>0</v>
      </c>
      <c r="C890" s="4">
        <f>SUMIF('Input Sheet'!B$3:B$1000,A890,'Input Sheet'!C$3:C$1000)</f>
        <v>0</v>
      </c>
      <c r="D890" s="4">
        <f>SUMIF('Input Sheet'!B$3:B$1000,A890,'Input Sheet'!D$3:D$1000)</f>
        <v>0</v>
      </c>
      <c r="E890" s="4" t="str">
        <f t="shared" ref="E890:F890" ca="1" si="914">IFERROR(RANK(K890,K$6:K$1004,1),"")</f>
        <v/>
      </c>
      <c r="F890" s="4" t="str">
        <f t="shared" ca="1" si="914"/>
        <v/>
      </c>
      <c r="G890" s="4" t="str">
        <f t="shared" ca="1" si="790"/>
        <v/>
      </c>
      <c r="H890" s="4" t="str">
        <f t="shared" si="791"/>
        <v/>
      </c>
      <c r="I890" s="4" t="str">
        <f t="shared" si="792"/>
        <v/>
      </c>
      <c r="J890" s="4" t="str">
        <f t="shared" si="793"/>
        <v/>
      </c>
      <c r="K890" s="25" t="str">
        <f t="shared" ca="1" si="794"/>
        <v/>
      </c>
      <c r="L890" s="21" t="str">
        <f t="shared" ca="1" si="795"/>
        <v/>
      </c>
      <c r="M890" s="21" t="str">
        <f>IF(SUMIFS('Input Sheet'!$F$3:$F$1001,'Input Sheet'!$B$3:$B$1001,$H890,'Input Sheet'!$E$3:$E$1001,M$4)=0,"",SUMIFS('Input Sheet'!$F$3:$F$1001,'Input Sheet'!$B$3:$B$1001,$H890,'Input Sheet'!$E$3:$E$1001,M$4))</f>
        <v/>
      </c>
      <c r="N890" s="21" t="str">
        <f>IF(SUMIFS('Input Sheet'!$F$3:$F$1001,'Input Sheet'!$B$3:$B$1001,$H890,'Input Sheet'!$E$3:$E$1001,N$4)=0,"",SUMIFS('Input Sheet'!$F$3:$F$1001,'Input Sheet'!$B$3:$B$1001,$H890,'Input Sheet'!$E$3:$E$1001,N$4))</f>
        <v/>
      </c>
      <c r="O890" s="21" t="str">
        <f>IF(SUMIFS('Input Sheet'!$F$3:$F$1001,'Input Sheet'!$B$3:$B$1001,$H890,'Input Sheet'!$E$3:$E$1001,O$4)=0,"",SUMIFS('Input Sheet'!$F$3:$F$1001,'Input Sheet'!$B$3:$B$1001,$H890,'Input Sheet'!$E$3:$E$1001,O$4))</f>
        <v/>
      </c>
      <c r="P890" s="21" t="str">
        <f>IF(SUMIFS('Input Sheet'!$F$3:$F$1001,'Input Sheet'!$B$3:$B$1001,$H890,'Input Sheet'!$E$3:$E$1001,P$4)=0,"",SUMIFS('Input Sheet'!$F$3:$F$1001,'Input Sheet'!$B$3:$B$1001,$H890,'Input Sheet'!$E$3:$E$1001,P$4))</f>
        <v/>
      </c>
      <c r="Q890" s="21" t="str">
        <f>IF(SUMIFS('Input Sheet'!$F$3:$F$1001,'Input Sheet'!$B$3:$B$1001,$H890,'Input Sheet'!$E$3:$E$1001,Q$4)=0,"",SUMIFS('Input Sheet'!$F$3:$F$1001,'Input Sheet'!$B$3:$B$1001,$H890,'Input Sheet'!$E$3:$E$1001,Q$4))</f>
        <v/>
      </c>
      <c r="R890" s="21" t="str">
        <f>IF(SUMIFS('Input Sheet'!$F$3:$F$1001,'Input Sheet'!$B$3:$B$1001,$H890,'Input Sheet'!$E$3:$E$1001,R$4)=0,"",SUMIFS('Input Sheet'!$F$3:$F$1001,'Input Sheet'!$B$3:$B$1001,$H890,'Input Sheet'!$E$3:$E$1001,R$4))</f>
        <v/>
      </c>
      <c r="S890" s="21" t="str">
        <f>IF(SUMIFS('Input Sheet'!$F$3:$F$1001,'Input Sheet'!$B$3:$B$1001,$H890,'Input Sheet'!$E$3:$E$1001,S$4)=0,"",SUMIFS('Input Sheet'!$F$3:$F$1001,'Input Sheet'!$B$3:$B$1001,$H890,'Input Sheet'!$E$3:$E$1001,S$4))</f>
        <v/>
      </c>
      <c r="T890" s="22">
        <v>885</v>
      </c>
    </row>
    <row r="891" spans="1:20" ht="14.25" customHeight="1" x14ac:dyDescent="0.3">
      <c r="A891" s="4" t="str">
        <f>IF('Input Sheet'!B888=0,"",'Input Sheet'!B888)</f>
        <v/>
      </c>
      <c r="B891" s="24" t="b">
        <f t="shared" si="788"/>
        <v>0</v>
      </c>
      <c r="C891" s="4">
        <f>SUMIF('Input Sheet'!B$3:B$1000,A891,'Input Sheet'!C$3:C$1000)</f>
        <v>0</v>
      </c>
      <c r="D891" s="4">
        <f>SUMIF('Input Sheet'!B$3:B$1000,A891,'Input Sheet'!D$3:D$1000)</f>
        <v>0</v>
      </c>
      <c r="E891" s="4" t="str">
        <f t="shared" ref="E891:F891" ca="1" si="915">IFERROR(RANK(K891,K$6:K$1004,1),"")</f>
        <v/>
      </c>
      <c r="F891" s="4" t="str">
        <f t="shared" ca="1" si="915"/>
        <v/>
      </c>
      <c r="G891" s="4" t="str">
        <f t="shared" ca="1" si="790"/>
        <v/>
      </c>
      <c r="H891" s="4" t="str">
        <f t="shared" si="791"/>
        <v/>
      </c>
      <c r="I891" s="4" t="str">
        <f t="shared" si="792"/>
        <v/>
      </c>
      <c r="J891" s="4" t="str">
        <f t="shared" si="793"/>
        <v/>
      </c>
      <c r="K891" s="25" t="str">
        <f t="shared" ca="1" si="794"/>
        <v/>
      </c>
      <c r="L891" s="21" t="str">
        <f t="shared" ca="1" si="795"/>
        <v/>
      </c>
      <c r="M891" s="21" t="str">
        <f>IF(SUMIFS('Input Sheet'!$F$3:$F$1001,'Input Sheet'!$B$3:$B$1001,$H891,'Input Sheet'!$E$3:$E$1001,M$4)=0,"",SUMIFS('Input Sheet'!$F$3:$F$1001,'Input Sheet'!$B$3:$B$1001,$H891,'Input Sheet'!$E$3:$E$1001,M$4))</f>
        <v/>
      </c>
      <c r="N891" s="21" t="str">
        <f>IF(SUMIFS('Input Sheet'!$F$3:$F$1001,'Input Sheet'!$B$3:$B$1001,$H891,'Input Sheet'!$E$3:$E$1001,N$4)=0,"",SUMIFS('Input Sheet'!$F$3:$F$1001,'Input Sheet'!$B$3:$B$1001,$H891,'Input Sheet'!$E$3:$E$1001,N$4))</f>
        <v/>
      </c>
      <c r="O891" s="21" t="str">
        <f>IF(SUMIFS('Input Sheet'!$F$3:$F$1001,'Input Sheet'!$B$3:$B$1001,$H891,'Input Sheet'!$E$3:$E$1001,O$4)=0,"",SUMIFS('Input Sheet'!$F$3:$F$1001,'Input Sheet'!$B$3:$B$1001,$H891,'Input Sheet'!$E$3:$E$1001,O$4))</f>
        <v/>
      </c>
      <c r="P891" s="21" t="str">
        <f>IF(SUMIFS('Input Sheet'!$F$3:$F$1001,'Input Sheet'!$B$3:$B$1001,$H891,'Input Sheet'!$E$3:$E$1001,P$4)=0,"",SUMIFS('Input Sheet'!$F$3:$F$1001,'Input Sheet'!$B$3:$B$1001,$H891,'Input Sheet'!$E$3:$E$1001,P$4))</f>
        <v/>
      </c>
      <c r="Q891" s="21" t="str">
        <f>IF(SUMIFS('Input Sheet'!$F$3:$F$1001,'Input Sheet'!$B$3:$B$1001,$H891,'Input Sheet'!$E$3:$E$1001,Q$4)=0,"",SUMIFS('Input Sheet'!$F$3:$F$1001,'Input Sheet'!$B$3:$B$1001,$H891,'Input Sheet'!$E$3:$E$1001,Q$4))</f>
        <v/>
      </c>
      <c r="R891" s="21" t="str">
        <f>IF(SUMIFS('Input Sheet'!$F$3:$F$1001,'Input Sheet'!$B$3:$B$1001,$H891,'Input Sheet'!$E$3:$E$1001,R$4)=0,"",SUMIFS('Input Sheet'!$F$3:$F$1001,'Input Sheet'!$B$3:$B$1001,$H891,'Input Sheet'!$E$3:$E$1001,R$4))</f>
        <v/>
      </c>
      <c r="S891" s="21" t="str">
        <f>IF(SUMIFS('Input Sheet'!$F$3:$F$1001,'Input Sheet'!$B$3:$B$1001,$H891,'Input Sheet'!$E$3:$E$1001,S$4)=0,"",SUMIFS('Input Sheet'!$F$3:$F$1001,'Input Sheet'!$B$3:$B$1001,$H891,'Input Sheet'!$E$3:$E$1001,S$4))</f>
        <v/>
      </c>
      <c r="T891" s="22">
        <v>886</v>
      </c>
    </row>
    <row r="892" spans="1:20" ht="14.25" customHeight="1" x14ac:dyDescent="0.3">
      <c r="A892" s="4" t="str">
        <f>IF('Input Sheet'!B889=0,"",'Input Sheet'!B889)</f>
        <v/>
      </c>
      <c r="B892" s="24" t="b">
        <f t="shared" si="788"/>
        <v>0</v>
      </c>
      <c r="C892" s="4">
        <f>SUMIF('Input Sheet'!B$3:B$1000,A892,'Input Sheet'!C$3:C$1000)</f>
        <v>0</v>
      </c>
      <c r="D892" s="4">
        <f>SUMIF('Input Sheet'!B$3:B$1000,A892,'Input Sheet'!D$3:D$1000)</f>
        <v>0</v>
      </c>
      <c r="E892" s="4" t="str">
        <f t="shared" ref="E892:F892" ca="1" si="916">IFERROR(RANK(K892,K$6:K$1004,1),"")</f>
        <v/>
      </c>
      <c r="F892" s="4" t="str">
        <f t="shared" ca="1" si="916"/>
        <v/>
      </c>
      <c r="G892" s="4" t="str">
        <f t="shared" ca="1" si="790"/>
        <v/>
      </c>
      <c r="H892" s="4" t="str">
        <f t="shared" si="791"/>
        <v/>
      </c>
      <c r="I892" s="4" t="str">
        <f t="shared" si="792"/>
        <v/>
      </c>
      <c r="J892" s="4" t="str">
        <f t="shared" si="793"/>
        <v/>
      </c>
      <c r="K892" s="25" t="str">
        <f t="shared" ca="1" si="794"/>
        <v/>
      </c>
      <c r="L892" s="21" t="str">
        <f t="shared" ca="1" si="795"/>
        <v/>
      </c>
      <c r="M892" s="21" t="str">
        <f>IF(SUMIFS('Input Sheet'!$F$3:$F$1001,'Input Sheet'!$B$3:$B$1001,$H892,'Input Sheet'!$E$3:$E$1001,M$4)=0,"",SUMIFS('Input Sheet'!$F$3:$F$1001,'Input Sheet'!$B$3:$B$1001,$H892,'Input Sheet'!$E$3:$E$1001,M$4))</f>
        <v/>
      </c>
      <c r="N892" s="21" t="str">
        <f>IF(SUMIFS('Input Sheet'!$F$3:$F$1001,'Input Sheet'!$B$3:$B$1001,$H892,'Input Sheet'!$E$3:$E$1001,N$4)=0,"",SUMIFS('Input Sheet'!$F$3:$F$1001,'Input Sheet'!$B$3:$B$1001,$H892,'Input Sheet'!$E$3:$E$1001,N$4))</f>
        <v/>
      </c>
      <c r="O892" s="21" t="str">
        <f>IF(SUMIFS('Input Sheet'!$F$3:$F$1001,'Input Sheet'!$B$3:$B$1001,$H892,'Input Sheet'!$E$3:$E$1001,O$4)=0,"",SUMIFS('Input Sheet'!$F$3:$F$1001,'Input Sheet'!$B$3:$B$1001,$H892,'Input Sheet'!$E$3:$E$1001,O$4))</f>
        <v/>
      </c>
      <c r="P892" s="21" t="str">
        <f>IF(SUMIFS('Input Sheet'!$F$3:$F$1001,'Input Sheet'!$B$3:$B$1001,$H892,'Input Sheet'!$E$3:$E$1001,P$4)=0,"",SUMIFS('Input Sheet'!$F$3:$F$1001,'Input Sheet'!$B$3:$B$1001,$H892,'Input Sheet'!$E$3:$E$1001,P$4))</f>
        <v/>
      </c>
      <c r="Q892" s="21" t="str">
        <f>IF(SUMIFS('Input Sheet'!$F$3:$F$1001,'Input Sheet'!$B$3:$B$1001,$H892,'Input Sheet'!$E$3:$E$1001,Q$4)=0,"",SUMIFS('Input Sheet'!$F$3:$F$1001,'Input Sheet'!$B$3:$B$1001,$H892,'Input Sheet'!$E$3:$E$1001,Q$4))</f>
        <v/>
      </c>
      <c r="R892" s="21" t="str">
        <f>IF(SUMIFS('Input Sheet'!$F$3:$F$1001,'Input Sheet'!$B$3:$B$1001,$H892,'Input Sheet'!$E$3:$E$1001,R$4)=0,"",SUMIFS('Input Sheet'!$F$3:$F$1001,'Input Sheet'!$B$3:$B$1001,$H892,'Input Sheet'!$E$3:$E$1001,R$4))</f>
        <v/>
      </c>
      <c r="S892" s="21" t="str">
        <f>IF(SUMIFS('Input Sheet'!$F$3:$F$1001,'Input Sheet'!$B$3:$B$1001,$H892,'Input Sheet'!$E$3:$E$1001,S$4)=0,"",SUMIFS('Input Sheet'!$F$3:$F$1001,'Input Sheet'!$B$3:$B$1001,$H892,'Input Sheet'!$E$3:$E$1001,S$4))</f>
        <v/>
      </c>
      <c r="T892" s="22">
        <v>887</v>
      </c>
    </row>
    <row r="893" spans="1:20" ht="14.25" customHeight="1" x14ac:dyDescent="0.3">
      <c r="A893" s="4" t="str">
        <f>IF('Input Sheet'!B890=0,"",'Input Sheet'!B890)</f>
        <v/>
      </c>
      <c r="B893" s="24" t="b">
        <f t="shared" si="788"/>
        <v>0</v>
      </c>
      <c r="C893" s="4">
        <f>SUMIF('Input Sheet'!B$3:B$1000,A893,'Input Sheet'!C$3:C$1000)</f>
        <v>0</v>
      </c>
      <c r="D893" s="4">
        <f>SUMIF('Input Sheet'!B$3:B$1000,A893,'Input Sheet'!D$3:D$1000)</f>
        <v>0</v>
      </c>
      <c r="E893" s="4" t="str">
        <f t="shared" ref="E893:F893" ca="1" si="917">IFERROR(RANK(K893,K$6:K$1004,1),"")</f>
        <v/>
      </c>
      <c r="F893" s="4" t="str">
        <f t="shared" ca="1" si="917"/>
        <v/>
      </c>
      <c r="G893" s="4" t="str">
        <f t="shared" ca="1" si="790"/>
        <v/>
      </c>
      <c r="H893" s="4" t="str">
        <f t="shared" si="791"/>
        <v/>
      </c>
      <c r="I893" s="4" t="str">
        <f t="shared" si="792"/>
        <v/>
      </c>
      <c r="J893" s="4" t="str">
        <f t="shared" si="793"/>
        <v/>
      </c>
      <c r="K893" s="25" t="str">
        <f t="shared" ca="1" si="794"/>
        <v/>
      </c>
      <c r="L893" s="21" t="str">
        <f t="shared" ca="1" si="795"/>
        <v/>
      </c>
      <c r="M893" s="21" t="str">
        <f>IF(SUMIFS('Input Sheet'!$F$3:$F$1001,'Input Sheet'!$B$3:$B$1001,$H893,'Input Sheet'!$E$3:$E$1001,M$4)=0,"",SUMIFS('Input Sheet'!$F$3:$F$1001,'Input Sheet'!$B$3:$B$1001,$H893,'Input Sheet'!$E$3:$E$1001,M$4))</f>
        <v/>
      </c>
      <c r="N893" s="21" t="str">
        <f>IF(SUMIFS('Input Sheet'!$F$3:$F$1001,'Input Sheet'!$B$3:$B$1001,$H893,'Input Sheet'!$E$3:$E$1001,N$4)=0,"",SUMIFS('Input Sheet'!$F$3:$F$1001,'Input Sheet'!$B$3:$B$1001,$H893,'Input Sheet'!$E$3:$E$1001,N$4))</f>
        <v/>
      </c>
      <c r="O893" s="21" t="str">
        <f>IF(SUMIFS('Input Sheet'!$F$3:$F$1001,'Input Sheet'!$B$3:$B$1001,$H893,'Input Sheet'!$E$3:$E$1001,O$4)=0,"",SUMIFS('Input Sheet'!$F$3:$F$1001,'Input Sheet'!$B$3:$B$1001,$H893,'Input Sheet'!$E$3:$E$1001,O$4))</f>
        <v/>
      </c>
      <c r="P893" s="21" t="str">
        <f>IF(SUMIFS('Input Sheet'!$F$3:$F$1001,'Input Sheet'!$B$3:$B$1001,$H893,'Input Sheet'!$E$3:$E$1001,P$4)=0,"",SUMIFS('Input Sheet'!$F$3:$F$1001,'Input Sheet'!$B$3:$B$1001,$H893,'Input Sheet'!$E$3:$E$1001,P$4))</f>
        <v/>
      </c>
      <c r="Q893" s="21" t="str">
        <f>IF(SUMIFS('Input Sheet'!$F$3:$F$1001,'Input Sheet'!$B$3:$B$1001,$H893,'Input Sheet'!$E$3:$E$1001,Q$4)=0,"",SUMIFS('Input Sheet'!$F$3:$F$1001,'Input Sheet'!$B$3:$B$1001,$H893,'Input Sheet'!$E$3:$E$1001,Q$4))</f>
        <v/>
      </c>
      <c r="R893" s="21" t="str">
        <f>IF(SUMIFS('Input Sheet'!$F$3:$F$1001,'Input Sheet'!$B$3:$B$1001,$H893,'Input Sheet'!$E$3:$E$1001,R$4)=0,"",SUMIFS('Input Sheet'!$F$3:$F$1001,'Input Sheet'!$B$3:$B$1001,$H893,'Input Sheet'!$E$3:$E$1001,R$4))</f>
        <v/>
      </c>
      <c r="S893" s="21" t="str">
        <f>IF(SUMIFS('Input Sheet'!$F$3:$F$1001,'Input Sheet'!$B$3:$B$1001,$H893,'Input Sheet'!$E$3:$E$1001,S$4)=0,"",SUMIFS('Input Sheet'!$F$3:$F$1001,'Input Sheet'!$B$3:$B$1001,$H893,'Input Sheet'!$E$3:$E$1001,S$4))</f>
        <v/>
      </c>
      <c r="T893" s="22">
        <v>888</v>
      </c>
    </row>
    <row r="894" spans="1:20" ht="14.25" customHeight="1" x14ac:dyDescent="0.3">
      <c r="A894" s="4" t="str">
        <f>IF('Input Sheet'!B891=0,"",'Input Sheet'!B891)</f>
        <v/>
      </c>
      <c r="B894" s="24" t="b">
        <f t="shared" si="788"/>
        <v>0</v>
      </c>
      <c r="C894" s="4">
        <f>SUMIF('Input Sheet'!B$3:B$1000,A894,'Input Sheet'!C$3:C$1000)</f>
        <v>0</v>
      </c>
      <c r="D894" s="4">
        <f>SUMIF('Input Sheet'!B$3:B$1000,A894,'Input Sheet'!D$3:D$1000)</f>
        <v>0</v>
      </c>
      <c r="E894" s="4" t="str">
        <f t="shared" ref="E894:F894" ca="1" si="918">IFERROR(RANK(K894,K$6:K$1004,1),"")</f>
        <v/>
      </c>
      <c r="F894" s="4" t="str">
        <f t="shared" ca="1" si="918"/>
        <v/>
      </c>
      <c r="G894" s="4" t="str">
        <f t="shared" ca="1" si="790"/>
        <v/>
      </c>
      <c r="H894" s="4" t="str">
        <f t="shared" si="791"/>
        <v/>
      </c>
      <c r="I894" s="4" t="str">
        <f t="shared" si="792"/>
        <v/>
      </c>
      <c r="J894" s="4" t="str">
        <f t="shared" si="793"/>
        <v/>
      </c>
      <c r="K894" s="25" t="str">
        <f t="shared" ca="1" si="794"/>
        <v/>
      </c>
      <c r="L894" s="21" t="str">
        <f t="shared" ca="1" si="795"/>
        <v/>
      </c>
      <c r="M894" s="21" t="str">
        <f>IF(SUMIFS('Input Sheet'!$F$3:$F$1001,'Input Sheet'!$B$3:$B$1001,$H894,'Input Sheet'!$E$3:$E$1001,M$4)=0,"",SUMIFS('Input Sheet'!$F$3:$F$1001,'Input Sheet'!$B$3:$B$1001,$H894,'Input Sheet'!$E$3:$E$1001,M$4))</f>
        <v/>
      </c>
      <c r="N894" s="21" t="str">
        <f>IF(SUMIFS('Input Sheet'!$F$3:$F$1001,'Input Sheet'!$B$3:$B$1001,$H894,'Input Sheet'!$E$3:$E$1001,N$4)=0,"",SUMIFS('Input Sheet'!$F$3:$F$1001,'Input Sheet'!$B$3:$B$1001,$H894,'Input Sheet'!$E$3:$E$1001,N$4))</f>
        <v/>
      </c>
      <c r="O894" s="21" t="str">
        <f>IF(SUMIFS('Input Sheet'!$F$3:$F$1001,'Input Sheet'!$B$3:$B$1001,$H894,'Input Sheet'!$E$3:$E$1001,O$4)=0,"",SUMIFS('Input Sheet'!$F$3:$F$1001,'Input Sheet'!$B$3:$B$1001,$H894,'Input Sheet'!$E$3:$E$1001,O$4))</f>
        <v/>
      </c>
      <c r="P894" s="21" t="str">
        <f>IF(SUMIFS('Input Sheet'!$F$3:$F$1001,'Input Sheet'!$B$3:$B$1001,$H894,'Input Sheet'!$E$3:$E$1001,P$4)=0,"",SUMIFS('Input Sheet'!$F$3:$F$1001,'Input Sheet'!$B$3:$B$1001,$H894,'Input Sheet'!$E$3:$E$1001,P$4))</f>
        <v/>
      </c>
      <c r="Q894" s="21" t="str">
        <f>IF(SUMIFS('Input Sheet'!$F$3:$F$1001,'Input Sheet'!$B$3:$B$1001,$H894,'Input Sheet'!$E$3:$E$1001,Q$4)=0,"",SUMIFS('Input Sheet'!$F$3:$F$1001,'Input Sheet'!$B$3:$B$1001,$H894,'Input Sheet'!$E$3:$E$1001,Q$4))</f>
        <v/>
      </c>
      <c r="R894" s="21" t="str">
        <f>IF(SUMIFS('Input Sheet'!$F$3:$F$1001,'Input Sheet'!$B$3:$B$1001,$H894,'Input Sheet'!$E$3:$E$1001,R$4)=0,"",SUMIFS('Input Sheet'!$F$3:$F$1001,'Input Sheet'!$B$3:$B$1001,$H894,'Input Sheet'!$E$3:$E$1001,R$4))</f>
        <v/>
      </c>
      <c r="S894" s="21" t="str">
        <f>IF(SUMIFS('Input Sheet'!$F$3:$F$1001,'Input Sheet'!$B$3:$B$1001,$H894,'Input Sheet'!$E$3:$E$1001,S$4)=0,"",SUMIFS('Input Sheet'!$F$3:$F$1001,'Input Sheet'!$B$3:$B$1001,$H894,'Input Sheet'!$E$3:$E$1001,S$4))</f>
        <v/>
      </c>
      <c r="T894" s="22">
        <v>889</v>
      </c>
    </row>
    <row r="895" spans="1:20" ht="14.25" customHeight="1" x14ac:dyDescent="0.3">
      <c r="A895" s="4" t="str">
        <f>IF('Input Sheet'!B892=0,"",'Input Sheet'!B892)</f>
        <v/>
      </c>
      <c r="B895" s="24" t="b">
        <f t="shared" si="788"/>
        <v>0</v>
      </c>
      <c r="C895" s="4">
        <f>SUMIF('Input Sheet'!B$3:B$1000,A895,'Input Sheet'!C$3:C$1000)</f>
        <v>0</v>
      </c>
      <c r="D895" s="4">
        <f>SUMIF('Input Sheet'!B$3:B$1000,A895,'Input Sheet'!D$3:D$1000)</f>
        <v>0</v>
      </c>
      <c r="E895" s="4" t="str">
        <f t="shared" ref="E895:F895" ca="1" si="919">IFERROR(RANK(K895,K$6:K$1004,1),"")</f>
        <v/>
      </c>
      <c r="F895" s="4" t="str">
        <f t="shared" ca="1" si="919"/>
        <v/>
      </c>
      <c r="G895" s="4" t="str">
        <f t="shared" ca="1" si="790"/>
        <v/>
      </c>
      <c r="H895" s="4" t="str">
        <f t="shared" si="791"/>
        <v/>
      </c>
      <c r="I895" s="4" t="str">
        <f t="shared" si="792"/>
        <v/>
      </c>
      <c r="J895" s="4" t="str">
        <f t="shared" si="793"/>
        <v/>
      </c>
      <c r="K895" s="25" t="str">
        <f t="shared" ca="1" si="794"/>
        <v/>
      </c>
      <c r="L895" s="21" t="str">
        <f t="shared" ca="1" si="795"/>
        <v/>
      </c>
      <c r="M895" s="21" t="str">
        <f>IF(SUMIFS('Input Sheet'!$F$3:$F$1001,'Input Sheet'!$B$3:$B$1001,$H895,'Input Sheet'!$E$3:$E$1001,M$4)=0,"",SUMIFS('Input Sheet'!$F$3:$F$1001,'Input Sheet'!$B$3:$B$1001,$H895,'Input Sheet'!$E$3:$E$1001,M$4))</f>
        <v/>
      </c>
      <c r="N895" s="21" t="str">
        <f>IF(SUMIFS('Input Sheet'!$F$3:$F$1001,'Input Sheet'!$B$3:$B$1001,$H895,'Input Sheet'!$E$3:$E$1001,N$4)=0,"",SUMIFS('Input Sheet'!$F$3:$F$1001,'Input Sheet'!$B$3:$B$1001,$H895,'Input Sheet'!$E$3:$E$1001,N$4))</f>
        <v/>
      </c>
      <c r="O895" s="21" t="str">
        <f>IF(SUMIFS('Input Sheet'!$F$3:$F$1001,'Input Sheet'!$B$3:$B$1001,$H895,'Input Sheet'!$E$3:$E$1001,O$4)=0,"",SUMIFS('Input Sheet'!$F$3:$F$1001,'Input Sheet'!$B$3:$B$1001,$H895,'Input Sheet'!$E$3:$E$1001,O$4))</f>
        <v/>
      </c>
      <c r="P895" s="21" t="str">
        <f>IF(SUMIFS('Input Sheet'!$F$3:$F$1001,'Input Sheet'!$B$3:$B$1001,$H895,'Input Sheet'!$E$3:$E$1001,P$4)=0,"",SUMIFS('Input Sheet'!$F$3:$F$1001,'Input Sheet'!$B$3:$B$1001,$H895,'Input Sheet'!$E$3:$E$1001,P$4))</f>
        <v/>
      </c>
      <c r="Q895" s="21" t="str">
        <f>IF(SUMIFS('Input Sheet'!$F$3:$F$1001,'Input Sheet'!$B$3:$B$1001,$H895,'Input Sheet'!$E$3:$E$1001,Q$4)=0,"",SUMIFS('Input Sheet'!$F$3:$F$1001,'Input Sheet'!$B$3:$B$1001,$H895,'Input Sheet'!$E$3:$E$1001,Q$4))</f>
        <v/>
      </c>
      <c r="R895" s="21" t="str">
        <f>IF(SUMIFS('Input Sheet'!$F$3:$F$1001,'Input Sheet'!$B$3:$B$1001,$H895,'Input Sheet'!$E$3:$E$1001,R$4)=0,"",SUMIFS('Input Sheet'!$F$3:$F$1001,'Input Sheet'!$B$3:$B$1001,$H895,'Input Sheet'!$E$3:$E$1001,R$4))</f>
        <v/>
      </c>
      <c r="S895" s="21" t="str">
        <f>IF(SUMIFS('Input Sheet'!$F$3:$F$1001,'Input Sheet'!$B$3:$B$1001,$H895,'Input Sheet'!$E$3:$E$1001,S$4)=0,"",SUMIFS('Input Sheet'!$F$3:$F$1001,'Input Sheet'!$B$3:$B$1001,$H895,'Input Sheet'!$E$3:$E$1001,S$4))</f>
        <v/>
      </c>
      <c r="T895" s="22">
        <v>890</v>
      </c>
    </row>
    <row r="896" spans="1:20" ht="14.25" customHeight="1" x14ac:dyDescent="0.3">
      <c r="A896" s="4" t="str">
        <f>IF('Input Sheet'!B893=0,"",'Input Sheet'!B893)</f>
        <v/>
      </c>
      <c r="B896" s="24" t="b">
        <f t="shared" si="788"/>
        <v>0</v>
      </c>
      <c r="C896" s="4">
        <f>SUMIF('Input Sheet'!B$3:B$1000,A896,'Input Sheet'!C$3:C$1000)</f>
        <v>0</v>
      </c>
      <c r="D896" s="4">
        <f>SUMIF('Input Sheet'!B$3:B$1000,A896,'Input Sheet'!D$3:D$1000)</f>
        <v>0</v>
      </c>
      <c r="E896" s="4" t="str">
        <f t="shared" ref="E896:F896" ca="1" si="920">IFERROR(RANK(K896,K$6:K$1004,1),"")</f>
        <v/>
      </c>
      <c r="F896" s="4" t="str">
        <f t="shared" ca="1" si="920"/>
        <v/>
      </c>
      <c r="G896" s="4" t="str">
        <f t="shared" ca="1" si="790"/>
        <v/>
      </c>
      <c r="H896" s="4" t="str">
        <f t="shared" si="791"/>
        <v/>
      </c>
      <c r="I896" s="4" t="str">
        <f t="shared" si="792"/>
        <v/>
      </c>
      <c r="J896" s="4" t="str">
        <f t="shared" si="793"/>
        <v/>
      </c>
      <c r="K896" s="25" t="str">
        <f t="shared" ca="1" si="794"/>
        <v/>
      </c>
      <c r="L896" s="21" t="str">
        <f t="shared" ca="1" si="795"/>
        <v/>
      </c>
      <c r="M896" s="21" t="str">
        <f>IF(SUMIFS('Input Sheet'!$F$3:$F$1001,'Input Sheet'!$B$3:$B$1001,$H896,'Input Sheet'!$E$3:$E$1001,M$4)=0,"",SUMIFS('Input Sheet'!$F$3:$F$1001,'Input Sheet'!$B$3:$B$1001,$H896,'Input Sheet'!$E$3:$E$1001,M$4))</f>
        <v/>
      </c>
      <c r="N896" s="21" t="str">
        <f>IF(SUMIFS('Input Sheet'!$F$3:$F$1001,'Input Sheet'!$B$3:$B$1001,$H896,'Input Sheet'!$E$3:$E$1001,N$4)=0,"",SUMIFS('Input Sheet'!$F$3:$F$1001,'Input Sheet'!$B$3:$B$1001,$H896,'Input Sheet'!$E$3:$E$1001,N$4))</f>
        <v/>
      </c>
      <c r="O896" s="21" t="str">
        <f>IF(SUMIFS('Input Sheet'!$F$3:$F$1001,'Input Sheet'!$B$3:$B$1001,$H896,'Input Sheet'!$E$3:$E$1001,O$4)=0,"",SUMIFS('Input Sheet'!$F$3:$F$1001,'Input Sheet'!$B$3:$B$1001,$H896,'Input Sheet'!$E$3:$E$1001,O$4))</f>
        <v/>
      </c>
      <c r="P896" s="21" t="str">
        <f>IF(SUMIFS('Input Sheet'!$F$3:$F$1001,'Input Sheet'!$B$3:$B$1001,$H896,'Input Sheet'!$E$3:$E$1001,P$4)=0,"",SUMIFS('Input Sheet'!$F$3:$F$1001,'Input Sheet'!$B$3:$B$1001,$H896,'Input Sheet'!$E$3:$E$1001,P$4))</f>
        <v/>
      </c>
      <c r="Q896" s="21" t="str">
        <f>IF(SUMIFS('Input Sheet'!$F$3:$F$1001,'Input Sheet'!$B$3:$B$1001,$H896,'Input Sheet'!$E$3:$E$1001,Q$4)=0,"",SUMIFS('Input Sheet'!$F$3:$F$1001,'Input Sheet'!$B$3:$B$1001,$H896,'Input Sheet'!$E$3:$E$1001,Q$4))</f>
        <v/>
      </c>
      <c r="R896" s="21" t="str">
        <f>IF(SUMIFS('Input Sheet'!$F$3:$F$1001,'Input Sheet'!$B$3:$B$1001,$H896,'Input Sheet'!$E$3:$E$1001,R$4)=0,"",SUMIFS('Input Sheet'!$F$3:$F$1001,'Input Sheet'!$B$3:$B$1001,$H896,'Input Sheet'!$E$3:$E$1001,R$4))</f>
        <v/>
      </c>
      <c r="S896" s="21" t="str">
        <f>IF(SUMIFS('Input Sheet'!$F$3:$F$1001,'Input Sheet'!$B$3:$B$1001,$H896,'Input Sheet'!$E$3:$E$1001,S$4)=0,"",SUMIFS('Input Sheet'!$F$3:$F$1001,'Input Sheet'!$B$3:$B$1001,$H896,'Input Sheet'!$E$3:$E$1001,S$4))</f>
        <v/>
      </c>
      <c r="T896" s="22">
        <v>891</v>
      </c>
    </row>
    <row r="897" spans="1:20" ht="14.25" customHeight="1" x14ac:dyDescent="0.3">
      <c r="A897" s="4" t="str">
        <f>IF('Input Sheet'!B894=0,"",'Input Sheet'!B894)</f>
        <v/>
      </c>
      <c r="B897" s="24" t="b">
        <f t="shared" si="788"/>
        <v>0</v>
      </c>
      <c r="C897" s="4">
        <f>SUMIF('Input Sheet'!B$3:B$1000,A897,'Input Sheet'!C$3:C$1000)</f>
        <v>0</v>
      </c>
      <c r="D897" s="4">
        <f>SUMIF('Input Sheet'!B$3:B$1000,A897,'Input Sheet'!D$3:D$1000)</f>
        <v>0</v>
      </c>
      <c r="E897" s="4" t="str">
        <f t="shared" ref="E897:F897" ca="1" si="921">IFERROR(RANK(K897,K$6:K$1004,1),"")</f>
        <v/>
      </c>
      <c r="F897" s="4" t="str">
        <f t="shared" ca="1" si="921"/>
        <v/>
      </c>
      <c r="G897" s="4" t="str">
        <f t="shared" ca="1" si="790"/>
        <v/>
      </c>
      <c r="H897" s="4" t="str">
        <f t="shared" si="791"/>
        <v/>
      </c>
      <c r="I897" s="4" t="str">
        <f t="shared" si="792"/>
        <v/>
      </c>
      <c r="J897" s="4" t="str">
        <f t="shared" si="793"/>
        <v/>
      </c>
      <c r="K897" s="25" t="str">
        <f t="shared" ca="1" si="794"/>
        <v/>
      </c>
      <c r="L897" s="21" t="str">
        <f t="shared" ca="1" si="795"/>
        <v/>
      </c>
      <c r="M897" s="21" t="str">
        <f>IF(SUMIFS('Input Sheet'!$F$3:$F$1001,'Input Sheet'!$B$3:$B$1001,$H897,'Input Sheet'!$E$3:$E$1001,M$4)=0,"",SUMIFS('Input Sheet'!$F$3:$F$1001,'Input Sheet'!$B$3:$B$1001,$H897,'Input Sheet'!$E$3:$E$1001,M$4))</f>
        <v/>
      </c>
      <c r="N897" s="21" t="str">
        <f>IF(SUMIFS('Input Sheet'!$F$3:$F$1001,'Input Sheet'!$B$3:$B$1001,$H897,'Input Sheet'!$E$3:$E$1001,N$4)=0,"",SUMIFS('Input Sheet'!$F$3:$F$1001,'Input Sheet'!$B$3:$B$1001,$H897,'Input Sheet'!$E$3:$E$1001,N$4))</f>
        <v/>
      </c>
      <c r="O897" s="21" t="str">
        <f>IF(SUMIFS('Input Sheet'!$F$3:$F$1001,'Input Sheet'!$B$3:$B$1001,$H897,'Input Sheet'!$E$3:$E$1001,O$4)=0,"",SUMIFS('Input Sheet'!$F$3:$F$1001,'Input Sheet'!$B$3:$B$1001,$H897,'Input Sheet'!$E$3:$E$1001,O$4))</f>
        <v/>
      </c>
      <c r="P897" s="21" t="str">
        <f>IF(SUMIFS('Input Sheet'!$F$3:$F$1001,'Input Sheet'!$B$3:$B$1001,$H897,'Input Sheet'!$E$3:$E$1001,P$4)=0,"",SUMIFS('Input Sheet'!$F$3:$F$1001,'Input Sheet'!$B$3:$B$1001,$H897,'Input Sheet'!$E$3:$E$1001,P$4))</f>
        <v/>
      </c>
      <c r="Q897" s="21" t="str">
        <f>IF(SUMIFS('Input Sheet'!$F$3:$F$1001,'Input Sheet'!$B$3:$B$1001,$H897,'Input Sheet'!$E$3:$E$1001,Q$4)=0,"",SUMIFS('Input Sheet'!$F$3:$F$1001,'Input Sheet'!$B$3:$B$1001,$H897,'Input Sheet'!$E$3:$E$1001,Q$4))</f>
        <v/>
      </c>
      <c r="R897" s="21" t="str">
        <f>IF(SUMIFS('Input Sheet'!$F$3:$F$1001,'Input Sheet'!$B$3:$B$1001,$H897,'Input Sheet'!$E$3:$E$1001,R$4)=0,"",SUMIFS('Input Sheet'!$F$3:$F$1001,'Input Sheet'!$B$3:$B$1001,$H897,'Input Sheet'!$E$3:$E$1001,R$4))</f>
        <v/>
      </c>
      <c r="S897" s="21" t="str">
        <f>IF(SUMIFS('Input Sheet'!$F$3:$F$1001,'Input Sheet'!$B$3:$B$1001,$H897,'Input Sheet'!$E$3:$E$1001,S$4)=0,"",SUMIFS('Input Sheet'!$F$3:$F$1001,'Input Sheet'!$B$3:$B$1001,$H897,'Input Sheet'!$E$3:$E$1001,S$4))</f>
        <v/>
      </c>
      <c r="T897" s="22">
        <v>892</v>
      </c>
    </row>
    <row r="898" spans="1:20" ht="14.25" customHeight="1" x14ac:dyDescent="0.3">
      <c r="A898" s="4" t="str">
        <f>IF('Input Sheet'!B895=0,"",'Input Sheet'!B895)</f>
        <v/>
      </c>
      <c r="B898" s="24" t="b">
        <f t="shared" si="788"/>
        <v>0</v>
      </c>
      <c r="C898" s="4">
        <f>SUMIF('Input Sheet'!B$3:B$1000,A898,'Input Sheet'!C$3:C$1000)</f>
        <v>0</v>
      </c>
      <c r="D898" s="4">
        <f>SUMIF('Input Sheet'!B$3:B$1000,A898,'Input Sheet'!D$3:D$1000)</f>
        <v>0</v>
      </c>
      <c r="E898" s="4" t="str">
        <f t="shared" ref="E898:F898" ca="1" si="922">IFERROR(RANK(K898,K$6:K$1004,1),"")</f>
        <v/>
      </c>
      <c r="F898" s="4" t="str">
        <f t="shared" ca="1" si="922"/>
        <v/>
      </c>
      <c r="G898" s="4" t="str">
        <f t="shared" ca="1" si="790"/>
        <v/>
      </c>
      <c r="H898" s="4" t="str">
        <f t="shared" si="791"/>
        <v/>
      </c>
      <c r="I898" s="4" t="str">
        <f t="shared" si="792"/>
        <v/>
      </c>
      <c r="J898" s="4" t="str">
        <f t="shared" si="793"/>
        <v/>
      </c>
      <c r="K898" s="25" t="str">
        <f t="shared" ca="1" si="794"/>
        <v/>
      </c>
      <c r="L898" s="21" t="str">
        <f t="shared" ca="1" si="795"/>
        <v/>
      </c>
      <c r="M898" s="21" t="str">
        <f>IF(SUMIFS('Input Sheet'!$F$3:$F$1001,'Input Sheet'!$B$3:$B$1001,$H898,'Input Sheet'!$E$3:$E$1001,M$4)=0,"",SUMIFS('Input Sheet'!$F$3:$F$1001,'Input Sheet'!$B$3:$B$1001,$H898,'Input Sheet'!$E$3:$E$1001,M$4))</f>
        <v/>
      </c>
      <c r="N898" s="21" t="str">
        <f>IF(SUMIFS('Input Sheet'!$F$3:$F$1001,'Input Sheet'!$B$3:$B$1001,$H898,'Input Sheet'!$E$3:$E$1001,N$4)=0,"",SUMIFS('Input Sheet'!$F$3:$F$1001,'Input Sheet'!$B$3:$B$1001,$H898,'Input Sheet'!$E$3:$E$1001,N$4))</f>
        <v/>
      </c>
      <c r="O898" s="21" t="str">
        <f>IF(SUMIFS('Input Sheet'!$F$3:$F$1001,'Input Sheet'!$B$3:$B$1001,$H898,'Input Sheet'!$E$3:$E$1001,O$4)=0,"",SUMIFS('Input Sheet'!$F$3:$F$1001,'Input Sheet'!$B$3:$B$1001,$H898,'Input Sheet'!$E$3:$E$1001,O$4))</f>
        <v/>
      </c>
      <c r="P898" s="21" t="str">
        <f>IF(SUMIFS('Input Sheet'!$F$3:$F$1001,'Input Sheet'!$B$3:$B$1001,$H898,'Input Sheet'!$E$3:$E$1001,P$4)=0,"",SUMIFS('Input Sheet'!$F$3:$F$1001,'Input Sheet'!$B$3:$B$1001,$H898,'Input Sheet'!$E$3:$E$1001,P$4))</f>
        <v/>
      </c>
      <c r="Q898" s="21" t="str">
        <f>IF(SUMIFS('Input Sheet'!$F$3:$F$1001,'Input Sheet'!$B$3:$B$1001,$H898,'Input Sheet'!$E$3:$E$1001,Q$4)=0,"",SUMIFS('Input Sheet'!$F$3:$F$1001,'Input Sheet'!$B$3:$B$1001,$H898,'Input Sheet'!$E$3:$E$1001,Q$4))</f>
        <v/>
      </c>
      <c r="R898" s="21" t="str">
        <f>IF(SUMIFS('Input Sheet'!$F$3:$F$1001,'Input Sheet'!$B$3:$B$1001,$H898,'Input Sheet'!$E$3:$E$1001,R$4)=0,"",SUMIFS('Input Sheet'!$F$3:$F$1001,'Input Sheet'!$B$3:$B$1001,$H898,'Input Sheet'!$E$3:$E$1001,R$4))</f>
        <v/>
      </c>
      <c r="S898" s="21" t="str">
        <f>IF(SUMIFS('Input Sheet'!$F$3:$F$1001,'Input Sheet'!$B$3:$B$1001,$H898,'Input Sheet'!$E$3:$E$1001,S$4)=0,"",SUMIFS('Input Sheet'!$F$3:$F$1001,'Input Sheet'!$B$3:$B$1001,$H898,'Input Sheet'!$E$3:$E$1001,S$4))</f>
        <v/>
      </c>
      <c r="T898" s="22">
        <v>893</v>
      </c>
    </row>
    <row r="899" spans="1:20" ht="14.25" customHeight="1" x14ac:dyDescent="0.3">
      <c r="A899" s="4" t="str">
        <f>IF('Input Sheet'!B896=0,"",'Input Sheet'!B896)</f>
        <v/>
      </c>
      <c r="B899" s="24" t="b">
        <f t="shared" si="788"/>
        <v>0</v>
      </c>
      <c r="C899" s="4">
        <f>SUMIF('Input Sheet'!B$3:B$1000,A899,'Input Sheet'!C$3:C$1000)</f>
        <v>0</v>
      </c>
      <c r="D899" s="4">
        <f>SUMIF('Input Sheet'!B$3:B$1000,A899,'Input Sheet'!D$3:D$1000)</f>
        <v>0</v>
      </c>
      <c r="E899" s="4" t="str">
        <f t="shared" ref="E899:F899" ca="1" si="923">IFERROR(RANK(K899,K$6:K$1004,1),"")</f>
        <v/>
      </c>
      <c r="F899" s="4" t="str">
        <f t="shared" ca="1" si="923"/>
        <v/>
      </c>
      <c r="G899" s="4" t="str">
        <f t="shared" ca="1" si="790"/>
        <v/>
      </c>
      <c r="H899" s="4" t="str">
        <f t="shared" si="791"/>
        <v/>
      </c>
      <c r="I899" s="4" t="str">
        <f t="shared" si="792"/>
        <v/>
      </c>
      <c r="J899" s="4" t="str">
        <f t="shared" si="793"/>
        <v/>
      </c>
      <c r="K899" s="25" t="str">
        <f t="shared" ca="1" si="794"/>
        <v/>
      </c>
      <c r="L899" s="21" t="str">
        <f t="shared" ca="1" si="795"/>
        <v/>
      </c>
      <c r="M899" s="21" t="str">
        <f>IF(SUMIFS('Input Sheet'!$F$3:$F$1001,'Input Sheet'!$B$3:$B$1001,$H899,'Input Sheet'!$E$3:$E$1001,M$4)=0,"",SUMIFS('Input Sheet'!$F$3:$F$1001,'Input Sheet'!$B$3:$B$1001,$H899,'Input Sheet'!$E$3:$E$1001,M$4))</f>
        <v/>
      </c>
      <c r="N899" s="21" t="str">
        <f>IF(SUMIFS('Input Sheet'!$F$3:$F$1001,'Input Sheet'!$B$3:$B$1001,$H899,'Input Sheet'!$E$3:$E$1001,N$4)=0,"",SUMIFS('Input Sheet'!$F$3:$F$1001,'Input Sheet'!$B$3:$B$1001,$H899,'Input Sheet'!$E$3:$E$1001,N$4))</f>
        <v/>
      </c>
      <c r="O899" s="21" t="str">
        <f>IF(SUMIFS('Input Sheet'!$F$3:$F$1001,'Input Sheet'!$B$3:$B$1001,$H899,'Input Sheet'!$E$3:$E$1001,O$4)=0,"",SUMIFS('Input Sheet'!$F$3:$F$1001,'Input Sheet'!$B$3:$B$1001,$H899,'Input Sheet'!$E$3:$E$1001,O$4))</f>
        <v/>
      </c>
      <c r="P899" s="21" t="str">
        <f>IF(SUMIFS('Input Sheet'!$F$3:$F$1001,'Input Sheet'!$B$3:$B$1001,$H899,'Input Sheet'!$E$3:$E$1001,P$4)=0,"",SUMIFS('Input Sheet'!$F$3:$F$1001,'Input Sheet'!$B$3:$B$1001,$H899,'Input Sheet'!$E$3:$E$1001,P$4))</f>
        <v/>
      </c>
      <c r="Q899" s="21" t="str">
        <f>IF(SUMIFS('Input Sheet'!$F$3:$F$1001,'Input Sheet'!$B$3:$B$1001,$H899,'Input Sheet'!$E$3:$E$1001,Q$4)=0,"",SUMIFS('Input Sheet'!$F$3:$F$1001,'Input Sheet'!$B$3:$B$1001,$H899,'Input Sheet'!$E$3:$E$1001,Q$4))</f>
        <v/>
      </c>
      <c r="R899" s="21" t="str">
        <f>IF(SUMIFS('Input Sheet'!$F$3:$F$1001,'Input Sheet'!$B$3:$B$1001,$H899,'Input Sheet'!$E$3:$E$1001,R$4)=0,"",SUMIFS('Input Sheet'!$F$3:$F$1001,'Input Sheet'!$B$3:$B$1001,$H899,'Input Sheet'!$E$3:$E$1001,R$4))</f>
        <v/>
      </c>
      <c r="S899" s="21" t="str">
        <f>IF(SUMIFS('Input Sheet'!$F$3:$F$1001,'Input Sheet'!$B$3:$B$1001,$H899,'Input Sheet'!$E$3:$E$1001,S$4)=0,"",SUMIFS('Input Sheet'!$F$3:$F$1001,'Input Sheet'!$B$3:$B$1001,$H899,'Input Sheet'!$E$3:$E$1001,S$4))</f>
        <v/>
      </c>
      <c r="T899" s="22">
        <v>894</v>
      </c>
    </row>
    <row r="900" spans="1:20" ht="14.25" customHeight="1" x14ac:dyDescent="0.3">
      <c r="A900" s="4" t="str">
        <f>IF('Input Sheet'!B897=0,"",'Input Sheet'!B897)</f>
        <v/>
      </c>
      <c r="B900" s="24" t="b">
        <f t="shared" si="788"/>
        <v>0</v>
      </c>
      <c r="C900" s="4">
        <f>SUMIF('Input Sheet'!B$3:B$1000,A900,'Input Sheet'!C$3:C$1000)</f>
        <v>0</v>
      </c>
      <c r="D900" s="4">
        <f>SUMIF('Input Sheet'!B$3:B$1000,A900,'Input Sheet'!D$3:D$1000)</f>
        <v>0</v>
      </c>
      <c r="E900" s="4" t="str">
        <f t="shared" ref="E900:F900" ca="1" si="924">IFERROR(RANK(K900,K$6:K$1004,1),"")</f>
        <v/>
      </c>
      <c r="F900" s="4" t="str">
        <f t="shared" ca="1" si="924"/>
        <v/>
      </c>
      <c r="G900" s="4" t="str">
        <f t="shared" ca="1" si="790"/>
        <v/>
      </c>
      <c r="H900" s="4" t="str">
        <f t="shared" si="791"/>
        <v/>
      </c>
      <c r="I900" s="4" t="str">
        <f t="shared" si="792"/>
        <v/>
      </c>
      <c r="J900" s="4" t="str">
        <f t="shared" si="793"/>
        <v/>
      </c>
      <c r="K900" s="25" t="str">
        <f t="shared" ca="1" si="794"/>
        <v/>
      </c>
      <c r="L900" s="21" t="str">
        <f t="shared" ca="1" si="795"/>
        <v/>
      </c>
      <c r="M900" s="21" t="str">
        <f>IF(SUMIFS('Input Sheet'!$F$3:$F$1001,'Input Sheet'!$B$3:$B$1001,$H900,'Input Sheet'!$E$3:$E$1001,M$4)=0,"",SUMIFS('Input Sheet'!$F$3:$F$1001,'Input Sheet'!$B$3:$B$1001,$H900,'Input Sheet'!$E$3:$E$1001,M$4))</f>
        <v/>
      </c>
      <c r="N900" s="21" t="str">
        <f>IF(SUMIFS('Input Sheet'!$F$3:$F$1001,'Input Sheet'!$B$3:$B$1001,$H900,'Input Sheet'!$E$3:$E$1001,N$4)=0,"",SUMIFS('Input Sheet'!$F$3:$F$1001,'Input Sheet'!$B$3:$B$1001,$H900,'Input Sheet'!$E$3:$E$1001,N$4))</f>
        <v/>
      </c>
      <c r="O900" s="21" t="str">
        <f>IF(SUMIFS('Input Sheet'!$F$3:$F$1001,'Input Sheet'!$B$3:$B$1001,$H900,'Input Sheet'!$E$3:$E$1001,O$4)=0,"",SUMIFS('Input Sheet'!$F$3:$F$1001,'Input Sheet'!$B$3:$B$1001,$H900,'Input Sheet'!$E$3:$E$1001,O$4))</f>
        <v/>
      </c>
      <c r="P900" s="21" t="str">
        <f>IF(SUMIFS('Input Sheet'!$F$3:$F$1001,'Input Sheet'!$B$3:$B$1001,$H900,'Input Sheet'!$E$3:$E$1001,P$4)=0,"",SUMIFS('Input Sheet'!$F$3:$F$1001,'Input Sheet'!$B$3:$B$1001,$H900,'Input Sheet'!$E$3:$E$1001,P$4))</f>
        <v/>
      </c>
      <c r="Q900" s="21" t="str">
        <f>IF(SUMIFS('Input Sheet'!$F$3:$F$1001,'Input Sheet'!$B$3:$B$1001,$H900,'Input Sheet'!$E$3:$E$1001,Q$4)=0,"",SUMIFS('Input Sheet'!$F$3:$F$1001,'Input Sheet'!$B$3:$B$1001,$H900,'Input Sheet'!$E$3:$E$1001,Q$4))</f>
        <v/>
      </c>
      <c r="R900" s="21" t="str">
        <f>IF(SUMIFS('Input Sheet'!$F$3:$F$1001,'Input Sheet'!$B$3:$B$1001,$H900,'Input Sheet'!$E$3:$E$1001,R$4)=0,"",SUMIFS('Input Sheet'!$F$3:$F$1001,'Input Sheet'!$B$3:$B$1001,$H900,'Input Sheet'!$E$3:$E$1001,R$4))</f>
        <v/>
      </c>
      <c r="S900" s="21" t="str">
        <f>IF(SUMIFS('Input Sheet'!$F$3:$F$1001,'Input Sheet'!$B$3:$B$1001,$H900,'Input Sheet'!$E$3:$E$1001,S$4)=0,"",SUMIFS('Input Sheet'!$F$3:$F$1001,'Input Sheet'!$B$3:$B$1001,$H900,'Input Sheet'!$E$3:$E$1001,S$4))</f>
        <v/>
      </c>
      <c r="T900" s="22">
        <v>895</v>
      </c>
    </row>
    <row r="901" spans="1:20" ht="14.25" customHeight="1" x14ac:dyDescent="0.3">
      <c r="A901" s="4" t="str">
        <f>IF('Input Sheet'!B898=0,"",'Input Sheet'!B898)</f>
        <v/>
      </c>
      <c r="B901" s="24" t="b">
        <f t="shared" si="788"/>
        <v>0</v>
      </c>
      <c r="C901" s="4">
        <f>SUMIF('Input Sheet'!B$3:B$1000,A901,'Input Sheet'!C$3:C$1000)</f>
        <v>0</v>
      </c>
      <c r="D901" s="4">
        <f>SUMIF('Input Sheet'!B$3:B$1000,A901,'Input Sheet'!D$3:D$1000)</f>
        <v>0</v>
      </c>
      <c r="E901" s="4" t="str">
        <f t="shared" ref="E901:F901" ca="1" si="925">IFERROR(RANK(K901,K$6:K$1004,1),"")</f>
        <v/>
      </c>
      <c r="F901" s="4" t="str">
        <f t="shared" ca="1" si="925"/>
        <v/>
      </c>
      <c r="G901" s="4" t="str">
        <f t="shared" ca="1" si="790"/>
        <v/>
      </c>
      <c r="H901" s="4" t="str">
        <f t="shared" si="791"/>
        <v/>
      </c>
      <c r="I901" s="4" t="str">
        <f t="shared" si="792"/>
        <v/>
      </c>
      <c r="J901" s="4" t="str">
        <f t="shared" si="793"/>
        <v/>
      </c>
      <c r="K901" s="25" t="str">
        <f t="shared" ca="1" si="794"/>
        <v/>
      </c>
      <c r="L901" s="21" t="str">
        <f t="shared" ca="1" si="795"/>
        <v/>
      </c>
      <c r="M901" s="21" t="str">
        <f>IF(SUMIFS('Input Sheet'!$F$3:$F$1001,'Input Sheet'!$B$3:$B$1001,$H901,'Input Sheet'!$E$3:$E$1001,M$4)=0,"",SUMIFS('Input Sheet'!$F$3:$F$1001,'Input Sheet'!$B$3:$B$1001,$H901,'Input Sheet'!$E$3:$E$1001,M$4))</f>
        <v/>
      </c>
      <c r="N901" s="21" t="str">
        <f>IF(SUMIFS('Input Sheet'!$F$3:$F$1001,'Input Sheet'!$B$3:$B$1001,$H901,'Input Sheet'!$E$3:$E$1001,N$4)=0,"",SUMIFS('Input Sheet'!$F$3:$F$1001,'Input Sheet'!$B$3:$B$1001,$H901,'Input Sheet'!$E$3:$E$1001,N$4))</f>
        <v/>
      </c>
      <c r="O901" s="21" t="str">
        <f>IF(SUMIFS('Input Sheet'!$F$3:$F$1001,'Input Sheet'!$B$3:$B$1001,$H901,'Input Sheet'!$E$3:$E$1001,O$4)=0,"",SUMIFS('Input Sheet'!$F$3:$F$1001,'Input Sheet'!$B$3:$B$1001,$H901,'Input Sheet'!$E$3:$E$1001,O$4))</f>
        <v/>
      </c>
      <c r="P901" s="21" t="str">
        <f>IF(SUMIFS('Input Sheet'!$F$3:$F$1001,'Input Sheet'!$B$3:$B$1001,$H901,'Input Sheet'!$E$3:$E$1001,P$4)=0,"",SUMIFS('Input Sheet'!$F$3:$F$1001,'Input Sheet'!$B$3:$B$1001,$H901,'Input Sheet'!$E$3:$E$1001,P$4))</f>
        <v/>
      </c>
      <c r="Q901" s="21" t="str">
        <f>IF(SUMIFS('Input Sheet'!$F$3:$F$1001,'Input Sheet'!$B$3:$B$1001,$H901,'Input Sheet'!$E$3:$E$1001,Q$4)=0,"",SUMIFS('Input Sheet'!$F$3:$F$1001,'Input Sheet'!$B$3:$B$1001,$H901,'Input Sheet'!$E$3:$E$1001,Q$4))</f>
        <v/>
      </c>
      <c r="R901" s="21" t="str">
        <f>IF(SUMIFS('Input Sheet'!$F$3:$F$1001,'Input Sheet'!$B$3:$B$1001,$H901,'Input Sheet'!$E$3:$E$1001,R$4)=0,"",SUMIFS('Input Sheet'!$F$3:$F$1001,'Input Sheet'!$B$3:$B$1001,$H901,'Input Sheet'!$E$3:$E$1001,R$4))</f>
        <v/>
      </c>
      <c r="S901" s="21" t="str">
        <f>IF(SUMIFS('Input Sheet'!$F$3:$F$1001,'Input Sheet'!$B$3:$B$1001,$H901,'Input Sheet'!$E$3:$E$1001,S$4)=0,"",SUMIFS('Input Sheet'!$F$3:$F$1001,'Input Sheet'!$B$3:$B$1001,$H901,'Input Sheet'!$E$3:$E$1001,S$4))</f>
        <v/>
      </c>
      <c r="T901" s="22">
        <v>896</v>
      </c>
    </row>
    <row r="902" spans="1:20" ht="14.25" customHeight="1" x14ac:dyDescent="0.3">
      <c r="A902" s="4" t="str">
        <f>IF('Input Sheet'!B899=0,"",'Input Sheet'!B899)</f>
        <v/>
      </c>
      <c r="B902" s="24" t="b">
        <f t="shared" si="788"/>
        <v>0</v>
      </c>
      <c r="C902" s="4">
        <f>SUMIF('Input Sheet'!B$3:B$1000,A902,'Input Sheet'!C$3:C$1000)</f>
        <v>0</v>
      </c>
      <c r="D902" s="4">
        <f>SUMIF('Input Sheet'!B$3:B$1000,A902,'Input Sheet'!D$3:D$1000)</f>
        <v>0</v>
      </c>
      <c r="E902" s="4" t="str">
        <f t="shared" ref="E902:F902" ca="1" si="926">IFERROR(RANK(K902,K$6:K$1004,1),"")</f>
        <v/>
      </c>
      <c r="F902" s="4" t="str">
        <f t="shared" ca="1" si="926"/>
        <v/>
      </c>
      <c r="G902" s="4" t="str">
        <f t="shared" ca="1" si="790"/>
        <v/>
      </c>
      <c r="H902" s="4" t="str">
        <f t="shared" si="791"/>
        <v/>
      </c>
      <c r="I902" s="4" t="str">
        <f t="shared" si="792"/>
        <v/>
      </c>
      <c r="J902" s="4" t="str">
        <f t="shared" si="793"/>
        <v/>
      </c>
      <c r="K902" s="25" t="str">
        <f t="shared" ca="1" si="794"/>
        <v/>
      </c>
      <c r="L902" s="21" t="str">
        <f t="shared" ca="1" si="795"/>
        <v/>
      </c>
      <c r="M902" s="21" t="str">
        <f>IF(SUMIFS('Input Sheet'!$F$3:$F$1001,'Input Sheet'!$B$3:$B$1001,$H902,'Input Sheet'!$E$3:$E$1001,M$4)=0,"",SUMIFS('Input Sheet'!$F$3:$F$1001,'Input Sheet'!$B$3:$B$1001,$H902,'Input Sheet'!$E$3:$E$1001,M$4))</f>
        <v/>
      </c>
      <c r="N902" s="21" t="str">
        <f>IF(SUMIFS('Input Sheet'!$F$3:$F$1001,'Input Sheet'!$B$3:$B$1001,$H902,'Input Sheet'!$E$3:$E$1001,N$4)=0,"",SUMIFS('Input Sheet'!$F$3:$F$1001,'Input Sheet'!$B$3:$B$1001,$H902,'Input Sheet'!$E$3:$E$1001,N$4))</f>
        <v/>
      </c>
      <c r="O902" s="21" t="str">
        <f>IF(SUMIFS('Input Sheet'!$F$3:$F$1001,'Input Sheet'!$B$3:$B$1001,$H902,'Input Sheet'!$E$3:$E$1001,O$4)=0,"",SUMIFS('Input Sheet'!$F$3:$F$1001,'Input Sheet'!$B$3:$B$1001,$H902,'Input Sheet'!$E$3:$E$1001,O$4))</f>
        <v/>
      </c>
      <c r="P902" s="21" t="str">
        <f>IF(SUMIFS('Input Sheet'!$F$3:$F$1001,'Input Sheet'!$B$3:$B$1001,$H902,'Input Sheet'!$E$3:$E$1001,P$4)=0,"",SUMIFS('Input Sheet'!$F$3:$F$1001,'Input Sheet'!$B$3:$B$1001,$H902,'Input Sheet'!$E$3:$E$1001,P$4))</f>
        <v/>
      </c>
      <c r="Q902" s="21" t="str">
        <f>IF(SUMIFS('Input Sheet'!$F$3:$F$1001,'Input Sheet'!$B$3:$B$1001,$H902,'Input Sheet'!$E$3:$E$1001,Q$4)=0,"",SUMIFS('Input Sheet'!$F$3:$F$1001,'Input Sheet'!$B$3:$B$1001,$H902,'Input Sheet'!$E$3:$E$1001,Q$4))</f>
        <v/>
      </c>
      <c r="R902" s="21" t="str">
        <f>IF(SUMIFS('Input Sheet'!$F$3:$F$1001,'Input Sheet'!$B$3:$B$1001,$H902,'Input Sheet'!$E$3:$E$1001,R$4)=0,"",SUMIFS('Input Sheet'!$F$3:$F$1001,'Input Sheet'!$B$3:$B$1001,$H902,'Input Sheet'!$E$3:$E$1001,R$4))</f>
        <v/>
      </c>
      <c r="S902" s="21" t="str">
        <f>IF(SUMIFS('Input Sheet'!$F$3:$F$1001,'Input Sheet'!$B$3:$B$1001,$H902,'Input Sheet'!$E$3:$E$1001,S$4)=0,"",SUMIFS('Input Sheet'!$F$3:$F$1001,'Input Sheet'!$B$3:$B$1001,$H902,'Input Sheet'!$E$3:$E$1001,S$4))</f>
        <v/>
      </c>
      <c r="T902" s="22">
        <v>897</v>
      </c>
    </row>
    <row r="903" spans="1:20" ht="14.25" customHeight="1" x14ac:dyDescent="0.3">
      <c r="A903" s="4" t="str">
        <f>IF('Input Sheet'!B900=0,"",'Input Sheet'!B900)</f>
        <v/>
      </c>
      <c r="B903" s="24" t="b">
        <f t="shared" si="788"/>
        <v>0</v>
      </c>
      <c r="C903" s="4">
        <f>SUMIF('Input Sheet'!B$3:B$1000,A903,'Input Sheet'!C$3:C$1000)</f>
        <v>0</v>
      </c>
      <c r="D903" s="4">
        <f>SUMIF('Input Sheet'!B$3:B$1000,A903,'Input Sheet'!D$3:D$1000)</f>
        <v>0</v>
      </c>
      <c r="E903" s="4" t="str">
        <f t="shared" ref="E903:F903" ca="1" si="927">IFERROR(RANK(K903,K$6:K$1004,1),"")</f>
        <v/>
      </c>
      <c r="F903" s="4" t="str">
        <f t="shared" ca="1" si="927"/>
        <v/>
      </c>
      <c r="G903" s="4" t="str">
        <f t="shared" ca="1" si="790"/>
        <v/>
      </c>
      <c r="H903" s="4" t="str">
        <f t="shared" si="791"/>
        <v/>
      </c>
      <c r="I903" s="4" t="str">
        <f t="shared" si="792"/>
        <v/>
      </c>
      <c r="J903" s="4" t="str">
        <f t="shared" si="793"/>
        <v/>
      </c>
      <c r="K903" s="25" t="str">
        <f t="shared" ca="1" si="794"/>
        <v/>
      </c>
      <c r="L903" s="21" t="str">
        <f t="shared" ca="1" si="795"/>
        <v/>
      </c>
      <c r="M903" s="21" t="str">
        <f>IF(SUMIFS('Input Sheet'!$F$3:$F$1001,'Input Sheet'!$B$3:$B$1001,$H903,'Input Sheet'!$E$3:$E$1001,M$4)=0,"",SUMIFS('Input Sheet'!$F$3:$F$1001,'Input Sheet'!$B$3:$B$1001,$H903,'Input Sheet'!$E$3:$E$1001,M$4))</f>
        <v/>
      </c>
      <c r="N903" s="21" t="str">
        <f>IF(SUMIFS('Input Sheet'!$F$3:$F$1001,'Input Sheet'!$B$3:$B$1001,$H903,'Input Sheet'!$E$3:$E$1001,N$4)=0,"",SUMIFS('Input Sheet'!$F$3:$F$1001,'Input Sheet'!$B$3:$B$1001,$H903,'Input Sheet'!$E$3:$E$1001,N$4))</f>
        <v/>
      </c>
      <c r="O903" s="21" t="str">
        <f>IF(SUMIFS('Input Sheet'!$F$3:$F$1001,'Input Sheet'!$B$3:$B$1001,$H903,'Input Sheet'!$E$3:$E$1001,O$4)=0,"",SUMIFS('Input Sheet'!$F$3:$F$1001,'Input Sheet'!$B$3:$B$1001,$H903,'Input Sheet'!$E$3:$E$1001,O$4))</f>
        <v/>
      </c>
      <c r="P903" s="21" t="str">
        <f>IF(SUMIFS('Input Sheet'!$F$3:$F$1001,'Input Sheet'!$B$3:$B$1001,$H903,'Input Sheet'!$E$3:$E$1001,P$4)=0,"",SUMIFS('Input Sheet'!$F$3:$F$1001,'Input Sheet'!$B$3:$B$1001,$H903,'Input Sheet'!$E$3:$E$1001,P$4))</f>
        <v/>
      </c>
      <c r="Q903" s="21" t="str">
        <f>IF(SUMIFS('Input Sheet'!$F$3:$F$1001,'Input Sheet'!$B$3:$B$1001,$H903,'Input Sheet'!$E$3:$E$1001,Q$4)=0,"",SUMIFS('Input Sheet'!$F$3:$F$1001,'Input Sheet'!$B$3:$B$1001,$H903,'Input Sheet'!$E$3:$E$1001,Q$4))</f>
        <v/>
      </c>
      <c r="R903" s="21" t="str">
        <f>IF(SUMIFS('Input Sheet'!$F$3:$F$1001,'Input Sheet'!$B$3:$B$1001,$H903,'Input Sheet'!$E$3:$E$1001,R$4)=0,"",SUMIFS('Input Sheet'!$F$3:$F$1001,'Input Sheet'!$B$3:$B$1001,$H903,'Input Sheet'!$E$3:$E$1001,R$4))</f>
        <v/>
      </c>
      <c r="S903" s="21" t="str">
        <f>IF(SUMIFS('Input Sheet'!$F$3:$F$1001,'Input Sheet'!$B$3:$B$1001,$H903,'Input Sheet'!$E$3:$E$1001,S$4)=0,"",SUMIFS('Input Sheet'!$F$3:$F$1001,'Input Sheet'!$B$3:$B$1001,$H903,'Input Sheet'!$E$3:$E$1001,S$4))</f>
        <v/>
      </c>
      <c r="T903" s="22">
        <v>898</v>
      </c>
    </row>
    <row r="904" spans="1:20" ht="14.25" customHeight="1" x14ac:dyDescent="0.3">
      <c r="A904" s="4" t="str">
        <f>IF('Input Sheet'!B901=0,"",'Input Sheet'!B901)</f>
        <v/>
      </c>
      <c r="B904" s="24" t="b">
        <f t="shared" si="788"/>
        <v>0</v>
      </c>
      <c r="C904" s="4">
        <f>SUMIF('Input Sheet'!B$3:B$1000,A904,'Input Sheet'!C$3:C$1000)</f>
        <v>0</v>
      </c>
      <c r="D904" s="4">
        <f>SUMIF('Input Sheet'!B$3:B$1000,A904,'Input Sheet'!D$3:D$1000)</f>
        <v>0</v>
      </c>
      <c r="E904" s="4" t="str">
        <f t="shared" ref="E904:F904" ca="1" si="928">IFERROR(RANK(K904,K$6:K$1004,1),"")</f>
        <v/>
      </c>
      <c r="F904" s="4" t="str">
        <f t="shared" ca="1" si="928"/>
        <v/>
      </c>
      <c r="G904" s="4" t="str">
        <f t="shared" ca="1" si="790"/>
        <v/>
      </c>
      <c r="H904" s="4" t="str">
        <f t="shared" si="791"/>
        <v/>
      </c>
      <c r="I904" s="4" t="str">
        <f t="shared" si="792"/>
        <v/>
      </c>
      <c r="J904" s="4" t="str">
        <f t="shared" si="793"/>
        <v/>
      </c>
      <c r="K904" s="25" t="str">
        <f t="shared" ca="1" si="794"/>
        <v/>
      </c>
      <c r="L904" s="21" t="str">
        <f t="shared" ca="1" si="795"/>
        <v/>
      </c>
      <c r="M904" s="21" t="str">
        <f>IF(SUMIFS('Input Sheet'!$F$3:$F$1001,'Input Sheet'!$B$3:$B$1001,$H904,'Input Sheet'!$E$3:$E$1001,M$4)=0,"",SUMIFS('Input Sheet'!$F$3:$F$1001,'Input Sheet'!$B$3:$B$1001,$H904,'Input Sheet'!$E$3:$E$1001,M$4))</f>
        <v/>
      </c>
      <c r="N904" s="21" t="str">
        <f>IF(SUMIFS('Input Sheet'!$F$3:$F$1001,'Input Sheet'!$B$3:$B$1001,$H904,'Input Sheet'!$E$3:$E$1001,N$4)=0,"",SUMIFS('Input Sheet'!$F$3:$F$1001,'Input Sheet'!$B$3:$B$1001,$H904,'Input Sheet'!$E$3:$E$1001,N$4))</f>
        <v/>
      </c>
      <c r="O904" s="21" t="str">
        <f>IF(SUMIFS('Input Sheet'!$F$3:$F$1001,'Input Sheet'!$B$3:$B$1001,$H904,'Input Sheet'!$E$3:$E$1001,O$4)=0,"",SUMIFS('Input Sheet'!$F$3:$F$1001,'Input Sheet'!$B$3:$B$1001,$H904,'Input Sheet'!$E$3:$E$1001,O$4))</f>
        <v/>
      </c>
      <c r="P904" s="21" t="str">
        <f>IF(SUMIFS('Input Sheet'!$F$3:$F$1001,'Input Sheet'!$B$3:$B$1001,$H904,'Input Sheet'!$E$3:$E$1001,P$4)=0,"",SUMIFS('Input Sheet'!$F$3:$F$1001,'Input Sheet'!$B$3:$B$1001,$H904,'Input Sheet'!$E$3:$E$1001,P$4))</f>
        <v/>
      </c>
      <c r="Q904" s="21" t="str">
        <f>IF(SUMIFS('Input Sheet'!$F$3:$F$1001,'Input Sheet'!$B$3:$B$1001,$H904,'Input Sheet'!$E$3:$E$1001,Q$4)=0,"",SUMIFS('Input Sheet'!$F$3:$F$1001,'Input Sheet'!$B$3:$B$1001,$H904,'Input Sheet'!$E$3:$E$1001,Q$4))</f>
        <v/>
      </c>
      <c r="R904" s="21" t="str">
        <f>IF(SUMIFS('Input Sheet'!$F$3:$F$1001,'Input Sheet'!$B$3:$B$1001,$H904,'Input Sheet'!$E$3:$E$1001,R$4)=0,"",SUMIFS('Input Sheet'!$F$3:$F$1001,'Input Sheet'!$B$3:$B$1001,$H904,'Input Sheet'!$E$3:$E$1001,R$4))</f>
        <v/>
      </c>
      <c r="S904" s="21" t="str">
        <f>IF(SUMIFS('Input Sheet'!$F$3:$F$1001,'Input Sheet'!$B$3:$B$1001,$H904,'Input Sheet'!$E$3:$E$1001,S$4)=0,"",SUMIFS('Input Sheet'!$F$3:$F$1001,'Input Sheet'!$B$3:$B$1001,$H904,'Input Sheet'!$E$3:$E$1001,S$4))</f>
        <v/>
      </c>
      <c r="T904" s="22">
        <v>899</v>
      </c>
    </row>
    <row r="905" spans="1:20" ht="14.25" customHeight="1" x14ac:dyDescent="0.3">
      <c r="A905" s="4" t="str">
        <f>IF('Input Sheet'!B902=0,"",'Input Sheet'!B902)</f>
        <v/>
      </c>
      <c r="B905" s="24" t="b">
        <f t="shared" si="788"/>
        <v>0</v>
      </c>
      <c r="C905" s="4">
        <f>SUMIF('Input Sheet'!B$3:B$1000,A905,'Input Sheet'!C$3:C$1000)</f>
        <v>0</v>
      </c>
      <c r="D905" s="4">
        <f>SUMIF('Input Sheet'!B$3:B$1000,A905,'Input Sheet'!D$3:D$1000)</f>
        <v>0</v>
      </c>
      <c r="E905" s="4" t="str">
        <f t="shared" ref="E905:F905" ca="1" si="929">IFERROR(RANK(K905,K$6:K$1004,1),"")</f>
        <v/>
      </c>
      <c r="F905" s="4" t="str">
        <f t="shared" ca="1" si="929"/>
        <v/>
      </c>
      <c r="G905" s="4" t="str">
        <f t="shared" ca="1" si="790"/>
        <v/>
      </c>
      <c r="H905" s="4" t="str">
        <f t="shared" si="791"/>
        <v/>
      </c>
      <c r="I905" s="4" t="str">
        <f t="shared" si="792"/>
        <v/>
      </c>
      <c r="J905" s="4" t="str">
        <f t="shared" si="793"/>
        <v/>
      </c>
      <c r="K905" s="25" t="str">
        <f t="shared" ca="1" si="794"/>
        <v/>
      </c>
      <c r="L905" s="21" t="str">
        <f t="shared" ca="1" si="795"/>
        <v/>
      </c>
      <c r="M905" s="21" t="str">
        <f>IF(SUMIFS('Input Sheet'!$F$3:$F$1001,'Input Sheet'!$B$3:$B$1001,$H905,'Input Sheet'!$E$3:$E$1001,M$4)=0,"",SUMIFS('Input Sheet'!$F$3:$F$1001,'Input Sheet'!$B$3:$B$1001,$H905,'Input Sheet'!$E$3:$E$1001,M$4))</f>
        <v/>
      </c>
      <c r="N905" s="21" t="str">
        <f>IF(SUMIFS('Input Sheet'!$F$3:$F$1001,'Input Sheet'!$B$3:$B$1001,$H905,'Input Sheet'!$E$3:$E$1001,N$4)=0,"",SUMIFS('Input Sheet'!$F$3:$F$1001,'Input Sheet'!$B$3:$B$1001,$H905,'Input Sheet'!$E$3:$E$1001,N$4))</f>
        <v/>
      </c>
      <c r="O905" s="21" t="str">
        <f>IF(SUMIFS('Input Sheet'!$F$3:$F$1001,'Input Sheet'!$B$3:$B$1001,$H905,'Input Sheet'!$E$3:$E$1001,O$4)=0,"",SUMIFS('Input Sheet'!$F$3:$F$1001,'Input Sheet'!$B$3:$B$1001,$H905,'Input Sheet'!$E$3:$E$1001,O$4))</f>
        <v/>
      </c>
      <c r="P905" s="21" t="str">
        <f>IF(SUMIFS('Input Sheet'!$F$3:$F$1001,'Input Sheet'!$B$3:$B$1001,$H905,'Input Sheet'!$E$3:$E$1001,P$4)=0,"",SUMIFS('Input Sheet'!$F$3:$F$1001,'Input Sheet'!$B$3:$B$1001,$H905,'Input Sheet'!$E$3:$E$1001,P$4))</f>
        <v/>
      </c>
      <c r="Q905" s="21" t="str">
        <f>IF(SUMIFS('Input Sheet'!$F$3:$F$1001,'Input Sheet'!$B$3:$B$1001,$H905,'Input Sheet'!$E$3:$E$1001,Q$4)=0,"",SUMIFS('Input Sheet'!$F$3:$F$1001,'Input Sheet'!$B$3:$B$1001,$H905,'Input Sheet'!$E$3:$E$1001,Q$4))</f>
        <v/>
      </c>
      <c r="R905" s="21" t="str">
        <f>IF(SUMIFS('Input Sheet'!$F$3:$F$1001,'Input Sheet'!$B$3:$B$1001,$H905,'Input Sheet'!$E$3:$E$1001,R$4)=0,"",SUMIFS('Input Sheet'!$F$3:$F$1001,'Input Sheet'!$B$3:$B$1001,$H905,'Input Sheet'!$E$3:$E$1001,R$4))</f>
        <v/>
      </c>
      <c r="S905" s="21" t="str">
        <f>IF(SUMIFS('Input Sheet'!$F$3:$F$1001,'Input Sheet'!$B$3:$B$1001,$H905,'Input Sheet'!$E$3:$E$1001,S$4)=0,"",SUMIFS('Input Sheet'!$F$3:$F$1001,'Input Sheet'!$B$3:$B$1001,$H905,'Input Sheet'!$E$3:$E$1001,S$4))</f>
        <v/>
      </c>
      <c r="T905" s="22">
        <v>900</v>
      </c>
    </row>
    <row r="906" spans="1:20" ht="14.25" customHeight="1" x14ac:dyDescent="0.3">
      <c r="A906" s="4" t="str">
        <f>IF('Input Sheet'!B903=0,"",'Input Sheet'!B903)</f>
        <v/>
      </c>
      <c r="B906" s="24" t="b">
        <f t="shared" si="788"/>
        <v>0</v>
      </c>
      <c r="C906" s="4">
        <f>SUMIF('Input Sheet'!B$3:B$1000,A906,'Input Sheet'!C$3:C$1000)</f>
        <v>0</v>
      </c>
      <c r="D906" s="4">
        <f>SUMIF('Input Sheet'!B$3:B$1000,A906,'Input Sheet'!D$3:D$1000)</f>
        <v>0</v>
      </c>
      <c r="E906" s="4" t="str">
        <f t="shared" ref="E906:F906" ca="1" si="930">IFERROR(RANK(K906,K$6:K$1004,1),"")</f>
        <v/>
      </c>
      <c r="F906" s="4" t="str">
        <f t="shared" ca="1" si="930"/>
        <v/>
      </c>
      <c r="G906" s="4" t="str">
        <f t="shared" ca="1" si="790"/>
        <v/>
      </c>
      <c r="H906" s="4" t="str">
        <f t="shared" si="791"/>
        <v/>
      </c>
      <c r="I906" s="4" t="str">
        <f t="shared" si="792"/>
        <v/>
      </c>
      <c r="J906" s="4" t="str">
        <f t="shared" si="793"/>
        <v/>
      </c>
      <c r="K906" s="25" t="str">
        <f t="shared" ca="1" si="794"/>
        <v/>
      </c>
      <c r="L906" s="21" t="str">
        <f t="shared" ca="1" si="795"/>
        <v/>
      </c>
      <c r="M906" s="21" t="str">
        <f>IF(SUMIFS('Input Sheet'!$F$3:$F$1001,'Input Sheet'!$B$3:$B$1001,$H906,'Input Sheet'!$E$3:$E$1001,M$4)=0,"",SUMIFS('Input Sheet'!$F$3:$F$1001,'Input Sheet'!$B$3:$B$1001,$H906,'Input Sheet'!$E$3:$E$1001,M$4))</f>
        <v/>
      </c>
      <c r="N906" s="21" t="str">
        <f>IF(SUMIFS('Input Sheet'!$F$3:$F$1001,'Input Sheet'!$B$3:$B$1001,$H906,'Input Sheet'!$E$3:$E$1001,N$4)=0,"",SUMIFS('Input Sheet'!$F$3:$F$1001,'Input Sheet'!$B$3:$B$1001,$H906,'Input Sheet'!$E$3:$E$1001,N$4))</f>
        <v/>
      </c>
      <c r="O906" s="21" t="str">
        <f>IF(SUMIFS('Input Sheet'!$F$3:$F$1001,'Input Sheet'!$B$3:$B$1001,$H906,'Input Sheet'!$E$3:$E$1001,O$4)=0,"",SUMIFS('Input Sheet'!$F$3:$F$1001,'Input Sheet'!$B$3:$B$1001,$H906,'Input Sheet'!$E$3:$E$1001,O$4))</f>
        <v/>
      </c>
      <c r="P906" s="21" t="str">
        <f>IF(SUMIFS('Input Sheet'!$F$3:$F$1001,'Input Sheet'!$B$3:$B$1001,$H906,'Input Sheet'!$E$3:$E$1001,P$4)=0,"",SUMIFS('Input Sheet'!$F$3:$F$1001,'Input Sheet'!$B$3:$B$1001,$H906,'Input Sheet'!$E$3:$E$1001,P$4))</f>
        <v/>
      </c>
      <c r="Q906" s="21" t="str">
        <f>IF(SUMIFS('Input Sheet'!$F$3:$F$1001,'Input Sheet'!$B$3:$B$1001,$H906,'Input Sheet'!$E$3:$E$1001,Q$4)=0,"",SUMIFS('Input Sheet'!$F$3:$F$1001,'Input Sheet'!$B$3:$B$1001,$H906,'Input Sheet'!$E$3:$E$1001,Q$4))</f>
        <v/>
      </c>
      <c r="R906" s="21" t="str">
        <f>IF(SUMIFS('Input Sheet'!$F$3:$F$1001,'Input Sheet'!$B$3:$B$1001,$H906,'Input Sheet'!$E$3:$E$1001,R$4)=0,"",SUMIFS('Input Sheet'!$F$3:$F$1001,'Input Sheet'!$B$3:$B$1001,$H906,'Input Sheet'!$E$3:$E$1001,R$4))</f>
        <v/>
      </c>
      <c r="S906" s="21" t="str">
        <f>IF(SUMIFS('Input Sheet'!$F$3:$F$1001,'Input Sheet'!$B$3:$B$1001,$H906,'Input Sheet'!$E$3:$E$1001,S$4)=0,"",SUMIFS('Input Sheet'!$F$3:$F$1001,'Input Sheet'!$B$3:$B$1001,$H906,'Input Sheet'!$E$3:$E$1001,S$4))</f>
        <v/>
      </c>
      <c r="T906" s="22">
        <v>901</v>
      </c>
    </row>
    <row r="907" spans="1:20" ht="14.25" customHeight="1" x14ac:dyDescent="0.3">
      <c r="A907" s="4" t="str">
        <f>IF('Input Sheet'!B904=0,"",'Input Sheet'!B904)</f>
        <v/>
      </c>
      <c r="B907" s="24" t="b">
        <f t="shared" si="788"/>
        <v>0</v>
      </c>
      <c r="C907" s="4">
        <f>SUMIF('Input Sheet'!B$3:B$1000,A907,'Input Sheet'!C$3:C$1000)</f>
        <v>0</v>
      </c>
      <c r="D907" s="4">
        <f>SUMIF('Input Sheet'!B$3:B$1000,A907,'Input Sheet'!D$3:D$1000)</f>
        <v>0</v>
      </c>
      <c r="E907" s="4" t="str">
        <f t="shared" ref="E907:F907" ca="1" si="931">IFERROR(RANK(K907,K$6:K$1004,1),"")</f>
        <v/>
      </c>
      <c r="F907" s="4" t="str">
        <f t="shared" ca="1" si="931"/>
        <v/>
      </c>
      <c r="G907" s="4" t="str">
        <f t="shared" ca="1" si="790"/>
        <v/>
      </c>
      <c r="H907" s="4" t="str">
        <f t="shared" si="791"/>
        <v/>
      </c>
      <c r="I907" s="4" t="str">
        <f t="shared" si="792"/>
        <v/>
      </c>
      <c r="J907" s="4" t="str">
        <f t="shared" si="793"/>
        <v/>
      </c>
      <c r="K907" s="25" t="str">
        <f t="shared" ca="1" si="794"/>
        <v/>
      </c>
      <c r="L907" s="21" t="str">
        <f t="shared" ca="1" si="795"/>
        <v/>
      </c>
      <c r="M907" s="21" t="str">
        <f>IF(SUMIFS('Input Sheet'!$F$3:$F$1001,'Input Sheet'!$B$3:$B$1001,$H907,'Input Sheet'!$E$3:$E$1001,M$4)=0,"",SUMIFS('Input Sheet'!$F$3:$F$1001,'Input Sheet'!$B$3:$B$1001,$H907,'Input Sheet'!$E$3:$E$1001,M$4))</f>
        <v/>
      </c>
      <c r="N907" s="21" t="str">
        <f>IF(SUMIFS('Input Sheet'!$F$3:$F$1001,'Input Sheet'!$B$3:$B$1001,$H907,'Input Sheet'!$E$3:$E$1001,N$4)=0,"",SUMIFS('Input Sheet'!$F$3:$F$1001,'Input Sheet'!$B$3:$B$1001,$H907,'Input Sheet'!$E$3:$E$1001,N$4))</f>
        <v/>
      </c>
      <c r="O907" s="21" t="str">
        <f>IF(SUMIFS('Input Sheet'!$F$3:$F$1001,'Input Sheet'!$B$3:$B$1001,$H907,'Input Sheet'!$E$3:$E$1001,O$4)=0,"",SUMIFS('Input Sheet'!$F$3:$F$1001,'Input Sheet'!$B$3:$B$1001,$H907,'Input Sheet'!$E$3:$E$1001,O$4))</f>
        <v/>
      </c>
      <c r="P907" s="21" t="str">
        <f>IF(SUMIFS('Input Sheet'!$F$3:$F$1001,'Input Sheet'!$B$3:$B$1001,$H907,'Input Sheet'!$E$3:$E$1001,P$4)=0,"",SUMIFS('Input Sheet'!$F$3:$F$1001,'Input Sheet'!$B$3:$B$1001,$H907,'Input Sheet'!$E$3:$E$1001,P$4))</f>
        <v/>
      </c>
      <c r="Q907" s="21" t="str">
        <f>IF(SUMIFS('Input Sheet'!$F$3:$F$1001,'Input Sheet'!$B$3:$B$1001,$H907,'Input Sheet'!$E$3:$E$1001,Q$4)=0,"",SUMIFS('Input Sheet'!$F$3:$F$1001,'Input Sheet'!$B$3:$B$1001,$H907,'Input Sheet'!$E$3:$E$1001,Q$4))</f>
        <v/>
      </c>
      <c r="R907" s="21" t="str">
        <f>IF(SUMIFS('Input Sheet'!$F$3:$F$1001,'Input Sheet'!$B$3:$B$1001,$H907,'Input Sheet'!$E$3:$E$1001,R$4)=0,"",SUMIFS('Input Sheet'!$F$3:$F$1001,'Input Sheet'!$B$3:$B$1001,$H907,'Input Sheet'!$E$3:$E$1001,R$4))</f>
        <v/>
      </c>
      <c r="S907" s="21" t="str">
        <f>IF(SUMIFS('Input Sheet'!$F$3:$F$1001,'Input Sheet'!$B$3:$B$1001,$H907,'Input Sheet'!$E$3:$E$1001,S$4)=0,"",SUMIFS('Input Sheet'!$F$3:$F$1001,'Input Sheet'!$B$3:$B$1001,$H907,'Input Sheet'!$E$3:$E$1001,S$4))</f>
        <v/>
      </c>
      <c r="T907" s="22">
        <v>902</v>
      </c>
    </row>
    <row r="908" spans="1:20" ht="14.25" customHeight="1" x14ac:dyDescent="0.3">
      <c r="A908" s="4" t="str">
        <f>IF('Input Sheet'!B905=0,"",'Input Sheet'!B905)</f>
        <v/>
      </c>
      <c r="B908" s="24" t="b">
        <f t="shared" si="788"/>
        <v>0</v>
      </c>
      <c r="C908" s="4">
        <f>SUMIF('Input Sheet'!B$3:B$1000,A908,'Input Sheet'!C$3:C$1000)</f>
        <v>0</v>
      </c>
      <c r="D908" s="4">
        <f>SUMIF('Input Sheet'!B$3:B$1000,A908,'Input Sheet'!D$3:D$1000)</f>
        <v>0</v>
      </c>
      <c r="E908" s="4" t="str">
        <f t="shared" ref="E908:F908" ca="1" si="932">IFERROR(RANK(K908,K$6:K$1004,1),"")</f>
        <v/>
      </c>
      <c r="F908" s="4" t="str">
        <f t="shared" ca="1" si="932"/>
        <v/>
      </c>
      <c r="G908" s="4" t="str">
        <f t="shared" ca="1" si="790"/>
        <v/>
      </c>
      <c r="H908" s="4" t="str">
        <f t="shared" si="791"/>
        <v/>
      </c>
      <c r="I908" s="4" t="str">
        <f t="shared" si="792"/>
        <v/>
      </c>
      <c r="J908" s="4" t="str">
        <f t="shared" si="793"/>
        <v/>
      </c>
      <c r="K908" s="25" t="str">
        <f t="shared" ca="1" si="794"/>
        <v/>
      </c>
      <c r="L908" s="21" t="str">
        <f t="shared" ca="1" si="795"/>
        <v/>
      </c>
      <c r="M908" s="21" t="str">
        <f>IF(SUMIFS('Input Sheet'!$F$3:$F$1001,'Input Sheet'!$B$3:$B$1001,$H908,'Input Sheet'!$E$3:$E$1001,M$4)=0,"",SUMIFS('Input Sheet'!$F$3:$F$1001,'Input Sheet'!$B$3:$B$1001,$H908,'Input Sheet'!$E$3:$E$1001,M$4))</f>
        <v/>
      </c>
      <c r="N908" s="21" t="str">
        <f>IF(SUMIFS('Input Sheet'!$F$3:$F$1001,'Input Sheet'!$B$3:$B$1001,$H908,'Input Sheet'!$E$3:$E$1001,N$4)=0,"",SUMIFS('Input Sheet'!$F$3:$F$1001,'Input Sheet'!$B$3:$B$1001,$H908,'Input Sheet'!$E$3:$E$1001,N$4))</f>
        <v/>
      </c>
      <c r="O908" s="21" t="str">
        <f>IF(SUMIFS('Input Sheet'!$F$3:$F$1001,'Input Sheet'!$B$3:$B$1001,$H908,'Input Sheet'!$E$3:$E$1001,O$4)=0,"",SUMIFS('Input Sheet'!$F$3:$F$1001,'Input Sheet'!$B$3:$B$1001,$H908,'Input Sheet'!$E$3:$E$1001,O$4))</f>
        <v/>
      </c>
      <c r="P908" s="21" t="str">
        <f>IF(SUMIFS('Input Sheet'!$F$3:$F$1001,'Input Sheet'!$B$3:$B$1001,$H908,'Input Sheet'!$E$3:$E$1001,P$4)=0,"",SUMIFS('Input Sheet'!$F$3:$F$1001,'Input Sheet'!$B$3:$B$1001,$H908,'Input Sheet'!$E$3:$E$1001,P$4))</f>
        <v/>
      </c>
      <c r="Q908" s="21" t="str">
        <f>IF(SUMIFS('Input Sheet'!$F$3:$F$1001,'Input Sheet'!$B$3:$B$1001,$H908,'Input Sheet'!$E$3:$E$1001,Q$4)=0,"",SUMIFS('Input Sheet'!$F$3:$F$1001,'Input Sheet'!$B$3:$B$1001,$H908,'Input Sheet'!$E$3:$E$1001,Q$4))</f>
        <v/>
      </c>
      <c r="R908" s="21" t="str">
        <f>IF(SUMIFS('Input Sheet'!$F$3:$F$1001,'Input Sheet'!$B$3:$B$1001,$H908,'Input Sheet'!$E$3:$E$1001,R$4)=0,"",SUMIFS('Input Sheet'!$F$3:$F$1001,'Input Sheet'!$B$3:$B$1001,$H908,'Input Sheet'!$E$3:$E$1001,R$4))</f>
        <v/>
      </c>
      <c r="S908" s="21" t="str">
        <f>IF(SUMIFS('Input Sheet'!$F$3:$F$1001,'Input Sheet'!$B$3:$B$1001,$H908,'Input Sheet'!$E$3:$E$1001,S$4)=0,"",SUMIFS('Input Sheet'!$F$3:$F$1001,'Input Sheet'!$B$3:$B$1001,$H908,'Input Sheet'!$E$3:$E$1001,S$4))</f>
        <v/>
      </c>
      <c r="T908" s="22">
        <v>903</v>
      </c>
    </row>
    <row r="909" spans="1:20" ht="14.25" customHeight="1" x14ac:dyDescent="0.3">
      <c r="A909" s="4" t="str">
        <f>IF('Input Sheet'!B906=0,"",'Input Sheet'!B906)</f>
        <v/>
      </c>
      <c r="B909" s="24" t="b">
        <f t="shared" si="788"/>
        <v>0</v>
      </c>
      <c r="C909" s="4">
        <f>SUMIF('Input Sheet'!B$3:B$1000,A909,'Input Sheet'!C$3:C$1000)</f>
        <v>0</v>
      </c>
      <c r="D909" s="4">
        <f>SUMIF('Input Sheet'!B$3:B$1000,A909,'Input Sheet'!D$3:D$1000)</f>
        <v>0</v>
      </c>
      <c r="E909" s="4" t="str">
        <f t="shared" ref="E909:F909" ca="1" si="933">IFERROR(RANK(K909,K$6:K$1004,1),"")</f>
        <v/>
      </c>
      <c r="F909" s="4" t="str">
        <f t="shared" ca="1" si="933"/>
        <v/>
      </c>
      <c r="G909" s="4" t="str">
        <f t="shared" ca="1" si="790"/>
        <v/>
      </c>
      <c r="H909" s="4" t="str">
        <f t="shared" si="791"/>
        <v/>
      </c>
      <c r="I909" s="4" t="str">
        <f t="shared" si="792"/>
        <v/>
      </c>
      <c r="J909" s="4" t="str">
        <f t="shared" si="793"/>
        <v/>
      </c>
      <c r="K909" s="25" t="str">
        <f t="shared" ca="1" si="794"/>
        <v/>
      </c>
      <c r="L909" s="21" t="str">
        <f t="shared" ca="1" si="795"/>
        <v/>
      </c>
      <c r="M909" s="21" t="str">
        <f>IF(SUMIFS('Input Sheet'!$F$3:$F$1001,'Input Sheet'!$B$3:$B$1001,$H909,'Input Sheet'!$E$3:$E$1001,M$4)=0,"",SUMIFS('Input Sheet'!$F$3:$F$1001,'Input Sheet'!$B$3:$B$1001,$H909,'Input Sheet'!$E$3:$E$1001,M$4))</f>
        <v/>
      </c>
      <c r="N909" s="21" t="str">
        <f>IF(SUMIFS('Input Sheet'!$F$3:$F$1001,'Input Sheet'!$B$3:$B$1001,$H909,'Input Sheet'!$E$3:$E$1001,N$4)=0,"",SUMIFS('Input Sheet'!$F$3:$F$1001,'Input Sheet'!$B$3:$B$1001,$H909,'Input Sheet'!$E$3:$E$1001,N$4))</f>
        <v/>
      </c>
      <c r="O909" s="21" t="str">
        <f>IF(SUMIFS('Input Sheet'!$F$3:$F$1001,'Input Sheet'!$B$3:$B$1001,$H909,'Input Sheet'!$E$3:$E$1001,O$4)=0,"",SUMIFS('Input Sheet'!$F$3:$F$1001,'Input Sheet'!$B$3:$B$1001,$H909,'Input Sheet'!$E$3:$E$1001,O$4))</f>
        <v/>
      </c>
      <c r="P909" s="21" t="str">
        <f>IF(SUMIFS('Input Sheet'!$F$3:$F$1001,'Input Sheet'!$B$3:$B$1001,$H909,'Input Sheet'!$E$3:$E$1001,P$4)=0,"",SUMIFS('Input Sheet'!$F$3:$F$1001,'Input Sheet'!$B$3:$B$1001,$H909,'Input Sheet'!$E$3:$E$1001,P$4))</f>
        <v/>
      </c>
      <c r="Q909" s="21" t="str">
        <f>IF(SUMIFS('Input Sheet'!$F$3:$F$1001,'Input Sheet'!$B$3:$B$1001,$H909,'Input Sheet'!$E$3:$E$1001,Q$4)=0,"",SUMIFS('Input Sheet'!$F$3:$F$1001,'Input Sheet'!$B$3:$B$1001,$H909,'Input Sheet'!$E$3:$E$1001,Q$4))</f>
        <v/>
      </c>
      <c r="R909" s="21" t="str">
        <f>IF(SUMIFS('Input Sheet'!$F$3:$F$1001,'Input Sheet'!$B$3:$B$1001,$H909,'Input Sheet'!$E$3:$E$1001,R$4)=0,"",SUMIFS('Input Sheet'!$F$3:$F$1001,'Input Sheet'!$B$3:$B$1001,$H909,'Input Sheet'!$E$3:$E$1001,R$4))</f>
        <v/>
      </c>
      <c r="S909" s="21" t="str">
        <f>IF(SUMIFS('Input Sheet'!$F$3:$F$1001,'Input Sheet'!$B$3:$B$1001,$H909,'Input Sheet'!$E$3:$E$1001,S$4)=0,"",SUMIFS('Input Sheet'!$F$3:$F$1001,'Input Sheet'!$B$3:$B$1001,$H909,'Input Sheet'!$E$3:$E$1001,S$4))</f>
        <v/>
      </c>
      <c r="T909" s="22">
        <v>904</v>
      </c>
    </row>
    <row r="910" spans="1:20" ht="14.25" customHeight="1" x14ac:dyDescent="0.3">
      <c r="A910" s="4" t="str">
        <f>IF('Input Sheet'!B907=0,"",'Input Sheet'!B907)</f>
        <v/>
      </c>
      <c r="B910" s="24" t="b">
        <f t="shared" si="788"/>
        <v>0</v>
      </c>
      <c r="C910" s="4">
        <f>SUMIF('Input Sheet'!B$3:B$1000,A910,'Input Sheet'!C$3:C$1000)</f>
        <v>0</v>
      </c>
      <c r="D910" s="4">
        <f>SUMIF('Input Sheet'!B$3:B$1000,A910,'Input Sheet'!D$3:D$1000)</f>
        <v>0</v>
      </c>
      <c r="E910" s="4" t="str">
        <f t="shared" ref="E910:F910" ca="1" si="934">IFERROR(RANK(K910,K$6:K$1004,1),"")</f>
        <v/>
      </c>
      <c r="F910" s="4" t="str">
        <f t="shared" ca="1" si="934"/>
        <v/>
      </c>
      <c r="G910" s="4" t="str">
        <f t="shared" ca="1" si="790"/>
        <v/>
      </c>
      <c r="H910" s="4" t="str">
        <f t="shared" si="791"/>
        <v/>
      </c>
      <c r="I910" s="4" t="str">
        <f t="shared" si="792"/>
        <v/>
      </c>
      <c r="J910" s="4" t="str">
        <f t="shared" si="793"/>
        <v/>
      </c>
      <c r="K910" s="25" t="str">
        <f t="shared" ca="1" si="794"/>
        <v/>
      </c>
      <c r="L910" s="21" t="str">
        <f t="shared" ca="1" si="795"/>
        <v/>
      </c>
      <c r="M910" s="21" t="str">
        <f>IF(SUMIFS('Input Sheet'!$F$3:$F$1001,'Input Sheet'!$B$3:$B$1001,$H910,'Input Sheet'!$E$3:$E$1001,M$4)=0,"",SUMIFS('Input Sheet'!$F$3:$F$1001,'Input Sheet'!$B$3:$B$1001,$H910,'Input Sheet'!$E$3:$E$1001,M$4))</f>
        <v/>
      </c>
      <c r="N910" s="21" t="str">
        <f>IF(SUMIFS('Input Sheet'!$F$3:$F$1001,'Input Sheet'!$B$3:$B$1001,$H910,'Input Sheet'!$E$3:$E$1001,N$4)=0,"",SUMIFS('Input Sheet'!$F$3:$F$1001,'Input Sheet'!$B$3:$B$1001,$H910,'Input Sheet'!$E$3:$E$1001,N$4))</f>
        <v/>
      </c>
      <c r="O910" s="21" t="str">
        <f>IF(SUMIFS('Input Sheet'!$F$3:$F$1001,'Input Sheet'!$B$3:$B$1001,$H910,'Input Sheet'!$E$3:$E$1001,O$4)=0,"",SUMIFS('Input Sheet'!$F$3:$F$1001,'Input Sheet'!$B$3:$B$1001,$H910,'Input Sheet'!$E$3:$E$1001,O$4))</f>
        <v/>
      </c>
      <c r="P910" s="21" t="str">
        <f>IF(SUMIFS('Input Sheet'!$F$3:$F$1001,'Input Sheet'!$B$3:$B$1001,$H910,'Input Sheet'!$E$3:$E$1001,P$4)=0,"",SUMIFS('Input Sheet'!$F$3:$F$1001,'Input Sheet'!$B$3:$B$1001,$H910,'Input Sheet'!$E$3:$E$1001,P$4))</f>
        <v/>
      </c>
      <c r="Q910" s="21" t="str">
        <f>IF(SUMIFS('Input Sheet'!$F$3:$F$1001,'Input Sheet'!$B$3:$B$1001,$H910,'Input Sheet'!$E$3:$E$1001,Q$4)=0,"",SUMIFS('Input Sheet'!$F$3:$F$1001,'Input Sheet'!$B$3:$B$1001,$H910,'Input Sheet'!$E$3:$E$1001,Q$4))</f>
        <v/>
      </c>
      <c r="R910" s="21" t="str">
        <f>IF(SUMIFS('Input Sheet'!$F$3:$F$1001,'Input Sheet'!$B$3:$B$1001,$H910,'Input Sheet'!$E$3:$E$1001,R$4)=0,"",SUMIFS('Input Sheet'!$F$3:$F$1001,'Input Sheet'!$B$3:$B$1001,$H910,'Input Sheet'!$E$3:$E$1001,R$4))</f>
        <v/>
      </c>
      <c r="S910" s="21" t="str">
        <f>IF(SUMIFS('Input Sheet'!$F$3:$F$1001,'Input Sheet'!$B$3:$B$1001,$H910,'Input Sheet'!$E$3:$E$1001,S$4)=0,"",SUMIFS('Input Sheet'!$F$3:$F$1001,'Input Sheet'!$B$3:$B$1001,$H910,'Input Sheet'!$E$3:$E$1001,S$4))</f>
        <v/>
      </c>
      <c r="T910" s="22">
        <v>905</v>
      </c>
    </row>
    <row r="911" spans="1:20" ht="14.25" customHeight="1" x14ac:dyDescent="0.3">
      <c r="A911" s="4" t="str">
        <f>IF('Input Sheet'!B908=0,"",'Input Sheet'!B908)</f>
        <v/>
      </c>
      <c r="B911" s="24" t="b">
        <f t="shared" si="788"/>
        <v>0</v>
      </c>
      <c r="C911" s="4">
        <f>SUMIF('Input Sheet'!B$3:B$1000,A911,'Input Sheet'!C$3:C$1000)</f>
        <v>0</v>
      </c>
      <c r="D911" s="4">
        <f>SUMIF('Input Sheet'!B$3:B$1000,A911,'Input Sheet'!D$3:D$1000)</f>
        <v>0</v>
      </c>
      <c r="E911" s="4" t="str">
        <f t="shared" ref="E911:F911" ca="1" si="935">IFERROR(RANK(K911,K$6:K$1004,1),"")</f>
        <v/>
      </c>
      <c r="F911" s="4" t="str">
        <f t="shared" ca="1" si="935"/>
        <v/>
      </c>
      <c r="G911" s="4" t="str">
        <f t="shared" ca="1" si="790"/>
        <v/>
      </c>
      <c r="H911" s="4" t="str">
        <f t="shared" si="791"/>
        <v/>
      </c>
      <c r="I911" s="4" t="str">
        <f t="shared" si="792"/>
        <v/>
      </c>
      <c r="J911" s="4" t="str">
        <f t="shared" si="793"/>
        <v/>
      </c>
      <c r="K911" s="25" t="str">
        <f t="shared" ca="1" si="794"/>
        <v/>
      </c>
      <c r="L911" s="21" t="str">
        <f t="shared" ca="1" si="795"/>
        <v/>
      </c>
      <c r="M911" s="21" t="str">
        <f>IF(SUMIFS('Input Sheet'!$F$3:$F$1001,'Input Sheet'!$B$3:$B$1001,$H911,'Input Sheet'!$E$3:$E$1001,M$4)=0,"",SUMIFS('Input Sheet'!$F$3:$F$1001,'Input Sheet'!$B$3:$B$1001,$H911,'Input Sheet'!$E$3:$E$1001,M$4))</f>
        <v/>
      </c>
      <c r="N911" s="21" t="str">
        <f>IF(SUMIFS('Input Sheet'!$F$3:$F$1001,'Input Sheet'!$B$3:$B$1001,$H911,'Input Sheet'!$E$3:$E$1001,N$4)=0,"",SUMIFS('Input Sheet'!$F$3:$F$1001,'Input Sheet'!$B$3:$B$1001,$H911,'Input Sheet'!$E$3:$E$1001,N$4))</f>
        <v/>
      </c>
      <c r="O911" s="21" t="str">
        <f>IF(SUMIFS('Input Sheet'!$F$3:$F$1001,'Input Sheet'!$B$3:$B$1001,$H911,'Input Sheet'!$E$3:$E$1001,O$4)=0,"",SUMIFS('Input Sheet'!$F$3:$F$1001,'Input Sheet'!$B$3:$B$1001,$H911,'Input Sheet'!$E$3:$E$1001,O$4))</f>
        <v/>
      </c>
      <c r="P911" s="21" t="str">
        <f>IF(SUMIFS('Input Sheet'!$F$3:$F$1001,'Input Sheet'!$B$3:$B$1001,$H911,'Input Sheet'!$E$3:$E$1001,P$4)=0,"",SUMIFS('Input Sheet'!$F$3:$F$1001,'Input Sheet'!$B$3:$B$1001,$H911,'Input Sheet'!$E$3:$E$1001,P$4))</f>
        <v/>
      </c>
      <c r="Q911" s="21" t="str">
        <f>IF(SUMIFS('Input Sheet'!$F$3:$F$1001,'Input Sheet'!$B$3:$B$1001,$H911,'Input Sheet'!$E$3:$E$1001,Q$4)=0,"",SUMIFS('Input Sheet'!$F$3:$F$1001,'Input Sheet'!$B$3:$B$1001,$H911,'Input Sheet'!$E$3:$E$1001,Q$4))</f>
        <v/>
      </c>
      <c r="R911" s="21" t="str">
        <f>IF(SUMIFS('Input Sheet'!$F$3:$F$1001,'Input Sheet'!$B$3:$B$1001,$H911,'Input Sheet'!$E$3:$E$1001,R$4)=0,"",SUMIFS('Input Sheet'!$F$3:$F$1001,'Input Sheet'!$B$3:$B$1001,$H911,'Input Sheet'!$E$3:$E$1001,R$4))</f>
        <v/>
      </c>
      <c r="S911" s="21" t="str">
        <f>IF(SUMIFS('Input Sheet'!$F$3:$F$1001,'Input Sheet'!$B$3:$B$1001,$H911,'Input Sheet'!$E$3:$E$1001,S$4)=0,"",SUMIFS('Input Sheet'!$F$3:$F$1001,'Input Sheet'!$B$3:$B$1001,$H911,'Input Sheet'!$E$3:$E$1001,S$4))</f>
        <v/>
      </c>
      <c r="T911" s="22">
        <v>906</v>
      </c>
    </row>
    <row r="912" spans="1:20" ht="14.25" customHeight="1" x14ac:dyDescent="0.3">
      <c r="A912" s="4" t="str">
        <f>IF('Input Sheet'!B909=0,"",'Input Sheet'!B909)</f>
        <v/>
      </c>
      <c r="B912" s="24" t="b">
        <f t="shared" si="788"/>
        <v>0</v>
      </c>
      <c r="C912" s="4">
        <f>SUMIF('Input Sheet'!B$3:B$1000,A912,'Input Sheet'!C$3:C$1000)</f>
        <v>0</v>
      </c>
      <c r="D912" s="4">
        <f>SUMIF('Input Sheet'!B$3:B$1000,A912,'Input Sheet'!D$3:D$1000)</f>
        <v>0</v>
      </c>
      <c r="E912" s="4" t="str">
        <f t="shared" ref="E912:F912" ca="1" si="936">IFERROR(RANK(K912,K$6:K$1004,1),"")</f>
        <v/>
      </c>
      <c r="F912" s="4" t="str">
        <f t="shared" ca="1" si="936"/>
        <v/>
      </c>
      <c r="G912" s="4" t="str">
        <f t="shared" ca="1" si="790"/>
        <v/>
      </c>
      <c r="H912" s="4" t="str">
        <f t="shared" si="791"/>
        <v/>
      </c>
      <c r="I912" s="4" t="str">
        <f t="shared" si="792"/>
        <v/>
      </c>
      <c r="J912" s="4" t="str">
        <f t="shared" si="793"/>
        <v/>
      </c>
      <c r="K912" s="25" t="str">
        <f t="shared" ca="1" si="794"/>
        <v/>
      </c>
      <c r="L912" s="21" t="str">
        <f t="shared" ca="1" si="795"/>
        <v/>
      </c>
      <c r="M912" s="21" t="str">
        <f>IF(SUMIFS('Input Sheet'!$F$3:$F$1001,'Input Sheet'!$B$3:$B$1001,$H912,'Input Sheet'!$E$3:$E$1001,M$4)=0,"",SUMIFS('Input Sheet'!$F$3:$F$1001,'Input Sheet'!$B$3:$B$1001,$H912,'Input Sheet'!$E$3:$E$1001,M$4))</f>
        <v/>
      </c>
      <c r="N912" s="21" t="str">
        <f>IF(SUMIFS('Input Sheet'!$F$3:$F$1001,'Input Sheet'!$B$3:$B$1001,$H912,'Input Sheet'!$E$3:$E$1001,N$4)=0,"",SUMIFS('Input Sheet'!$F$3:$F$1001,'Input Sheet'!$B$3:$B$1001,$H912,'Input Sheet'!$E$3:$E$1001,N$4))</f>
        <v/>
      </c>
      <c r="O912" s="21" t="str">
        <f>IF(SUMIFS('Input Sheet'!$F$3:$F$1001,'Input Sheet'!$B$3:$B$1001,$H912,'Input Sheet'!$E$3:$E$1001,O$4)=0,"",SUMIFS('Input Sheet'!$F$3:$F$1001,'Input Sheet'!$B$3:$B$1001,$H912,'Input Sheet'!$E$3:$E$1001,O$4))</f>
        <v/>
      </c>
      <c r="P912" s="21" t="str">
        <f>IF(SUMIFS('Input Sheet'!$F$3:$F$1001,'Input Sheet'!$B$3:$B$1001,$H912,'Input Sheet'!$E$3:$E$1001,P$4)=0,"",SUMIFS('Input Sheet'!$F$3:$F$1001,'Input Sheet'!$B$3:$B$1001,$H912,'Input Sheet'!$E$3:$E$1001,P$4))</f>
        <v/>
      </c>
      <c r="Q912" s="21" t="str">
        <f>IF(SUMIFS('Input Sheet'!$F$3:$F$1001,'Input Sheet'!$B$3:$B$1001,$H912,'Input Sheet'!$E$3:$E$1001,Q$4)=0,"",SUMIFS('Input Sheet'!$F$3:$F$1001,'Input Sheet'!$B$3:$B$1001,$H912,'Input Sheet'!$E$3:$E$1001,Q$4))</f>
        <v/>
      </c>
      <c r="R912" s="21" t="str">
        <f>IF(SUMIFS('Input Sheet'!$F$3:$F$1001,'Input Sheet'!$B$3:$B$1001,$H912,'Input Sheet'!$E$3:$E$1001,R$4)=0,"",SUMIFS('Input Sheet'!$F$3:$F$1001,'Input Sheet'!$B$3:$B$1001,$H912,'Input Sheet'!$E$3:$E$1001,R$4))</f>
        <v/>
      </c>
      <c r="S912" s="21" t="str">
        <f>IF(SUMIFS('Input Sheet'!$F$3:$F$1001,'Input Sheet'!$B$3:$B$1001,$H912,'Input Sheet'!$E$3:$E$1001,S$4)=0,"",SUMIFS('Input Sheet'!$F$3:$F$1001,'Input Sheet'!$B$3:$B$1001,$H912,'Input Sheet'!$E$3:$E$1001,S$4))</f>
        <v/>
      </c>
      <c r="T912" s="22">
        <v>907</v>
      </c>
    </row>
    <row r="913" spans="1:20" ht="14.25" customHeight="1" x14ac:dyDescent="0.3">
      <c r="A913" s="4" t="str">
        <f>IF('Input Sheet'!B910=0,"",'Input Sheet'!B910)</f>
        <v/>
      </c>
      <c r="B913" s="24" t="b">
        <f t="shared" si="788"/>
        <v>0</v>
      </c>
      <c r="C913" s="4">
        <f>SUMIF('Input Sheet'!B$3:B$1000,A913,'Input Sheet'!C$3:C$1000)</f>
        <v>0</v>
      </c>
      <c r="D913" s="4">
        <f>SUMIF('Input Sheet'!B$3:B$1000,A913,'Input Sheet'!D$3:D$1000)</f>
        <v>0</v>
      </c>
      <c r="E913" s="4" t="str">
        <f t="shared" ref="E913:F913" ca="1" si="937">IFERROR(RANK(K913,K$6:K$1004,1),"")</f>
        <v/>
      </c>
      <c r="F913" s="4" t="str">
        <f t="shared" ca="1" si="937"/>
        <v/>
      </c>
      <c r="G913" s="4" t="str">
        <f t="shared" ca="1" si="790"/>
        <v/>
      </c>
      <c r="H913" s="4" t="str">
        <f t="shared" si="791"/>
        <v/>
      </c>
      <c r="I913" s="4" t="str">
        <f t="shared" si="792"/>
        <v/>
      </c>
      <c r="J913" s="4" t="str">
        <f t="shared" si="793"/>
        <v/>
      </c>
      <c r="K913" s="25" t="str">
        <f t="shared" ca="1" si="794"/>
        <v/>
      </c>
      <c r="L913" s="21" t="str">
        <f t="shared" ca="1" si="795"/>
        <v/>
      </c>
      <c r="M913" s="21" t="str">
        <f>IF(SUMIFS('Input Sheet'!$F$3:$F$1001,'Input Sheet'!$B$3:$B$1001,$H913,'Input Sheet'!$E$3:$E$1001,M$4)=0,"",SUMIFS('Input Sheet'!$F$3:$F$1001,'Input Sheet'!$B$3:$B$1001,$H913,'Input Sheet'!$E$3:$E$1001,M$4))</f>
        <v/>
      </c>
      <c r="N913" s="21" t="str">
        <f>IF(SUMIFS('Input Sheet'!$F$3:$F$1001,'Input Sheet'!$B$3:$B$1001,$H913,'Input Sheet'!$E$3:$E$1001,N$4)=0,"",SUMIFS('Input Sheet'!$F$3:$F$1001,'Input Sheet'!$B$3:$B$1001,$H913,'Input Sheet'!$E$3:$E$1001,N$4))</f>
        <v/>
      </c>
      <c r="O913" s="21" t="str">
        <f>IF(SUMIFS('Input Sheet'!$F$3:$F$1001,'Input Sheet'!$B$3:$B$1001,$H913,'Input Sheet'!$E$3:$E$1001,O$4)=0,"",SUMIFS('Input Sheet'!$F$3:$F$1001,'Input Sheet'!$B$3:$B$1001,$H913,'Input Sheet'!$E$3:$E$1001,O$4))</f>
        <v/>
      </c>
      <c r="P913" s="21" t="str">
        <f>IF(SUMIFS('Input Sheet'!$F$3:$F$1001,'Input Sheet'!$B$3:$B$1001,$H913,'Input Sheet'!$E$3:$E$1001,P$4)=0,"",SUMIFS('Input Sheet'!$F$3:$F$1001,'Input Sheet'!$B$3:$B$1001,$H913,'Input Sheet'!$E$3:$E$1001,P$4))</f>
        <v/>
      </c>
      <c r="Q913" s="21" t="str">
        <f>IF(SUMIFS('Input Sheet'!$F$3:$F$1001,'Input Sheet'!$B$3:$B$1001,$H913,'Input Sheet'!$E$3:$E$1001,Q$4)=0,"",SUMIFS('Input Sheet'!$F$3:$F$1001,'Input Sheet'!$B$3:$B$1001,$H913,'Input Sheet'!$E$3:$E$1001,Q$4))</f>
        <v/>
      </c>
      <c r="R913" s="21" t="str">
        <f>IF(SUMIFS('Input Sheet'!$F$3:$F$1001,'Input Sheet'!$B$3:$B$1001,$H913,'Input Sheet'!$E$3:$E$1001,R$4)=0,"",SUMIFS('Input Sheet'!$F$3:$F$1001,'Input Sheet'!$B$3:$B$1001,$H913,'Input Sheet'!$E$3:$E$1001,R$4))</f>
        <v/>
      </c>
      <c r="S913" s="21" t="str">
        <f>IF(SUMIFS('Input Sheet'!$F$3:$F$1001,'Input Sheet'!$B$3:$B$1001,$H913,'Input Sheet'!$E$3:$E$1001,S$4)=0,"",SUMIFS('Input Sheet'!$F$3:$F$1001,'Input Sheet'!$B$3:$B$1001,$H913,'Input Sheet'!$E$3:$E$1001,S$4))</f>
        <v/>
      </c>
      <c r="T913" s="22">
        <v>908</v>
      </c>
    </row>
    <row r="914" spans="1:20" ht="14.25" customHeight="1" x14ac:dyDescent="0.3">
      <c r="A914" s="4" t="str">
        <f>IF('Input Sheet'!B911=0,"",'Input Sheet'!B911)</f>
        <v/>
      </c>
      <c r="B914" s="24" t="b">
        <f t="shared" si="788"/>
        <v>0</v>
      </c>
      <c r="C914" s="4">
        <f>SUMIF('Input Sheet'!B$3:B$1000,A914,'Input Sheet'!C$3:C$1000)</f>
        <v>0</v>
      </c>
      <c r="D914" s="4">
        <f>SUMIF('Input Sheet'!B$3:B$1000,A914,'Input Sheet'!D$3:D$1000)</f>
        <v>0</v>
      </c>
      <c r="E914" s="4" t="str">
        <f t="shared" ref="E914:F914" ca="1" si="938">IFERROR(RANK(K914,K$6:K$1004,1),"")</f>
        <v/>
      </c>
      <c r="F914" s="4" t="str">
        <f t="shared" ca="1" si="938"/>
        <v/>
      </c>
      <c r="G914" s="4" t="str">
        <f t="shared" ca="1" si="790"/>
        <v/>
      </c>
      <c r="H914" s="4" t="str">
        <f t="shared" si="791"/>
        <v/>
      </c>
      <c r="I914" s="4" t="str">
        <f t="shared" si="792"/>
        <v/>
      </c>
      <c r="J914" s="4" t="str">
        <f t="shared" si="793"/>
        <v/>
      </c>
      <c r="K914" s="25" t="str">
        <f t="shared" ca="1" si="794"/>
        <v/>
      </c>
      <c r="L914" s="21" t="str">
        <f t="shared" ca="1" si="795"/>
        <v/>
      </c>
      <c r="M914" s="21" t="str">
        <f>IF(SUMIFS('Input Sheet'!$F$3:$F$1001,'Input Sheet'!$B$3:$B$1001,$H914,'Input Sheet'!$E$3:$E$1001,M$4)=0,"",SUMIFS('Input Sheet'!$F$3:$F$1001,'Input Sheet'!$B$3:$B$1001,$H914,'Input Sheet'!$E$3:$E$1001,M$4))</f>
        <v/>
      </c>
      <c r="N914" s="21" t="str">
        <f>IF(SUMIFS('Input Sheet'!$F$3:$F$1001,'Input Sheet'!$B$3:$B$1001,$H914,'Input Sheet'!$E$3:$E$1001,N$4)=0,"",SUMIFS('Input Sheet'!$F$3:$F$1001,'Input Sheet'!$B$3:$B$1001,$H914,'Input Sheet'!$E$3:$E$1001,N$4))</f>
        <v/>
      </c>
      <c r="O914" s="21" t="str">
        <f>IF(SUMIFS('Input Sheet'!$F$3:$F$1001,'Input Sheet'!$B$3:$B$1001,$H914,'Input Sheet'!$E$3:$E$1001,O$4)=0,"",SUMIFS('Input Sheet'!$F$3:$F$1001,'Input Sheet'!$B$3:$B$1001,$H914,'Input Sheet'!$E$3:$E$1001,O$4))</f>
        <v/>
      </c>
      <c r="P914" s="21" t="str">
        <f>IF(SUMIFS('Input Sheet'!$F$3:$F$1001,'Input Sheet'!$B$3:$B$1001,$H914,'Input Sheet'!$E$3:$E$1001,P$4)=0,"",SUMIFS('Input Sheet'!$F$3:$F$1001,'Input Sheet'!$B$3:$B$1001,$H914,'Input Sheet'!$E$3:$E$1001,P$4))</f>
        <v/>
      </c>
      <c r="Q914" s="21" t="str">
        <f>IF(SUMIFS('Input Sheet'!$F$3:$F$1001,'Input Sheet'!$B$3:$B$1001,$H914,'Input Sheet'!$E$3:$E$1001,Q$4)=0,"",SUMIFS('Input Sheet'!$F$3:$F$1001,'Input Sheet'!$B$3:$B$1001,$H914,'Input Sheet'!$E$3:$E$1001,Q$4))</f>
        <v/>
      </c>
      <c r="R914" s="21" t="str">
        <f>IF(SUMIFS('Input Sheet'!$F$3:$F$1001,'Input Sheet'!$B$3:$B$1001,$H914,'Input Sheet'!$E$3:$E$1001,R$4)=0,"",SUMIFS('Input Sheet'!$F$3:$F$1001,'Input Sheet'!$B$3:$B$1001,$H914,'Input Sheet'!$E$3:$E$1001,R$4))</f>
        <v/>
      </c>
      <c r="S914" s="21" t="str">
        <f>IF(SUMIFS('Input Sheet'!$F$3:$F$1001,'Input Sheet'!$B$3:$B$1001,$H914,'Input Sheet'!$E$3:$E$1001,S$4)=0,"",SUMIFS('Input Sheet'!$F$3:$F$1001,'Input Sheet'!$B$3:$B$1001,$H914,'Input Sheet'!$E$3:$E$1001,S$4))</f>
        <v/>
      </c>
      <c r="T914" s="22">
        <v>909</v>
      </c>
    </row>
    <row r="915" spans="1:20" ht="14.25" customHeight="1" x14ac:dyDescent="0.3">
      <c r="A915" s="4" t="str">
        <f>IF('Input Sheet'!B912=0,"",'Input Sheet'!B912)</f>
        <v/>
      </c>
      <c r="B915" s="24" t="b">
        <f t="shared" si="788"/>
        <v>0</v>
      </c>
      <c r="C915" s="4">
        <f>SUMIF('Input Sheet'!B$3:B$1000,A915,'Input Sheet'!C$3:C$1000)</f>
        <v>0</v>
      </c>
      <c r="D915" s="4">
        <f>SUMIF('Input Sheet'!B$3:B$1000,A915,'Input Sheet'!D$3:D$1000)</f>
        <v>0</v>
      </c>
      <c r="E915" s="4" t="str">
        <f t="shared" ref="E915:F915" ca="1" si="939">IFERROR(RANK(K915,K$6:K$1004,1),"")</f>
        <v/>
      </c>
      <c r="F915" s="4" t="str">
        <f t="shared" ca="1" si="939"/>
        <v/>
      </c>
      <c r="G915" s="4" t="str">
        <f t="shared" ca="1" si="790"/>
        <v/>
      </c>
      <c r="H915" s="4" t="str">
        <f t="shared" si="791"/>
        <v/>
      </c>
      <c r="I915" s="4" t="str">
        <f t="shared" si="792"/>
        <v/>
      </c>
      <c r="J915" s="4" t="str">
        <f t="shared" si="793"/>
        <v/>
      </c>
      <c r="K915" s="25" t="str">
        <f t="shared" ca="1" si="794"/>
        <v/>
      </c>
      <c r="L915" s="21" t="str">
        <f t="shared" ca="1" si="795"/>
        <v/>
      </c>
      <c r="M915" s="21" t="str">
        <f>IF(SUMIFS('Input Sheet'!$F$3:$F$1001,'Input Sheet'!$B$3:$B$1001,$H915,'Input Sheet'!$E$3:$E$1001,M$4)=0,"",SUMIFS('Input Sheet'!$F$3:$F$1001,'Input Sheet'!$B$3:$B$1001,$H915,'Input Sheet'!$E$3:$E$1001,M$4))</f>
        <v/>
      </c>
      <c r="N915" s="21" t="str">
        <f>IF(SUMIFS('Input Sheet'!$F$3:$F$1001,'Input Sheet'!$B$3:$B$1001,$H915,'Input Sheet'!$E$3:$E$1001,N$4)=0,"",SUMIFS('Input Sheet'!$F$3:$F$1001,'Input Sheet'!$B$3:$B$1001,$H915,'Input Sheet'!$E$3:$E$1001,N$4))</f>
        <v/>
      </c>
      <c r="O915" s="21" t="str">
        <f>IF(SUMIFS('Input Sheet'!$F$3:$F$1001,'Input Sheet'!$B$3:$B$1001,$H915,'Input Sheet'!$E$3:$E$1001,O$4)=0,"",SUMIFS('Input Sheet'!$F$3:$F$1001,'Input Sheet'!$B$3:$B$1001,$H915,'Input Sheet'!$E$3:$E$1001,O$4))</f>
        <v/>
      </c>
      <c r="P915" s="21" t="str">
        <f>IF(SUMIFS('Input Sheet'!$F$3:$F$1001,'Input Sheet'!$B$3:$B$1001,$H915,'Input Sheet'!$E$3:$E$1001,P$4)=0,"",SUMIFS('Input Sheet'!$F$3:$F$1001,'Input Sheet'!$B$3:$B$1001,$H915,'Input Sheet'!$E$3:$E$1001,P$4))</f>
        <v/>
      </c>
      <c r="Q915" s="21" t="str">
        <f>IF(SUMIFS('Input Sheet'!$F$3:$F$1001,'Input Sheet'!$B$3:$B$1001,$H915,'Input Sheet'!$E$3:$E$1001,Q$4)=0,"",SUMIFS('Input Sheet'!$F$3:$F$1001,'Input Sheet'!$B$3:$B$1001,$H915,'Input Sheet'!$E$3:$E$1001,Q$4))</f>
        <v/>
      </c>
      <c r="R915" s="21" t="str">
        <f>IF(SUMIFS('Input Sheet'!$F$3:$F$1001,'Input Sheet'!$B$3:$B$1001,$H915,'Input Sheet'!$E$3:$E$1001,R$4)=0,"",SUMIFS('Input Sheet'!$F$3:$F$1001,'Input Sheet'!$B$3:$B$1001,$H915,'Input Sheet'!$E$3:$E$1001,R$4))</f>
        <v/>
      </c>
      <c r="S915" s="21" t="str">
        <f>IF(SUMIFS('Input Sheet'!$F$3:$F$1001,'Input Sheet'!$B$3:$B$1001,$H915,'Input Sheet'!$E$3:$E$1001,S$4)=0,"",SUMIFS('Input Sheet'!$F$3:$F$1001,'Input Sheet'!$B$3:$B$1001,$H915,'Input Sheet'!$E$3:$E$1001,S$4))</f>
        <v/>
      </c>
      <c r="T915" s="22">
        <v>910</v>
      </c>
    </row>
    <row r="916" spans="1:20" ht="14.25" customHeight="1" x14ac:dyDescent="0.3">
      <c r="A916" s="4" t="str">
        <f>IF('Input Sheet'!B913=0,"",'Input Sheet'!B913)</f>
        <v/>
      </c>
      <c r="B916" s="24" t="b">
        <f t="shared" si="788"/>
        <v>0</v>
      </c>
      <c r="C916" s="4">
        <f>SUMIF('Input Sheet'!B$3:B$1000,A916,'Input Sheet'!C$3:C$1000)</f>
        <v>0</v>
      </c>
      <c r="D916" s="4">
        <f>SUMIF('Input Sheet'!B$3:B$1000,A916,'Input Sheet'!D$3:D$1000)</f>
        <v>0</v>
      </c>
      <c r="E916" s="4" t="str">
        <f t="shared" ref="E916:F916" ca="1" si="940">IFERROR(RANK(K916,K$6:K$1004,1),"")</f>
        <v/>
      </c>
      <c r="F916" s="4" t="str">
        <f t="shared" ca="1" si="940"/>
        <v/>
      </c>
      <c r="G916" s="4" t="str">
        <f t="shared" ca="1" si="790"/>
        <v/>
      </c>
      <c r="H916" s="4" t="str">
        <f t="shared" si="791"/>
        <v/>
      </c>
      <c r="I916" s="4" t="str">
        <f t="shared" si="792"/>
        <v/>
      </c>
      <c r="J916" s="4" t="str">
        <f t="shared" si="793"/>
        <v/>
      </c>
      <c r="K916" s="25" t="str">
        <f t="shared" ca="1" si="794"/>
        <v/>
      </c>
      <c r="L916" s="21" t="str">
        <f t="shared" ca="1" si="795"/>
        <v/>
      </c>
      <c r="M916" s="21" t="str">
        <f>IF(SUMIFS('Input Sheet'!$F$3:$F$1001,'Input Sheet'!$B$3:$B$1001,$H916,'Input Sheet'!$E$3:$E$1001,M$4)=0,"",SUMIFS('Input Sheet'!$F$3:$F$1001,'Input Sheet'!$B$3:$B$1001,$H916,'Input Sheet'!$E$3:$E$1001,M$4))</f>
        <v/>
      </c>
      <c r="N916" s="21" t="str">
        <f>IF(SUMIFS('Input Sheet'!$F$3:$F$1001,'Input Sheet'!$B$3:$B$1001,$H916,'Input Sheet'!$E$3:$E$1001,N$4)=0,"",SUMIFS('Input Sheet'!$F$3:$F$1001,'Input Sheet'!$B$3:$B$1001,$H916,'Input Sheet'!$E$3:$E$1001,N$4))</f>
        <v/>
      </c>
      <c r="O916" s="21" t="str">
        <f>IF(SUMIFS('Input Sheet'!$F$3:$F$1001,'Input Sheet'!$B$3:$B$1001,$H916,'Input Sheet'!$E$3:$E$1001,O$4)=0,"",SUMIFS('Input Sheet'!$F$3:$F$1001,'Input Sheet'!$B$3:$B$1001,$H916,'Input Sheet'!$E$3:$E$1001,O$4))</f>
        <v/>
      </c>
      <c r="P916" s="21" t="str">
        <f>IF(SUMIFS('Input Sheet'!$F$3:$F$1001,'Input Sheet'!$B$3:$B$1001,$H916,'Input Sheet'!$E$3:$E$1001,P$4)=0,"",SUMIFS('Input Sheet'!$F$3:$F$1001,'Input Sheet'!$B$3:$B$1001,$H916,'Input Sheet'!$E$3:$E$1001,P$4))</f>
        <v/>
      </c>
      <c r="Q916" s="21" t="str">
        <f>IF(SUMIFS('Input Sheet'!$F$3:$F$1001,'Input Sheet'!$B$3:$B$1001,$H916,'Input Sheet'!$E$3:$E$1001,Q$4)=0,"",SUMIFS('Input Sheet'!$F$3:$F$1001,'Input Sheet'!$B$3:$B$1001,$H916,'Input Sheet'!$E$3:$E$1001,Q$4))</f>
        <v/>
      </c>
      <c r="R916" s="21" t="str">
        <f>IF(SUMIFS('Input Sheet'!$F$3:$F$1001,'Input Sheet'!$B$3:$B$1001,$H916,'Input Sheet'!$E$3:$E$1001,R$4)=0,"",SUMIFS('Input Sheet'!$F$3:$F$1001,'Input Sheet'!$B$3:$B$1001,$H916,'Input Sheet'!$E$3:$E$1001,R$4))</f>
        <v/>
      </c>
      <c r="S916" s="21" t="str">
        <f>IF(SUMIFS('Input Sheet'!$F$3:$F$1001,'Input Sheet'!$B$3:$B$1001,$H916,'Input Sheet'!$E$3:$E$1001,S$4)=0,"",SUMIFS('Input Sheet'!$F$3:$F$1001,'Input Sheet'!$B$3:$B$1001,$H916,'Input Sheet'!$E$3:$E$1001,S$4))</f>
        <v/>
      </c>
      <c r="T916" s="22">
        <v>911</v>
      </c>
    </row>
    <row r="917" spans="1:20" ht="14.25" customHeight="1" x14ac:dyDescent="0.3">
      <c r="A917" s="4" t="str">
        <f>IF('Input Sheet'!B914=0,"",'Input Sheet'!B914)</f>
        <v/>
      </c>
      <c r="B917" s="24" t="b">
        <f t="shared" si="788"/>
        <v>0</v>
      </c>
      <c r="C917" s="4">
        <f>SUMIF('Input Sheet'!B$3:B$1000,A917,'Input Sheet'!C$3:C$1000)</f>
        <v>0</v>
      </c>
      <c r="D917" s="4">
        <f>SUMIF('Input Sheet'!B$3:B$1000,A917,'Input Sheet'!D$3:D$1000)</f>
        <v>0</v>
      </c>
      <c r="E917" s="4" t="str">
        <f t="shared" ref="E917:F917" ca="1" si="941">IFERROR(RANK(K917,K$6:K$1004,1),"")</f>
        <v/>
      </c>
      <c r="F917" s="4" t="str">
        <f t="shared" ca="1" si="941"/>
        <v/>
      </c>
      <c r="G917" s="4" t="str">
        <f t="shared" ca="1" si="790"/>
        <v/>
      </c>
      <c r="H917" s="4" t="str">
        <f t="shared" si="791"/>
        <v/>
      </c>
      <c r="I917" s="4" t="str">
        <f t="shared" si="792"/>
        <v/>
      </c>
      <c r="J917" s="4" t="str">
        <f t="shared" si="793"/>
        <v/>
      </c>
      <c r="K917" s="25" t="str">
        <f t="shared" ca="1" si="794"/>
        <v/>
      </c>
      <c r="L917" s="21" t="str">
        <f t="shared" ca="1" si="795"/>
        <v/>
      </c>
      <c r="M917" s="21" t="str">
        <f>IF(SUMIFS('Input Sheet'!$F$3:$F$1001,'Input Sheet'!$B$3:$B$1001,$H917,'Input Sheet'!$E$3:$E$1001,M$4)=0,"",SUMIFS('Input Sheet'!$F$3:$F$1001,'Input Sheet'!$B$3:$B$1001,$H917,'Input Sheet'!$E$3:$E$1001,M$4))</f>
        <v/>
      </c>
      <c r="N917" s="21" t="str">
        <f>IF(SUMIFS('Input Sheet'!$F$3:$F$1001,'Input Sheet'!$B$3:$B$1001,$H917,'Input Sheet'!$E$3:$E$1001,N$4)=0,"",SUMIFS('Input Sheet'!$F$3:$F$1001,'Input Sheet'!$B$3:$B$1001,$H917,'Input Sheet'!$E$3:$E$1001,N$4))</f>
        <v/>
      </c>
      <c r="O917" s="21" t="str">
        <f>IF(SUMIFS('Input Sheet'!$F$3:$F$1001,'Input Sheet'!$B$3:$B$1001,$H917,'Input Sheet'!$E$3:$E$1001,O$4)=0,"",SUMIFS('Input Sheet'!$F$3:$F$1001,'Input Sheet'!$B$3:$B$1001,$H917,'Input Sheet'!$E$3:$E$1001,O$4))</f>
        <v/>
      </c>
      <c r="P917" s="21" t="str">
        <f>IF(SUMIFS('Input Sheet'!$F$3:$F$1001,'Input Sheet'!$B$3:$B$1001,$H917,'Input Sheet'!$E$3:$E$1001,P$4)=0,"",SUMIFS('Input Sheet'!$F$3:$F$1001,'Input Sheet'!$B$3:$B$1001,$H917,'Input Sheet'!$E$3:$E$1001,P$4))</f>
        <v/>
      </c>
      <c r="Q917" s="21" t="str">
        <f>IF(SUMIFS('Input Sheet'!$F$3:$F$1001,'Input Sheet'!$B$3:$B$1001,$H917,'Input Sheet'!$E$3:$E$1001,Q$4)=0,"",SUMIFS('Input Sheet'!$F$3:$F$1001,'Input Sheet'!$B$3:$B$1001,$H917,'Input Sheet'!$E$3:$E$1001,Q$4))</f>
        <v/>
      </c>
      <c r="R917" s="21" t="str">
        <f>IF(SUMIFS('Input Sheet'!$F$3:$F$1001,'Input Sheet'!$B$3:$B$1001,$H917,'Input Sheet'!$E$3:$E$1001,R$4)=0,"",SUMIFS('Input Sheet'!$F$3:$F$1001,'Input Sheet'!$B$3:$B$1001,$H917,'Input Sheet'!$E$3:$E$1001,R$4))</f>
        <v/>
      </c>
      <c r="S917" s="21" t="str">
        <f>IF(SUMIFS('Input Sheet'!$F$3:$F$1001,'Input Sheet'!$B$3:$B$1001,$H917,'Input Sheet'!$E$3:$E$1001,S$4)=0,"",SUMIFS('Input Sheet'!$F$3:$F$1001,'Input Sheet'!$B$3:$B$1001,$H917,'Input Sheet'!$E$3:$E$1001,S$4))</f>
        <v/>
      </c>
      <c r="T917" s="22">
        <v>912</v>
      </c>
    </row>
    <row r="918" spans="1:20" ht="14.25" customHeight="1" x14ac:dyDescent="0.3">
      <c r="A918" s="4" t="str">
        <f>IF('Input Sheet'!B915=0,"",'Input Sheet'!B915)</f>
        <v/>
      </c>
      <c r="B918" s="24" t="b">
        <f t="shared" si="788"/>
        <v>0</v>
      </c>
      <c r="C918" s="4">
        <f>SUMIF('Input Sheet'!B$3:B$1000,A918,'Input Sheet'!C$3:C$1000)</f>
        <v>0</v>
      </c>
      <c r="D918" s="4">
        <f>SUMIF('Input Sheet'!B$3:B$1000,A918,'Input Sheet'!D$3:D$1000)</f>
        <v>0</v>
      </c>
      <c r="E918" s="4" t="str">
        <f t="shared" ref="E918:F918" ca="1" si="942">IFERROR(RANK(K918,K$6:K$1004,1),"")</f>
        <v/>
      </c>
      <c r="F918" s="4" t="str">
        <f t="shared" ca="1" si="942"/>
        <v/>
      </c>
      <c r="G918" s="4" t="str">
        <f t="shared" ca="1" si="790"/>
        <v/>
      </c>
      <c r="H918" s="4" t="str">
        <f t="shared" si="791"/>
        <v/>
      </c>
      <c r="I918" s="4" t="str">
        <f t="shared" si="792"/>
        <v/>
      </c>
      <c r="J918" s="4" t="str">
        <f t="shared" si="793"/>
        <v/>
      </c>
      <c r="K918" s="25" t="str">
        <f t="shared" ca="1" si="794"/>
        <v/>
      </c>
      <c r="L918" s="21" t="str">
        <f t="shared" ca="1" si="795"/>
        <v/>
      </c>
      <c r="M918" s="21" t="str">
        <f>IF(SUMIFS('Input Sheet'!$F$3:$F$1001,'Input Sheet'!$B$3:$B$1001,$H918,'Input Sheet'!$E$3:$E$1001,M$4)=0,"",SUMIFS('Input Sheet'!$F$3:$F$1001,'Input Sheet'!$B$3:$B$1001,$H918,'Input Sheet'!$E$3:$E$1001,M$4))</f>
        <v/>
      </c>
      <c r="N918" s="21" t="str">
        <f>IF(SUMIFS('Input Sheet'!$F$3:$F$1001,'Input Sheet'!$B$3:$B$1001,$H918,'Input Sheet'!$E$3:$E$1001,N$4)=0,"",SUMIFS('Input Sheet'!$F$3:$F$1001,'Input Sheet'!$B$3:$B$1001,$H918,'Input Sheet'!$E$3:$E$1001,N$4))</f>
        <v/>
      </c>
      <c r="O918" s="21" t="str">
        <f>IF(SUMIFS('Input Sheet'!$F$3:$F$1001,'Input Sheet'!$B$3:$B$1001,$H918,'Input Sheet'!$E$3:$E$1001,O$4)=0,"",SUMIFS('Input Sheet'!$F$3:$F$1001,'Input Sheet'!$B$3:$B$1001,$H918,'Input Sheet'!$E$3:$E$1001,O$4))</f>
        <v/>
      </c>
      <c r="P918" s="21" t="str">
        <f>IF(SUMIFS('Input Sheet'!$F$3:$F$1001,'Input Sheet'!$B$3:$B$1001,$H918,'Input Sheet'!$E$3:$E$1001,P$4)=0,"",SUMIFS('Input Sheet'!$F$3:$F$1001,'Input Sheet'!$B$3:$B$1001,$H918,'Input Sheet'!$E$3:$E$1001,P$4))</f>
        <v/>
      </c>
      <c r="Q918" s="21" t="str">
        <f>IF(SUMIFS('Input Sheet'!$F$3:$F$1001,'Input Sheet'!$B$3:$B$1001,$H918,'Input Sheet'!$E$3:$E$1001,Q$4)=0,"",SUMIFS('Input Sheet'!$F$3:$F$1001,'Input Sheet'!$B$3:$B$1001,$H918,'Input Sheet'!$E$3:$E$1001,Q$4))</f>
        <v/>
      </c>
      <c r="R918" s="21" t="str">
        <f>IF(SUMIFS('Input Sheet'!$F$3:$F$1001,'Input Sheet'!$B$3:$B$1001,$H918,'Input Sheet'!$E$3:$E$1001,R$4)=0,"",SUMIFS('Input Sheet'!$F$3:$F$1001,'Input Sheet'!$B$3:$B$1001,$H918,'Input Sheet'!$E$3:$E$1001,R$4))</f>
        <v/>
      </c>
      <c r="S918" s="21" t="str">
        <f>IF(SUMIFS('Input Sheet'!$F$3:$F$1001,'Input Sheet'!$B$3:$B$1001,$H918,'Input Sheet'!$E$3:$E$1001,S$4)=0,"",SUMIFS('Input Sheet'!$F$3:$F$1001,'Input Sheet'!$B$3:$B$1001,$H918,'Input Sheet'!$E$3:$E$1001,S$4))</f>
        <v/>
      </c>
      <c r="T918" s="22">
        <v>913</v>
      </c>
    </row>
    <row r="919" spans="1:20" ht="14.25" customHeight="1" x14ac:dyDescent="0.3">
      <c r="A919" s="4" t="str">
        <f>IF('Input Sheet'!B916=0,"",'Input Sheet'!B916)</f>
        <v/>
      </c>
      <c r="B919" s="24" t="b">
        <f t="shared" si="788"/>
        <v>0</v>
      </c>
      <c r="C919" s="4">
        <f>SUMIF('Input Sheet'!B$3:B$1000,A919,'Input Sheet'!C$3:C$1000)</f>
        <v>0</v>
      </c>
      <c r="D919" s="4">
        <f>SUMIF('Input Sheet'!B$3:B$1000,A919,'Input Sheet'!D$3:D$1000)</f>
        <v>0</v>
      </c>
      <c r="E919" s="4" t="str">
        <f t="shared" ref="E919:F919" ca="1" si="943">IFERROR(RANK(K919,K$6:K$1004,1),"")</f>
        <v/>
      </c>
      <c r="F919" s="4" t="str">
        <f t="shared" ca="1" si="943"/>
        <v/>
      </c>
      <c r="G919" s="4" t="str">
        <f t="shared" ca="1" si="790"/>
        <v/>
      </c>
      <c r="H919" s="4" t="str">
        <f t="shared" si="791"/>
        <v/>
      </c>
      <c r="I919" s="4" t="str">
        <f t="shared" si="792"/>
        <v/>
      </c>
      <c r="J919" s="4" t="str">
        <f t="shared" si="793"/>
        <v/>
      </c>
      <c r="K919" s="25" t="str">
        <f t="shared" ca="1" si="794"/>
        <v/>
      </c>
      <c r="L919" s="21" t="str">
        <f t="shared" ca="1" si="795"/>
        <v/>
      </c>
      <c r="M919" s="21" t="str">
        <f>IF(SUMIFS('Input Sheet'!$F$3:$F$1001,'Input Sheet'!$B$3:$B$1001,$H919,'Input Sheet'!$E$3:$E$1001,M$4)=0,"",SUMIFS('Input Sheet'!$F$3:$F$1001,'Input Sheet'!$B$3:$B$1001,$H919,'Input Sheet'!$E$3:$E$1001,M$4))</f>
        <v/>
      </c>
      <c r="N919" s="21" t="str">
        <f>IF(SUMIFS('Input Sheet'!$F$3:$F$1001,'Input Sheet'!$B$3:$B$1001,$H919,'Input Sheet'!$E$3:$E$1001,N$4)=0,"",SUMIFS('Input Sheet'!$F$3:$F$1001,'Input Sheet'!$B$3:$B$1001,$H919,'Input Sheet'!$E$3:$E$1001,N$4))</f>
        <v/>
      </c>
      <c r="O919" s="21" t="str">
        <f>IF(SUMIFS('Input Sheet'!$F$3:$F$1001,'Input Sheet'!$B$3:$B$1001,$H919,'Input Sheet'!$E$3:$E$1001,O$4)=0,"",SUMIFS('Input Sheet'!$F$3:$F$1001,'Input Sheet'!$B$3:$B$1001,$H919,'Input Sheet'!$E$3:$E$1001,O$4))</f>
        <v/>
      </c>
      <c r="P919" s="21" t="str">
        <f>IF(SUMIFS('Input Sheet'!$F$3:$F$1001,'Input Sheet'!$B$3:$B$1001,$H919,'Input Sheet'!$E$3:$E$1001,P$4)=0,"",SUMIFS('Input Sheet'!$F$3:$F$1001,'Input Sheet'!$B$3:$B$1001,$H919,'Input Sheet'!$E$3:$E$1001,P$4))</f>
        <v/>
      </c>
      <c r="Q919" s="21" t="str">
        <f>IF(SUMIFS('Input Sheet'!$F$3:$F$1001,'Input Sheet'!$B$3:$B$1001,$H919,'Input Sheet'!$E$3:$E$1001,Q$4)=0,"",SUMIFS('Input Sheet'!$F$3:$F$1001,'Input Sheet'!$B$3:$B$1001,$H919,'Input Sheet'!$E$3:$E$1001,Q$4))</f>
        <v/>
      </c>
      <c r="R919" s="21" t="str">
        <f>IF(SUMIFS('Input Sheet'!$F$3:$F$1001,'Input Sheet'!$B$3:$B$1001,$H919,'Input Sheet'!$E$3:$E$1001,R$4)=0,"",SUMIFS('Input Sheet'!$F$3:$F$1001,'Input Sheet'!$B$3:$B$1001,$H919,'Input Sheet'!$E$3:$E$1001,R$4))</f>
        <v/>
      </c>
      <c r="S919" s="21" t="str">
        <f>IF(SUMIFS('Input Sheet'!$F$3:$F$1001,'Input Sheet'!$B$3:$B$1001,$H919,'Input Sheet'!$E$3:$E$1001,S$4)=0,"",SUMIFS('Input Sheet'!$F$3:$F$1001,'Input Sheet'!$B$3:$B$1001,$H919,'Input Sheet'!$E$3:$E$1001,S$4))</f>
        <v/>
      </c>
      <c r="T919" s="22">
        <v>914</v>
      </c>
    </row>
    <row r="920" spans="1:20" ht="14.25" customHeight="1" x14ac:dyDescent="0.3">
      <c r="A920" s="4" t="str">
        <f>IF('Input Sheet'!B917=0,"",'Input Sheet'!B917)</f>
        <v/>
      </c>
      <c r="B920" s="24" t="b">
        <f t="shared" si="788"/>
        <v>0</v>
      </c>
      <c r="C920" s="4">
        <f>SUMIF('Input Sheet'!B$3:B$1000,A920,'Input Sheet'!C$3:C$1000)</f>
        <v>0</v>
      </c>
      <c r="D920" s="4">
        <f>SUMIF('Input Sheet'!B$3:B$1000,A920,'Input Sheet'!D$3:D$1000)</f>
        <v>0</v>
      </c>
      <c r="E920" s="4" t="str">
        <f t="shared" ref="E920:F920" ca="1" si="944">IFERROR(RANK(K920,K$6:K$1004,1),"")</f>
        <v/>
      </c>
      <c r="F920" s="4" t="str">
        <f t="shared" ca="1" si="944"/>
        <v/>
      </c>
      <c r="G920" s="4" t="str">
        <f t="shared" ca="1" si="790"/>
        <v/>
      </c>
      <c r="H920" s="4" t="str">
        <f t="shared" si="791"/>
        <v/>
      </c>
      <c r="I920" s="4" t="str">
        <f t="shared" si="792"/>
        <v/>
      </c>
      <c r="J920" s="4" t="str">
        <f t="shared" si="793"/>
        <v/>
      </c>
      <c r="K920" s="25" t="str">
        <f t="shared" ca="1" si="794"/>
        <v/>
      </c>
      <c r="L920" s="21" t="str">
        <f t="shared" ca="1" si="795"/>
        <v/>
      </c>
      <c r="M920" s="21" t="str">
        <f>IF(SUMIFS('Input Sheet'!$F$3:$F$1001,'Input Sheet'!$B$3:$B$1001,$H920,'Input Sheet'!$E$3:$E$1001,M$4)=0,"",SUMIFS('Input Sheet'!$F$3:$F$1001,'Input Sheet'!$B$3:$B$1001,$H920,'Input Sheet'!$E$3:$E$1001,M$4))</f>
        <v/>
      </c>
      <c r="N920" s="21" t="str">
        <f>IF(SUMIFS('Input Sheet'!$F$3:$F$1001,'Input Sheet'!$B$3:$B$1001,$H920,'Input Sheet'!$E$3:$E$1001,N$4)=0,"",SUMIFS('Input Sheet'!$F$3:$F$1001,'Input Sheet'!$B$3:$B$1001,$H920,'Input Sheet'!$E$3:$E$1001,N$4))</f>
        <v/>
      </c>
      <c r="O920" s="21" t="str">
        <f>IF(SUMIFS('Input Sheet'!$F$3:$F$1001,'Input Sheet'!$B$3:$B$1001,$H920,'Input Sheet'!$E$3:$E$1001,O$4)=0,"",SUMIFS('Input Sheet'!$F$3:$F$1001,'Input Sheet'!$B$3:$B$1001,$H920,'Input Sheet'!$E$3:$E$1001,O$4))</f>
        <v/>
      </c>
      <c r="P920" s="21" t="str">
        <f>IF(SUMIFS('Input Sheet'!$F$3:$F$1001,'Input Sheet'!$B$3:$B$1001,$H920,'Input Sheet'!$E$3:$E$1001,P$4)=0,"",SUMIFS('Input Sheet'!$F$3:$F$1001,'Input Sheet'!$B$3:$B$1001,$H920,'Input Sheet'!$E$3:$E$1001,P$4))</f>
        <v/>
      </c>
      <c r="Q920" s="21" t="str">
        <f>IF(SUMIFS('Input Sheet'!$F$3:$F$1001,'Input Sheet'!$B$3:$B$1001,$H920,'Input Sheet'!$E$3:$E$1001,Q$4)=0,"",SUMIFS('Input Sheet'!$F$3:$F$1001,'Input Sheet'!$B$3:$B$1001,$H920,'Input Sheet'!$E$3:$E$1001,Q$4))</f>
        <v/>
      </c>
      <c r="R920" s="21" t="str">
        <f>IF(SUMIFS('Input Sheet'!$F$3:$F$1001,'Input Sheet'!$B$3:$B$1001,$H920,'Input Sheet'!$E$3:$E$1001,R$4)=0,"",SUMIFS('Input Sheet'!$F$3:$F$1001,'Input Sheet'!$B$3:$B$1001,$H920,'Input Sheet'!$E$3:$E$1001,R$4))</f>
        <v/>
      </c>
      <c r="S920" s="21" t="str">
        <f>IF(SUMIFS('Input Sheet'!$F$3:$F$1001,'Input Sheet'!$B$3:$B$1001,$H920,'Input Sheet'!$E$3:$E$1001,S$4)=0,"",SUMIFS('Input Sheet'!$F$3:$F$1001,'Input Sheet'!$B$3:$B$1001,$H920,'Input Sheet'!$E$3:$E$1001,S$4))</f>
        <v/>
      </c>
      <c r="T920" s="22">
        <v>915</v>
      </c>
    </row>
    <row r="921" spans="1:20" ht="14.25" customHeight="1" x14ac:dyDescent="0.3">
      <c r="A921" s="4" t="str">
        <f>IF('Input Sheet'!B918=0,"",'Input Sheet'!B918)</f>
        <v/>
      </c>
      <c r="B921" s="24" t="b">
        <f t="shared" si="788"/>
        <v>0</v>
      </c>
      <c r="C921" s="4">
        <f>SUMIF('Input Sheet'!B$3:B$1000,A921,'Input Sheet'!C$3:C$1000)</f>
        <v>0</v>
      </c>
      <c r="D921" s="4">
        <f>SUMIF('Input Sheet'!B$3:B$1000,A921,'Input Sheet'!D$3:D$1000)</f>
        <v>0</v>
      </c>
      <c r="E921" s="4" t="str">
        <f t="shared" ref="E921:F921" ca="1" si="945">IFERROR(RANK(K921,K$6:K$1004,1),"")</f>
        <v/>
      </c>
      <c r="F921" s="4" t="str">
        <f t="shared" ca="1" si="945"/>
        <v/>
      </c>
      <c r="G921" s="4" t="str">
        <f t="shared" ca="1" si="790"/>
        <v/>
      </c>
      <c r="H921" s="4" t="str">
        <f t="shared" si="791"/>
        <v/>
      </c>
      <c r="I921" s="4" t="str">
        <f t="shared" si="792"/>
        <v/>
      </c>
      <c r="J921" s="4" t="str">
        <f t="shared" si="793"/>
        <v/>
      </c>
      <c r="K921" s="25" t="str">
        <f t="shared" ca="1" si="794"/>
        <v/>
      </c>
      <c r="L921" s="21" t="str">
        <f t="shared" ca="1" si="795"/>
        <v/>
      </c>
      <c r="M921" s="21" t="str">
        <f>IF(SUMIFS('Input Sheet'!$F$3:$F$1001,'Input Sheet'!$B$3:$B$1001,$H921,'Input Sheet'!$E$3:$E$1001,M$4)=0,"",SUMIFS('Input Sheet'!$F$3:$F$1001,'Input Sheet'!$B$3:$B$1001,$H921,'Input Sheet'!$E$3:$E$1001,M$4))</f>
        <v/>
      </c>
      <c r="N921" s="21" t="str">
        <f>IF(SUMIFS('Input Sheet'!$F$3:$F$1001,'Input Sheet'!$B$3:$B$1001,$H921,'Input Sheet'!$E$3:$E$1001,N$4)=0,"",SUMIFS('Input Sheet'!$F$3:$F$1001,'Input Sheet'!$B$3:$B$1001,$H921,'Input Sheet'!$E$3:$E$1001,N$4))</f>
        <v/>
      </c>
      <c r="O921" s="21" t="str">
        <f>IF(SUMIFS('Input Sheet'!$F$3:$F$1001,'Input Sheet'!$B$3:$B$1001,$H921,'Input Sheet'!$E$3:$E$1001,O$4)=0,"",SUMIFS('Input Sheet'!$F$3:$F$1001,'Input Sheet'!$B$3:$B$1001,$H921,'Input Sheet'!$E$3:$E$1001,O$4))</f>
        <v/>
      </c>
      <c r="P921" s="21" t="str">
        <f>IF(SUMIFS('Input Sheet'!$F$3:$F$1001,'Input Sheet'!$B$3:$B$1001,$H921,'Input Sheet'!$E$3:$E$1001,P$4)=0,"",SUMIFS('Input Sheet'!$F$3:$F$1001,'Input Sheet'!$B$3:$B$1001,$H921,'Input Sheet'!$E$3:$E$1001,P$4))</f>
        <v/>
      </c>
      <c r="Q921" s="21" t="str">
        <f>IF(SUMIFS('Input Sheet'!$F$3:$F$1001,'Input Sheet'!$B$3:$B$1001,$H921,'Input Sheet'!$E$3:$E$1001,Q$4)=0,"",SUMIFS('Input Sheet'!$F$3:$F$1001,'Input Sheet'!$B$3:$B$1001,$H921,'Input Sheet'!$E$3:$E$1001,Q$4))</f>
        <v/>
      </c>
      <c r="R921" s="21" t="str">
        <f>IF(SUMIFS('Input Sheet'!$F$3:$F$1001,'Input Sheet'!$B$3:$B$1001,$H921,'Input Sheet'!$E$3:$E$1001,R$4)=0,"",SUMIFS('Input Sheet'!$F$3:$F$1001,'Input Sheet'!$B$3:$B$1001,$H921,'Input Sheet'!$E$3:$E$1001,R$4))</f>
        <v/>
      </c>
      <c r="S921" s="21" t="str">
        <f>IF(SUMIFS('Input Sheet'!$F$3:$F$1001,'Input Sheet'!$B$3:$B$1001,$H921,'Input Sheet'!$E$3:$E$1001,S$4)=0,"",SUMIFS('Input Sheet'!$F$3:$F$1001,'Input Sheet'!$B$3:$B$1001,$H921,'Input Sheet'!$E$3:$E$1001,S$4))</f>
        <v/>
      </c>
      <c r="T921" s="22">
        <v>916</v>
      </c>
    </row>
    <row r="922" spans="1:20" ht="14.25" customHeight="1" x14ac:dyDescent="0.3">
      <c r="A922" s="4" t="str">
        <f>IF('Input Sheet'!B919=0,"",'Input Sheet'!B919)</f>
        <v/>
      </c>
      <c r="B922" s="24" t="b">
        <f t="shared" si="788"/>
        <v>0</v>
      </c>
      <c r="C922" s="4">
        <f>SUMIF('Input Sheet'!B$3:B$1000,A922,'Input Sheet'!C$3:C$1000)</f>
        <v>0</v>
      </c>
      <c r="D922" s="4">
        <f>SUMIF('Input Sheet'!B$3:B$1000,A922,'Input Sheet'!D$3:D$1000)</f>
        <v>0</v>
      </c>
      <c r="E922" s="4" t="str">
        <f t="shared" ref="E922:F922" ca="1" si="946">IFERROR(RANK(K922,K$6:K$1004,1),"")</f>
        <v/>
      </c>
      <c r="F922" s="4" t="str">
        <f t="shared" ca="1" si="946"/>
        <v/>
      </c>
      <c r="G922" s="4" t="str">
        <f t="shared" ca="1" si="790"/>
        <v/>
      </c>
      <c r="H922" s="4" t="str">
        <f t="shared" si="791"/>
        <v/>
      </c>
      <c r="I922" s="4" t="str">
        <f t="shared" si="792"/>
        <v/>
      </c>
      <c r="J922" s="4" t="str">
        <f t="shared" si="793"/>
        <v/>
      </c>
      <c r="K922" s="25" t="str">
        <f t="shared" ca="1" si="794"/>
        <v/>
      </c>
      <c r="L922" s="21" t="str">
        <f t="shared" ca="1" si="795"/>
        <v/>
      </c>
      <c r="M922" s="21" t="str">
        <f>IF(SUMIFS('Input Sheet'!$F$3:$F$1001,'Input Sheet'!$B$3:$B$1001,$H922,'Input Sheet'!$E$3:$E$1001,M$4)=0,"",SUMIFS('Input Sheet'!$F$3:$F$1001,'Input Sheet'!$B$3:$B$1001,$H922,'Input Sheet'!$E$3:$E$1001,M$4))</f>
        <v/>
      </c>
      <c r="N922" s="21" t="str">
        <f>IF(SUMIFS('Input Sheet'!$F$3:$F$1001,'Input Sheet'!$B$3:$B$1001,$H922,'Input Sheet'!$E$3:$E$1001,N$4)=0,"",SUMIFS('Input Sheet'!$F$3:$F$1001,'Input Sheet'!$B$3:$B$1001,$H922,'Input Sheet'!$E$3:$E$1001,N$4))</f>
        <v/>
      </c>
      <c r="O922" s="21" t="str">
        <f>IF(SUMIFS('Input Sheet'!$F$3:$F$1001,'Input Sheet'!$B$3:$B$1001,$H922,'Input Sheet'!$E$3:$E$1001,O$4)=0,"",SUMIFS('Input Sheet'!$F$3:$F$1001,'Input Sheet'!$B$3:$B$1001,$H922,'Input Sheet'!$E$3:$E$1001,O$4))</f>
        <v/>
      </c>
      <c r="P922" s="21" t="str">
        <f>IF(SUMIFS('Input Sheet'!$F$3:$F$1001,'Input Sheet'!$B$3:$B$1001,$H922,'Input Sheet'!$E$3:$E$1001,P$4)=0,"",SUMIFS('Input Sheet'!$F$3:$F$1001,'Input Sheet'!$B$3:$B$1001,$H922,'Input Sheet'!$E$3:$E$1001,P$4))</f>
        <v/>
      </c>
      <c r="Q922" s="21" t="str">
        <f>IF(SUMIFS('Input Sheet'!$F$3:$F$1001,'Input Sheet'!$B$3:$B$1001,$H922,'Input Sheet'!$E$3:$E$1001,Q$4)=0,"",SUMIFS('Input Sheet'!$F$3:$F$1001,'Input Sheet'!$B$3:$B$1001,$H922,'Input Sheet'!$E$3:$E$1001,Q$4))</f>
        <v/>
      </c>
      <c r="R922" s="21" t="str">
        <f>IF(SUMIFS('Input Sheet'!$F$3:$F$1001,'Input Sheet'!$B$3:$B$1001,$H922,'Input Sheet'!$E$3:$E$1001,R$4)=0,"",SUMIFS('Input Sheet'!$F$3:$F$1001,'Input Sheet'!$B$3:$B$1001,$H922,'Input Sheet'!$E$3:$E$1001,R$4))</f>
        <v/>
      </c>
      <c r="S922" s="21" t="str">
        <f>IF(SUMIFS('Input Sheet'!$F$3:$F$1001,'Input Sheet'!$B$3:$B$1001,$H922,'Input Sheet'!$E$3:$E$1001,S$4)=0,"",SUMIFS('Input Sheet'!$F$3:$F$1001,'Input Sheet'!$B$3:$B$1001,$H922,'Input Sheet'!$E$3:$E$1001,S$4))</f>
        <v/>
      </c>
      <c r="T922" s="22">
        <v>917</v>
      </c>
    </row>
    <row r="923" spans="1:20" ht="14.25" customHeight="1" x14ac:dyDescent="0.3">
      <c r="A923" s="4" t="str">
        <f>IF('Input Sheet'!B920=0,"",'Input Sheet'!B920)</f>
        <v/>
      </c>
      <c r="B923" s="24" t="b">
        <f t="shared" si="788"/>
        <v>0</v>
      </c>
      <c r="C923" s="4">
        <f>SUMIF('Input Sheet'!B$3:B$1000,A923,'Input Sheet'!C$3:C$1000)</f>
        <v>0</v>
      </c>
      <c r="D923" s="4">
        <f>SUMIF('Input Sheet'!B$3:B$1000,A923,'Input Sheet'!D$3:D$1000)</f>
        <v>0</v>
      </c>
      <c r="E923" s="4" t="str">
        <f t="shared" ref="E923:F923" ca="1" si="947">IFERROR(RANK(K923,K$6:K$1004,1),"")</f>
        <v/>
      </c>
      <c r="F923" s="4" t="str">
        <f t="shared" ca="1" si="947"/>
        <v/>
      </c>
      <c r="G923" s="4" t="str">
        <f t="shared" ca="1" si="790"/>
        <v/>
      </c>
      <c r="H923" s="4" t="str">
        <f t="shared" si="791"/>
        <v/>
      </c>
      <c r="I923" s="4" t="str">
        <f t="shared" si="792"/>
        <v/>
      </c>
      <c r="J923" s="4" t="str">
        <f t="shared" si="793"/>
        <v/>
      </c>
      <c r="K923" s="25" t="str">
        <f t="shared" ca="1" si="794"/>
        <v/>
      </c>
      <c r="L923" s="21" t="str">
        <f t="shared" ca="1" si="795"/>
        <v/>
      </c>
      <c r="M923" s="21" t="str">
        <f>IF(SUMIFS('Input Sheet'!$F$3:$F$1001,'Input Sheet'!$B$3:$B$1001,$H923,'Input Sheet'!$E$3:$E$1001,M$4)=0,"",SUMIFS('Input Sheet'!$F$3:$F$1001,'Input Sheet'!$B$3:$B$1001,$H923,'Input Sheet'!$E$3:$E$1001,M$4))</f>
        <v/>
      </c>
      <c r="N923" s="21" t="str">
        <f>IF(SUMIFS('Input Sheet'!$F$3:$F$1001,'Input Sheet'!$B$3:$B$1001,$H923,'Input Sheet'!$E$3:$E$1001,N$4)=0,"",SUMIFS('Input Sheet'!$F$3:$F$1001,'Input Sheet'!$B$3:$B$1001,$H923,'Input Sheet'!$E$3:$E$1001,N$4))</f>
        <v/>
      </c>
      <c r="O923" s="21" t="str">
        <f>IF(SUMIFS('Input Sheet'!$F$3:$F$1001,'Input Sheet'!$B$3:$B$1001,$H923,'Input Sheet'!$E$3:$E$1001,O$4)=0,"",SUMIFS('Input Sheet'!$F$3:$F$1001,'Input Sheet'!$B$3:$B$1001,$H923,'Input Sheet'!$E$3:$E$1001,O$4))</f>
        <v/>
      </c>
      <c r="P923" s="21" t="str">
        <f>IF(SUMIFS('Input Sheet'!$F$3:$F$1001,'Input Sheet'!$B$3:$B$1001,$H923,'Input Sheet'!$E$3:$E$1001,P$4)=0,"",SUMIFS('Input Sheet'!$F$3:$F$1001,'Input Sheet'!$B$3:$B$1001,$H923,'Input Sheet'!$E$3:$E$1001,P$4))</f>
        <v/>
      </c>
      <c r="Q923" s="21" t="str">
        <f>IF(SUMIFS('Input Sheet'!$F$3:$F$1001,'Input Sheet'!$B$3:$B$1001,$H923,'Input Sheet'!$E$3:$E$1001,Q$4)=0,"",SUMIFS('Input Sheet'!$F$3:$F$1001,'Input Sheet'!$B$3:$B$1001,$H923,'Input Sheet'!$E$3:$E$1001,Q$4))</f>
        <v/>
      </c>
      <c r="R923" s="21" t="str">
        <f>IF(SUMIFS('Input Sheet'!$F$3:$F$1001,'Input Sheet'!$B$3:$B$1001,$H923,'Input Sheet'!$E$3:$E$1001,R$4)=0,"",SUMIFS('Input Sheet'!$F$3:$F$1001,'Input Sheet'!$B$3:$B$1001,$H923,'Input Sheet'!$E$3:$E$1001,R$4))</f>
        <v/>
      </c>
      <c r="S923" s="21" t="str">
        <f>IF(SUMIFS('Input Sheet'!$F$3:$F$1001,'Input Sheet'!$B$3:$B$1001,$H923,'Input Sheet'!$E$3:$E$1001,S$4)=0,"",SUMIFS('Input Sheet'!$F$3:$F$1001,'Input Sheet'!$B$3:$B$1001,$H923,'Input Sheet'!$E$3:$E$1001,S$4))</f>
        <v/>
      </c>
      <c r="T923" s="22">
        <v>918</v>
      </c>
    </row>
    <row r="924" spans="1:20" ht="14.25" customHeight="1" x14ac:dyDescent="0.3">
      <c r="A924" s="4" t="str">
        <f>IF('Input Sheet'!B921=0,"",'Input Sheet'!B921)</f>
        <v/>
      </c>
      <c r="B924" s="24" t="b">
        <f t="shared" si="788"/>
        <v>0</v>
      </c>
      <c r="C924" s="4">
        <f>SUMIF('Input Sheet'!B$3:B$1000,A924,'Input Sheet'!C$3:C$1000)</f>
        <v>0</v>
      </c>
      <c r="D924" s="4">
        <f>SUMIF('Input Sheet'!B$3:B$1000,A924,'Input Sheet'!D$3:D$1000)</f>
        <v>0</v>
      </c>
      <c r="E924" s="4" t="str">
        <f t="shared" ref="E924:F924" ca="1" si="948">IFERROR(RANK(K924,K$6:K$1004,1),"")</f>
        <v/>
      </c>
      <c r="F924" s="4" t="str">
        <f t="shared" ca="1" si="948"/>
        <v/>
      </c>
      <c r="G924" s="4" t="str">
        <f t="shared" ca="1" si="790"/>
        <v/>
      </c>
      <c r="H924" s="4" t="str">
        <f t="shared" si="791"/>
        <v/>
      </c>
      <c r="I924" s="4" t="str">
        <f t="shared" si="792"/>
        <v/>
      </c>
      <c r="J924" s="4" t="str">
        <f t="shared" si="793"/>
        <v/>
      </c>
      <c r="K924" s="25" t="str">
        <f t="shared" ca="1" si="794"/>
        <v/>
      </c>
      <c r="L924" s="21" t="str">
        <f t="shared" ca="1" si="795"/>
        <v/>
      </c>
      <c r="M924" s="21" t="str">
        <f>IF(SUMIFS('Input Sheet'!$F$3:$F$1001,'Input Sheet'!$B$3:$B$1001,$H924,'Input Sheet'!$E$3:$E$1001,M$4)=0,"",SUMIFS('Input Sheet'!$F$3:$F$1001,'Input Sheet'!$B$3:$B$1001,$H924,'Input Sheet'!$E$3:$E$1001,M$4))</f>
        <v/>
      </c>
      <c r="N924" s="21" t="str">
        <f>IF(SUMIFS('Input Sheet'!$F$3:$F$1001,'Input Sheet'!$B$3:$B$1001,$H924,'Input Sheet'!$E$3:$E$1001,N$4)=0,"",SUMIFS('Input Sheet'!$F$3:$F$1001,'Input Sheet'!$B$3:$B$1001,$H924,'Input Sheet'!$E$3:$E$1001,N$4))</f>
        <v/>
      </c>
      <c r="O924" s="21" t="str">
        <f>IF(SUMIFS('Input Sheet'!$F$3:$F$1001,'Input Sheet'!$B$3:$B$1001,$H924,'Input Sheet'!$E$3:$E$1001,O$4)=0,"",SUMIFS('Input Sheet'!$F$3:$F$1001,'Input Sheet'!$B$3:$B$1001,$H924,'Input Sheet'!$E$3:$E$1001,O$4))</f>
        <v/>
      </c>
      <c r="P924" s="21" t="str">
        <f>IF(SUMIFS('Input Sheet'!$F$3:$F$1001,'Input Sheet'!$B$3:$B$1001,$H924,'Input Sheet'!$E$3:$E$1001,P$4)=0,"",SUMIFS('Input Sheet'!$F$3:$F$1001,'Input Sheet'!$B$3:$B$1001,$H924,'Input Sheet'!$E$3:$E$1001,P$4))</f>
        <v/>
      </c>
      <c r="Q924" s="21" t="str">
        <f>IF(SUMIFS('Input Sheet'!$F$3:$F$1001,'Input Sheet'!$B$3:$B$1001,$H924,'Input Sheet'!$E$3:$E$1001,Q$4)=0,"",SUMIFS('Input Sheet'!$F$3:$F$1001,'Input Sheet'!$B$3:$B$1001,$H924,'Input Sheet'!$E$3:$E$1001,Q$4))</f>
        <v/>
      </c>
      <c r="R924" s="21" t="str">
        <f>IF(SUMIFS('Input Sheet'!$F$3:$F$1001,'Input Sheet'!$B$3:$B$1001,$H924,'Input Sheet'!$E$3:$E$1001,R$4)=0,"",SUMIFS('Input Sheet'!$F$3:$F$1001,'Input Sheet'!$B$3:$B$1001,$H924,'Input Sheet'!$E$3:$E$1001,R$4))</f>
        <v/>
      </c>
      <c r="S924" s="21" t="str">
        <f>IF(SUMIFS('Input Sheet'!$F$3:$F$1001,'Input Sheet'!$B$3:$B$1001,$H924,'Input Sheet'!$E$3:$E$1001,S$4)=0,"",SUMIFS('Input Sheet'!$F$3:$F$1001,'Input Sheet'!$B$3:$B$1001,$H924,'Input Sheet'!$E$3:$E$1001,S$4))</f>
        <v/>
      </c>
      <c r="T924" s="22">
        <v>919</v>
      </c>
    </row>
    <row r="925" spans="1:20" ht="14.25" customHeight="1" x14ac:dyDescent="0.3">
      <c r="A925" s="4" t="str">
        <f>IF('Input Sheet'!B922=0,"",'Input Sheet'!B922)</f>
        <v/>
      </c>
      <c r="B925" s="24" t="b">
        <f t="shared" si="788"/>
        <v>0</v>
      </c>
      <c r="C925" s="4">
        <f>SUMIF('Input Sheet'!B$3:B$1000,A925,'Input Sheet'!C$3:C$1000)</f>
        <v>0</v>
      </c>
      <c r="D925" s="4">
        <f>SUMIF('Input Sheet'!B$3:B$1000,A925,'Input Sheet'!D$3:D$1000)</f>
        <v>0</v>
      </c>
      <c r="E925" s="4" t="str">
        <f t="shared" ref="E925:F925" ca="1" si="949">IFERROR(RANK(K925,K$6:K$1004,1),"")</f>
        <v/>
      </c>
      <c r="F925" s="4" t="str">
        <f t="shared" ca="1" si="949"/>
        <v/>
      </c>
      <c r="G925" s="4" t="str">
        <f t="shared" ca="1" si="790"/>
        <v/>
      </c>
      <c r="H925" s="4" t="str">
        <f t="shared" si="791"/>
        <v/>
      </c>
      <c r="I925" s="4" t="str">
        <f t="shared" si="792"/>
        <v/>
      </c>
      <c r="J925" s="4" t="str">
        <f t="shared" si="793"/>
        <v/>
      </c>
      <c r="K925" s="25" t="str">
        <f t="shared" ca="1" si="794"/>
        <v/>
      </c>
      <c r="L925" s="21" t="str">
        <f t="shared" ca="1" si="795"/>
        <v/>
      </c>
      <c r="M925" s="21" t="str">
        <f>IF(SUMIFS('Input Sheet'!$F$3:$F$1001,'Input Sheet'!$B$3:$B$1001,$H925,'Input Sheet'!$E$3:$E$1001,M$4)=0,"",SUMIFS('Input Sheet'!$F$3:$F$1001,'Input Sheet'!$B$3:$B$1001,$H925,'Input Sheet'!$E$3:$E$1001,M$4))</f>
        <v/>
      </c>
      <c r="N925" s="21" t="str">
        <f>IF(SUMIFS('Input Sheet'!$F$3:$F$1001,'Input Sheet'!$B$3:$B$1001,$H925,'Input Sheet'!$E$3:$E$1001,N$4)=0,"",SUMIFS('Input Sheet'!$F$3:$F$1001,'Input Sheet'!$B$3:$B$1001,$H925,'Input Sheet'!$E$3:$E$1001,N$4))</f>
        <v/>
      </c>
      <c r="O925" s="21" t="str">
        <f>IF(SUMIFS('Input Sheet'!$F$3:$F$1001,'Input Sheet'!$B$3:$B$1001,$H925,'Input Sheet'!$E$3:$E$1001,O$4)=0,"",SUMIFS('Input Sheet'!$F$3:$F$1001,'Input Sheet'!$B$3:$B$1001,$H925,'Input Sheet'!$E$3:$E$1001,O$4))</f>
        <v/>
      </c>
      <c r="P925" s="21" t="str">
        <f>IF(SUMIFS('Input Sheet'!$F$3:$F$1001,'Input Sheet'!$B$3:$B$1001,$H925,'Input Sheet'!$E$3:$E$1001,P$4)=0,"",SUMIFS('Input Sheet'!$F$3:$F$1001,'Input Sheet'!$B$3:$B$1001,$H925,'Input Sheet'!$E$3:$E$1001,P$4))</f>
        <v/>
      </c>
      <c r="Q925" s="21" t="str">
        <f>IF(SUMIFS('Input Sheet'!$F$3:$F$1001,'Input Sheet'!$B$3:$B$1001,$H925,'Input Sheet'!$E$3:$E$1001,Q$4)=0,"",SUMIFS('Input Sheet'!$F$3:$F$1001,'Input Sheet'!$B$3:$B$1001,$H925,'Input Sheet'!$E$3:$E$1001,Q$4))</f>
        <v/>
      </c>
      <c r="R925" s="21" t="str">
        <f>IF(SUMIFS('Input Sheet'!$F$3:$F$1001,'Input Sheet'!$B$3:$B$1001,$H925,'Input Sheet'!$E$3:$E$1001,R$4)=0,"",SUMIFS('Input Sheet'!$F$3:$F$1001,'Input Sheet'!$B$3:$B$1001,$H925,'Input Sheet'!$E$3:$E$1001,R$4))</f>
        <v/>
      </c>
      <c r="S925" s="21" t="str">
        <f>IF(SUMIFS('Input Sheet'!$F$3:$F$1001,'Input Sheet'!$B$3:$B$1001,$H925,'Input Sheet'!$E$3:$E$1001,S$4)=0,"",SUMIFS('Input Sheet'!$F$3:$F$1001,'Input Sheet'!$B$3:$B$1001,$H925,'Input Sheet'!$E$3:$E$1001,S$4))</f>
        <v/>
      </c>
      <c r="T925" s="22">
        <v>920</v>
      </c>
    </row>
    <row r="926" spans="1:20" ht="14.25" customHeight="1" x14ac:dyDescent="0.3">
      <c r="A926" s="4" t="str">
        <f>IF('Input Sheet'!B923=0,"",'Input Sheet'!B923)</f>
        <v/>
      </c>
      <c r="B926" s="24" t="b">
        <f t="shared" si="788"/>
        <v>0</v>
      </c>
      <c r="C926" s="4">
        <f>SUMIF('Input Sheet'!B$3:B$1000,A926,'Input Sheet'!C$3:C$1000)</f>
        <v>0</v>
      </c>
      <c r="D926" s="4">
        <f>SUMIF('Input Sheet'!B$3:B$1000,A926,'Input Sheet'!D$3:D$1000)</f>
        <v>0</v>
      </c>
      <c r="E926" s="4" t="str">
        <f t="shared" ref="E926:F926" ca="1" si="950">IFERROR(RANK(K926,K$6:K$1004,1),"")</f>
        <v/>
      </c>
      <c r="F926" s="4" t="str">
        <f t="shared" ca="1" si="950"/>
        <v/>
      </c>
      <c r="G926" s="4" t="str">
        <f t="shared" ca="1" si="790"/>
        <v/>
      </c>
      <c r="H926" s="4" t="str">
        <f t="shared" si="791"/>
        <v/>
      </c>
      <c r="I926" s="4" t="str">
        <f t="shared" si="792"/>
        <v/>
      </c>
      <c r="J926" s="4" t="str">
        <f t="shared" si="793"/>
        <v/>
      </c>
      <c r="K926" s="25" t="str">
        <f t="shared" ca="1" si="794"/>
        <v/>
      </c>
      <c r="L926" s="21" t="str">
        <f t="shared" ca="1" si="795"/>
        <v/>
      </c>
      <c r="M926" s="21" t="str">
        <f>IF(SUMIFS('Input Sheet'!$F$3:$F$1001,'Input Sheet'!$B$3:$B$1001,$H926,'Input Sheet'!$E$3:$E$1001,M$4)=0,"",SUMIFS('Input Sheet'!$F$3:$F$1001,'Input Sheet'!$B$3:$B$1001,$H926,'Input Sheet'!$E$3:$E$1001,M$4))</f>
        <v/>
      </c>
      <c r="N926" s="21" t="str">
        <f>IF(SUMIFS('Input Sheet'!$F$3:$F$1001,'Input Sheet'!$B$3:$B$1001,$H926,'Input Sheet'!$E$3:$E$1001,N$4)=0,"",SUMIFS('Input Sheet'!$F$3:$F$1001,'Input Sheet'!$B$3:$B$1001,$H926,'Input Sheet'!$E$3:$E$1001,N$4))</f>
        <v/>
      </c>
      <c r="O926" s="21" t="str">
        <f>IF(SUMIFS('Input Sheet'!$F$3:$F$1001,'Input Sheet'!$B$3:$B$1001,$H926,'Input Sheet'!$E$3:$E$1001,O$4)=0,"",SUMIFS('Input Sheet'!$F$3:$F$1001,'Input Sheet'!$B$3:$B$1001,$H926,'Input Sheet'!$E$3:$E$1001,O$4))</f>
        <v/>
      </c>
      <c r="P926" s="21" t="str">
        <f>IF(SUMIFS('Input Sheet'!$F$3:$F$1001,'Input Sheet'!$B$3:$B$1001,$H926,'Input Sheet'!$E$3:$E$1001,P$4)=0,"",SUMIFS('Input Sheet'!$F$3:$F$1001,'Input Sheet'!$B$3:$B$1001,$H926,'Input Sheet'!$E$3:$E$1001,P$4))</f>
        <v/>
      </c>
      <c r="Q926" s="21" t="str">
        <f>IF(SUMIFS('Input Sheet'!$F$3:$F$1001,'Input Sheet'!$B$3:$B$1001,$H926,'Input Sheet'!$E$3:$E$1001,Q$4)=0,"",SUMIFS('Input Sheet'!$F$3:$F$1001,'Input Sheet'!$B$3:$B$1001,$H926,'Input Sheet'!$E$3:$E$1001,Q$4))</f>
        <v/>
      </c>
      <c r="R926" s="21" t="str">
        <f>IF(SUMIFS('Input Sheet'!$F$3:$F$1001,'Input Sheet'!$B$3:$B$1001,$H926,'Input Sheet'!$E$3:$E$1001,R$4)=0,"",SUMIFS('Input Sheet'!$F$3:$F$1001,'Input Sheet'!$B$3:$B$1001,$H926,'Input Sheet'!$E$3:$E$1001,R$4))</f>
        <v/>
      </c>
      <c r="S926" s="21" t="str">
        <f>IF(SUMIFS('Input Sheet'!$F$3:$F$1001,'Input Sheet'!$B$3:$B$1001,$H926,'Input Sheet'!$E$3:$E$1001,S$4)=0,"",SUMIFS('Input Sheet'!$F$3:$F$1001,'Input Sheet'!$B$3:$B$1001,$H926,'Input Sheet'!$E$3:$E$1001,S$4))</f>
        <v/>
      </c>
      <c r="T926" s="22">
        <v>921</v>
      </c>
    </row>
    <row r="927" spans="1:20" ht="14.25" customHeight="1" x14ac:dyDescent="0.3">
      <c r="A927" s="4" t="str">
        <f>IF('Input Sheet'!B924=0,"",'Input Sheet'!B924)</f>
        <v/>
      </c>
      <c r="B927" s="24" t="b">
        <f t="shared" si="788"/>
        <v>0</v>
      </c>
      <c r="C927" s="4">
        <f>SUMIF('Input Sheet'!B$3:B$1000,A927,'Input Sheet'!C$3:C$1000)</f>
        <v>0</v>
      </c>
      <c r="D927" s="4">
        <f>SUMIF('Input Sheet'!B$3:B$1000,A927,'Input Sheet'!D$3:D$1000)</f>
        <v>0</v>
      </c>
      <c r="E927" s="4" t="str">
        <f t="shared" ref="E927:F927" ca="1" si="951">IFERROR(RANK(K927,K$6:K$1004,1),"")</f>
        <v/>
      </c>
      <c r="F927" s="4" t="str">
        <f t="shared" ca="1" si="951"/>
        <v/>
      </c>
      <c r="G927" s="4" t="str">
        <f t="shared" ca="1" si="790"/>
        <v/>
      </c>
      <c r="H927" s="4" t="str">
        <f t="shared" si="791"/>
        <v/>
      </c>
      <c r="I927" s="4" t="str">
        <f t="shared" si="792"/>
        <v/>
      </c>
      <c r="J927" s="4" t="str">
        <f t="shared" si="793"/>
        <v/>
      </c>
      <c r="K927" s="25" t="str">
        <f t="shared" ca="1" si="794"/>
        <v/>
      </c>
      <c r="L927" s="21" t="str">
        <f t="shared" ca="1" si="795"/>
        <v/>
      </c>
      <c r="M927" s="21" t="str">
        <f>IF(SUMIFS('Input Sheet'!$F$3:$F$1001,'Input Sheet'!$B$3:$B$1001,$H927,'Input Sheet'!$E$3:$E$1001,M$4)=0,"",SUMIFS('Input Sheet'!$F$3:$F$1001,'Input Sheet'!$B$3:$B$1001,$H927,'Input Sheet'!$E$3:$E$1001,M$4))</f>
        <v/>
      </c>
      <c r="N927" s="21" t="str">
        <f>IF(SUMIFS('Input Sheet'!$F$3:$F$1001,'Input Sheet'!$B$3:$B$1001,$H927,'Input Sheet'!$E$3:$E$1001,N$4)=0,"",SUMIFS('Input Sheet'!$F$3:$F$1001,'Input Sheet'!$B$3:$B$1001,$H927,'Input Sheet'!$E$3:$E$1001,N$4))</f>
        <v/>
      </c>
      <c r="O927" s="21" t="str">
        <f>IF(SUMIFS('Input Sheet'!$F$3:$F$1001,'Input Sheet'!$B$3:$B$1001,$H927,'Input Sheet'!$E$3:$E$1001,O$4)=0,"",SUMIFS('Input Sheet'!$F$3:$F$1001,'Input Sheet'!$B$3:$B$1001,$H927,'Input Sheet'!$E$3:$E$1001,O$4))</f>
        <v/>
      </c>
      <c r="P927" s="21" t="str">
        <f>IF(SUMIFS('Input Sheet'!$F$3:$F$1001,'Input Sheet'!$B$3:$B$1001,$H927,'Input Sheet'!$E$3:$E$1001,P$4)=0,"",SUMIFS('Input Sheet'!$F$3:$F$1001,'Input Sheet'!$B$3:$B$1001,$H927,'Input Sheet'!$E$3:$E$1001,P$4))</f>
        <v/>
      </c>
      <c r="Q927" s="21" t="str">
        <f>IF(SUMIFS('Input Sheet'!$F$3:$F$1001,'Input Sheet'!$B$3:$B$1001,$H927,'Input Sheet'!$E$3:$E$1001,Q$4)=0,"",SUMIFS('Input Sheet'!$F$3:$F$1001,'Input Sheet'!$B$3:$B$1001,$H927,'Input Sheet'!$E$3:$E$1001,Q$4))</f>
        <v/>
      </c>
      <c r="R927" s="21" t="str">
        <f>IF(SUMIFS('Input Sheet'!$F$3:$F$1001,'Input Sheet'!$B$3:$B$1001,$H927,'Input Sheet'!$E$3:$E$1001,R$4)=0,"",SUMIFS('Input Sheet'!$F$3:$F$1001,'Input Sheet'!$B$3:$B$1001,$H927,'Input Sheet'!$E$3:$E$1001,R$4))</f>
        <v/>
      </c>
      <c r="S927" s="21" t="str">
        <f>IF(SUMIFS('Input Sheet'!$F$3:$F$1001,'Input Sheet'!$B$3:$B$1001,$H927,'Input Sheet'!$E$3:$E$1001,S$4)=0,"",SUMIFS('Input Sheet'!$F$3:$F$1001,'Input Sheet'!$B$3:$B$1001,$H927,'Input Sheet'!$E$3:$E$1001,S$4))</f>
        <v/>
      </c>
      <c r="T927" s="22">
        <v>922</v>
      </c>
    </row>
    <row r="928" spans="1:20" ht="14.25" customHeight="1" x14ac:dyDescent="0.3">
      <c r="A928" s="4" t="str">
        <f>IF('Input Sheet'!B925=0,"",'Input Sheet'!B925)</f>
        <v/>
      </c>
      <c r="B928" s="24" t="b">
        <f t="shared" si="788"/>
        <v>0</v>
      </c>
      <c r="C928" s="4">
        <f>SUMIF('Input Sheet'!B$3:B$1000,A928,'Input Sheet'!C$3:C$1000)</f>
        <v>0</v>
      </c>
      <c r="D928" s="4">
        <f>SUMIF('Input Sheet'!B$3:B$1000,A928,'Input Sheet'!D$3:D$1000)</f>
        <v>0</v>
      </c>
      <c r="E928" s="4" t="str">
        <f t="shared" ref="E928:F928" ca="1" si="952">IFERROR(RANK(K928,K$6:K$1004,1),"")</f>
        <v/>
      </c>
      <c r="F928" s="4" t="str">
        <f t="shared" ca="1" si="952"/>
        <v/>
      </c>
      <c r="G928" s="4" t="str">
        <f t="shared" ca="1" si="790"/>
        <v/>
      </c>
      <c r="H928" s="4" t="str">
        <f t="shared" si="791"/>
        <v/>
      </c>
      <c r="I928" s="4" t="str">
        <f t="shared" si="792"/>
        <v/>
      </c>
      <c r="J928" s="4" t="str">
        <f t="shared" si="793"/>
        <v/>
      </c>
      <c r="K928" s="25" t="str">
        <f t="shared" ca="1" si="794"/>
        <v/>
      </c>
      <c r="L928" s="21" t="str">
        <f t="shared" ca="1" si="795"/>
        <v/>
      </c>
      <c r="M928" s="21" t="str">
        <f>IF(SUMIFS('Input Sheet'!$F$3:$F$1001,'Input Sheet'!$B$3:$B$1001,$H928,'Input Sheet'!$E$3:$E$1001,M$4)=0,"",SUMIFS('Input Sheet'!$F$3:$F$1001,'Input Sheet'!$B$3:$B$1001,$H928,'Input Sheet'!$E$3:$E$1001,M$4))</f>
        <v/>
      </c>
      <c r="N928" s="21" t="str">
        <f>IF(SUMIFS('Input Sheet'!$F$3:$F$1001,'Input Sheet'!$B$3:$B$1001,$H928,'Input Sheet'!$E$3:$E$1001,N$4)=0,"",SUMIFS('Input Sheet'!$F$3:$F$1001,'Input Sheet'!$B$3:$B$1001,$H928,'Input Sheet'!$E$3:$E$1001,N$4))</f>
        <v/>
      </c>
      <c r="O928" s="21" t="str">
        <f>IF(SUMIFS('Input Sheet'!$F$3:$F$1001,'Input Sheet'!$B$3:$B$1001,$H928,'Input Sheet'!$E$3:$E$1001,O$4)=0,"",SUMIFS('Input Sheet'!$F$3:$F$1001,'Input Sheet'!$B$3:$B$1001,$H928,'Input Sheet'!$E$3:$E$1001,O$4))</f>
        <v/>
      </c>
      <c r="P928" s="21" t="str">
        <f>IF(SUMIFS('Input Sheet'!$F$3:$F$1001,'Input Sheet'!$B$3:$B$1001,$H928,'Input Sheet'!$E$3:$E$1001,P$4)=0,"",SUMIFS('Input Sheet'!$F$3:$F$1001,'Input Sheet'!$B$3:$B$1001,$H928,'Input Sheet'!$E$3:$E$1001,P$4))</f>
        <v/>
      </c>
      <c r="Q928" s="21" t="str">
        <f>IF(SUMIFS('Input Sheet'!$F$3:$F$1001,'Input Sheet'!$B$3:$B$1001,$H928,'Input Sheet'!$E$3:$E$1001,Q$4)=0,"",SUMIFS('Input Sheet'!$F$3:$F$1001,'Input Sheet'!$B$3:$B$1001,$H928,'Input Sheet'!$E$3:$E$1001,Q$4))</f>
        <v/>
      </c>
      <c r="R928" s="21" t="str">
        <f>IF(SUMIFS('Input Sheet'!$F$3:$F$1001,'Input Sheet'!$B$3:$B$1001,$H928,'Input Sheet'!$E$3:$E$1001,R$4)=0,"",SUMIFS('Input Sheet'!$F$3:$F$1001,'Input Sheet'!$B$3:$B$1001,$H928,'Input Sheet'!$E$3:$E$1001,R$4))</f>
        <v/>
      </c>
      <c r="S928" s="21" t="str">
        <f>IF(SUMIFS('Input Sheet'!$F$3:$F$1001,'Input Sheet'!$B$3:$B$1001,$H928,'Input Sheet'!$E$3:$E$1001,S$4)=0,"",SUMIFS('Input Sheet'!$F$3:$F$1001,'Input Sheet'!$B$3:$B$1001,$H928,'Input Sheet'!$E$3:$E$1001,S$4))</f>
        <v/>
      </c>
      <c r="T928" s="22">
        <v>923</v>
      </c>
    </row>
    <row r="929" spans="1:20" ht="14.25" customHeight="1" x14ac:dyDescent="0.3">
      <c r="A929" s="4" t="str">
        <f>IF('Input Sheet'!B926=0,"",'Input Sheet'!B926)</f>
        <v/>
      </c>
      <c r="B929" s="24" t="b">
        <f t="shared" si="788"/>
        <v>0</v>
      </c>
      <c r="C929" s="4">
        <f>SUMIF('Input Sheet'!B$3:B$1000,A929,'Input Sheet'!C$3:C$1000)</f>
        <v>0</v>
      </c>
      <c r="D929" s="4">
        <f>SUMIF('Input Sheet'!B$3:B$1000,A929,'Input Sheet'!D$3:D$1000)</f>
        <v>0</v>
      </c>
      <c r="E929" s="4" t="str">
        <f t="shared" ref="E929:F929" ca="1" si="953">IFERROR(RANK(K929,K$6:K$1004,1),"")</f>
        <v/>
      </c>
      <c r="F929" s="4" t="str">
        <f t="shared" ca="1" si="953"/>
        <v/>
      </c>
      <c r="G929" s="4" t="str">
        <f t="shared" ca="1" si="790"/>
        <v/>
      </c>
      <c r="H929" s="4" t="str">
        <f t="shared" si="791"/>
        <v/>
      </c>
      <c r="I929" s="4" t="str">
        <f t="shared" si="792"/>
        <v/>
      </c>
      <c r="J929" s="4" t="str">
        <f t="shared" si="793"/>
        <v/>
      </c>
      <c r="K929" s="25" t="str">
        <f t="shared" ca="1" si="794"/>
        <v/>
      </c>
      <c r="L929" s="21" t="str">
        <f t="shared" ca="1" si="795"/>
        <v/>
      </c>
      <c r="M929" s="21" t="str">
        <f>IF(SUMIFS('Input Sheet'!$F$3:$F$1001,'Input Sheet'!$B$3:$B$1001,$H929,'Input Sheet'!$E$3:$E$1001,M$4)=0,"",SUMIFS('Input Sheet'!$F$3:$F$1001,'Input Sheet'!$B$3:$B$1001,$H929,'Input Sheet'!$E$3:$E$1001,M$4))</f>
        <v/>
      </c>
      <c r="N929" s="21" t="str">
        <f>IF(SUMIFS('Input Sheet'!$F$3:$F$1001,'Input Sheet'!$B$3:$B$1001,$H929,'Input Sheet'!$E$3:$E$1001,N$4)=0,"",SUMIFS('Input Sheet'!$F$3:$F$1001,'Input Sheet'!$B$3:$B$1001,$H929,'Input Sheet'!$E$3:$E$1001,N$4))</f>
        <v/>
      </c>
      <c r="O929" s="21" t="str">
        <f>IF(SUMIFS('Input Sheet'!$F$3:$F$1001,'Input Sheet'!$B$3:$B$1001,$H929,'Input Sheet'!$E$3:$E$1001,O$4)=0,"",SUMIFS('Input Sheet'!$F$3:$F$1001,'Input Sheet'!$B$3:$B$1001,$H929,'Input Sheet'!$E$3:$E$1001,O$4))</f>
        <v/>
      </c>
      <c r="P929" s="21" t="str">
        <f>IF(SUMIFS('Input Sheet'!$F$3:$F$1001,'Input Sheet'!$B$3:$B$1001,$H929,'Input Sheet'!$E$3:$E$1001,P$4)=0,"",SUMIFS('Input Sheet'!$F$3:$F$1001,'Input Sheet'!$B$3:$B$1001,$H929,'Input Sheet'!$E$3:$E$1001,P$4))</f>
        <v/>
      </c>
      <c r="Q929" s="21" t="str">
        <f>IF(SUMIFS('Input Sheet'!$F$3:$F$1001,'Input Sheet'!$B$3:$B$1001,$H929,'Input Sheet'!$E$3:$E$1001,Q$4)=0,"",SUMIFS('Input Sheet'!$F$3:$F$1001,'Input Sheet'!$B$3:$B$1001,$H929,'Input Sheet'!$E$3:$E$1001,Q$4))</f>
        <v/>
      </c>
      <c r="R929" s="21" t="str">
        <f>IF(SUMIFS('Input Sheet'!$F$3:$F$1001,'Input Sheet'!$B$3:$B$1001,$H929,'Input Sheet'!$E$3:$E$1001,R$4)=0,"",SUMIFS('Input Sheet'!$F$3:$F$1001,'Input Sheet'!$B$3:$B$1001,$H929,'Input Sheet'!$E$3:$E$1001,R$4))</f>
        <v/>
      </c>
      <c r="S929" s="21" t="str">
        <f>IF(SUMIFS('Input Sheet'!$F$3:$F$1001,'Input Sheet'!$B$3:$B$1001,$H929,'Input Sheet'!$E$3:$E$1001,S$4)=0,"",SUMIFS('Input Sheet'!$F$3:$F$1001,'Input Sheet'!$B$3:$B$1001,$H929,'Input Sheet'!$E$3:$E$1001,S$4))</f>
        <v/>
      </c>
      <c r="T929" s="22">
        <v>924</v>
      </c>
    </row>
    <row r="930" spans="1:20" ht="14.25" customHeight="1" x14ac:dyDescent="0.3">
      <c r="A930" s="4" t="str">
        <f>IF('Input Sheet'!B927=0,"",'Input Sheet'!B927)</f>
        <v/>
      </c>
      <c r="B930" s="24" t="b">
        <f t="shared" si="788"/>
        <v>0</v>
      </c>
      <c r="C930" s="4">
        <f>SUMIF('Input Sheet'!B$3:B$1000,A930,'Input Sheet'!C$3:C$1000)</f>
        <v>0</v>
      </c>
      <c r="D930" s="4">
        <f>SUMIF('Input Sheet'!B$3:B$1000,A930,'Input Sheet'!D$3:D$1000)</f>
        <v>0</v>
      </c>
      <c r="E930" s="4" t="str">
        <f t="shared" ref="E930:F930" ca="1" si="954">IFERROR(RANK(K930,K$6:K$1004,1),"")</f>
        <v/>
      </c>
      <c r="F930" s="4" t="str">
        <f t="shared" ca="1" si="954"/>
        <v/>
      </c>
      <c r="G930" s="4" t="str">
        <f t="shared" ca="1" si="790"/>
        <v/>
      </c>
      <c r="H930" s="4" t="str">
        <f t="shared" si="791"/>
        <v/>
      </c>
      <c r="I930" s="4" t="str">
        <f t="shared" si="792"/>
        <v/>
      </c>
      <c r="J930" s="4" t="str">
        <f t="shared" si="793"/>
        <v/>
      </c>
      <c r="K930" s="25" t="str">
        <f t="shared" ca="1" si="794"/>
        <v/>
      </c>
      <c r="L930" s="21" t="str">
        <f t="shared" ca="1" si="795"/>
        <v/>
      </c>
      <c r="M930" s="21" t="str">
        <f>IF(SUMIFS('Input Sheet'!$F$3:$F$1001,'Input Sheet'!$B$3:$B$1001,$H930,'Input Sheet'!$E$3:$E$1001,M$4)=0,"",SUMIFS('Input Sheet'!$F$3:$F$1001,'Input Sheet'!$B$3:$B$1001,$H930,'Input Sheet'!$E$3:$E$1001,M$4))</f>
        <v/>
      </c>
      <c r="N930" s="21" t="str">
        <f>IF(SUMIFS('Input Sheet'!$F$3:$F$1001,'Input Sheet'!$B$3:$B$1001,$H930,'Input Sheet'!$E$3:$E$1001,N$4)=0,"",SUMIFS('Input Sheet'!$F$3:$F$1001,'Input Sheet'!$B$3:$B$1001,$H930,'Input Sheet'!$E$3:$E$1001,N$4))</f>
        <v/>
      </c>
      <c r="O930" s="21" t="str">
        <f>IF(SUMIFS('Input Sheet'!$F$3:$F$1001,'Input Sheet'!$B$3:$B$1001,$H930,'Input Sheet'!$E$3:$E$1001,O$4)=0,"",SUMIFS('Input Sheet'!$F$3:$F$1001,'Input Sheet'!$B$3:$B$1001,$H930,'Input Sheet'!$E$3:$E$1001,O$4))</f>
        <v/>
      </c>
      <c r="P930" s="21" t="str">
        <f>IF(SUMIFS('Input Sheet'!$F$3:$F$1001,'Input Sheet'!$B$3:$B$1001,$H930,'Input Sheet'!$E$3:$E$1001,P$4)=0,"",SUMIFS('Input Sheet'!$F$3:$F$1001,'Input Sheet'!$B$3:$B$1001,$H930,'Input Sheet'!$E$3:$E$1001,P$4))</f>
        <v/>
      </c>
      <c r="Q930" s="21" t="str">
        <f>IF(SUMIFS('Input Sheet'!$F$3:$F$1001,'Input Sheet'!$B$3:$B$1001,$H930,'Input Sheet'!$E$3:$E$1001,Q$4)=0,"",SUMIFS('Input Sheet'!$F$3:$F$1001,'Input Sheet'!$B$3:$B$1001,$H930,'Input Sheet'!$E$3:$E$1001,Q$4))</f>
        <v/>
      </c>
      <c r="R930" s="21" t="str">
        <f>IF(SUMIFS('Input Sheet'!$F$3:$F$1001,'Input Sheet'!$B$3:$B$1001,$H930,'Input Sheet'!$E$3:$E$1001,R$4)=0,"",SUMIFS('Input Sheet'!$F$3:$F$1001,'Input Sheet'!$B$3:$B$1001,$H930,'Input Sheet'!$E$3:$E$1001,R$4))</f>
        <v/>
      </c>
      <c r="S930" s="21" t="str">
        <f>IF(SUMIFS('Input Sheet'!$F$3:$F$1001,'Input Sheet'!$B$3:$B$1001,$H930,'Input Sheet'!$E$3:$E$1001,S$4)=0,"",SUMIFS('Input Sheet'!$F$3:$F$1001,'Input Sheet'!$B$3:$B$1001,$H930,'Input Sheet'!$E$3:$E$1001,S$4))</f>
        <v/>
      </c>
      <c r="T930" s="22">
        <v>925</v>
      </c>
    </row>
    <row r="931" spans="1:20" ht="14.25" customHeight="1" x14ac:dyDescent="0.3">
      <c r="A931" s="4" t="str">
        <f>IF('Input Sheet'!B928=0,"",'Input Sheet'!B928)</f>
        <v/>
      </c>
      <c r="B931" s="24" t="b">
        <f t="shared" si="788"/>
        <v>0</v>
      </c>
      <c r="C931" s="4">
        <f>SUMIF('Input Sheet'!B$3:B$1000,A931,'Input Sheet'!C$3:C$1000)</f>
        <v>0</v>
      </c>
      <c r="D931" s="4">
        <f>SUMIF('Input Sheet'!B$3:B$1000,A931,'Input Sheet'!D$3:D$1000)</f>
        <v>0</v>
      </c>
      <c r="E931" s="4" t="str">
        <f t="shared" ref="E931:F931" ca="1" si="955">IFERROR(RANK(K931,K$6:K$1004,1),"")</f>
        <v/>
      </c>
      <c r="F931" s="4" t="str">
        <f t="shared" ca="1" si="955"/>
        <v/>
      </c>
      <c r="G931" s="4" t="str">
        <f t="shared" ca="1" si="790"/>
        <v/>
      </c>
      <c r="H931" s="4" t="str">
        <f t="shared" si="791"/>
        <v/>
      </c>
      <c r="I931" s="4" t="str">
        <f t="shared" si="792"/>
        <v/>
      </c>
      <c r="J931" s="4" t="str">
        <f t="shared" si="793"/>
        <v/>
      </c>
      <c r="K931" s="25" t="str">
        <f t="shared" ca="1" si="794"/>
        <v/>
      </c>
      <c r="L931" s="21" t="str">
        <f t="shared" ca="1" si="795"/>
        <v/>
      </c>
      <c r="M931" s="21" t="str">
        <f>IF(SUMIFS('Input Sheet'!$F$3:$F$1001,'Input Sheet'!$B$3:$B$1001,$H931,'Input Sheet'!$E$3:$E$1001,M$4)=0,"",SUMIFS('Input Sheet'!$F$3:$F$1001,'Input Sheet'!$B$3:$B$1001,$H931,'Input Sheet'!$E$3:$E$1001,M$4))</f>
        <v/>
      </c>
      <c r="N931" s="21" t="str">
        <f>IF(SUMIFS('Input Sheet'!$F$3:$F$1001,'Input Sheet'!$B$3:$B$1001,$H931,'Input Sheet'!$E$3:$E$1001,N$4)=0,"",SUMIFS('Input Sheet'!$F$3:$F$1001,'Input Sheet'!$B$3:$B$1001,$H931,'Input Sheet'!$E$3:$E$1001,N$4))</f>
        <v/>
      </c>
      <c r="O931" s="21" t="str">
        <f>IF(SUMIFS('Input Sheet'!$F$3:$F$1001,'Input Sheet'!$B$3:$B$1001,$H931,'Input Sheet'!$E$3:$E$1001,O$4)=0,"",SUMIFS('Input Sheet'!$F$3:$F$1001,'Input Sheet'!$B$3:$B$1001,$H931,'Input Sheet'!$E$3:$E$1001,O$4))</f>
        <v/>
      </c>
      <c r="P931" s="21" t="str">
        <f>IF(SUMIFS('Input Sheet'!$F$3:$F$1001,'Input Sheet'!$B$3:$B$1001,$H931,'Input Sheet'!$E$3:$E$1001,P$4)=0,"",SUMIFS('Input Sheet'!$F$3:$F$1001,'Input Sheet'!$B$3:$B$1001,$H931,'Input Sheet'!$E$3:$E$1001,P$4))</f>
        <v/>
      </c>
      <c r="Q931" s="21" t="str">
        <f>IF(SUMIFS('Input Sheet'!$F$3:$F$1001,'Input Sheet'!$B$3:$B$1001,$H931,'Input Sheet'!$E$3:$E$1001,Q$4)=0,"",SUMIFS('Input Sheet'!$F$3:$F$1001,'Input Sheet'!$B$3:$B$1001,$H931,'Input Sheet'!$E$3:$E$1001,Q$4))</f>
        <v/>
      </c>
      <c r="R931" s="21" t="str">
        <f>IF(SUMIFS('Input Sheet'!$F$3:$F$1001,'Input Sheet'!$B$3:$B$1001,$H931,'Input Sheet'!$E$3:$E$1001,R$4)=0,"",SUMIFS('Input Sheet'!$F$3:$F$1001,'Input Sheet'!$B$3:$B$1001,$H931,'Input Sheet'!$E$3:$E$1001,R$4))</f>
        <v/>
      </c>
      <c r="S931" s="21" t="str">
        <f>IF(SUMIFS('Input Sheet'!$F$3:$F$1001,'Input Sheet'!$B$3:$B$1001,$H931,'Input Sheet'!$E$3:$E$1001,S$4)=0,"",SUMIFS('Input Sheet'!$F$3:$F$1001,'Input Sheet'!$B$3:$B$1001,$H931,'Input Sheet'!$E$3:$E$1001,S$4))</f>
        <v/>
      </c>
      <c r="T931" s="22">
        <v>926</v>
      </c>
    </row>
    <row r="932" spans="1:20" ht="14.25" customHeight="1" x14ac:dyDescent="0.3">
      <c r="A932" s="4" t="str">
        <f>IF('Input Sheet'!B929=0,"",'Input Sheet'!B929)</f>
        <v/>
      </c>
      <c r="B932" s="24" t="b">
        <f t="shared" si="788"/>
        <v>0</v>
      </c>
      <c r="C932" s="4">
        <f>SUMIF('Input Sheet'!B$3:B$1000,A932,'Input Sheet'!C$3:C$1000)</f>
        <v>0</v>
      </c>
      <c r="D932" s="4">
        <f>SUMIF('Input Sheet'!B$3:B$1000,A932,'Input Sheet'!D$3:D$1000)</f>
        <v>0</v>
      </c>
      <c r="E932" s="4" t="str">
        <f t="shared" ref="E932:F932" ca="1" si="956">IFERROR(RANK(K932,K$6:K$1004,1),"")</f>
        <v/>
      </c>
      <c r="F932" s="4" t="str">
        <f t="shared" ca="1" si="956"/>
        <v/>
      </c>
      <c r="G932" s="4" t="str">
        <f t="shared" ca="1" si="790"/>
        <v/>
      </c>
      <c r="H932" s="4" t="str">
        <f t="shared" si="791"/>
        <v/>
      </c>
      <c r="I932" s="4" t="str">
        <f t="shared" si="792"/>
        <v/>
      </c>
      <c r="J932" s="4" t="str">
        <f t="shared" si="793"/>
        <v/>
      </c>
      <c r="K932" s="25" t="str">
        <f t="shared" ca="1" si="794"/>
        <v/>
      </c>
      <c r="L932" s="21" t="str">
        <f t="shared" ca="1" si="795"/>
        <v/>
      </c>
      <c r="M932" s="21" t="str">
        <f>IF(SUMIFS('Input Sheet'!$F$3:$F$1001,'Input Sheet'!$B$3:$B$1001,$H932,'Input Sheet'!$E$3:$E$1001,M$4)=0,"",SUMIFS('Input Sheet'!$F$3:$F$1001,'Input Sheet'!$B$3:$B$1001,$H932,'Input Sheet'!$E$3:$E$1001,M$4))</f>
        <v/>
      </c>
      <c r="N932" s="21" t="str">
        <f>IF(SUMIFS('Input Sheet'!$F$3:$F$1001,'Input Sheet'!$B$3:$B$1001,$H932,'Input Sheet'!$E$3:$E$1001,N$4)=0,"",SUMIFS('Input Sheet'!$F$3:$F$1001,'Input Sheet'!$B$3:$B$1001,$H932,'Input Sheet'!$E$3:$E$1001,N$4))</f>
        <v/>
      </c>
      <c r="O932" s="21" t="str">
        <f>IF(SUMIFS('Input Sheet'!$F$3:$F$1001,'Input Sheet'!$B$3:$B$1001,$H932,'Input Sheet'!$E$3:$E$1001,O$4)=0,"",SUMIFS('Input Sheet'!$F$3:$F$1001,'Input Sheet'!$B$3:$B$1001,$H932,'Input Sheet'!$E$3:$E$1001,O$4))</f>
        <v/>
      </c>
      <c r="P932" s="21" t="str">
        <f>IF(SUMIFS('Input Sheet'!$F$3:$F$1001,'Input Sheet'!$B$3:$B$1001,$H932,'Input Sheet'!$E$3:$E$1001,P$4)=0,"",SUMIFS('Input Sheet'!$F$3:$F$1001,'Input Sheet'!$B$3:$B$1001,$H932,'Input Sheet'!$E$3:$E$1001,P$4))</f>
        <v/>
      </c>
      <c r="Q932" s="21" t="str">
        <f>IF(SUMIFS('Input Sheet'!$F$3:$F$1001,'Input Sheet'!$B$3:$B$1001,$H932,'Input Sheet'!$E$3:$E$1001,Q$4)=0,"",SUMIFS('Input Sheet'!$F$3:$F$1001,'Input Sheet'!$B$3:$B$1001,$H932,'Input Sheet'!$E$3:$E$1001,Q$4))</f>
        <v/>
      </c>
      <c r="R932" s="21" t="str">
        <f>IF(SUMIFS('Input Sheet'!$F$3:$F$1001,'Input Sheet'!$B$3:$B$1001,$H932,'Input Sheet'!$E$3:$E$1001,R$4)=0,"",SUMIFS('Input Sheet'!$F$3:$F$1001,'Input Sheet'!$B$3:$B$1001,$H932,'Input Sheet'!$E$3:$E$1001,R$4))</f>
        <v/>
      </c>
      <c r="S932" s="21" t="str">
        <f>IF(SUMIFS('Input Sheet'!$F$3:$F$1001,'Input Sheet'!$B$3:$B$1001,$H932,'Input Sheet'!$E$3:$E$1001,S$4)=0,"",SUMIFS('Input Sheet'!$F$3:$F$1001,'Input Sheet'!$B$3:$B$1001,$H932,'Input Sheet'!$E$3:$E$1001,S$4))</f>
        <v/>
      </c>
      <c r="T932" s="22">
        <v>927</v>
      </c>
    </row>
    <row r="933" spans="1:20" ht="14.25" customHeight="1" x14ac:dyDescent="0.3">
      <c r="A933" s="4" t="str">
        <f>IF('Input Sheet'!B930=0,"",'Input Sheet'!B930)</f>
        <v/>
      </c>
      <c r="B933" s="24" t="b">
        <f t="shared" si="788"/>
        <v>0</v>
      </c>
      <c r="C933" s="4">
        <f>SUMIF('Input Sheet'!B$3:B$1000,A933,'Input Sheet'!C$3:C$1000)</f>
        <v>0</v>
      </c>
      <c r="D933" s="4">
        <f>SUMIF('Input Sheet'!B$3:B$1000,A933,'Input Sheet'!D$3:D$1000)</f>
        <v>0</v>
      </c>
      <c r="E933" s="4" t="str">
        <f t="shared" ref="E933:F933" ca="1" si="957">IFERROR(RANK(K933,K$6:K$1004,1),"")</f>
        <v/>
      </c>
      <c r="F933" s="4" t="str">
        <f t="shared" ca="1" si="957"/>
        <v/>
      </c>
      <c r="G933" s="4" t="str">
        <f t="shared" ca="1" si="790"/>
        <v/>
      </c>
      <c r="H933" s="4" t="str">
        <f t="shared" si="791"/>
        <v/>
      </c>
      <c r="I933" s="4" t="str">
        <f t="shared" si="792"/>
        <v/>
      </c>
      <c r="J933" s="4" t="str">
        <f t="shared" si="793"/>
        <v/>
      </c>
      <c r="K933" s="25" t="str">
        <f t="shared" ca="1" si="794"/>
        <v/>
      </c>
      <c r="L933" s="21" t="str">
        <f t="shared" ca="1" si="795"/>
        <v/>
      </c>
      <c r="M933" s="21" t="str">
        <f>IF(SUMIFS('Input Sheet'!$F$3:$F$1001,'Input Sheet'!$B$3:$B$1001,$H933,'Input Sheet'!$E$3:$E$1001,M$4)=0,"",SUMIFS('Input Sheet'!$F$3:$F$1001,'Input Sheet'!$B$3:$B$1001,$H933,'Input Sheet'!$E$3:$E$1001,M$4))</f>
        <v/>
      </c>
      <c r="N933" s="21" t="str">
        <f>IF(SUMIFS('Input Sheet'!$F$3:$F$1001,'Input Sheet'!$B$3:$B$1001,$H933,'Input Sheet'!$E$3:$E$1001,N$4)=0,"",SUMIFS('Input Sheet'!$F$3:$F$1001,'Input Sheet'!$B$3:$B$1001,$H933,'Input Sheet'!$E$3:$E$1001,N$4))</f>
        <v/>
      </c>
      <c r="O933" s="21" t="str">
        <f>IF(SUMIFS('Input Sheet'!$F$3:$F$1001,'Input Sheet'!$B$3:$B$1001,$H933,'Input Sheet'!$E$3:$E$1001,O$4)=0,"",SUMIFS('Input Sheet'!$F$3:$F$1001,'Input Sheet'!$B$3:$B$1001,$H933,'Input Sheet'!$E$3:$E$1001,O$4))</f>
        <v/>
      </c>
      <c r="P933" s="21" t="str">
        <f>IF(SUMIFS('Input Sheet'!$F$3:$F$1001,'Input Sheet'!$B$3:$B$1001,$H933,'Input Sheet'!$E$3:$E$1001,P$4)=0,"",SUMIFS('Input Sheet'!$F$3:$F$1001,'Input Sheet'!$B$3:$B$1001,$H933,'Input Sheet'!$E$3:$E$1001,P$4))</f>
        <v/>
      </c>
      <c r="Q933" s="21" t="str">
        <f>IF(SUMIFS('Input Sheet'!$F$3:$F$1001,'Input Sheet'!$B$3:$B$1001,$H933,'Input Sheet'!$E$3:$E$1001,Q$4)=0,"",SUMIFS('Input Sheet'!$F$3:$F$1001,'Input Sheet'!$B$3:$B$1001,$H933,'Input Sheet'!$E$3:$E$1001,Q$4))</f>
        <v/>
      </c>
      <c r="R933" s="21" t="str">
        <f>IF(SUMIFS('Input Sheet'!$F$3:$F$1001,'Input Sheet'!$B$3:$B$1001,$H933,'Input Sheet'!$E$3:$E$1001,R$4)=0,"",SUMIFS('Input Sheet'!$F$3:$F$1001,'Input Sheet'!$B$3:$B$1001,$H933,'Input Sheet'!$E$3:$E$1001,R$4))</f>
        <v/>
      </c>
      <c r="S933" s="21" t="str">
        <f>IF(SUMIFS('Input Sheet'!$F$3:$F$1001,'Input Sheet'!$B$3:$B$1001,$H933,'Input Sheet'!$E$3:$E$1001,S$4)=0,"",SUMIFS('Input Sheet'!$F$3:$F$1001,'Input Sheet'!$B$3:$B$1001,$H933,'Input Sheet'!$E$3:$E$1001,S$4))</f>
        <v/>
      </c>
      <c r="T933" s="22">
        <v>928</v>
      </c>
    </row>
    <row r="934" spans="1:20" ht="14.25" customHeight="1" x14ac:dyDescent="0.3">
      <c r="A934" s="4" t="str">
        <f>IF('Input Sheet'!B931=0,"",'Input Sheet'!B931)</f>
        <v/>
      </c>
      <c r="B934" s="24" t="b">
        <f t="shared" si="788"/>
        <v>0</v>
      </c>
      <c r="C934" s="4">
        <f>SUMIF('Input Sheet'!B$3:B$1000,A934,'Input Sheet'!C$3:C$1000)</f>
        <v>0</v>
      </c>
      <c r="D934" s="4">
        <f>SUMIF('Input Sheet'!B$3:B$1000,A934,'Input Sheet'!D$3:D$1000)</f>
        <v>0</v>
      </c>
      <c r="E934" s="4" t="str">
        <f t="shared" ref="E934:F934" ca="1" si="958">IFERROR(RANK(K934,K$6:K$1004,1),"")</f>
        <v/>
      </c>
      <c r="F934" s="4" t="str">
        <f t="shared" ca="1" si="958"/>
        <v/>
      </c>
      <c r="G934" s="4" t="str">
        <f t="shared" ca="1" si="790"/>
        <v/>
      </c>
      <c r="H934" s="4" t="str">
        <f t="shared" si="791"/>
        <v/>
      </c>
      <c r="I934" s="4" t="str">
        <f t="shared" si="792"/>
        <v/>
      </c>
      <c r="J934" s="4" t="str">
        <f t="shared" si="793"/>
        <v/>
      </c>
      <c r="K934" s="25" t="str">
        <f t="shared" ca="1" si="794"/>
        <v/>
      </c>
      <c r="L934" s="21" t="str">
        <f t="shared" ca="1" si="795"/>
        <v/>
      </c>
      <c r="M934" s="21" t="str">
        <f>IF(SUMIFS('Input Sheet'!$F$3:$F$1001,'Input Sheet'!$B$3:$B$1001,$H934,'Input Sheet'!$E$3:$E$1001,M$4)=0,"",SUMIFS('Input Sheet'!$F$3:$F$1001,'Input Sheet'!$B$3:$B$1001,$H934,'Input Sheet'!$E$3:$E$1001,M$4))</f>
        <v/>
      </c>
      <c r="N934" s="21" t="str">
        <f>IF(SUMIFS('Input Sheet'!$F$3:$F$1001,'Input Sheet'!$B$3:$B$1001,$H934,'Input Sheet'!$E$3:$E$1001,N$4)=0,"",SUMIFS('Input Sheet'!$F$3:$F$1001,'Input Sheet'!$B$3:$B$1001,$H934,'Input Sheet'!$E$3:$E$1001,N$4))</f>
        <v/>
      </c>
      <c r="O934" s="21" t="str">
        <f>IF(SUMIFS('Input Sheet'!$F$3:$F$1001,'Input Sheet'!$B$3:$B$1001,$H934,'Input Sheet'!$E$3:$E$1001,O$4)=0,"",SUMIFS('Input Sheet'!$F$3:$F$1001,'Input Sheet'!$B$3:$B$1001,$H934,'Input Sheet'!$E$3:$E$1001,O$4))</f>
        <v/>
      </c>
      <c r="P934" s="21" t="str">
        <f>IF(SUMIFS('Input Sheet'!$F$3:$F$1001,'Input Sheet'!$B$3:$B$1001,$H934,'Input Sheet'!$E$3:$E$1001,P$4)=0,"",SUMIFS('Input Sheet'!$F$3:$F$1001,'Input Sheet'!$B$3:$B$1001,$H934,'Input Sheet'!$E$3:$E$1001,P$4))</f>
        <v/>
      </c>
      <c r="Q934" s="21" t="str">
        <f>IF(SUMIFS('Input Sheet'!$F$3:$F$1001,'Input Sheet'!$B$3:$B$1001,$H934,'Input Sheet'!$E$3:$E$1001,Q$4)=0,"",SUMIFS('Input Sheet'!$F$3:$F$1001,'Input Sheet'!$B$3:$B$1001,$H934,'Input Sheet'!$E$3:$E$1001,Q$4))</f>
        <v/>
      </c>
      <c r="R934" s="21" t="str">
        <f>IF(SUMIFS('Input Sheet'!$F$3:$F$1001,'Input Sheet'!$B$3:$B$1001,$H934,'Input Sheet'!$E$3:$E$1001,R$4)=0,"",SUMIFS('Input Sheet'!$F$3:$F$1001,'Input Sheet'!$B$3:$B$1001,$H934,'Input Sheet'!$E$3:$E$1001,R$4))</f>
        <v/>
      </c>
      <c r="S934" s="21" t="str">
        <f>IF(SUMIFS('Input Sheet'!$F$3:$F$1001,'Input Sheet'!$B$3:$B$1001,$H934,'Input Sheet'!$E$3:$E$1001,S$4)=0,"",SUMIFS('Input Sheet'!$F$3:$F$1001,'Input Sheet'!$B$3:$B$1001,$H934,'Input Sheet'!$E$3:$E$1001,S$4))</f>
        <v/>
      </c>
      <c r="T934" s="22">
        <v>929</v>
      </c>
    </row>
    <row r="935" spans="1:20" ht="14.25" customHeight="1" x14ac:dyDescent="0.3">
      <c r="A935" s="4" t="str">
        <f>IF('Input Sheet'!B932=0,"",'Input Sheet'!B932)</f>
        <v/>
      </c>
      <c r="B935" s="24" t="b">
        <f t="shared" si="788"/>
        <v>0</v>
      </c>
      <c r="C935" s="4">
        <f>SUMIF('Input Sheet'!B$3:B$1000,A935,'Input Sheet'!C$3:C$1000)</f>
        <v>0</v>
      </c>
      <c r="D935" s="4">
        <f>SUMIF('Input Sheet'!B$3:B$1000,A935,'Input Sheet'!D$3:D$1000)</f>
        <v>0</v>
      </c>
      <c r="E935" s="4" t="str">
        <f t="shared" ref="E935:F935" ca="1" si="959">IFERROR(RANK(K935,K$6:K$1004,1),"")</f>
        <v/>
      </c>
      <c r="F935" s="4" t="str">
        <f t="shared" ca="1" si="959"/>
        <v/>
      </c>
      <c r="G935" s="4" t="str">
        <f t="shared" ca="1" si="790"/>
        <v/>
      </c>
      <c r="H935" s="4" t="str">
        <f t="shared" si="791"/>
        <v/>
      </c>
      <c r="I935" s="4" t="str">
        <f t="shared" si="792"/>
        <v/>
      </c>
      <c r="J935" s="4" t="str">
        <f t="shared" si="793"/>
        <v/>
      </c>
      <c r="K935" s="25" t="str">
        <f t="shared" ca="1" si="794"/>
        <v/>
      </c>
      <c r="L935" s="21" t="str">
        <f t="shared" ca="1" si="795"/>
        <v/>
      </c>
      <c r="M935" s="21" t="str">
        <f>IF(SUMIFS('Input Sheet'!$F$3:$F$1001,'Input Sheet'!$B$3:$B$1001,$H935,'Input Sheet'!$E$3:$E$1001,M$4)=0,"",SUMIFS('Input Sheet'!$F$3:$F$1001,'Input Sheet'!$B$3:$B$1001,$H935,'Input Sheet'!$E$3:$E$1001,M$4))</f>
        <v/>
      </c>
      <c r="N935" s="21" t="str">
        <f>IF(SUMIFS('Input Sheet'!$F$3:$F$1001,'Input Sheet'!$B$3:$B$1001,$H935,'Input Sheet'!$E$3:$E$1001,N$4)=0,"",SUMIFS('Input Sheet'!$F$3:$F$1001,'Input Sheet'!$B$3:$B$1001,$H935,'Input Sheet'!$E$3:$E$1001,N$4))</f>
        <v/>
      </c>
      <c r="O935" s="21" t="str">
        <f>IF(SUMIFS('Input Sheet'!$F$3:$F$1001,'Input Sheet'!$B$3:$B$1001,$H935,'Input Sheet'!$E$3:$E$1001,O$4)=0,"",SUMIFS('Input Sheet'!$F$3:$F$1001,'Input Sheet'!$B$3:$B$1001,$H935,'Input Sheet'!$E$3:$E$1001,O$4))</f>
        <v/>
      </c>
      <c r="P935" s="21" t="str">
        <f>IF(SUMIFS('Input Sheet'!$F$3:$F$1001,'Input Sheet'!$B$3:$B$1001,$H935,'Input Sheet'!$E$3:$E$1001,P$4)=0,"",SUMIFS('Input Sheet'!$F$3:$F$1001,'Input Sheet'!$B$3:$B$1001,$H935,'Input Sheet'!$E$3:$E$1001,P$4))</f>
        <v/>
      </c>
      <c r="Q935" s="21" t="str">
        <f>IF(SUMIFS('Input Sheet'!$F$3:$F$1001,'Input Sheet'!$B$3:$B$1001,$H935,'Input Sheet'!$E$3:$E$1001,Q$4)=0,"",SUMIFS('Input Sheet'!$F$3:$F$1001,'Input Sheet'!$B$3:$B$1001,$H935,'Input Sheet'!$E$3:$E$1001,Q$4))</f>
        <v/>
      </c>
      <c r="R935" s="21" t="str">
        <f>IF(SUMIFS('Input Sheet'!$F$3:$F$1001,'Input Sheet'!$B$3:$B$1001,$H935,'Input Sheet'!$E$3:$E$1001,R$4)=0,"",SUMIFS('Input Sheet'!$F$3:$F$1001,'Input Sheet'!$B$3:$B$1001,$H935,'Input Sheet'!$E$3:$E$1001,R$4))</f>
        <v/>
      </c>
      <c r="S935" s="21" t="str">
        <f>IF(SUMIFS('Input Sheet'!$F$3:$F$1001,'Input Sheet'!$B$3:$B$1001,$H935,'Input Sheet'!$E$3:$E$1001,S$4)=0,"",SUMIFS('Input Sheet'!$F$3:$F$1001,'Input Sheet'!$B$3:$B$1001,$H935,'Input Sheet'!$E$3:$E$1001,S$4))</f>
        <v/>
      </c>
      <c r="T935" s="22">
        <v>930</v>
      </c>
    </row>
    <row r="936" spans="1:20" ht="14.25" customHeight="1" x14ac:dyDescent="0.3">
      <c r="A936" s="4" t="str">
        <f>IF('Input Sheet'!B933=0,"",'Input Sheet'!B933)</f>
        <v/>
      </c>
      <c r="B936" s="24" t="b">
        <f t="shared" si="788"/>
        <v>0</v>
      </c>
      <c r="C936" s="4">
        <f>SUMIF('Input Sheet'!B$3:B$1000,A936,'Input Sheet'!C$3:C$1000)</f>
        <v>0</v>
      </c>
      <c r="D936" s="4">
        <f>SUMIF('Input Sheet'!B$3:B$1000,A936,'Input Sheet'!D$3:D$1000)</f>
        <v>0</v>
      </c>
      <c r="E936" s="4" t="str">
        <f t="shared" ref="E936:F936" ca="1" si="960">IFERROR(RANK(K936,K$6:K$1004,1),"")</f>
        <v/>
      </c>
      <c r="F936" s="4" t="str">
        <f t="shared" ca="1" si="960"/>
        <v/>
      </c>
      <c r="G936" s="4" t="str">
        <f t="shared" ca="1" si="790"/>
        <v/>
      </c>
      <c r="H936" s="4" t="str">
        <f t="shared" si="791"/>
        <v/>
      </c>
      <c r="I936" s="4" t="str">
        <f t="shared" si="792"/>
        <v/>
      </c>
      <c r="J936" s="4" t="str">
        <f t="shared" si="793"/>
        <v/>
      </c>
      <c r="K936" s="25" t="str">
        <f t="shared" ca="1" si="794"/>
        <v/>
      </c>
      <c r="L936" s="21" t="str">
        <f t="shared" ca="1" si="795"/>
        <v/>
      </c>
      <c r="M936" s="21" t="str">
        <f>IF(SUMIFS('Input Sheet'!$F$3:$F$1001,'Input Sheet'!$B$3:$B$1001,$H936,'Input Sheet'!$E$3:$E$1001,M$4)=0,"",SUMIFS('Input Sheet'!$F$3:$F$1001,'Input Sheet'!$B$3:$B$1001,$H936,'Input Sheet'!$E$3:$E$1001,M$4))</f>
        <v/>
      </c>
      <c r="N936" s="21" t="str">
        <f>IF(SUMIFS('Input Sheet'!$F$3:$F$1001,'Input Sheet'!$B$3:$B$1001,$H936,'Input Sheet'!$E$3:$E$1001,N$4)=0,"",SUMIFS('Input Sheet'!$F$3:$F$1001,'Input Sheet'!$B$3:$B$1001,$H936,'Input Sheet'!$E$3:$E$1001,N$4))</f>
        <v/>
      </c>
      <c r="O936" s="21" t="str">
        <f>IF(SUMIFS('Input Sheet'!$F$3:$F$1001,'Input Sheet'!$B$3:$B$1001,$H936,'Input Sheet'!$E$3:$E$1001,O$4)=0,"",SUMIFS('Input Sheet'!$F$3:$F$1001,'Input Sheet'!$B$3:$B$1001,$H936,'Input Sheet'!$E$3:$E$1001,O$4))</f>
        <v/>
      </c>
      <c r="P936" s="21" t="str">
        <f>IF(SUMIFS('Input Sheet'!$F$3:$F$1001,'Input Sheet'!$B$3:$B$1001,$H936,'Input Sheet'!$E$3:$E$1001,P$4)=0,"",SUMIFS('Input Sheet'!$F$3:$F$1001,'Input Sheet'!$B$3:$B$1001,$H936,'Input Sheet'!$E$3:$E$1001,P$4))</f>
        <v/>
      </c>
      <c r="Q936" s="21" t="str">
        <f>IF(SUMIFS('Input Sheet'!$F$3:$F$1001,'Input Sheet'!$B$3:$B$1001,$H936,'Input Sheet'!$E$3:$E$1001,Q$4)=0,"",SUMIFS('Input Sheet'!$F$3:$F$1001,'Input Sheet'!$B$3:$B$1001,$H936,'Input Sheet'!$E$3:$E$1001,Q$4))</f>
        <v/>
      </c>
      <c r="R936" s="21" t="str">
        <f>IF(SUMIFS('Input Sheet'!$F$3:$F$1001,'Input Sheet'!$B$3:$B$1001,$H936,'Input Sheet'!$E$3:$E$1001,R$4)=0,"",SUMIFS('Input Sheet'!$F$3:$F$1001,'Input Sheet'!$B$3:$B$1001,$H936,'Input Sheet'!$E$3:$E$1001,R$4))</f>
        <v/>
      </c>
      <c r="S936" s="21" t="str">
        <f>IF(SUMIFS('Input Sheet'!$F$3:$F$1001,'Input Sheet'!$B$3:$B$1001,$H936,'Input Sheet'!$E$3:$E$1001,S$4)=0,"",SUMIFS('Input Sheet'!$F$3:$F$1001,'Input Sheet'!$B$3:$B$1001,$H936,'Input Sheet'!$E$3:$E$1001,S$4))</f>
        <v/>
      </c>
      <c r="T936" s="22">
        <v>931</v>
      </c>
    </row>
    <row r="937" spans="1:20" ht="14.25" customHeight="1" x14ac:dyDescent="0.3">
      <c r="A937" s="4" t="str">
        <f>IF('Input Sheet'!B934=0,"",'Input Sheet'!B934)</f>
        <v/>
      </c>
      <c r="B937" s="24" t="b">
        <f t="shared" si="788"/>
        <v>0</v>
      </c>
      <c r="C937" s="4">
        <f>SUMIF('Input Sheet'!B$3:B$1000,A937,'Input Sheet'!C$3:C$1000)</f>
        <v>0</v>
      </c>
      <c r="D937" s="4">
        <f>SUMIF('Input Sheet'!B$3:B$1000,A937,'Input Sheet'!D$3:D$1000)</f>
        <v>0</v>
      </c>
      <c r="E937" s="4" t="str">
        <f t="shared" ref="E937:F937" ca="1" si="961">IFERROR(RANK(K937,K$6:K$1004,1),"")</f>
        <v/>
      </c>
      <c r="F937" s="4" t="str">
        <f t="shared" ca="1" si="961"/>
        <v/>
      </c>
      <c r="G937" s="4" t="str">
        <f t="shared" ca="1" si="790"/>
        <v/>
      </c>
      <c r="H937" s="4" t="str">
        <f t="shared" si="791"/>
        <v/>
      </c>
      <c r="I937" s="4" t="str">
        <f t="shared" si="792"/>
        <v/>
      </c>
      <c r="J937" s="4" t="str">
        <f t="shared" si="793"/>
        <v/>
      </c>
      <c r="K937" s="25" t="str">
        <f t="shared" ca="1" si="794"/>
        <v/>
      </c>
      <c r="L937" s="21" t="str">
        <f t="shared" ca="1" si="795"/>
        <v/>
      </c>
      <c r="M937" s="21" t="str">
        <f>IF(SUMIFS('Input Sheet'!$F$3:$F$1001,'Input Sheet'!$B$3:$B$1001,$H937,'Input Sheet'!$E$3:$E$1001,M$4)=0,"",SUMIFS('Input Sheet'!$F$3:$F$1001,'Input Sheet'!$B$3:$B$1001,$H937,'Input Sheet'!$E$3:$E$1001,M$4))</f>
        <v/>
      </c>
      <c r="N937" s="21" t="str">
        <f>IF(SUMIFS('Input Sheet'!$F$3:$F$1001,'Input Sheet'!$B$3:$B$1001,$H937,'Input Sheet'!$E$3:$E$1001,N$4)=0,"",SUMIFS('Input Sheet'!$F$3:$F$1001,'Input Sheet'!$B$3:$B$1001,$H937,'Input Sheet'!$E$3:$E$1001,N$4))</f>
        <v/>
      </c>
      <c r="O937" s="21" t="str">
        <f>IF(SUMIFS('Input Sheet'!$F$3:$F$1001,'Input Sheet'!$B$3:$B$1001,$H937,'Input Sheet'!$E$3:$E$1001,O$4)=0,"",SUMIFS('Input Sheet'!$F$3:$F$1001,'Input Sheet'!$B$3:$B$1001,$H937,'Input Sheet'!$E$3:$E$1001,O$4))</f>
        <v/>
      </c>
      <c r="P937" s="21" t="str">
        <f>IF(SUMIFS('Input Sheet'!$F$3:$F$1001,'Input Sheet'!$B$3:$B$1001,$H937,'Input Sheet'!$E$3:$E$1001,P$4)=0,"",SUMIFS('Input Sheet'!$F$3:$F$1001,'Input Sheet'!$B$3:$B$1001,$H937,'Input Sheet'!$E$3:$E$1001,P$4))</f>
        <v/>
      </c>
      <c r="Q937" s="21" t="str">
        <f>IF(SUMIFS('Input Sheet'!$F$3:$F$1001,'Input Sheet'!$B$3:$B$1001,$H937,'Input Sheet'!$E$3:$E$1001,Q$4)=0,"",SUMIFS('Input Sheet'!$F$3:$F$1001,'Input Sheet'!$B$3:$B$1001,$H937,'Input Sheet'!$E$3:$E$1001,Q$4))</f>
        <v/>
      </c>
      <c r="R937" s="21" t="str">
        <f>IF(SUMIFS('Input Sheet'!$F$3:$F$1001,'Input Sheet'!$B$3:$B$1001,$H937,'Input Sheet'!$E$3:$E$1001,R$4)=0,"",SUMIFS('Input Sheet'!$F$3:$F$1001,'Input Sheet'!$B$3:$B$1001,$H937,'Input Sheet'!$E$3:$E$1001,R$4))</f>
        <v/>
      </c>
      <c r="S937" s="21" t="str">
        <f>IF(SUMIFS('Input Sheet'!$F$3:$F$1001,'Input Sheet'!$B$3:$B$1001,$H937,'Input Sheet'!$E$3:$E$1001,S$4)=0,"",SUMIFS('Input Sheet'!$F$3:$F$1001,'Input Sheet'!$B$3:$B$1001,$H937,'Input Sheet'!$E$3:$E$1001,S$4))</f>
        <v/>
      </c>
      <c r="T937" s="22">
        <v>932</v>
      </c>
    </row>
    <row r="938" spans="1:20" ht="14.25" customHeight="1" x14ac:dyDescent="0.3">
      <c r="A938" s="4" t="str">
        <f>IF('Input Sheet'!B935=0,"",'Input Sheet'!B935)</f>
        <v/>
      </c>
      <c r="B938" s="24" t="b">
        <f t="shared" si="788"/>
        <v>0</v>
      </c>
      <c r="C938" s="4">
        <f>SUMIF('Input Sheet'!B$3:B$1000,A938,'Input Sheet'!C$3:C$1000)</f>
        <v>0</v>
      </c>
      <c r="D938" s="4">
        <f>SUMIF('Input Sheet'!B$3:B$1000,A938,'Input Sheet'!D$3:D$1000)</f>
        <v>0</v>
      </c>
      <c r="E938" s="4" t="str">
        <f t="shared" ref="E938:F938" ca="1" si="962">IFERROR(RANK(K938,K$6:K$1004,1),"")</f>
        <v/>
      </c>
      <c r="F938" s="4" t="str">
        <f t="shared" ca="1" si="962"/>
        <v/>
      </c>
      <c r="G938" s="4" t="str">
        <f t="shared" ca="1" si="790"/>
        <v/>
      </c>
      <c r="H938" s="4" t="str">
        <f t="shared" si="791"/>
        <v/>
      </c>
      <c r="I938" s="4" t="str">
        <f t="shared" si="792"/>
        <v/>
      </c>
      <c r="J938" s="4" t="str">
        <f t="shared" si="793"/>
        <v/>
      </c>
      <c r="K938" s="25" t="str">
        <f t="shared" ca="1" si="794"/>
        <v/>
      </c>
      <c r="L938" s="21" t="str">
        <f t="shared" ca="1" si="795"/>
        <v/>
      </c>
      <c r="M938" s="21" t="str">
        <f>IF(SUMIFS('Input Sheet'!$F$3:$F$1001,'Input Sheet'!$B$3:$B$1001,$H938,'Input Sheet'!$E$3:$E$1001,M$4)=0,"",SUMIFS('Input Sheet'!$F$3:$F$1001,'Input Sheet'!$B$3:$B$1001,$H938,'Input Sheet'!$E$3:$E$1001,M$4))</f>
        <v/>
      </c>
      <c r="N938" s="21" t="str">
        <f>IF(SUMIFS('Input Sheet'!$F$3:$F$1001,'Input Sheet'!$B$3:$B$1001,$H938,'Input Sheet'!$E$3:$E$1001,N$4)=0,"",SUMIFS('Input Sheet'!$F$3:$F$1001,'Input Sheet'!$B$3:$B$1001,$H938,'Input Sheet'!$E$3:$E$1001,N$4))</f>
        <v/>
      </c>
      <c r="O938" s="21" t="str">
        <f>IF(SUMIFS('Input Sheet'!$F$3:$F$1001,'Input Sheet'!$B$3:$B$1001,$H938,'Input Sheet'!$E$3:$E$1001,O$4)=0,"",SUMIFS('Input Sheet'!$F$3:$F$1001,'Input Sheet'!$B$3:$B$1001,$H938,'Input Sheet'!$E$3:$E$1001,O$4))</f>
        <v/>
      </c>
      <c r="P938" s="21" t="str">
        <f>IF(SUMIFS('Input Sheet'!$F$3:$F$1001,'Input Sheet'!$B$3:$B$1001,$H938,'Input Sheet'!$E$3:$E$1001,P$4)=0,"",SUMIFS('Input Sheet'!$F$3:$F$1001,'Input Sheet'!$B$3:$B$1001,$H938,'Input Sheet'!$E$3:$E$1001,P$4))</f>
        <v/>
      </c>
      <c r="Q938" s="21" t="str">
        <f>IF(SUMIFS('Input Sheet'!$F$3:$F$1001,'Input Sheet'!$B$3:$B$1001,$H938,'Input Sheet'!$E$3:$E$1001,Q$4)=0,"",SUMIFS('Input Sheet'!$F$3:$F$1001,'Input Sheet'!$B$3:$B$1001,$H938,'Input Sheet'!$E$3:$E$1001,Q$4))</f>
        <v/>
      </c>
      <c r="R938" s="21" t="str">
        <f>IF(SUMIFS('Input Sheet'!$F$3:$F$1001,'Input Sheet'!$B$3:$B$1001,$H938,'Input Sheet'!$E$3:$E$1001,R$4)=0,"",SUMIFS('Input Sheet'!$F$3:$F$1001,'Input Sheet'!$B$3:$B$1001,$H938,'Input Sheet'!$E$3:$E$1001,R$4))</f>
        <v/>
      </c>
      <c r="S938" s="21" t="str">
        <f>IF(SUMIFS('Input Sheet'!$F$3:$F$1001,'Input Sheet'!$B$3:$B$1001,$H938,'Input Sheet'!$E$3:$E$1001,S$4)=0,"",SUMIFS('Input Sheet'!$F$3:$F$1001,'Input Sheet'!$B$3:$B$1001,$H938,'Input Sheet'!$E$3:$E$1001,S$4))</f>
        <v/>
      </c>
      <c r="T938" s="22">
        <v>933</v>
      </c>
    </row>
    <row r="939" spans="1:20" ht="14.25" customHeight="1" x14ac:dyDescent="0.3">
      <c r="A939" s="4" t="str">
        <f>IF('Input Sheet'!B936=0,"",'Input Sheet'!B936)</f>
        <v/>
      </c>
      <c r="B939" s="24" t="b">
        <f t="shared" si="788"/>
        <v>0</v>
      </c>
      <c r="C939" s="4">
        <f>SUMIF('Input Sheet'!B$3:B$1000,A939,'Input Sheet'!C$3:C$1000)</f>
        <v>0</v>
      </c>
      <c r="D939" s="4">
        <f>SUMIF('Input Sheet'!B$3:B$1000,A939,'Input Sheet'!D$3:D$1000)</f>
        <v>0</v>
      </c>
      <c r="E939" s="4" t="str">
        <f t="shared" ref="E939:F939" ca="1" si="963">IFERROR(RANK(K939,K$6:K$1004,1),"")</f>
        <v/>
      </c>
      <c r="F939" s="4" t="str">
        <f t="shared" ca="1" si="963"/>
        <v/>
      </c>
      <c r="G939" s="4" t="str">
        <f t="shared" ca="1" si="790"/>
        <v/>
      </c>
      <c r="H939" s="4" t="str">
        <f t="shared" si="791"/>
        <v/>
      </c>
      <c r="I939" s="4" t="str">
        <f t="shared" si="792"/>
        <v/>
      </c>
      <c r="J939" s="4" t="str">
        <f t="shared" si="793"/>
        <v/>
      </c>
      <c r="K939" s="25" t="str">
        <f t="shared" ca="1" si="794"/>
        <v/>
      </c>
      <c r="L939" s="21" t="str">
        <f t="shared" ca="1" si="795"/>
        <v/>
      </c>
      <c r="M939" s="21" t="str">
        <f>IF(SUMIFS('Input Sheet'!$F$3:$F$1001,'Input Sheet'!$B$3:$B$1001,$H939,'Input Sheet'!$E$3:$E$1001,M$4)=0,"",SUMIFS('Input Sheet'!$F$3:$F$1001,'Input Sheet'!$B$3:$B$1001,$H939,'Input Sheet'!$E$3:$E$1001,M$4))</f>
        <v/>
      </c>
      <c r="N939" s="21" t="str">
        <f>IF(SUMIFS('Input Sheet'!$F$3:$F$1001,'Input Sheet'!$B$3:$B$1001,$H939,'Input Sheet'!$E$3:$E$1001,N$4)=0,"",SUMIFS('Input Sheet'!$F$3:$F$1001,'Input Sheet'!$B$3:$B$1001,$H939,'Input Sheet'!$E$3:$E$1001,N$4))</f>
        <v/>
      </c>
      <c r="O939" s="21" t="str">
        <f>IF(SUMIFS('Input Sheet'!$F$3:$F$1001,'Input Sheet'!$B$3:$B$1001,$H939,'Input Sheet'!$E$3:$E$1001,O$4)=0,"",SUMIFS('Input Sheet'!$F$3:$F$1001,'Input Sheet'!$B$3:$B$1001,$H939,'Input Sheet'!$E$3:$E$1001,O$4))</f>
        <v/>
      </c>
      <c r="P939" s="21" t="str">
        <f>IF(SUMIFS('Input Sheet'!$F$3:$F$1001,'Input Sheet'!$B$3:$B$1001,$H939,'Input Sheet'!$E$3:$E$1001,P$4)=0,"",SUMIFS('Input Sheet'!$F$3:$F$1001,'Input Sheet'!$B$3:$B$1001,$H939,'Input Sheet'!$E$3:$E$1001,P$4))</f>
        <v/>
      </c>
      <c r="Q939" s="21" t="str">
        <f>IF(SUMIFS('Input Sheet'!$F$3:$F$1001,'Input Sheet'!$B$3:$B$1001,$H939,'Input Sheet'!$E$3:$E$1001,Q$4)=0,"",SUMIFS('Input Sheet'!$F$3:$F$1001,'Input Sheet'!$B$3:$B$1001,$H939,'Input Sheet'!$E$3:$E$1001,Q$4))</f>
        <v/>
      </c>
      <c r="R939" s="21" t="str">
        <f>IF(SUMIFS('Input Sheet'!$F$3:$F$1001,'Input Sheet'!$B$3:$B$1001,$H939,'Input Sheet'!$E$3:$E$1001,R$4)=0,"",SUMIFS('Input Sheet'!$F$3:$F$1001,'Input Sheet'!$B$3:$B$1001,$H939,'Input Sheet'!$E$3:$E$1001,R$4))</f>
        <v/>
      </c>
      <c r="S939" s="21" t="str">
        <f>IF(SUMIFS('Input Sheet'!$F$3:$F$1001,'Input Sheet'!$B$3:$B$1001,$H939,'Input Sheet'!$E$3:$E$1001,S$4)=0,"",SUMIFS('Input Sheet'!$F$3:$F$1001,'Input Sheet'!$B$3:$B$1001,$H939,'Input Sheet'!$E$3:$E$1001,S$4))</f>
        <v/>
      </c>
      <c r="T939" s="22">
        <v>934</v>
      </c>
    </row>
    <row r="940" spans="1:20" ht="14.25" customHeight="1" x14ac:dyDescent="0.3">
      <c r="A940" s="4" t="str">
        <f>IF('Input Sheet'!B937=0,"",'Input Sheet'!B937)</f>
        <v/>
      </c>
      <c r="B940" s="24" t="b">
        <f t="shared" si="788"/>
        <v>0</v>
      </c>
      <c r="C940" s="4">
        <f>SUMIF('Input Sheet'!B$3:B$1000,A940,'Input Sheet'!C$3:C$1000)</f>
        <v>0</v>
      </c>
      <c r="D940" s="4">
        <f>SUMIF('Input Sheet'!B$3:B$1000,A940,'Input Sheet'!D$3:D$1000)</f>
        <v>0</v>
      </c>
      <c r="E940" s="4" t="str">
        <f t="shared" ref="E940:F940" ca="1" si="964">IFERROR(RANK(K940,K$6:K$1004,1),"")</f>
        <v/>
      </c>
      <c r="F940" s="4" t="str">
        <f t="shared" ca="1" si="964"/>
        <v/>
      </c>
      <c r="G940" s="4" t="str">
        <f t="shared" ca="1" si="790"/>
        <v/>
      </c>
      <c r="H940" s="4" t="str">
        <f t="shared" si="791"/>
        <v/>
      </c>
      <c r="I940" s="4" t="str">
        <f t="shared" si="792"/>
        <v/>
      </c>
      <c r="J940" s="4" t="str">
        <f t="shared" si="793"/>
        <v/>
      </c>
      <c r="K940" s="25" t="str">
        <f t="shared" ca="1" si="794"/>
        <v/>
      </c>
      <c r="L940" s="21" t="str">
        <f t="shared" ca="1" si="795"/>
        <v/>
      </c>
      <c r="M940" s="21" t="str">
        <f>IF(SUMIFS('Input Sheet'!$F$3:$F$1001,'Input Sheet'!$B$3:$B$1001,$H940,'Input Sheet'!$E$3:$E$1001,M$4)=0,"",SUMIFS('Input Sheet'!$F$3:$F$1001,'Input Sheet'!$B$3:$B$1001,$H940,'Input Sheet'!$E$3:$E$1001,M$4))</f>
        <v/>
      </c>
      <c r="N940" s="21" t="str">
        <f>IF(SUMIFS('Input Sheet'!$F$3:$F$1001,'Input Sheet'!$B$3:$B$1001,$H940,'Input Sheet'!$E$3:$E$1001,N$4)=0,"",SUMIFS('Input Sheet'!$F$3:$F$1001,'Input Sheet'!$B$3:$B$1001,$H940,'Input Sheet'!$E$3:$E$1001,N$4))</f>
        <v/>
      </c>
      <c r="O940" s="21" t="str">
        <f>IF(SUMIFS('Input Sheet'!$F$3:$F$1001,'Input Sheet'!$B$3:$B$1001,$H940,'Input Sheet'!$E$3:$E$1001,O$4)=0,"",SUMIFS('Input Sheet'!$F$3:$F$1001,'Input Sheet'!$B$3:$B$1001,$H940,'Input Sheet'!$E$3:$E$1001,O$4))</f>
        <v/>
      </c>
      <c r="P940" s="21" t="str">
        <f>IF(SUMIFS('Input Sheet'!$F$3:$F$1001,'Input Sheet'!$B$3:$B$1001,$H940,'Input Sheet'!$E$3:$E$1001,P$4)=0,"",SUMIFS('Input Sheet'!$F$3:$F$1001,'Input Sheet'!$B$3:$B$1001,$H940,'Input Sheet'!$E$3:$E$1001,P$4))</f>
        <v/>
      </c>
      <c r="Q940" s="21" t="str">
        <f>IF(SUMIFS('Input Sheet'!$F$3:$F$1001,'Input Sheet'!$B$3:$B$1001,$H940,'Input Sheet'!$E$3:$E$1001,Q$4)=0,"",SUMIFS('Input Sheet'!$F$3:$F$1001,'Input Sheet'!$B$3:$B$1001,$H940,'Input Sheet'!$E$3:$E$1001,Q$4))</f>
        <v/>
      </c>
      <c r="R940" s="21" t="str">
        <f>IF(SUMIFS('Input Sheet'!$F$3:$F$1001,'Input Sheet'!$B$3:$B$1001,$H940,'Input Sheet'!$E$3:$E$1001,R$4)=0,"",SUMIFS('Input Sheet'!$F$3:$F$1001,'Input Sheet'!$B$3:$B$1001,$H940,'Input Sheet'!$E$3:$E$1001,R$4))</f>
        <v/>
      </c>
      <c r="S940" s="21" t="str">
        <f>IF(SUMIFS('Input Sheet'!$F$3:$F$1001,'Input Sheet'!$B$3:$B$1001,$H940,'Input Sheet'!$E$3:$E$1001,S$4)=0,"",SUMIFS('Input Sheet'!$F$3:$F$1001,'Input Sheet'!$B$3:$B$1001,$H940,'Input Sheet'!$E$3:$E$1001,S$4))</f>
        <v/>
      </c>
      <c r="T940" s="22">
        <v>935</v>
      </c>
    </row>
    <row r="941" spans="1:20" ht="14.25" customHeight="1" x14ac:dyDescent="0.3">
      <c r="A941" s="4" t="str">
        <f>IF('Input Sheet'!B938=0,"",'Input Sheet'!B938)</f>
        <v/>
      </c>
      <c r="B941" s="24" t="b">
        <f t="shared" si="788"/>
        <v>0</v>
      </c>
      <c r="C941" s="4">
        <f>SUMIF('Input Sheet'!B$3:B$1000,A941,'Input Sheet'!C$3:C$1000)</f>
        <v>0</v>
      </c>
      <c r="D941" s="4">
        <f>SUMIF('Input Sheet'!B$3:B$1000,A941,'Input Sheet'!D$3:D$1000)</f>
        <v>0</v>
      </c>
      <c r="E941" s="4" t="str">
        <f t="shared" ref="E941:F941" ca="1" si="965">IFERROR(RANK(K941,K$6:K$1004,1),"")</f>
        <v/>
      </c>
      <c r="F941" s="4" t="str">
        <f t="shared" ca="1" si="965"/>
        <v/>
      </c>
      <c r="G941" s="4" t="str">
        <f t="shared" ca="1" si="790"/>
        <v/>
      </c>
      <c r="H941" s="4" t="str">
        <f t="shared" si="791"/>
        <v/>
      </c>
      <c r="I941" s="4" t="str">
        <f t="shared" si="792"/>
        <v/>
      </c>
      <c r="J941" s="4" t="str">
        <f t="shared" si="793"/>
        <v/>
      </c>
      <c r="K941" s="25" t="str">
        <f t="shared" ca="1" si="794"/>
        <v/>
      </c>
      <c r="L941" s="21" t="str">
        <f t="shared" ca="1" si="795"/>
        <v/>
      </c>
      <c r="M941" s="21" t="str">
        <f>IF(SUMIFS('Input Sheet'!$F$3:$F$1001,'Input Sheet'!$B$3:$B$1001,$H941,'Input Sheet'!$E$3:$E$1001,M$4)=0,"",SUMIFS('Input Sheet'!$F$3:$F$1001,'Input Sheet'!$B$3:$B$1001,$H941,'Input Sheet'!$E$3:$E$1001,M$4))</f>
        <v/>
      </c>
      <c r="N941" s="21" t="str">
        <f>IF(SUMIFS('Input Sheet'!$F$3:$F$1001,'Input Sheet'!$B$3:$B$1001,$H941,'Input Sheet'!$E$3:$E$1001,N$4)=0,"",SUMIFS('Input Sheet'!$F$3:$F$1001,'Input Sheet'!$B$3:$B$1001,$H941,'Input Sheet'!$E$3:$E$1001,N$4))</f>
        <v/>
      </c>
      <c r="O941" s="21" t="str">
        <f>IF(SUMIFS('Input Sheet'!$F$3:$F$1001,'Input Sheet'!$B$3:$B$1001,$H941,'Input Sheet'!$E$3:$E$1001,O$4)=0,"",SUMIFS('Input Sheet'!$F$3:$F$1001,'Input Sheet'!$B$3:$B$1001,$H941,'Input Sheet'!$E$3:$E$1001,O$4))</f>
        <v/>
      </c>
      <c r="P941" s="21" t="str">
        <f>IF(SUMIFS('Input Sheet'!$F$3:$F$1001,'Input Sheet'!$B$3:$B$1001,$H941,'Input Sheet'!$E$3:$E$1001,P$4)=0,"",SUMIFS('Input Sheet'!$F$3:$F$1001,'Input Sheet'!$B$3:$B$1001,$H941,'Input Sheet'!$E$3:$E$1001,P$4))</f>
        <v/>
      </c>
      <c r="Q941" s="21" t="str">
        <f>IF(SUMIFS('Input Sheet'!$F$3:$F$1001,'Input Sheet'!$B$3:$B$1001,$H941,'Input Sheet'!$E$3:$E$1001,Q$4)=0,"",SUMIFS('Input Sheet'!$F$3:$F$1001,'Input Sheet'!$B$3:$B$1001,$H941,'Input Sheet'!$E$3:$E$1001,Q$4))</f>
        <v/>
      </c>
      <c r="R941" s="21" t="str">
        <f>IF(SUMIFS('Input Sheet'!$F$3:$F$1001,'Input Sheet'!$B$3:$B$1001,$H941,'Input Sheet'!$E$3:$E$1001,R$4)=0,"",SUMIFS('Input Sheet'!$F$3:$F$1001,'Input Sheet'!$B$3:$B$1001,$H941,'Input Sheet'!$E$3:$E$1001,R$4))</f>
        <v/>
      </c>
      <c r="S941" s="21" t="str">
        <f>IF(SUMIFS('Input Sheet'!$F$3:$F$1001,'Input Sheet'!$B$3:$B$1001,$H941,'Input Sheet'!$E$3:$E$1001,S$4)=0,"",SUMIFS('Input Sheet'!$F$3:$F$1001,'Input Sheet'!$B$3:$B$1001,$H941,'Input Sheet'!$E$3:$E$1001,S$4))</f>
        <v/>
      </c>
      <c r="T941" s="22">
        <v>936</v>
      </c>
    </row>
    <row r="942" spans="1:20" ht="14.25" customHeight="1" x14ac:dyDescent="0.3">
      <c r="A942" s="4" t="str">
        <f>IF('Input Sheet'!B939=0,"",'Input Sheet'!B939)</f>
        <v/>
      </c>
      <c r="B942" s="24" t="b">
        <f t="shared" si="788"/>
        <v>0</v>
      </c>
      <c r="C942" s="4">
        <f>SUMIF('Input Sheet'!B$3:B$1000,A942,'Input Sheet'!C$3:C$1000)</f>
        <v>0</v>
      </c>
      <c r="D942" s="4">
        <f>SUMIF('Input Sheet'!B$3:B$1000,A942,'Input Sheet'!D$3:D$1000)</f>
        <v>0</v>
      </c>
      <c r="E942" s="4" t="str">
        <f t="shared" ref="E942:F942" ca="1" si="966">IFERROR(RANK(K942,K$6:K$1004,1),"")</f>
        <v/>
      </c>
      <c r="F942" s="4" t="str">
        <f t="shared" ca="1" si="966"/>
        <v/>
      </c>
      <c r="G942" s="4" t="str">
        <f t="shared" ca="1" si="790"/>
        <v/>
      </c>
      <c r="H942" s="4" t="str">
        <f t="shared" si="791"/>
        <v/>
      </c>
      <c r="I942" s="4" t="str">
        <f t="shared" si="792"/>
        <v/>
      </c>
      <c r="J942" s="4" t="str">
        <f t="shared" si="793"/>
        <v/>
      </c>
      <c r="K942" s="25" t="str">
        <f t="shared" ca="1" si="794"/>
        <v/>
      </c>
      <c r="L942" s="21" t="str">
        <f t="shared" ca="1" si="795"/>
        <v/>
      </c>
      <c r="M942" s="21" t="str">
        <f>IF(SUMIFS('Input Sheet'!$F$3:$F$1001,'Input Sheet'!$B$3:$B$1001,$H942,'Input Sheet'!$E$3:$E$1001,M$4)=0,"",SUMIFS('Input Sheet'!$F$3:$F$1001,'Input Sheet'!$B$3:$B$1001,$H942,'Input Sheet'!$E$3:$E$1001,M$4))</f>
        <v/>
      </c>
      <c r="N942" s="21" t="str">
        <f>IF(SUMIFS('Input Sheet'!$F$3:$F$1001,'Input Sheet'!$B$3:$B$1001,$H942,'Input Sheet'!$E$3:$E$1001,N$4)=0,"",SUMIFS('Input Sheet'!$F$3:$F$1001,'Input Sheet'!$B$3:$B$1001,$H942,'Input Sheet'!$E$3:$E$1001,N$4))</f>
        <v/>
      </c>
      <c r="O942" s="21" t="str">
        <f>IF(SUMIFS('Input Sheet'!$F$3:$F$1001,'Input Sheet'!$B$3:$B$1001,$H942,'Input Sheet'!$E$3:$E$1001,O$4)=0,"",SUMIFS('Input Sheet'!$F$3:$F$1001,'Input Sheet'!$B$3:$B$1001,$H942,'Input Sheet'!$E$3:$E$1001,O$4))</f>
        <v/>
      </c>
      <c r="P942" s="21" t="str">
        <f>IF(SUMIFS('Input Sheet'!$F$3:$F$1001,'Input Sheet'!$B$3:$B$1001,$H942,'Input Sheet'!$E$3:$E$1001,P$4)=0,"",SUMIFS('Input Sheet'!$F$3:$F$1001,'Input Sheet'!$B$3:$B$1001,$H942,'Input Sheet'!$E$3:$E$1001,P$4))</f>
        <v/>
      </c>
      <c r="Q942" s="21" t="str">
        <f>IF(SUMIFS('Input Sheet'!$F$3:$F$1001,'Input Sheet'!$B$3:$B$1001,$H942,'Input Sheet'!$E$3:$E$1001,Q$4)=0,"",SUMIFS('Input Sheet'!$F$3:$F$1001,'Input Sheet'!$B$3:$B$1001,$H942,'Input Sheet'!$E$3:$E$1001,Q$4))</f>
        <v/>
      </c>
      <c r="R942" s="21" t="str">
        <f>IF(SUMIFS('Input Sheet'!$F$3:$F$1001,'Input Sheet'!$B$3:$B$1001,$H942,'Input Sheet'!$E$3:$E$1001,R$4)=0,"",SUMIFS('Input Sheet'!$F$3:$F$1001,'Input Sheet'!$B$3:$B$1001,$H942,'Input Sheet'!$E$3:$E$1001,R$4))</f>
        <v/>
      </c>
      <c r="S942" s="21" t="str">
        <f>IF(SUMIFS('Input Sheet'!$F$3:$F$1001,'Input Sheet'!$B$3:$B$1001,$H942,'Input Sheet'!$E$3:$E$1001,S$4)=0,"",SUMIFS('Input Sheet'!$F$3:$F$1001,'Input Sheet'!$B$3:$B$1001,$H942,'Input Sheet'!$E$3:$E$1001,S$4))</f>
        <v/>
      </c>
      <c r="T942" s="22">
        <v>937</v>
      </c>
    </row>
    <row r="943" spans="1:20" ht="14.25" customHeight="1" x14ac:dyDescent="0.3">
      <c r="A943" s="4" t="str">
        <f>IF('Input Sheet'!B940=0,"",'Input Sheet'!B940)</f>
        <v/>
      </c>
      <c r="B943" s="24" t="b">
        <f t="shared" si="788"/>
        <v>0</v>
      </c>
      <c r="C943" s="4">
        <f>SUMIF('Input Sheet'!B$3:B$1000,A943,'Input Sheet'!C$3:C$1000)</f>
        <v>0</v>
      </c>
      <c r="D943" s="4">
        <f>SUMIF('Input Sheet'!B$3:B$1000,A943,'Input Sheet'!D$3:D$1000)</f>
        <v>0</v>
      </c>
      <c r="E943" s="4" t="str">
        <f t="shared" ref="E943:F943" ca="1" si="967">IFERROR(RANK(K943,K$6:K$1004,1),"")</f>
        <v/>
      </c>
      <c r="F943" s="4" t="str">
        <f t="shared" ca="1" si="967"/>
        <v/>
      </c>
      <c r="G943" s="4" t="str">
        <f t="shared" ca="1" si="790"/>
        <v/>
      </c>
      <c r="H943" s="4" t="str">
        <f t="shared" si="791"/>
        <v/>
      </c>
      <c r="I943" s="4" t="str">
        <f t="shared" si="792"/>
        <v/>
      </c>
      <c r="J943" s="4" t="str">
        <f t="shared" si="793"/>
        <v/>
      </c>
      <c r="K943" s="25" t="str">
        <f t="shared" ca="1" si="794"/>
        <v/>
      </c>
      <c r="L943" s="21" t="str">
        <f t="shared" ca="1" si="795"/>
        <v/>
      </c>
      <c r="M943" s="21" t="str">
        <f>IF(SUMIFS('Input Sheet'!$F$3:$F$1001,'Input Sheet'!$B$3:$B$1001,$H943,'Input Sheet'!$E$3:$E$1001,M$4)=0,"",SUMIFS('Input Sheet'!$F$3:$F$1001,'Input Sheet'!$B$3:$B$1001,$H943,'Input Sheet'!$E$3:$E$1001,M$4))</f>
        <v/>
      </c>
      <c r="N943" s="21" t="str">
        <f>IF(SUMIFS('Input Sheet'!$F$3:$F$1001,'Input Sheet'!$B$3:$B$1001,$H943,'Input Sheet'!$E$3:$E$1001,N$4)=0,"",SUMIFS('Input Sheet'!$F$3:$F$1001,'Input Sheet'!$B$3:$B$1001,$H943,'Input Sheet'!$E$3:$E$1001,N$4))</f>
        <v/>
      </c>
      <c r="O943" s="21" t="str">
        <f>IF(SUMIFS('Input Sheet'!$F$3:$F$1001,'Input Sheet'!$B$3:$B$1001,$H943,'Input Sheet'!$E$3:$E$1001,O$4)=0,"",SUMIFS('Input Sheet'!$F$3:$F$1001,'Input Sheet'!$B$3:$B$1001,$H943,'Input Sheet'!$E$3:$E$1001,O$4))</f>
        <v/>
      </c>
      <c r="P943" s="21" t="str">
        <f>IF(SUMIFS('Input Sheet'!$F$3:$F$1001,'Input Sheet'!$B$3:$B$1001,$H943,'Input Sheet'!$E$3:$E$1001,P$4)=0,"",SUMIFS('Input Sheet'!$F$3:$F$1001,'Input Sheet'!$B$3:$B$1001,$H943,'Input Sheet'!$E$3:$E$1001,P$4))</f>
        <v/>
      </c>
      <c r="Q943" s="21" t="str">
        <f>IF(SUMIFS('Input Sheet'!$F$3:$F$1001,'Input Sheet'!$B$3:$B$1001,$H943,'Input Sheet'!$E$3:$E$1001,Q$4)=0,"",SUMIFS('Input Sheet'!$F$3:$F$1001,'Input Sheet'!$B$3:$B$1001,$H943,'Input Sheet'!$E$3:$E$1001,Q$4))</f>
        <v/>
      </c>
      <c r="R943" s="21" t="str">
        <f>IF(SUMIFS('Input Sheet'!$F$3:$F$1001,'Input Sheet'!$B$3:$B$1001,$H943,'Input Sheet'!$E$3:$E$1001,R$4)=0,"",SUMIFS('Input Sheet'!$F$3:$F$1001,'Input Sheet'!$B$3:$B$1001,$H943,'Input Sheet'!$E$3:$E$1001,R$4))</f>
        <v/>
      </c>
      <c r="S943" s="21" t="str">
        <f>IF(SUMIFS('Input Sheet'!$F$3:$F$1001,'Input Sheet'!$B$3:$B$1001,$H943,'Input Sheet'!$E$3:$E$1001,S$4)=0,"",SUMIFS('Input Sheet'!$F$3:$F$1001,'Input Sheet'!$B$3:$B$1001,$H943,'Input Sheet'!$E$3:$E$1001,S$4))</f>
        <v/>
      </c>
      <c r="T943" s="22">
        <v>938</v>
      </c>
    </row>
    <row r="944" spans="1:20" ht="14.25" customHeight="1" x14ac:dyDescent="0.3">
      <c r="A944" s="4" t="str">
        <f>IF('Input Sheet'!B941=0,"",'Input Sheet'!B941)</f>
        <v/>
      </c>
      <c r="B944" s="24" t="b">
        <f t="shared" si="788"/>
        <v>0</v>
      </c>
      <c r="C944" s="4">
        <f>SUMIF('Input Sheet'!B$3:B$1000,A944,'Input Sheet'!C$3:C$1000)</f>
        <v>0</v>
      </c>
      <c r="D944" s="4">
        <f>SUMIF('Input Sheet'!B$3:B$1000,A944,'Input Sheet'!D$3:D$1000)</f>
        <v>0</v>
      </c>
      <c r="E944" s="4" t="str">
        <f t="shared" ref="E944:F944" ca="1" si="968">IFERROR(RANK(K944,K$6:K$1004,1),"")</f>
        <v/>
      </c>
      <c r="F944" s="4" t="str">
        <f t="shared" ca="1" si="968"/>
        <v/>
      </c>
      <c r="G944" s="4" t="str">
        <f t="shared" ca="1" si="790"/>
        <v/>
      </c>
      <c r="H944" s="4" t="str">
        <f t="shared" si="791"/>
        <v/>
      </c>
      <c r="I944" s="4" t="str">
        <f t="shared" si="792"/>
        <v/>
      </c>
      <c r="J944" s="4" t="str">
        <f t="shared" si="793"/>
        <v/>
      </c>
      <c r="K944" s="25" t="str">
        <f t="shared" ca="1" si="794"/>
        <v/>
      </c>
      <c r="L944" s="21" t="str">
        <f t="shared" ca="1" si="795"/>
        <v/>
      </c>
      <c r="M944" s="21" t="str">
        <f>IF(SUMIFS('Input Sheet'!$F$3:$F$1001,'Input Sheet'!$B$3:$B$1001,$H944,'Input Sheet'!$E$3:$E$1001,M$4)=0,"",SUMIFS('Input Sheet'!$F$3:$F$1001,'Input Sheet'!$B$3:$B$1001,$H944,'Input Sheet'!$E$3:$E$1001,M$4))</f>
        <v/>
      </c>
      <c r="N944" s="21" t="str">
        <f>IF(SUMIFS('Input Sheet'!$F$3:$F$1001,'Input Sheet'!$B$3:$B$1001,$H944,'Input Sheet'!$E$3:$E$1001,N$4)=0,"",SUMIFS('Input Sheet'!$F$3:$F$1001,'Input Sheet'!$B$3:$B$1001,$H944,'Input Sheet'!$E$3:$E$1001,N$4))</f>
        <v/>
      </c>
      <c r="O944" s="21" t="str">
        <f>IF(SUMIFS('Input Sheet'!$F$3:$F$1001,'Input Sheet'!$B$3:$B$1001,$H944,'Input Sheet'!$E$3:$E$1001,O$4)=0,"",SUMIFS('Input Sheet'!$F$3:$F$1001,'Input Sheet'!$B$3:$B$1001,$H944,'Input Sheet'!$E$3:$E$1001,O$4))</f>
        <v/>
      </c>
      <c r="P944" s="21" t="str">
        <f>IF(SUMIFS('Input Sheet'!$F$3:$F$1001,'Input Sheet'!$B$3:$B$1001,$H944,'Input Sheet'!$E$3:$E$1001,P$4)=0,"",SUMIFS('Input Sheet'!$F$3:$F$1001,'Input Sheet'!$B$3:$B$1001,$H944,'Input Sheet'!$E$3:$E$1001,P$4))</f>
        <v/>
      </c>
      <c r="Q944" s="21" t="str">
        <f>IF(SUMIFS('Input Sheet'!$F$3:$F$1001,'Input Sheet'!$B$3:$B$1001,$H944,'Input Sheet'!$E$3:$E$1001,Q$4)=0,"",SUMIFS('Input Sheet'!$F$3:$F$1001,'Input Sheet'!$B$3:$B$1001,$H944,'Input Sheet'!$E$3:$E$1001,Q$4))</f>
        <v/>
      </c>
      <c r="R944" s="21" t="str">
        <f>IF(SUMIFS('Input Sheet'!$F$3:$F$1001,'Input Sheet'!$B$3:$B$1001,$H944,'Input Sheet'!$E$3:$E$1001,R$4)=0,"",SUMIFS('Input Sheet'!$F$3:$F$1001,'Input Sheet'!$B$3:$B$1001,$H944,'Input Sheet'!$E$3:$E$1001,R$4))</f>
        <v/>
      </c>
      <c r="S944" s="21" t="str">
        <f>IF(SUMIFS('Input Sheet'!$F$3:$F$1001,'Input Sheet'!$B$3:$B$1001,$H944,'Input Sheet'!$E$3:$E$1001,S$4)=0,"",SUMIFS('Input Sheet'!$F$3:$F$1001,'Input Sheet'!$B$3:$B$1001,$H944,'Input Sheet'!$E$3:$E$1001,S$4))</f>
        <v/>
      </c>
      <c r="T944" s="22">
        <v>939</v>
      </c>
    </row>
    <row r="945" spans="1:20" ht="14.25" customHeight="1" x14ac:dyDescent="0.3">
      <c r="A945" s="4" t="str">
        <f>IF('Input Sheet'!B942=0,"",'Input Sheet'!B942)</f>
        <v/>
      </c>
      <c r="B945" s="24" t="b">
        <f t="shared" si="788"/>
        <v>0</v>
      </c>
      <c r="C945" s="4">
        <f>SUMIF('Input Sheet'!B$3:B$1000,A945,'Input Sheet'!C$3:C$1000)</f>
        <v>0</v>
      </c>
      <c r="D945" s="4">
        <f>SUMIF('Input Sheet'!B$3:B$1000,A945,'Input Sheet'!D$3:D$1000)</f>
        <v>0</v>
      </c>
      <c r="E945" s="4" t="str">
        <f t="shared" ref="E945:F945" ca="1" si="969">IFERROR(RANK(K945,K$6:K$1004,1),"")</f>
        <v/>
      </c>
      <c r="F945" s="4" t="str">
        <f t="shared" ca="1" si="969"/>
        <v/>
      </c>
      <c r="G945" s="4" t="str">
        <f t="shared" ca="1" si="790"/>
        <v/>
      </c>
      <c r="H945" s="4" t="str">
        <f t="shared" si="791"/>
        <v/>
      </c>
      <c r="I945" s="4" t="str">
        <f t="shared" si="792"/>
        <v/>
      </c>
      <c r="J945" s="4" t="str">
        <f t="shared" si="793"/>
        <v/>
      </c>
      <c r="K945" s="25" t="str">
        <f t="shared" ca="1" si="794"/>
        <v/>
      </c>
      <c r="L945" s="21" t="str">
        <f t="shared" ca="1" si="795"/>
        <v/>
      </c>
      <c r="M945" s="21" t="str">
        <f>IF(SUMIFS('Input Sheet'!$F$3:$F$1001,'Input Sheet'!$B$3:$B$1001,$H945,'Input Sheet'!$E$3:$E$1001,M$4)=0,"",SUMIFS('Input Sheet'!$F$3:$F$1001,'Input Sheet'!$B$3:$B$1001,$H945,'Input Sheet'!$E$3:$E$1001,M$4))</f>
        <v/>
      </c>
      <c r="N945" s="21" t="str">
        <f>IF(SUMIFS('Input Sheet'!$F$3:$F$1001,'Input Sheet'!$B$3:$B$1001,$H945,'Input Sheet'!$E$3:$E$1001,N$4)=0,"",SUMIFS('Input Sheet'!$F$3:$F$1001,'Input Sheet'!$B$3:$B$1001,$H945,'Input Sheet'!$E$3:$E$1001,N$4))</f>
        <v/>
      </c>
      <c r="O945" s="21" t="str">
        <f>IF(SUMIFS('Input Sheet'!$F$3:$F$1001,'Input Sheet'!$B$3:$B$1001,$H945,'Input Sheet'!$E$3:$E$1001,O$4)=0,"",SUMIFS('Input Sheet'!$F$3:$F$1001,'Input Sheet'!$B$3:$B$1001,$H945,'Input Sheet'!$E$3:$E$1001,O$4))</f>
        <v/>
      </c>
      <c r="P945" s="21" t="str">
        <f>IF(SUMIFS('Input Sheet'!$F$3:$F$1001,'Input Sheet'!$B$3:$B$1001,$H945,'Input Sheet'!$E$3:$E$1001,P$4)=0,"",SUMIFS('Input Sheet'!$F$3:$F$1001,'Input Sheet'!$B$3:$B$1001,$H945,'Input Sheet'!$E$3:$E$1001,P$4))</f>
        <v/>
      </c>
      <c r="Q945" s="21" t="str">
        <f>IF(SUMIFS('Input Sheet'!$F$3:$F$1001,'Input Sheet'!$B$3:$B$1001,$H945,'Input Sheet'!$E$3:$E$1001,Q$4)=0,"",SUMIFS('Input Sheet'!$F$3:$F$1001,'Input Sheet'!$B$3:$B$1001,$H945,'Input Sheet'!$E$3:$E$1001,Q$4))</f>
        <v/>
      </c>
      <c r="R945" s="21" t="str">
        <f>IF(SUMIFS('Input Sheet'!$F$3:$F$1001,'Input Sheet'!$B$3:$B$1001,$H945,'Input Sheet'!$E$3:$E$1001,R$4)=0,"",SUMIFS('Input Sheet'!$F$3:$F$1001,'Input Sheet'!$B$3:$B$1001,$H945,'Input Sheet'!$E$3:$E$1001,R$4))</f>
        <v/>
      </c>
      <c r="S945" s="21" t="str">
        <f>IF(SUMIFS('Input Sheet'!$F$3:$F$1001,'Input Sheet'!$B$3:$B$1001,$H945,'Input Sheet'!$E$3:$E$1001,S$4)=0,"",SUMIFS('Input Sheet'!$F$3:$F$1001,'Input Sheet'!$B$3:$B$1001,$H945,'Input Sheet'!$E$3:$E$1001,S$4))</f>
        <v/>
      </c>
      <c r="T945" s="22">
        <v>940</v>
      </c>
    </row>
    <row r="946" spans="1:20" ht="14.25" customHeight="1" x14ac:dyDescent="0.3">
      <c r="A946" s="4" t="str">
        <f>IF('Input Sheet'!B943=0,"",'Input Sheet'!B943)</f>
        <v/>
      </c>
      <c r="B946" s="24" t="b">
        <f t="shared" si="788"/>
        <v>0</v>
      </c>
      <c r="C946" s="4">
        <f>SUMIF('Input Sheet'!B$3:B$1000,A946,'Input Sheet'!C$3:C$1000)</f>
        <v>0</v>
      </c>
      <c r="D946" s="4">
        <f>SUMIF('Input Sheet'!B$3:B$1000,A946,'Input Sheet'!D$3:D$1000)</f>
        <v>0</v>
      </c>
      <c r="E946" s="4" t="str">
        <f t="shared" ref="E946:F946" ca="1" si="970">IFERROR(RANK(K946,K$6:K$1004,1),"")</f>
        <v/>
      </c>
      <c r="F946" s="4" t="str">
        <f t="shared" ca="1" si="970"/>
        <v/>
      </c>
      <c r="G946" s="4" t="str">
        <f t="shared" ca="1" si="790"/>
        <v/>
      </c>
      <c r="H946" s="4" t="str">
        <f t="shared" si="791"/>
        <v/>
      </c>
      <c r="I946" s="4" t="str">
        <f t="shared" si="792"/>
        <v/>
      </c>
      <c r="J946" s="4" t="str">
        <f t="shared" si="793"/>
        <v/>
      </c>
      <c r="K946" s="25" t="str">
        <f t="shared" ca="1" si="794"/>
        <v/>
      </c>
      <c r="L946" s="21" t="str">
        <f t="shared" ca="1" si="795"/>
        <v/>
      </c>
      <c r="M946" s="21" t="str">
        <f>IF(SUMIFS('Input Sheet'!$F$3:$F$1001,'Input Sheet'!$B$3:$B$1001,$H946,'Input Sheet'!$E$3:$E$1001,M$4)=0,"",SUMIFS('Input Sheet'!$F$3:$F$1001,'Input Sheet'!$B$3:$B$1001,$H946,'Input Sheet'!$E$3:$E$1001,M$4))</f>
        <v/>
      </c>
      <c r="N946" s="21" t="str">
        <f>IF(SUMIFS('Input Sheet'!$F$3:$F$1001,'Input Sheet'!$B$3:$B$1001,$H946,'Input Sheet'!$E$3:$E$1001,N$4)=0,"",SUMIFS('Input Sheet'!$F$3:$F$1001,'Input Sheet'!$B$3:$B$1001,$H946,'Input Sheet'!$E$3:$E$1001,N$4))</f>
        <v/>
      </c>
      <c r="O946" s="21" t="str">
        <f>IF(SUMIFS('Input Sheet'!$F$3:$F$1001,'Input Sheet'!$B$3:$B$1001,$H946,'Input Sheet'!$E$3:$E$1001,O$4)=0,"",SUMIFS('Input Sheet'!$F$3:$F$1001,'Input Sheet'!$B$3:$B$1001,$H946,'Input Sheet'!$E$3:$E$1001,O$4))</f>
        <v/>
      </c>
      <c r="P946" s="21" t="str">
        <f>IF(SUMIFS('Input Sheet'!$F$3:$F$1001,'Input Sheet'!$B$3:$B$1001,$H946,'Input Sheet'!$E$3:$E$1001,P$4)=0,"",SUMIFS('Input Sheet'!$F$3:$F$1001,'Input Sheet'!$B$3:$B$1001,$H946,'Input Sheet'!$E$3:$E$1001,P$4))</f>
        <v/>
      </c>
      <c r="Q946" s="21" t="str">
        <f>IF(SUMIFS('Input Sheet'!$F$3:$F$1001,'Input Sheet'!$B$3:$B$1001,$H946,'Input Sheet'!$E$3:$E$1001,Q$4)=0,"",SUMIFS('Input Sheet'!$F$3:$F$1001,'Input Sheet'!$B$3:$B$1001,$H946,'Input Sheet'!$E$3:$E$1001,Q$4))</f>
        <v/>
      </c>
      <c r="R946" s="21" t="str">
        <f>IF(SUMIFS('Input Sheet'!$F$3:$F$1001,'Input Sheet'!$B$3:$B$1001,$H946,'Input Sheet'!$E$3:$E$1001,R$4)=0,"",SUMIFS('Input Sheet'!$F$3:$F$1001,'Input Sheet'!$B$3:$B$1001,$H946,'Input Sheet'!$E$3:$E$1001,R$4))</f>
        <v/>
      </c>
      <c r="S946" s="21" t="str">
        <f>IF(SUMIFS('Input Sheet'!$F$3:$F$1001,'Input Sheet'!$B$3:$B$1001,$H946,'Input Sheet'!$E$3:$E$1001,S$4)=0,"",SUMIFS('Input Sheet'!$F$3:$F$1001,'Input Sheet'!$B$3:$B$1001,$H946,'Input Sheet'!$E$3:$E$1001,S$4))</f>
        <v/>
      </c>
      <c r="T946" s="22">
        <v>941</v>
      </c>
    </row>
    <row r="947" spans="1:20" ht="14.25" customHeight="1" x14ac:dyDescent="0.3">
      <c r="A947" s="4" t="str">
        <f>IF('Input Sheet'!B944=0,"",'Input Sheet'!B944)</f>
        <v/>
      </c>
      <c r="B947" s="24" t="b">
        <f t="shared" si="788"/>
        <v>0</v>
      </c>
      <c r="C947" s="4">
        <f>SUMIF('Input Sheet'!B$3:B$1000,A947,'Input Sheet'!C$3:C$1000)</f>
        <v>0</v>
      </c>
      <c r="D947" s="4">
        <f>SUMIF('Input Sheet'!B$3:B$1000,A947,'Input Sheet'!D$3:D$1000)</f>
        <v>0</v>
      </c>
      <c r="E947" s="4" t="str">
        <f t="shared" ref="E947:F947" ca="1" si="971">IFERROR(RANK(K947,K$6:K$1004,1),"")</f>
        <v/>
      </c>
      <c r="F947" s="4" t="str">
        <f t="shared" ca="1" si="971"/>
        <v/>
      </c>
      <c r="G947" s="4" t="str">
        <f t="shared" ca="1" si="790"/>
        <v/>
      </c>
      <c r="H947" s="4" t="str">
        <f t="shared" si="791"/>
        <v/>
      </c>
      <c r="I947" s="4" t="str">
        <f t="shared" si="792"/>
        <v/>
      </c>
      <c r="J947" s="4" t="str">
        <f t="shared" si="793"/>
        <v/>
      </c>
      <c r="K947" s="25" t="str">
        <f t="shared" ca="1" si="794"/>
        <v/>
      </c>
      <c r="L947" s="21" t="str">
        <f t="shared" ca="1" si="795"/>
        <v/>
      </c>
      <c r="M947" s="21" t="str">
        <f>IF(SUMIFS('Input Sheet'!$F$3:$F$1001,'Input Sheet'!$B$3:$B$1001,$H947,'Input Sheet'!$E$3:$E$1001,M$4)=0,"",SUMIFS('Input Sheet'!$F$3:$F$1001,'Input Sheet'!$B$3:$B$1001,$H947,'Input Sheet'!$E$3:$E$1001,M$4))</f>
        <v/>
      </c>
      <c r="N947" s="21" t="str">
        <f>IF(SUMIFS('Input Sheet'!$F$3:$F$1001,'Input Sheet'!$B$3:$B$1001,$H947,'Input Sheet'!$E$3:$E$1001,N$4)=0,"",SUMIFS('Input Sheet'!$F$3:$F$1001,'Input Sheet'!$B$3:$B$1001,$H947,'Input Sheet'!$E$3:$E$1001,N$4))</f>
        <v/>
      </c>
      <c r="O947" s="21" t="str">
        <f>IF(SUMIFS('Input Sheet'!$F$3:$F$1001,'Input Sheet'!$B$3:$B$1001,$H947,'Input Sheet'!$E$3:$E$1001,O$4)=0,"",SUMIFS('Input Sheet'!$F$3:$F$1001,'Input Sheet'!$B$3:$B$1001,$H947,'Input Sheet'!$E$3:$E$1001,O$4))</f>
        <v/>
      </c>
      <c r="P947" s="21" t="str">
        <f>IF(SUMIFS('Input Sheet'!$F$3:$F$1001,'Input Sheet'!$B$3:$B$1001,$H947,'Input Sheet'!$E$3:$E$1001,P$4)=0,"",SUMIFS('Input Sheet'!$F$3:$F$1001,'Input Sheet'!$B$3:$B$1001,$H947,'Input Sheet'!$E$3:$E$1001,P$4))</f>
        <v/>
      </c>
      <c r="Q947" s="21" t="str">
        <f>IF(SUMIFS('Input Sheet'!$F$3:$F$1001,'Input Sheet'!$B$3:$B$1001,$H947,'Input Sheet'!$E$3:$E$1001,Q$4)=0,"",SUMIFS('Input Sheet'!$F$3:$F$1001,'Input Sheet'!$B$3:$B$1001,$H947,'Input Sheet'!$E$3:$E$1001,Q$4))</f>
        <v/>
      </c>
      <c r="R947" s="21" t="str">
        <f>IF(SUMIFS('Input Sheet'!$F$3:$F$1001,'Input Sheet'!$B$3:$B$1001,$H947,'Input Sheet'!$E$3:$E$1001,R$4)=0,"",SUMIFS('Input Sheet'!$F$3:$F$1001,'Input Sheet'!$B$3:$B$1001,$H947,'Input Sheet'!$E$3:$E$1001,R$4))</f>
        <v/>
      </c>
      <c r="S947" s="21" t="str">
        <f>IF(SUMIFS('Input Sheet'!$F$3:$F$1001,'Input Sheet'!$B$3:$B$1001,$H947,'Input Sheet'!$E$3:$E$1001,S$4)=0,"",SUMIFS('Input Sheet'!$F$3:$F$1001,'Input Sheet'!$B$3:$B$1001,$H947,'Input Sheet'!$E$3:$E$1001,S$4))</f>
        <v/>
      </c>
      <c r="T947" s="22">
        <v>942</v>
      </c>
    </row>
    <row r="948" spans="1:20" ht="14.25" customHeight="1" x14ac:dyDescent="0.3">
      <c r="A948" s="4" t="str">
        <f>IF('Input Sheet'!B945=0,"",'Input Sheet'!B945)</f>
        <v/>
      </c>
      <c r="B948" s="24" t="b">
        <f t="shared" si="788"/>
        <v>0</v>
      </c>
      <c r="C948" s="4">
        <f>SUMIF('Input Sheet'!B$3:B$1000,A948,'Input Sheet'!C$3:C$1000)</f>
        <v>0</v>
      </c>
      <c r="D948" s="4">
        <f>SUMIF('Input Sheet'!B$3:B$1000,A948,'Input Sheet'!D$3:D$1000)</f>
        <v>0</v>
      </c>
      <c r="E948" s="4" t="str">
        <f t="shared" ref="E948:F948" ca="1" si="972">IFERROR(RANK(K948,K$6:K$1004,1),"")</f>
        <v/>
      </c>
      <c r="F948" s="4" t="str">
        <f t="shared" ca="1" si="972"/>
        <v/>
      </c>
      <c r="G948" s="4" t="str">
        <f t="shared" ca="1" si="790"/>
        <v/>
      </c>
      <c r="H948" s="4" t="str">
        <f t="shared" si="791"/>
        <v/>
      </c>
      <c r="I948" s="4" t="str">
        <f t="shared" si="792"/>
        <v/>
      </c>
      <c r="J948" s="4" t="str">
        <f t="shared" si="793"/>
        <v/>
      </c>
      <c r="K948" s="25" t="str">
        <f t="shared" ca="1" si="794"/>
        <v/>
      </c>
      <c r="L948" s="21" t="str">
        <f t="shared" ca="1" si="795"/>
        <v/>
      </c>
      <c r="M948" s="21" t="str">
        <f>IF(SUMIFS('Input Sheet'!$F$3:$F$1001,'Input Sheet'!$B$3:$B$1001,$H948,'Input Sheet'!$E$3:$E$1001,M$4)=0,"",SUMIFS('Input Sheet'!$F$3:$F$1001,'Input Sheet'!$B$3:$B$1001,$H948,'Input Sheet'!$E$3:$E$1001,M$4))</f>
        <v/>
      </c>
      <c r="N948" s="21" t="str">
        <f>IF(SUMIFS('Input Sheet'!$F$3:$F$1001,'Input Sheet'!$B$3:$B$1001,$H948,'Input Sheet'!$E$3:$E$1001,N$4)=0,"",SUMIFS('Input Sheet'!$F$3:$F$1001,'Input Sheet'!$B$3:$B$1001,$H948,'Input Sheet'!$E$3:$E$1001,N$4))</f>
        <v/>
      </c>
      <c r="O948" s="21" t="str">
        <f>IF(SUMIFS('Input Sheet'!$F$3:$F$1001,'Input Sheet'!$B$3:$B$1001,$H948,'Input Sheet'!$E$3:$E$1001,O$4)=0,"",SUMIFS('Input Sheet'!$F$3:$F$1001,'Input Sheet'!$B$3:$B$1001,$H948,'Input Sheet'!$E$3:$E$1001,O$4))</f>
        <v/>
      </c>
      <c r="P948" s="21" t="str">
        <f>IF(SUMIFS('Input Sheet'!$F$3:$F$1001,'Input Sheet'!$B$3:$B$1001,$H948,'Input Sheet'!$E$3:$E$1001,P$4)=0,"",SUMIFS('Input Sheet'!$F$3:$F$1001,'Input Sheet'!$B$3:$B$1001,$H948,'Input Sheet'!$E$3:$E$1001,P$4))</f>
        <v/>
      </c>
      <c r="Q948" s="21" t="str">
        <f>IF(SUMIFS('Input Sheet'!$F$3:$F$1001,'Input Sheet'!$B$3:$B$1001,$H948,'Input Sheet'!$E$3:$E$1001,Q$4)=0,"",SUMIFS('Input Sheet'!$F$3:$F$1001,'Input Sheet'!$B$3:$B$1001,$H948,'Input Sheet'!$E$3:$E$1001,Q$4))</f>
        <v/>
      </c>
      <c r="R948" s="21" t="str">
        <f>IF(SUMIFS('Input Sheet'!$F$3:$F$1001,'Input Sheet'!$B$3:$B$1001,$H948,'Input Sheet'!$E$3:$E$1001,R$4)=0,"",SUMIFS('Input Sheet'!$F$3:$F$1001,'Input Sheet'!$B$3:$B$1001,$H948,'Input Sheet'!$E$3:$E$1001,R$4))</f>
        <v/>
      </c>
      <c r="S948" s="21" t="str">
        <f>IF(SUMIFS('Input Sheet'!$F$3:$F$1001,'Input Sheet'!$B$3:$B$1001,$H948,'Input Sheet'!$E$3:$E$1001,S$4)=0,"",SUMIFS('Input Sheet'!$F$3:$F$1001,'Input Sheet'!$B$3:$B$1001,$H948,'Input Sheet'!$E$3:$E$1001,S$4))</f>
        <v/>
      </c>
      <c r="T948" s="22">
        <v>943</v>
      </c>
    </row>
    <row r="949" spans="1:20" ht="14.25" customHeight="1" x14ac:dyDescent="0.3">
      <c r="A949" s="4" t="str">
        <f>IF('Input Sheet'!B946=0,"",'Input Sheet'!B946)</f>
        <v/>
      </c>
      <c r="B949" s="24" t="b">
        <f t="shared" si="788"/>
        <v>0</v>
      </c>
      <c r="C949" s="4">
        <f>SUMIF('Input Sheet'!B$3:B$1000,A949,'Input Sheet'!C$3:C$1000)</f>
        <v>0</v>
      </c>
      <c r="D949" s="4">
        <f>SUMIF('Input Sheet'!B$3:B$1000,A949,'Input Sheet'!D$3:D$1000)</f>
        <v>0</v>
      </c>
      <c r="E949" s="4" t="str">
        <f t="shared" ref="E949:F949" ca="1" si="973">IFERROR(RANK(K949,K$6:K$1004,1),"")</f>
        <v/>
      </c>
      <c r="F949" s="4" t="str">
        <f t="shared" ca="1" si="973"/>
        <v/>
      </c>
      <c r="G949" s="4" t="str">
        <f t="shared" ca="1" si="790"/>
        <v/>
      </c>
      <c r="H949" s="4" t="str">
        <f t="shared" si="791"/>
        <v/>
      </c>
      <c r="I949" s="4" t="str">
        <f t="shared" si="792"/>
        <v/>
      </c>
      <c r="J949" s="4" t="str">
        <f t="shared" si="793"/>
        <v/>
      </c>
      <c r="K949" s="25" t="str">
        <f t="shared" ca="1" si="794"/>
        <v/>
      </c>
      <c r="L949" s="21" t="str">
        <f t="shared" ca="1" si="795"/>
        <v/>
      </c>
      <c r="M949" s="21" t="str">
        <f>IF(SUMIFS('Input Sheet'!$F$3:$F$1001,'Input Sheet'!$B$3:$B$1001,$H949,'Input Sheet'!$E$3:$E$1001,M$4)=0,"",SUMIFS('Input Sheet'!$F$3:$F$1001,'Input Sheet'!$B$3:$B$1001,$H949,'Input Sheet'!$E$3:$E$1001,M$4))</f>
        <v/>
      </c>
      <c r="N949" s="21" t="str">
        <f>IF(SUMIFS('Input Sheet'!$F$3:$F$1001,'Input Sheet'!$B$3:$B$1001,$H949,'Input Sheet'!$E$3:$E$1001,N$4)=0,"",SUMIFS('Input Sheet'!$F$3:$F$1001,'Input Sheet'!$B$3:$B$1001,$H949,'Input Sheet'!$E$3:$E$1001,N$4))</f>
        <v/>
      </c>
      <c r="O949" s="21" t="str">
        <f>IF(SUMIFS('Input Sheet'!$F$3:$F$1001,'Input Sheet'!$B$3:$B$1001,$H949,'Input Sheet'!$E$3:$E$1001,O$4)=0,"",SUMIFS('Input Sheet'!$F$3:$F$1001,'Input Sheet'!$B$3:$B$1001,$H949,'Input Sheet'!$E$3:$E$1001,O$4))</f>
        <v/>
      </c>
      <c r="P949" s="21" t="str">
        <f>IF(SUMIFS('Input Sheet'!$F$3:$F$1001,'Input Sheet'!$B$3:$B$1001,$H949,'Input Sheet'!$E$3:$E$1001,P$4)=0,"",SUMIFS('Input Sheet'!$F$3:$F$1001,'Input Sheet'!$B$3:$B$1001,$H949,'Input Sheet'!$E$3:$E$1001,P$4))</f>
        <v/>
      </c>
      <c r="Q949" s="21" t="str">
        <f>IF(SUMIFS('Input Sheet'!$F$3:$F$1001,'Input Sheet'!$B$3:$B$1001,$H949,'Input Sheet'!$E$3:$E$1001,Q$4)=0,"",SUMIFS('Input Sheet'!$F$3:$F$1001,'Input Sheet'!$B$3:$B$1001,$H949,'Input Sheet'!$E$3:$E$1001,Q$4))</f>
        <v/>
      </c>
      <c r="R949" s="21" t="str">
        <f>IF(SUMIFS('Input Sheet'!$F$3:$F$1001,'Input Sheet'!$B$3:$B$1001,$H949,'Input Sheet'!$E$3:$E$1001,R$4)=0,"",SUMIFS('Input Sheet'!$F$3:$F$1001,'Input Sheet'!$B$3:$B$1001,$H949,'Input Sheet'!$E$3:$E$1001,R$4))</f>
        <v/>
      </c>
      <c r="S949" s="21" t="str">
        <f>IF(SUMIFS('Input Sheet'!$F$3:$F$1001,'Input Sheet'!$B$3:$B$1001,$H949,'Input Sheet'!$E$3:$E$1001,S$4)=0,"",SUMIFS('Input Sheet'!$F$3:$F$1001,'Input Sheet'!$B$3:$B$1001,$H949,'Input Sheet'!$E$3:$E$1001,S$4))</f>
        <v/>
      </c>
      <c r="T949" s="22">
        <v>944</v>
      </c>
    </row>
    <row r="950" spans="1:20" ht="14.25" customHeight="1" x14ac:dyDescent="0.3">
      <c r="A950" s="4" t="str">
        <f>IF('Input Sheet'!B947=0,"",'Input Sheet'!B947)</f>
        <v/>
      </c>
      <c r="B950" s="24" t="b">
        <f t="shared" si="788"/>
        <v>0</v>
      </c>
      <c r="C950" s="4">
        <f>SUMIF('Input Sheet'!B$3:B$1000,A950,'Input Sheet'!C$3:C$1000)</f>
        <v>0</v>
      </c>
      <c r="D950" s="4">
        <f>SUMIF('Input Sheet'!B$3:B$1000,A950,'Input Sheet'!D$3:D$1000)</f>
        <v>0</v>
      </c>
      <c r="E950" s="4" t="str">
        <f t="shared" ref="E950:F950" ca="1" si="974">IFERROR(RANK(K950,K$6:K$1004,1),"")</f>
        <v/>
      </c>
      <c r="F950" s="4" t="str">
        <f t="shared" ca="1" si="974"/>
        <v/>
      </c>
      <c r="G950" s="4" t="str">
        <f t="shared" ca="1" si="790"/>
        <v/>
      </c>
      <c r="H950" s="4" t="str">
        <f t="shared" si="791"/>
        <v/>
      </c>
      <c r="I950" s="4" t="str">
        <f t="shared" si="792"/>
        <v/>
      </c>
      <c r="J950" s="4" t="str">
        <f t="shared" si="793"/>
        <v/>
      </c>
      <c r="K950" s="25" t="str">
        <f t="shared" ca="1" si="794"/>
        <v/>
      </c>
      <c r="L950" s="21" t="str">
        <f t="shared" ca="1" si="795"/>
        <v/>
      </c>
      <c r="M950" s="21" t="str">
        <f>IF(SUMIFS('Input Sheet'!$F$3:$F$1001,'Input Sheet'!$B$3:$B$1001,$H950,'Input Sheet'!$E$3:$E$1001,M$4)=0,"",SUMIFS('Input Sheet'!$F$3:$F$1001,'Input Sheet'!$B$3:$B$1001,$H950,'Input Sheet'!$E$3:$E$1001,M$4))</f>
        <v/>
      </c>
      <c r="N950" s="21" t="str">
        <f>IF(SUMIFS('Input Sheet'!$F$3:$F$1001,'Input Sheet'!$B$3:$B$1001,$H950,'Input Sheet'!$E$3:$E$1001,N$4)=0,"",SUMIFS('Input Sheet'!$F$3:$F$1001,'Input Sheet'!$B$3:$B$1001,$H950,'Input Sheet'!$E$3:$E$1001,N$4))</f>
        <v/>
      </c>
      <c r="O950" s="21" t="str">
        <f>IF(SUMIFS('Input Sheet'!$F$3:$F$1001,'Input Sheet'!$B$3:$B$1001,$H950,'Input Sheet'!$E$3:$E$1001,O$4)=0,"",SUMIFS('Input Sheet'!$F$3:$F$1001,'Input Sheet'!$B$3:$B$1001,$H950,'Input Sheet'!$E$3:$E$1001,O$4))</f>
        <v/>
      </c>
      <c r="P950" s="21" t="str">
        <f>IF(SUMIFS('Input Sheet'!$F$3:$F$1001,'Input Sheet'!$B$3:$B$1001,$H950,'Input Sheet'!$E$3:$E$1001,P$4)=0,"",SUMIFS('Input Sheet'!$F$3:$F$1001,'Input Sheet'!$B$3:$B$1001,$H950,'Input Sheet'!$E$3:$E$1001,P$4))</f>
        <v/>
      </c>
      <c r="Q950" s="21" t="str">
        <f>IF(SUMIFS('Input Sheet'!$F$3:$F$1001,'Input Sheet'!$B$3:$B$1001,$H950,'Input Sheet'!$E$3:$E$1001,Q$4)=0,"",SUMIFS('Input Sheet'!$F$3:$F$1001,'Input Sheet'!$B$3:$B$1001,$H950,'Input Sheet'!$E$3:$E$1001,Q$4))</f>
        <v/>
      </c>
      <c r="R950" s="21" t="str">
        <f>IF(SUMIFS('Input Sheet'!$F$3:$F$1001,'Input Sheet'!$B$3:$B$1001,$H950,'Input Sheet'!$E$3:$E$1001,R$4)=0,"",SUMIFS('Input Sheet'!$F$3:$F$1001,'Input Sheet'!$B$3:$B$1001,$H950,'Input Sheet'!$E$3:$E$1001,R$4))</f>
        <v/>
      </c>
      <c r="S950" s="21" t="str">
        <f>IF(SUMIFS('Input Sheet'!$F$3:$F$1001,'Input Sheet'!$B$3:$B$1001,$H950,'Input Sheet'!$E$3:$E$1001,S$4)=0,"",SUMIFS('Input Sheet'!$F$3:$F$1001,'Input Sheet'!$B$3:$B$1001,$H950,'Input Sheet'!$E$3:$E$1001,S$4))</f>
        <v/>
      </c>
      <c r="T950" s="22">
        <v>945</v>
      </c>
    </row>
    <row r="951" spans="1:20" ht="14.25" customHeight="1" x14ac:dyDescent="0.3">
      <c r="A951" s="4" t="str">
        <f>IF('Input Sheet'!B948=0,"",'Input Sheet'!B948)</f>
        <v/>
      </c>
      <c r="B951" s="24" t="b">
        <f t="shared" si="788"/>
        <v>0</v>
      </c>
      <c r="C951" s="4">
        <f>SUMIF('Input Sheet'!B$3:B$1000,A951,'Input Sheet'!C$3:C$1000)</f>
        <v>0</v>
      </c>
      <c r="D951" s="4">
        <f>SUMIF('Input Sheet'!B$3:B$1000,A951,'Input Sheet'!D$3:D$1000)</f>
        <v>0</v>
      </c>
      <c r="E951" s="4" t="str">
        <f t="shared" ref="E951:F951" ca="1" si="975">IFERROR(RANK(K951,K$6:K$1004,1),"")</f>
        <v/>
      </c>
      <c r="F951" s="4" t="str">
        <f t="shared" ca="1" si="975"/>
        <v/>
      </c>
      <c r="G951" s="4" t="str">
        <f t="shared" ca="1" si="790"/>
        <v/>
      </c>
      <c r="H951" s="4" t="str">
        <f t="shared" si="791"/>
        <v/>
      </c>
      <c r="I951" s="4" t="str">
        <f t="shared" si="792"/>
        <v/>
      </c>
      <c r="J951" s="4" t="str">
        <f t="shared" si="793"/>
        <v/>
      </c>
      <c r="K951" s="25" t="str">
        <f t="shared" ca="1" si="794"/>
        <v/>
      </c>
      <c r="L951" s="21" t="str">
        <f t="shared" ca="1" si="795"/>
        <v/>
      </c>
      <c r="M951" s="21" t="str">
        <f>IF(SUMIFS('Input Sheet'!$F$3:$F$1001,'Input Sheet'!$B$3:$B$1001,$H951,'Input Sheet'!$E$3:$E$1001,M$4)=0,"",SUMIFS('Input Sheet'!$F$3:$F$1001,'Input Sheet'!$B$3:$B$1001,$H951,'Input Sheet'!$E$3:$E$1001,M$4))</f>
        <v/>
      </c>
      <c r="N951" s="21" t="str">
        <f>IF(SUMIFS('Input Sheet'!$F$3:$F$1001,'Input Sheet'!$B$3:$B$1001,$H951,'Input Sheet'!$E$3:$E$1001,N$4)=0,"",SUMIFS('Input Sheet'!$F$3:$F$1001,'Input Sheet'!$B$3:$B$1001,$H951,'Input Sheet'!$E$3:$E$1001,N$4))</f>
        <v/>
      </c>
      <c r="O951" s="21" t="str">
        <f>IF(SUMIFS('Input Sheet'!$F$3:$F$1001,'Input Sheet'!$B$3:$B$1001,$H951,'Input Sheet'!$E$3:$E$1001,O$4)=0,"",SUMIFS('Input Sheet'!$F$3:$F$1001,'Input Sheet'!$B$3:$B$1001,$H951,'Input Sheet'!$E$3:$E$1001,O$4))</f>
        <v/>
      </c>
      <c r="P951" s="21" t="str">
        <f>IF(SUMIFS('Input Sheet'!$F$3:$F$1001,'Input Sheet'!$B$3:$B$1001,$H951,'Input Sheet'!$E$3:$E$1001,P$4)=0,"",SUMIFS('Input Sheet'!$F$3:$F$1001,'Input Sheet'!$B$3:$B$1001,$H951,'Input Sheet'!$E$3:$E$1001,P$4))</f>
        <v/>
      </c>
      <c r="Q951" s="21" t="str">
        <f>IF(SUMIFS('Input Sheet'!$F$3:$F$1001,'Input Sheet'!$B$3:$B$1001,$H951,'Input Sheet'!$E$3:$E$1001,Q$4)=0,"",SUMIFS('Input Sheet'!$F$3:$F$1001,'Input Sheet'!$B$3:$B$1001,$H951,'Input Sheet'!$E$3:$E$1001,Q$4))</f>
        <v/>
      </c>
      <c r="R951" s="21" t="str">
        <f>IF(SUMIFS('Input Sheet'!$F$3:$F$1001,'Input Sheet'!$B$3:$B$1001,$H951,'Input Sheet'!$E$3:$E$1001,R$4)=0,"",SUMIFS('Input Sheet'!$F$3:$F$1001,'Input Sheet'!$B$3:$B$1001,$H951,'Input Sheet'!$E$3:$E$1001,R$4))</f>
        <v/>
      </c>
      <c r="S951" s="21" t="str">
        <f>IF(SUMIFS('Input Sheet'!$F$3:$F$1001,'Input Sheet'!$B$3:$B$1001,$H951,'Input Sheet'!$E$3:$E$1001,S$4)=0,"",SUMIFS('Input Sheet'!$F$3:$F$1001,'Input Sheet'!$B$3:$B$1001,$H951,'Input Sheet'!$E$3:$E$1001,S$4))</f>
        <v/>
      </c>
      <c r="T951" s="22">
        <v>946</v>
      </c>
    </row>
    <row r="952" spans="1:20" ht="14.25" customHeight="1" x14ac:dyDescent="0.3">
      <c r="A952" s="4" t="str">
        <f>IF('Input Sheet'!B949=0,"",'Input Sheet'!B949)</f>
        <v/>
      </c>
      <c r="B952" s="24" t="b">
        <f t="shared" si="788"/>
        <v>0</v>
      </c>
      <c r="C952" s="4">
        <f>SUMIF('Input Sheet'!B$3:B$1000,A952,'Input Sheet'!C$3:C$1000)</f>
        <v>0</v>
      </c>
      <c r="D952" s="4">
        <f>SUMIF('Input Sheet'!B$3:B$1000,A952,'Input Sheet'!D$3:D$1000)</f>
        <v>0</v>
      </c>
      <c r="E952" s="4" t="str">
        <f t="shared" ref="E952:F952" ca="1" si="976">IFERROR(RANK(K952,K$6:K$1004,1),"")</f>
        <v/>
      </c>
      <c r="F952" s="4" t="str">
        <f t="shared" ca="1" si="976"/>
        <v/>
      </c>
      <c r="G952" s="4" t="str">
        <f t="shared" ca="1" si="790"/>
        <v/>
      </c>
      <c r="H952" s="4" t="str">
        <f t="shared" si="791"/>
        <v/>
      </c>
      <c r="I952" s="4" t="str">
        <f t="shared" si="792"/>
        <v/>
      </c>
      <c r="J952" s="4" t="str">
        <f t="shared" si="793"/>
        <v/>
      </c>
      <c r="K952" s="25" t="str">
        <f t="shared" ca="1" si="794"/>
        <v/>
      </c>
      <c r="L952" s="21" t="str">
        <f t="shared" ca="1" si="795"/>
        <v/>
      </c>
      <c r="M952" s="21" t="str">
        <f>IF(SUMIFS('Input Sheet'!$F$3:$F$1001,'Input Sheet'!$B$3:$B$1001,$H952,'Input Sheet'!$E$3:$E$1001,M$4)=0,"",SUMIFS('Input Sheet'!$F$3:$F$1001,'Input Sheet'!$B$3:$B$1001,$H952,'Input Sheet'!$E$3:$E$1001,M$4))</f>
        <v/>
      </c>
      <c r="N952" s="21" t="str">
        <f>IF(SUMIFS('Input Sheet'!$F$3:$F$1001,'Input Sheet'!$B$3:$B$1001,$H952,'Input Sheet'!$E$3:$E$1001,N$4)=0,"",SUMIFS('Input Sheet'!$F$3:$F$1001,'Input Sheet'!$B$3:$B$1001,$H952,'Input Sheet'!$E$3:$E$1001,N$4))</f>
        <v/>
      </c>
      <c r="O952" s="21" t="str">
        <f>IF(SUMIFS('Input Sheet'!$F$3:$F$1001,'Input Sheet'!$B$3:$B$1001,$H952,'Input Sheet'!$E$3:$E$1001,O$4)=0,"",SUMIFS('Input Sheet'!$F$3:$F$1001,'Input Sheet'!$B$3:$B$1001,$H952,'Input Sheet'!$E$3:$E$1001,O$4))</f>
        <v/>
      </c>
      <c r="P952" s="21" t="str">
        <f>IF(SUMIFS('Input Sheet'!$F$3:$F$1001,'Input Sheet'!$B$3:$B$1001,$H952,'Input Sheet'!$E$3:$E$1001,P$4)=0,"",SUMIFS('Input Sheet'!$F$3:$F$1001,'Input Sheet'!$B$3:$B$1001,$H952,'Input Sheet'!$E$3:$E$1001,P$4))</f>
        <v/>
      </c>
      <c r="Q952" s="21" t="str">
        <f>IF(SUMIFS('Input Sheet'!$F$3:$F$1001,'Input Sheet'!$B$3:$B$1001,$H952,'Input Sheet'!$E$3:$E$1001,Q$4)=0,"",SUMIFS('Input Sheet'!$F$3:$F$1001,'Input Sheet'!$B$3:$B$1001,$H952,'Input Sheet'!$E$3:$E$1001,Q$4))</f>
        <v/>
      </c>
      <c r="R952" s="21" t="str">
        <f>IF(SUMIFS('Input Sheet'!$F$3:$F$1001,'Input Sheet'!$B$3:$B$1001,$H952,'Input Sheet'!$E$3:$E$1001,R$4)=0,"",SUMIFS('Input Sheet'!$F$3:$F$1001,'Input Sheet'!$B$3:$B$1001,$H952,'Input Sheet'!$E$3:$E$1001,R$4))</f>
        <v/>
      </c>
      <c r="S952" s="21" t="str">
        <f>IF(SUMIFS('Input Sheet'!$F$3:$F$1001,'Input Sheet'!$B$3:$B$1001,$H952,'Input Sheet'!$E$3:$E$1001,S$4)=0,"",SUMIFS('Input Sheet'!$F$3:$F$1001,'Input Sheet'!$B$3:$B$1001,$H952,'Input Sheet'!$E$3:$E$1001,S$4))</f>
        <v/>
      </c>
      <c r="T952" s="22">
        <v>947</v>
      </c>
    </row>
    <row r="953" spans="1:20" ht="14.25" customHeight="1" x14ac:dyDescent="0.3">
      <c r="A953" s="4" t="str">
        <f>IF('Input Sheet'!B950=0,"",'Input Sheet'!B950)</f>
        <v/>
      </c>
      <c r="B953" s="24" t="b">
        <f t="shared" si="788"/>
        <v>0</v>
      </c>
      <c r="C953" s="4">
        <f>SUMIF('Input Sheet'!B$3:B$1000,A953,'Input Sheet'!C$3:C$1000)</f>
        <v>0</v>
      </c>
      <c r="D953" s="4">
        <f>SUMIF('Input Sheet'!B$3:B$1000,A953,'Input Sheet'!D$3:D$1000)</f>
        <v>0</v>
      </c>
      <c r="E953" s="4" t="str">
        <f t="shared" ref="E953:F953" ca="1" si="977">IFERROR(RANK(K953,K$6:K$1004,1),"")</f>
        <v/>
      </c>
      <c r="F953" s="4" t="str">
        <f t="shared" ca="1" si="977"/>
        <v/>
      </c>
      <c r="G953" s="4" t="str">
        <f t="shared" ca="1" si="790"/>
        <v/>
      </c>
      <c r="H953" s="4" t="str">
        <f t="shared" si="791"/>
        <v/>
      </c>
      <c r="I953" s="4" t="str">
        <f t="shared" si="792"/>
        <v/>
      </c>
      <c r="J953" s="4" t="str">
        <f t="shared" si="793"/>
        <v/>
      </c>
      <c r="K953" s="25" t="str">
        <f t="shared" ca="1" si="794"/>
        <v/>
      </c>
      <c r="L953" s="21" t="str">
        <f t="shared" ca="1" si="795"/>
        <v/>
      </c>
      <c r="M953" s="21" t="str">
        <f>IF(SUMIFS('Input Sheet'!$F$3:$F$1001,'Input Sheet'!$B$3:$B$1001,$H953,'Input Sheet'!$E$3:$E$1001,M$4)=0,"",SUMIFS('Input Sheet'!$F$3:$F$1001,'Input Sheet'!$B$3:$B$1001,$H953,'Input Sheet'!$E$3:$E$1001,M$4))</f>
        <v/>
      </c>
      <c r="N953" s="21" t="str">
        <f>IF(SUMIFS('Input Sheet'!$F$3:$F$1001,'Input Sheet'!$B$3:$B$1001,$H953,'Input Sheet'!$E$3:$E$1001,N$4)=0,"",SUMIFS('Input Sheet'!$F$3:$F$1001,'Input Sheet'!$B$3:$B$1001,$H953,'Input Sheet'!$E$3:$E$1001,N$4))</f>
        <v/>
      </c>
      <c r="O953" s="21" t="str">
        <f>IF(SUMIFS('Input Sheet'!$F$3:$F$1001,'Input Sheet'!$B$3:$B$1001,$H953,'Input Sheet'!$E$3:$E$1001,O$4)=0,"",SUMIFS('Input Sheet'!$F$3:$F$1001,'Input Sheet'!$B$3:$B$1001,$H953,'Input Sheet'!$E$3:$E$1001,O$4))</f>
        <v/>
      </c>
      <c r="P953" s="21" t="str">
        <f>IF(SUMIFS('Input Sheet'!$F$3:$F$1001,'Input Sheet'!$B$3:$B$1001,$H953,'Input Sheet'!$E$3:$E$1001,P$4)=0,"",SUMIFS('Input Sheet'!$F$3:$F$1001,'Input Sheet'!$B$3:$B$1001,$H953,'Input Sheet'!$E$3:$E$1001,P$4))</f>
        <v/>
      </c>
      <c r="Q953" s="21" t="str">
        <f>IF(SUMIFS('Input Sheet'!$F$3:$F$1001,'Input Sheet'!$B$3:$B$1001,$H953,'Input Sheet'!$E$3:$E$1001,Q$4)=0,"",SUMIFS('Input Sheet'!$F$3:$F$1001,'Input Sheet'!$B$3:$B$1001,$H953,'Input Sheet'!$E$3:$E$1001,Q$4))</f>
        <v/>
      </c>
      <c r="R953" s="21" t="str">
        <f>IF(SUMIFS('Input Sheet'!$F$3:$F$1001,'Input Sheet'!$B$3:$B$1001,$H953,'Input Sheet'!$E$3:$E$1001,R$4)=0,"",SUMIFS('Input Sheet'!$F$3:$F$1001,'Input Sheet'!$B$3:$B$1001,$H953,'Input Sheet'!$E$3:$E$1001,R$4))</f>
        <v/>
      </c>
      <c r="S953" s="21" t="str">
        <f>IF(SUMIFS('Input Sheet'!$F$3:$F$1001,'Input Sheet'!$B$3:$B$1001,$H953,'Input Sheet'!$E$3:$E$1001,S$4)=0,"",SUMIFS('Input Sheet'!$F$3:$F$1001,'Input Sheet'!$B$3:$B$1001,$H953,'Input Sheet'!$E$3:$E$1001,S$4))</f>
        <v/>
      </c>
      <c r="T953" s="22">
        <v>948</v>
      </c>
    </row>
    <row r="954" spans="1:20" ht="14.25" customHeight="1" x14ac:dyDescent="0.3">
      <c r="A954" s="4" t="str">
        <f>IF('Input Sheet'!B951=0,"",'Input Sheet'!B951)</f>
        <v/>
      </c>
      <c r="B954" s="24" t="b">
        <f t="shared" si="788"/>
        <v>0</v>
      </c>
      <c r="C954" s="4">
        <f>SUMIF('Input Sheet'!B$3:B$1000,A954,'Input Sheet'!C$3:C$1000)</f>
        <v>0</v>
      </c>
      <c r="D954" s="4">
        <f>SUMIF('Input Sheet'!B$3:B$1000,A954,'Input Sheet'!D$3:D$1000)</f>
        <v>0</v>
      </c>
      <c r="E954" s="4" t="str">
        <f t="shared" ref="E954:F954" ca="1" si="978">IFERROR(RANK(K954,K$6:K$1004,1),"")</f>
        <v/>
      </c>
      <c r="F954" s="4" t="str">
        <f t="shared" ca="1" si="978"/>
        <v/>
      </c>
      <c r="G954" s="4" t="str">
        <f t="shared" ca="1" si="790"/>
        <v/>
      </c>
      <c r="H954" s="4" t="str">
        <f t="shared" si="791"/>
        <v/>
      </c>
      <c r="I954" s="4" t="str">
        <f t="shared" si="792"/>
        <v/>
      </c>
      <c r="J954" s="4" t="str">
        <f t="shared" si="793"/>
        <v/>
      </c>
      <c r="K954" s="25" t="str">
        <f t="shared" ca="1" si="794"/>
        <v/>
      </c>
      <c r="L954" s="21" t="str">
        <f t="shared" ca="1" si="795"/>
        <v/>
      </c>
      <c r="M954" s="21" t="str">
        <f>IF(SUMIFS('Input Sheet'!$F$3:$F$1001,'Input Sheet'!$B$3:$B$1001,$H954,'Input Sheet'!$E$3:$E$1001,M$4)=0,"",SUMIFS('Input Sheet'!$F$3:$F$1001,'Input Sheet'!$B$3:$B$1001,$H954,'Input Sheet'!$E$3:$E$1001,M$4))</f>
        <v/>
      </c>
      <c r="N954" s="21" t="str">
        <f>IF(SUMIFS('Input Sheet'!$F$3:$F$1001,'Input Sheet'!$B$3:$B$1001,$H954,'Input Sheet'!$E$3:$E$1001,N$4)=0,"",SUMIFS('Input Sheet'!$F$3:$F$1001,'Input Sheet'!$B$3:$B$1001,$H954,'Input Sheet'!$E$3:$E$1001,N$4))</f>
        <v/>
      </c>
      <c r="O954" s="21" t="str">
        <f>IF(SUMIFS('Input Sheet'!$F$3:$F$1001,'Input Sheet'!$B$3:$B$1001,$H954,'Input Sheet'!$E$3:$E$1001,O$4)=0,"",SUMIFS('Input Sheet'!$F$3:$F$1001,'Input Sheet'!$B$3:$B$1001,$H954,'Input Sheet'!$E$3:$E$1001,O$4))</f>
        <v/>
      </c>
      <c r="P954" s="21" t="str">
        <f>IF(SUMIFS('Input Sheet'!$F$3:$F$1001,'Input Sheet'!$B$3:$B$1001,$H954,'Input Sheet'!$E$3:$E$1001,P$4)=0,"",SUMIFS('Input Sheet'!$F$3:$F$1001,'Input Sheet'!$B$3:$B$1001,$H954,'Input Sheet'!$E$3:$E$1001,P$4))</f>
        <v/>
      </c>
      <c r="Q954" s="21" t="str">
        <f>IF(SUMIFS('Input Sheet'!$F$3:$F$1001,'Input Sheet'!$B$3:$B$1001,$H954,'Input Sheet'!$E$3:$E$1001,Q$4)=0,"",SUMIFS('Input Sheet'!$F$3:$F$1001,'Input Sheet'!$B$3:$B$1001,$H954,'Input Sheet'!$E$3:$E$1001,Q$4))</f>
        <v/>
      </c>
      <c r="R954" s="21" t="str">
        <f>IF(SUMIFS('Input Sheet'!$F$3:$F$1001,'Input Sheet'!$B$3:$B$1001,$H954,'Input Sheet'!$E$3:$E$1001,R$4)=0,"",SUMIFS('Input Sheet'!$F$3:$F$1001,'Input Sheet'!$B$3:$B$1001,$H954,'Input Sheet'!$E$3:$E$1001,R$4))</f>
        <v/>
      </c>
      <c r="S954" s="21" t="str">
        <f>IF(SUMIFS('Input Sheet'!$F$3:$F$1001,'Input Sheet'!$B$3:$B$1001,$H954,'Input Sheet'!$E$3:$E$1001,S$4)=0,"",SUMIFS('Input Sheet'!$F$3:$F$1001,'Input Sheet'!$B$3:$B$1001,$H954,'Input Sheet'!$E$3:$E$1001,S$4))</f>
        <v/>
      </c>
      <c r="T954" s="22">
        <v>949</v>
      </c>
    </row>
    <row r="955" spans="1:20" ht="14.25" customHeight="1" x14ac:dyDescent="0.3">
      <c r="A955" s="4" t="str">
        <f>IF('Input Sheet'!B952=0,"",'Input Sheet'!B952)</f>
        <v/>
      </c>
      <c r="B955" s="24" t="b">
        <f t="shared" si="788"/>
        <v>0</v>
      </c>
      <c r="C955" s="4">
        <f>SUMIF('Input Sheet'!B$3:B$1000,A955,'Input Sheet'!C$3:C$1000)</f>
        <v>0</v>
      </c>
      <c r="D955" s="4">
        <f>SUMIF('Input Sheet'!B$3:B$1000,A955,'Input Sheet'!D$3:D$1000)</f>
        <v>0</v>
      </c>
      <c r="E955" s="4" t="str">
        <f t="shared" ref="E955:F955" ca="1" si="979">IFERROR(RANK(K955,K$6:K$1004,1),"")</f>
        <v/>
      </c>
      <c r="F955" s="4" t="str">
        <f t="shared" ca="1" si="979"/>
        <v/>
      </c>
      <c r="G955" s="4" t="str">
        <f t="shared" ca="1" si="790"/>
        <v/>
      </c>
      <c r="H955" s="4" t="str">
        <f t="shared" si="791"/>
        <v/>
      </c>
      <c r="I955" s="4" t="str">
        <f t="shared" si="792"/>
        <v/>
      </c>
      <c r="J955" s="4" t="str">
        <f t="shared" si="793"/>
        <v/>
      </c>
      <c r="K955" s="25" t="str">
        <f t="shared" ca="1" si="794"/>
        <v/>
      </c>
      <c r="L955" s="21" t="str">
        <f t="shared" ca="1" si="795"/>
        <v/>
      </c>
      <c r="M955" s="21" t="str">
        <f>IF(SUMIFS('Input Sheet'!$F$3:$F$1001,'Input Sheet'!$B$3:$B$1001,$H955,'Input Sheet'!$E$3:$E$1001,M$4)=0,"",SUMIFS('Input Sheet'!$F$3:$F$1001,'Input Sheet'!$B$3:$B$1001,$H955,'Input Sheet'!$E$3:$E$1001,M$4))</f>
        <v/>
      </c>
      <c r="N955" s="21" t="str">
        <f>IF(SUMIFS('Input Sheet'!$F$3:$F$1001,'Input Sheet'!$B$3:$B$1001,$H955,'Input Sheet'!$E$3:$E$1001,N$4)=0,"",SUMIFS('Input Sheet'!$F$3:$F$1001,'Input Sheet'!$B$3:$B$1001,$H955,'Input Sheet'!$E$3:$E$1001,N$4))</f>
        <v/>
      </c>
      <c r="O955" s="21" t="str">
        <f>IF(SUMIFS('Input Sheet'!$F$3:$F$1001,'Input Sheet'!$B$3:$B$1001,$H955,'Input Sheet'!$E$3:$E$1001,O$4)=0,"",SUMIFS('Input Sheet'!$F$3:$F$1001,'Input Sheet'!$B$3:$B$1001,$H955,'Input Sheet'!$E$3:$E$1001,O$4))</f>
        <v/>
      </c>
      <c r="P955" s="21" t="str">
        <f>IF(SUMIFS('Input Sheet'!$F$3:$F$1001,'Input Sheet'!$B$3:$B$1001,$H955,'Input Sheet'!$E$3:$E$1001,P$4)=0,"",SUMIFS('Input Sheet'!$F$3:$F$1001,'Input Sheet'!$B$3:$B$1001,$H955,'Input Sheet'!$E$3:$E$1001,P$4))</f>
        <v/>
      </c>
      <c r="Q955" s="21" t="str">
        <f>IF(SUMIFS('Input Sheet'!$F$3:$F$1001,'Input Sheet'!$B$3:$B$1001,$H955,'Input Sheet'!$E$3:$E$1001,Q$4)=0,"",SUMIFS('Input Sheet'!$F$3:$F$1001,'Input Sheet'!$B$3:$B$1001,$H955,'Input Sheet'!$E$3:$E$1001,Q$4))</f>
        <v/>
      </c>
      <c r="R955" s="21" t="str">
        <f>IF(SUMIFS('Input Sheet'!$F$3:$F$1001,'Input Sheet'!$B$3:$B$1001,$H955,'Input Sheet'!$E$3:$E$1001,R$4)=0,"",SUMIFS('Input Sheet'!$F$3:$F$1001,'Input Sheet'!$B$3:$B$1001,$H955,'Input Sheet'!$E$3:$E$1001,R$4))</f>
        <v/>
      </c>
      <c r="S955" s="21" t="str">
        <f>IF(SUMIFS('Input Sheet'!$F$3:$F$1001,'Input Sheet'!$B$3:$B$1001,$H955,'Input Sheet'!$E$3:$E$1001,S$4)=0,"",SUMIFS('Input Sheet'!$F$3:$F$1001,'Input Sheet'!$B$3:$B$1001,$H955,'Input Sheet'!$E$3:$E$1001,S$4))</f>
        <v/>
      </c>
      <c r="T955" s="22">
        <v>950</v>
      </c>
    </row>
    <row r="956" spans="1:20" ht="14.25" customHeight="1" x14ac:dyDescent="0.3">
      <c r="A956" s="4" t="str">
        <f>IF('Input Sheet'!B953=0,"",'Input Sheet'!B953)</f>
        <v/>
      </c>
      <c r="B956" s="24" t="b">
        <f t="shared" si="788"/>
        <v>0</v>
      </c>
      <c r="C956" s="4">
        <f>SUMIF('Input Sheet'!B$3:B$1000,A956,'Input Sheet'!C$3:C$1000)</f>
        <v>0</v>
      </c>
      <c r="D956" s="4">
        <f>SUMIF('Input Sheet'!B$3:B$1000,A956,'Input Sheet'!D$3:D$1000)</f>
        <v>0</v>
      </c>
      <c r="E956" s="4" t="str">
        <f t="shared" ref="E956:F956" ca="1" si="980">IFERROR(RANK(K956,K$6:K$1004,1),"")</f>
        <v/>
      </c>
      <c r="F956" s="4" t="str">
        <f t="shared" ca="1" si="980"/>
        <v/>
      </c>
      <c r="G956" s="4" t="str">
        <f t="shared" ca="1" si="790"/>
        <v/>
      </c>
      <c r="H956" s="4" t="str">
        <f t="shared" si="791"/>
        <v/>
      </c>
      <c r="I956" s="4" t="str">
        <f t="shared" si="792"/>
        <v/>
      </c>
      <c r="J956" s="4" t="str">
        <f t="shared" si="793"/>
        <v/>
      </c>
      <c r="K956" s="25" t="str">
        <f t="shared" ca="1" si="794"/>
        <v/>
      </c>
      <c r="L956" s="21" t="str">
        <f t="shared" ca="1" si="795"/>
        <v/>
      </c>
      <c r="M956" s="21" t="str">
        <f>IF(SUMIFS('Input Sheet'!$F$3:$F$1001,'Input Sheet'!$B$3:$B$1001,$H956,'Input Sheet'!$E$3:$E$1001,M$4)=0,"",SUMIFS('Input Sheet'!$F$3:$F$1001,'Input Sheet'!$B$3:$B$1001,$H956,'Input Sheet'!$E$3:$E$1001,M$4))</f>
        <v/>
      </c>
      <c r="N956" s="21" t="str">
        <f>IF(SUMIFS('Input Sheet'!$F$3:$F$1001,'Input Sheet'!$B$3:$B$1001,$H956,'Input Sheet'!$E$3:$E$1001,N$4)=0,"",SUMIFS('Input Sheet'!$F$3:$F$1001,'Input Sheet'!$B$3:$B$1001,$H956,'Input Sheet'!$E$3:$E$1001,N$4))</f>
        <v/>
      </c>
      <c r="O956" s="21" t="str">
        <f>IF(SUMIFS('Input Sheet'!$F$3:$F$1001,'Input Sheet'!$B$3:$B$1001,$H956,'Input Sheet'!$E$3:$E$1001,O$4)=0,"",SUMIFS('Input Sheet'!$F$3:$F$1001,'Input Sheet'!$B$3:$B$1001,$H956,'Input Sheet'!$E$3:$E$1001,O$4))</f>
        <v/>
      </c>
      <c r="P956" s="21" t="str">
        <f>IF(SUMIFS('Input Sheet'!$F$3:$F$1001,'Input Sheet'!$B$3:$B$1001,$H956,'Input Sheet'!$E$3:$E$1001,P$4)=0,"",SUMIFS('Input Sheet'!$F$3:$F$1001,'Input Sheet'!$B$3:$B$1001,$H956,'Input Sheet'!$E$3:$E$1001,P$4))</f>
        <v/>
      </c>
      <c r="Q956" s="21" t="str">
        <f>IF(SUMIFS('Input Sheet'!$F$3:$F$1001,'Input Sheet'!$B$3:$B$1001,$H956,'Input Sheet'!$E$3:$E$1001,Q$4)=0,"",SUMIFS('Input Sheet'!$F$3:$F$1001,'Input Sheet'!$B$3:$B$1001,$H956,'Input Sheet'!$E$3:$E$1001,Q$4))</f>
        <v/>
      </c>
      <c r="R956" s="21" t="str">
        <f>IF(SUMIFS('Input Sheet'!$F$3:$F$1001,'Input Sheet'!$B$3:$B$1001,$H956,'Input Sheet'!$E$3:$E$1001,R$4)=0,"",SUMIFS('Input Sheet'!$F$3:$F$1001,'Input Sheet'!$B$3:$B$1001,$H956,'Input Sheet'!$E$3:$E$1001,R$4))</f>
        <v/>
      </c>
      <c r="S956" s="21" t="str">
        <f>IF(SUMIFS('Input Sheet'!$F$3:$F$1001,'Input Sheet'!$B$3:$B$1001,$H956,'Input Sheet'!$E$3:$E$1001,S$4)=0,"",SUMIFS('Input Sheet'!$F$3:$F$1001,'Input Sheet'!$B$3:$B$1001,$H956,'Input Sheet'!$E$3:$E$1001,S$4))</f>
        <v/>
      </c>
      <c r="T956" s="22">
        <v>951</v>
      </c>
    </row>
    <row r="957" spans="1:20" ht="14.25" customHeight="1" x14ac:dyDescent="0.3">
      <c r="A957" s="4" t="str">
        <f>IF('Input Sheet'!B954=0,"",'Input Sheet'!B954)</f>
        <v/>
      </c>
      <c r="B957" s="24" t="b">
        <f t="shared" si="788"/>
        <v>0</v>
      </c>
      <c r="C957" s="4">
        <f>SUMIF('Input Sheet'!B$3:B$1000,A957,'Input Sheet'!C$3:C$1000)</f>
        <v>0</v>
      </c>
      <c r="D957" s="4">
        <f>SUMIF('Input Sheet'!B$3:B$1000,A957,'Input Sheet'!D$3:D$1000)</f>
        <v>0</v>
      </c>
      <c r="E957" s="4" t="str">
        <f t="shared" ref="E957:F957" ca="1" si="981">IFERROR(RANK(K957,K$6:K$1004,1),"")</f>
        <v/>
      </c>
      <c r="F957" s="4" t="str">
        <f t="shared" ca="1" si="981"/>
        <v/>
      </c>
      <c r="G957" s="4" t="str">
        <f t="shared" ca="1" si="790"/>
        <v/>
      </c>
      <c r="H957" s="4" t="str">
        <f t="shared" si="791"/>
        <v/>
      </c>
      <c r="I957" s="4" t="str">
        <f t="shared" si="792"/>
        <v/>
      </c>
      <c r="J957" s="4" t="str">
        <f t="shared" si="793"/>
        <v/>
      </c>
      <c r="K957" s="25" t="str">
        <f t="shared" ca="1" si="794"/>
        <v/>
      </c>
      <c r="L957" s="21" t="str">
        <f t="shared" ca="1" si="795"/>
        <v/>
      </c>
      <c r="M957" s="21" t="str">
        <f>IF(SUMIFS('Input Sheet'!$F$3:$F$1001,'Input Sheet'!$B$3:$B$1001,$H957,'Input Sheet'!$E$3:$E$1001,M$4)=0,"",SUMIFS('Input Sheet'!$F$3:$F$1001,'Input Sheet'!$B$3:$B$1001,$H957,'Input Sheet'!$E$3:$E$1001,M$4))</f>
        <v/>
      </c>
      <c r="N957" s="21" t="str">
        <f>IF(SUMIFS('Input Sheet'!$F$3:$F$1001,'Input Sheet'!$B$3:$B$1001,$H957,'Input Sheet'!$E$3:$E$1001,N$4)=0,"",SUMIFS('Input Sheet'!$F$3:$F$1001,'Input Sheet'!$B$3:$B$1001,$H957,'Input Sheet'!$E$3:$E$1001,N$4))</f>
        <v/>
      </c>
      <c r="O957" s="21" t="str">
        <f>IF(SUMIFS('Input Sheet'!$F$3:$F$1001,'Input Sheet'!$B$3:$B$1001,$H957,'Input Sheet'!$E$3:$E$1001,O$4)=0,"",SUMIFS('Input Sheet'!$F$3:$F$1001,'Input Sheet'!$B$3:$B$1001,$H957,'Input Sheet'!$E$3:$E$1001,O$4))</f>
        <v/>
      </c>
      <c r="P957" s="21" t="str">
        <f>IF(SUMIFS('Input Sheet'!$F$3:$F$1001,'Input Sheet'!$B$3:$B$1001,$H957,'Input Sheet'!$E$3:$E$1001,P$4)=0,"",SUMIFS('Input Sheet'!$F$3:$F$1001,'Input Sheet'!$B$3:$B$1001,$H957,'Input Sheet'!$E$3:$E$1001,P$4))</f>
        <v/>
      </c>
      <c r="Q957" s="21" t="str">
        <f>IF(SUMIFS('Input Sheet'!$F$3:$F$1001,'Input Sheet'!$B$3:$B$1001,$H957,'Input Sheet'!$E$3:$E$1001,Q$4)=0,"",SUMIFS('Input Sheet'!$F$3:$F$1001,'Input Sheet'!$B$3:$B$1001,$H957,'Input Sheet'!$E$3:$E$1001,Q$4))</f>
        <v/>
      </c>
      <c r="R957" s="21" t="str">
        <f>IF(SUMIFS('Input Sheet'!$F$3:$F$1001,'Input Sheet'!$B$3:$B$1001,$H957,'Input Sheet'!$E$3:$E$1001,R$4)=0,"",SUMIFS('Input Sheet'!$F$3:$F$1001,'Input Sheet'!$B$3:$B$1001,$H957,'Input Sheet'!$E$3:$E$1001,R$4))</f>
        <v/>
      </c>
      <c r="S957" s="21" t="str">
        <f>IF(SUMIFS('Input Sheet'!$F$3:$F$1001,'Input Sheet'!$B$3:$B$1001,$H957,'Input Sheet'!$E$3:$E$1001,S$4)=0,"",SUMIFS('Input Sheet'!$F$3:$F$1001,'Input Sheet'!$B$3:$B$1001,$H957,'Input Sheet'!$E$3:$E$1001,S$4))</f>
        <v/>
      </c>
      <c r="T957" s="22">
        <v>952</v>
      </c>
    </row>
    <row r="958" spans="1:20" ht="14.25" customHeight="1" x14ac:dyDescent="0.3">
      <c r="A958" s="4" t="str">
        <f>IF('Input Sheet'!B955=0,"",'Input Sheet'!B955)</f>
        <v/>
      </c>
      <c r="B958" s="24" t="b">
        <f t="shared" si="788"/>
        <v>0</v>
      </c>
      <c r="C958" s="4">
        <f>SUMIF('Input Sheet'!B$3:B$1000,A958,'Input Sheet'!C$3:C$1000)</f>
        <v>0</v>
      </c>
      <c r="D958" s="4">
        <f>SUMIF('Input Sheet'!B$3:B$1000,A958,'Input Sheet'!D$3:D$1000)</f>
        <v>0</v>
      </c>
      <c r="E958" s="4" t="str">
        <f t="shared" ref="E958:F958" ca="1" si="982">IFERROR(RANK(K958,K$6:K$1004,1),"")</f>
        <v/>
      </c>
      <c r="F958" s="4" t="str">
        <f t="shared" ca="1" si="982"/>
        <v/>
      </c>
      <c r="G958" s="4" t="str">
        <f t="shared" ca="1" si="790"/>
        <v/>
      </c>
      <c r="H958" s="4" t="str">
        <f t="shared" si="791"/>
        <v/>
      </c>
      <c r="I958" s="4" t="str">
        <f t="shared" si="792"/>
        <v/>
      </c>
      <c r="J958" s="4" t="str">
        <f t="shared" si="793"/>
        <v/>
      </c>
      <c r="K958" s="25" t="str">
        <f t="shared" ca="1" si="794"/>
        <v/>
      </c>
      <c r="L958" s="21" t="str">
        <f t="shared" ca="1" si="795"/>
        <v/>
      </c>
      <c r="M958" s="21" t="str">
        <f>IF(SUMIFS('Input Sheet'!$F$3:$F$1001,'Input Sheet'!$B$3:$B$1001,$H958,'Input Sheet'!$E$3:$E$1001,M$4)=0,"",SUMIFS('Input Sheet'!$F$3:$F$1001,'Input Sheet'!$B$3:$B$1001,$H958,'Input Sheet'!$E$3:$E$1001,M$4))</f>
        <v/>
      </c>
      <c r="N958" s="21" t="str">
        <f>IF(SUMIFS('Input Sheet'!$F$3:$F$1001,'Input Sheet'!$B$3:$B$1001,$H958,'Input Sheet'!$E$3:$E$1001,N$4)=0,"",SUMIFS('Input Sheet'!$F$3:$F$1001,'Input Sheet'!$B$3:$B$1001,$H958,'Input Sheet'!$E$3:$E$1001,N$4))</f>
        <v/>
      </c>
      <c r="O958" s="21" t="str">
        <f>IF(SUMIFS('Input Sheet'!$F$3:$F$1001,'Input Sheet'!$B$3:$B$1001,$H958,'Input Sheet'!$E$3:$E$1001,O$4)=0,"",SUMIFS('Input Sheet'!$F$3:$F$1001,'Input Sheet'!$B$3:$B$1001,$H958,'Input Sheet'!$E$3:$E$1001,O$4))</f>
        <v/>
      </c>
      <c r="P958" s="21" t="str">
        <f>IF(SUMIFS('Input Sheet'!$F$3:$F$1001,'Input Sheet'!$B$3:$B$1001,$H958,'Input Sheet'!$E$3:$E$1001,P$4)=0,"",SUMIFS('Input Sheet'!$F$3:$F$1001,'Input Sheet'!$B$3:$B$1001,$H958,'Input Sheet'!$E$3:$E$1001,P$4))</f>
        <v/>
      </c>
      <c r="Q958" s="21" t="str">
        <f>IF(SUMIFS('Input Sheet'!$F$3:$F$1001,'Input Sheet'!$B$3:$B$1001,$H958,'Input Sheet'!$E$3:$E$1001,Q$4)=0,"",SUMIFS('Input Sheet'!$F$3:$F$1001,'Input Sheet'!$B$3:$B$1001,$H958,'Input Sheet'!$E$3:$E$1001,Q$4))</f>
        <v/>
      </c>
      <c r="R958" s="21" t="str">
        <f>IF(SUMIFS('Input Sheet'!$F$3:$F$1001,'Input Sheet'!$B$3:$B$1001,$H958,'Input Sheet'!$E$3:$E$1001,R$4)=0,"",SUMIFS('Input Sheet'!$F$3:$F$1001,'Input Sheet'!$B$3:$B$1001,$H958,'Input Sheet'!$E$3:$E$1001,R$4))</f>
        <v/>
      </c>
      <c r="S958" s="21" t="str">
        <f>IF(SUMIFS('Input Sheet'!$F$3:$F$1001,'Input Sheet'!$B$3:$B$1001,$H958,'Input Sheet'!$E$3:$E$1001,S$4)=0,"",SUMIFS('Input Sheet'!$F$3:$F$1001,'Input Sheet'!$B$3:$B$1001,$H958,'Input Sheet'!$E$3:$E$1001,S$4))</f>
        <v/>
      </c>
      <c r="T958" s="22">
        <v>953</v>
      </c>
    </row>
    <row r="959" spans="1:20" ht="14.25" customHeight="1" x14ac:dyDescent="0.3">
      <c r="A959" s="4" t="str">
        <f>IF('Input Sheet'!B956=0,"",'Input Sheet'!B956)</f>
        <v/>
      </c>
      <c r="B959" s="24" t="b">
        <f t="shared" si="788"/>
        <v>0</v>
      </c>
      <c r="C959" s="4">
        <f>SUMIF('Input Sheet'!B$3:B$1000,A959,'Input Sheet'!C$3:C$1000)</f>
        <v>0</v>
      </c>
      <c r="D959" s="4">
        <f>SUMIF('Input Sheet'!B$3:B$1000,A959,'Input Sheet'!D$3:D$1000)</f>
        <v>0</v>
      </c>
      <c r="E959" s="4" t="str">
        <f t="shared" ref="E959:F959" ca="1" si="983">IFERROR(RANK(K959,K$6:K$1004,1),"")</f>
        <v/>
      </c>
      <c r="F959" s="4" t="str">
        <f t="shared" ca="1" si="983"/>
        <v/>
      </c>
      <c r="G959" s="4" t="str">
        <f t="shared" ca="1" si="790"/>
        <v/>
      </c>
      <c r="H959" s="4" t="str">
        <f t="shared" si="791"/>
        <v/>
      </c>
      <c r="I959" s="4" t="str">
        <f t="shared" si="792"/>
        <v/>
      </c>
      <c r="J959" s="4" t="str">
        <f t="shared" si="793"/>
        <v/>
      </c>
      <c r="K959" s="25" t="str">
        <f t="shared" ca="1" si="794"/>
        <v/>
      </c>
      <c r="L959" s="21" t="str">
        <f t="shared" ca="1" si="795"/>
        <v/>
      </c>
      <c r="M959" s="21" t="str">
        <f>IF(SUMIFS('Input Sheet'!$F$3:$F$1001,'Input Sheet'!$B$3:$B$1001,$H959,'Input Sheet'!$E$3:$E$1001,M$4)=0,"",SUMIFS('Input Sheet'!$F$3:$F$1001,'Input Sheet'!$B$3:$B$1001,$H959,'Input Sheet'!$E$3:$E$1001,M$4))</f>
        <v/>
      </c>
      <c r="N959" s="21" t="str">
        <f>IF(SUMIFS('Input Sheet'!$F$3:$F$1001,'Input Sheet'!$B$3:$B$1001,$H959,'Input Sheet'!$E$3:$E$1001,N$4)=0,"",SUMIFS('Input Sheet'!$F$3:$F$1001,'Input Sheet'!$B$3:$B$1001,$H959,'Input Sheet'!$E$3:$E$1001,N$4))</f>
        <v/>
      </c>
      <c r="O959" s="21" t="str">
        <f>IF(SUMIFS('Input Sheet'!$F$3:$F$1001,'Input Sheet'!$B$3:$B$1001,$H959,'Input Sheet'!$E$3:$E$1001,O$4)=0,"",SUMIFS('Input Sheet'!$F$3:$F$1001,'Input Sheet'!$B$3:$B$1001,$H959,'Input Sheet'!$E$3:$E$1001,O$4))</f>
        <v/>
      </c>
      <c r="P959" s="21" t="str">
        <f>IF(SUMIFS('Input Sheet'!$F$3:$F$1001,'Input Sheet'!$B$3:$B$1001,$H959,'Input Sheet'!$E$3:$E$1001,P$4)=0,"",SUMIFS('Input Sheet'!$F$3:$F$1001,'Input Sheet'!$B$3:$B$1001,$H959,'Input Sheet'!$E$3:$E$1001,P$4))</f>
        <v/>
      </c>
      <c r="Q959" s="21" t="str">
        <f>IF(SUMIFS('Input Sheet'!$F$3:$F$1001,'Input Sheet'!$B$3:$B$1001,$H959,'Input Sheet'!$E$3:$E$1001,Q$4)=0,"",SUMIFS('Input Sheet'!$F$3:$F$1001,'Input Sheet'!$B$3:$B$1001,$H959,'Input Sheet'!$E$3:$E$1001,Q$4))</f>
        <v/>
      </c>
      <c r="R959" s="21" t="str">
        <f>IF(SUMIFS('Input Sheet'!$F$3:$F$1001,'Input Sheet'!$B$3:$B$1001,$H959,'Input Sheet'!$E$3:$E$1001,R$4)=0,"",SUMIFS('Input Sheet'!$F$3:$F$1001,'Input Sheet'!$B$3:$B$1001,$H959,'Input Sheet'!$E$3:$E$1001,R$4))</f>
        <v/>
      </c>
      <c r="S959" s="21" t="str">
        <f>IF(SUMIFS('Input Sheet'!$F$3:$F$1001,'Input Sheet'!$B$3:$B$1001,$H959,'Input Sheet'!$E$3:$E$1001,S$4)=0,"",SUMIFS('Input Sheet'!$F$3:$F$1001,'Input Sheet'!$B$3:$B$1001,$H959,'Input Sheet'!$E$3:$E$1001,S$4))</f>
        <v/>
      </c>
      <c r="T959" s="22">
        <v>954</v>
      </c>
    </row>
    <row r="960" spans="1:20" ht="14.25" customHeight="1" x14ac:dyDescent="0.3">
      <c r="A960" s="4" t="str">
        <f>IF('Input Sheet'!B957=0,"",'Input Sheet'!B957)</f>
        <v/>
      </c>
      <c r="B960" s="24" t="b">
        <f t="shared" si="788"/>
        <v>0</v>
      </c>
      <c r="C960" s="4">
        <f>SUMIF('Input Sheet'!B$3:B$1000,A960,'Input Sheet'!C$3:C$1000)</f>
        <v>0</v>
      </c>
      <c r="D960" s="4">
        <f>SUMIF('Input Sheet'!B$3:B$1000,A960,'Input Sheet'!D$3:D$1000)</f>
        <v>0</v>
      </c>
      <c r="E960" s="4" t="str">
        <f t="shared" ref="E960:F960" ca="1" si="984">IFERROR(RANK(K960,K$6:K$1004,1),"")</f>
        <v/>
      </c>
      <c r="F960" s="4" t="str">
        <f t="shared" ca="1" si="984"/>
        <v/>
      </c>
      <c r="G960" s="4" t="str">
        <f t="shared" ca="1" si="790"/>
        <v/>
      </c>
      <c r="H960" s="4" t="str">
        <f t="shared" si="791"/>
        <v/>
      </c>
      <c r="I960" s="4" t="str">
        <f t="shared" si="792"/>
        <v/>
      </c>
      <c r="J960" s="4" t="str">
        <f t="shared" si="793"/>
        <v/>
      </c>
      <c r="K960" s="25" t="str">
        <f t="shared" ca="1" si="794"/>
        <v/>
      </c>
      <c r="L960" s="21" t="str">
        <f t="shared" ca="1" si="795"/>
        <v/>
      </c>
      <c r="M960" s="21" t="str">
        <f>IF(SUMIFS('Input Sheet'!$F$3:$F$1001,'Input Sheet'!$B$3:$B$1001,$H960,'Input Sheet'!$E$3:$E$1001,M$4)=0,"",SUMIFS('Input Sheet'!$F$3:$F$1001,'Input Sheet'!$B$3:$B$1001,$H960,'Input Sheet'!$E$3:$E$1001,M$4))</f>
        <v/>
      </c>
      <c r="N960" s="21" t="str">
        <f>IF(SUMIFS('Input Sheet'!$F$3:$F$1001,'Input Sheet'!$B$3:$B$1001,$H960,'Input Sheet'!$E$3:$E$1001,N$4)=0,"",SUMIFS('Input Sheet'!$F$3:$F$1001,'Input Sheet'!$B$3:$B$1001,$H960,'Input Sheet'!$E$3:$E$1001,N$4))</f>
        <v/>
      </c>
      <c r="O960" s="21" t="str">
        <f>IF(SUMIFS('Input Sheet'!$F$3:$F$1001,'Input Sheet'!$B$3:$B$1001,$H960,'Input Sheet'!$E$3:$E$1001,O$4)=0,"",SUMIFS('Input Sheet'!$F$3:$F$1001,'Input Sheet'!$B$3:$B$1001,$H960,'Input Sheet'!$E$3:$E$1001,O$4))</f>
        <v/>
      </c>
      <c r="P960" s="21" t="str">
        <f>IF(SUMIFS('Input Sheet'!$F$3:$F$1001,'Input Sheet'!$B$3:$B$1001,$H960,'Input Sheet'!$E$3:$E$1001,P$4)=0,"",SUMIFS('Input Sheet'!$F$3:$F$1001,'Input Sheet'!$B$3:$B$1001,$H960,'Input Sheet'!$E$3:$E$1001,P$4))</f>
        <v/>
      </c>
      <c r="Q960" s="21" t="str">
        <f>IF(SUMIFS('Input Sheet'!$F$3:$F$1001,'Input Sheet'!$B$3:$B$1001,$H960,'Input Sheet'!$E$3:$E$1001,Q$4)=0,"",SUMIFS('Input Sheet'!$F$3:$F$1001,'Input Sheet'!$B$3:$B$1001,$H960,'Input Sheet'!$E$3:$E$1001,Q$4))</f>
        <v/>
      </c>
      <c r="R960" s="21" t="str">
        <f>IF(SUMIFS('Input Sheet'!$F$3:$F$1001,'Input Sheet'!$B$3:$B$1001,$H960,'Input Sheet'!$E$3:$E$1001,R$4)=0,"",SUMIFS('Input Sheet'!$F$3:$F$1001,'Input Sheet'!$B$3:$B$1001,$H960,'Input Sheet'!$E$3:$E$1001,R$4))</f>
        <v/>
      </c>
      <c r="S960" s="21" t="str">
        <f>IF(SUMIFS('Input Sheet'!$F$3:$F$1001,'Input Sheet'!$B$3:$B$1001,$H960,'Input Sheet'!$E$3:$E$1001,S$4)=0,"",SUMIFS('Input Sheet'!$F$3:$F$1001,'Input Sheet'!$B$3:$B$1001,$H960,'Input Sheet'!$E$3:$E$1001,S$4))</f>
        <v/>
      </c>
      <c r="T960" s="22">
        <v>955</v>
      </c>
    </row>
    <row r="961" spans="1:20" ht="14.25" customHeight="1" x14ac:dyDescent="0.3">
      <c r="A961" s="4" t="str">
        <f>IF('Input Sheet'!B958=0,"",'Input Sheet'!B958)</f>
        <v/>
      </c>
      <c r="B961" s="24" t="b">
        <f t="shared" si="788"/>
        <v>0</v>
      </c>
      <c r="C961" s="4">
        <f>SUMIF('Input Sheet'!B$3:B$1000,A961,'Input Sheet'!C$3:C$1000)</f>
        <v>0</v>
      </c>
      <c r="D961" s="4">
        <f>SUMIF('Input Sheet'!B$3:B$1000,A961,'Input Sheet'!D$3:D$1000)</f>
        <v>0</v>
      </c>
      <c r="E961" s="4" t="str">
        <f t="shared" ref="E961:F961" ca="1" si="985">IFERROR(RANK(K961,K$6:K$1004,1),"")</f>
        <v/>
      </c>
      <c r="F961" s="4" t="str">
        <f t="shared" ca="1" si="985"/>
        <v/>
      </c>
      <c r="G961" s="4" t="str">
        <f t="shared" ca="1" si="790"/>
        <v/>
      </c>
      <c r="H961" s="4" t="str">
        <f t="shared" si="791"/>
        <v/>
      </c>
      <c r="I961" s="4" t="str">
        <f t="shared" si="792"/>
        <v/>
      </c>
      <c r="J961" s="4" t="str">
        <f t="shared" si="793"/>
        <v/>
      </c>
      <c r="K961" s="25" t="str">
        <f t="shared" ca="1" si="794"/>
        <v/>
      </c>
      <c r="L961" s="21" t="str">
        <f t="shared" ca="1" si="795"/>
        <v/>
      </c>
      <c r="M961" s="21" t="str">
        <f>IF(SUMIFS('Input Sheet'!$F$3:$F$1001,'Input Sheet'!$B$3:$B$1001,$H961,'Input Sheet'!$E$3:$E$1001,M$4)=0,"",SUMIFS('Input Sheet'!$F$3:$F$1001,'Input Sheet'!$B$3:$B$1001,$H961,'Input Sheet'!$E$3:$E$1001,M$4))</f>
        <v/>
      </c>
      <c r="N961" s="21" t="str">
        <f>IF(SUMIFS('Input Sheet'!$F$3:$F$1001,'Input Sheet'!$B$3:$B$1001,$H961,'Input Sheet'!$E$3:$E$1001,N$4)=0,"",SUMIFS('Input Sheet'!$F$3:$F$1001,'Input Sheet'!$B$3:$B$1001,$H961,'Input Sheet'!$E$3:$E$1001,N$4))</f>
        <v/>
      </c>
      <c r="O961" s="21" t="str">
        <f>IF(SUMIFS('Input Sheet'!$F$3:$F$1001,'Input Sheet'!$B$3:$B$1001,$H961,'Input Sheet'!$E$3:$E$1001,O$4)=0,"",SUMIFS('Input Sheet'!$F$3:$F$1001,'Input Sheet'!$B$3:$B$1001,$H961,'Input Sheet'!$E$3:$E$1001,O$4))</f>
        <v/>
      </c>
      <c r="P961" s="21" t="str">
        <f>IF(SUMIFS('Input Sheet'!$F$3:$F$1001,'Input Sheet'!$B$3:$B$1001,$H961,'Input Sheet'!$E$3:$E$1001,P$4)=0,"",SUMIFS('Input Sheet'!$F$3:$F$1001,'Input Sheet'!$B$3:$B$1001,$H961,'Input Sheet'!$E$3:$E$1001,P$4))</f>
        <v/>
      </c>
      <c r="Q961" s="21" t="str">
        <f>IF(SUMIFS('Input Sheet'!$F$3:$F$1001,'Input Sheet'!$B$3:$B$1001,$H961,'Input Sheet'!$E$3:$E$1001,Q$4)=0,"",SUMIFS('Input Sheet'!$F$3:$F$1001,'Input Sheet'!$B$3:$B$1001,$H961,'Input Sheet'!$E$3:$E$1001,Q$4))</f>
        <v/>
      </c>
      <c r="R961" s="21" t="str">
        <f>IF(SUMIFS('Input Sheet'!$F$3:$F$1001,'Input Sheet'!$B$3:$B$1001,$H961,'Input Sheet'!$E$3:$E$1001,R$4)=0,"",SUMIFS('Input Sheet'!$F$3:$F$1001,'Input Sheet'!$B$3:$B$1001,$H961,'Input Sheet'!$E$3:$E$1001,R$4))</f>
        <v/>
      </c>
      <c r="S961" s="21" t="str">
        <f>IF(SUMIFS('Input Sheet'!$F$3:$F$1001,'Input Sheet'!$B$3:$B$1001,$H961,'Input Sheet'!$E$3:$E$1001,S$4)=0,"",SUMIFS('Input Sheet'!$F$3:$F$1001,'Input Sheet'!$B$3:$B$1001,$H961,'Input Sheet'!$E$3:$E$1001,S$4))</f>
        <v/>
      </c>
      <c r="T961" s="22">
        <v>956</v>
      </c>
    </row>
    <row r="962" spans="1:20" ht="14.25" customHeight="1" x14ac:dyDescent="0.3">
      <c r="A962" s="4" t="str">
        <f>IF('Input Sheet'!B959=0,"",'Input Sheet'!B959)</f>
        <v/>
      </c>
      <c r="B962" s="24" t="b">
        <f t="shared" si="788"/>
        <v>0</v>
      </c>
      <c r="C962" s="4">
        <f>SUMIF('Input Sheet'!B$3:B$1000,A962,'Input Sheet'!C$3:C$1000)</f>
        <v>0</v>
      </c>
      <c r="D962" s="4">
        <f>SUMIF('Input Sheet'!B$3:B$1000,A962,'Input Sheet'!D$3:D$1000)</f>
        <v>0</v>
      </c>
      <c r="E962" s="4" t="str">
        <f t="shared" ref="E962:F962" ca="1" si="986">IFERROR(RANK(K962,K$6:K$1004,1),"")</f>
        <v/>
      </c>
      <c r="F962" s="4" t="str">
        <f t="shared" ca="1" si="986"/>
        <v/>
      </c>
      <c r="G962" s="4" t="str">
        <f t="shared" ca="1" si="790"/>
        <v/>
      </c>
      <c r="H962" s="4" t="str">
        <f t="shared" si="791"/>
        <v/>
      </c>
      <c r="I962" s="4" t="str">
        <f t="shared" si="792"/>
        <v/>
      </c>
      <c r="J962" s="4" t="str">
        <f t="shared" si="793"/>
        <v/>
      </c>
      <c r="K962" s="25" t="str">
        <f t="shared" ca="1" si="794"/>
        <v/>
      </c>
      <c r="L962" s="21" t="str">
        <f t="shared" ca="1" si="795"/>
        <v/>
      </c>
      <c r="M962" s="21" t="str">
        <f>IF(SUMIFS('Input Sheet'!$F$3:$F$1001,'Input Sheet'!$B$3:$B$1001,$H962,'Input Sheet'!$E$3:$E$1001,M$4)=0,"",SUMIFS('Input Sheet'!$F$3:$F$1001,'Input Sheet'!$B$3:$B$1001,$H962,'Input Sheet'!$E$3:$E$1001,M$4))</f>
        <v/>
      </c>
      <c r="N962" s="21" t="str">
        <f>IF(SUMIFS('Input Sheet'!$F$3:$F$1001,'Input Sheet'!$B$3:$B$1001,$H962,'Input Sheet'!$E$3:$E$1001,N$4)=0,"",SUMIFS('Input Sheet'!$F$3:$F$1001,'Input Sheet'!$B$3:$B$1001,$H962,'Input Sheet'!$E$3:$E$1001,N$4))</f>
        <v/>
      </c>
      <c r="O962" s="21" t="str">
        <f>IF(SUMIFS('Input Sheet'!$F$3:$F$1001,'Input Sheet'!$B$3:$B$1001,$H962,'Input Sheet'!$E$3:$E$1001,O$4)=0,"",SUMIFS('Input Sheet'!$F$3:$F$1001,'Input Sheet'!$B$3:$B$1001,$H962,'Input Sheet'!$E$3:$E$1001,O$4))</f>
        <v/>
      </c>
      <c r="P962" s="21" t="str">
        <f>IF(SUMIFS('Input Sheet'!$F$3:$F$1001,'Input Sheet'!$B$3:$B$1001,$H962,'Input Sheet'!$E$3:$E$1001,P$4)=0,"",SUMIFS('Input Sheet'!$F$3:$F$1001,'Input Sheet'!$B$3:$B$1001,$H962,'Input Sheet'!$E$3:$E$1001,P$4))</f>
        <v/>
      </c>
      <c r="Q962" s="21" t="str">
        <f>IF(SUMIFS('Input Sheet'!$F$3:$F$1001,'Input Sheet'!$B$3:$B$1001,$H962,'Input Sheet'!$E$3:$E$1001,Q$4)=0,"",SUMIFS('Input Sheet'!$F$3:$F$1001,'Input Sheet'!$B$3:$B$1001,$H962,'Input Sheet'!$E$3:$E$1001,Q$4))</f>
        <v/>
      </c>
      <c r="R962" s="21" t="str">
        <f>IF(SUMIFS('Input Sheet'!$F$3:$F$1001,'Input Sheet'!$B$3:$B$1001,$H962,'Input Sheet'!$E$3:$E$1001,R$4)=0,"",SUMIFS('Input Sheet'!$F$3:$F$1001,'Input Sheet'!$B$3:$B$1001,$H962,'Input Sheet'!$E$3:$E$1001,R$4))</f>
        <v/>
      </c>
      <c r="S962" s="21" t="str">
        <f>IF(SUMIFS('Input Sheet'!$F$3:$F$1001,'Input Sheet'!$B$3:$B$1001,$H962,'Input Sheet'!$E$3:$E$1001,S$4)=0,"",SUMIFS('Input Sheet'!$F$3:$F$1001,'Input Sheet'!$B$3:$B$1001,$H962,'Input Sheet'!$E$3:$E$1001,S$4))</f>
        <v/>
      </c>
      <c r="T962" s="22">
        <v>957</v>
      </c>
    </row>
    <row r="963" spans="1:20" ht="14.25" customHeight="1" x14ac:dyDescent="0.3">
      <c r="A963" s="4" t="str">
        <f>IF('Input Sheet'!B960=0,"",'Input Sheet'!B960)</f>
        <v/>
      </c>
      <c r="B963" s="24" t="b">
        <f t="shared" si="788"/>
        <v>0</v>
      </c>
      <c r="C963" s="4">
        <f>SUMIF('Input Sheet'!B$3:B$1000,A963,'Input Sheet'!C$3:C$1000)</f>
        <v>0</v>
      </c>
      <c r="D963" s="4">
        <f>SUMIF('Input Sheet'!B$3:B$1000,A963,'Input Sheet'!D$3:D$1000)</f>
        <v>0</v>
      </c>
      <c r="E963" s="4" t="str">
        <f t="shared" ref="E963:F963" ca="1" si="987">IFERROR(RANK(K963,K$6:K$1004,1),"")</f>
        <v/>
      </c>
      <c r="F963" s="4" t="str">
        <f t="shared" ca="1" si="987"/>
        <v/>
      </c>
      <c r="G963" s="4" t="str">
        <f t="shared" ca="1" si="790"/>
        <v/>
      </c>
      <c r="H963" s="4" t="str">
        <f t="shared" si="791"/>
        <v/>
      </c>
      <c r="I963" s="4" t="str">
        <f t="shared" si="792"/>
        <v/>
      </c>
      <c r="J963" s="4" t="str">
        <f t="shared" si="793"/>
        <v/>
      </c>
      <c r="K963" s="25" t="str">
        <f t="shared" ca="1" si="794"/>
        <v/>
      </c>
      <c r="L963" s="21" t="str">
        <f t="shared" ca="1" si="795"/>
        <v/>
      </c>
      <c r="M963" s="21" t="str">
        <f>IF(SUMIFS('Input Sheet'!$F$3:$F$1001,'Input Sheet'!$B$3:$B$1001,$H963,'Input Sheet'!$E$3:$E$1001,M$4)=0,"",SUMIFS('Input Sheet'!$F$3:$F$1001,'Input Sheet'!$B$3:$B$1001,$H963,'Input Sheet'!$E$3:$E$1001,M$4))</f>
        <v/>
      </c>
      <c r="N963" s="21" t="str">
        <f>IF(SUMIFS('Input Sheet'!$F$3:$F$1001,'Input Sheet'!$B$3:$B$1001,$H963,'Input Sheet'!$E$3:$E$1001,N$4)=0,"",SUMIFS('Input Sheet'!$F$3:$F$1001,'Input Sheet'!$B$3:$B$1001,$H963,'Input Sheet'!$E$3:$E$1001,N$4))</f>
        <v/>
      </c>
      <c r="O963" s="21" t="str">
        <f>IF(SUMIFS('Input Sheet'!$F$3:$F$1001,'Input Sheet'!$B$3:$B$1001,$H963,'Input Sheet'!$E$3:$E$1001,O$4)=0,"",SUMIFS('Input Sheet'!$F$3:$F$1001,'Input Sheet'!$B$3:$B$1001,$H963,'Input Sheet'!$E$3:$E$1001,O$4))</f>
        <v/>
      </c>
      <c r="P963" s="21" t="str">
        <f>IF(SUMIFS('Input Sheet'!$F$3:$F$1001,'Input Sheet'!$B$3:$B$1001,$H963,'Input Sheet'!$E$3:$E$1001,P$4)=0,"",SUMIFS('Input Sheet'!$F$3:$F$1001,'Input Sheet'!$B$3:$B$1001,$H963,'Input Sheet'!$E$3:$E$1001,P$4))</f>
        <v/>
      </c>
      <c r="Q963" s="21" t="str">
        <f>IF(SUMIFS('Input Sheet'!$F$3:$F$1001,'Input Sheet'!$B$3:$B$1001,$H963,'Input Sheet'!$E$3:$E$1001,Q$4)=0,"",SUMIFS('Input Sheet'!$F$3:$F$1001,'Input Sheet'!$B$3:$B$1001,$H963,'Input Sheet'!$E$3:$E$1001,Q$4))</f>
        <v/>
      </c>
      <c r="R963" s="21" t="str">
        <f>IF(SUMIFS('Input Sheet'!$F$3:$F$1001,'Input Sheet'!$B$3:$B$1001,$H963,'Input Sheet'!$E$3:$E$1001,R$4)=0,"",SUMIFS('Input Sheet'!$F$3:$F$1001,'Input Sheet'!$B$3:$B$1001,$H963,'Input Sheet'!$E$3:$E$1001,R$4))</f>
        <v/>
      </c>
      <c r="S963" s="21" t="str">
        <f>IF(SUMIFS('Input Sheet'!$F$3:$F$1001,'Input Sheet'!$B$3:$B$1001,$H963,'Input Sheet'!$E$3:$E$1001,S$4)=0,"",SUMIFS('Input Sheet'!$F$3:$F$1001,'Input Sheet'!$B$3:$B$1001,$H963,'Input Sheet'!$E$3:$E$1001,S$4))</f>
        <v/>
      </c>
      <c r="T963" s="22">
        <v>958</v>
      </c>
    </row>
    <row r="964" spans="1:20" ht="14.25" customHeight="1" x14ac:dyDescent="0.3">
      <c r="A964" s="4" t="str">
        <f>IF('Input Sheet'!B961=0,"",'Input Sheet'!B961)</f>
        <v/>
      </c>
      <c r="B964" s="24" t="b">
        <f t="shared" si="788"/>
        <v>0</v>
      </c>
      <c r="C964" s="4">
        <f>SUMIF('Input Sheet'!B$3:B$1000,A964,'Input Sheet'!C$3:C$1000)</f>
        <v>0</v>
      </c>
      <c r="D964" s="4">
        <f>SUMIF('Input Sheet'!B$3:B$1000,A964,'Input Sheet'!D$3:D$1000)</f>
        <v>0</v>
      </c>
      <c r="E964" s="4" t="str">
        <f t="shared" ref="E964:F964" ca="1" si="988">IFERROR(RANK(K964,K$6:K$1004,1),"")</f>
        <v/>
      </c>
      <c r="F964" s="4" t="str">
        <f t="shared" ca="1" si="988"/>
        <v/>
      </c>
      <c r="G964" s="4" t="str">
        <f t="shared" ca="1" si="790"/>
        <v/>
      </c>
      <c r="H964" s="4" t="str">
        <f t="shared" si="791"/>
        <v/>
      </c>
      <c r="I964" s="4" t="str">
        <f t="shared" si="792"/>
        <v/>
      </c>
      <c r="J964" s="4" t="str">
        <f t="shared" si="793"/>
        <v/>
      </c>
      <c r="K964" s="25" t="str">
        <f t="shared" ca="1" si="794"/>
        <v/>
      </c>
      <c r="L964" s="21" t="str">
        <f t="shared" ca="1" si="795"/>
        <v/>
      </c>
      <c r="M964" s="21" t="str">
        <f>IF(SUMIFS('Input Sheet'!$F$3:$F$1001,'Input Sheet'!$B$3:$B$1001,$H964,'Input Sheet'!$E$3:$E$1001,M$4)=0,"",SUMIFS('Input Sheet'!$F$3:$F$1001,'Input Sheet'!$B$3:$B$1001,$H964,'Input Sheet'!$E$3:$E$1001,M$4))</f>
        <v/>
      </c>
      <c r="N964" s="21" t="str">
        <f>IF(SUMIFS('Input Sheet'!$F$3:$F$1001,'Input Sheet'!$B$3:$B$1001,$H964,'Input Sheet'!$E$3:$E$1001,N$4)=0,"",SUMIFS('Input Sheet'!$F$3:$F$1001,'Input Sheet'!$B$3:$B$1001,$H964,'Input Sheet'!$E$3:$E$1001,N$4))</f>
        <v/>
      </c>
      <c r="O964" s="21" t="str">
        <f>IF(SUMIFS('Input Sheet'!$F$3:$F$1001,'Input Sheet'!$B$3:$B$1001,$H964,'Input Sheet'!$E$3:$E$1001,O$4)=0,"",SUMIFS('Input Sheet'!$F$3:$F$1001,'Input Sheet'!$B$3:$B$1001,$H964,'Input Sheet'!$E$3:$E$1001,O$4))</f>
        <v/>
      </c>
      <c r="P964" s="21" t="str">
        <f>IF(SUMIFS('Input Sheet'!$F$3:$F$1001,'Input Sheet'!$B$3:$B$1001,$H964,'Input Sheet'!$E$3:$E$1001,P$4)=0,"",SUMIFS('Input Sheet'!$F$3:$F$1001,'Input Sheet'!$B$3:$B$1001,$H964,'Input Sheet'!$E$3:$E$1001,P$4))</f>
        <v/>
      </c>
      <c r="Q964" s="21" t="str">
        <f>IF(SUMIFS('Input Sheet'!$F$3:$F$1001,'Input Sheet'!$B$3:$B$1001,$H964,'Input Sheet'!$E$3:$E$1001,Q$4)=0,"",SUMIFS('Input Sheet'!$F$3:$F$1001,'Input Sheet'!$B$3:$B$1001,$H964,'Input Sheet'!$E$3:$E$1001,Q$4))</f>
        <v/>
      </c>
      <c r="R964" s="21" t="str">
        <f>IF(SUMIFS('Input Sheet'!$F$3:$F$1001,'Input Sheet'!$B$3:$B$1001,$H964,'Input Sheet'!$E$3:$E$1001,R$4)=0,"",SUMIFS('Input Sheet'!$F$3:$F$1001,'Input Sheet'!$B$3:$B$1001,$H964,'Input Sheet'!$E$3:$E$1001,R$4))</f>
        <v/>
      </c>
      <c r="S964" s="21" t="str">
        <f>IF(SUMIFS('Input Sheet'!$F$3:$F$1001,'Input Sheet'!$B$3:$B$1001,$H964,'Input Sheet'!$E$3:$E$1001,S$4)=0,"",SUMIFS('Input Sheet'!$F$3:$F$1001,'Input Sheet'!$B$3:$B$1001,$H964,'Input Sheet'!$E$3:$E$1001,S$4))</f>
        <v/>
      </c>
      <c r="T964" s="22">
        <v>959</v>
      </c>
    </row>
    <row r="965" spans="1:20" ht="14.25" customHeight="1" x14ac:dyDescent="0.3">
      <c r="A965" s="4" t="str">
        <f>IF('Input Sheet'!B962=0,"",'Input Sheet'!B962)</f>
        <v/>
      </c>
      <c r="B965" s="24" t="b">
        <f t="shared" si="788"/>
        <v>0</v>
      </c>
      <c r="C965" s="4">
        <f>SUMIF('Input Sheet'!B$3:B$1000,A965,'Input Sheet'!C$3:C$1000)</f>
        <v>0</v>
      </c>
      <c r="D965" s="4">
        <f>SUMIF('Input Sheet'!B$3:B$1000,A965,'Input Sheet'!D$3:D$1000)</f>
        <v>0</v>
      </c>
      <c r="E965" s="4" t="str">
        <f t="shared" ref="E965:F965" ca="1" si="989">IFERROR(RANK(K965,K$6:K$1004,1),"")</f>
        <v/>
      </c>
      <c r="F965" s="4" t="str">
        <f t="shared" ca="1" si="989"/>
        <v/>
      </c>
      <c r="G965" s="4" t="str">
        <f t="shared" ca="1" si="790"/>
        <v/>
      </c>
      <c r="H965" s="4" t="str">
        <f t="shared" si="791"/>
        <v/>
      </c>
      <c r="I965" s="4" t="str">
        <f t="shared" si="792"/>
        <v/>
      </c>
      <c r="J965" s="4" t="str">
        <f t="shared" si="793"/>
        <v/>
      </c>
      <c r="K965" s="25" t="str">
        <f t="shared" ca="1" si="794"/>
        <v/>
      </c>
      <c r="L965" s="21" t="str">
        <f t="shared" ca="1" si="795"/>
        <v/>
      </c>
      <c r="M965" s="21" t="str">
        <f>IF(SUMIFS('Input Sheet'!$F$3:$F$1001,'Input Sheet'!$B$3:$B$1001,$H965,'Input Sheet'!$E$3:$E$1001,M$4)=0,"",SUMIFS('Input Sheet'!$F$3:$F$1001,'Input Sheet'!$B$3:$B$1001,$H965,'Input Sheet'!$E$3:$E$1001,M$4))</f>
        <v/>
      </c>
      <c r="N965" s="21" t="str">
        <f>IF(SUMIFS('Input Sheet'!$F$3:$F$1001,'Input Sheet'!$B$3:$B$1001,$H965,'Input Sheet'!$E$3:$E$1001,N$4)=0,"",SUMIFS('Input Sheet'!$F$3:$F$1001,'Input Sheet'!$B$3:$B$1001,$H965,'Input Sheet'!$E$3:$E$1001,N$4))</f>
        <v/>
      </c>
      <c r="O965" s="21" t="str">
        <f>IF(SUMIFS('Input Sheet'!$F$3:$F$1001,'Input Sheet'!$B$3:$B$1001,$H965,'Input Sheet'!$E$3:$E$1001,O$4)=0,"",SUMIFS('Input Sheet'!$F$3:$F$1001,'Input Sheet'!$B$3:$B$1001,$H965,'Input Sheet'!$E$3:$E$1001,O$4))</f>
        <v/>
      </c>
      <c r="P965" s="21" t="str">
        <f>IF(SUMIFS('Input Sheet'!$F$3:$F$1001,'Input Sheet'!$B$3:$B$1001,$H965,'Input Sheet'!$E$3:$E$1001,P$4)=0,"",SUMIFS('Input Sheet'!$F$3:$F$1001,'Input Sheet'!$B$3:$B$1001,$H965,'Input Sheet'!$E$3:$E$1001,P$4))</f>
        <v/>
      </c>
      <c r="Q965" s="21" t="str">
        <f>IF(SUMIFS('Input Sheet'!$F$3:$F$1001,'Input Sheet'!$B$3:$B$1001,$H965,'Input Sheet'!$E$3:$E$1001,Q$4)=0,"",SUMIFS('Input Sheet'!$F$3:$F$1001,'Input Sheet'!$B$3:$B$1001,$H965,'Input Sheet'!$E$3:$E$1001,Q$4))</f>
        <v/>
      </c>
      <c r="R965" s="21" t="str">
        <f>IF(SUMIFS('Input Sheet'!$F$3:$F$1001,'Input Sheet'!$B$3:$B$1001,$H965,'Input Sheet'!$E$3:$E$1001,R$4)=0,"",SUMIFS('Input Sheet'!$F$3:$F$1001,'Input Sheet'!$B$3:$B$1001,$H965,'Input Sheet'!$E$3:$E$1001,R$4))</f>
        <v/>
      </c>
      <c r="S965" s="21" t="str">
        <f>IF(SUMIFS('Input Sheet'!$F$3:$F$1001,'Input Sheet'!$B$3:$B$1001,$H965,'Input Sheet'!$E$3:$E$1001,S$4)=0,"",SUMIFS('Input Sheet'!$F$3:$F$1001,'Input Sheet'!$B$3:$B$1001,$H965,'Input Sheet'!$E$3:$E$1001,S$4))</f>
        <v/>
      </c>
      <c r="T965" s="22">
        <v>960</v>
      </c>
    </row>
    <row r="966" spans="1:20" ht="14.25" customHeight="1" x14ac:dyDescent="0.3">
      <c r="A966" s="4" t="str">
        <f>IF('Input Sheet'!B963=0,"",'Input Sheet'!B963)</f>
        <v/>
      </c>
      <c r="B966" s="24" t="b">
        <f t="shared" si="788"/>
        <v>0</v>
      </c>
      <c r="C966" s="4">
        <f>SUMIF('Input Sheet'!B$3:B$1000,A966,'Input Sheet'!C$3:C$1000)</f>
        <v>0</v>
      </c>
      <c r="D966" s="4">
        <f>SUMIF('Input Sheet'!B$3:B$1000,A966,'Input Sheet'!D$3:D$1000)</f>
        <v>0</v>
      </c>
      <c r="E966" s="4" t="str">
        <f t="shared" ref="E966:F966" ca="1" si="990">IFERROR(RANK(K966,K$6:K$1004,1),"")</f>
        <v/>
      </c>
      <c r="F966" s="4" t="str">
        <f t="shared" ca="1" si="990"/>
        <v/>
      </c>
      <c r="G966" s="4" t="str">
        <f t="shared" ca="1" si="790"/>
        <v/>
      </c>
      <c r="H966" s="4" t="str">
        <f t="shared" si="791"/>
        <v/>
      </c>
      <c r="I966" s="4" t="str">
        <f t="shared" si="792"/>
        <v/>
      </c>
      <c r="J966" s="4" t="str">
        <f t="shared" si="793"/>
        <v/>
      </c>
      <c r="K966" s="25" t="str">
        <f t="shared" ca="1" si="794"/>
        <v/>
      </c>
      <c r="L966" s="21" t="str">
        <f t="shared" ca="1" si="795"/>
        <v/>
      </c>
      <c r="M966" s="21" t="str">
        <f>IF(SUMIFS('Input Sheet'!$F$3:$F$1001,'Input Sheet'!$B$3:$B$1001,$H966,'Input Sheet'!$E$3:$E$1001,M$4)=0,"",SUMIFS('Input Sheet'!$F$3:$F$1001,'Input Sheet'!$B$3:$B$1001,$H966,'Input Sheet'!$E$3:$E$1001,M$4))</f>
        <v/>
      </c>
      <c r="N966" s="21" t="str">
        <f>IF(SUMIFS('Input Sheet'!$F$3:$F$1001,'Input Sheet'!$B$3:$B$1001,$H966,'Input Sheet'!$E$3:$E$1001,N$4)=0,"",SUMIFS('Input Sheet'!$F$3:$F$1001,'Input Sheet'!$B$3:$B$1001,$H966,'Input Sheet'!$E$3:$E$1001,N$4))</f>
        <v/>
      </c>
      <c r="O966" s="21" t="str">
        <f>IF(SUMIFS('Input Sheet'!$F$3:$F$1001,'Input Sheet'!$B$3:$B$1001,$H966,'Input Sheet'!$E$3:$E$1001,O$4)=0,"",SUMIFS('Input Sheet'!$F$3:$F$1001,'Input Sheet'!$B$3:$B$1001,$H966,'Input Sheet'!$E$3:$E$1001,O$4))</f>
        <v/>
      </c>
      <c r="P966" s="21" t="str">
        <f>IF(SUMIFS('Input Sheet'!$F$3:$F$1001,'Input Sheet'!$B$3:$B$1001,$H966,'Input Sheet'!$E$3:$E$1001,P$4)=0,"",SUMIFS('Input Sheet'!$F$3:$F$1001,'Input Sheet'!$B$3:$B$1001,$H966,'Input Sheet'!$E$3:$E$1001,P$4))</f>
        <v/>
      </c>
      <c r="Q966" s="21" t="str">
        <f>IF(SUMIFS('Input Sheet'!$F$3:$F$1001,'Input Sheet'!$B$3:$B$1001,$H966,'Input Sheet'!$E$3:$E$1001,Q$4)=0,"",SUMIFS('Input Sheet'!$F$3:$F$1001,'Input Sheet'!$B$3:$B$1001,$H966,'Input Sheet'!$E$3:$E$1001,Q$4))</f>
        <v/>
      </c>
      <c r="R966" s="21" t="str">
        <f>IF(SUMIFS('Input Sheet'!$F$3:$F$1001,'Input Sheet'!$B$3:$B$1001,$H966,'Input Sheet'!$E$3:$E$1001,R$4)=0,"",SUMIFS('Input Sheet'!$F$3:$F$1001,'Input Sheet'!$B$3:$B$1001,$H966,'Input Sheet'!$E$3:$E$1001,R$4))</f>
        <v/>
      </c>
      <c r="S966" s="21" t="str">
        <f>IF(SUMIFS('Input Sheet'!$F$3:$F$1001,'Input Sheet'!$B$3:$B$1001,$H966,'Input Sheet'!$E$3:$E$1001,S$4)=0,"",SUMIFS('Input Sheet'!$F$3:$F$1001,'Input Sheet'!$B$3:$B$1001,$H966,'Input Sheet'!$E$3:$E$1001,S$4))</f>
        <v/>
      </c>
      <c r="T966" s="22">
        <v>961</v>
      </c>
    </row>
    <row r="967" spans="1:20" ht="14.25" customHeight="1" x14ac:dyDescent="0.3">
      <c r="A967" s="4" t="str">
        <f>IF('Input Sheet'!B964=0,"",'Input Sheet'!B964)</f>
        <v/>
      </c>
      <c r="B967" s="24" t="b">
        <f t="shared" si="788"/>
        <v>0</v>
      </c>
      <c r="C967" s="4">
        <f>SUMIF('Input Sheet'!B$3:B$1000,A967,'Input Sheet'!C$3:C$1000)</f>
        <v>0</v>
      </c>
      <c r="D967" s="4">
        <f>SUMIF('Input Sheet'!B$3:B$1000,A967,'Input Sheet'!D$3:D$1000)</f>
        <v>0</v>
      </c>
      <c r="E967" s="4" t="str">
        <f t="shared" ref="E967:F967" ca="1" si="991">IFERROR(RANK(K967,K$6:K$1004,1),"")</f>
        <v/>
      </c>
      <c r="F967" s="4" t="str">
        <f t="shared" ca="1" si="991"/>
        <v/>
      </c>
      <c r="G967" s="4" t="str">
        <f t="shared" ca="1" si="790"/>
        <v/>
      </c>
      <c r="H967" s="4" t="str">
        <f t="shared" si="791"/>
        <v/>
      </c>
      <c r="I967" s="4" t="str">
        <f t="shared" si="792"/>
        <v/>
      </c>
      <c r="J967" s="4" t="str">
        <f t="shared" si="793"/>
        <v/>
      </c>
      <c r="K967" s="25" t="str">
        <f t="shared" ca="1" si="794"/>
        <v/>
      </c>
      <c r="L967" s="21" t="str">
        <f t="shared" ca="1" si="795"/>
        <v/>
      </c>
      <c r="M967" s="21" t="str">
        <f>IF(SUMIFS('Input Sheet'!$F$3:$F$1001,'Input Sheet'!$B$3:$B$1001,$H967,'Input Sheet'!$E$3:$E$1001,M$4)=0,"",SUMIFS('Input Sheet'!$F$3:$F$1001,'Input Sheet'!$B$3:$B$1001,$H967,'Input Sheet'!$E$3:$E$1001,M$4))</f>
        <v/>
      </c>
      <c r="N967" s="21" t="str">
        <f>IF(SUMIFS('Input Sheet'!$F$3:$F$1001,'Input Sheet'!$B$3:$B$1001,$H967,'Input Sheet'!$E$3:$E$1001,N$4)=0,"",SUMIFS('Input Sheet'!$F$3:$F$1001,'Input Sheet'!$B$3:$B$1001,$H967,'Input Sheet'!$E$3:$E$1001,N$4))</f>
        <v/>
      </c>
      <c r="O967" s="21" t="str">
        <f>IF(SUMIFS('Input Sheet'!$F$3:$F$1001,'Input Sheet'!$B$3:$B$1001,$H967,'Input Sheet'!$E$3:$E$1001,O$4)=0,"",SUMIFS('Input Sheet'!$F$3:$F$1001,'Input Sheet'!$B$3:$B$1001,$H967,'Input Sheet'!$E$3:$E$1001,O$4))</f>
        <v/>
      </c>
      <c r="P967" s="21" t="str">
        <f>IF(SUMIFS('Input Sheet'!$F$3:$F$1001,'Input Sheet'!$B$3:$B$1001,$H967,'Input Sheet'!$E$3:$E$1001,P$4)=0,"",SUMIFS('Input Sheet'!$F$3:$F$1001,'Input Sheet'!$B$3:$B$1001,$H967,'Input Sheet'!$E$3:$E$1001,P$4))</f>
        <v/>
      </c>
      <c r="Q967" s="21" t="str">
        <f>IF(SUMIFS('Input Sheet'!$F$3:$F$1001,'Input Sheet'!$B$3:$B$1001,$H967,'Input Sheet'!$E$3:$E$1001,Q$4)=0,"",SUMIFS('Input Sheet'!$F$3:$F$1001,'Input Sheet'!$B$3:$B$1001,$H967,'Input Sheet'!$E$3:$E$1001,Q$4))</f>
        <v/>
      </c>
      <c r="R967" s="21" t="str">
        <f>IF(SUMIFS('Input Sheet'!$F$3:$F$1001,'Input Sheet'!$B$3:$B$1001,$H967,'Input Sheet'!$E$3:$E$1001,R$4)=0,"",SUMIFS('Input Sheet'!$F$3:$F$1001,'Input Sheet'!$B$3:$B$1001,$H967,'Input Sheet'!$E$3:$E$1001,R$4))</f>
        <v/>
      </c>
      <c r="S967" s="21" t="str">
        <f>IF(SUMIFS('Input Sheet'!$F$3:$F$1001,'Input Sheet'!$B$3:$B$1001,$H967,'Input Sheet'!$E$3:$E$1001,S$4)=0,"",SUMIFS('Input Sheet'!$F$3:$F$1001,'Input Sheet'!$B$3:$B$1001,$H967,'Input Sheet'!$E$3:$E$1001,S$4))</f>
        <v/>
      </c>
      <c r="T967" s="22">
        <v>962</v>
      </c>
    </row>
    <row r="968" spans="1:20" ht="14.25" customHeight="1" x14ac:dyDescent="0.3">
      <c r="A968" s="4" t="str">
        <f>IF('Input Sheet'!B965=0,"",'Input Sheet'!B965)</f>
        <v/>
      </c>
      <c r="B968" s="24" t="b">
        <f t="shared" si="788"/>
        <v>0</v>
      </c>
      <c r="C968" s="4">
        <f>SUMIF('Input Sheet'!B$3:B$1000,A968,'Input Sheet'!C$3:C$1000)</f>
        <v>0</v>
      </c>
      <c r="D968" s="4">
        <f>SUMIF('Input Sheet'!B$3:B$1000,A968,'Input Sheet'!D$3:D$1000)</f>
        <v>0</v>
      </c>
      <c r="E968" s="4" t="str">
        <f t="shared" ref="E968:F968" ca="1" si="992">IFERROR(RANK(K968,K$6:K$1004,1),"")</f>
        <v/>
      </c>
      <c r="F968" s="4" t="str">
        <f t="shared" ca="1" si="992"/>
        <v/>
      </c>
      <c r="G968" s="4" t="str">
        <f t="shared" ca="1" si="790"/>
        <v/>
      </c>
      <c r="H968" s="4" t="str">
        <f t="shared" si="791"/>
        <v/>
      </c>
      <c r="I968" s="4" t="str">
        <f t="shared" si="792"/>
        <v/>
      </c>
      <c r="J968" s="4" t="str">
        <f t="shared" si="793"/>
        <v/>
      </c>
      <c r="K968" s="25" t="str">
        <f t="shared" ca="1" si="794"/>
        <v/>
      </c>
      <c r="L968" s="21" t="str">
        <f t="shared" ca="1" si="795"/>
        <v/>
      </c>
      <c r="M968" s="21" t="str">
        <f>IF(SUMIFS('Input Sheet'!$F$3:$F$1001,'Input Sheet'!$B$3:$B$1001,$H968,'Input Sheet'!$E$3:$E$1001,M$4)=0,"",SUMIFS('Input Sheet'!$F$3:$F$1001,'Input Sheet'!$B$3:$B$1001,$H968,'Input Sheet'!$E$3:$E$1001,M$4))</f>
        <v/>
      </c>
      <c r="N968" s="21" t="str">
        <f>IF(SUMIFS('Input Sheet'!$F$3:$F$1001,'Input Sheet'!$B$3:$B$1001,$H968,'Input Sheet'!$E$3:$E$1001,N$4)=0,"",SUMIFS('Input Sheet'!$F$3:$F$1001,'Input Sheet'!$B$3:$B$1001,$H968,'Input Sheet'!$E$3:$E$1001,N$4))</f>
        <v/>
      </c>
      <c r="O968" s="21" t="str">
        <f>IF(SUMIFS('Input Sheet'!$F$3:$F$1001,'Input Sheet'!$B$3:$B$1001,$H968,'Input Sheet'!$E$3:$E$1001,O$4)=0,"",SUMIFS('Input Sheet'!$F$3:$F$1001,'Input Sheet'!$B$3:$B$1001,$H968,'Input Sheet'!$E$3:$E$1001,O$4))</f>
        <v/>
      </c>
      <c r="P968" s="21" t="str">
        <f>IF(SUMIFS('Input Sheet'!$F$3:$F$1001,'Input Sheet'!$B$3:$B$1001,$H968,'Input Sheet'!$E$3:$E$1001,P$4)=0,"",SUMIFS('Input Sheet'!$F$3:$F$1001,'Input Sheet'!$B$3:$B$1001,$H968,'Input Sheet'!$E$3:$E$1001,P$4))</f>
        <v/>
      </c>
      <c r="Q968" s="21" t="str">
        <f>IF(SUMIFS('Input Sheet'!$F$3:$F$1001,'Input Sheet'!$B$3:$B$1001,$H968,'Input Sheet'!$E$3:$E$1001,Q$4)=0,"",SUMIFS('Input Sheet'!$F$3:$F$1001,'Input Sheet'!$B$3:$B$1001,$H968,'Input Sheet'!$E$3:$E$1001,Q$4))</f>
        <v/>
      </c>
      <c r="R968" s="21" t="str">
        <f>IF(SUMIFS('Input Sheet'!$F$3:$F$1001,'Input Sheet'!$B$3:$B$1001,$H968,'Input Sheet'!$E$3:$E$1001,R$4)=0,"",SUMIFS('Input Sheet'!$F$3:$F$1001,'Input Sheet'!$B$3:$B$1001,$H968,'Input Sheet'!$E$3:$E$1001,R$4))</f>
        <v/>
      </c>
      <c r="S968" s="21" t="str">
        <f>IF(SUMIFS('Input Sheet'!$F$3:$F$1001,'Input Sheet'!$B$3:$B$1001,$H968,'Input Sheet'!$E$3:$E$1001,S$4)=0,"",SUMIFS('Input Sheet'!$F$3:$F$1001,'Input Sheet'!$B$3:$B$1001,$H968,'Input Sheet'!$E$3:$E$1001,S$4))</f>
        <v/>
      </c>
      <c r="T968" s="22">
        <v>963</v>
      </c>
    </row>
    <row r="969" spans="1:20" ht="14.25" customHeight="1" x14ac:dyDescent="0.3">
      <c r="A969" s="4" t="str">
        <f>IF('Input Sheet'!B966=0,"",'Input Sheet'!B966)</f>
        <v/>
      </c>
      <c r="B969" s="24" t="b">
        <f t="shared" si="788"/>
        <v>0</v>
      </c>
      <c r="C969" s="4">
        <f>SUMIF('Input Sheet'!B$3:B$1000,A969,'Input Sheet'!C$3:C$1000)</f>
        <v>0</v>
      </c>
      <c r="D969" s="4">
        <f>SUMIF('Input Sheet'!B$3:B$1000,A969,'Input Sheet'!D$3:D$1000)</f>
        <v>0</v>
      </c>
      <c r="E969" s="4" t="str">
        <f t="shared" ref="E969:F969" ca="1" si="993">IFERROR(RANK(K969,K$6:K$1004,1),"")</f>
        <v/>
      </c>
      <c r="F969" s="4" t="str">
        <f t="shared" ca="1" si="993"/>
        <v/>
      </c>
      <c r="G969" s="4" t="str">
        <f t="shared" ca="1" si="790"/>
        <v/>
      </c>
      <c r="H969" s="4" t="str">
        <f t="shared" si="791"/>
        <v/>
      </c>
      <c r="I969" s="4" t="str">
        <f t="shared" si="792"/>
        <v/>
      </c>
      <c r="J969" s="4" t="str">
        <f t="shared" si="793"/>
        <v/>
      </c>
      <c r="K969" s="25" t="str">
        <f t="shared" ca="1" si="794"/>
        <v/>
      </c>
      <c r="L969" s="21" t="str">
        <f t="shared" ca="1" si="795"/>
        <v/>
      </c>
      <c r="M969" s="21" t="str">
        <f>IF(SUMIFS('Input Sheet'!$F$3:$F$1001,'Input Sheet'!$B$3:$B$1001,$H969,'Input Sheet'!$E$3:$E$1001,M$4)=0,"",SUMIFS('Input Sheet'!$F$3:$F$1001,'Input Sheet'!$B$3:$B$1001,$H969,'Input Sheet'!$E$3:$E$1001,M$4))</f>
        <v/>
      </c>
      <c r="N969" s="21" t="str">
        <f>IF(SUMIFS('Input Sheet'!$F$3:$F$1001,'Input Sheet'!$B$3:$B$1001,$H969,'Input Sheet'!$E$3:$E$1001,N$4)=0,"",SUMIFS('Input Sheet'!$F$3:$F$1001,'Input Sheet'!$B$3:$B$1001,$H969,'Input Sheet'!$E$3:$E$1001,N$4))</f>
        <v/>
      </c>
      <c r="O969" s="21" t="str">
        <f>IF(SUMIFS('Input Sheet'!$F$3:$F$1001,'Input Sheet'!$B$3:$B$1001,$H969,'Input Sheet'!$E$3:$E$1001,O$4)=0,"",SUMIFS('Input Sheet'!$F$3:$F$1001,'Input Sheet'!$B$3:$B$1001,$H969,'Input Sheet'!$E$3:$E$1001,O$4))</f>
        <v/>
      </c>
      <c r="P969" s="21" t="str">
        <f>IF(SUMIFS('Input Sheet'!$F$3:$F$1001,'Input Sheet'!$B$3:$B$1001,$H969,'Input Sheet'!$E$3:$E$1001,P$4)=0,"",SUMIFS('Input Sheet'!$F$3:$F$1001,'Input Sheet'!$B$3:$B$1001,$H969,'Input Sheet'!$E$3:$E$1001,P$4))</f>
        <v/>
      </c>
      <c r="Q969" s="21" t="str">
        <f>IF(SUMIFS('Input Sheet'!$F$3:$F$1001,'Input Sheet'!$B$3:$B$1001,$H969,'Input Sheet'!$E$3:$E$1001,Q$4)=0,"",SUMIFS('Input Sheet'!$F$3:$F$1001,'Input Sheet'!$B$3:$B$1001,$H969,'Input Sheet'!$E$3:$E$1001,Q$4))</f>
        <v/>
      </c>
      <c r="R969" s="21" t="str">
        <f>IF(SUMIFS('Input Sheet'!$F$3:$F$1001,'Input Sheet'!$B$3:$B$1001,$H969,'Input Sheet'!$E$3:$E$1001,R$4)=0,"",SUMIFS('Input Sheet'!$F$3:$F$1001,'Input Sheet'!$B$3:$B$1001,$H969,'Input Sheet'!$E$3:$E$1001,R$4))</f>
        <v/>
      </c>
      <c r="S969" s="21" t="str">
        <f>IF(SUMIFS('Input Sheet'!$F$3:$F$1001,'Input Sheet'!$B$3:$B$1001,$H969,'Input Sheet'!$E$3:$E$1001,S$4)=0,"",SUMIFS('Input Sheet'!$F$3:$F$1001,'Input Sheet'!$B$3:$B$1001,$H969,'Input Sheet'!$E$3:$E$1001,S$4))</f>
        <v/>
      </c>
      <c r="T969" s="22">
        <v>964</v>
      </c>
    </row>
    <row r="970" spans="1:20" ht="14.25" customHeight="1" x14ac:dyDescent="0.3">
      <c r="A970" s="4" t="str">
        <f>IF('Input Sheet'!B967=0,"",'Input Sheet'!B967)</f>
        <v/>
      </c>
      <c r="B970" s="24" t="b">
        <f t="shared" si="788"/>
        <v>0</v>
      </c>
      <c r="C970" s="4">
        <f>SUMIF('Input Sheet'!B$3:B$1000,A970,'Input Sheet'!C$3:C$1000)</f>
        <v>0</v>
      </c>
      <c r="D970" s="4">
        <f>SUMIF('Input Sheet'!B$3:B$1000,A970,'Input Sheet'!D$3:D$1000)</f>
        <v>0</v>
      </c>
      <c r="E970" s="4" t="str">
        <f t="shared" ref="E970:F970" ca="1" si="994">IFERROR(RANK(K970,K$6:K$1004,1),"")</f>
        <v/>
      </c>
      <c r="F970" s="4" t="str">
        <f t="shared" ca="1" si="994"/>
        <v/>
      </c>
      <c r="G970" s="4" t="str">
        <f t="shared" ca="1" si="790"/>
        <v/>
      </c>
      <c r="H970" s="4" t="str">
        <f t="shared" si="791"/>
        <v/>
      </c>
      <c r="I970" s="4" t="str">
        <f t="shared" si="792"/>
        <v/>
      </c>
      <c r="J970" s="4" t="str">
        <f t="shared" si="793"/>
        <v/>
      </c>
      <c r="K970" s="25" t="str">
        <f t="shared" ca="1" si="794"/>
        <v/>
      </c>
      <c r="L970" s="21" t="str">
        <f t="shared" ca="1" si="795"/>
        <v/>
      </c>
      <c r="M970" s="21" t="str">
        <f>IF(SUMIFS('Input Sheet'!$F$3:$F$1001,'Input Sheet'!$B$3:$B$1001,$H970,'Input Sheet'!$E$3:$E$1001,M$4)=0,"",SUMIFS('Input Sheet'!$F$3:$F$1001,'Input Sheet'!$B$3:$B$1001,$H970,'Input Sheet'!$E$3:$E$1001,M$4))</f>
        <v/>
      </c>
      <c r="N970" s="21" t="str">
        <f>IF(SUMIFS('Input Sheet'!$F$3:$F$1001,'Input Sheet'!$B$3:$B$1001,$H970,'Input Sheet'!$E$3:$E$1001,N$4)=0,"",SUMIFS('Input Sheet'!$F$3:$F$1001,'Input Sheet'!$B$3:$B$1001,$H970,'Input Sheet'!$E$3:$E$1001,N$4))</f>
        <v/>
      </c>
      <c r="O970" s="21" t="str">
        <f>IF(SUMIFS('Input Sheet'!$F$3:$F$1001,'Input Sheet'!$B$3:$B$1001,$H970,'Input Sheet'!$E$3:$E$1001,O$4)=0,"",SUMIFS('Input Sheet'!$F$3:$F$1001,'Input Sheet'!$B$3:$B$1001,$H970,'Input Sheet'!$E$3:$E$1001,O$4))</f>
        <v/>
      </c>
      <c r="P970" s="21" t="str">
        <f>IF(SUMIFS('Input Sheet'!$F$3:$F$1001,'Input Sheet'!$B$3:$B$1001,$H970,'Input Sheet'!$E$3:$E$1001,P$4)=0,"",SUMIFS('Input Sheet'!$F$3:$F$1001,'Input Sheet'!$B$3:$B$1001,$H970,'Input Sheet'!$E$3:$E$1001,P$4))</f>
        <v/>
      </c>
      <c r="Q970" s="21" t="str">
        <f>IF(SUMIFS('Input Sheet'!$F$3:$F$1001,'Input Sheet'!$B$3:$B$1001,$H970,'Input Sheet'!$E$3:$E$1001,Q$4)=0,"",SUMIFS('Input Sheet'!$F$3:$F$1001,'Input Sheet'!$B$3:$B$1001,$H970,'Input Sheet'!$E$3:$E$1001,Q$4))</f>
        <v/>
      </c>
      <c r="R970" s="21" t="str">
        <f>IF(SUMIFS('Input Sheet'!$F$3:$F$1001,'Input Sheet'!$B$3:$B$1001,$H970,'Input Sheet'!$E$3:$E$1001,R$4)=0,"",SUMIFS('Input Sheet'!$F$3:$F$1001,'Input Sheet'!$B$3:$B$1001,$H970,'Input Sheet'!$E$3:$E$1001,R$4))</f>
        <v/>
      </c>
      <c r="S970" s="21" t="str">
        <f>IF(SUMIFS('Input Sheet'!$F$3:$F$1001,'Input Sheet'!$B$3:$B$1001,$H970,'Input Sheet'!$E$3:$E$1001,S$4)=0,"",SUMIFS('Input Sheet'!$F$3:$F$1001,'Input Sheet'!$B$3:$B$1001,$H970,'Input Sheet'!$E$3:$E$1001,S$4))</f>
        <v/>
      </c>
      <c r="T970" s="22">
        <v>965</v>
      </c>
    </row>
    <row r="971" spans="1:20" ht="14.25" customHeight="1" x14ac:dyDescent="0.3">
      <c r="A971" s="4" t="str">
        <f>IF('Input Sheet'!B968=0,"",'Input Sheet'!B968)</f>
        <v/>
      </c>
      <c r="B971" s="24" t="b">
        <f t="shared" si="788"/>
        <v>0</v>
      </c>
      <c r="C971" s="4">
        <f>SUMIF('Input Sheet'!B$3:B$1000,A971,'Input Sheet'!C$3:C$1000)</f>
        <v>0</v>
      </c>
      <c r="D971" s="4">
        <f>SUMIF('Input Sheet'!B$3:B$1000,A971,'Input Sheet'!D$3:D$1000)</f>
        <v>0</v>
      </c>
      <c r="E971" s="4" t="str">
        <f t="shared" ref="E971:F971" ca="1" si="995">IFERROR(RANK(K971,K$6:K$1004,1),"")</f>
        <v/>
      </c>
      <c r="F971" s="4" t="str">
        <f t="shared" ca="1" si="995"/>
        <v/>
      </c>
      <c r="G971" s="4" t="str">
        <f t="shared" ca="1" si="790"/>
        <v/>
      </c>
      <c r="H971" s="4" t="str">
        <f t="shared" si="791"/>
        <v/>
      </c>
      <c r="I971" s="4" t="str">
        <f t="shared" si="792"/>
        <v/>
      </c>
      <c r="J971" s="4" t="str">
        <f t="shared" si="793"/>
        <v/>
      </c>
      <c r="K971" s="25" t="str">
        <f t="shared" ca="1" si="794"/>
        <v/>
      </c>
      <c r="L971" s="21" t="str">
        <f t="shared" ca="1" si="795"/>
        <v/>
      </c>
      <c r="M971" s="21" t="str">
        <f>IF(SUMIFS('Input Sheet'!$F$3:$F$1001,'Input Sheet'!$B$3:$B$1001,$H971,'Input Sheet'!$E$3:$E$1001,M$4)=0,"",SUMIFS('Input Sheet'!$F$3:$F$1001,'Input Sheet'!$B$3:$B$1001,$H971,'Input Sheet'!$E$3:$E$1001,M$4))</f>
        <v/>
      </c>
      <c r="N971" s="21" t="str">
        <f>IF(SUMIFS('Input Sheet'!$F$3:$F$1001,'Input Sheet'!$B$3:$B$1001,$H971,'Input Sheet'!$E$3:$E$1001,N$4)=0,"",SUMIFS('Input Sheet'!$F$3:$F$1001,'Input Sheet'!$B$3:$B$1001,$H971,'Input Sheet'!$E$3:$E$1001,N$4))</f>
        <v/>
      </c>
      <c r="O971" s="21" t="str">
        <f>IF(SUMIFS('Input Sheet'!$F$3:$F$1001,'Input Sheet'!$B$3:$B$1001,$H971,'Input Sheet'!$E$3:$E$1001,O$4)=0,"",SUMIFS('Input Sheet'!$F$3:$F$1001,'Input Sheet'!$B$3:$B$1001,$H971,'Input Sheet'!$E$3:$E$1001,O$4))</f>
        <v/>
      </c>
      <c r="P971" s="21" t="str">
        <f>IF(SUMIFS('Input Sheet'!$F$3:$F$1001,'Input Sheet'!$B$3:$B$1001,$H971,'Input Sheet'!$E$3:$E$1001,P$4)=0,"",SUMIFS('Input Sheet'!$F$3:$F$1001,'Input Sheet'!$B$3:$B$1001,$H971,'Input Sheet'!$E$3:$E$1001,P$4))</f>
        <v/>
      </c>
      <c r="Q971" s="21" t="str">
        <f>IF(SUMIFS('Input Sheet'!$F$3:$F$1001,'Input Sheet'!$B$3:$B$1001,$H971,'Input Sheet'!$E$3:$E$1001,Q$4)=0,"",SUMIFS('Input Sheet'!$F$3:$F$1001,'Input Sheet'!$B$3:$B$1001,$H971,'Input Sheet'!$E$3:$E$1001,Q$4))</f>
        <v/>
      </c>
      <c r="R971" s="21" t="str">
        <f>IF(SUMIFS('Input Sheet'!$F$3:$F$1001,'Input Sheet'!$B$3:$B$1001,$H971,'Input Sheet'!$E$3:$E$1001,R$4)=0,"",SUMIFS('Input Sheet'!$F$3:$F$1001,'Input Sheet'!$B$3:$B$1001,$H971,'Input Sheet'!$E$3:$E$1001,R$4))</f>
        <v/>
      </c>
      <c r="S971" s="21" t="str">
        <f>IF(SUMIFS('Input Sheet'!$F$3:$F$1001,'Input Sheet'!$B$3:$B$1001,$H971,'Input Sheet'!$E$3:$E$1001,S$4)=0,"",SUMIFS('Input Sheet'!$F$3:$F$1001,'Input Sheet'!$B$3:$B$1001,$H971,'Input Sheet'!$E$3:$E$1001,S$4))</f>
        <v/>
      </c>
      <c r="T971" s="22">
        <v>966</v>
      </c>
    </row>
    <row r="972" spans="1:20" ht="14.25" customHeight="1" x14ac:dyDescent="0.3">
      <c r="A972" s="4" t="str">
        <f>IF('Input Sheet'!B969=0,"",'Input Sheet'!B969)</f>
        <v/>
      </c>
      <c r="B972" s="24" t="b">
        <f t="shared" si="788"/>
        <v>0</v>
      </c>
      <c r="C972" s="4">
        <f>SUMIF('Input Sheet'!B$3:B$1000,A972,'Input Sheet'!C$3:C$1000)</f>
        <v>0</v>
      </c>
      <c r="D972" s="4">
        <f>SUMIF('Input Sheet'!B$3:B$1000,A972,'Input Sheet'!D$3:D$1000)</f>
        <v>0</v>
      </c>
      <c r="E972" s="4" t="str">
        <f t="shared" ref="E972:F972" ca="1" si="996">IFERROR(RANK(K972,K$6:K$1004,1),"")</f>
        <v/>
      </c>
      <c r="F972" s="4" t="str">
        <f t="shared" ca="1" si="996"/>
        <v/>
      </c>
      <c r="G972" s="4" t="str">
        <f t="shared" ca="1" si="790"/>
        <v/>
      </c>
      <c r="H972" s="4" t="str">
        <f t="shared" si="791"/>
        <v/>
      </c>
      <c r="I972" s="4" t="str">
        <f t="shared" si="792"/>
        <v/>
      </c>
      <c r="J972" s="4" t="str">
        <f t="shared" si="793"/>
        <v/>
      </c>
      <c r="K972" s="25" t="str">
        <f t="shared" ca="1" si="794"/>
        <v/>
      </c>
      <c r="L972" s="21" t="str">
        <f t="shared" ca="1" si="795"/>
        <v/>
      </c>
      <c r="M972" s="21" t="str">
        <f>IF(SUMIFS('Input Sheet'!$F$3:$F$1001,'Input Sheet'!$B$3:$B$1001,$H972,'Input Sheet'!$E$3:$E$1001,M$4)=0,"",SUMIFS('Input Sheet'!$F$3:$F$1001,'Input Sheet'!$B$3:$B$1001,$H972,'Input Sheet'!$E$3:$E$1001,M$4))</f>
        <v/>
      </c>
      <c r="N972" s="21" t="str">
        <f>IF(SUMIFS('Input Sheet'!$F$3:$F$1001,'Input Sheet'!$B$3:$B$1001,$H972,'Input Sheet'!$E$3:$E$1001,N$4)=0,"",SUMIFS('Input Sheet'!$F$3:$F$1001,'Input Sheet'!$B$3:$B$1001,$H972,'Input Sheet'!$E$3:$E$1001,N$4))</f>
        <v/>
      </c>
      <c r="O972" s="21" t="str">
        <f>IF(SUMIFS('Input Sheet'!$F$3:$F$1001,'Input Sheet'!$B$3:$B$1001,$H972,'Input Sheet'!$E$3:$E$1001,O$4)=0,"",SUMIFS('Input Sheet'!$F$3:$F$1001,'Input Sheet'!$B$3:$B$1001,$H972,'Input Sheet'!$E$3:$E$1001,O$4))</f>
        <v/>
      </c>
      <c r="P972" s="21" t="str">
        <f>IF(SUMIFS('Input Sheet'!$F$3:$F$1001,'Input Sheet'!$B$3:$B$1001,$H972,'Input Sheet'!$E$3:$E$1001,P$4)=0,"",SUMIFS('Input Sheet'!$F$3:$F$1001,'Input Sheet'!$B$3:$B$1001,$H972,'Input Sheet'!$E$3:$E$1001,P$4))</f>
        <v/>
      </c>
      <c r="Q972" s="21" t="str">
        <f>IF(SUMIFS('Input Sheet'!$F$3:$F$1001,'Input Sheet'!$B$3:$B$1001,$H972,'Input Sheet'!$E$3:$E$1001,Q$4)=0,"",SUMIFS('Input Sheet'!$F$3:$F$1001,'Input Sheet'!$B$3:$B$1001,$H972,'Input Sheet'!$E$3:$E$1001,Q$4))</f>
        <v/>
      </c>
      <c r="R972" s="21" t="str">
        <f>IF(SUMIFS('Input Sheet'!$F$3:$F$1001,'Input Sheet'!$B$3:$B$1001,$H972,'Input Sheet'!$E$3:$E$1001,R$4)=0,"",SUMIFS('Input Sheet'!$F$3:$F$1001,'Input Sheet'!$B$3:$B$1001,$H972,'Input Sheet'!$E$3:$E$1001,R$4))</f>
        <v/>
      </c>
      <c r="S972" s="21" t="str">
        <f>IF(SUMIFS('Input Sheet'!$F$3:$F$1001,'Input Sheet'!$B$3:$B$1001,$H972,'Input Sheet'!$E$3:$E$1001,S$4)=0,"",SUMIFS('Input Sheet'!$F$3:$F$1001,'Input Sheet'!$B$3:$B$1001,$H972,'Input Sheet'!$E$3:$E$1001,S$4))</f>
        <v/>
      </c>
      <c r="T972" s="22">
        <v>967</v>
      </c>
    </row>
    <row r="973" spans="1:20" ht="14.25" customHeight="1" x14ac:dyDescent="0.3">
      <c r="A973" s="4" t="str">
        <f>IF('Input Sheet'!B970=0,"",'Input Sheet'!B970)</f>
        <v/>
      </c>
      <c r="B973" s="24" t="b">
        <f t="shared" si="788"/>
        <v>0</v>
      </c>
      <c r="C973" s="4">
        <f>SUMIF('Input Sheet'!B$3:B$1000,A973,'Input Sheet'!C$3:C$1000)</f>
        <v>0</v>
      </c>
      <c r="D973" s="4">
        <f>SUMIF('Input Sheet'!B$3:B$1000,A973,'Input Sheet'!D$3:D$1000)</f>
        <v>0</v>
      </c>
      <c r="E973" s="4" t="str">
        <f t="shared" ref="E973:F973" ca="1" si="997">IFERROR(RANK(K973,K$6:K$1004,1),"")</f>
        <v/>
      </c>
      <c r="F973" s="4" t="str">
        <f t="shared" ca="1" si="997"/>
        <v/>
      </c>
      <c r="G973" s="4" t="str">
        <f t="shared" ca="1" si="790"/>
        <v/>
      </c>
      <c r="H973" s="4" t="str">
        <f t="shared" si="791"/>
        <v/>
      </c>
      <c r="I973" s="4" t="str">
        <f t="shared" si="792"/>
        <v/>
      </c>
      <c r="J973" s="4" t="str">
        <f t="shared" si="793"/>
        <v/>
      </c>
      <c r="K973" s="25" t="str">
        <f t="shared" ca="1" si="794"/>
        <v/>
      </c>
      <c r="L973" s="21" t="str">
        <f t="shared" ca="1" si="795"/>
        <v/>
      </c>
      <c r="M973" s="21" t="str">
        <f>IF(SUMIFS('Input Sheet'!$F$3:$F$1001,'Input Sheet'!$B$3:$B$1001,$H973,'Input Sheet'!$E$3:$E$1001,M$4)=0,"",SUMIFS('Input Sheet'!$F$3:$F$1001,'Input Sheet'!$B$3:$B$1001,$H973,'Input Sheet'!$E$3:$E$1001,M$4))</f>
        <v/>
      </c>
      <c r="N973" s="21" t="str">
        <f>IF(SUMIFS('Input Sheet'!$F$3:$F$1001,'Input Sheet'!$B$3:$B$1001,$H973,'Input Sheet'!$E$3:$E$1001,N$4)=0,"",SUMIFS('Input Sheet'!$F$3:$F$1001,'Input Sheet'!$B$3:$B$1001,$H973,'Input Sheet'!$E$3:$E$1001,N$4))</f>
        <v/>
      </c>
      <c r="O973" s="21" t="str">
        <f>IF(SUMIFS('Input Sheet'!$F$3:$F$1001,'Input Sheet'!$B$3:$B$1001,$H973,'Input Sheet'!$E$3:$E$1001,O$4)=0,"",SUMIFS('Input Sheet'!$F$3:$F$1001,'Input Sheet'!$B$3:$B$1001,$H973,'Input Sheet'!$E$3:$E$1001,O$4))</f>
        <v/>
      </c>
      <c r="P973" s="21" t="str">
        <f>IF(SUMIFS('Input Sheet'!$F$3:$F$1001,'Input Sheet'!$B$3:$B$1001,$H973,'Input Sheet'!$E$3:$E$1001,P$4)=0,"",SUMIFS('Input Sheet'!$F$3:$F$1001,'Input Sheet'!$B$3:$B$1001,$H973,'Input Sheet'!$E$3:$E$1001,P$4))</f>
        <v/>
      </c>
      <c r="Q973" s="21" t="str">
        <f>IF(SUMIFS('Input Sheet'!$F$3:$F$1001,'Input Sheet'!$B$3:$B$1001,$H973,'Input Sheet'!$E$3:$E$1001,Q$4)=0,"",SUMIFS('Input Sheet'!$F$3:$F$1001,'Input Sheet'!$B$3:$B$1001,$H973,'Input Sheet'!$E$3:$E$1001,Q$4))</f>
        <v/>
      </c>
      <c r="R973" s="21" t="str">
        <f>IF(SUMIFS('Input Sheet'!$F$3:$F$1001,'Input Sheet'!$B$3:$B$1001,$H973,'Input Sheet'!$E$3:$E$1001,R$4)=0,"",SUMIFS('Input Sheet'!$F$3:$F$1001,'Input Sheet'!$B$3:$B$1001,$H973,'Input Sheet'!$E$3:$E$1001,R$4))</f>
        <v/>
      </c>
      <c r="S973" s="21" t="str">
        <f>IF(SUMIFS('Input Sheet'!$F$3:$F$1001,'Input Sheet'!$B$3:$B$1001,$H973,'Input Sheet'!$E$3:$E$1001,S$4)=0,"",SUMIFS('Input Sheet'!$F$3:$F$1001,'Input Sheet'!$B$3:$B$1001,$H973,'Input Sheet'!$E$3:$E$1001,S$4))</f>
        <v/>
      </c>
      <c r="T973" s="22">
        <v>968</v>
      </c>
    </row>
    <row r="974" spans="1:20" ht="14.25" customHeight="1" x14ac:dyDescent="0.3">
      <c r="A974" s="4" t="str">
        <f>IF('Input Sheet'!B971=0,"",'Input Sheet'!B971)</f>
        <v/>
      </c>
      <c r="B974" s="24" t="b">
        <f t="shared" si="788"/>
        <v>0</v>
      </c>
      <c r="C974" s="4">
        <f>SUMIF('Input Sheet'!B$3:B$1000,A974,'Input Sheet'!C$3:C$1000)</f>
        <v>0</v>
      </c>
      <c r="D974" s="4">
        <f>SUMIF('Input Sheet'!B$3:B$1000,A974,'Input Sheet'!D$3:D$1000)</f>
        <v>0</v>
      </c>
      <c r="E974" s="4" t="str">
        <f t="shared" ref="E974:F974" ca="1" si="998">IFERROR(RANK(K974,K$6:K$1004,1),"")</f>
        <v/>
      </c>
      <c r="F974" s="4" t="str">
        <f t="shared" ca="1" si="998"/>
        <v/>
      </c>
      <c r="G974" s="4" t="str">
        <f t="shared" ca="1" si="790"/>
        <v/>
      </c>
      <c r="H974" s="4" t="str">
        <f t="shared" si="791"/>
        <v/>
      </c>
      <c r="I974" s="4" t="str">
        <f t="shared" si="792"/>
        <v/>
      </c>
      <c r="J974" s="4" t="str">
        <f t="shared" si="793"/>
        <v/>
      </c>
      <c r="K974" s="25" t="str">
        <f t="shared" ca="1" si="794"/>
        <v/>
      </c>
      <c r="L974" s="21" t="str">
        <f t="shared" ca="1" si="795"/>
        <v/>
      </c>
      <c r="M974" s="21" t="str">
        <f>IF(SUMIFS('Input Sheet'!$F$3:$F$1001,'Input Sheet'!$B$3:$B$1001,$H974,'Input Sheet'!$E$3:$E$1001,M$4)=0,"",SUMIFS('Input Sheet'!$F$3:$F$1001,'Input Sheet'!$B$3:$B$1001,$H974,'Input Sheet'!$E$3:$E$1001,M$4))</f>
        <v/>
      </c>
      <c r="N974" s="21" t="str">
        <f>IF(SUMIFS('Input Sheet'!$F$3:$F$1001,'Input Sheet'!$B$3:$B$1001,$H974,'Input Sheet'!$E$3:$E$1001,N$4)=0,"",SUMIFS('Input Sheet'!$F$3:$F$1001,'Input Sheet'!$B$3:$B$1001,$H974,'Input Sheet'!$E$3:$E$1001,N$4))</f>
        <v/>
      </c>
      <c r="O974" s="21" t="str">
        <f>IF(SUMIFS('Input Sheet'!$F$3:$F$1001,'Input Sheet'!$B$3:$B$1001,$H974,'Input Sheet'!$E$3:$E$1001,O$4)=0,"",SUMIFS('Input Sheet'!$F$3:$F$1001,'Input Sheet'!$B$3:$B$1001,$H974,'Input Sheet'!$E$3:$E$1001,O$4))</f>
        <v/>
      </c>
      <c r="P974" s="21" t="str">
        <f>IF(SUMIFS('Input Sheet'!$F$3:$F$1001,'Input Sheet'!$B$3:$B$1001,$H974,'Input Sheet'!$E$3:$E$1001,P$4)=0,"",SUMIFS('Input Sheet'!$F$3:$F$1001,'Input Sheet'!$B$3:$B$1001,$H974,'Input Sheet'!$E$3:$E$1001,P$4))</f>
        <v/>
      </c>
      <c r="Q974" s="21" t="str">
        <f>IF(SUMIFS('Input Sheet'!$F$3:$F$1001,'Input Sheet'!$B$3:$B$1001,$H974,'Input Sheet'!$E$3:$E$1001,Q$4)=0,"",SUMIFS('Input Sheet'!$F$3:$F$1001,'Input Sheet'!$B$3:$B$1001,$H974,'Input Sheet'!$E$3:$E$1001,Q$4))</f>
        <v/>
      </c>
      <c r="R974" s="21" t="str">
        <f>IF(SUMIFS('Input Sheet'!$F$3:$F$1001,'Input Sheet'!$B$3:$B$1001,$H974,'Input Sheet'!$E$3:$E$1001,R$4)=0,"",SUMIFS('Input Sheet'!$F$3:$F$1001,'Input Sheet'!$B$3:$B$1001,$H974,'Input Sheet'!$E$3:$E$1001,R$4))</f>
        <v/>
      </c>
      <c r="S974" s="21" t="str">
        <f>IF(SUMIFS('Input Sheet'!$F$3:$F$1001,'Input Sheet'!$B$3:$B$1001,$H974,'Input Sheet'!$E$3:$E$1001,S$4)=0,"",SUMIFS('Input Sheet'!$F$3:$F$1001,'Input Sheet'!$B$3:$B$1001,$H974,'Input Sheet'!$E$3:$E$1001,S$4))</f>
        <v/>
      </c>
      <c r="T974" s="22">
        <v>969</v>
      </c>
    </row>
    <row r="975" spans="1:20" ht="14.25" customHeight="1" x14ac:dyDescent="0.3">
      <c r="A975" s="4" t="str">
        <f>IF('Input Sheet'!B972=0,"",'Input Sheet'!B972)</f>
        <v/>
      </c>
      <c r="B975" s="24" t="b">
        <f t="shared" si="788"/>
        <v>0</v>
      </c>
      <c r="C975" s="4">
        <f>SUMIF('Input Sheet'!B$3:B$1000,A975,'Input Sheet'!C$3:C$1000)</f>
        <v>0</v>
      </c>
      <c r="D975" s="4">
        <f>SUMIF('Input Sheet'!B$3:B$1000,A975,'Input Sheet'!D$3:D$1000)</f>
        <v>0</v>
      </c>
      <c r="E975" s="4" t="str">
        <f t="shared" ref="E975:F975" ca="1" si="999">IFERROR(RANK(K975,K$6:K$1004,1),"")</f>
        <v/>
      </c>
      <c r="F975" s="4" t="str">
        <f t="shared" ca="1" si="999"/>
        <v/>
      </c>
      <c r="G975" s="4" t="str">
        <f t="shared" ca="1" si="790"/>
        <v/>
      </c>
      <c r="H975" s="4" t="str">
        <f t="shared" si="791"/>
        <v/>
      </c>
      <c r="I975" s="4" t="str">
        <f t="shared" si="792"/>
        <v/>
      </c>
      <c r="J975" s="4" t="str">
        <f t="shared" si="793"/>
        <v/>
      </c>
      <c r="K975" s="25" t="str">
        <f t="shared" ca="1" si="794"/>
        <v/>
      </c>
      <c r="L975" s="21" t="str">
        <f t="shared" ca="1" si="795"/>
        <v/>
      </c>
      <c r="M975" s="21" t="str">
        <f>IF(SUMIFS('Input Sheet'!$F$3:$F$1001,'Input Sheet'!$B$3:$B$1001,$H975,'Input Sheet'!$E$3:$E$1001,M$4)=0,"",SUMIFS('Input Sheet'!$F$3:$F$1001,'Input Sheet'!$B$3:$B$1001,$H975,'Input Sheet'!$E$3:$E$1001,M$4))</f>
        <v/>
      </c>
      <c r="N975" s="21" t="str">
        <f>IF(SUMIFS('Input Sheet'!$F$3:$F$1001,'Input Sheet'!$B$3:$B$1001,$H975,'Input Sheet'!$E$3:$E$1001,N$4)=0,"",SUMIFS('Input Sheet'!$F$3:$F$1001,'Input Sheet'!$B$3:$B$1001,$H975,'Input Sheet'!$E$3:$E$1001,N$4))</f>
        <v/>
      </c>
      <c r="O975" s="21" t="str">
        <f>IF(SUMIFS('Input Sheet'!$F$3:$F$1001,'Input Sheet'!$B$3:$B$1001,$H975,'Input Sheet'!$E$3:$E$1001,O$4)=0,"",SUMIFS('Input Sheet'!$F$3:$F$1001,'Input Sheet'!$B$3:$B$1001,$H975,'Input Sheet'!$E$3:$E$1001,O$4))</f>
        <v/>
      </c>
      <c r="P975" s="21" t="str">
        <f>IF(SUMIFS('Input Sheet'!$F$3:$F$1001,'Input Sheet'!$B$3:$B$1001,$H975,'Input Sheet'!$E$3:$E$1001,P$4)=0,"",SUMIFS('Input Sheet'!$F$3:$F$1001,'Input Sheet'!$B$3:$B$1001,$H975,'Input Sheet'!$E$3:$E$1001,P$4))</f>
        <v/>
      </c>
      <c r="Q975" s="21" t="str">
        <f>IF(SUMIFS('Input Sheet'!$F$3:$F$1001,'Input Sheet'!$B$3:$B$1001,$H975,'Input Sheet'!$E$3:$E$1001,Q$4)=0,"",SUMIFS('Input Sheet'!$F$3:$F$1001,'Input Sheet'!$B$3:$B$1001,$H975,'Input Sheet'!$E$3:$E$1001,Q$4))</f>
        <v/>
      </c>
      <c r="R975" s="21" t="str">
        <f>IF(SUMIFS('Input Sheet'!$F$3:$F$1001,'Input Sheet'!$B$3:$B$1001,$H975,'Input Sheet'!$E$3:$E$1001,R$4)=0,"",SUMIFS('Input Sheet'!$F$3:$F$1001,'Input Sheet'!$B$3:$B$1001,$H975,'Input Sheet'!$E$3:$E$1001,R$4))</f>
        <v/>
      </c>
      <c r="S975" s="21" t="str">
        <f>IF(SUMIFS('Input Sheet'!$F$3:$F$1001,'Input Sheet'!$B$3:$B$1001,$H975,'Input Sheet'!$E$3:$E$1001,S$4)=0,"",SUMIFS('Input Sheet'!$F$3:$F$1001,'Input Sheet'!$B$3:$B$1001,$H975,'Input Sheet'!$E$3:$E$1001,S$4))</f>
        <v/>
      </c>
      <c r="T975" s="22">
        <v>970</v>
      </c>
    </row>
    <row r="976" spans="1:20" ht="14.25" customHeight="1" x14ac:dyDescent="0.3">
      <c r="A976" s="4" t="str">
        <f>IF('Input Sheet'!B973=0,"",'Input Sheet'!B973)</f>
        <v/>
      </c>
      <c r="B976" s="24" t="b">
        <f t="shared" si="788"/>
        <v>0</v>
      </c>
      <c r="C976" s="4">
        <f>SUMIF('Input Sheet'!B$3:B$1000,A976,'Input Sheet'!C$3:C$1000)</f>
        <v>0</v>
      </c>
      <c r="D976" s="4">
        <f>SUMIF('Input Sheet'!B$3:B$1000,A976,'Input Sheet'!D$3:D$1000)</f>
        <v>0</v>
      </c>
      <c r="E976" s="4" t="str">
        <f t="shared" ref="E976:F976" ca="1" si="1000">IFERROR(RANK(K976,K$6:K$1004,1),"")</f>
        <v/>
      </c>
      <c r="F976" s="4" t="str">
        <f t="shared" ca="1" si="1000"/>
        <v/>
      </c>
      <c r="G976" s="4" t="str">
        <f t="shared" ca="1" si="790"/>
        <v/>
      </c>
      <c r="H976" s="4" t="str">
        <f t="shared" si="791"/>
        <v/>
      </c>
      <c r="I976" s="4" t="str">
        <f t="shared" si="792"/>
        <v/>
      </c>
      <c r="J976" s="4" t="str">
        <f t="shared" si="793"/>
        <v/>
      </c>
      <c r="K976" s="25" t="str">
        <f t="shared" ca="1" si="794"/>
        <v/>
      </c>
      <c r="L976" s="21" t="str">
        <f t="shared" ca="1" si="795"/>
        <v/>
      </c>
      <c r="M976" s="21" t="str">
        <f>IF(SUMIFS('Input Sheet'!$F$3:$F$1001,'Input Sheet'!$B$3:$B$1001,$H976,'Input Sheet'!$E$3:$E$1001,M$4)=0,"",SUMIFS('Input Sheet'!$F$3:$F$1001,'Input Sheet'!$B$3:$B$1001,$H976,'Input Sheet'!$E$3:$E$1001,M$4))</f>
        <v/>
      </c>
      <c r="N976" s="21" t="str">
        <f>IF(SUMIFS('Input Sheet'!$F$3:$F$1001,'Input Sheet'!$B$3:$B$1001,$H976,'Input Sheet'!$E$3:$E$1001,N$4)=0,"",SUMIFS('Input Sheet'!$F$3:$F$1001,'Input Sheet'!$B$3:$B$1001,$H976,'Input Sheet'!$E$3:$E$1001,N$4))</f>
        <v/>
      </c>
      <c r="O976" s="21" t="str">
        <f>IF(SUMIFS('Input Sheet'!$F$3:$F$1001,'Input Sheet'!$B$3:$B$1001,$H976,'Input Sheet'!$E$3:$E$1001,O$4)=0,"",SUMIFS('Input Sheet'!$F$3:$F$1001,'Input Sheet'!$B$3:$B$1001,$H976,'Input Sheet'!$E$3:$E$1001,O$4))</f>
        <v/>
      </c>
      <c r="P976" s="21" t="str">
        <f>IF(SUMIFS('Input Sheet'!$F$3:$F$1001,'Input Sheet'!$B$3:$B$1001,$H976,'Input Sheet'!$E$3:$E$1001,P$4)=0,"",SUMIFS('Input Sheet'!$F$3:$F$1001,'Input Sheet'!$B$3:$B$1001,$H976,'Input Sheet'!$E$3:$E$1001,P$4))</f>
        <v/>
      </c>
      <c r="Q976" s="21" t="str">
        <f>IF(SUMIFS('Input Sheet'!$F$3:$F$1001,'Input Sheet'!$B$3:$B$1001,$H976,'Input Sheet'!$E$3:$E$1001,Q$4)=0,"",SUMIFS('Input Sheet'!$F$3:$F$1001,'Input Sheet'!$B$3:$B$1001,$H976,'Input Sheet'!$E$3:$E$1001,Q$4))</f>
        <v/>
      </c>
      <c r="R976" s="21" t="str">
        <f>IF(SUMIFS('Input Sheet'!$F$3:$F$1001,'Input Sheet'!$B$3:$B$1001,$H976,'Input Sheet'!$E$3:$E$1001,R$4)=0,"",SUMIFS('Input Sheet'!$F$3:$F$1001,'Input Sheet'!$B$3:$B$1001,$H976,'Input Sheet'!$E$3:$E$1001,R$4))</f>
        <v/>
      </c>
      <c r="S976" s="21" t="str">
        <f>IF(SUMIFS('Input Sheet'!$F$3:$F$1001,'Input Sheet'!$B$3:$B$1001,$H976,'Input Sheet'!$E$3:$E$1001,S$4)=0,"",SUMIFS('Input Sheet'!$F$3:$F$1001,'Input Sheet'!$B$3:$B$1001,$H976,'Input Sheet'!$E$3:$E$1001,S$4))</f>
        <v/>
      </c>
      <c r="T976" s="22">
        <v>971</v>
      </c>
    </row>
    <row r="977" spans="1:20" ht="14.25" customHeight="1" x14ac:dyDescent="0.3">
      <c r="A977" s="4" t="str">
        <f>IF('Input Sheet'!B974=0,"",'Input Sheet'!B974)</f>
        <v/>
      </c>
      <c r="B977" s="24" t="b">
        <f t="shared" si="788"/>
        <v>0</v>
      </c>
      <c r="C977" s="4">
        <f>SUMIF('Input Sheet'!B$3:B$1000,A977,'Input Sheet'!C$3:C$1000)</f>
        <v>0</v>
      </c>
      <c r="D977" s="4">
        <f>SUMIF('Input Sheet'!B$3:B$1000,A977,'Input Sheet'!D$3:D$1000)</f>
        <v>0</v>
      </c>
      <c r="E977" s="4" t="str">
        <f t="shared" ref="E977:F977" ca="1" si="1001">IFERROR(RANK(K977,K$6:K$1004,1),"")</f>
        <v/>
      </c>
      <c r="F977" s="4" t="str">
        <f t="shared" ca="1" si="1001"/>
        <v/>
      </c>
      <c r="G977" s="4" t="str">
        <f t="shared" ca="1" si="790"/>
        <v/>
      </c>
      <c r="H977" s="4" t="str">
        <f t="shared" si="791"/>
        <v/>
      </c>
      <c r="I977" s="4" t="str">
        <f t="shared" si="792"/>
        <v/>
      </c>
      <c r="J977" s="4" t="str">
        <f t="shared" si="793"/>
        <v/>
      </c>
      <c r="K977" s="25" t="str">
        <f t="shared" ca="1" si="794"/>
        <v/>
      </c>
      <c r="L977" s="21" t="str">
        <f t="shared" ca="1" si="795"/>
        <v/>
      </c>
      <c r="M977" s="21" t="str">
        <f>IF(SUMIFS('Input Sheet'!$F$3:$F$1001,'Input Sheet'!$B$3:$B$1001,$H977,'Input Sheet'!$E$3:$E$1001,M$4)=0,"",SUMIFS('Input Sheet'!$F$3:$F$1001,'Input Sheet'!$B$3:$B$1001,$H977,'Input Sheet'!$E$3:$E$1001,M$4))</f>
        <v/>
      </c>
      <c r="N977" s="21" t="str">
        <f>IF(SUMIFS('Input Sheet'!$F$3:$F$1001,'Input Sheet'!$B$3:$B$1001,$H977,'Input Sheet'!$E$3:$E$1001,N$4)=0,"",SUMIFS('Input Sheet'!$F$3:$F$1001,'Input Sheet'!$B$3:$B$1001,$H977,'Input Sheet'!$E$3:$E$1001,N$4))</f>
        <v/>
      </c>
      <c r="O977" s="21" t="str">
        <f>IF(SUMIFS('Input Sheet'!$F$3:$F$1001,'Input Sheet'!$B$3:$B$1001,$H977,'Input Sheet'!$E$3:$E$1001,O$4)=0,"",SUMIFS('Input Sheet'!$F$3:$F$1001,'Input Sheet'!$B$3:$B$1001,$H977,'Input Sheet'!$E$3:$E$1001,O$4))</f>
        <v/>
      </c>
      <c r="P977" s="21" t="str">
        <f>IF(SUMIFS('Input Sheet'!$F$3:$F$1001,'Input Sheet'!$B$3:$B$1001,$H977,'Input Sheet'!$E$3:$E$1001,P$4)=0,"",SUMIFS('Input Sheet'!$F$3:$F$1001,'Input Sheet'!$B$3:$B$1001,$H977,'Input Sheet'!$E$3:$E$1001,P$4))</f>
        <v/>
      </c>
      <c r="Q977" s="21" t="str">
        <f>IF(SUMIFS('Input Sheet'!$F$3:$F$1001,'Input Sheet'!$B$3:$B$1001,$H977,'Input Sheet'!$E$3:$E$1001,Q$4)=0,"",SUMIFS('Input Sheet'!$F$3:$F$1001,'Input Sheet'!$B$3:$B$1001,$H977,'Input Sheet'!$E$3:$E$1001,Q$4))</f>
        <v/>
      </c>
      <c r="R977" s="21" t="str">
        <f>IF(SUMIFS('Input Sheet'!$F$3:$F$1001,'Input Sheet'!$B$3:$B$1001,$H977,'Input Sheet'!$E$3:$E$1001,R$4)=0,"",SUMIFS('Input Sheet'!$F$3:$F$1001,'Input Sheet'!$B$3:$B$1001,$H977,'Input Sheet'!$E$3:$E$1001,R$4))</f>
        <v/>
      </c>
      <c r="S977" s="21" t="str">
        <f>IF(SUMIFS('Input Sheet'!$F$3:$F$1001,'Input Sheet'!$B$3:$B$1001,$H977,'Input Sheet'!$E$3:$E$1001,S$4)=0,"",SUMIFS('Input Sheet'!$F$3:$F$1001,'Input Sheet'!$B$3:$B$1001,$H977,'Input Sheet'!$E$3:$E$1001,S$4))</f>
        <v/>
      </c>
      <c r="T977" s="22">
        <v>972</v>
      </c>
    </row>
    <row r="978" spans="1:20" ht="14.25" customHeight="1" x14ac:dyDescent="0.3">
      <c r="A978" s="4" t="str">
        <f>IF('Input Sheet'!B975=0,"",'Input Sheet'!B975)</f>
        <v/>
      </c>
      <c r="B978" s="24" t="b">
        <f t="shared" si="788"/>
        <v>0</v>
      </c>
      <c r="C978" s="4">
        <f>SUMIF('Input Sheet'!B$3:B$1000,A978,'Input Sheet'!C$3:C$1000)</f>
        <v>0</v>
      </c>
      <c r="D978" s="4">
        <f>SUMIF('Input Sheet'!B$3:B$1000,A978,'Input Sheet'!D$3:D$1000)</f>
        <v>0</v>
      </c>
      <c r="E978" s="4" t="str">
        <f t="shared" ref="E978:F978" ca="1" si="1002">IFERROR(RANK(K978,K$6:K$1004,1),"")</f>
        <v/>
      </c>
      <c r="F978" s="4" t="str">
        <f t="shared" ca="1" si="1002"/>
        <v/>
      </c>
      <c r="G978" s="4" t="str">
        <f t="shared" ca="1" si="790"/>
        <v/>
      </c>
      <c r="H978" s="4" t="str">
        <f t="shared" si="791"/>
        <v/>
      </c>
      <c r="I978" s="4" t="str">
        <f t="shared" si="792"/>
        <v/>
      </c>
      <c r="J978" s="4" t="str">
        <f t="shared" si="793"/>
        <v/>
      </c>
      <c r="K978" s="25" t="str">
        <f t="shared" ca="1" si="794"/>
        <v/>
      </c>
      <c r="L978" s="21" t="str">
        <f t="shared" ca="1" si="795"/>
        <v/>
      </c>
      <c r="M978" s="21" t="str">
        <f>IF(SUMIFS('Input Sheet'!$F$3:$F$1001,'Input Sheet'!$B$3:$B$1001,$H978,'Input Sheet'!$E$3:$E$1001,M$4)=0,"",SUMIFS('Input Sheet'!$F$3:$F$1001,'Input Sheet'!$B$3:$B$1001,$H978,'Input Sheet'!$E$3:$E$1001,M$4))</f>
        <v/>
      </c>
      <c r="N978" s="21" t="str">
        <f>IF(SUMIFS('Input Sheet'!$F$3:$F$1001,'Input Sheet'!$B$3:$B$1001,$H978,'Input Sheet'!$E$3:$E$1001,N$4)=0,"",SUMIFS('Input Sheet'!$F$3:$F$1001,'Input Sheet'!$B$3:$B$1001,$H978,'Input Sheet'!$E$3:$E$1001,N$4))</f>
        <v/>
      </c>
      <c r="O978" s="21" t="str">
        <f>IF(SUMIFS('Input Sheet'!$F$3:$F$1001,'Input Sheet'!$B$3:$B$1001,$H978,'Input Sheet'!$E$3:$E$1001,O$4)=0,"",SUMIFS('Input Sheet'!$F$3:$F$1001,'Input Sheet'!$B$3:$B$1001,$H978,'Input Sheet'!$E$3:$E$1001,O$4))</f>
        <v/>
      </c>
      <c r="P978" s="21" t="str">
        <f>IF(SUMIFS('Input Sheet'!$F$3:$F$1001,'Input Sheet'!$B$3:$B$1001,$H978,'Input Sheet'!$E$3:$E$1001,P$4)=0,"",SUMIFS('Input Sheet'!$F$3:$F$1001,'Input Sheet'!$B$3:$B$1001,$H978,'Input Sheet'!$E$3:$E$1001,P$4))</f>
        <v/>
      </c>
      <c r="Q978" s="21" t="str">
        <f>IF(SUMIFS('Input Sheet'!$F$3:$F$1001,'Input Sheet'!$B$3:$B$1001,$H978,'Input Sheet'!$E$3:$E$1001,Q$4)=0,"",SUMIFS('Input Sheet'!$F$3:$F$1001,'Input Sheet'!$B$3:$B$1001,$H978,'Input Sheet'!$E$3:$E$1001,Q$4))</f>
        <v/>
      </c>
      <c r="R978" s="21" t="str">
        <f>IF(SUMIFS('Input Sheet'!$F$3:$F$1001,'Input Sheet'!$B$3:$B$1001,$H978,'Input Sheet'!$E$3:$E$1001,R$4)=0,"",SUMIFS('Input Sheet'!$F$3:$F$1001,'Input Sheet'!$B$3:$B$1001,$H978,'Input Sheet'!$E$3:$E$1001,R$4))</f>
        <v/>
      </c>
      <c r="S978" s="21" t="str">
        <f>IF(SUMIFS('Input Sheet'!$F$3:$F$1001,'Input Sheet'!$B$3:$B$1001,$H978,'Input Sheet'!$E$3:$E$1001,S$4)=0,"",SUMIFS('Input Sheet'!$F$3:$F$1001,'Input Sheet'!$B$3:$B$1001,$H978,'Input Sheet'!$E$3:$E$1001,S$4))</f>
        <v/>
      </c>
      <c r="T978" s="22">
        <v>973</v>
      </c>
    </row>
    <row r="979" spans="1:20" ht="14.25" customHeight="1" x14ac:dyDescent="0.3">
      <c r="A979" s="4" t="str">
        <f>IF('Input Sheet'!B976=0,"",'Input Sheet'!B976)</f>
        <v/>
      </c>
      <c r="B979" s="24" t="b">
        <f t="shared" si="788"/>
        <v>0</v>
      </c>
      <c r="C979" s="4">
        <f>SUMIF('Input Sheet'!B$3:B$1000,A979,'Input Sheet'!C$3:C$1000)</f>
        <v>0</v>
      </c>
      <c r="D979" s="4">
        <f>SUMIF('Input Sheet'!B$3:B$1000,A979,'Input Sheet'!D$3:D$1000)</f>
        <v>0</v>
      </c>
      <c r="E979" s="4" t="str">
        <f t="shared" ref="E979:F979" ca="1" si="1003">IFERROR(RANK(K979,K$6:K$1004,1),"")</f>
        <v/>
      </c>
      <c r="F979" s="4" t="str">
        <f t="shared" ca="1" si="1003"/>
        <v/>
      </c>
      <c r="G979" s="4" t="str">
        <f t="shared" ca="1" si="790"/>
        <v/>
      </c>
      <c r="H979" s="4" t="str">
        <f t="shared" si="791"/>
        <v/>
      </c>
      <c r="I979" s="4" t="str">
        <f t="shared" si="792"/>
        <v/>
      </c>
      <c r="J979" s="4" t="str">
        <f t="shared" si="793"/>
        <v/>
      </c>
      <c r="K979" s="25" t="str">
        <f t="shared" ca="1" si="794"/>
        <v/>
      </c>
      <c r="L979" s="21" t="str">
        <f t="shared" ca="1" si="795"/>
        <v/>
      </c>
      <c r="M979" s="21" t="str">
        <f>IF(SUMIFS('Input Sheet'!$F$3:$F$1001,'Input Sheet'!$B$3:$B$1001,$H979,'Input Sheet'!$E$3:$E$1001,M$4)=0,"",SUMIFS('Input Sheet'!$F$3:$F$1001,'Input Sheet'!$B$3:$B$1001,$H979,'Input Sheet'!$E$3:$E$1001,M$4))</f>
        <v/>
      </c>
      <c r="N979" s="21" t="str">
        <f>IF(SUMIFS('Input Sheet'!$F$3:$F$1001,'Input Sheet'!$B$3:$B$1001,$H979,'Input Sheet'!$E$3:$E$1001,N$4)=0,"",SUMIFS('Input Sheet'!$F$3:$F$1001,'Input Sheet'!$B$3:$B$1001,$H979,'Input Sheet'!$E$3:$E$1001,N$4))</f>
        <v/>
      </c>
      <c r="O979" s="21" t="str">
        <f>IF(SUMIFS('Input Sheet'!$F$3:$F$1001,'Input Sheet'!$B$3:$B$1001,$H979,'Input Sheet'!$E$3:$E$1001,O$4)=0,"",SUMIFS('Input Sheet'!$F$3:$F$1001,'Input Sheet'!$B$3:$B$1001,$H979,'Input Sheet'!$E$3:$E$1001,O$4))</f>
        <v/>
      </c>
      <c r="P979" s="21" t="str">
        <f>IF(SUMIFS('Input Sheet'!$F$3:$F$1001,'Input Sheet'!$B$3:$B$1001,$H979,'Input Sheet'!$E$3:$E$1001,P$4)=0,"",SUMIFS('Input Sheet'!$F$3:$F$1001,'Input Sheet'!$B$3:$B$1001,$H979,'Input Sheet'!$E$3:$E$1001,P$4))</f>
        <v/>
      </c>
      <c r="Q979" s="21" t="str">
        <f>IF(SUMIFS('Input Sheet'!$F$3:$F$1001,'Input Sheet'!$B$3:$B$1001,$H979,'Input Sheet'!$E$3:$E$1001,Q$4)=0,"",SUMIFS('Input Sheet'!$F$3:$F$1001,'Input Sheet'!$B$3:$B$1001,$H979,'Input Sheet'!$E$3:$E$1001,Q$4))</f>
        <v/>
      </c>
      <c r="R979" s="21" t="str">
        <f>IF(SUMIFS('Input Sheet'!$F$3:$F$1001,'Input Sheet'!$B$3:$B$1001,$H979,'Input Sheet'!$E$3:$E$1001,R$4)=0,"",SUMIFS('Input Sheet'!$F$3:$F$1001,'Input Sheet'!$B$3:$B$1001,$H979,'Input Sheet'!$E$3:$E$1001,R$4))</f>
        <v/>
      </c>
      <c r="S979" s="21" t="str">
        <f>IF(SUMIFS('Input Sheet'!$F$3:$F$1001,'Input Sheet'!$B$3:$B$1001,$H979,'Input Sheet'!$E$3:$E$1001,S$4)=0,"",SUMIFS('Input Sheet'!$F$3:$F$1001,'Input Sheet'!$B$3:$B$1001,$H979,'Input Sheet'!$E$3:$E$1001,S$4))</f>
        <v/>
      </c>
      <c r="T979" s="22">
        <v>974</v>
      </c>
    </row>
    <row r="980" spans="1:20" ht="14.25" customHeight="1" x14ac:dyDescent="0.3">
      <c r="A980" s="4" t="str">
        <f>IF('Input Sheet'!B977=0,"",'Input Sheet'!B977)</f>
        <v/>
      </c>
      <c r="B980" s="24" t="b">
        <f t="shared" si="788"/>
        <v>0</v>
      </c>
      <c r="C980" s="4">
        <f>SUMIF('Input Sheet'!B$3:B$1000,A980,'Input Sheet'!C$3:C$1000)</f>
        <v>0</v>
      </c>
      <c r="D980" s="4">
        <f>SUMIF('Input Sheet'!B$3:B$1000,A980,'Input Sheet'!D$3:D$1000)</f>
        <v>0</v>
      </c>
      <c r="E980" s="4" t="str">
        <f t="shared" ref="E980:F980" ca="1" si="1004">IFERROR(RANK(K980,K$6:K$1004,1),"")</f>
        <v/>
      </c>
      <c r="F980" s="4" t="str">
        <f t="shared" ca="1" si="1004"/>
        <v/>
      </c>
      <c r="G980" s="4" t="str">
        <f t="shared" ca="1" si="790"/>
        <v/>
      </c>
      <c r="H980" s="4" t="str">
        <f t="shared" si="791"/>
        <v/>
      </c>
      <c r="I980" s="4" t="str">
        <f t="shared" si="792"/>
        <v/>
      </c>
      <c r="J980" s="4" t="str">
        <f t="shared" si="793"/>
        <v/>
      </c>
      <c r="K980" s="25" t="str">
        <f t="shared" ca="1" si="794"/>
        <v/>
      </c>
      <c r="L980" s="21" t="str">
        <f t="shared" ca="1" si="795"/>
        <v/>
      </c>
      <c r="M980" s="21" t="str">
        <f>IF(SUMIFS('Input Sheet'!$F$3:$F$1001,'Input Sheet'!$B$3:$B$1001,$H980,'Input Sheet'!$E$3:$E$1001,M$4)=0,"",SUMIFS('Input Sheet'!$F$3:$F$1001,'Input Sheet'!$B$3:$B$1001,$H980,'Input Sheet'!$E$3:$E$1001,M$4))</f>
        <v/>
      </c>
      <c r="N980" s="21" t="str">
        <f>IF(SUMIFS('Input Sheet'!$F$3:$F$1001,'Input Sheet'!$B$3:$B$1001,$H980,'Input Sheet'!$E$3:$E$1001,N$4)=0,"",SUMIFS('Input Sheet'!$F$3:$F$1001,'Input Sheet'!$B$3:$B$1001,$H980,'Input Sheet'!$E$3:$E$1001,N$4))</f>
        <v/>
      </c>
      <c r="O980" s="21" t="str">
        <f>IF(SUMIFS('Input Sheet'!$F$3:$F$1001,'Input Sheet'!$B$3:$B$1001,$H980,'Input Sheet'!$E$3:$E$1001,O$4)=0,"",SUMIFS('Input Sheet'!$F$3:$F$1001,'Input Sheet'!$B$3:$B$1001,$H980,'Input Sheet'!$E$3:$E$1001,O$4))</f>
        <v/>
      </c>
      <c r="P980" s="21" t="str">
        <f>IF(SUMIFS('Input Sheet'!$F$3:$F$1001,'Input Sheet'!$B$3:$B$1001,$H980,'Input Sheet'!$E$3:$E$1001,P$4)=0,"",SUMIFS('Input Sheet'!$F$3:$F$1001,'Input Sheet'!$B$3:$B$1001,$H980,'Input Sheet'!$E$3:$E$1001,P$4))</f>
        <v/>
      </c>
      <c r="Q980" s="21" t="str">
        <f>IF(SUMIFS('Input Sheet'!$F$3:$F$1001,'Input Sheet'!$B$3:$B$1001,$H980,'Input Sheet'!$E$3:$E$1001,Q$4)=0,"",SUMIFS('Input Sheet'!$F$3:$F$1001,'Input Sheet'!$B$3:$B$1001,$H980,'Input Sheet'!$E$3:$E$1001,Q$4))</f>
        <v/>
      </c>
      <c r="R980" s="21" t="str">
        <f>IF(SUMIFS('Input Sheet'!$F$3:$F$1001,'Input Sheet'!$B$3:$B$1001,$H980,'Input Sheet'!$E$3:$E$1001,R$4)=0,"",SUMIFS('Input Sheet'!$F$3:$F$1001,'Input Sheet'!$B$3:$B$1001,$H980,'Input Sheet'!$E$3:$E$1001,R$4))</f>
        <v/>
      </c>
      <c r="S980" s="21" t="str">
        <f>IF(SUMIFS('Input Sheet'!$F$3:$F$1001,'Input Sheet'!$B$3:$B$1001,$H980,'Input Sheet'!$E$3:$E$1001,S$4)=0,"",SUMIFS('Input Sheet'!$F$3:$F$1001,'Input Sheet'!$B$3:$B$1001,$H980,'Input Sheet'!$E$3:$E$1001,S$4))</f>
        <v/>
      </c>
      <c r="T980" s="22">
        <v>975</v>
      </c>
    </row>
    <row r="981" spans="1:20" ht="14.25" customHeight="1" x14ac:dyDescent="0.3">
      <c r="A981" s="4" t="str">
        <f>IF('Input Sheet'!B978=0,"",'Input Sheet'!B978)</f>
        <v/>
      </c>
      <c r="B981" s="24" t="b">
        <f t="shared" si="788"/>
        <v>0</v>
      </c>
      <c r="C981" s="4">
        <f>SUMIF('Input Sheet'!B$3:B$1000,A981,'Input Sheet'!C$3:C$1000)</f>
        <v>0</v>
      </c>
      <c r="D981" s="4">
        <f>SUMIF('Input Sheet'!B$3:B$1000,A981,'Input Sheet'!D$3:D$1000)</f>
        <v>0</v>
      </c>
      <c r="E981" s="4" t="str">
        <f t="shared" ref="E981:F981" ca="1" si="1005">IFERROR(RANK(K981,K$6:K$1004,1),"")</f>
        <v/>
      </c>
      <c r="F981" s="4" t="str">
        <f t="shared" ca="1" si="1005"/>
        <v/>
      </c>
      <c r="G981" s="4" t="str">
        <f t="shared" ca="1" si="790"/>
        <v/>
      </c>
      <c r="H981" s="4" t="str">
        <f t="shared" si="791"/>
        <v/>
      </c>
      <c r="I981" s="4" t="str">
        <f t="shared" si="792"/>
        <v/>
      </c>
      <c r="J981" s="4" t="str">
        <f t="shared" si="793"/>
        <v/>
      </c>
      <c r="K981" s="25" t="str">
        <f t="shared" ca="1" si="794"/>
        <v/>
      </c>
      <c r="L981" s="21" t="str">
        <f t="shared" ca="1" si="795"/>
        <v/>
      </c>
      <c r="M981" s="21" t="str">
        <f>IF(SUMIFS('Input Sheet'!$F$3:$F$1001,'Input Sheet'!$B$3:$B$1001,$H981,'Input Sheet'!$E$3:$E$1001,M$4)=0,"",SUMIFS('Input Sheet'!$F$3:$F$1001,'Input Sheet'!$B$3:$B$1001,$H981,'Input Sheet'!$E$3:$E$1001,M$4))</f>
        <v/>
      </c>
      <c r="N981" s="21" t="str">
        <f>IF(SUMIFS('Input Sheet'!$F$3:$F$1001,'Input Sheet'!$B$3:$B$1001,$H981,'Input Sheet'!$E$3:$E$1001,N$4)=0,"",SUMIFS('Input Sheet'!$F$3:$F$1001,'Input Sheet'!$B$3:$B$1001,$H981,'Input Sheet'!$E$3:$E$1001,N$4))</f>
        <v/>
      </c>
      <c r="O981" s="21" t="str">
        <f>IF(SUMIFS('Input Sheet'!$F$3:$F$1001,'Input Sheet'!$B$3:$B$1001,$H981,'Input Sheet'!$E$3:$E$1001,O$4)=0,"",SUMIFS('Input Sheet'!$F$3:$F$1001,'Input Sheet'!$B$3:$B$1001,$H981,'Input Sheet'!$E$3:$E$1001,O$4))</f>
        <v/>
      </c>
      <c r="P981" s="21" t="str">
        <f>IF(SUMIFS('Input Sheet'!$F$3:$F$1001,'Input Sheet'!$B$3:$B$1001,$H981,'Input Sheet'!$E$3:$E$1001,P$4)=0,"",SUMIFS('Input Sheet'!$F$3:$F$1001,'Input Sheet'!$B$3:$B$1001,$H981,'Input Sheet'!$E$3:$E$1001,P$4))</f>
        <v/>
      </c>
      <c r="Q981" s="21" t="str">
        <f>IF(SUMIFS('Input Sheet'!$F$3:$F$1001,'Input Sheet'!$B$3:$B$1001,$H981,'Input Sheet'!$E$3:$E$1001,Q$4)=0,"",SUMIFS('Input Sheet'!$F$3:$F$1001,'Input Sheet'!$B$3:$B$1001,$H981,'Input Sheet'!$E$3:$E$1001,Q$4))</f>
        <v/>
      </c>
      <c r="R981" s="21" t="str">
        <f>IF(SUMIFS('Input Sheet'!$F$3:$F$1001,'Input Sheet'!$B$3:$B$1001,$H981,'Input Sheet'!$E$3:$E$1001,R$4)=0,"",SUMIFS('Input Sheet'!$F$3:$F$1001,'Input Sheet'!$B$3:$B$1001,$H981,'Input Sheet'!$E$3:$E$1001,R$4))</f>
        <v/>
      </c>
      <c r="S981" s="21" t="str">
        <f>IF(SUMIFS('Input Sheet'!$F$3:$F$1001,'Input Sheet'!$B$3:$B$1001,$H981,'Input Sheet'!$E$3:$E$1001,S$4)=0,"",SUMIFS('Input Sheet'!$F$3:$F$1001,'Input Sheet'!$B$3:$B$1001,$H981,'Input Sheet'!$E$3:$E$1001,S$4))</f>
        <v/>
      </c>
      <c r="T981" s="22">
        <v>976</v>
      </c>
    </row>
    <row r="982" spans="1:20" ht="14.25" customHeight="1" x14ac:dyDescent="0.3">
      <c r="A982" s="4" t="str">
        <f>IF('Input Sheet'!B979=0,"",'Input Sheet'!B979)</f>
        <v/>
      </c>
      <c r="B982" s="24" t="b">
        <f t="shared" si="788"/>
        <v>0</v>
      </c>
      <c r="C982" s="4">
        <f>SUMIF('Input Sheet'!B$3:B$1000,A982,'Input Sheet'!C$3:C$1000)</f>
        <v>0</v>
      </c>
      <c r="D982" s="4">
        <f>SUMIF('Input Sheet'!B$3:B$1000,A982,'Input Sheet'!D$3:D$1000)</f>
        <v>0</v>
      </c>
      <c r="E982" s="4" t="str">
        <f t="shared" ref="E982:F982" ca="1" si="1006">IFERROR(RANK(K982,K$6:K$1004,1),"")</f>
        <v/>
      </c>
      <c r="F982" s="4" t="str">
        <f t="shared" ca="1" si="1006"/>
        <v/>
      </c>
      <c r="G982" s="4" t="str">
        <f t="shared" ca="1" si="790"/>
        <v/>
      </c>
      <c r="H982" s="4" t="str">
        <f t="shared" si="791"/>
        <v/>
      </c>
      <c r="I982" s="4" t="str">
        <f t="shared" si="792"/>
        <v/>
      </c>
      <c r="J982" s="4" t="str">
        <f t="shared" si="793"/>
        <v/>
      </c>
      <c r="K982" s="25" t="str">
        <f t="shared" ca="1" si="794"/>
        <v/>
      </c>
      <c r="L982" s="21" t="str">
        <f t="shared" ca="1" si="795"/>
        <v/>
      </c>
      <c r="M982" s="21" t="str">
        <f>IF(SUMIFS('Input Sheet'!$F$3:$F$1001,'Input Sheet'!$B$3:$B$1001,$H982,'Input Sheet'!$E$3:$E$1001,M$4)=0,"",SUMIFS('Input Sheet'!$F$3:$F$1001,'Input Sheet'!$B$3:$B$1001,$H982,'Input Sheet'!$E$3:$E$1001,M$4))</f>
        <v/>
      </c>
      <c r="N982" s="21" t="str">
        <f>IF(SUMIFS('Input Sheet'!$F$3:$F$1001,'Input Sheet'!$B$3:$B$1001,$H982,'Input Sheet'!$E$3:$E$1001,N$4)=0,"",SUMIFS('Input Sheet'!$F$3:$F$1001,'Input Sheet'!$B$3:$B$1001,$H982,'Input Sheet'!$E$3:$E$1001,N$4))</f>
        <v/>
      </c>
      <c r="O982" s="21" t="str">
        <f>IF(SUMIFS('Input Sheet'!$F$3:$F$1001,'Input Sheet'!$B$3:$B$1001,$H982,'Input Sheet'!$E$3:$E$1001,O$4)=0,"",SUMIFS('Input Sheet'!$F$3:$F$1001,'Input Sheet'!$B$3:$B$1001,$H982,'Input Sheet'!$E$3:$E$1001,O$4))</f>
        <v/>
      </c>
      <c r="P982" s="21" t="str">
        <f>IF(SUMIFS('Input Sheet'!$F$3:$F$1001,'Input Sheet'!$B$3:$B$1001,$H982,'Input Sheet'!$E$3:$E$1001,P$4)=0,"",SUMIFS('Input Sheet'!$F$3:$F$1001,'Input Sheet'!$B$3:$B$1001,$H982,'Input Sheet'!$E$3:$E$1001,P$4))</f>
        <v/>
      </c>
      <c r="Q982" s="21" t="str">
        <f>IF(SUMIFS('Input Sheet'!$F$3:$F$1001,'Input Sheet'!$B$3:$B$1001,$H982,'Input Sheet'!$E$3:$E$1001,Q$4)=0,"",SUMIFS('Input Sheet'!$F$3:$F$1001,'Input Sheet'!$B$3:$B$1001,$H982,'Input Sheet'!$E$3:$E$1001,Q$4))</f>
        <v/>
      </c>
      <c r="R982" s="21" t="str">
        <f>IF(SUMIFS('Input Sheet'!$F$3:$F$1001,'Input Sheet'!$B$3:$B$1001,$H982,'Input Sheet'!$E$3:$E$1001,R$4)=0,"",SUMIFS('Input Sheet'!$F$3:$F$1001,'Input Sheet'!$B$3:$B$1001,$H982,'Input Sheet'!$E$3:$E$1001,R$4))</f>
        <v/>
      </c>
      <c r="S982" s="21" t="str">
        <f>IF(SUMIFS('Input Sheet'!$F$3:$F$1001,'Input Sheet'!$B$3:$B$1001,$H982,'Input Sheet'!$E$3:$E$1001,S$4)=0,"",SUMIFS('Input Sheet'!$F$3:$F$1001,'Input Sheet'!$B$3:$B$1001,$H982,'Input Sheet'!$E$3:$E$1001,S$4))</f>
        <v/>
      </c>
      <c r="T982" s="22">
        <v>977</v>
      </c>
    </row>
    <row r="983" spans="1:20" ht="14.25" customHeight="1" x14ac:dyDescent="0.3">
      <c r="A983" s="4" t="str">
        <f>IF('Input Sheet'!B980=0,"",'Input Sheet'!B980)</f>
        <v/>
      </c>
      <c r="B983" s="24" t="b">
        <f t="shared" si="788"/>
        <v>0</v>
      </c>
      <c r="C983" s="4">
        <f>SUMIF('Input Sheet'!B$3:B$1000,A983,'Input Sheet'!C$3:C$1000)</f>
        <v>0</v>
      </c>
      <c r="D983" s="4">
        <f>SUMIF('Input Sheet'!B$3:B$1000,A983,'Input Sheet'!D$3:D$1000)</f>
        <v>0</v>
      </c>
      <c r="E983" s="4" t="str">
        <f t="shared" ref="E983:F983" ca="1" si="1007">IFERROR(RANK(K983,K$6:K$1004,1),"")</f>
        <v/>
      </c>
      <c r="F983" s="4" t="str">
        <f t="shared" ca="1" si="1007"/>
        <v/>
      </c>
      <c r="G983" s="4" t="str">
        <f t="shared" ca="1" si="790"/>
        <v/>
      </c>
      <c r="H983" s="4" t="str">
        <f t="shared" si="791"/>
        <v/>
      </c>
      <c r="I983" s="4" t="str">
        <f t="shared" si="792"/>
        <v/>
      </c>
      <c r="J983" s="4" t="str">
        <f t="shared" si="793"/>
        <v/>
      </c>
      <c r="K983" s="25" t="str">
        <f t="shared" ca="1" si="794"/>
        <v/>
      </c>
      <c r="L983" s="21" t="str">
        <f t="shared" ca="1" si="795"/>
        <v/>
      </c>
      <c r="M983" s="21" t="str">
        <f>IF(SUMIFS('Input Sheet'!$F$3:$F$1001,'Input Sheet'!$B$3:$B$1001,$H983,'Input Sheet'!$E$3:$E$1001,M$4)=0,"",SUMIFS('Input Sheet'!$F$3:$F$1001,'Input Sheet'!$B$3:$B$1001,$H983,'Input Sheet'!$E$3:$E$1001,M$4))</f>
        <v/>
      </c>
      <c r="N983" s="21" t="str">
        <f>IF(SUMIFS('Input Sheet'!$F$3:$F$1001,'Input Sheet'!$B$3:$B$1001,$H983,'Input Sheet'!$E$3:$E$1001,N$4)=0,"",SUMIFS('Input Sheet'!$F$3:$F$1001,'Input Sheet'!$B$3:$B$1001,$H983,'Input Sheet'!$E$3:$E$1001,N$4))</f>
        <v/>
      </c>
      <c r="O983" s="21" t="str">
        <f>IF(SUMIFS('Input Sheet'!$F$3:$F$1001,'Input Sheet'!$B$3:$B$1001,$H983,'Input Sheet'!$E$3:$E$1001,O$4)=0,"",SUMIFS('Input Sheet'!$F$3:$F$1001,'Input Sheet'!$B$3:$B$1001,$H983,'Input Sheet'!$E$3:$E$1001,O$4))</f>
        <v/>
      </c>
      <c r="P983" s="21" t="str">
        <f>IF(SUMIFS('Input Sheet'!$F$3:$F$1001,'Input Sheet'!$B$3:$B$1001,$H983,'Input Sheet'!$E$3:$E$1001,P$4)=0,"",SUMIFS('Input Sheet'!$F$3:$F$1001,'Input Sheet'!$B$3:$B$1001,$H983,'Input Sheet'!$E$3:$E$1001,P$4))</f>
        <v/>
      </c>
      <c r="Q983" s="21" t="str">
        <f>IF(SUMIFS('Input Sheet'!$F$3:$F$1001,'Input Sheet'!$B$3:$B$1001,$H983,'Input Sheet'!$E$3:$E$1001,Q$4)=0,"",SUMIFS('Input Sheet'!$F$3:$F$1001,'Input Sheet'!$B$3:$B$1001,$H983,'Input Sheet'!$E$3:$E$1001,Q$4))</f>
        <v/>
      </c>
      <c r="R983" s="21" t="str">
        <f>IF(SUMIFS('Input Sheet'!$F$3:$F$1001,'Input Sheet'!$B$3:$B$1001,$H983,'Input Sheet'!$E$3:$E$1001,R$4)=0,"",SUMIFS('Input Sheet'!$F$3:$F$1001,'Input Sheet'!$B$3:$B$1001,$H983,'Input Sheet'!$E$3:$E$1001,R$4))</f>
        <v/>
      </c>
      <c r="S983" s="21" t="str">
        <f>IF(SUMIFS('Input Sheet'!$F$3:$F$1001,'Input Sheet'!$B$3:$B$1001,$H983,'Input Sheet'!$E$3:$E$1001,S$4)=0,"",SUMIFS('Input Sheet'!$F$3:$F$1001,'Input Sheet'!$B$3:$B$1001,$H983,'Input Sheet'!$E$3:$E$1001,S$4))</f>
        <v/>
      </c>
      <c r="T983" s="22">
        <v>978</v>
      </c>
    </row>
    <row r="984" spans="1:20" ht="14.25" customHeight="1" x14ac:dyDescent="0.3">
      <c r="A984" s="4" t="str">
        <f>IF('Input Sheet'!B981=0,"",'Input Sheet'!B981)</f>
        <v/>
      </c>
      <c r="B984" s="24" t="b">
        <f t="shared" si="788"/>
        <v>0</v>
      </c>
      <c r="C984" s="4">
        <f>SUMIF('Input Sheet'!B$3:B$1000,A984,'Input Sheet'!C$3:C$1000)</f>
        <v>0</v>
      </c>
      <c r="D984" s="4">
        <f>SUMIF('Input Sheet'!B$3:B$1000,A984,'Input Sheet'!D$3:D$1000)</f>
        <v>0</v>
      </c>
      <c r="E984" s="4" t="str">
        <f t="shared" ref="E984:F984" ca="1" si="1008">IFERROR(RANK(K984,K$6:K$1004,1),"")</f>
        <v/>
      </c>
      <c r="F984" s="4" t="str">
        <f t="shared" ca="1" si="1008"/>
        <v/>
      </c>
      <c r="G984" s="4" t="str">
        <f t="shared" ca="1" si="790"/>
        <v/>
      </c>
      <c r="H984" s="4" t="str">
        <f t="shared" si="791"/>
        <v/>
      </c>
      <c r="I984" s="4" t="str">
        <f t="shared" si="792"/>
        <v/>
      </c>
      <c r="J984" s="4" t="str">
        <f t="shared" si="793"/>
        <v/>
      </c>
      <c r="K984" s="25" t="str">
        <f t="shared" ca="1" si="794"/>
        <v/>
      </c>
      <c r="L984" s="21" t="str">
        <f t="shared" ca="1" si="795"/>
        <v/>
      </c>
      <c r="M984" s="21" t="str">
        <f>IF(SUMIFS('Input Sheet'!$F$3:$F$1001,'Input Sheet'!$B$3:$B$1001,$H984,'Input Sheet'!$E$3:$E$1001,M$4)=0,"",SUMIFS('Input Sheet'!$F$3:$F$1001,'Input Sheet'!$B$3:$B$1001,$H984,'Input Sheet'!$E$3:$E$1001,M$4))</f>
        <v/>
      </c>
      <c r="N984" s="21" t="str">
        <f>IF(SUMIFS('Input Sheet'!$F$3:$F$1001,'Input Sheet'!$B$3:$B$1001,$H984,'Input Sheet'!$E$3:$E$1001,N$4)=0,"",SUMIFS('Input Sheet'!$F$3:$F$1001,'Input Sheet'!$B$3:$B$1001,$H984,'Input Sheet'!$E$3:$E$1001,N$4))</f>
        <v/>
      </c>
      <c r="O984" s="21" t="str">
        <f>IF(SUMIFS('Input Sheet'!$F$3:$F$1001,'Input Sheet'!$B$3:$B$1001,$H984,'Input Sheet'!$E$3:$E$1001,O$4)=0,"",SUMIFS('Input Sheet'!$F$3:$F$1001,'Input Sheet'!$B$3:$B$1001,$H984,'Input Sheet'!$E$3:$E$1001,O$4))</f>
        <v/>
      </c>
      <c r="P984" s="21" t="str">
        <f>IF(SUMIFS('Input Sheet'!$F$3:$F$1001,'Input Sheet'!$B$3:$B$1001,$H984,'Input Sheet'!$E$3:$E$1001,P$4)=0,"",SUMIFS('Input Sheet'!$F$3:$F$1001,'Input Sheet'!$B$3:$B$1001,$H984,'Input Sheet'!$E$3:$E$1001,P$4))</f>
        <v/>
      </c>
      <c r="Q984" s="21" t="str">
        <f>IF(SUMIFS('Input Sheet'!$F$3:$F$1001,'Input Sheet'!$B$3:$B$1001,$H984,'Input Sheet'!$E$3:$E$1001,Q$4)=0,"",SUMIFS('Input Sheet'!$F$3:$F$1001,'Input Sheet'!$B$3:$B$1001,$H984,'Input Sheet'!$E$3:$E$1001,Q$4))</f>
        <v/>
      </c>
      <c r="R984" s="21" t="str">
        <f>IF(SUMIFS('Input Sheet'!$F$3:$F$1001,'Input Sheet'!$B$3:$B$1001,$H984,'Input Sheet'!$E$3:$E$1001,R$4)=0,"",SUMIFS('Input Sheet'!$F$3:$F$1001,'Input Sheet'!$B$3:$B$1001,$H984,'Input Sheet'!$E$3:$E$1001,R$4))</f>
        <v/>
      </c>
      <c r="S984" s="21" t="str">
        <f>IF(SUMIFS('Input Sheet'!$F$3:$F$1001,'Input Sheet'!$B$3:$B$1001,$H984,'Input Sheet'!$E$3:$E$1001,S$4)=0,"",SUMIFS('Input Sheet'!$F$3:$F$1001,'Input Sheet'!$B$3:$B$1001,$H984,'Input Sheet'!$E$3:$E$1001,S$4))</f>
        <v/>
      </c>
      <c r="T984" s="22">
        <v>979</v>
      </c>
    </row>
    <row r="985" spans="1:20" ht="14.25" customHeight="1" x14ac:dyDescent="0.3">
      <c r="A985" s="4" t="str">
        <f>IF('Input Sheet'!B982=0,"",'Input Sheet'!B982)</f>
        <v/>
      </c>
      <c r="B985" s="24" t="b">
        <f t="shared" si="788"/>
        <v>0</v>
      </c>
      <c r="C985" s="4">
        <f>SUMIF('Input Sheet'!B$3:B$1000,A985,'Input Sheet'!C$3:C$1000)</f>
        <v>0</v>
      </c>
      <c r="D985" s="4">
        <f>SUMIF('Input Sheet'!B$3:B$1000,A985,'Input Sheet'!D$3:D$1000)</f>
        <v>0</v>
      </c>
      <c r="E985" s="4" t="str">
        <f t="shared" ref="E985:F985" ca="1" si="1009">IFERROR(RANK(K985,K$6:K$1004,1),"")</f>
        <v/>
      </c>
      <c r="F985" s="4" t="str">
        <f t="shared" ca="1" si="1009"/>
        <v/>
      </c>
      <c r="G985" s="4" t="str">
        <f t="shared" ca="1" si="790"/>
        <v/>
      </c>
      <c r="H985" s="4" t="str">
        <f t="shared" si="791"/>
        <v/>
      </c>
      <c r="I985" s="4" t="str">
        <f t="shared" si="792"/>
        <v/>
      </c>
      <c r="J985" s="4" t="str">
        <f t="shared" si="793"/>
        <v/>
      </c>
      <c r="K985" s="25" t="str">
        <f t="shared" ca="1" si="794"/>
        <v/>
      </c>
      <c r="L985" s="21" t="str">
        <f t="shared" ca="1" si="795"/>
        <v/>
      </c>
      <c r="M985" s="21" t="str">
        <f>IF(SUMIFS('Input Sheet'!$F$3:$F$1001,'Input Sheet'!$B$3:$B$1001,$H985,'Input Sheet'!$E$3:$E$1001,M$4)=0,"",SUMIFS('Input Sheet'!$F$3:$F$1001,'Input Sheet'!$B$3:$B$1001,$H985,'Input Sheet'!$E$3:$E$1001,M$4))</f>
        <v/>
      </c>
      <c r="N985" s="21" t="str">
        <f>IF(SUMIFS('Input Sheet'!$F$3:$F$1001,'Input Sheet'!$B$3:$B$1001,$H985,'Input Sheet'!$E$3:$E$1001,N$4)=0,"",SUMIFS('Input Sheet'!$F$3:$F$1001,'Input Sheet'!$B$3:$B$1001,$H985,'Input Sheet'!$E$3:$E$1001,N$4))</f>
        <v/>
      </c>
      <c r="O985" s="21" t="str">
        <f>IF(SUMIFS('Input Sheet'!$F$3:$F$1001,'Input Sheet'!$B$3:$B$1001,$H985,'Input Sheet'!$E$3:$E$1001,O$4)=0,"",SUMIFS('Input Sheet'!$F$3:$F$1001,'Input Sheet'!$B$3:$B$1001,$H985,'Input Sheet'!$E$3:$E$1001,O$4))</f>
        <v/>
      </c>
      <c r="P985" s="21" t="str">
        <f>IF(SUMIFS('Input Sheet'!$F$3:$F$1001,'Input Sheet'!$B$3:$B$1001,$H985,'Input Sheet'!$E$3:$E$1001,P$4)=0,"",SUMIFS('Input Sheet'!$F$3:$F$1001,'Input Sheet'!$B$3:$B$1001,$H985,'Input Sheet'!$E$3:$E$1001,P$4))</f>
        <v/>
      </c>
      <c r="Q985" s="21" t="str">
        <f>IF(SUMIFS('Input Sheet'!$F$3:$F$1001,'Input Sheet'!$B$3:$B$1001,$H985,'Input Sheet'!$E$3:$E$1001,Q$4)=0,"",SUMIFS('Input Sheet'!$F$3:$F$1001,'Input Sheet'!$B$3:$B$1001,$H985,'Input Sheet'!$E$3:$E$1001,Q$4))</f>
        <v/>
      </c>
      <c r="R985" s="21" t="str">
        <f>IF(SUMIFS('Input Sheet'!$F$3:$F$1001,'Input Sheet'!$B$3:$B$1001,$H985,'Input Sheet'!$E$3:$E$1001,R$4)=0,"",SUMIFS('Input Sheet'!$F$3:$F$1001,'Input Sheet'!$B$3:$B$1001,$H985,'Input Sheet'!$E$3:$E$1001,R$4))</f>
        <v/>
      </c>
      <c r="S985" s="21" t="str">
        <f>IF(SUMIFS('Input Sheet'!$F$3:$F$1001,'Input Sheet'!$B$3:$B$1001,$H985,'Input Sheet'!$E$3:$E$1001,S$4)=0,"",SUMIFS('Input Sheet'!$F$3:$F$1001,'Input Sheet'!$B$3:$B$1001,$H985,'Input Sheet'!$E$3:$E$1001,S$4))</f>
        <v/>
      </c>
      <c r="T985" s="22">
        <v>980</v>
      </c>
    </row>
    <row r="986" spans="1:20" ht="14.25" customHeight="1" x14ac:dyDescent="0.3">
      <c r="A986" s="4" t="str">
        <f>IF('Input Sheet'!B983=0,"",'Input Sheet'!B983)</f>
        <v/>
      </c>
      <c r="B986" s="24" t="b">
        <f t="shared" si="788"/>
        <v>0</v>
      </c>
      <c r="C986" s="4">
        <f>SUMIF('Input Sheet'!B$3:B$1000,A986,'Input Sheet'!C$3:C$1000)</f>
        <v>0</v>
      </c>
      <c r="D986" s="4">
        <f>SUMIF('Input Sheet'!B$3:B$1000,A986,'Input Sheet'!D$3:D$1000)</f>
        <v>0</v>
      </c>
      <c r="E986" s="4" t="str">
        <f t="shared" ref="E986:F986" ca="1" si="1010">IFERROR(RANK(K986,K$6:K$1004,1),"")</f>
        <v/>
      </c>
      <c r="F986" s="4" t="str">
        <f t="shared" ca="1" si="1010"/>
        <v/>
      </c>
      <c r="G986" s="4" t="str">
        <f t="shared" ca="1" si="790"/>
        <v/>
      </c>
      <c r="H986" s="4" t="str">
        <f t="shared" si="791"/>
        <v/>
      </c>
      <c r="I986" s="4" t="str">
        <f t="shared" si="792"/>
        <v/>
      </c>
      <c r="J986" s="4" t="str">
        <f t="shared" si="793"/>
        <v/>
      </c>
      <c r="K986" s="25" t="str">
        <f t="shared" ca="1" si="794"/>
        <v/>
      </c>
      <c r="L986" s="21" t="str">
        <f t="shared" ca="1" si="795"/>
        <v/>
      </c>
      <c r="M986" s="21" t="str">
        <f>IF(SUMIFS('Input Sheet'!$F$3:$F$1001,'Input Sheet'!$B$3:$B$1001,$H986,'Input Sheet'!$E$3:$E$1001,M$4)=0,"",SUMIFS('Input Sheet'!$F$3:$F$1001,'Input Sheet'!$B$3:$B$1001,$H986,'Input Sheet'!$E$3:$E$1001,M$4))</f>
        <v/>
      </c>
      <c r="N986" s="21" t="str">
        <f>IF(SUMIFS('Input Sheet'!$F$3:$F$1001,'Input Sheet'!$B$3:$B$1001,$H986,'Input Sheet'!$E$3:$E$1001,N$4)=0,"",SUMIFS('Input Sheet'!$F$3:$F$1001,'Input Sheet'!$B$3:$B$1001,$H986,'Input Sheet'!$E$3:$E$1001,N$4))</f>
        <v/>
      </c>
      <c r="O986" s="21" t="str">
        <f>IF(SUMIFS('Input Sheet'!$F$3:$F$1001,'Input Sheet'!$B$3:$B$1001,$H986,'Input Sheet'!$E$3:$E$1001,O$4)=0,"",SUMIFS('Input Sheet'!$F$3:$F$1001,'Input Sheet'!$B$3:$B$1001,$H986,'Input Sheet'!$E$3:$E$1001,O$4))</f>
        <v/>
      </c>
      <c r="P986" s="21" t="str">
        <f>IF(SUMIFS('Input Sheet'!$F$3:$F$1001,'Input Sheet'!$B$3:$B$1001,$H986,'Input Sheet'!$E$3:$E$1001,P$4)=0,"",SUMIFS('Input Sheet'!$F$3:$F$1001,'Input Sheet'!$B$3:$B$1001,$H986,'Input Sheet'!$E$3:$E$1001,P$4))</f>
        <v/>
      </c>
      <c r="Q986" s="21" t="str">
        <f>IF(SUMIFS('Input Sheet'!$F$3:$F$1001,'Input Sheet'!$B$3:$B$1001,$H986,'Input Sheet'!$E$3:$E$1001,Q$4)=0,"",SUMIFS('Input Sheet'!$F$3:$F$1001,'Input Sheet'!$B$3:$B$1001,$H986,'Input Sheet'!$E$3:$E$1001,Q$4))</f>
        <v/>
      </c>
      <c r="R986" s="21" t="str">
        <f>IF(SUMIFS('Input Sheet'!$F$3:$F$1001,'Input Sheet'!$B$3:$B$1001,$H986,'Input Sheet'!$E$3:$E$1001,R$4)=0,"",SUMIFS('Input Sheet'!$F$3:$F$1001,'Input Sheet'!$B$3:$B$1001,$H986,'Input Sheet'!$E$3:$E$1001,R$4))</f>
        <v/>
      </c>
      <c r="S986" s="21" t="str">
        <f>IF(SUMIFS('Input Sheet'!$F$3:$F$1001,'Input Sheet'!$B$3:$B$1001,$H986,'Input Sheet'!$E$3:$E$1001,S$4)=0,"",SUMIFS('Input Sheet'!$F$3:$F$1001,'Input Sheet'!$B$3:$B$1001,$H986,'Input Sheet'!$E$3:$E$1001,S$4))</f>
        <v/>
      </c>
      <c r="T986" s="22">
        <v>981</v>
      </c>
    </row>
    <row r="987" spans="1:20" ht="14.25" customHeight="1" x14ac:dyDescent="0.3">
      <c r="A987" s="4" t="str">
        <f>IF('Input Sheet'!B984=0,"",'Input Sheet'!B984)</f>
        <v/>
      </c>
      <c r="B987" s="24" t="b">
        <f t="shared" si="788"/>
        <v>0</v>
      </c>
      <c r="C987" s="4">
        <f>SUMIF('Input Sheet'!B$3:B$1000,A987,'Input Sheet'!C$3:C$1000)</f>
        <v>0</v>
      </c>
      <c r="D987" s="4">
        <f>SUMIF('Input Sheet'!B$3:B$1000,A987,'Input Sheet'!D$3:D$1000)</f>
        <v>0</v>
      </c>
      <c r="E987" s="4" t="str">
        <f t="shared" ref="E987:F987" ca="1" si="1011">IFERROR(RANK(K987,K$6:K$1004,1),"")</f>
        <v/>
      </c>
      <c r="F987" s="4" t="str">
        <f t="shared" ca="1" si="1011"/>
        <v/>
      </c>
      <c r="G987" s="4" t="str">
        <f t="shared" ca="1" si="790"/>
        <v/>
      </c>
      <c r="H987" s="4" t="str">
        <f t="shared" si="791"/>
        <v/>
      </c>
      <c r="I987" s="4" t="str">
        <f t="shared" si="792"/>
        <v/>
      </c>
      <c r="J987" s="4" t="str">
        <f t="shared" si="793"/>
        <v/>
      </c>
      <c r="K987" s="25" t="str">
        <f t="shared" ca="1" si="794"/>
        <v/>
      </c>
      <c r="L987" s="21" t="str">
        <f t="shared" ca="1" si="795"/>
        <v/>
      </c>
      <c r="M987" s="21" t="str">
        <f>IF(SUMIFS('Input Sheet'!$F$3:$F$1001,'Input Sheet'!$B$3:$B$1001,$H987,'Input Sheet'!$E$3:$E$1001,M$4)=0,"",SUMIFS('Input Sheet'!$F$3:$F$1001,'Input Sheet'!$B$3:$B$1001,$H987,'Input Sheet'!$E$3:$E$1001,M$4))</f>
        <v/>
      </c>
      <c r="N987" s="21" t="str">
        <f>IF(SUMIFS('Input Sheet'!$F$3:$F$1001,'Input Sheet'!$B$3:$B$1001,$H987,'Input Sheet'!$E$3:$E$1001,N$4)=0,"",SUMIFS('Input Sheet'!$F$3:$F$1001,'Input Sheet'!$B$3:$B$1001,$H987,'Input Sheet'!$E$3:$E$1001,N$4))</f>
        <v/>
      </c>
      <c r="O987" s="21" t="str">
        <f>IF(SUMIFS('Input Sheet'!$F$3:$F$1001,'Input Sheet'!$B$3:$B$1001,$H987,'Input Sheet'!$E$3:$E$1001,O$4)=0,"",SUMIFS('Input Sheet'!$F$3:$F$1001,'Input Sheet'!$B$3:$B$1001,$H987,'Input Sheet'!$E$3:$E$1001,O$4))</f>
        <v/>
      </c>
      <c r="P987" s="21" t="str">
        <f>IF(SUMIFS('Input Sheet'!$F$3:$F$1001,'Input Sheet'!$B$3:$B$1001,$H987,'Input Sheet'!$E$3:$E$1001,P$4)=0,"",SUMIFS('Input Sheet'!$F$3:$F$1001,'Input Sheet'!$B$3:$B$1001,$H987,'Input Sheet'!$E$3:$E$1001,P$4))</f>
        <v/>
      </c>
      <c r="Q987" s="21" t="str">
        <f>IF(SUMIFS('Input Sheet'!$F$3:$F$1001,'Input Sheet'!$B$3:$B$1001,$H987,'Input Sheet'!$E$3:$E$1001,Q$4)=0,"",SUMIFS('Input Sheet'!$F$3:$F$1001,'Input Sheet'!$B$3:$B$1001,$H987,'Input Sheet'!$E$3:$E$1001,Q$4))</f>
        <v/>
      </c>
      <c r="R987" s="21" t="str">
        <f>IF(SUMIFS('Input Sheet'!$F$3:$F$1001,'Input Sheet'!$B$3:$B$1001,$H987,'Input Sheet'!$E$3:$E$1001,R$4)=0,"",SUMIFS('Input Sheet'!$F$3:$F$1001,'Input Sheet'!$B$3:$B$1001,$H987,'Input Sheet'!$E$3:$E$1001,R$4))</f>
        <v/>
      </c>
      <c r="S987" s="21" t="str">
        <f>IF(SUMIFS('Input Sheet'!$F$3:$F$1001,'Input Sheet'!$B$3:$B$1001,$H987,'Input Sheet'!$E$3:$E$1001,S$4)=0,"",SUMIFS('Input Sheet'!$F$3:$F$1001,'Input Sheet'!$B$3:$B$1001,$H987,'Input Sheet'!$E$3:$E$1001,S$4))</f>
        <v/>
      </c>
      <c r="T987" s="22">
        <v>982</v>
      </c>
    </row>
    <row r="988" spans="1:20" ht="14.25" customHeight="1" x14ac:dyDescent="0.3">
      <c r="A988" s="4" t="str">
        <f>IF('Input Sheet'!B985=0,"",'Input Sheet'!B985)</f>
        <v/>
      </c>
      <c r="B988" s="24" t="b">
        <f t="shared" si="788"/>
        <v>0</v>
      </c>
      <c r="C988" s="4">
        <f>SUMIF('Input Sheet'!B$3:B$1000,A988,'Input Sheet'!C$3:C$1000)</f>
        <v>0</v>
      </c>
      <c r="D988" s="4">
        <f>SUMIF('Input Sheet'!B$3:B$1000,A988,'Input Sheet'!D$3:D$1000)</f>
        <v>0</v>
      </c>
      <c r="E988" s="4" t="str">
        <f t="shared" ref="E988:F988" ca="1" si="1012">IFERROR(RANK(K988,K$6:K$1004,1),"")</f>
        <v/>
      </c>
      <c r="F988" s="4" t="str">
        <f t="shared" ca="1" si="1012"/>
        <v/>
      </c>
      <c r="G988" s="4" t="str">
        <f t="shared" ca="1" si="790"/>
        <v/>
      </c>
      <c r="H988" s="4" t="str">
        <f t="shared" si="791"/>
        <v/>
      </c>
      <c r="I988" s="4" t="str">
        <f t="shared" si="792"/>
        <v/>
      </c>
      <c r="J988" s="4" t="str">
        <f t="shared" si="793"/>
        <v/>
      </c>
      <c r="K988" s="25" t="str">
        <f t="shared" ca="1" si="794"/>
        <v/>
      </c>
      <c r="L988" s="21" t="str">
        <f t="shared" ca="1" si="795"/>
        <v/>
      </c>
      <c r="M988" s="21" t="str">
        <f>IF(SUMIFS('Input Sheet'!$F$3:$F$1001,'Input Sheet'!$B$3:$B$1001,$H988,'Input Sheet'!$E$3:$E$1001,M$4)=0,"",SUMIFS('Input Sheet'!$F$3:$F$1001,'Input Sheet'!$B$3:$B$1001,$H988,'Input Sheet'!$E$3:$E$1001,M$4))</f>
        <v/>
      </c>
      <c r="N988" s="21" t="str">
        <f>IF(SUMIFS('Input Sheet'!$F$3:$F$1001,'Input Sheet'!$B$3:$B$1001,$H988,'Input Sheet'!$E$3:$E$1001,N$4)=0,"",SUMIFS('Input Sheet'!$F$3:$F$1001,'Input Sheet'!$B$3:$B$1001,$H988,'Input Sheet'!$E$3:$E$1001,N$4))</f>
        <v/>
      </c>
      <c r="O988" s="21" t="str">
        <f>IF(SUMIFS('Input Sheet'!$F$3:$F$1001,'Input Sheet'!$B$3:$B$1001,$H988,'Input Sheet'!$E$3:$E$1001,O$4)=0,"",SUMIFS('Input Sheet'!$F$3:$F$1001,'Input Sheet'!$B$3:$B$1001,$H988,'Input Sheet'!$E$3:$E$1001,O$4))</f>
        <v/>
      </c>
      <c r="P988" s="21" t="str">
        <f>IF(SUMIFS('Input Sheet'!$F$3:$F$1001,'Input Sheet'!$B$3:$B$1001,$H988,'Input Sheet'!$E$3:$E$1001,P$4)=0,"",SUMIFS('Input Sheet'!$F$3:$F$1001,'Input Sheet'!$B$3:$B$1001,$H988,'Input Sheet'!$E$3:$E$1001,P$4))</f>
        <v/>
      </c>
      <c r="Q988" s="21" t="str">
        <f>IF(SUMIFS('Input Sheet'!$F$3:$F$1001,'Input Sheet'!$B$3:$B$1001,$H988,'Input Sheet'!$E$3:$E$1001,Q$4)=0,"",SUMIFS('Input Sheet'!$F$3:$F$1001,'Input Sheet'!$B$3:$B$1001,$H988,'Input Sheet'!$E$3:$E$1001,Q$4))</f>
        <v/>
      </c>
      <c r="R988" s="21" t="str">
        <f>IF(SUMIFS('Input Sheet'!$F$3:$F$1001,'Input Sheet'!$B$3:$B$1001,$H988,'Input Sheet'!$E$3:$E$1001,R$4)=0,"",SUMIFS('Input Sheet'!$F$3:$F$1001,'Input Sheet'!$B$3:$B$1001,$H988,'Input Sheet'!$E$3:$E$1001,R$4))</f>
        <v/>
      </c>
      <c r="S988" s="21" t="str">
        <f>IF(SUMIFS('Input Sheet'!$F$3:$F$1001,'Input Sheet'!$B$3:$B$1001,$H988,'Input Sheet'!$E$3:$E$1001,S$4)=0,"",SUMIFS('Input Sheet'!$F$3:$F$1001,'Input Sheet'!$B$3:$B$1001,$H988,'Input Sheet'!$E$3:$E$1001,S$4))</f>
        <v/>
      </c>
      <c r="T988" s="22">
        <v>983</v>
      </c>
    </row>
    <row r="989" spans="1:20" ht="14.25" customHeight="1" x14ac:dyDescent="0.3">
      <c r="A989" s="4" t="str">
        <f>IF('Input Sheet'!B986=0,"",'Input Sheet'!B986)</f>
        <v/>
      </c>
      <c r="B989" s="24" t="b">
        <f t="shared" si="788"/>
        <v>0</v>
      </c>
      <c r="C989" s="4">
        <f>SUMIF('Input Sheet'!B$3:B$1000,A989,'Input Sheet'!C$3:C$1000)</f>
        <v>0</v>
      </c>
      <c r="D989" s="4">
        <f>SUMIF('Input Sheet'!B$3:B$1000,A989,'Input Sheet'!D$3:D$1000)</f>
        <v>0</v>
      </c>
      <c r="E989" s="4" t="str">
        <f t="shared" ref="E989:F989" ca="1" si="1013">IFERROR(RANK(K989,K$6:K$1004,1),"")</f>
        <v/>
      </c>
      <c r="F989" s="4" t="str">
        <f t="shared" ca="1" si="1013"/>
        <v/>
      </c>
      <c r="G989" s="4" t="str">
        <f t="shared" ca="1" si="790"/>
        <v/>
      </c>
      <c r="H989" s="4" t="str">
        <f t="shared" si="791"/>
        <v/>
      </c>
      <c r="I989" s="4" t="str">
        <f t="shared" si="792"/>
        <v/>
      </c>
      <c r="J989" s="4" t="str">
        <f t="shared" si="793"/>
        <v/>
      </c>
      <c r="K989" s="25" t="str">
        <f t="shared" ca="1" si="794"/>
        <v/>
      </c>
      <c r="L989" s="21" t="str">
        <f t="shared" ca="1" si="795"/>
        <v/>
      </c>
      <c r="M989" s="21" t="str">
        <f>IF(SUMIFS('Input Sheet'!$F$3:$F$1001,'Input Sheet'!$B$3:$B$1001,$H989,'Input Sheet'!$E$3:$E$1001,M$4)=0,"",SUMIFS('Input Sheet'!$F$3:$F$1001,'Input Sheet'!$B$3:$B$1001,$H989,'Input Sheet'!$E$3:$E$1001,M$4))</f>
        <v/>
      </c>
      <c r="N989" s="21" t="str">
        <f>IF(SUMIFS('Input Sheet'!$F$3:$F$1001,'Input Sheet'!$B$3:$B$1001,$H989,'Input Sheet'!$E$3:$E$1001,N$4)=0,"",SUMIFS('Input Sheet'!$F$3:$F$1001,'Input Sheet'!$B$3:$B$1001,$H989,'Input Sheet'!$E$3:$E$1001,N$4))</f>
        <v/>
      </c>
      <c r="O989" s="21" t="str">
        <f>IF(SUMIFS('Input Sheet'!$F$3:$F$1001,'Input Sheet'!$B$3:$B$1001,$H989,'Input Sheet'!$E$3:$E$1001,O$4)=0,"",SUMIFS('Input Sheet'!$F$3:$F$1001,'Input Sheet'!$B$3:$B$1001,$H989,'Input Sheet'!$E$3:$E$1001,O$4))</f>
        <v/>
      </c>
      <c r="P989" s="21" t="str">
        <f>IF(SUMIFS('Input Sheet'!$F$3:$F$1001,'Input Sheet'!$B$3:$B$1001,$H989,'Input Sheet'!$E$3:$E$1001,P$4)=0,"",SUMIFS('Input Sheet'!$F$3:$F$1001,'Input Sheet'!$B$3:$B$1001,$H989,'Input Sheet'!$E$3:$E$1001,P$4))</f>
        <v/>
      </c>
      <c r="Q989" s="21" t="str">
        <f>IF(SUMIFS('Input Sheet'!$F$3:$F$1001,'Input Sheet'!$B$3:$B$1001,$H989,'Input Sheet'!$E$3:$E$1001,Q$4)=0,"",SUMIFS('Input Sheet'!$F$3:$F$1001,'Input Sheet'!$B$3:$B$1001,$H989,'Input Sheet'!$E$3:$E$1001,Q$4))</f>
        <v/>
      </c>
      <c r="R989" s="21" t="str">
        <f>IF(SUMIFS('Input Sheet'!$F$3:$F$1001,'Input Sheet'!$B$3:$B$1001,$H989,'Input Sheet'!$E$3:$E$1001,R$4)=0,"",SUMIFS('Input Sheet'!$F$3:$F$1001,'Input Sheet'!$B$3:$B$1001,$H989,'Input Sheet'!$E$3:$E$1001,R$4))</f>
        <v/>
      </c>
      <c r="S989" s="21" t="str">
        <f>IF(SUMIFS('Input Sheet'!$F$3:$F$1001,'Input Sheet'!$B$3:$B$1001,$H989,'Input Sheet'!$E$3:$E$1001,S$4)=0,"",SUMIFS('Input Sheet'!$F$3:$F$1001,'Input Sheet'!$B$3:$B$1001,$H989,'Input Sheet'!$E$3:$E$1001,S$4))</f>
        <v/>
      </c>
      <c r="T989" s="22">
        <v>984</v>
      </c>
    </row>
    <row r="990" spans="1:20" ht="14.25" customHeight="1" x14ac:dyDescent="0.3">
      <c r="A990" s="4" t="str">
        <f>IF('Input Sheet'!B987=0,"",'Input Sheet'!B987)</f>
        <v/>
      </c>
      <c r="B990" s="24" t="b">
        <f t="shared" si="788"/>
        <v>0</v>
      </c>
      <c r="C990" s="4">
        <f>SUMIF('Input Sheet'!B$3:B$1000,A990,'Input Sheet'!C$3:C$1000)</f>
        <v>0</v>
      </c>
      <c r="D990" s="4">
        <f>SUMIF('Input Sheet'!B$3:B$1000,A990,'Input Sheet'!D$3:D$1000)</f>
        <v>0</v>
      </c>
      <c r="E990" s="4" t="str">
        <f t="shared" ref="E990:F990" ca="1" si="1014">IFERROR(RANK(K990,K$6:K$1004,1),"")</f>
        <v/>
      </c>
      <c r="F990" s="4" t="str">
        <f t="shared" ca="1" si="1014"/>
        <v/>
      </c>
      <c r="G990" s="4" t="str">
        <f t="shared" ca="1" si="790"/>
        <v/>
      </c>
      <c r="H990" s="4" t="str">
        <f t="shared" si="791"/>
        <v/>
      </c>
      <c r="I990" s="4" t="str">
        <f t="shared" si="792"/>
        <v/>
      </c>
      <c r="J990" s="4" t="str">
        <f t="shared" si="793"/>
        <v/>
      </c>
      <c r="K990" s="25" t="str">
        <f t="shared" ca="1" si="794"/>
        <v/>
      </c>
      <c r="L990" s="21" t="str">
        <f t="shared" ca="1" si="795"/>
        <v/>
      </c>
      <c r="M990" s="21" t="str">
        <f>IF(SUMIFS('Input Sheet'!$F$3:$F$1001,'Input Sheet'!$B$3:$B$1001,$H990,'Input Sheet'!$E$3:$E$1001,M$4)=0,"",SUMIFS('Input Sheet'!$F$3:$F$1001,'Input Sheet'!$B$3:$B$1001,$H990,'Input Sheet'!$E$3:$E$1001,M$4))</f>
        <v/>
      </c>
      <c r="N990" s="21" t="str">
        <f>IF(SUMIFS('Input Sheet'!$F$3:$F$1001,'Input Sheet'!$B$3:$B$1001,$H990,'Input Sheet'!$E$3:$E$1001,N$4)=0,"",SUMIFS('Input Sheet'!$F$3:$F$1001,'Input Sheet'!$B$3:$B$1001,$H990,'Input Sheet'!$E$3:$E$1001,N$4))</f>
        <v/>
      </c>
      <c r="O990" s="21" t="str">
        <f>IF(SUMIFS('Input Sheet'!$F$3:$F$1001,'Input Sheet'!$B$3:$B$1001,$H990,'Input Sheet'!$E$3:$E$1001,O$4)=0,"",SUMIFS('Input Sheet'!$F$3:$F$1001,'Input Sheet'!$B$3:$B$1001,$H990,'Input Sheet'!$E$3:$E$1001,O$4))</f>
        <v/>
      </c>
      <c r="P990" s="21" t="str">
        <f>IF(SUMIFS('Input Sheet'!$F$3:$F$1001,'Input Sheet'!$B$3:$B$1001,$H990,'Input Sheet'!$E$3:$E$1001,P$4)=0,"",SUMIFS('Input Sheet'!$F$3:$F$1001,'Input Sheet'!$B$3:$B$1001,$H990,'Input Sheet'!$E$3:$E$1001,P$4))</f>
        <v/>
      </c>
      <c r="Q990" s="21" t="str">
        <f>IF(SUMIFS('Input Sheet'!$F$3:$F$1001,'Input Sheet'!$B$3:$B$1001,$H990,'Input Sheet'!$E$3:$E$1001,Q$4)=0,"",SUMIFS('Input Sheet'!$F$3:$F$1001,'Input Sheet'!$B$3:$B$1001,$H990,'Input Sheet'!$E$3:$E$1001,Q$4))</f>
        <v/>
      </c>
      <c r="R990" s="21" t="str">
        <f>IF(SUMIFS('Input Sheet'!$F$3:$F$1001,'Input Sheet'!$B$3:$B$1001,$H990,'Input Sheet'!$E$3:$E$1001,R$4)=0,"",SUMIFS('Input Sheet'!$F$3:$F$1001,'Input Sheet'!$B$3:$B$1001,$H990,'Input Sheet'!$E$3:$E$1001,R$4))</f>
        <v/>
      </c>
      <c r="S990" s="21" t="str">
        <f>IF(SUMIFS('Input Sheet'!$F$3:$F$1001,'Input Sheet'!$B$3:$B$1001,$H990,'Input Sheet'!$E$3:$E$1001,S$4)=0,"",SUMIFS('Input Sheet'!$F$3:$F$1001,'Input Sheet'!$B$3:$B$1001,$H990,'Input Sheet'!$E$3:$E$1001,S$4))</f>
        <v/>
      </c>
      <c r="T990" s="22">
        <v>985</v>
      </c>
    </row>
    <row r="991" spans="1:20" ht="14.25" customHeight="1" x14ac:dyDescent="0.3">
      <c r="A991" s="4" t="str">
        <f>IF('Input Sheet'!B988=0,"",'Input Sheet'!B988)</f>
        <v/>
      </c>
      <c r="B991" s="24" t="b">
        <f t="shared" si="788"/>
        <v>0</v>
      </c>
      <c r="C991" s="4">
        <f>SUMIF('Input Sheet'!B$3:B$1000,A991,'Input Sheet'!C$3:C$1000)</f>
        <v>0</v>
      </c>
      <c r="D991" s="4">
        <f>SUMIF('Input Sheet'!B$3:B$1000,A991,'Input Sheet'!D$3:D$1000)</f>
        <v>0</v>
      </c>
      <c r="E991" s="4" t="str">
        <f t="shared" ref="E991:F991" ca="1" si="1015">IFERROR(RANK(K991,K$6:K$1004,1),"")</f>
        <v/>
      </c>
      <c r="F991" s="4" t="str">
        <f t="shared" ca="1" si="1015"/>
        <v/>
      </c>
      <c r="G991" s="4" t="str">
        <f t="shared" ca="1" si="790"/>
        <v/>
      </c>
      <c r="H991" s="4" t="str">
        <f t="shared" si="791"/>
        <v/>
      </c>
      <c r="I991" s="4" t="str">
        <f t="shared" si="792"/>
        <v/>
      </c>
      <c r="J991" s="4" t="str">
        <f t="shared" si="793"/>
        <v/>
      </c>
      <c r="K991" s="25" t="str">
        <f t="shared" ca="1" si="794"/>
        <v/>
      </c>
      <c r="L991" s="21" t="str">
        <f t="shared" ca="1" si="795"/>
        <v/>
      </c>
      <c r="M991" s="21" t="str">
        <f>IF(SUMIFS('Input Sheet'!$F$3:$F$1001,'Input Sheet'!$B$3:$B$1001,$H991,'Input Sheet'!$E$3:$E$1001,M$4)=0,"",SUMIFS('Input Sheet'!$F$3:$F$1001,'Input Sheet'!$B$3:$B$1001,$H991,'Input Sheet'!$E$3:$E$1001,M$4))</f>
        <v/>
      </c>
      <c r="N991" s="21" t="str">
        <f>IF(SUMIFS('Input Sheet'!$F$3:$F$1001,'Input Sheet'!$B$3:$B$1001,$H991,'Input Sheet'!$E$3:$E$1001,N$4)=0,"",SUMIFS('Input Sheet'!$F$3:$F$1001,'Input Sheet'!$B$3:$B$1001,$H991,'Input Sheet'!$E$3:$E$1001,N$4))</f>
        <v/>
      </c>
      <c r="O991" s="21" t="str">
        <f>IF(SUMIFS('Input Sheet'!$F$3:$F$1001,'Input Sheet'!$B$3:$B$1001,$H991,'Input Sheet'!$E$3:$E$1001,O$4)=0,"",SUMIFS('Input Sheet'!$F$3:$F$1001,'Input Sheet'!$B$3:$B$1001,$H991,'Input Sheet'!$E$3:$E$1001,O$4))</f>
        <v/>
      </c>
      <c r="P991" s="21" t="str">
        <f>IF(SUMIFS('Input Sheet'!$F$3:$F$1001,'Input Sheet'!$B$3:$B$1001,$H991,'Input Sheet'!$E$3:$E$1001,P$4)=0,"",SUMIFS('Input Sheet'!$F$3:$F$1001,'Input Sheet'!$B$3:$B$1001,$H991,'Input Sheet'!$E$3:$E$1001,P$4))</f>
        <v/>
      </c>
      <c r="Q991" s="21" t="str">
        <f>IF(SUMIFS('Input Sheet'!$F$3:$F$1001,'Input Sheet'!$B$3:$B$1001,$H991,'Input Sheet'!$E$3:$E$1001,Q$4)=0,"",SUMIFS('Input Sheet'!$F$3:$F$1001,'Input Sheet'!$B$3:$B$1001,$H991,'Input Sheet'!$E$3:$E$1001,Q$4))</f>
        <v/>
      </c>
      <c r="R991" s="21" t="str">
        <f>IF(SUMIFS('Input Sheet'!$F$3:$F$1001,'Input Sheet'!$B$3:$B$1001,$H991,'Input Sheet'!$E$3:$E$1001,R$4)=0,"",SUMIFS('Input Sheet'!$F$3:$F$1001,'Input Sheet'!$B$3:$B$1001,$H991,'Input Sheet'!$E$3:$E$1001,R$4))</f>
        <v/>
      </c>
      <c r="S991" s="21" t="str">
        <f>IF(SUMIFS('Input Sheet'!$F$3:$F$1001,'Input Sheet'!$B$3:$B$1001,$H991,'Input Sheet'!$E$3:$E$1001,S$4)=0,"",SUMIFS('Input Sheet'!$F$3:$F$1001,'Input Sheet'!$B$3:$B$1001,$H991,'Input Sheet'!$E$3:$E$1001,S$4))</f>
        <v/>
      </c>
      <c r="T991" s="22">
        <v>986</v>
      </c>
    </row>
    <row r="992" spans="1:20" ht="14.25" customHeight="1" x14ac:dyDescent="0.3">
      <c r="A992" s="4" t="str">
        <f>IF('Input Sheet'!B989=0,"",'Input Sheet'!B989)</f>
        <v/>
      </c>
      <c r="B992" s="24" t="b">
        <f t="shared" si="788"/>
        <v>0</v>
      </c>
      <c r="C992" s="4">
        <f>SUMIF('Input Sheet'!B$3:B$1000,A992,'Input Sheet'!C$3:C$1000)</f>
        <v>0</v>
      </c>
      <c r="D992" s="4">
        <f>SUMIF('Input Sheet'!B$3:B$1000,A992,'Input Sheet'!D$3:D$1000)</f>
        <v>0</v>
      </c>
      <c r="E992" s="4" t="str">
        <f t="shared" ref="E992:F992" ca="1" si="1016">IFERROR(RANK(K992,K$6:K$1004,1),"")</f>
        <v/>
      </c>
      <c r="F992" s="4" t="str">
        <f t="shared" ca="1" si="1016"/>
        <v/>
      </c>
      <c r="G992" s="4" t="str">
        <f t="shared" ca="1" si="790"/>
        <v/>
      </c>
      <c r="H992" s="4" t="str">
        <f t="shared" si="791"/>
        <v/>
      </c>
      <c r="I992" s="4" t="str">
        <f t="shared" si="792"/>
        <v/>
      </c>
      <c r="J992" s="4" t="str">
        <f t="shared" si="793"/>
        <v/>
      </c>
      <c r="K992" s="25" t="str">
        <f t="shared" ca="1" si="794"/>
        <v/>
      </c>
      <c r="L992" s="21" t="str">
        <f t="shared" ca="1" si="795"/>
        <v/>
      </c>
      <c r="M992" s="21" t="str">
        <f>IF(SUMIFS('Input Sheet'!$F$3:$F$1001,'Input Sheet'!$B$3:$B$1001,$H992,'Input Sheet'!$E$3:$E$1001,M$4)=0,"",SUMIFS('Input Sheet'!$F$3:$F$1001,'Input Sheet'!$B$3:$B$1001,$H992,'Input Sheet'!$E$3:$E$1001,M$4))</f>
        <v/>
      </c>
      <c r="N992" s="21" t="str">
        <f>IF(SUMIFS('Input Sheet'!$F$3:$F$1001,'Input Sheet'!$B$3:$B$1001,$H992,'Input Sheet'!$E$3:$E$1001,N$4)=0,"",SUMIFS('Input Sheet'!$F$3:$F$1001,'Input Sheet'!$B$3:$B$1001,$H992,'Input Sheet'!$E$3:$E$1001,N$4))</f>
        <v/>
      </c>
      <c r="O992" s="21" t="str">
        <f>IF(SUMIFS('Input Sheet'!$F$3:$F$1001,'Input Sheet'!$B$3:$B$1001,$H992,'Input Sheet'!$E$3:$E$1001,O$4)=0,"",SUMIFS('Input Sheet'!$F$3:$F$1001,'Input Sheet'!$B$3:$B$1001,$H992,'Input Sheet'!$E$3:$E$1001,O$4))</f>
        <v/>
      </c>
      <c r="P992" s="21" t="str">
        <f>IF(SUMIFS('Input Sheet'!$F$3:$F$1001,'Input Sheet'!$B$3:$B$1001,$H992,'Input Sheet'!$E$3:$E$1001,P$4)=0,"",SUMIFS('Input Sheet'!$F$3:$F$1001,'Input Sheet'!$B$3:$B$1001,$H992,'Input Sheet'!$E$3:$E$1001,P$4))</f>
        <v/>
      </c>
      <c r="Q992" s="21" t="str">
        <f>IF(SUMIFS('Input Sheet'!$F$3:$F$1001,'Input Sheet'!$B$3:$B$1001,$H992,'Input Sheet'!$E$3:$E$1001,Q$4)=0,"",SUMIFS('Input Sheet'!$F$3:$F$1001,'Input Sheet'!$B$3:$B$1001,$H992,'Input Sheet'!$E$3:$E$1001,Q$4))</f>
        <v/>
      </c>
      <c r="R992" s="21" t="str">
        <f>IF(SUMIFS('Input Sheet'!$F$3:$F$1001,'Input Sheet'!$B$3:$B$1001,$H992,'Input Sheet'!$E$3:$E$1001,R$4)=0,"",SUMIFS('Input Sheet'!$F$3:$F$1001,'Input Sheet'!$B$3:$B$1001,$H992,'Input Sheet'!$E$3:$E$1001,R$4))</f>
        <v/>
      </c>
      <c r="S992" s="21" t="str">
        <f>IF(SUMIFS('Input Sheet'!$F$3:$F$1001,'Input Sheet'!$B$3:$B$1001,$H992,'Input Sheet'!$E$3:$E$1001,S$4)=0,"",SUMIFS('Input Sheet'!$F$3:$F$1001,'Input Sheet'!$B$3:$B$1001,$H992,'Input Sheet'!$E$3:$E$1001,S$4))</f>
        <v/>
      </c>
      <c r="T992" s="22">
        <v>987</v>
      </c>
    </row>
    <row r="993" spans="1:20" ht="14.25" customHeight="1" x14ac:dyDescent="0.3">
      <c r="A993" s="4" t="str">
        <f>IF('Input Sheet'!B990=0,"",'Input Sheet'!B990)</f>
        <v/>
      </c>
      <c r="B993" s="24" t="b">
        <f t="shared" si="788"/>
        <v>0</v>
      </c>
      <c r="C993" s="4">
        <f>SUMIF('Input Sheet'!B$3:B$1000,A993,'Input Sheet'!C$3:C$1000)</f>
        <v>0</v>
      </c>
      <c r="D993" s="4">
        <f>SUMIF('Input Sheet'!B$3:B$1000,A993,'Input Sheet'!D$3:D$1000)</f>
        <v>0</v>
      </c>
      <c r="E993" s="4" t="str">
        <f t="shared" ref="E993:F993" ca="1" si="1017">IFERROR(RANK(K993,K$6:K$1004,1),"")</f>
        <v/>
      </c>
      <c r="F993" s="4" t="str">
        <f t="shared" ca="1" si="1017"/>
        <v/>
      </c>
      <c r="G993" s="4" t="str">
        <f t="shared" ca="1" si="790"/>
        <v/>
      </c>
      <c r="H993" s="4" t="str">
        <f t="shared" si="791"/>
        <v/>
      </c>
      <c r="I993" s="4" t="str">
        <f t="shared" si="792"/>
        <v/>
      </c>
      <c r="J993" s="4" t="str">
        <f t="shared" si="793"/>
        <v/>
      </c>
      <c r="K993" s="25" t="str">
        <f t="shared" ca="1" si="794"/>
        <v/>
      </c>
      <c r="L993" s="21" t="str">
        <f t="shared" ca="1" si="795"/>
        <v/>
      </c>
      <c r="M993" s="21" t="str">
        <f>IF(SUMIFS('Input Sheet'!$F$3:$F$1001,'Input Sheet'!$B$3:$B$1001,$H993,'Input Sheet'!$E$3:$E$1001,M$4)=0,"",SUMIFS('Input Sheet'!$F$3:$F$1001,'Input Sheet'!$B$3:$B$1001,$H993,'Input Sheet'!$E$3:$E$1001,M$4))</f>
        <v/>
      </c>
      <c r="N993" s="21" t="str">
        <f>IF(SUMIFS('Input Sheet'!$F$3:$F$1001,'Input Sheet'!$B$3:$B$1001,$H993,'Input Sheet'!$E$3:$E$1001,N$4)=0,"",SUMIFS('Input Sheet'!$F$3:$F$1001,'Input Sheet'!$B$3:$B$1001,$H993,'Input Sheet'!$E$3:$E$1001,N$4))</f>
        <v/>
      </c>
      <c r="O993" s="21" t="str">
        <f>IF(SUMIFS('Input Sheet'!$F$3:$F$1001,'Input Sheet'!$B$3:$B$1001,$H993,'Input Sheet'!$E$3:$E$1001,O$4)=0,"",SUMIFS('Input Sheet'!$F$3:$F$1001,'Input Sheet'!$B$3:$B$1001,$H993,'Input Sheet'!$E$3:$E$1001,O$4))</f>
        <v/>
      </c>
      <c r="P993" s="21" t="str">
        <f>IF(SUMIFS('Input Sheet'!$F$3:$F$1001,'Input Sheet'!$B$3:$B$1001,$H993,'Input Sheet'!$E$3:$E$1001,P$4)=0,"",SUMIFS('Input Sheet'!$F$3:$F$1001,'Input Sheet'!$B$3:$B$1001,$H993,'Input Sheet'!$E$3:$E$1001,P$4))</f>
        <v/>
      </c>
      <c r="Q993" s="21" t="str">
        <f>IF(SUMIFS('Input Sheet'!$F$3:$F$1001,'Input Sheet'!$B$3:$B$1001,$H993,'Input Sheet'!$E$3:$E$1001,Q$4)=0,"",SUMIFS('Input Sheet'!$F$3:$F$1001,'Input Sheet'!$B$3:$B$1001,$H993,'Input Sheet'!$E$3:$E$1001,Q$4))</f>
        <v/>
      </c>
      <c r="R993" s="21" t="str">
        <f>IF(SUMIFS('Input Sheet'!$F$3:$F$1001,'Input Sheet'!$B$3:$B$1001,$H993,'Input Sheet'!$E$3:$E$1001,R$4)=0,"",SUMIFS('Input Sheet'!$F$3:$F$1001,'Input Sheet'!$B$3:$B$1001,$H993,'Input Sheet'!$E$3:$E$1001,R$4))</f>
        <v/>
      </c>
      <c r="S993" s="21" t="str">
        <f>IF(SUMIFS('Input Sheet'!$F$3:$F$1001,'Input Sheet'!$B$3:$B$1001,$H993,'Input Sheet'!$E$3:$E$1001,S$4)=0,"",SUMIFS('Input Sheet'!$F$3:$F$1001,'Input Sheet'!$B$3:$B$1001,$H993,'Input Sheet'!$E$3:$E$1001,S$4))</f>
        <v/>
      </c>
      <c r="T993" s="22">
        <v>988</v>
      </c>
    </row>
    <row r="994" spans="1:20" ht="14.25" customHeight="1" x14ac:dyDescent="0.3">
      <c r="A994" s="4" t="str">
        <f>IF('Input Sheet'!B991=0,"",'Input Sheet'!B991)</f>
        <v/>
      </c>
      <c r="B994" s="24" t="b">
        <f t="shared" si="788"/>
        <v>0</v>
      </c>
      <c r="C994" s="4">
        <f>SUMIF('Input Sheet'!B$3:B$1000,A994,'Input Sheet'!C$3:C$1000)</f>
        <v>0</v>
      </c>
      <c r="D994" s="4">
        <f>SUMIF('Input Sheet'!B$3:B$1000,A994,'Input Sheet'!D$3:D$1000)</f>
        <v>0</v>
      </c>
      <c r="E994" s="4" t="str">
        <f t="shared" ref="E994:F994" ca="1" si="1018">IFERROR(RANK(K994,K$6:K$1004,1),"")</f>
        <v/>
      </c>
      <c r="F994" s="4" t="str">
        <f t="shared" ca="1" si="1018"/>
        <v/>
      </c>
      <c r="G994" s="4" t="str">
        <f t="shared" ca="1" si="790"/>
        <v/>
      </c>
      <c r="H994" s="4" t="str">
        <f t="shared" si="791"/>
        <v/>
      </c>
      <c r="I994" s="4" t="str">
        <f t="shared" si="792"/>
        <v/>
      </c>
      <c r="J994" s="4" t="str">
        <f t="shared" si="793"/>
        <v/>
      </c>
      <c r="K994" s="25" t="str">
        <f t="shared" ca="1" si="794"/>
        <v/>
      </c>
      <c r="L994" s="21" t="str">
        <f t="shared" ca="1" si="795"/>
        <v/>
      </c>
      <c r="M994" s="21" t="str">
        <f>IF(SUMIFS('Input Sheet'!$F$3:$F$1001,'Input Sheet'!$B$3:$B$1001,$H994,'Input Sheet'!$E$3:$E$1001,M$4)=0,"",SUMIFS('Input Sheet'!$F$3:$F$1001,'Input Sheet'!$B$3:$B$1001,$H994,'Input Sheet'!$E$3:$E$1001,M$4))</f>
        <v/>
      </c>
      <c r="N994" s="21" t="str">
        <f>IF(SUMIFS('Input Sheet'!$F$3:$F$1001,'Input Sheet'!$B$3:$B$1001,$H994,'Input Sheet'!$E$3:$E$1001,N$4)=0,"",SUMIFS('Input Sheet'!$F$3:$F$1001,'Input Sheet'!$B$3:$B$1001,$H994,'Input Sheet'!$E$3:$E$1001,N$4))</f>
        <v/>
      </c>
      <c r="O994" s="21" t="str">
        <f>IF(SUMIFS('Input Sheet'!$F$3:$F$1001,'Input Sheet'!$B$3:$B$1001,$H994,'Input Sheet'!$E$3:$E$1001,O$4)=0,"",SUMIFS('Input Sheet'!$F$3:$F$1001,'Input Sheet'!$B$3:$B$1001,$H994,'Input Sheet'!$E$3:$E$1001,O$4))</f>
        <v/>
      </c>
      <c r="P994" s="21" t="str">
        <f>IF(SUMIFS('Input Sheet'!$F$3:$F$1001,'Input Sheet'!$B$3:$B$1001,$H994,'Input Sheet'!$E$3:$E$1001,P$4)=0,"",SUMIFS('Input Sheet'!$F$3:$F$1001,'Input Sheet'!$B$3:$B$1001,$H994,'Input Sheet'!$E$3:$E$1001,P$4))</f>
        <v/>
      </c>
      <c r="Q994" s="21" t="str">
        <f>IF(SUMIFS('Input Sheet'!$F$3:$F$1001,'Input Sheet'!$B$3:$B$1001,$H994,'Input Sheet'!$E$3:$E$1001,Q$4)=0,"",SUMIFS('Input Sheet'!$F$3:$F$1001,'Input Sheet'!$B$3:$B$1001,$H994,'Input Sheet'!$E$3:$E$1001,Q$4))</f>
        <v/>
      </c>
      <c r="R994" s="21" t="str">
        <f>IF(SUMIFS('Input Sheet'!$F$3:$F$1001,'Input Sheet'!$B$3:$B$1001,$H994,'Input Sheet'!$E$3:$E$1001,R$4)=0,"",SUMIFS('Input Sheet'!$F$3:$F$1001,'Input Sheet'!$B$3:$B$1001,$H994,'Input Sheet'!$E$3:$E$1001,R$4))</f>
        <v/>
      </c>
      <c r="S994" s="21" t="str">
        <f>IF(SUMIFS('Input Sheet'!$F$3:$F$1001,'Input Sheet'!$B$3:$B$1001,$H994,'Input Sheet'!$E$3:$E$1001,S$4)=0,"",SUMIFS('Input Sheet'!$F$3:$F$1001,'Input Sheet'!$B$3:$B$1001,$H994,'Input Sheet'!$E$3:$E$1001,S$4))</f>
        <v/>
      </c>
      <c r="T994" s="22">
        <v>989</v>
      </c>
    </row>
    <row r="995" spans="1:20" ht="14.25" customHeight="1" x14ac:dyDescent="0.3">
      <c r="A995" s="4" t="str">
        <f>IF('Input Sheet'!B992=0,"",'Input Sheet'!B992)</f>
        <v/>
      </c>
      <c r="B995" s="24" t="b">
        <f t="shared" si="788"/>
        <v>0</v>
      </c>
      <c r="C995" s="4">
        <f>SUMIF('Input Sheet'!B$3:B$1000,A995,'Input Sheet'!C$3:C$1000)</f>
        <v>0</v>
      </c>
      <c r="D995" s="4">
        <f>SUMIF('Input Sheet'!B$3:B$1000,A995,'Input Sheet'!D$3:D$1000)</f>
        <v>0</v>
      </c>
      <c r="E995" s="4" t="str">
        <f t="shared" ref="E995:F995" ca="1" si="1019">IFERROR(RANK(K995,K$6:K$1004,1),"")</f>
        <v/>
      </c>
      <c r="F995" s="4" t="str">
        <f t="shared" ca="1" si="1019"/>
        <v/>
      </c>
      <c r="G995" s="4" t="str">
        <f t="shared" ca="1" si="790"/>
        <v/>
      </c>
      <c r="H995" s="4" t="str">
        <f t="shared" si="791"/>
        <v/>
      </c>
      <c r="I995" s="4" t="str">
        <f t="shared" si="792"/>
        <v/>
      </c>
      <c r="J995" s="4" t="str">
        <f t="shared" si="793"/>
        <v/>
      </c>
      <c r="K995" s="25" t="str">
        <f t="shared" ca="1" si="794"/>
        <v/>
      </c>
      <c r="L995" s="21" t="str">
        <f t="shared" ca="1" si="795"/>
        <v/>
      </c>
      <c r="M995" s="21" t="str">
        <f>IF(SUMIFS('Input Sheet'!$F$3:$F$1001,'Input Sheet'!$B$3:$B$1001,$H995,'Input Sheet'!$E$3:$E$1001,M$4)=0,"",SUMIFS('Input Sheet'!$F$3:$F$1001,'Input Sheet'!$B$3:$B$1001,$H995,'Input Sheet'!$E$3:$E$1001,M$4))</f>
        <v/>
      </c>
      <c r="N995" s="21" t="str">
        <f>IF(SUMIFS('Input Sheet'!$F$3:$F$1001,'Input Sheet'!$B$3:$B$1001,$H995,'Input Sheet'!$E$3:$E$1001,N$4)=0,"",SUMIFS('Input Sheet'!$F$3:$F$1001,'Input Sheet'!$B$3:$B$1001,$H995,'Input Sheet'!$E$3:$E$1001,N$4))</f>
        <v/>
      </c>
      <c r="O995" s="21" t="str">
        <f>IF(SUMIFS('Input Sheet'!$F$3:$F$1001,'Input Sheet'!$B$3:$B$1001,$H995,'Input Sheet'!$E$3:$E$1001,O$4)=0,"",SUMIFS('Input Sheet'!$F$3:$F$1001,'Input Sheet'!$B$3:$B$1001,$H995,'Input Sheet'!$E$3:$E$1001,O$4))</f>
        <v/>
      </c>
      <c r="P995" s="21" t="str">
        <f>IF(SUMIFS('Input Sheet'!$F$3:$F$1001,'Input Sheet'!$B$3:$B$1001,$H995,'Input Sheet'!$E$3:$E$1001,P$4)=0,"",SUMIFS('Input Sheet'!$F$3:$F$1001,'Input Sheet'!$B$3:$B$1001,$H995,'Input Sheet'!$E$3:$E$1001,P$4))</f>
        <v/>
      </c>
      <c r="Q995" s="21" t="str">
        <f>IF(SUMIFS('Input Sheet'!$F$3:$F$1001,'Input Sheet'!$B$3:$B$1001,$H995,'Input Sheet'!$E$3:$E$1001,Q$4)=0,"",SUMIFS('Input Sheet'!$F$3:$F$1001,'Input Sheet'!$B$3:$B$1001,$H995,'Input Sheet'!$E$3:$E$1001,Q$4))</f>
        <v/>
      </c>
      <c r="R995" s="21" t="str">
        <f>IF(SUMIFS('Input Sheet'!$F$3:$F$1001,'Input Sheet'!$B$3:$B$1001,$H995,'Input Sheet'!$E$3:$E$1001,R$4)=0,"",SUMIFS('Input Sheet'!$F$3:$F$1001,'Input Sheet'!$B$3:$B$1001,$H995,'Input Sheet'!$E$3:$E$1001,R$4))</f>
        <v/>
      </c>
      <c r="S995" s="21" t="str">
        <f>IF(SUMIFS('Input Sheet'!$F$3:$F$1001,'Input Sheet'!$B$3:$B$1001,$H995,'Input Sheet'!$E$3:$E$1001,S$4)=0,"",SUMIFS('Input Sheet'!$F$3:$F$1001,'Input Sheet'!$B$3:$B$1001,$H995,'Input Sheet'!$E$3:$E$1001,S$4))</f>
        <v/>
      </c>
      <c r="T995" s="22">
        <v>990</v>
      </c>
    </row>
    <row r="996" spans="1:20" ht="14.25" customHeight="1" x14ac:dyDescent="0.3">
      <c r="A996" s="4" t="str">
        <f>IF('Input Sheet'!B993=0,"",'Input Sheet'!B993)</f>
        <v/>
      </c>
      <c r="B996" s="24" t="b">
        <f t="shared" si="788"/>
        <v>0</v>
      </c>
      <c r="C996" s="4">
        <f>SUMIF('Input Sheet'!B$3:B$1000,A996,'Input Sheet'!C$3:C$1000)</f>
        <v>0</v>
      </c>
      <c r="D996" s="4">
        <f>SUMIF('Input Sheet'!B$3:B$1000,A996,'Input Sheet'!D$3:D$1000)</f>
        <v>0</v>
      </c>
      <c r="E996" s="4" t="str">
        <f t="shared" ref="E996:F996" ca="1" si="1020">IFERROR(RANK(K996,K$6:K$1004,1),"")</f>
        <v/>
      </c>
      <c r="F996" s="4" t="str">
        <f t="shared" ca="1" si="1020"/>
        <v/>
      </c>
      <c r="G996" s="4" t="str">
        <f t="shared" ca="1" si="790"/>
        <v/>
      </c>
      <c r="H996" s="4" t="str">
        <f t="shared" si="791"/>
        <v/>
      </c>
      <c r="I996" s="4" t="str">
        <f t="shared" si="792"/>
        <v/>
      </c>
      <c r="J996" s="4" t="str">
        <f t="shared" si="793"/>
        <v/>
      </c>
      <c r="K996" s="25" t="str">
        <f t="shared" ca="1" si="794"/>
        <v/>
      </c>
      <c r="L996" s="21" t="str">
        <f t="shared" ca="1" si="795"/>
        <v/>
      </c>
      <c r="M996" s="21" t="str">
        <f>IF(SUMIFS('Input Sheet'!$F$3:$F$1001,'Input Sheet'!$B$3:$B$1001,$H996,'Input Sheet'!$E$3:$E$1001,M$4)=0,"",SUMIFS('Input Sheet'!$F$3:$F$1001,'Input Sheet'!$B$3:$B$1001,$H996,'Input Sheet'!$E$3:$E$1001,M$4))</f>
        <v/>
      </c>
      <c r="N996" s="21" t="str">
        <f>IF(SUMIFS('Input Sheet'!$F$3:$F$1001,'Input Sheet'!$B$3:$B$1001,$H996,'Input Sheet'!$E$3:$E$1001,N$4)=0,"",SUMIFS('Input Sheet'!$F$3:$F$1001,'Input Sheet'!$B$3:$B$1001,$H996,'Input Sheet'!$E$3:$E$1001,N$4))</f>
        <v/>
      </c>
      <c r="O996" s="21" t="str">
        <f>IF(SUMIFS('Input Sheet'!$F$3:$F$1001,'Input Sheet'!$B$3:$B$1001,$H996,'Input Sheet'!$E$3:$E$1001,O$4)=0,"",SUMIFS('Input Sheet'!$F$3:$F$1001,'Input Sheet'!$B$3:$B$1001,$H996,'Input Sheet'!$E$3:$E$1001,O$4))</f>
        <v/>
      </c>
      <c r="P996" s="21" t="str">
        <f>IF(SUMIFS('Input Sheet'!$F$3:$F$1001,'Input Sheet'!$B$3:$B$1001,$H996,'Input Sheet'!$E$3:$E$1001,P$4)=0,"",SUMIFS('Input Sheet'!$F$3:$F$1001,'Input Sheet'!$B$3:$B$1001,$H996,'Input Sheet'!$E$3:$E$1001,P$4))</f>
        <v/>
      </c>
      <c r="Q996" s="21" t="str">
        <f>IF(SUMIFS('Input Sheet'!$F$3:$F$1001,'Input Sheet'!$B$3:$B$1001,$H996,'Input Sheet'!$E$3:$E$1001,Q$4)=0,"",SUMIFS('Input Sheet'!$F$3:$F$1001,'Input Sheet'!$B$3:$B$1001,$H996,'Input Sheet'!$E$3:$E$1001,Q$4))</f>
        <v/>
      </c>
      <c r="R996" s="21" t="str">
        <f>IF(SUMIFS('Input Sheet'!$F$3:$F$1001,'Input Sheet'!$B$3:$B$1001,$H996,'Input Sheet'!$E$3:$E$1001,R$4)=0,"",SUMIFS('Input Sheet'!$F$3:$F$1001,'Input Sheet'!$B$3:$B$1001,$H996,'Input Sheet'!$E$3:$E$1001,R$4))</f>
        <v/>
      </c>
      <c r="S996" s="21" t="str">
        <f>IF(SUMIFS('Input Sheet'!$F$3:$F$1001,'Input Sheet'!$B$3:$B$1001,$H996,'Input Sheet'!$E$3:$E$1001,S$4)=0,"",SUMIFS('Input Sheet'!$F$3:$F$1001,'Input Sheet'!$B$3:$B$1001,$H996,'Input Sheet'!$E$3:$E$1001,S$4))</f>
        <v/>
      </c>
      <c r="T996" s="22">
        <v>991</v>
      </c>
    </row>
    <row r="997" spans="1:20" ht="14.25" customHeight="1" x14ac:dyDescent="0.3">
      <c r="A997" s="4" t="str">
        <f>IF('Input Sheet'!B994=0,"",'Input Sheet'!B994)</f>
        <v/>
      </c>
      <c r="B997" s="24" t="b">
        <f t="shared" si="788"/>
        <v>0</v>
      </c>
      <c r="C997" s="4">
        <f>SUMIF('Input Sheet'!B$3:B$1000,A997,'Input Sheet'!C$3:C$1000)</f>
        <v>0</v>
      </c>
      <c r="D997" s="4">
        <f>SUMIF('Input Sheet'!B$3:B$1000,A997,'Input Sheet'!D$3:D$1000)</f>
        <v>0</v>
      </c>
      <c r="E997" s="4" t="str">
        <f t="shared" ref="E997:F997" ca="1" si="1021">IFERROR(RANK(K997,K$6:K$1004,1),"")</f>
        <v/>
      </c>
      <c r="F997" s="4" t="str">
        <f t="shared" ca="1" si="1021"/>
        <v/>
      </c>
      <c r="G997" s="4" t="str">
        <f t="shared" ca="1" si="790"/>
        <v/>
      </c>
      <c r="H997" s="4" t="str">
        <f t="shared" si="791"/>
        <v/>
      </c>
      <c r="I997" s="4" t="str">
        <f t="shared" si="792"/>
        <v/>
      </c>
      <c r="J997" s="4" t="str">
        <f t="shared" si="793"/>
        <v/>
      </c>
      <c r="K997" s="25" t="str">
        <f t="shared" ca="1" si="794"/>
        <v/>
      </c>
      <c r="L997" s="21" t="str">
        <f t="shared" ca="1" si="795"/>
        <v/>
      </c>
      <c r="M997" s="21" t="str">
        <f>IF(SUMIFS('Input Sheet'!$F$3:$F$1001,'Input Sheet'!$B$3:$B$1001,$H997,'Input Sheet'!$E$3:$E$1001,M$4)=0,"",SUMIFS('Input Sheet'!$F$3:$F$1001,'Input Sheet'!$B$3:$B$1001,$H997,'Input Sheet'!$E$3:$E$1001,M$4))</f>
        <v/>
      </c>
      <c r="N997" s="21" t="str">
        <f>IF(SUMIFS('Input Sheet'!$F$3:$F$1001,'Input Sheet'!$B$3:$B$1001,$H997,'Input Sheet'!$E$3:$E$1001,N$4)=0,"",SUMIFS('Input Sheet'!$F$3:$F$1001,'Input Sheet'!$B$3:$B$1001,$H997,'Input Sheet'!$E$3:$E$1001,N$4))</f>
        <v/>
      </c>
      <c r="O997" s="21" t="str">
        <f>IF(SUMIFS('Input Sheet'!$F$3:$F$1001,'Input Sheet'!$B$3:$B$1001,$H997,'Input Sheet'!$E$3:$E$1001,O$4)=0,"",SUMIFS('Input Sheet'!$F$3:$F$1001,'Input Sheet'!$B$3:$B$1001,$H997,'Input Sheet'!$E$3:$E$1001,O$4))</f>
        <v/>
      </c>
      <c r="P997" s="21" t="str">
        <f>IF(SUMIFS('Input Sheet'!$F$3:$F$1001,'Input Sheet'!$B$3:$B$1001,$H997,'Input Sheet'!$E$3:$E$1001,P$4)=0,"",SUMIFS('Input Sheet'!$F$3:$F$1001,'Input Sheet'!$B$3:$B$1001,$H997,'Input Sheet'!$E$3:$E$1001,P$4))</f>
        <v/>
      </c>
      <c r="Q997" s="21" t="str">
        <f>IF(SUMIFS('Input Sheet'!$F$3:$F$1001,'Input Sheet'!$B$3:$B$1001,$H997,'Input Sheet'!$E$3:$E$1001,Q$4)=0,"",SUMIFS('Input Sheet'!$F$3:$F$1001,'Input Sheet'!$B$3:$B$1001,$H997,'Input Sheet'!$E$3:$E$1001,Q$4))</f>
        <v/>
      </c>
      <c r="R997" s="21" t="str">
        <f>IF(SUMIFS('Input Sheet'!$F$3:$F$1001,'Input Sheet'!$B$3:$B$1001,$H997,'Input Sheet'!$E$3:$E$1001,R$4)=0,"",SUMIFS('Input Sheet'!$F$3:$F$1001,'Input Sheet'!$B$3:$B$1001,$H997,'Input Sheet'!$E$3:$E$1001,R$4))</f>
        <v/>
      </c>
      <c r="S997" s="21" t="str">
        <f>IF(SUMIFS('Input Sheet'!$F$3:$F$1001,'Input Sheet'!$B$3:$B$1001,$H997,'Input Sheet'!$E$3:$E$1001,S$4)=0,"",SUMIFS('Input Sheet'!$F$3:$F$1001,'Input Sheet'!$B$3:$B$1001,$H997,'Input Sheet'!$E$3:$E$1001,S$4))</f>
        <v/>
      </c>
      <c r="T997" s="22">
        <v>992</v>
      </c>
    </row>
    <row r="998" spans="1:20" ht="14.25" customHeight="1" x14ac:dyDescent="0.3">
      <c r="A998" s="4" t="str">
        <f>IF('Input Sheet'!B995=0,"",'Input Sheet'!B995)</f>
        <v/>
      </c>
      <c r="B998" s="24" t="b">
        <f t="shared" si="788"/>
        <v>0</v>
      </c>
      <c r="C998" s="4">
        <f>SUMIF('Input Sheet'!B$3:B$1000,A998,'Input Sheet'!C$3:C$1000)</f>
        <v>0</v>
      </c>
      <c r="D998" s="4">
        <f>SUMIF('Input Sheet'!B$3:B$1000,A998,'Input Sheet'!D$3:D$1000)</f>
        <v>0</v>
      </c>
      <c r="E998" s="4" t="str">
        <f t="shared" ref="E998:F998" ca="1" si="1022">IFERROR(RANK(K998,K$6:K$1004,1),"")</f>
        <v/>
      </c>
      <c r="F998" s="4" t="str">
        <f t="shared" ca="1" si="1022"/>
        <v/>
      </c>
      <c r="G998" s="4" t="str">
        <f t="shared" ca="1" si="790"/>
        <v/>
      </c>
      <c r="H998" s="4" t="str">
        <f t="shared" si="791"/>
        <v/>
      </c>
      <c r="I998" s="4" t="str">
        <f t="shared" si="792"/>
        <v/>
      </c>
      <c r="J998" s="4" t="str">
        <f t="shared" si="793"/>
        <v/>
      </c>
      <c r="K998" s="25" t="str">
        <f t="shared" ca="1" si="794"/>
        <v/>
      </c>
      <c r="L998" s="21" t="str">
        <f t="shared" ca="1" si="795"/>
        <v/>
      </c>
      <c r="M998" s="21" t="str">
        <f>IF(SUMIFS('Input Sheet'!$F$3:$F$1001,'Input Sheet'!$B$3:$B$1001,$H998,'Input Sheet'!$E$3:$E$1001,M$4)=0,"",SUMIFS('Input Sheet'!$F$3:$F$1001,'Input Sheet'!$B$3:$B$1001,$H998,'Input Sheet'!$E$3:$E$1001,M$4))</f>
        <v/>
      </c>
      <c r="N998" s="21" t="str">
        <f>IF(SUMIFS('Input Sheet'!$F$3:$F$1001,'Input Sheet'!$B$3:$B$1001,$H998,'Input Sheet'!$E$3:$E$1001,N$4)=0,"",SUMIFS('Input Sheet'!$F$3:$F$1001,'Input Sheet'!$B$3:$B$1001,$H998,'Input Sheet'!$E$3:$E$1001,N$4))</f>
        <v/>
      </c>
      <c r="O998" s="21" t="str">
        <f>IF(SUMIFS('Input Sheet'!$F$3:$F$1001,'Input Sheet'!$B$3:$B$1001,$H998,'Input Sheet'!$E$3:$E$1001,O$4)=0,"",SUMIFS('Input Sheet'!$F$3:$F$1001,'Input Sheet'!$B$3:$B$1001,$H998,'Input Sheet'!$E$3:$E$1001,O$4))</f>
        <v/>
      </c>
      <c r="P998" s="21" t="str">
        <f>IF(SUMIFS('Input Sheet'!$F$3:$F$1001,'Input Sheet'!$B$3:$B$1001,$H998,'Input Sheet'!$E$3:$E$1001,P$4)=0,"",SUMIFS('Input Sheet'!$F$3:$F$1001,'Input Sheet'!$B$3:$B$1001,$H998,'Input Sheet'!$E$3:$E$1001,P$4))</f>
        <v/>
      </c>
      <c r="Q998" s="21" t="str">
        <f>IF(SUMIFS('Input Sheet'!$F$3:$F$1001,'Input Sheet'!$B$3:$B$1001,$H998,'Input Sheet'!$E$3:$E$1001,Q$4)=0,"",SUMIFS('Input Sheet'!$F$3:$F$1001,'Input Sheet'!$B$3:$B$1001,$H998,'Input Sheet'!$E$3:$E$1001,Q$4))</f>
        <v/>
      </c>
      <c r="R998" s="21" t="str">
        <f>IF(SUMIFS('Input Sheet'!$F$3:$F$1001,'Input Sheet'!$B$3:$B$1001,$H998,'Input Sheet'!$E$3:$E$1001,R$4)=0,"",SUMIFS('Input Sheet'!$F$3:$F$1001,'Input Sheet'!$B$3:$B$1001,$H998,'Input Sheet'!$E$3:$E$1001,R$4))</f>
        <v/>
      </c>
      <c r="S998" s="21" t="str">
        <f>IF(SUMIFS('Input Sheet'!$F$3:$F$1001,'Input Sheet'!$B$3:$B$1001,$H998,'Input Sheet'!$E$3:$E$1001,S$4)=0,"",SUMIFS('Input Sheet'!$F$3:$F$1001,'Input Sheet'!$B$3:$B$1001,$H998,'Input Sheet'!$E$3:$E$1001,S$4))</f>
        <v/>
      </c>
      <c r="T998" s="22">
        <v>993</v>
      </c>
    </row>
    <row r="999" spans="1:20" ht="14.25" customHeight="1" x14ac:dyDescent="0.3">
      <c r="A999" s="4" t="str">
        <f>IF('Input Sheet'!B996=0,"",'Input Sheet'!B996)</f>
        <v/>
      </c>
      <c r="B999" s="24" t="b">
        <f t="shared" si="788"/>
        <v>0</v>
      </c>
      <c r="C999" s="4">
        <f>SUMIF('Input Sheet'!B$3:B$1000,A999,'Input Sheet'!C$3:C$1000)</f>
        <v>0</v>
      </c>
      <c r="D999" s="4">
        <f>SUMIF('Input Sheet'!B$3:B$1000,A999,'Input Sheet'!D$3:D$1000)</f>
        <v>0</v>
      </c>
      <c r="E999" s="4" t="str">
        <f t="shared" ref="E999:F999" ca="1" si="1023">IFERROR(RANK(K999,K$6:K$1004,1),"")</f>
        <v/>
      </c>
      <c r="F999" s="4" t="str">
        <f t="shared" ca="1" si="1023"/>
        <v/>
      </c>
      <c r="G999" s="4" t="str">
        <f t="shared" ca="1" si="790"/>
        <v/>
      </c>
      <c r="H999" s="4" t="str">
        <f t="shared" si="791"/>
        <v/>
      </c>
      <c r="I999" s="4" t="str">
        <f t="shared" si="792"/>
        <v/>
      </c>
      <c r="J999" s="4" t="str">
        <f t="shared" si="793"/>
        <v/>
      </c>
      <c r="K999" s="25" t="str">
        <f t="shared" ca="1" si="794"/>
        <v/>
      </c>
      <c r="L999" s="21" t="str">
        <f t="shared" ca="1" si="795"/>
        <v/>
      </c>
      <c r="M999" s="21" t="str">
        <f>IF(SUMIFS('Input Sheet'!$F$3:$F$1001,'Input Sheet'!$B$3:$B$1001,$H999,'Input Sheet'!$E$3:$E$1001,M$4)=0,"",SUMIFS('Input Sheet'!$F$3:$F$1001,'Input Sheet'!$B$3:$B$1001,$H999,'Input Sheet'!$E$3:$E$1001,M$4))</f>
        <v/>
      </c>
      <c r="N999" s="21" t="str">
        <f>IF(SUMIFS('Input Sheet'!$F$3:$F$1001,'Input Sheet'!$B$3:$B$1001,$H999,'Input Sheet'!$E$3:$E$1001,N$4)=0,"",SUMIFS('Input Sheet'!$F$3:$F$1001,'Input Sheet'!$B$3:$B$1001,$H999,'Input Sheet'!$E$3:$E$1001,N$4))</f>
        <v/>
      </c>
      <c r="O999" s="21" t="str">
        <f>IF(SUMIFS('Input Sheet'!$F$3:$F$1001,'Input Sheet'!$B$3:$B$1001,$H999,'Input Sheet'!$E$3:$E$1001,O$4)=0,"",SUMIFS('Input Sheet'!$F$3:$F$1001,'Input Sheet'!$B$3:$B$1001,$H999,'Input Sheet'!$E$3:$E$1001,O$4))</f>
        <v/>
      </c>
      <c r="P999" s="21" t="str">
        <f>IF(SUMIFS('Input Sheet'!$F$3:$F$1001,'Input Sheet'!$B$3:$B$1001,$H999,'Input Sheet'!$E$3:$E$1001,P$4)=0,"",SUMIFS('Input Sheet'!$F$3:$F$1001,'Input Sheet'!$B$3:$B$1001,$H999,'Input Sheet'!$E$3:$E$1001,P$4))</f>
        <v/>
      </c>
      <c r="Q999" s="21" t="str">
        <f>IF(SUMIFS('Input Sheet'!$F$3:$F$1001,'Input Sheet'!$B$3:$B$1001,$H999,'Input Sheet'!$E$3:$E$1001,Q$4)=0,"",SUMIFS('Input Sheet'!$F$3:$F$1001,'Input Sheet'!$B$3:$B$1001,$H999,'Input Sheet'!$E$3:$E$1001,Q$4))</f>
        <v/>
      </c>
      <c r="R999" s="21" t="str">
        <f>IF(SUMIFS('Input Sheet'!$F$3:$F$1001,'Input Sheet'!$B$3:$B$1001,$H999,'Input Sheet'!$E$3:$E$1001,R$4)=0,"",SUMIFS('Input Sheet'!$F$3:$F$1001,'Input Sheet'!$B$3:$B$1001,$H999,'Input Sheet'!$E$3:$E$1001,R$4))</f>
        <v/>
      </c>
      <c r="S999" s="21" t="str">
        <f>IF(SUMIFS('Input Sheet'!$F$3:$F$1001,'Input Sheet'!$B$3:$B$1001,$H999,'Input Sheet'!$E$3:$E$1001,S$4)=0,"",SUMIFS('Input Sheet'!$F$3:$F$1001,'Input Sheet'!$B$3:$B$1001,$H999,'Input Sheet'!$E$3:$E$1001,S$4))</f>
        <v/>
      </c>
      <c r="T999" s="22">
        <v>994</v>
      </c>
    </row>
    <row r="1000" spans="1:20" ht="14.25" customHeight="1" x14ac:dyDescent="0.3">
      <c r="A1000" s="4" t="str">
        <f>IF('Input Sheet'!B997=0,"",'Input Sheet'!B997)</f>
        <v/>
      </c>
      <c r="B1000" s="24" t="b">
        <f t="shared" si="788"/>
        <v>0</v>
      </c>
      <c r="C1000" s="4">
        <f>SUMIF('Input Sheet'!B$3:B$1000,A1000,'Input Sheet'!C$3:C$1000)</f>
        <v>0</v>
      </c>
      <c r="D1000" s="4">
        <f>SUMIF('Input Sheet'!B$3:B$1000,A1000,'Input Sheet'!D$3:D$1000)</f>
        <v>0</v>
      </c>
      <c r="E1000" s="4" t="str">
        <f t="shared" ref="E1000:F1000" ca="1" si="1024">IFERROR(RANK(K1000,K$6:K$1004,1),"")</f>
        <v/>
      </c>
      <c r="F1000" s="4" t="str">
        <f t="shared" ca="1" si="1024"/>
        <v/>
      </c>
      <c r="G1000" s="4" t="str">
        <f t="shared" ca="1" si="790"/>
        <v/>
      </c>
      <c r="H1000" s="4" t="str">
        <f t="shared" si="791"/>
        <v/>
      </c>
      <c r="I1000" s="4" t="str">
        <f t="shared" si="792"/>
        <v/>
      </c>
      <c r="J1000" s="4" t="str">
        <f t="shared" si="793"/>
        <v/>
      </c>
      <c r="K1000" s="25" t="str">
        <f t="shared" ca="1" si="794"/>
        <v/>
      </c>
      <c r="L1000" s="21" t="str">
        <f t="shared" ca="1" si="795"/>
        <v/>
      </c>
      <c r="M1000" s="21" t="str">
        <f>IF(SUMIFS('Input Sheet'!$F$3:$F$1001,'Input Sheet'!$B$3:$B$1001,$H1000,'Input Sheet'!$E$3:$E$1001,M$4)=0,"",SUMIFS('Input Sheet'!$F$3:$F$1001,'Input Sheet'!$B$3:$B$1001,$H1000,'Input Sheet'!$E$3:$E$1001,M$4))</f>
        <v/>
      </c>
      <c r="N1000" s="21" t="str">
        <f>IF(SUMIFS('Input Sheet'!$F$3:$F$1001,'Input Sheet'!$B$3:$B$1001,$H1000,'Input Sheet'!$E$3:$E$1001,N$4)=0,"",SUMIFS('Input Sheet'!$F$3:$F$1001,'Input Sheet'!$B$3:$B$1001,$H1000,'Input Sheet'!$E$3:$E$1001,N$4))</f>
        <v/>
      </c>
      <c r="O1000" s="21" t="str">
        <f>IF(SUMIFS('Input Sheet'!$F$3:$F$1001,'Input Sheet'!$B$3:$B$1001,$H1000,'Input Sheet'!$E$3:$E$1001,O$4)=0,"",SUMIFS('Input Sheet'!$F$3:$F$1001,'Input Sheet'!$B$3:$B$1001,$H1000,'Input Sheet'!$E$3:$E$1001,O$4))</f>
        <v/>
      </c>
      <c r="P1000" s="21" t="str">
        <f>IF(SUMIFS('Input Sheet'!$F$3:$F$1001,'Input Sheet'!$B$3:$B$1001,$H1000,'Input Sheet'!$E$3:$E$1001,P$4)=0,"",SUMIFS('Input Sheet'!$F$3:$F$1001,'Input Sheet'!$B$3:$B$1001,$H1000,'Input Sheet'!$E$3:$E$1001,P$4))</f>
        <v/>
      </c>
      <c r="Q1000" s="21" t="str">
        <f>IF(SUMIFS('Input Sheet'!$F$3:$F$1001,'Input Sheet'!$B$3:$B$1001,$H1000,'Input Sheet'!$E$3:$E$1001,Q$4)=0,"",SUMIFS('Input Sheet'!$F$3:$F$1001,'Input Sheet'!$B$3:$B$1001,$H1000,'Input Sheet'!$E$3:$E$1001,Q$4))</f>
        <v/>
      </c>
      <c r="R1000" s="21" t="str">
        <f>IF(SUMIFS('Input Sheet'!$F$3:$F$1001,'Input Sheet'!$B$3:$B$1001,$H1000,'Input Sheet'!$E$3:$E$1001,R$4)=0,"",SUMIFS('Input Sheet'!$F$3:$F$1001,'Input Sheet'!$B$3:$B$1001,$H1000,'Input Sheet'!$E$3:$E$1001,R$4))</f>
        <v/>
      </c>
      <c r="S1000" s="21" t="str">
        <f>IF(SUMIFS('Input Sheet'!$F$3:$F$1001,'Input Sheet'!$B$3:$B$1001,$H1000,'Input Sheet'!$E$3:$E$1001,S$4)=0,"",SUMIFS('Input Sheet'!$F$3:$F$1001,'Input Sheet'!$B$3:$B$1001,$H1000,'Input Sheet'!$E$3:$E$1001,S$4))</f>
        <v/>
      </c>
      <c r="T1000" s="22">
        <v>995</v>
      </c>
    </row>
    <row r="1001" spans="1:20" ht="14.25" customHeight="1" x14ac:dyDescent="0.3">
      <c r="A1001" s="4" t="str">
        <f>IF('Input Sheet'!B998=0,"",'Input Sheet'!B998)</f>
        <v/>
      </c>
      <c r="B1001" s="24" t="b">
        <f t="shared" si="788"/>
        <v>0</v>
      </c>
      <c r="C1001" s="4">
        <f>SUMIF('Input Sheet'!B$3:B$1000,A1001,'Input Sheet'!C$3:C$1000)</f>
        <v>0</v>
      </c>
      <c r="D1001" s="4">
        <f>SUMIF('Input Sheet'!B$3:B$1000,A1001,'Input Sheet'!D$3:D$1000)</f>
        <v>0</v>
      </c>
      <c r="E1001" s="4" t="str">
        <f t="shared" ref="E1001:F1001" ca="1" si="1025">IFERROR(RANK(K1001,K$6:K$1004,1),"")</f>
        <v/>
      </c>
      <c r="F1001" s="4" t="str">
        <f t="shared" ca="1" si="1025"/>
        <v/>
      </c>
      <c r="G1001" s="4" t="str">
        <f t="shared" ca="1" si="790"/>
        <v/>
      </c>
      <c r="H1001" s="4" t="str">
        <f t="shared" si="791"/>
        <v/>
      </c>
      <c r="I1001" s="4" t="str">
        <f t="shared" si="792"/>
        <v/>
      </c>
      <c r="J1001" s="4" t="str">
        <f t="shared" si="793"/>
        <v/>
      </c>
      <c r="K1001" s="25" t="str">
        <f t="shared" ca="1" si="794"/>
        <v/>
      </c>
      <c r="L1001" s="21" t="str">
        <f t="shared" ca="1" si="795"/>
        <v/>
      </c>
      <c r="M1001" s="21" t="str">
        <f>IF(SUMIFS('Input Sheet'!$F$3:$F$1001,'Input Sheet'!$B$3:$B$1001,$H1001,'Input Sheet'!$E$3:$E$1001,M$4)=0,"",SUMIFS('Input Sheet'!$F$3:$F$1001,'Input Sheet'!$B$3:$B$1001,$H1001,'Input Sheet'!$E$3:$E$1001,M$4))</f>
        <v/>
      </c>
      <c r="N1001" s="21" t="str">
        <f>IF(SUMIFS('Input Sheet'!$F$3:$F$1001,'Input Sheet'!$B$3:$B$1001,$H1001,'Input Sheet'!$E$3:$E$1001,N$4)=0,"",SUMIFS('Input Sheet'!$F$3:$F$1001,'Input Sheet'!$B$3:$B$1001,$H1001,'Input Sheet'!$E$3:$E$1001,N$4))</f>
        <v/>
      </c>
      <c r="O1001" s="21" t="str">
        <f>IF(SUMIFS('Input Sheet'!$F$3:$F$1001,'Input Sheet'!$B$3:$B$1001,$H1001,'Input Sheet'!$E$3:$E$1001,O$4)=0,"",SUMIFS('Input Sheet'!$F$3:$F$1001,'Input Sheet'!$B$3:$B$1001,$H1001,'Input Sheet'!$E$3:$E$1001,O$4))</f>
        <v/>
      </c>
      <c r="P1001" s="21" t="str">
        <f>IF(SUMIFS('Input Sheet'!$F$3:$F$1001,'Input Sheet'!$B$3:$B$1001,$H1001,'Input Sheet'!$E$3:$E$1001,P$4)=0,"",SUMIFS('Input Sheet'!$F$3:$F$1001,'Input Sheet'!$B$3:$B$1001,$H1001,'Input Sheet'!$E$3:$E$1001,P$4))</f>
        <v/>
      </c>
      <c r="Q1001" s="21" t="str">
        <f>IF(SUMIFS('Input Sheet'!$F$3:$F$1001,'Input Sheet'!$B$3:$B$1001,$H1001,'Input Sheet'!$E$3:$E$1001,Q$4)=0,"",SUMIFS('Input Sheet'!$F$3:$F$1001,'Input Sheet'!$B$3:$B$1001,$H1001,'Input Sheet'!$E$3:$E$1001,Q$4))</f>
        <v/>
      </c>
      <c r="R1001" s="21" t="str">
        <f>IF(SUMIFS('Input Sheet'!$F$3:$F$1001,'Input Sheet'!$B$3:$B$1001,$H1001,'Input Sheet'!$E$3:$E$1001,R$4)=0,"",SUMIFS('Input Sheet'!$F$3:$F$1001,'Input Sheet'!$B$3:$B$1001,$H1001,'Input Sheet'!$E$3:$E$1001,R$4))</f>
        <v/>
      </c>
      <c r="S1001" s="21" t="str">
        <f>IF(SUMIFS('Input Sheet'!$F$3:$F$1001,'Input Sheet'!$B$3:$B$1001,$H1001,'Input Sheet'!$E$3:$E$1001,S$4)=0,"",SUMIFS('Input Sheet'!$F$3:$F$1001,'Input Sheet'!$B$3:$B$1001,$H1001,'Input Sheet'!$E$3:$E$1001,S$4))</f>
        <v/>
      </c>
      <c r="T1001" s="22">
        <v>996</v>
      </c>
    </row>
    <row r="1002" spans="1:20" ht="14.25" customHeight="1" x14ac:dyDescent="0.3">
      <c r="A1002" s="4" t="str">
        <f>IF('Input Sheet'!B999=0,"",'Input Sheet'!B999)</f>
        <v/>
      </c>
      <c r="B1002" s="24" t="b">
        <f t="shared" si="788"/>
        <v>0</v>
      </c>
      <c r="C1002" s="4">
        <f>SUMIF('Input Sheet'!B$3:B$1000,A1002,'Input Sheet'!C$3:C$1000)</f>
        <v>0</v>
      </c>
      <c r="D1002" s="4">
        <f>SUMIF('Input Sheet'!B$3:B$1000,A1002,'Input Sheet'!D$3:D$1000)</f>
        <v>0</v>
      </c>
      <c r="E1002" s="4" t="str">
        <f t="shared" ref="E1002:F1002" ca="1" si="1026">IFERROR(RANK(K1002,K$6:K$1004,1),"")</f>
        <v/>
      </c>
      <c r="F1002" s="4" t="str">
        <f t="shared" ca="1" si="1026"/>
        <v/>
      </c>
      <c r="G1002" s="4" t="str">
        <f t="shared" ca="1" si="790"/>
        <v/>
      </c>
      <c r="H1002" s="4" t="str">
        <f t="shared" si="791"/>
        <v/>
      </c>
      <c r="I1002" s="4" t="str">
        <f t="shared" si="792"/>
        <v/>
      </c>
      <c r="J1002" s="4" t="str">
        <f t="shared" si="793"/>
        <v/>
      </c>
      <c r="K1002" s="25" t="str">
        <f t="shared" ca="1" si="794"/>
        <v/>
      </c>
      <c r="L1002" s="21" t="str">
        <f t="shared" ca="1" si="795"/>
        <v/>
      </c>
      <c r="M1002" s="21" t="str">
        <f>IF(SUMIFS('Input Sheet'!$F$3:$F$1001,'Input Sheet'!$B$3:$B$1001,$H1002,'Input Sheet'!$E$3:$E$1001,M$4)=0,"",SUMIFS('Input Sheet'!$F$3:$F$1001,'Input Sheet'!$B$3:$B$1001,$H1002,'Input Sheet'!$E$3:$E$1001,M$4))</f>
        <v/>
      </c>
      <c r="N1002" s="21" t="str">
        <f>IF(SUMIFS('Input Sheet'!$F$3:$F$1001,'Input Sheet'!$B$3:$B$1001,$H1002,'Input Sheet'!$E$3:$E$1001,N$4)=0,"",SUMIFS('Input Sheet'!$F$3:$F$1001,'Input Sheet'!$B$3:$B$1001,$H1002,'Input Sheet'!$E$3:$E$1001,N$4))</f>
        <v/>
      </c>
      <c r="O1002" s="21" t="str">
        <f>IF(SUMIFS('Input Sheet'!$F$3:$F$1001,'Input Sheet'!$B$3:$B$1001,$H1002,'Input Sheet'!$E$3:$E$1001,O$4)=0,"",SUMIFS('Input Sheet'!$F$3:$F$1001,'Input Sheet'!$B$3:$B$1001,$H1002,'Input Sheet'!$E$3:$E$1001,O$4))</f>
        <v/>
      </c>
      <c r="P1002" s="21" t="str">
        <f>IF(SUMIFS('Input Sheet'!$F$3:$F$1001,'Input Sheet'!$B$3:$B$1001,$H1002,'Input Sheet'!$E$3:$E$1001,P$4)=0,"",SUMIFS('Input Sheet'!$F$3:$F$1001,'Input Sheet'!$B$3:$B$1001,$H1002,'Input Sheet'!$E$3:$E$1001,P$4))</f>
        <v/>
      </c>
      <c r="Q1002" s="21" t="str">
        <f>IF(SUMIFS('Input Sheet'!$F$3:$F$1001,'Input Sheet'!$B$3:$B$1001,$H1002,'Input Sheet'!$E$3:$E$1001,Q$4)=0,"",SUMIFS('Input Sheet'!$F$3:$F$1001,'Input Sheet'!$B$3:$B$1001,$H1002,'Input Sheet'!$E$3:$E$1001,Q$4))</f>
        <v/>
      </c>
      <c r="R1002" s="21" t="str">
        <f>IF(SUMIFS('Input Sheet'!$F$3:$F$1001,'Input Sheet'!$B$3:$B$1001,$H1002,'Input Sheet'!$E$3:$E$1001,R$4)=0,"",SUMIFS('Input Sheet'!$F$3:$F$1001,'Input Sheet'!$B$3:$B$1001,$H1002,'Input Sheet'!$E$3:$E$1001,R$4))</f>
        <v/>
      </c>
      <c r="S1002" s="21" t="str">
        <f>IF(SUMIFS('Input Sheet'!$F$3:$F$1001,'Input Sheet'!$B$3:$B$1001,$H1002,'Input Sheet'!$E$3:$E$1001,S$4)=0,"",SUMIFS('Input Sheet'!$F$3:$F$1001,'Input Sheet'!$B$3:$B$1001,$H1002,'Input Sheet'!$E$3:$E$1001,S$4))</f>
        <v/>
      </c>
      <c r="T1002" s="22">
        <v>997</v>
      </c>
    </row>
    <row r="1003" spans="1:20" ht="14.25" customHeight="1" x14ac:dyDescent="0.3">
      <c r="A1003" s="4" t="str">
        <f>IF('Input Sheet'!B1000=0,"",'Input Sheet'!B1000)</f>
        <v/>
      </c>
      <c r="B1003" s="24" t="b">
        <f t="shared" si="788"/>
        <v>0</v>
      </c>
      <c r="C1003" s="4">
        <f>SUMIF('Input Sheet'!B$3:B$1000,A1003,'Input Sheet'!C$3:C$1000)</f>
        <v>0</v>
      </c>
      <c r="D1003" s="4">
        <f>SUMIF('Input Sheet'!B$3:B$1000,A1003,'Input Sheet'!D$3:D$1000)</f>
        <v>0</v>
      </c>
      <c r="E1003" s="4" t="str">
        <f t="shared" ref="E1003:F1003" ca="1" si="1027">IFERROR(RANK(K1003,K$6:K$1004,1),"")</f>
        <v/>
      </c>
      <c r="F1003" s="4" t="str">
        <f t="shared" ca="1" si="1027"/>
        <v/>
      </c>
      <c r="G1003" s="4" t="str">
        <f t="shared" ca="1" si="790"/>
        <v/>
      </c>
      <c r="H1003" s="4" t="str">
        <f t="shared" si="791"/>
        <v/>
      </c>
      <c r="I1003" s="4" t="str">
        <f t="shared" si="792"/>
        <v/>
      </c>
      <c r="J1003" s="4" t="str">
        <f t="shared" si="793"/>
        <v/>
      </c>
      <c r="K1003" s="25" t="str">
        <f t="shared" ca="1" si="794"/>
        <v/>
      </c>
      <c r="L1003" s="21" t="str">
        <f t="shared" ca="1" si="795"/>
        <v/>
      </c>
      <c r="M1003" s="21" t="str">
        <f>IF(SUMIFS('Input Sheet'!$F$3:$F$1001,'Input Sheet'!$B$3:$B$1001,$H1003,'Input Sheet'!$E$3:$E$1001,M$4)=0,"",SUMIFS('Input Sheet'!$F$3:$F$1001,'Input Sheet'!$B$3:$B$1001,$H1003,'Input Sheet'!$E$3:$E$1001,M$4))</f>
        <v/>
      </c>
      <c r="N1003" s="21" t="str">
        <f>IF(SUMIFS('Input Sheet'!$F$3:$F$1001,'Input Sheet'!$B$3:$B$1001,$H1003,'Input Sheet'!$E$3:$E$1001,N$4)=0,"",SUMIFS('Input Sheet'!$F$3:$F$1001,'Input Sheet'!$B$3:$B$1001,$H1003,'Input Sheet'!$E$3:$E$1001,N$4))</f>
        <v/>
      </c>
      <c r="O1003" s="21" t="str">
        <f>IF(SUMIFS('Input Sheet'!$F$3:$F$1001,'Input Sheet'!$B$3:$B$1001,$H1003,'Input Sheet'!$E$3:$E$1001,O$4)=0,"",SUMIFS('Input Sheet'!$F$3:$F$1001,'Input Sheet'!$B$3:$B$1001,$H1003,'Input Sheet'!$E$3:$E$1001,O$4))</f>
        <v/>
      </c>
      <c r="P1003" s="21" t="str">
        <f>IF(SUMIFS('Input Sheet'!$F$3:$F$1001,'Input Sheet'!$B$3:$B$1001,$H1003,'Input Sheet'!$E$3:$E$1001,P$4)=0,"",SUMIFS('Input Sheet'!$F$3:$F$1001,'Input Sheet'!$B$3:$B$1001,$H1003,'Input Sheet'!$E$3:$E$1001,P$4))</f>
        <v/>
      </c>
      <c r="Q1003" s="21" t="str">
        <f>IF(SUMIFS('Input Sheet'!$F$3:$F$1001,'Input Sheet'!$B$3:$B$1001,$H1003,'Input Sheet'!$E$3:$E$1001,Q$4)=0,"",SUMIFS('Input Sheet'!$F$3:$F$1001,'Input Sheet'!$B$3:$B$1001,$H1003,'Input Sheet'!$E$3:$E$1001,Q$4))</f>
        <v/>
      </c>
      <c r="R1003" s="21" t="str">
        <f>IF(SUMIFS('Input Sheet'!$F$3:$F$1001,'Input Sheet'!$B$3:$B$1001,$H1003,'Input Sheet'!$E$3:$E$1001,R$4)=0,"",SUMIFS('Input Sheet'!$F$3:$F$1001,'Input Sheet'!$B$3:$B$1001,$H1003,'Input Sheet'!$E$3:$E$1001,R$4))</f>
        <v/>
      </c>
      <c r="S1003" s="21" t="str">
        <f>IF(SUMIFS('Input Sheet'!$F$3:$F$1001,'Input Sheet'!$B$3:$B$1001,$H1003,'Input Sheet'!$E$3:$E$1001,S$4)=0,"",SUMIFS('Input Sheet'!$F$3:$F$1001,'Input Sheet'!$B$3:$B$1001,$H1003,'Input Sheet'!$E$3:$E$1001,S$4))</f>
        <v/>
      </c>
      <c r="T1003" s="22">
        <v>998</v>
      </c>
    </row>
    <row r="1004" spans="1:20" ht="14.25" customHeight="1" x14ac:dyDescent="0.3">
      <c r="A1004" s="4" t="str">
        <f>IF('Input Sheet'!B1001=0,"",'Input Sheet'!B1001)</f>
        <v/>
      </c>
      <c r="B1004" s="24" t="b">
        <f t="shared" si="788"/>
        <v>0</v>
      </c>
      <c r="C1004" s="4">
        <f>SUMIF('Input Sheet'!B$3:B$1000,A1004,'Input Sheet'!C$3:C$1000)</f>
        <v>0</v>
      </c>
      <c r="D1004" s="4">
        <f>SUMIF('Input Sheet'!B$3:B$1000,A1004,'Input Sheet'!D$3:D$1000)</f>
        <v>0</v>
      </c>
      <c r="E1004" s="4" t="str">
        <f t="shared" ref="E1004:F1004" ca="1" si="1028">IFERROR(RANK(K1004,K$6:K$1004,1),"")</f>
        <v/>
      </c>
      <c r="F1004" s="4" t="str">
        <f t="shared" ca="1" si="1028"/>
        <v/>
      </c>
      <c r="G1004" s="4" t="str">
        <f t="shared" ca="1" si="790"/>
        <v/>
      </c>
      <c r="H1004" s="4" t="str">
        <f t="shared" si="791"/>
        <v/>
      </c>
      <c r="I1004" s="4" t="str">
        <f t="shared" si="792"/>
        <v/>
      </c>
      <c r="J1004" s="4" t="str">
        <f t="shared" si="793"/>
        <v/>
      </c>
      <c r="K1004" s="25" t="str">
        <f t="shared" ca="1" si="794"/>
        <v/>
      </c>
      <c r="L1004" s="21" t="str">
        <f t="shared" ca="1" si="795"/>
        <v/>
      </c>
      <c r="M1004" s="21" t="str">
        <f>IF(SUMIFS('Input Sheet'!$F$3:$F$1001,'Input Sheet'!$B$3:$B$1001,$H1004,'Input Sheet'!$E$3:$E$1001,M$4)=0,"",SUMIFS('Input Sheet'!$F$3:$F$1001,'Input Sheet'!$B$3:$B$1001,$H1004,'Input Sheet'!$E$3:$E$1001,M$4))</f>
        <v/>
      </c>
      <c r="N1004" s="21" t="str">
        <f>IF(SUMIFS('Input Sheet'!$F$3:$F$1001,'Input Sheet'!$B$3:$B$1001,$H1004,'Input Sheet'!$E$3:$E$1001,N$4)=0,"",SUMIFS('Input Sheet'!$F$3:$F$1001,'Input Sheet'!$B$3:$B$1001,$H1004,'Input Sheet'!$E$3:$E$1001,N$4))</f>
        <v/>
      </c>
      <c r="O1004" s="21" t="str">
        <f>IF(SUMIFS('Input Sheet'!$F$3:$F$1001,'Input Sheet'!$B$3:$B$1001,$H1004,'Input Sheet'!$E$3:$E$1001,O$4)=0,"",SUMIFS('Input Sheet'!$F$3:$F$1001,'Input Sheet'!$B$3:$B$1001,$H1004,'Input Sheet'!$E$3:$E$1001,O$4))</f>
        <v/>
      </c>
      <c r="P1004" s="21" t="str">
        <f>IF(SUMIFS('Input Sheet'!$F$3:$F$1001,'Input Sheet'!$B$3:$B$1001,$H1004,'Input Sheet'!$E$3:$E$1001,P$4)=0,"",SUMIFS('Input Sheet'!$F$3:$F$1001,'Input Sheet'!$B$3:$B$1001,$H1004,'Input Sheet'!$E$3:$E$1001,P$4))</f>
        <v/>
      </c>
      <c r="Q1004" s="21" t="str">
        <f>IF(SUMIFS('Input Sheet'!$F$3:$F$1001,'Input Sheet'!$B$3:$B$1001,$H1004,'Input Sheet'!$E$3:$E$1001,Q$4)=0,"",SUMIFS('Input Sheet'!$F$3:$F$1001,'Input Sheet'!$B$3:$B$1001,$H1004,'Input Sheet'!$E$3:$E$1001,Q$4))</f>
        <v/>
      </c>
      <c r="R1004" s="21" t="str">
        <f>IF(SUMIFS('Input Sheet'!$F$3:$F$1001,'Input Sheet'!$B$3:$B$1001,$H1004,'Input Sheet'!$E$3:$E$1001,R$4)=0,"",SUMIFS('Input Sheet'!$F$3:$F$1001,'Input Sheet'!$B$3:$B$1001,$H1004,'Input Sheet'!$E$3:$E$1001,R$4))</f>
        <v/>
      </c>
      <c r="S1004" s="21" t="str">
        <f>IF(SUMIFS('Input Sheet'!$F$3:$F$1001,'Input Sheet'!$B$3:$B$1001,$H1004,'Input Sheet'!$E$3:$E$1001,S$4)=0,"",SUMIFS('Input Sheet'!$F$3:$F$1001,'Input Sheet'!$B$3:$B$1001,$H1004,'Input Sheet'!$E$3:$E$1001,S$4))</f>
        <v/>
      </c>
      <c r="T1004" s="22">
        <v>999</v>
      </c>
    </row>
    <row r="1005" spans="1:20" ht="14.25" customHeight="1" x14ac:dyDescent="0.3">
      <c r="A1005" s="4" t="str">
        <f>IF('Input Sheet'!B1002=0,"",'Input Sheet'!B1002)</f>
        <v/>
      </c>
      <c r="B1005" s="24" t="b">
        <f t="shared" si="788"/>
        <v>0</v>
      </c>
      <c r="C1005" s="4">
        <f>SUMIF('Input Sheet'!B$3:B$1000,A1005,'Input Sheet'!C$3:C$1000)</f>
        <v>0</v>
      </c>
      <c r="D1005" s="4">
        <f>SUMIF('Input Sheet'!B$3:B$1000,A1005,'Input Sheet'!D$3:D$1000)</f>
        <v>0</v>
      </c>
      <c r="E1005" s="4" t="str">
        <f t="shared" ref="E1005:F1005" ca="1" si="1029">IFERROR(RANK(K1005,K$6:K$1004,1),"")</f>
        <v/>
      </c>
      <c r="F1005" s="4" t="str">
        <f t="shared" ca="1" si="1029"/>
        <v/>
      </c>
      <c r="G1005" s="4" t="str">
        <f t="shared" ca="1" si="790"/>
        <v/>
      </c>
      <c r="H1005" s="4" t="str">
        <f t="shared" si="791"/>
        <v/>
      </c>
      <c r="I1005" s="4" t="str">
        <f t="shared" si="792"/>
        <v/>
      </c>
      <c r="J1005" s="4" t="str">
        <f t="shared" si="793"/>
        <v/>
      </c>
      <c r="K1005" s="25" t="str">
        <f t="shared" ca="1" si="794"/>
        <v/>
      </c>
      <c r="L1005" s="21" t="str">
        <f t="shared" ca="1" si="795"/>
        <v/>
      </c>
      <c r="M1005" s="21" t="str">
        <f>IF(SUMIFS('Input Sheet'!$F$3:$F$1001,'Input Sheet'!$B$3:$B$1001,$H1005,'Input Sheet'!$E$3:$E$1001,M$4)=0,"",SUMIFS('Input Sheet'!$F$3:$F$1001,'Input Sheet'!$B$3:$B$1001,$H1005,'Input Sheet'!$E$3:$E$1001,M$4))</f>
        <v/>
      </c>
      <c r="N1005" s="21" t="str">
        <f>IF(SUMIFS('Input Sheet'!$F$3:$F$1001,'Input Sheet'!$B$3:$B$1001,$H1005,'Input Sheet'!$E$3:$E$1001,N$4)=0,"",SUMIFS('Input Sheet'!$F$3:$F$1001,'Input Sheet'!$B$3:$B$1001,$H1005,'Input Sheet'!$E$3:$E$1001,N$4))</f>
        <v/>
      </c>
      <c r="O1005" s="21" t="str">
        <f>IF(SUMIFS('Input Sheet'!$F$3:$F$1001,'Input Sheet'!$B$3:$B$1001,$H1005,'Input Sheet'!$E$3:$E$1001,O$4)=0,"",SUMIFS('Input Sheet'!$F$3:$F$1001,'Input Sheet'!$B$3:$B$1001,$H1005,'Input Sheet'!$E$3:$E$1001,O$4))</f>
        <v/>
      </c>
      <c r="P1005" s="21" t="str">
        <f>IF(SUMIFS('Input Sheet'!$F$3:$F$1001,'Input Sheet'!$B$3:$B$1001,$H1005,'Input Sheet'!$E$3:$E$1001,P$4)=0,"",SUMIFS('Input Sheet'!$F$3:$F$1001,'Input Sheet'!$B$3:$B$1001,$H1005,'Input Sheet'!$E$3:$E$1001,P$4))</f>
        <v/>
      </c>
      <c r="Q1005" s="21" t="str">
        <f>IF(SUMIFS('Input Sheet'!$F$3:$F$1001,'Input Sheet'!$B$3:$B$1001,$H1005,'Input Sheet'!$E$3:$E$1001,Q$4)=0,"",SUMIFS('Input Sheet'!$F$3:$F$1001,'Input Sheet'!$B$3:$B$1001,$H1005,'Input Sheet'!$E$3:$E$1001,Q$4))</f>
        <v/>
      </c>
      <c r="R1005" s="21" t="str">
        <f>IF(SUMIFS('Input Sheet'!$F$3:$F$1001,'Input Sheet'!$B$3:$B$1001,$H1005,'Input Sheet'!$E$3:$E$1001,R$4)=0,"",SUMIFS('Input Sheet'!$F$3:$F$1001,'Input Sheet'!$B$3:$B$1001,$H1005,'Input Sheet'!$E$3:$E$1001,R$4))</f>
        <v/>
      </c>
      <c r="S1005" s="21" t="str">
        <f>IF(SUMIFS('Input Sheet'!$F$3:$F$1001,'Input Sheet'!$B$3:$B$1001,$H1005,'Input Sheet'!$E$3:$E$1001,S$4)=0,"",SUMIFS('Input Sheet'!$F$3:$F$1001,'Input Sheet'!$B$3:$B$1001,$H1005,'Input Sheet'!$E$3:$E$1001,S$4))</f>
        <v/>
      </c>
      <c r="T1005" s="22">
        <v>1000</v>
      </c>
    </row>
  </sheetData>
  <mergeCells count="1">
    <mergeCell ref="U4:U5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2"/>
  <sheetViews>
    <sheetView zoomScale="55" workbookViewId="0">
      <selection activeCell="AC7" sqref="AC7"/>
    </sheetView>
  </sheetViews>
  <sheetFormatPr defaultColWidth="14.44140625" defaultRowHeight="15" customHeight="1" x14ac:dyDescent="0.3"/>
  <cols>
    <col min="1" max="1" width="7.6640625" customWidth="1"/>
    <col min="2" max="2" width="21.6640625" customWidth="1"/>
    <col min="3" max="3" width="8.5546875" customWidth="1"/>
    <col min="4" max="4" width="10.6640625" customWidth="1"/>
    <col min="5" max="5" width="7.109375" customWidth="1"/>
    <col min="6" max="6" width="8.6640625" customWidth="1"/>
    <col min="7" max="7" width="21.6640625" customWidth="1"/>
    <col min="8" max="8" width="6.6640625" customWidth="1"/>
    <col min="9" max="9" width="8.6640625" customWidth="1"/>
    <col min="10" max="10" width="6" customWidth="1"/>
    <col min="11" max="11" width="6.6640625" customWidth="1"/>
    <col min="12" max="12" width="21.6640625" customWidth="1"/>
    <col min="13" max="18" width="8.33203125" customWidth="1"/>
    <col min="19" max="19" width="7.33203125" customWidth="1"/>
    <col min="20" max="21" width="8.88671875" customWidth="1"/>
    <col min="22" max="26" width="8.6640625" customWidth="1"/>
  </cols>
  <sheetData>
    <row r="1" spans="1:21" ht="399.75" customHeight="1" x14ac:dyDescent="0.3">
      <c r="A1" s="26"/>
      <c r="E1" s="27"/>
      <c r="F1" s="28"/>
      <c r="G1" s="29"/>
      <c r="J1" s="27"/>
      <c r="K1" s="28"/>
      <c r="L1" s="47" t="s">
        <v>67</v>
      </c>
      <c r="M1" s="48"/>
      <c r="N1" s="48"/>
      <c r="O1" s="48"/>
      <c r="P1" s="49"/>
      <c r="Q1" s="30"/>
      <c r="R1" s="31"/>
      <c r="T1" s="30"/>
      <c r="U1" s="31"/>
    </row>
    <row r="2" spans="1:21" ht="29.25" customHeight="1" x14ac:dyDescent="0.3">
      <c r="A2" s="32" t="s">
        <v>68</v>
      </c>
      <c r="B2" s="33" t="s">
        <v>11</v>
      </c>
      <c r="C2" s="34" t="s">
        <v>12</v>
      </c>
      <c r="D2" s="34" t="s">
        <v>13</v>
      </c>
      <c r="E2" s="35" t="s">
        <v>69</v>
      </c>
      <c r="F2" s="50" t="s">
        <v>70</v>
      </c>
      <c r="G2" s="36" t="s">
        <v>11</v>
      </c>
      <c r="H2" s="34" t="s">
        <v>12</v>
      </c>
      <c r="I2" s="34" t="s">
        <v>13</v>
      </c>
      <c r="J2" s="37" t="s">
        <v>71</v>
      </c>
      <c r="K2" s="50" t="s">
        <v>70</v>
      </c>
      <c r="L2" s="36" t="s">
        <v>11</v>
      </c>
      <c r="M2" s="38" t="str">
        <f ca="1">IFERROR(HLOOKUP(Calculation!M3,Calculation!$M$2:$S$4,3,FALSE),"")</f>
        <v>Concept</v>
      </c>
      <c r="N2" s="38" t="str">
        <f ca="1">IFERROR(HLOOKUP(Calculation!N3,Calculation!$M$2:$S$4,3,FALSE),"")</f>
        <v>Application</v>
      </c>
      <c r="O2" s="38" t="str">
        <f ca="1">IFERROR(HLOOKUP(Calculation!O3,Calculation!$M$2:$S$4,3,FALSE),"")</f>
        <v>Misread Direction</v>
      </c>
      <c r="P2" s="38" t="str">
        <f ca="1">IFERROR(HLOOKUP(Calculation!P3,Calculation!$M$2:$S$4,3,FALSE),"")</f>
        <v>Careless</v>
      </c>
      <c r="Q2" s="38" t="str">
        <f ca="1">IFERROR(HLOOKUP(Calculation!Q3,Calculation!$M$2:$S$4,3,FALSE),"")</f>
        <v>Test Procedure</v>
      </c>
      <c r="R2" s="39" t="str">
        <f ca="1">IFERROR(HLOOKUP(Calculation!R3,Calculation!$M$2:$S$4,3,FALSE),"")</f>
        <v>Omission</v>
      </c>
      <c r="S2" s="52" t="s">
        <v>70</v>
      </c>
      <c r="T2" s="40" t="s">
        <v>72</v>
      </c>
      <c r="U2" s="41" t="s">
        <v>73</v>
      </c>
    </row>
    <row r="3" spans="1:21" ht="14.25" customHeight="1" x14ac:dyDescent="0.3">
      <c r="A3" s="26">
        <f ca="1">IF(Calculation!T6&lt;=Calculation!$H$4,Calculation!T6,"")</f>
        <v>1</v>
      </c>
      <c r="B3" s="4" t="str">
        <f ca="1">VLOOKUP(A3,Calculation!$E$6:$J$1004,4,FALSE)</f>
        <v>Algebraic Expressions</v>
      </c>
      <c r="C3" s="4">
        <f ca="1">VLOOKUP(A3,Calculation!$E$6:$J$1004,5,FALSE)</f>
        <v>0</v>
      </c>
      <c r="D3" s="4">
        <f ca="1">VLOOKUP(A3,Calculation!$E$6:$J$1004,6,FALSE)</f>
        <v>8</v>
      </c>
      <c r="E3" s="42">
        <f t="shared" ref="E3:E257" ca="1" si="0">IF(C3=0,0.0001,IF($A3="","",$C3/$D3))</f>
        <v>1E-4</v>
      </c>
      <c r="F3" s="51"/>
      <c r="G3" s="29" t="str">
        <f ca="1">VLOOKUP(A3,Calculation!$F$6:$J$1004,3,FALSE)</f>
        <v>Trigonometry</v>
      </c>
      <c r="H3" s="4">
        <f ca="1">VLOOKUP(A3,Calculation!$F$6:$J$1004,4,FALSE)</f>
        <v>4</v>
      </c>
      <c r="I3" s="4">
        <f ca="1">VLOOKUP(A3,Calculation!$F$6:$J$1004,5,FALSE)</f>
        <v>5</v>
      </c>
      <c r="J3" s="43">
        <f t="shared" ref="J3:J257" ca="1" si="1">IF($A3="","",$I3-$H3)</f>
        <v>1</v>
      </c>
      <c r="K3" s="51"/>
      <c r="L3" s="29" t="str">
        <f ca="1">VLOOKUP(A3,Calculation!$G$6:$S$1004,2,FALSE)</f>
        <v>Exponents</v>
      </c>
      <c r="M3" s="4" t="str">
        <f ca="1">IFERROR(VLOOKUP($L3,Calculation!$H$6:$S$1005,HLOOKUP(M$2,Calculation!$M$4:$S$5,2,FALSE)+5,FALSE),"")</f>
        <v/>
      </c>
      <c r="N3" s="4" t="str">
        <f ca="1">IFERROR(VLOOKUP($L3,Calculation!$H$6:$S$1005,HLOOKUP(N$2,Calculation!$M$4:$S$5,2,FALSE)+5,FALSE),"")</f>
        <v/>
      </c>
      <c r="O3" s="4">
        <f ca="1">IFERROR(VLOOKUP($L3,Calculation!$H$6:$S$1005,HLOOKUP(O$2,Calculation!$M$4:$S$5,2,FALSE)+5,FALSE),"")</f>
        <v>8</v>
      </c>
      <c r="P3" s="4">
        <f ca="1">IFERROR(VLOOKUP($L3,Calculation!$H$6:$S$1005,HLOOKUP(P$2,Calculation!$M$4:$S$5,2,FALSE)+5,FALSE),"")</f>
        <v>6</v>
      </c>
      <c r="Q3" s="4">
        <f ca="1">IFERROR(VLOOKUP($L3,Calculation!$H$6:$S$1005,HLOOKUP(Q$2,Calculation!$M$4:$S$5,2,FALSE)+5,FALSE),"")</f>
        <v>1</v>
      </c>
      <c r="R3" s="27">
        <f ca="1">IFERROR(VLOOKUP($L3,Calculation!$H$6:$S$1005,HLOOKUP(R$2,Calculation!$M$4:$S$5,2,FALSE)+5,FALSE),"")</f>
        <v>1</v>
      </c>
      <c r="S3" s="53"/>
      <c r="T3" s="29" t="str">
        <f ca="1">IFERROR(HLOOKUP(Calculation!M3,Calculation!$M$2:$S$4,3,FALSE),"")</f>
        <v>Concept</v>
      </c>
      <c r="U3" s="43">
        <f ca="1">IFERROR(VLOOKUP(T3,Calculation!$U$6:$V$11,2,FALSE),"")</f>
        <v>12</v>
      </c>
    </row>
    <row r="4" spans="1:21" ht="14.25" customHeight="1" x14ac:dyDescent="0.3">
      <c r="A4" s="26">
        <f ca="1">IF(Calculation!T7&lt;=Calculation!$H$4,Calculation!T7,"")</f>
        <v>2</v>
      </c>
      <c r="B4" s="4" t="str">
        <f ca="1">VLOOKUP(A4,Calculation!$E$6:$J$1004,4,FALSE)</f>
        <v>Exponents</v>
      </c>
      <c r="C4" s="4">
        <f ca="1">VLOOKUP(A4,Calculation!$E$6:$J$1004,5,FALSE)</f>
        <v>0</v>
      </c>
      <c r="D4" s="4">
        <f ca="1">VLOOKUP(A4,Calculation!$E$6:$J$1004,6,FALSE)</f>
        <v>16</v>
      </c>
      <c r="E4" s="42">
        <f t="shared" ca="1" si="0"/>
        <v>1E-4</v>
      </c>
      <c r="F4" s="51"/>
      <c r="G4" s="29" t="str">
        <f ca="1">VLOOKUP(A4,Calculation!$F$6:$J$1004,3,FALSE)</f>
        <v>Functions</v>
      </c>
      <c r="H4" s="4">
        <f ca="1">VLOOKUP(A4,Calculation!$F$6:$J$1004,4,FALSE)</f>
        <v>6</v>
      </c>
      <c r="I4" s="4">
        <f ca="1">VLOOKUP(A4,Calculation!$F$6:$J$1004,5,FALSE)</f>
        <v>8</v>
      </c>
      <c r="J4" s="43">
        <f t="shared" ca="1" si="1"/>
        <v>2</v>
      </c>
      <c r="K4" s="51"/>
      <c r="L4" s="29" t="str">
        <f ca="1">VLOOKUP(A4,Calculation!$G$6:$S$1004,2,FALSE)</f>
        <v>Number Patterns</v>
      </c>
      <c r="M4" s="4">
        <f ca="1">IFERROR(VLOOKUP($L4,Calculation!$H$6:$S$1005,HLOOKUP(M$2,Calculation!$M$4:$S$5,2,FALSE)+5,FALSE),"")</f>
        <v>10</v>
      </c>
      <c r="N4" s="4">
        <f ca="1">IFERROR(VLOOKUP($L4,Calculation!$H$6:$S$1005,HLOOKUP(N$2,Calculation!$M$4:$S$5,2,FALSE)+5,FALSE),"")</f>
        <v>2</v>
      </c>
      <c r="O4" s="4" t="str">
        <f ca="1">IFERROR(VLOOKUP($L4,Calculation!$H$6:$S$1005,HLOOKUP(O$2,Calculation!$M$4:$S$5,2,FALSE)+5,FALSE),"")</f>
        <v/>
      </c>
      <c r="P4" s="4" t="str">
        <f ca="1">IFERROR(VLOOKUP($L4,Calculation!$H$6:$S$1005,HLOOKUP(P$2,Calculation!$M$4:$S$5,2,FALSE)+5,FALSE),"")</f>
        <v/>
      </c>
      <c r="Q4" s="4" t="str">
        <f ca="1">IFERROR(VLOOKUP($L4,Calculation!$H$6:$S$1005,HLOOKUP(Q$2,Calculation!$M$4:$S$5,2,FALSE)+5,FALSE),"")</f>
        <v/>
      </c>
      <c r="R4" s="27" t="str">
        <f ca="1">IFERROR(VLOOKUP($L4,Calculation!$H$6:$S$1005,HLOOKUP(R$2,Calculation!$M$4:$S$5,2,FALSE)+5,FALSE),"")</f>
        <v/>
      </c>
      <c r="S4" s="53"/>
      <c r="T4" s="29" t="str">
        <f ca="1">IFERROR(HLOOKUP(Calculation!N3,Calculation!$M$2:$S$4,3,FALSE),"")</f>
        <v>Application</v>
      </c>
      <c r="U4" s="43">
        <f ca="1">IFERROR(VLOOKUP(T4,Calculation!$U$6:$V$11,2,FALSE),"")</f>
        <v>10</v>
      </c>
    </row>
    <row r="5" spans="1:21" ht="14.25" customHeight="1" x14ac:dyDescent="0.3">
      <c r="A5" s="26">
        <f ca="1">IF(Calculation!T8&lt;=Calculation!$H$4,Calculation!T8,"")</f>
        <v>3</v>
      </c>
      <c r="B5" s="4" t="str">
        <f ca="1">VLOOKUP(A5,Calculation!$E$6:$J$1004,4,FALSE)</f>
        <v>Number Patterns</v>
      </c>
      <c r="C5" s="4">
        <f ca="1">VLOOKUP(A5,Calculation!$E$6:$J$1004,5,FALSE)</f>
        <v>6</v>
      </c>
      <c r="D5" s="4">
        <f ca="1">VLOOKUP(A5,Calculation!$E$6:$J$1004,6,FALSE)</f>
        <v>18</v>
      </c>
      <c r="E5" s="42">
        <f t="shared" ca="1" si="0"/>
        <v>0.33333333333333331</v>
      </c>
      <c r="F5" s="51"/>
      <c r="G5" s="29" t="str">
        <f ca="1">VLOOKUP(A5,Calculation!$F$6:$J$1004,3,FALSE)</f>
        <v>Algebraic Expressions</v>
      </c>
      <c r="H5" s="4">
        <f ca="1">VLOOKUP(A5,Calculation!$F$6:$J$1004,4,FALSE)</f>
        <v>0</v>
      </c>
      <c r="I5" s="4">
        <f ca="1">VLOOKUP(A5,Calculation!$F$6:$J$1004,5,FALSE)</f>
        <v>8</v>
      </c>
      <c r="J5" s="43">
        <f t="shared" ca="1" si="1"/>
        <v>8</v>
      </c>
      <c r="K5" s="51"/>
      <c r="L5" s="29" t="str">
        <f ca="1">VLOOKUP(A5,Calculation!$G$6:$S$1004,2,FALSE)</f>
        <v>Algebraic Expressions</v>
      </c>
      <c r="M5" s="4" t="str">
        <f ca="1">IFERROR(VLOOKUP($L5,Calculation!$H$6:$S$1005,HLOOKUP(M$2,Calculation!$M$4:$S$5,2,FALSE)+5,FALSE),"")</f>
        <v/>
      </c>
      <c r="N5" s="4">
        <f ca="1">IFERROR(VLOOKUP($L5,Calculation!$H$6:$S$1005,HLOOKUP(N$2,Calculation!$M$4:$S$5,2,FALSE)+5,FALSE),"")</f>
        <v>8</v>
      </c>
      <c r="O5" s="4" t="str">
        <f ca="1">IFERROR(VLOOKUP($L5,Calculation!$H$6:$S$1005,HLOOKUP(O$2,Calculation!$M$4:$S$5,2,FALSE)+5,FALSE),"")</f>
        <v/>
      </c>
      <c r="P5" s="4" t="str">
        <f ca="1">IFERROR(VLOOKUP($L5,Calculation!$H$6:$S$1005,HLOOKUP(P$2,Calculation!$M$4:$S$5,2,FALSE)+5,FALSE),"")</f>
        <v/>
      </c>
      <c r="Q5" s="4" t="str">
        <f ca="1">IFERROR(VLOOKUP($L5,Calculation!$H$6:$S$1005,HLOOKUP(Q$2,Calculation!$M$4:$S$5,2,FALSE)+5,FALSE),"")</f>
        <v/>
      </c>
      <c r="R5" s="27" t="str">
        <f ca="1">IFERROR(VLOOKUP($L5,Calculation!$H$6:$S$1005,HLOOKUP(R$2,Calculation!$M$4:$S$5,2,FALSE)+5,FALSE),"")</f>
        <v/>
      </c>
      <c r="S5" s="53"/>
      <c r="T5" s="29" t="str">
        <f ca="1">IFERROR(HLOOKUP(Calculation!O3,Calculation!$M$2:$S$4,3,FALSE),"")</f>
        <v>Misread Direction</v>
      </c>
      <c r="U5" s="43">
        <f ca="1">IFERROR(VLOOKUP(T5,Calculation!$U$6:$V$11,2,FALSE),"")</f>
        <v>8</v>
      </c>
    </row>
    <row r="6" spans="1:21" ht="14.25" customHeight="1" x14ac:dyDescent="0.3">
      <c r="A6" s="26">
        <f ca="1">IF(Calculation!T9&lt;=Calculation!$H$4,Calculation!T9,"")</f>
        <v>4</v>
      </c>
      <c r="B6" s="4" t="str">
        <f ca="1">VLOOKUP(A6,Calculation!$E$6:$J$1004,4,FALSE)</f>
        <v>Functions</v>
      </c>
      <c r="C6" s="4">
        <f ca="1">VLOOKUP(A6,Calculation!$E$6:$J$1004,5,FALSE)</f>
        <v>6</v>
      </c>
      <c r="D6" s="4">
        <f ca="1">VLOOKUP(A6,Calculation!$E$6:$J$1004,6,FALSE)</f>
        <v>8</v>
      </c>
      <c r="E6" s="42">
        <f t="shared" ca="1" si="0"/>
        <v>0.75</v>
      </c>
      <c r="F6" s="51"/>
      <c r="G6" s="29" t="str">
        <f ca="1">VLOOKUP(A6,Calculation!$F$6:$J$1004,3,FALSE)</f>
        <v>Number Patterns</v>
      </c>
      <c r="H6" s="4">
        <f ca="1">VLOOKUP(A6,Calculation!$F$6:$J$1004,4,FALSE)</f>
        <v>6</v>
      </c>
      <c r="I6" s="4">
        <f ca="1">VLOOKUP(A6,Calculation!$F$6:$J$1004,5,FALSE)</f>
        <v>18</v>
      </c>
      <c r="J6" s="43">
        <f t="shared" ca="1" si="1"/>
        <v>12</v>
      </c>
      <c r="K6" s="51"/>
      <c r="L6" s="29" t="str">
        <f ca="1">VLOOKUP(A6,Calculation!$G$6:$S$1004,2,FALSE)</f>
        <v>Functions</v>
      </c>
      <c r="M6" s="4">
        <f ca="1">IFERROR(VLOOKUP($L6,Calculation!$H$6:$S$1005,HLOOKUP(M$2,Calculation!$M$4:$S$5,2,FALSE)+5,FALSE),"")</f>
        <v>2</v>
      </c>
      <c r="N6" s="4" t="str">
        <f ca="1">IFERROR(VLOOKUP($L6,Calculation!$H$6:$S$1005,HLOOKUP(N$2,Calculation!$M$4:$S$5,2,FALSE)+5,FALSE),"")</f>
        <v/>
      </c>
      <c r="O6" s="4" t="str">
        <f ca="1">IFERROR(VLOOKUP($L6,Calculation!$H$6:$S$1005,HLOOKUP(O$2,Calculation!$M$4:$S$5,2,FALSE)+5,FALSE),"")</f>
        <v/>
      </c>
      <c r="P6" s="4" t="str">
        <f ca="1">IFERROR(VLOOKUP($L6,Calculation!$H$6:$S$1005,HLOOKUP(P$2,Calculation!$M$4:$S$5,2,FALSE)+5,FALSE),"")</f>
        <v/>
      </c>
      <c r="Q6" s="4" t="str">
        <f ca="1">IFERROR(VLOOKUP($L6,Calculation!$H$6:$S$1005,HLOOKUP(Q$2,Calculation!$M$4:$S$5,2,FALSE)+5,FALSE),"")</f>
        <v/>
      </c>
      <c r="R6" s="27" t="str">
        <f ca="1">IFERROR(VLOOKUP($L6,Calculation!$H$6:$S$1005,HLOOKUP(R$2,Calculation!$M$4:$S$5,2,FALSE)+5,FALSE),"")</f>
        <v/>
      </c>
      <c r="S6" s="53"/>
      <c r="T6" s="29" t="str">
        <f ca="1">IFERROR(HLOOKUP(Calculation!P3,Calculation!$M$2:$S$4,3,FALSE),"")</f>
        <v>Careless</v>
      </c>
      <c r="U6" s="43">
        <f ca="1">IFERROR(VLOOKUP(T6,Calculation!$U$6:$V$11,2,FALSE),"")</f>
        <v>6</v>
      </c>
    </row>
    <row r="7" spans="1:21" ht="14.25" customHeight="1" x14ac:dyDescent="0.3">
      <c r="A7" s="26">
        <f ca="1">IF(Calculation!T10&lt;=Calculation!$H$4,Calculation!T10,"")</f>
        <v>5</v>
      </c>
      <c r="B7" s="4" t="str">
        <f ca="1">VLOOKUP(A7,Calculation!$E$6:$J$1004,4,FALSE)</f>
        <v>Trigonometry</v>
      </c>
      <c r="C7" s="4">
        <f ca="1">VLOOKUP(A7,Calculation!$E$6:$J$1004,5,FALSE)</f>
        <v>4</v>
      </c>
      <c r="D7" s="4">
        <f ca="1">VLOOKUP(A7,Calculation!$E$6:$J$1004,6,FALSE)</f>
        <v>5</v>
      </c>
      <c r="E7" s="42">
        <f t="shared" ca="1" si="0"/>
        <v>0.8</v>
      </c>
      <c r="F7" s="51"/>
      <c r="G7" s="29" t="str">
        <f ca="1">VLOOKUP(A7,Calculation!$F$6:$J$1004,3,FALSE)</f>
        <v>Exponents</v>
      </c>
      <c r="H7" s="4">
        <f ca="1">VLOOKUP(A7,Calculation!$F$6:$J$1004,4,FALSE)</f>
        <v>0</v>
      </c>
      <c r="I7" s="4">
        <f ca="1">VLOOKUP(A7,Calculation!$F$6:$J$1004,5,FALSE)</f>
        <v>16</v>
      </c>
      <c r="J7" s="43">
        <f t="shared" ca="1" si="1"/>
        <v>16</v>
      </c>
      <c r="K7" s="51"/>
      <c r="L7" s="29" t="str">
        <f ca="1">VLOOKUP(A7,Calculation!$G$6:$S$1004,2,FALSE)</f>
        <v>Trigonometry</v>
      </c>
      <c r="M7" s="4" t="str">
        <f ca="1">IFERROR(VLOOKUP($L7,Calculation!$H$6:$S$1005,HLOOKUP(M$2,Calculation!$M$4:$S$5,2,FALSE)+5,FALSE),"")</f>
        <v/>
      </c>
      <c r="N7" s="4" t="str">
        <f ca="1">IFERROR(VLOOKUP($L7,Calculation!$H$6:$S$1005,HLOOKUP(N$2,Calculation!$M$4:$S$5,2,FALSE)+5,FALSE),"")</f>
        <v/>
      </c>
      <c r="O7" s="4" t="str">
        <f ca="1">IFERROR(VLOOKUP($L7,Calculation!$H$6:$S$1005,HLOOKUP(O$2,Calculation!$M$4:$S$5,2,FALSE)+5,FALSE),"")</f>
        <v/>
      </c>
      <c r="P7" s="4" t="str">
        <f ca="1">IFERROR(VLOOKUP($L7,Calculation!$H$6:$S$1005,HLOOKUP(P$2,Calculation!$M$4:$S$5,2,FALSE)+5,FALSE),"")</f>
        <v/>
      </c>
      <c r="Q7" s="4">
        <f ca="1">IFERROR(VLOOKUP($L7,Calculation!$H$6:$S$1005,HLOOKUP(Q$2,Calculation!$M$4:$S$5,2,FALSE)+5,FALSE),"")</f>
        <v>1</v>
      </c>
      <c r="R7" s="27" t="str">
        <f ca="1">IFERROR(VLOOKUP($L7,Calculation!$H$6:$S$1005,HLOOKUP(R$2,Calculation!$M$4:$S$5,2,FALSE)+5,FALSE),"")</f>
        <v/>
      </c>
      <c r="S7" s="53"/>
      <c r="T7" s="29" t="str">
        <f ca="1">IFERROR(HLOOKUP(Calculation!Q3,Calculation!$M$2:$S$4,3,FALSE),"")</f>
        <v>Test Procedure</v>
      </c>
      <c r="U7" s="43">
        <f ca="1">IFERROR(VLOOKUP(T7,Calculation!$U$6:$V$11,2,FALSE),"")</f>
        <v>2</v>
      </c>
    </row>
    <row r="8" spans="1:21" ht="14.25" customHeight="1" x14ac:dyDescent="0.3">
      <c r="A8" s="26" t="str">
        <f ca="1">IF(Calculation!T11&lt;=Calculation!$H$4,Calculation!T11,"")</f>
        <v/>
      </c>
      <c r="B8" s="4" t="str">
        <f ca="1">VLOOKUP(A8,Calculation!$E$6:$J$1004,4,FALSE)</f>
        <v/>
      </c>
      <c r="C8" s="4" t="str">
        <f ca="1">VLOOKUP(A8,Calculation!$E$6:$J$1004,5,FALSE)</f>
        <v/>
      </c>
      <c r="D8" s="4" t="str">
        <f ca="1">VLOOKUP(A8,Calculation!$E$6:$J$1004,6,FALSE)</f>
        <v/>
      </c>
      <c r="E8" s="42" t="str">
        <f t="shared" ca="1" si="0"/>
        <v/>
      </c>
      <c r="F8" s="51"/>
      <c r="G8" s="29" t="str">
        <f ca="1">VLOOKUP(A8,Calculation!$F$6:$J$1004,3,FALSE)</f>
        <v/>
      </c>
      <c r="H8" s="4" t="str">
        <f ca="1">VLOOKUP(A8,Calculation!$F$6:$J$1004,4,FALSE)</f>
        <v/>
      </c>
      <c r="I8" s="4" t="str">
        <f ca="1">VLOOKUP(A8,Calculation!$F$6:$J$1004,5,FALSE)</f>
        <v/>
      </c>
      <c r="J8" s="43" t="str">
        <f t="shared" ca="1" si="1"/>
        <v/>
      </c>
      <c r="K8" s="51"/>
      <c r="L8" s="29" t="str">
        <f ca="1">VLOOKUP(A8,Calculation!$G$6:$S$1004,2,FALSE)</f>
        <v/>
      </c>
      <c r="M8" s="4" t="str">
        <f ca="1">IFERROR(VLOOKUP($L8,Calculation!$H$6:$S$1005,HLOOKUP(M$2,Calculation!$M$4:$S$5,2,FALSE)+5,FALSE),"")</f>
        <v/>
      </c>
      <c r="N8" s="4" t="str">
        <f ca="1">IFERROR(VLOOKUP($L8,Calculation!$H$6:$S$1005,HLOOKUP(N$2,Calculation!$M$4:$S$5,2,FALSE)+5,FALSE),"")</f>
        <v/>
      </c>
      <c r="O8" s="4" t="str">
        <f ca="1">IFERROR(VLOOKUP($L8,Calculation!$H$6:$S$1005,HLOOKUP(O$2,Calculation!$M$4:$S$5,2,FALSE)+5,FALSE),"")</f>
        <v/>
      </c>
      <c r="P8" s="4" t="str">
        <f ca="1">IFERROR(VLOOKUP($L8,Calculation!$H$6:$S$1005,HLOOKUP(P$2,Calculation!$M$4:$S$5,2,FALSE)+5,FALSE),"")</f>
        <v/>
      </c>
      <c r="Q8" s="4" t="str">
        <f ca="1">IFERROR(VLOOKUP($L8,Calculation!$H$6:$S$1005,HLOOKUP(Q$2,Calculation!$M$4:$S$5,2,FALSE)+5,FALSE),"")</f>
        <v/>
      </c>
      <c r="R8" s="27" t="str">
        <f ca="1">IFERROR(VLOOKUP($L8,Calculation!$H$6:$S$1005,HLOOKUP(R$2,Calculation!$M$4:$S$5,2,FALSE)+5,FALSE),"")</f>
        <v/>
      </c>
      <c r="S8" s="53"/>
      <c r="T8" s="29" t="str">
        <f ca="1">IFERROR(HLOOKUP(Calculation!R3,Calculation!$M$2:$S$4,3,FALSE),"")</f>
        <v>Omission</v>
      </c>
      <c r="U8" s="43">
        <f ca="1">IFERROR(VLOOKUP(T8,Calculation!$U$6:$V$11,2,FALSE),"")</f>
        <v>1</v>
      </c>
    </row>
    <row r="9" spans="1:21" ht="14.25" customHeight="1" x14ac:dyDescent="0.3">
      <c r="A9" s="26" t="str">
        <f ca="1">IF(Calculation!T12&lt;=Calculation!$H$4,Calculation!T12,"")</f>
        <v/>
      </c>
      <c r="B9" s="4" t="str">
        <f ca="1">VLOOKUP(A9,Calculation!$E$6:$J$1004,4,FALSE)</f>
        <v/>
      </c>
      <c r="C9" s="4" t="str">
        <f ca="1">VLOOKUP(A9,Calculation!$E$6:$J$1004,5,FALSE)</f>
        <v/>
      </c>
      <c r="D9" s="4" t="str">
        <f ca="1">VLOOKUP(A9,Calculation!$E$6:$J$1004,6,FALSE)</f>
        <v/>
      </c>
      <c r="E9" s="42" t="str">
        <f t="shared" ca="1" si="0"/>
        <v/>
      </c>
      <c r="F9" s="51"/>
      <c r="G9" s="29" t="str">
        <f ca="1">VLOOKUP(A9,Calculation!$F$6:$J$1004,3,FALSE)</f>
        <v/>
      </c>
      <c r="H9" s="4" t="str">
        <f ca="1">VLOOKUP(A9,Calculation!$F$6:$J$1004,4,FALSE)</f>
        <v/>
      </c>
      <c r="I9" s="4" t="str">
        <f ca="1">VLOOKUP(A9,Calculation!$F$6:$J$1004,5,FALSE)</f>
        <v/>
      </c>
      <c r="J9" s="43" t="str">
        <f t="shared" ca="1" si="1"/>
        <v/>
      </c>
      <c r="K9" s="51"/>
      <c r="L9" s="29" t="str">
        <f ca="1">VLOOKUP(A9,Calculation!$G$6:$S$1004,2,FALSE)</f>
        <v/>
      </c>
      <c r="M9" s="4" t="str">
        <f ca="1">IFERROR(VLOOKUP($L9,Calculation!$H$6:$S$1005,HLOOKUP(M$2,Calculation!$M$4:$S$5,2,FALSE)+5,FALSE),"")</f>
        <v/>
      </c>
      <c r="N9" s="4" t="str">
        <f ca="1">IFERROR(VLOOKUP($L9,Calculation!$H$6:$S$1005,HLOOKUP(N$2,Calculation!$M$4:$S$5,2,FALSE)+5,FALSE),"")</f>
        <v/>
      </c>
      <c r="O9" s="4" t="str">
        <f ca="1">IFERROR(VLOOKUP($L9,Calculation!$H$6:$S$1005,HLOOKUP(O$2,Calculation!$M$4:$S$5,2,FALSE)+5,FALSE),"")</f>
        <v/>
      </c>
      <c r="P9" s="4" t="str">
        <f ca="1">IFERROR(VLOOKUP($L9,Calculation!$H$6:$S$1005,HLOOKUP(P$2,Calculation!$M$4:$S$5,2,FALSE)+5,FALSE),"")</f>
        <v/>
      </c>
      <c r="Q9" s="4" t="str">
        <f ca="1">IFERROR(VLOOKUP($L9,Calculation!$H$6:$S$1005,HLOOKUP(Q$2,Calculation!$M$4:$S$5,2,FALSE)+5,FALSE),"")</f>
        <v/>
      </c>
      <c r="R9" s="27" t="str">
        <f ca="1">IFERROR(VLOOKUP($L9,Calculation!$H$6:$S$1005,HLOOKUP(R$2,Calculation!$M$4:$S$5,2,FALSE)+5,FALSE),"")</f>
        <v/>
      </c>
      <c r="S9" s="53"/>
      <c r="T9" s="29"/>
      <c r="U9" s="43" t="str">
        <f>IFERROR(VLOOKUP(T9,Calculation!$U$6:$V$11,2,FALSE),"")</f>
        <v/>
      </c>
    </row>
    <row r="10" spans="1:21" ht="14.25" customHeight="1" x14ac:dyDescent="0.3">
      <c r="A10" s="26" t="str">
        <f ca="1">IF(Calculation!T13&lt;=Calculation!$H$4,Calculation!T13,"")</f>
        <v/>
      </c>
      <c r="B10" s="4" t="str">
        <f ca="1">VLOOKUP(A10,Calculation!$E$6:$J$1004,4,FALSE)</f>
        <v/>
      </c>
      <c r="C10" s="4" t="str">
        <f ca="1">VLOOKUP(A10,Calculation!$E$6:$J$1004,5,FALSE)</f>
        <v/>
      </c>
      <c r="D10" s="4" t="str">
        <f ca="1">VLOOKUP(A10,Calculation!$E$6:$J$1004,6,FALSE)</f>
        <v/>
      </c>
      <c r="E10" s="42" t="str">
        <f t="shared" ca="1" si="0"/>
        <v/>
      </c>
      <c r="F10" s="51"/>
      <c r="G10" s="29" t="str">
        <f ca="1">VLOOKUP(A10,Calculation!$F$6:$J$1004,3,FALSE)</f>
        <v/>
      </c>
      <c r="H10" s="4" t="str">
        <f ca="1">VLOOKUP(A10,Calculation!$F$6:$J$1004,4,FALSE)</f>
        <v/>
      </c>
      <c r="I10" s="4" t="str">
        <f ca="1">VLOOKUP(A10,Calculation!$F$6:$J$1004,5,FALSE)</f>
        <v/>
      </c>
      <c r="J10" s="43" t="str">
        <f t="shared" ca="1" si="1"/>
        <v/>
      </c>
      <c r="K10" s="51"/>
      <c r="L10" s="29" t="str">
        <f ca="1">VLOOKUP(A10,Calculation!$G$6:$S$1004,2,FALSE)</f>
        <v/>
      </c>
      <c r="M10" s="4" t="str">
        <f ca="1">IFERROR(VLOOKUP($L10,Calculation!$H$6:$S$1005,HLOOKUP(M$2,Calculation!$M$4:$S$5,2,FALSE)+5,FALSE),"")</f>
        <v/>
      </c>
      <c r="N10" s="4" t="str">
        <f ca="1">IFERROR(VLOOKUP($L10,Calculation!$H$6:$S$1005,HLOOKUP(N$2,Calculation!$M$4:$S$5,2,FALSE)+5,FALSE),"")</f>
        <v/>
      </c>
      <c r="O10" s="4" t="str">
        <f ca="1">IFERROR(VLOOKUP($L10,Calculation!$H$6:$S$1005,HLOOKUP(O$2,Calculation!$M$4:$S$5,2,FALSE)+5,FALSE),"")</f>
        <v/>
      </c>
      <c r="P10" s="4" t="str">
        <f ca="1">IFERROR(VLOOKUP($L10,Calculation!$H$6:$S$1005,HLOOKUP(P$2,Calculation!$M$4:$S$5,2,FALSE)+5,FALSE),"")</f>
        <v/>
      </c>
      <c r="Q10" s="4" t="str">
        <f ca="1">IFERROR(VLOOKUP($L10,Calculation!$H$6:$S$1005,HLOOKUP(Q$2,Calculation!$M$4:$S$5,2,FALSE)+5,FALSE),"")</f>
        <v/>
      </c>
      <c r="R10" s="27" t="str">
        <f ca="1">IFERROR(VLOOKUP($L10,Calculation!$H$6:$S$1005,HLOOKUP(R$2,Calculation!$M$4:$S$5,2,FALSE)+5,FALSE),"")</f>
        <v/>
      </c>
      <c r="S10" s="53"/>
      <c r="T10" s="29"/>
      <c r="U10" s="43" t="str">
        <f>IFERROR(VLOOKUP(T10,Calculation!$U$6:$V$11,2,FALSE),"")</f>
        <v/>
      </c>
    </row>
    <row r="11" spans="1:21" ht="14.25" customHeight="1" x14ac:dyDescent="0.3">
      <c r="A11" s="26" t="str">
        <f ca="1">IF(Calculation!T14&lt;=Calculation!$H$4,Calculation!T14,"")</f>
        <v/>
      </c>
      <c r="B11" s="4" t="str">
        <f ca="1">VLOOKUP(A11,Calculation!$E$6:$J$1004,4,FALSE)</f>
        <v/>
      </c>
      <c r="C11" s="4" t="str">
        <f ca="1">VLOOKUP(A11,Calculation!$E$6:$J$1004,5,FALSE)</f>
        <v/>
      </c>
      <c r="D11" s="4" t="str">
        <f ca="1">VLOOKUP(A11,Calculation!$E$6:$J$1004,6,FALSE)</f>
        <v/>
      </c>
      <c r="E11" s="42" t="str">
        <f t="shared" ca="1" si="0"/>
        <v/>
      </c>
      <c r="F11" s="51"/>
      <c r="G11" s="29" t="str">
        <f ca="1">VLOOKUP(A11,Calculation!$F$6:$J$1004,3,FALSE)</f>
        <v/>
      </c>
      <c r="H11" s="4" t="str">
        <f ca="1">VLOOKUP(A11,Calculation!$F$6:$J$1004,4,FALSE)</f>
        <v/>
      </c>
      <c r="I11" s="4" t="str">
        <f ca="1">VLOOKUP(A11,Calculation!$F$6:$J$1004,5,FALSE)</f>
        <v/>
      </c>
      <c r="J11" s="43" t="str">
        <f t="shared" ca="1" si="1"/>
        <v/>
      </c>
      <c r="K11" s="51"/>
      <c r="L11" s="29" t="str">
        <f ca="1">VLOOKUP(A11,Calculation!$G$6:$S$1004,2,FALSE)</f>
        <v/>
      </c>
      <c r="M11" s="4" t="str">
        <f ca="1">IFERROR(VLOOKUP($L11,Calculation!$H$6:$S$1005,HLOOKUP(M$2,Calculation!$M$4:$S$5,2,FALSE)+5,FALSE),"")</f>
        <v/>
      </c>
      <c r="N11" s="4" t="str">
        <f ca="1">IFERROR(VLOOKUP($L11,Calculation!$H$6:$S$1005,HLOOKUP(N$2,Calculation!$M$4:$S$5,2,FALSE)+5,FALSE),"")</f>
        <v/>
      </c>
      <c r="O11" s="4" t="str">
        <f ca="1">IFERROR(VLOOKUP($L11,Calculation!$H$6:$S$1005,HLOOKUP(O$2,Calculation!$M$4:$S$5,2,FALSE)+5,FALSE),"")</f>
        <v/>
      </c>
      <c r="P11" s="4" t="str">
        <f ca="1">IFERROR(VLOOKUP($L11,Calculation!$H$6:$S$1005,HLOOKUP(P$2,Calculation!$M$4:$S$5,2,FALSE)+5,FALSE),"")</f>
        <v/>
      </c>
      <c r="Q11" s="4" t="str">
        <f ca="1">IFERROR(VLOOKUP($L11,Calculation!$H$6:$S$1005,HLOOKUP(Q$2,Calculation!$M$4:$S$5,2,FALSE)+5,FALSE),"")</f>
        <v/>
      </c>
      <c r="R11" s="27" t="str">
        <f ca="1">IFERROR(VLOOKUP($L11,Calculation!$H$6:$S$1005,HLOOKUP(R$2,Calculation!$M$4:$S$5,2,FALSE)+5,FALSE),"")</f>
        <v/>
      </c>
      <c r="S11" s="53"/>
      <c r="T11" s="29"/>
      <c r="U11" s="43" t="str">
        <f>IFERROR(VLOOKUP(T11,Calculation!$U$6:$V$11,2,FALSE),"")</f>
        <v/>
      </c>
    </row>
    <row r="12" spans="1:21" ht="14.25" customHeight="1" x14ac:dyDescent="0.3">
      <c r="A12" s="26" t="str">
        <f ca="1">IF(Calculation!T15&lt;=Calculation!$H$4,Calculation!T15,"")</f>
        <v/>
      </c>
      <c r="B12" s="4" t="str">
        <f ca="1">VLOOKUP(A12,Calculation!$E$6:$J$1004,4,FALSE)</f>
        <v/>
      </c>
      <c r="C12" s="4" t="str">
        <f ca="1">VLOOKUP(A12,Calculation!$E$6:$J$1004,5,FALSE)</f>
        <v/>
      </c>
      <c r="D12" s="4" t="str">
        <f ca="1">VLOOKUP(A12,Calculation!$E$6:$J$1004,6,FALSE)</f>
        <v/>
      </c>
      <c r="E12" s="42" t="str">
        <f t="shared" ca="1" si="0"/>
        <v/>
      </c>
      <c r="F12" s="51"/>
      <c r="G12" s="29" t="str">
        <f ca="1">VLOOKUP(A12,Calculation!$F$6:$J$1004,3,FALSE)</f>
        <v/>
      </c>
      <c r="H12" s="4" t="str">
        <f ca="1">VLOOKUP(A12,Calculation!$F$6:$J$1004,4,FALSE)</f>
        <v/>
      </c>
      <c r="I12" s="4" t="str">
        <f ca="1">VLOOKUP(A12,Calculation!$F$6:$J$1004,5,FALSE)</f>
        <v/>
      </c>
      <c r="J12" s="43" t="str">
        <f t="shared" ca="1" si="1"/>
        <v/>
      </c>
      <c r="K12" s="51"/>
      <c r="L12" s="29" t="str">
        <f ca="1">VLOOKUP(A12,Calculation!$G$6:$S$1004,2,FALSE)</f>
        <v/>
      </c>
      <c r="M12" s="4" t="str">
        <f ca="1">IFERROR(VLOOKUP($L12,Calculation!$H$6:$S$1005,HLOOKUP(M$2,Calculation!$M$4:$S$5,2,FALSE)+5,FALSE),"")</f>
        <v/>
      </c>
      <c r="N12" s="4" t="str">
        <f ca="1">IFERROR(VLOOKUP($L12,Calculation!$H$6:$S$1005,HLOOKUP(N$2,Calculation!$M$4:$S$5,2,FALSE)+5,FALSE),"")</f>
        <v/>
      </c>
      <c r="O12" s="4"/>
      <c r="P12" s="4" t="str">
        <f ca="1">IFERROR(VLOOKUP($L12,Calculation!$H$6:$S$1005,HLOOKUP(P$2,Calculation!$M$4:$S$5,2,FALSE)+5,FALSE),"")</f>
        <v/>
      </c>
      <c r="Q12" s="4" t="str">
        <f ca="1">IFERROR(VLOOKUP($L12,Calculation!$H$6:$S$1005,HLOOKUP(Q$2,Calculation!$M$4:$S$5,2,FALSE)+5,FALSE),"")</f>
        <v/>
      </c>
      <c r="R12" s="27" t="str">
        <f ca="1">IFERROR(VLOOKUP($L12,Calculation!$H$6:$S$1005,HLOOKUP(R$2,Calculation!$M$4:$S$5,2,FALSE)+5,FALSE),"")</f>
        <v/>
      </c>
      <c r="S12" s="53"/>
      <c r="T12" s="29"/>
      <c r="U12" s="43" t="str">
        <f>IFERROR(VLOOKUP(T12,Calculation!$U$6:$V$11,2,FALSE),"")</f>
        <v/>
      </c>
    </row>
    <row r="13" spans="1:21" ht="14.25" customHeight="1" x14ac:dyDescent="0.3">
      <c r="A13" s="26" t="str">
        <f ca="1">IF(Calculation!T16&lt;=Calculation!$H$4,Calculation!T16,"")</f>
        <v/>
      </c>
      <c r="B13" s="4" t="str">
        <f ca="1">VLOOKUP(A13,Calculation!$E$6:$J$1004,4,FALSE)</f>
        <v/>
      </c>
      <c r="C13" s="4" t="str">
        <f ca="1">VLOOKUP(A13,Calculation!$E$6:$J$1004,5,FALSE)</f>
        <v/>
      </c>
      <c r="D13" s="4" t="str">
        <f ca="1">VLOOKUP(A13,Calculation!$E$6:$J$1004,6,FALSE)</f>
        <v/>
      </c>
      <c r="E13" s="42" t="str">
        <f t="shared" ca="1" si="0"/>
        <v/>
      </c>
      <c r="F13" s="51"/>
      <c r="G13" s="29" t="str">
        <f ca="1">VLOOKUP(A13,Calculation!$F$6:$J$1004,3,FALSE)</f>
        <v/>
      </c>
      <c r="H13" s="4" t="str">
        <f ca="1">VLOOKUP(A13,Calculation!$F$6:$J$1004,4,FALSE)</f>
        <v/>
      </c>
      <c r="I13" s="4" t="str">
        <f ca="1">VLOOKUP(A13,Calculation!$F$6:$J$1004,5,FALSE)</f>
        <v/>
      </c>
      <c r="J13" s="43" t="str">
        <f t="shared" ca="1" si="1"/>
        <v/>
      </c>
      <c r="K13" s="51"/>
      <c r="L13" s="29" t="str">
        <f ca="1">VLOOKUP(A13,Calculation!$G$6:$S$1004,2,FALSE)</f>
        <v/>
      </c>
      <c r="M13" s="4" t="str">
        <f ca="1">IFERROR(VLOOKUP($L13,Calculation!$H$6:$S$1005,HLOOKUP(M$2,Calculation!$M$4:$S$5,2,FALSE)+5,FALSE),"")</f>
        <v/>
      </c>
      <c r="N13" s="4" t="str">
        <f ca="1">IFERROR(VLOOKUP($L13,Calculation!$H$6:$S$1005,HLOOKUP(N$2,Calculation!$M$4:$S$5,2,FALSE)+5,FALSE),"")</f>
        <v/>
      </c>
      <c r="O13" s="4" t="str">
        <f ca="1">IFERROR(VLOOKUP($L13,Calculation!$H$6:$S$1005,HLOOKUP(O$2,Calculation!$M$4:$S$5,2,FALSE)+5,FALSE),"")</f>
        <v/>
      </c>
      <c r="P13" s="4" t="str">
        <f ca="1">IFERROR(VLOOKUP($L13,Calculation!$H$6:$S$1005,HLOOKUP(P$2,Calculation!$M$4:$S$5,2,FALSE)+5,FALSE),"")</f>
        <v/>
      </c>
      <c r="Q13" s="4" t="str">
        <f ca="1">IFERROR(VLOOKUP($L13,Calculation!$H$6:$S$1005,HLOOKUP(Q$2,Calculation!$M$4:$S$5,2,FALSE)+5,FALSE),"")</f>
        <v/>
      </c>
      <c r="R13" s="27" t="str">
        <f ca="1">IFERROR(VLOOKUP($L13,Calculation!$H$6:$S$1005,HLOOKUP(R$2,Calculation!$M$4:$S$5,2,FALSE)+5,FALSE),"")</f>
        <v/>
      </c>
      <c r="S13" s="53"/>
      <c r="T13" s="29"/>
      <c r="U13" s="43" t="str">
        <f>IFERROR(VLOOKUP(T13,Calculation!$U$6:$V$11,2,FALSE),"")</f>
        <v/>
      </c>
    </row>
    <row r="14" spans="1:21" ht="14.25" customHeight="1" x14ac:dyDescent="0.3">
      <c r="A14" s="26" t="str">
        <f ca="1">IF(Calculation!T17&lt;=Calculation!$H$4,Calculation!T17,"")</f>
        <v/>
      </c>
      <c r="B14" s="4" t="str">
        <f ca="1">VLOOKUP(A14,Calculation!$E$6:$J$1004,4,FALSE)</f>
        <v/>
      </c>
      <c r="C14" s="4" t="str">
        <f ca="1">VLOOKUP(A14,Calculation!$E$6:$J$1004,5,FALSE)</f>
        <v/>
      </c>
      <c r="D14" s="4" t="str">
        <f ca="1">VLOOKUP(A14,Calculation!$E$6:$J$1004,6,FALSE)</f>
        <v/>
      </c>
      <c r="E14" s="42" t="str">
        <f t="shared" ca="1" si="0"/>
        <v/>
      </c>
      <c r="F14" s="51"/>
      <c r="G14" s="29" t="str">
        <f ca="1">VLOOKUP(A14,Calculation!$F$6:$J$1004,3,FALSE)</f>
        <v/>
      </c>
      <c r="H14" s="4" t="str">
        <f ca="1">VLOOKUP(A14,Calculation!$F$6:$J$1004,4,FALSE)</f>
        <v/>
      </c>
      <c r="I14" s="4" t="str">
        <f ca="1">VLOOKUP(A14,Calculation!$F$6:$J$1004,5,FALSE)</f>
        <v/>
      </c>
      <c r="J14" s="43" t="str">
        <f t="shared" ca="1" si="1"/>
        <v/>
      </c>
      <c r="K14" s="51"/>
      <c r="L14" s="29" t="str">
        <f ca="1">VLOOKUP(A14,Calculation!$G$6:$S$1004,2,FALSE)</f>
        <v/>
      </c>
      <c r="M14" s="4" t="str">
        <f ca="1">IFERROR(VLOOKUP($L14,Calculation!$H$6:$S$1005,HLOOKUP(M$2,Calculation!$M$4:$S$5,2,FALSE)+5,FALSE),"")</f>
        <v/>
      </c>
      <c r="N14" s="4" t="str">
        <f ca="1">IFERROR(VLOOKUP($L14,Calculation!$H$6:$S$1005,HLOOKUP(N$2,Calculation!$M$4:$S$5,2,FALSE)+5,FALSE),"")</f>
        <v/>
      </c>
      <c r="O14" s="4" t="str">
        <f ca="1">IFERROR(VLOOKUP($L14,Calculation!$H$6:$S$1005,HLOOKUP(O$2,Calculation!$M$4:$S$5,2,FALSE)+5,FALSE),"")</f>
        <v/>
      </c>
      <c r="P14" s="4" t="str">
        <f ca="1">IFERROR(VLOOKUP($L14,Calculation!$H$6:$S$1005,HLOOKUP(P$2,Calculation!$M$4:$S$5,2,FALSE)+5,FALSE),"")</f>
        <v/>
      </c>
      <c r="Q14" s="4" t="str">
        <f ca="1">IFERROR(VLOOKUP($L14,Calculation!$H$6:$S$1005,HLOOKUP(Q$2,Calculation!$M$4:$S$5,2,FALSE)+5,FALSE),"")</f>
        <v/>
      </c>
      <c r="R14" s="27" t="str">
        <f ca="1">IFERROR(VLOOKUP($L14,Calculation!$H$6:$S$1005,HLOOKUP(R$2,Calculation!$M$4:$S$5,2,FALSE)+5,FALSE),"")</f>
        <v/>
      </c>
      <c r="S14" s="53"/>
      <c r="T14" s="29"/>
      <c r="U14" s="43" t="str">
        <f>IFERROR(VLOOKUP(T14,Calculation!$U$6:$V$11,2,FALSE),"")</f>
        <v/>
      </c>
    </row>
    <row r="15" spans="1:21" ht="14.25" customHeight="1" x14ac:dyDescent="0.3">
      <c r="A15" s="26" t="str">
        <f ca="1">IF(Calculation!T18&lt;=Calculation!$H$4,Calculation!T18,"")</f>
        <v/>
      </c>
      <c r="B15" s="4" t="str">
        <f ca="1">VLOOKUP(A15,Calculation!$E$6:$J$1004,4,FALSE)</f>
        <v/>
      </c>
      <c r="C15" s="4" t="str">
        <f ca="1">VLOOKUP(A15,Calculation!$E$6:$J$1004,5,FALSE)</f>
        <v/>
      </c>
      <c r="D15" s="4" t="str">
        <f ca="1">VLOOKUP(A15,Calculation!$E$6:$J$1004,6,FALSE)</f>
        <v/>
      </c>
      <c r="E15" s="42" t="str">
        <f t="shared" ca="1" si="0"/>
        <v/>
      </c>
      <c r="F15" s="51"/>
      <c r="G15" s="29" t="str">
        <f ca="1">VLOOKUP(A15,Calculation!$F$6:$J$1004,3,FALSE)</f>
        <v/>
      </c>
      <c r="H15" s="4" t="str">
        <f ca="1">VLOOKUP(A15,Calculation!$F$6:$J$1004,4,FALSE)</f>
        <v/>
      </c>
      <c r="I15" s="4" t="str">
        <f ca="1">VLOOKUP(A15,Calculation!$F$6:$J$1004,5,FALSE)</f>
        <v/>
      </c>
      <c r="J15" s="43" t="str">
        <f t="shared" ca="1" si="1"/>
        <v/>
      </c>
      <c r="K15" s="51"/>
      <c r="L15" s="29" t="str">
        <f ca="1">VLOOKUP(A15,Calculation!$G$6:$S$1004,2,FALSE)</f>
        <v/>
      </c>
      <c r="M15" s="4" t="str">
        <f ca="1">IFERROR(VLOOKUP($L15,Calculation!$H$6:$S$1005,HLOOKUP(M$2,Calculation!$M$4:$S$5,2,FALSE)+5,FALSE),"")</f>
        <v/>
      </c>
      <c r="N15" s="4" t="str">
        <f ca="1">IFERROR(VLOOKUP($L15,Calculation!$H$6:$S$1005,HLOOKUP(N$2,Calculation!$M$4:$S$5,2,FALSE)+5,FALSE),"")</f>
        <v/>
      </c>
      <c r="O15" s="4" t="str">
        <f ca="1">IFERROR(VLOOKUP($L15,Calculation!$H$6:$S$1005,HLOOKUP(O$2,Calculation!$M$4:$S$5,2,FALSE)+5,FALSE),"")</f>
        <v/>
      </c>
      <c r="P15" s="4" t="str">
        <f ca="1">IFERROR(VLOOKUP($L15,Calculation!$H$6:$S$1005,HLOOKUP(P$2,Calculation!$M$4:$S$5,2,FALSE)+5,FALSE),"")</f>
        <v/>
      </c>
      <c r="Q15" s="4" t="str">
        <f ca="1">IFERROR(VLOOKUP($L15,Calculation!$H$6:$S$1005,HLOOKUP(Q$2,Calculation!$M$4:$S$5,2,FALSE)+5,FALSE),"")</f>
        <v/>
      </c>
      <c r="R15" s="27" t="str">
        <f ca="1">IFERROR(VLOOKUP($L15,Calculation!$H$6:$S$1005,HLOOKUP(R$2,Calculation!$M$4:$S$5,2,FALSE)+5,FALSE),"")</f>
        <v/>
      </c>
      <c r="S15" s="53"/>
      <c r="T15" s="29"/>
      <c r="U15" s="43" t="str">
        <f>IFERROR(VLOOKUP(T15,Calculation!$U$6:$V$11,2,FALSE),"")</f>
        <v/>
      </c>
    </row>
    <row r="16" spans="1:21" ht="14.25" customHeight="1" x14ac:dyDescent="0.3">
      <c r="A16" s="26" t="str">
        <f ca="1">IF(Calculation!T19&lt;=Calculation!$H$4,Calculation!T19,"")</f>
        <v/>
      </c>
      <c r="B16" s="4" t="str">
        <f ca="1">VLOOKUP(A16,Calculation!$E$6:$J$1004,4,FALSE)</f>
        <v/>
      </c>
      <c r="C16" s="4" t="str">
        <f ca="1">VLOOKUP(A16,Calculation!$E$6:$J$1004,5,FALSE)</f>
        <v/>
      </c>
      <c r="D16" s="4" t="str">
        <f ca="1">VLOOKUP(A16,Calculation!$E$6:$J$1004,6,FALSE)</f>
        <v/>
      </c>
      <c r="E16" s="42" t="str">
        <f t="shared" ca="1" si="0"/>
        <v/>
      </c>
      <c r="F16" s="51"/>
      <c r="G16" s="29" t="str">
        <f ca="1">VLOOKUP(A16,Calculation!$F$6:$J$1004,3,FALSE)</f>
        <v/>
      </c>
      <c r="H16" s="4" t="str">
        <f ca="1">VLOOKUP(A16,Calculation!$F$6:$J$1004,4,FALSE)</f>
        <v/>
      </c>
      <c r="I16" s="4" t="str">
        <f ca="1">VLOOKUP(A16,Calculation!$F$6:$J$1004,5,FALSE)</f>
        <v/>
      </c>
      <c r="J16" s="43" t="str">
        <f t="shared" ca="1" si="1"/>
        <v/>
      </c>
      <c r="K16" s="51"/>
      <c r="L16" s="29" t="str">
        <f ca="1">VLOOKUP(A16,Calculation!$G$6:$S$1004,2,FALSE)</f>
        <v/>
      </c>
      <c r="M16" s="4" t="str">
        <f ca="1">IFERROR(VLOOKUP($L16,Calculation!$H$6:$S$1005,HLOOKUP(M$2,Calculation!$M$4:$S$5,2,FALSE)+5,FALSE),"")</f>
        <v/>
      </c>
      <c r="N16" s="4" t="str">
        <f ca="1">IFERROR(VLOOKUP($L16,Calculation!$H$6:$S$1005,HLOOKUP(N$2,Calculation!$M$4:$S$5,2,FALSE)+5,FALSE),"")</f>
        <v/>
      </c>
      <c r="O16" s="4" t="str">
        <f ca="1">IFERROR(VLOOKUP($L16,Calculation!$H$6:$S$1005,HLOOKUP(O$2,Calculation!$M$4:$S$5,2,FALSE)+5,FALSE),"")</f>
        <v/>
      </c>
      <c r="P16" s="4" t="str">
        <f ca="1">IFERROR(VLOOKUP($L16,Calculation!$H$6:$S$1005,HLOOKUP(P$2,Calculation!$M$4:$S$5,2,FALSE)+5,FALSE),"")</f>
        <v/>
      </c>
      <c r="Q16" s="4" t="str">
        <f ca="1">IFERROR(VLOOKUP($L16,Calculation!$H$6:$S$1005,HLOOKUP(Q$2,Calculation!$M$4:$S$5,2,FALSE)+5,FALSE),"")</f>
        <v/>
      </c>
      <c r="R16" s="27" t="str">
        <f ca="1">IFERROR(VLOOKUP($L16,Calculation!$H$6:$S$1005,HLOOKUP(R$2,Calculation!$M$4:$S$5,2,FALSE)+5,FALSE),"")</f>
        <v/>
      </c>
      <c r="S16" s="53"/>
      <c r="T16" s="29"/>
      <c r="U16" s="43" t="str">
        <f>IFERROR(VLOOKUP(T16,Calculation!$U$6:$V$11,2,FALSE),"")</f>
        <v/>
      </c>
    </row>
    <row r="17" spans="1:21" ht="14.25" customHeight="1" x14ac:dyDescent="0.3">
      <c r="A17" s="26" t="str">
        <f ca="1">IF(Calculation!T20&lt;=Calculation!$H$4,Calculation!T20,"")</f>
        <v/>
      </c>
      <c r="B17" s="4" t="str">
        <f ca="1">VLOOKUP(A17,Calculation!$E$6:$J$1004,4,FALSE)</f>
        <v/>
      </c>
      <c r="C17" s="4" t="str">
        <f ca="1">VLOOKUP(A17,Calculation!$E$6:$J$1004,5,FALSE)</f>
        <v/>
      </c>
      <c r="D17" s="4" t="str">
        <f ca="1">VLOOKUP(A17,Calculation!$E$6:$J$1004,6,FALSE)</f>
        <v/>
      </c>
      <c r="E17" s="42" t="str">
        <f t="shared" ca="1" si="0"/>
        <v/>
      </c>
      <c r="F17" s="51"/>
      <c r="G17" s="29" t="str">
        <f ca="1">VLOOKUP(A17,Calculation!$F$6:$J$1004,3,FALSE)</f>
        <v/>
      </c>
      <c r="H17" s="4" t="str">
        <f ca="1">VLOOKUP(A17,Calculation!$F$6:$J$1004,4,FALSE)</f>
        <v/>
      </c>
      <c r="I17" s="4" t="str">
        <f ca="1">VLOOKUP(A17,Calculation!$F$6:$J$1004,5,FALSE)</f>
        <v/>
      </c>
      <c r="J17" s="43" t="str">
        <f t="shared" ca="1" si="1"/>
        <v/>
      </c>
      <c r="K17" s="51"/>
      <c r="L17" s="29" t="str">
        <f ca="1">VLOOKUP(A17,Calculation!$G$6:$S$1004,2,FALSE)</f>
        <v/>
      </c>
      <c r="M17" s="4" t="str">
        <f ca="1">IFERROR(VLOOKUP($L17,Calculation!$H$6:$S$1005,HLOOKUP(M$2,Calculation!$M$4:$S$5,2,FALSE)+5,FALSE),"")</f>
        <v/>
      </c>
      <c r="N17" s="4" t="str">
        <f ca="1">IFERROR(VLOOKUP($L17,Calculation!$H$6:$S$1005,HLOOKUP(N$2,Calculation!$M$4:$S$5,2,FALSE)+5,FALSE),"")</f>
        <v/>
      </c>
      <c r="O17" s="4" t="str">
        <f ca="1">IFERROR(VLOOKUP($L17,Calculation!$H$6:$S$1005,HLOOKUP(O$2,Calculation!$M$4:$S$5,2,FALSE)+5,FALSE),"")</f>
        <v/>
      </c>
      <c r="P17" s="4" t="str">
        <f ca="1">IFERROR(VLOOKUP($L17,Calculation!$H$6:$S$1005,HLOOKUP(P$2,Calculation!$M$4:$S$5,2,FALSE)+5,FALSE),"")</f>
        <v/>
      </c>
      <c r="Q17" s="4" t="str">
        <f ca="1">IFERROR(VLOOKUP($L17,Calculation!$H$6:$S$1005,HLOOKUP(Q$2,Calculation!$M$4:$S$5,2,FALSE)+5,FALSE),"")</f>
        <v/>
      </c>
      <c r="R17" s="27" t="str">
        <f ca="1">IFERROR(VLOOKUP($L17,Calculation!$H$6:$S$1005,HLOOKUP(R$2,Calculation!$M$4:$S$5,2,FALSE)+5,FALSE),"")</f>
        <v/>
      </c>
      <c r="S17" s="53"/>
      <c r="T17" s="29"/>
      <c r="U17" s="43" t="str">
        <f>IFERROR(VLOOKUP(T17,Calculation!$U$6:$V$11,2,FALSE),"")</f>
        <v/>
      </c>
    </row>
    <row r="18" spans="1:21" ht="14.25" customHeight="1" x14ac:dyDescent="0.3">
      <c r="A18" s="26" t="str">
        <f ca="1">IF(Calculation!T21&lt;=Calculation!$H$4,Calculation!T21,"")</f>
        <v/>
      </c>
      <c r="B18" s="4" t="str">
        <f ca="1">VLOOKUP(A18,Calculation!$E$6:$J$1004,4,FALSE)</f>
        <v/>
      </c>
      <c r="C18" s="4" t="str">
        <f ca="1">VLOOKUP(A18,Calculation!$E$6:$J$1004,5,FALSE)</f>
        <v/>
      </c>
      <c r="D18" s="4" t="str">
        <f ca="1">VLOOKUP(A18,Calculation!$E$6:$J$1004,6,FALSE)</f>
        <v/>
      </c>
      <c r="E18" s="42" t="str">
        <f t="shared" ca="1" si="0"/>
        <v/>
      </c>
      <c r="F18" s="51"/>
      <c r="G18" s="29" t="str">
        <f ca="1">VLOOKUP(A18,Calculation!$F$6:$J$1004,3,FALSE)</f>
        <v/>
      </c>
      <c r="H18" s="4" t="str">
        <f ca="1">VLOOKUP(A18,Calculation!$F$6:$J$1004,4,FALSE)</f>
        <v/>
      </c>
      <c r="I18" s="4" t="str">
        <f ca="1">VLOOKUP(A18,Calculation!$F$6:$J$1004,5,FALSE)</f>
        <v/>
      </c>
      <c r="J18" s="43" t="str">
        <f t="shared" ca="1" si="1"/>
        <v/>
      </c>
      <c r="K18" s="51"/>
      <c r="L18" s="29" t="str">
        <f ca="1">VLOOKUP(A18,Calculation!$G$6:$S$1004,2,FALSE)</f>
        <v/>
      </c>
      <c r="M18" s="4" t="str">
        <f ca="1">IFERROR(VLOOKUP($L18,Calculation!$H$6:$S$1005,HLOOKUP(M$2,Calculation!$M$4:$S$5,2,FALSE)+5,FALSE),"")</f>
        <v/>
      </c>
      <c r="N18" s="4" t="str">
        <f ca="1">IFERROR(VLOOKUP($L18,Calculation!$H$6:$S$1005,HLOOKUP(N$2,Calculation!$M$4:$S$5,2,FALSE)+5,FALSE),"")</f>
        <v/>
      </c>
      <c r="O18" s="4" t="str">
        <f ca="1">IFERROR(VLOOKUP($L18,Calculation!$H$6:$S$1005,HLOOKUP(O$2,Calculation!$M$4:$S$5,2,FALSE)+5,FALSE),"")</f>
        <v/>
      </c>
      <c r="P18" s="4" t="str">
        <f ca="1">IFERROR(VLOOKUP($L18,Calculation!$H$6:$S$1005,HLOOKUP(P$2,Calculation!$M$4:$S$5,2,FALSE)+5,FALSE),"")</f>
        <v/>
      </c>
      <c r="Q18" s="4" t="str">
        <f ca="1">IFERROR(VLOOKUP($L18,Calculation!$H$6:$S$1005,HLOOKUP(Q$2,Calculation!$M$4:$S$5,2,FALSE)+5,FALSE),"")</f>
        <v/>
      </c>
      <c r="R18" s="27" t="str">
        <f ca="1">IFERROR(VLOOKUP($L18,Calculation!$H$6:$S$1005,HLOOKUP(R$2,Calculation!$M$4:$S$5,2,FALSE)+5,FALSE),"")</f>
        <v/>
      </c>
      <c r="S18" s="53"/>
      <c r="T18" s="29"/>
      <c r="U18" s="43" t="str">
        <f>IFERROR(VLOOKUP(T18,Calculation!$U$6:$V$11,2,FALSE),"")</f>
        <v/>
      </c>
    </row>
    <row r="19" spans="1:21" ht="14.25" customHeight="1" x14ac:dyDescent="0.3">
      <c r="A19" s="26" t="str">
        <f ca="1">IF(Calculation!T22&lt;=Calculation!$H$4,Calculation!T22,"")</f>
        <v/>
      </c>
      <c r="B19" s="4" t="str">
        <f ca="1">VLOOKUP(A19,Calculation!$E$6:$J$1004,4,FALSE)</f>
        <v/>
      </c>
      <c r="C19" s="4" t="str">
        <f ca="1">VLOOKUP(A19,Calculation!$E$6:$J$1004,5,FALSE)</f>
        <v/>
      </c>
      <c r="D19" s="4" t="str">
        <f ca="1">VLOOKUP(A19,Calculation!$E$6:$J$1004,6,FALSE)</f>
        <v/>
      </c>
      <c r="E19" s="42" t="str">
        <f t="shared" ca="1" si="0"/>
        <v/>
      </c>
      <c r="F19" s="51"/>
      <c r="G19" s="29" t="str">
        <f ca="1">VLOOKUP(A19,Calculation!$F$6:$J$1004,3,FALSE)</f>
        <v/>
      </c>
      <c r="H19" s="4" t="str">
        <f ca="1">VLOOKUP(A19,Calculation!$F$6:$J$1004,4,FALSE)</f>
        <v/>
      </c>
      <c r="I19" s="4" t="str">
        <f ca="1">VLOOKUP(A19,Calculation!$F$6:$J$1004,5,FALSE)</f>
        <v/>
      </c>
      <c r="J19" s="43" t="str">
        <f t="shared" ca="1" si="1"/>
        <v/>
      </c>
      <c r="K19" s="51"/>
      <c r="L19" s="29" t="str">
        <f ca="1">VLOOKUP(A19,Calculation!$G$6:$S$1004,2,FALSE)</f>
        <v/>
      </c>
      <c r="M19" s="4" t="str">
        <f ca="1">IFERROR(VLOOKUP($L19,Calculation!$H$6:$S$1005,HLOOKUP(M$2,Calculation!$M$4:$S$5,2,FALSE)+5,FALSE),"")</f>
        <v/>
      </c>
      <c r="N19" s="4" t="str">
        <f ca="1">IFERROR(VLOOKUP($L19,Calculation!$H$6:$S$1005,HLOOKUP(N$2,Calculation!$M$4:$S$5,2,FALSE)+5,FALSE),"")</f>
        <v/>
      </c>
      <c r="O19" s="4" t="str">
        <f ca="1">IFERROR(VLOOKUP($L19,Calculation!$H$6:$S$1005,HLOOKUP(O$2,Calculation!$M$4:$S$5,2,FALSE)+5,FALSE),"")</f>
        <v/>
      </c>
      <c r="P19" s="4" t="str">
        <f ca="1">IFERROR(VLOOKUP($L19,Calculation!$H$6:$S$1005,HLOOKUP(P$2,Calculation!$M$4:$S$5,2,FALSE)+5,FALSE),"")</f>
        <v/>
      </c>
      <c r="Q19" s="4" t="str">
        <f ca="1">IFERROR(VLOOKUP($L19,Calculation!$H$6:$S$1005,HLOOKUP(Q$2,Calculation!$M$4:$S$5,2,FALSE)+5,FALSE),"")</f>
        <v/>
      </c>
      <c r="R19" s="27" t="str">
        <f ca="1">IFERROR(VLOOKUP($L19,Calculation!$H$6:$S$1005,HLOOKUP(R$2,Calculation!$M$4:$S$5,2,FALSE)+5,FALSE),"")</f>
        <v/>
      </c>
      <c r="S19" s="53"/>
      <c r="T19" s="29"/>
      <c r="U19" s="43" t="str">
        <f>IFERROR(VLOOKUP(T19,Calculation!$U$6:$V$11,2,FALSE),"")</f>
        <v/>
      </c>
    </row>
    <row r="20" spans="1:21" ht="14.25" customHeight="1" x14ac:dyDescent="0.3">
      <c r="A20" s="26" t="str">
        <f ca="1">IF(Calculation!T23&lt;=Calculation!$H$4,Calculation!T23,"")</f>
        <v/>
      </c>
      <c r="B20" s="4" t="str">
        <f ca="1">VLOOKUP(A20,Calculation!$E$6:$J$1004,4,FALSE)</f>
        <v/>
      </c>
      <c r="C20" s="4" t="str">
        <f ca="1">VLOOKUP(A20,Calculation!$E$6:$J$1004,5,FALSE)</f>
        <v/>
      </c>
      <c r="D20" s="4" t="str">
        <f ca="1">VLOOKUP(A20,Calculation!$E$6:$J$1004,6,FALSE)</f>
        <v/>
      </c>
      <c r="E20" s="42" t="str">
        <f t="shared" ca="1" si="0"/>
        <v/>
      </c>
      <c r="F20" s="51"/>
      <c r="G20" s="29" t="str">
        <f ca="1">VLOOKUP(A20,Calculation!$F$6:$J$1004,3,FALSE)</f>
        <v/>
      </c>
      <c r="H20" s="4" t="str">
        <f ca="1">VLOOKUP(A20,Calculation!$F$6:$J$1004,4,FALSE)</f>
        <v/>
      </c>
      <c r="I20" s="4" t="str">
        <f ca="1">VLOOKUP(A20,Calculation!$F$6:$J$1004,5,FALSE)</f>
        <v/>
      </c>
      <c r="J20" s="43" t="str">
        <f t="shared" ca="1" si="1"/>
        <v/>
      </c>
      <c r="K20" s="51"/>
      <c r="L20" s="29" t="str">
        <f ca="1">VLOOKUP(A20,Calculation!$G$6:$S$1004,2,FALSE)</f>
        <v/>
      </c>
      <c r="M20" s="4" t="str">
        <f ca="1">IFERROR(VLOOKUP($L20,Calculation!$H$6:$S$1005,HLOOKUP(M$2,Calculation!$M$4:$S$5,2,FALSE)+5,FALSE),"")</f>
        <v/>
      </c>
      <c r="N20" s="4" t="str">
        <f ca="1">IFERROR(VLOOKUP($L20,Calculation!$H$6:$S$1005,HLOOKUP(N$2,Calculation!$M$4:$S$5,2,FALSE)+5,FALSE),"")</f>
        <v/>
      </c>
      <c r="O20" s="4" t="str">
        <f ca="1">IFERROR(VLOOKUP($L20,Calculation!$H$6:$S$1005,HLOOKUP(O$2,Calculation!$M$4:$S$5,2,FALSE)+5,FALSE),"")</f>
        <v/>
      </c>
      <c r="P20" s="4" t="str">
        <f ca="1">IFERROR(VLOOKUP($L20,Calculation!$H$6:$S$1005,HLOOKUP(P$2,Calculation!$M$4:$S$5,2,FALSE)+5,FALSE),"")</f>
        <v/>
      </c>
      <c r="Q20" s="4" t="str">
        <f ca="1">IFERROR(VLOOKUP($L20,Calculation!$H$6:$S$1005,HLOOKUP(Q$2,Calculation!$M$4:$S$5,2,FALSE)+5,FALSE),"")</f>
        <v/>
      </c>
      <c r="R20" s="27" t="str">
        <f ca="1">IFERROR(VLOOKUP($L20,Calculation!$H$6:$S$1005,HLOOKUP(R$2,Calculation!$M$4:$S$5,2,FALSE)+5,FALSE),"")</f>
        <v/>
      </c>
      <c r="S20" s="53"/>
      <c r="T20" s="29"/>
      <c r="U20" s="43" t="str">
        <f>IFERROR(VLOOKUP(T20,Calculation!$U$6:$V$11,2,FALSE),"")</f>
        <v/>
      </c>
    </row>
    <row r="21" spans="1:21" ht="14.25" customHeight="1" x14ac:dyDescent="0.3">
      <c r="A21" s="26" t="str">
        <f ca="1">IF(Calculation!T24&lt;=Calculation!$H$4,Calculation!T24,"")</f>
        <v/>
      </c>
      <c r="B21" s="4" t="str">
        <f ca="1">VLOOKUP(A21,Calculation!$E$6:$J$1004,4,FALSE)</f>
        <v/>
      </c>
      <c r="C21" s="4" t="str">
        <f ca="1">VLOOKUP(A21,Calculation!$E$6:$J$1004,5,FALSE)</f>
        <v/>
      </c>
      <c r="D21" s="4" t="str">
        <f ca="1">VLOOKUP(A21,Calculation!$E$6:$J$1004,6,FALSE)</f>
        <v/>
      </c>
      <c r="E21" s="42" t="str">
        <f t="shared" ca="1" si="0"/>
        <v/>
      </c>
      <c r="F21" s="51"/>
      <c r="G21" s="29" t="str">
        <f ca="1">VLOOKUP(A21,Calculation!$F$6:$J$1004,3,FALSE)</f>
        <v/>
      </c>
      <c r="H21" s="4" t="str">
        <f ca="1">VLOOKUP(A21,Calculation!$F$6:$J$1004,4,FALSE)</f>
        <v/>
      </c>
      <c r="I21" s="4" t="str">
        <f ca="1">VLOOKUP(A21,Calculation!$F$6:$J$1004,5,FALSE)</f>
        <v/>
      </c>
      <c r="J21" s="43" t="str">
        <f t="shared" ca="1" si="1"/>
        <v/>
      </c>
      <c r="K21" s="51"/>
      <c r="L21" s="29" t="str">
        <f ca="1">VLOOKUP(A21,Calculation!$G$6:$S$1004,2,FALSE)</f>
        <v/>
      </c>
      <c r="M21" s="4" t="str">
        <f ca="1">IFERROR(VLOOKUP($L21,Calculation!$H$6:$S$1005,HLOOKUP(M$2,Calculation!$M$4:$S$5,2,FALSE)+5,FALSE),"")</f>
        <v/>
      </c>
      <c r="N21" s="4" t="str">
        <f ca="1">IFERROR(VLOOKUP($L21,Calculation!$H$6:$S$1005,HLOOKUP(N$2,Calculation!$M$4:$S$5,2,FALSE)+5,FALSE),"")</f>
        <v/>
      </c>
      <c r="O21" s="4" t="str">
        <f ca="1">IFERROR(VLOOKUP($L21,Calculation!$H$6:$S$1005,HLOOKUP(O$2,Calculation!$M$4:$S$5,2,FALSE)+5,FALSE),"")</f>
        <v/>
      </c>
      <c r="P21" s="4" t="str">
        <f ca="1">IFERROR(VLOOKUP($L21,Calculation!$H$6:$S$1005,HLOOKUP(P$2,Calculation!$M$4:$S$5,2,FALSE)+5,FALSE),"")</f>
        <v/>
      </c>
      <c r="Q21" s="4" t="str">
        <f ca="1">IFERROR(VLOOKUP($L21,Calculation!$H$6:$S$1005,HLOOKUP(Q$2,Calculation!$M$4:$S$5,2,FALSE)+5,FALSE),"")</f>
        <v/>
      </c>
      <c r="R21" s="27" t="str">
        <f ca="1">IFERROR(VLOOKUP($L21,Calculation!$H$6:$S$1005,HLOOKUP(R$2,Calculation!$M$4:$S$5,2,FALSE)+5,FALSE),"")</f>
        <v/>
      </c>
      <c r="S21" s="53"/>
      <c r="T21" s="29"/>
      <c r="U21" s="43" t="str">
        <f>IFERROR(VLOOKUP(T21,Calculation!$U$6:$V$11,2,FALSE),"")</f>
        <v/>
      </c>
    </row>
    <row r="22" spans="1:21" ht="14.25" customHeight="1" x14ac:dyDescent="0.3">
      <c r="A22" s="26" t="str">
        <f ca="1">IF(Calculation!T25&lt;=Calculation!$H$4,Calculation!T25,"")</f>
        <v/>
      </c>
      <c r="B22" s="4" t="str">
        <f ca="1">VLOOKUP(A22,Calculation!$E$6:$J$1004,4,FALSE)</f>
        <v/>
      </c>
      <c r="C22" s="4" t="str">
        <f ca="1">VLOOKUP(A22,Calculation!$E$6:$J$1004,5,FALSE)</f>
        <v/>
      </c>
      <c r="D22" s="4" t="str">
        <f ca="1">VLOOKUP(A22,Calculation!$E$6:$J$1004,6,FALSE)</f>
        <v/>
      </c>
      <c r="E22" s="42" t="str">
        <f t="shared" ca="1" si="0"/>
        <v/>
      </c>
      <c r="F22" s="51"/>
      <c r="G22" s="29" t="str">
        <f ca="1">VLOOKUP(A22,Calculation!$F$6:$J$1004,3,FALSE)</f>
        <v/>
      </c>
      <c r="H22" s="4" t="str">
        <f ca="1">VLOOKUP(A22,Calculation!$F$6:$J$1004,4,FALSE)</f>
        <v/>
      </c>
      <c r="I22" s="4" t="str">
        <f ca="1">VLOOKUP(A22,Calculation!$F$6:$J$1004,5,FALSE)</f>
        <v/>
      </c>
      <c r="J22" s="43" t="str">
        <f t="shared" ca="1" si="1"/>
        <v/>
      </c>
      <c r="K22" s="51"/>
      <c r="L22" s="29" t="str">
        <f ca="1">VLOOKUP(A22,Calculation!$G$6:$S$1004,2,FALSE)</f>
        <v/>
      </c>
      <c r="M22" s="4" t="str">
        <f ca="1">IFERROR(VLOOKUP($L22,Calculation!$H$6:$S$1005,HLOOKUP(M$2,Calculation!$M$4:$S$5,2,FALSE)+5,FALSE),"")</f>
        <v/>
      </c>
      <c r="N22" s="4" t="str">
        <f ca="1">IFERROR(VLOOKUP($L22,Calculation!$H$6:$S$1005,HLOOKUP(N$2,Calculation!$M$4:$S$5,2,FALSE)+5,FALSE),"")</f>
        <v/>
      </c>
      <c r="O22" s="4" t="str">
        <f ca="1">IFERROR(VLOOKUP($L22,Calculation!$H$6:$S$1005,HLOOKUP(O$2,Calculation!$M$4:$S$5,2,FALSE)+5,FALSE),"")</f>
        <v/>
      </c>
      <c r="P22" s="4" t="str">
        <f ca="1">IFERROR(VLOOKUP($L22,Calculation!$H$6:$S$1005,HLOOKUP(P$2,Calculation!$M$4:$S$5,2,FALSE)+5,FALSE),"")</f>
        <v/>
      </c>
      <c r="Q22" s="4" t="str">
        <f ca="1">IFERROR(VLOOKUP($L22,Calculation!$H$6:$S$1005,HLOOKUP(Q$2,Calculation!$M$4:$S$5,2,FALSE)+5,FALSE),"")</f>
        <v/>
      </c>
      <c r="R22" s="27" t="str">
        <f ca="1">IFERROR(VLOOKUP($L22,Calculation!$H$6:$S$1005,HLOOKUP(R$2,Calculation!$M$4:$S$5,2,FALSE)+5,FALSE),"")</f>
        <v/>
      </c>
      <c r="S22" s="53"/>
      <c r="T22" s="29"/>
      <c r="U22" s="43" t="str">
        <f>IFERROR(VLOOKUP(T22,Calculation!$U$6:$V$11,2,FALSE),"")</f>
        <v/>
      </c>
    </row>
    <row r="23" spans="1:21" ht="14.25" customHeight="1" x14ac:dyDescent="0.3">
      <c r="A23" s="26" t="str">
        <f ca="1">IF(Calculation!T26&lt;=Calculation!$H$4,Calculation!T26,"")</f>
        <v/>
      </c>
      <c r="B23" s="4" t="str">
        <f ca="1">VLOOKUP(A23,Calculation!$E$6:$J$1004,4,FALSE)</f>
        <v/>
      </c>
      <c r="C23" s="4" t="str">
        <f ca="1">VLOOKUP(A23,Calculation!$E$6:$J$1004,5,FALSE)</f>
        <v/>
      </c>
      <c r="D23" s="4" t="str">
        <f ca="1">VLOOKUP(A23,Calculation!$E$6:$J$1004,6,FALSE)</f>
        <v/>
      </c>
      <c r="E23" s="42" t="str">
        <f t="shared" ca="1" si="0"/>
        <v/>
      </c>
      <c r="F23" s="51"/>
      <c r="G23" s="29" t="str">
        <f ca="1">VLOOKUP(A23,Calculation!$F$6:$J$1004,3,FALSE)</f>
        <v/>
      </c>
      <c r="H23" s="4" t="str">
        <f ca="1">VLOOKUP(A23,Calculation!$F$6:$J$1004,4,FALSE)</f>
        <v/>
      </c>
      <c r="I23" s="4" t="str">
        <f ca="1">VLOOKUP(A23,Calculation!$F$6:$J$1004,5,FALSE)</f>
        <v/>
      </c>
      <c r="J23" s="43" t="str">
        <f t="shared" ca="1" si="1"/>
        <v/>
      </c>
      <c r="K23" s="51"/>
      <c r="L23" s="29" t="str">
        <f ca="1">VLOOKUP(A23,Calculation!$G$6:$S$1004,2,FALSE)</f>
        <v/>
      </c>
      <c r="M23" s="4" t="str">
        <f ca="1">IFERROR(VLOOKUP($L23,Calculation!$H$6:$S$1005,HLOOKUP(M$2,Calculation!$M$4:$S$5,2,FALSE)+5,FALSE),"")</f>
        <v/>
      </c>
      <c r="N23" s="4" t="str">
        <f ca="1">IFERROR(VLOOKUP($L23,Calculation!$H$6:$S$1005,HLOOKUP(N$2,Calculation!$M$4:$S$5,2,FALSE)+5,FALSE),"")</f>
        <v/>
      </c>
      <c r="O23" s="4" t="str">
        <f ca="1">IFERROR(VLOOKUP($L23,Calculation!$H$6:$S$1005,HLOOKUP(O$2,Calculation!$M$4:$S$5,2,FALSE)+5,FALSE),"")</f>
        <v/>
      </c>
      <c r="P23" s="4" t="str">
        <f ca="1">IFERROR(VLOOKUP($L23,Calculation!$H$6:$S$1005,HLOOKUP(P$2,Calculation!$M$4:$S$5,2,FALSE)+5,FALSE),"")</f>
        <v/>
      </c>
      <c r="Q23" s="4" t="str">
        <f ca="1">IFERROR(VLOOKUP($L23,Calculation!$H$6:$S$1005,HLOOKUP(Q$2,Calculation!$M$4:$S$5,2,FALSE)+5,FALSE),"")</f>
        <v/>
      </c>
      <c r="R23" s="27" t="str">
        <f ca="1">IFERROR(VLOOKUP($L23,Calculation!$H$6:$S$1005,HLOOKUP(R$2,Calculation!$M$4:$S$5,2,FALSE)+5,FALSE),"")</f>
        <v/>
      </c>
      <c r="S23" s="53"/>
      <c r="T23" s="29"/>
      <c r="U23" s="43" t="str">
        <f>IFERROR(VLOOKUP(T23,Calculation!$U$6:$V$11,2,FALSE),"")</f>
        <v/>
      </c>
    </row>
    <row r="24" spans="1:21" ht="14.25" customHeight="1" x14ac:dyDescent="0.3">
      <c r="A24" s="26" t="str">
        <f ca="1">IF(Calculation!T27&lt;=Calculation!$H$4,Calculation!T27,"")</f>
        <v/>
      </c>
      <c r="B24" s="4" t="str">
        <f ca="1">VLOOKUP(A24,Calculation!$E$6:$J$1004,4,FALSE)</f>
        <v/>
      </c>
      <c r="C24" s="4" t="str">
        <f ca="1">VLOOKUP(A24,Calculation!$E$6:$J$1004,5,FALSE)</f>
        <v/>
      </c>
      <c r="D24" s="4" t="str">
        <f ca="1">VLOOKUP(A24,Calculation!$E$6:$J$1004,6,FALSE)</f>
        <v/>
      </c>
      <c r="E24" s="42" t="str">
        <f t="shared" ca="1" si="0"/>
        <v/>
      </c>
      <c r="F24" s="51"/>
      <c r="G24" s="29" t="str">
        <f ca="1">VLOOKUP(A24,Calculation!$F$6:$J$1004,3,FALSE)</f>
        <v/>
      </c>
      <c r="H24" s="4" t="str">
        <f ca="1">VLOOKUP(A24,Calculation!$F$6:$J$1004,4,FALSE)</f>
        <v/>
      </c>
      <c r="I24" s="4" t="str">
        <f ca="1">VLOOKUP(A24,Calculation!$F$6:$J$1004,5,FALSE)</f>
        <v/>
      </c>
      <c r="J24" s="43" t="str">
        <f t="shared" ca="1" si="1"/>
        <v/>
      </c>
      <c r="K24" s="51"/>
      <c r="L24" s="29" t="str">
        <f ca="1">VLOOKUP(A24,Calculation!$G$6:$S$1004,2,FALSE)</f>
        <v/>
      </c>
      <c r="M24" s="4" t="str">
        <f ca="1">IFERROR(VLOOKUP($L24,Calculation!$H$6:$S$1005,HLOOKUP(M$2,Calculation!$M$4:$S$5,2,FALSE)+5,FALSE),"")</f>
        <v/>
      </c>
      <c r="N24" s="4" t="str">
        <f ca="1">IFERROR(VLOOKUP($L24,Calculation!$H$6:$S$1005,HLOOKUP(N$2,Calculation!$M$4:$S$5,2,FALSE)+5,FALSE),"")</f>
        <v/>
      </c>
      <c r="O24" s="4" t="str">
        <f ca="1">IFERROR(VLOOKUP($L24,Calculation!$H$6:$S$1005,HLOOKUP(O$2,Calculation!$M$4:$S$5,2,FALSE)+5,FALSE),"")</f>
        <v/>
      </c>
      <c r="P24" s="4" t="str">
        <f ca="1">IFERROR(VLOOKUP($L24,Calculation!$H$6:$S$1005,HLOOKUP(P$2,Calculation!$M$4:$S$5,2,FALSE)+5,FALSE),"")</f>
        <v/>
      </c>
      <c r="Q24" s="4" t="str">
        <f ca="1">IFERROR(VLOOKUP($L24,Calculation!$H$6:$S$1005,HLOOKUP(Q$2,Calculation!$M$4:$S$5,2,FALSE)+5,FALSE),"")</f>
        <v/>
      </c>
      <c r="R24" s="27" t="str">
        <f ca="1">IFERROR(VLOOKUP($L24,Calculation!$H$6:$S$1005,HLOOKUP(R$2,Calculation!$M$4:$S$5,2,FALSE)+5,FALSE),"")</f>
        <v/>
      </c>
      <c r="S24" s="53"/>
      <c r="T24" s="29"/>
      <c r="U24" s="43" t="str">
        <f>IFERROR(VLOOKUP(T24,Calculation!$U$6:$V$11,2,FALSE),"")</f>
        <v/>
      </c>
    </row>
    <row r="25" spans="1:21" ht="14.25" customHeight="1" x14ac:dyDescent="0.3">
      <c r="A25" s="26" t="str">
        <f ca="1">IF(Calculation!T28&lt;=Calculation!$H$4,Calculation!T28,"")</f>
        <v/>
      </c>
      <c r="B25" s="4" t="str">
        <f ca="1">VLOOKUP(A25,Calculation!$E$6:$J$1004,4,FALSE)</f>
        <v/>
      </c>
      <c r="C25" s="4" t="str">
        <f ca="1">VLOOKUP(A25,Calculation!$E$6:$J$1004,5,FALSE)</f>
        <v/>
      </c>
      <c r="D25" s="4" t="str">
        <f ca="1">VLOOKUP(A25,Calculation!$E$6:$J$1004,6,FALSE)</f>
        <v/>
      </c>
      <c r="E25" s="42" t="str">
        <f t="shared" ca="1" si="0"/>
        <v/>
      </c>
      <c r="F25" s="51"/>
      <c r="G25" s="29" t="str">
        <f ca="1">VLOOKUP(A25,Calculation!$F$6:$J$1004,3,FALSE)</f>
        <v/>
      </c>
      <c r="H25" s="4" t="str">
        <f ca="1">VLOOKUP(A25,Calculation!$F$6:$J$1004,4,FALSE)</f>
        <v/>
      </c>
      <c r="I25" s="4" t="str">
        <f ca="1">VLOOKUP(A25,Calculation!$F$6:$J$1004,5,FALSE)</f>
        <v/>
      </c>
      <c r="J25" s="43" t="str">
        <f t="shared" ca="1" si="1"/>
        <v/>
      </c>
      <c r="K25" s="51"/>
      <c r="L25" s="29" t="str">
        <f ca="1">VLOOKUP(A25,Calculation!$G$6:$S$1004,2,FALSE)</f>
        <v/>
      </c>
      <c r="M25" s="4" t="str">
        <f ca="1">IFERROR(VLOOKUP($L25,Calculation!$H$6:$S$1005,HLOOKUP(M$2,Calculation!$M$4:$S$5,2,FALSE)+5,FALSE),"")</f>
        <v/>
      </c>
      <c r="N25" s="4" t="str">
        <f ca="1">IFERROR(VLOOKUP($L25,Calculation!$H$6:$S$1005,HLOOKUP(N$2,Calculation!$M$4:$S$5,2,FALSE)+5,FALSE),"")</f>
        <v/>
      </c>
      <c r="O25" s="4" t="str">
        <f ca="1">IFERROR(VLOOKUP($L25,Calculation!$H$6:$S$1005,HLOOKUP(O$2,Calculation!$M$4:$S$5,2,FALSE)+5,FALSE),"")</f>
        <v/>
      </c>
      <c r="P25" s="4" t="str">
        <f ca="1">IFERROR(VLOOKUP($L25,Calculation!$H$6:$S$1005,HLOOKUP(P$2,Calculation!$M$4:$S$5,2,FALSE)+5,FALSE),"")</f>
        <v/>
      </c>
      <c r="Q25" s="4" t="str">
        <f ca="1">IFERROR(VLOOKUP($L25,Calculation!$H$6:$S$1005,HLOOKUP(Q$2,Calculation!$M$4:$S$5,2,FALSE)+5,FALSE),"")</f>
        <v/>
      </c>
      <c r="R25" s="27" t="str">
        <f ca="1">IFERROR(VLOOKUP($L25,Calculation!$H$6:$S$1005,HLOOKUP(R$2,Calculation!$M$4:$S$5,2,FALSE)+5,FALSE),"")</f>
        <v/>
      </c>
      <c r="S25" s="53"/>
      <c r="T25" s="29"/>
      <c r="U25" s="43" t="str">
        <f>IFERROR(VLOOKUP(T25,Calculation!$U$6:$V$11,2,FALSE),"")</f>
        <v/>
      </c>
    </row>
    <row r="26" spans="1:21" ht="14.25" customHeight="1" x14ac:dyDescent="0.3">
      <c r="A26" s="26" t="str">
        <f ca="1">IF(Calculation!T29&lt;=Calculation!$H$4,Calculation!T29,"")</f>
        <v/>
      </c>
      <c r="B26" s="4" t="str">
        <f ca="1">VLOOKUP(A26,Calculation!$E$6:$J$1004,4,FALSE)</f>
        <v/>
      </c>
      <c r="C26" s="4" t="str">
        <f ca="1">VLOOKUP(A26,Calculation!$E$6:$J$1004,5,FALSE)</f>
        <v/>
      </c>
      <c r="D26" s="4" t="str">
        <f ca="1">VLOOKUP(A26,Calculation!$E$6:$J$1004,6,FALSE)</f>
        <v/>
      </c>
      <c r="E26" s="42" t="str">
        <f t="shared" ca="1" si="0"/>
        <v/>
      </c>
      <c r="F26" s="51"/>
      <c r="G26" s="29" t="str">
        <f ca="1">VLOOKUP(A26,Calculation!$F$6:$J$1004,3,FALSE)</f>
        <v/>
      </c>
      <c r="H26" s="4" t="str">
        <f ca="1">VLOOKUP(A26,Calculation!$F$6:$J$1004,4,FALSE)</f>
        <v/>
      </c>
      <c r="I26" s="4" t="str">
        <f ca="1">VLOOKUP(A26,Calculation!$F$6:$J$1004,5,FALSE)</f>
        <v/>
      </c>
      <c r="J26" s="43" t="str">
        <f t="shared" ca="1" si="1"/>
        <v/>
      </c>
      <c r="K26" s="51"/>
      <c r="L26" s="29" t="str">
        <f ca="1">VLOOKUP(A26,Calculation!$G$6:$S$1004,2,FALSE)</f>
        <v/>
      </c>
      <c r="M26" s="4" t="str">
        <f ca="1">IFERROR(VLOOKUP($L26,Calculation!$H$6:$S$1005,HLOOKUP(M$2,Calculation!$M$4:$S$5,2,FALSE)+5,FALSE),"")</f>
        <v/>
      </c>
      <c r="N26" s="4" t="str">
        <f ca="1">IFERROR(VLOOKUP($L26,Calculation!$H$6:$S$1005,HLOOKUP(N$2,Calculation!$M$4:$S$5,2,FALSE)+5,FALSE),"")</f>
        <v/>
      </c>
      <c r="O26" s="4" t="str">
        <f ca="1">IFERROR(VLOOKUP($L26,Calculation!$H$6:$S$1005,HLOOKUP(O$2,Calculation!$M$4:$S$5,2,FALSE)+5,FALSE),"")</f>
        <v/>
      </c>
      <c r="P26" s="4" t="str">
        <f ca="1">IFERROR(VLOOKUP($L26,Calculation!$H$6:$S$1005,HLOOKUP(P$2,Calculation!$M$4:$S$5,2,FALSE)+5,FALSE),"")</f>
        <v/>
      </c>
      <c r="Q26" s="4" t="str">
        <f ca="1">IFERROR(VLOOKUP($L26,Calculation!$H$6:$S$1005,HLOOKUP(Q$2,Calculation!$M$4:$S$5,2,FALSE)+5,FALSE),"")</f>
        <v/>
      </c>
      <c r="R26" s="27" t="str">
        <f ca="1">IFERROR(VLOOKUP($L26,Calculation!$H$6:$S$1005,HLOOKUP(R$2,Calculation!$M$4:$S$5,2,FALSE)+5,FALSE),"")</f>
        <v/>
      </c>
      <c r="S26" s="53"/>
      <c r="T26" s="29"/>
      <c r="U26" s="43" t="str">
        <f>IFERROR(VLOOKUP(T26,Calculation!$U$6:$V$11,2,FALSE),"")</f>
        <v/>
      </c>
    </row>
    <row r="27" spans="1:21" ht="14.25" customHeight="1" x14ac:dyDescent="0.3">
      <c r="A27" s="26" t="str">
        <f ca="1">IF(Calculation!T30&lt;=Calculation!$H$4,Calculation!T30,"")</f>
        <v/>
      </c>
      <c r="B27" s="4" t="str">
        <f ca="1">VLOOKUP(A27,Calculation!$E$6:$J$1004,4,FALSE)</f>
        <v/>
      </c>
      <c r="C27" s="4" t="str">
        <f ca="1">VLOOKUP(A27,Calculation!$E$6:$J$1004,5,FALSE)</f>
        <v/>
      </c>
      <c r="D27" s="4" t="str">
        <f ca="1">VLOOKUP(A27,Calculation!$E$6:$J$1004,6,FALSE)</f>
        <v/>
      </c>
      <c r="E27" s="42" t="str">
        <f t="shared" ca="1" si="0"/>
        <v/>
      </c>
      <c r="F27" s="51"/>
      <c r="G27" s="29" t="str">
        <f ca="1">VLOOKUP(A27,Calculation!$F$6:$J$1004,3,FALSE)</f>
        <v/>
      </c>
      <c r="H27" s="4" t="str">
        <f ca="1">VLOOKUP(A27,Calculation!$F$6:$J$1004,4,FALSE)</f>
        <v/>
      </c>
      <c r="I27" s="4" t="str">
        <f ca="1">VLOOKUP(A27,Calculation!$F$6:$J$1004,5,FALSE)</f>
        <v/>
      </c>
      <c r="J27" s="43" t="str">
        <f t="shared" ca="1" si="1"/>
        <v/>
      </c>
      <c r="K27" s="51"/>
      <c r="L27" s="29" t="str">
        <f ca="1">VLOOKUP(A27,Calculation!$G$6:$S$1004,2,FALSE)</f>
        <v/>
      </c>
      <c r="M27" s="4" t="str">
        <f ca="1">IFERROR(VLOOKUP($L27,Calculation!$H$6:$S$1005,HLOOKUP(M$2,Calculation!$M$4:$S$5,2,FALSE)+5,FALSE),"")</f>
        <v/>
      </c>
      <c r="N27" s="4" t="str">
        <f ca="1">IFERROR(VLOOKUP($L27,Calculation!$H$6:$S$1005,HLOOKUP(N$2,Calculation!$M$4:$S$5,2,FALSE)+5,FALSE),"")</f>
        <v/>
      </c>
      <c r="O27" s="4" t="str">
        <f ca="1">IFERROR(VLOOKUP($L27,Calculation!$H$6:$S$1005,HLOOKUP(O$2,Calculation!$M$4:$S$5,2,FALSE)+5,FALSE),"")</f>
        <v/>
      </c>
      <c r="P27" s="4" t="str">
        <f ca="1">IFERROR(VLOOKUP($L27,Calculation!$H$6:$S$1005,HLOOKUP(P$2,Calculation!$M$4:$S$5,2,FALSE)+5,FALSE),"")</f>
        <v/>
      </c>
      <c r="Q27" s="4" t="str">
        <f ca="1">IFERROR(VLOOKUP($L27,Calculation!$H$6:$S$1005,HLOOKUP(Q$2,Calculation!$M$4:$S$5,2,FALSE)+5,FALSE),"")</f>
        <v/>
      </c>
      <c r="R27" s="27" t="str">
        <f ca="1">IFERROR(VLOOKUP($L27,Calculation!$H$6:$S$1005,HLOOKUP(R$2,Calculation!$M$4:$S$5,2,FALSE)+5,FALSE),"")</f>
        <v/>
      </c>
      <c r="S27" s="53"/>
      <c r="T27" s="29"/>
      <c r="U27" s="43" t="str">
        <f>IFERROR(VLOOKUP(T27,Calculation!$U$6:$V$11,2,FALSE),"")</f>
        <v/>
      </c>
    </row>
    <row r="28" spans="1:21" ht="14.25" customHeight="1" x14ac:dyDescent="0.3">
      <c r="A28" s="26" t="str">
        <f ca="1">IF(Calculation!T31&lt;=Calculation!$H$4,Calculation!T31,"")</f>
        <v/>
      </c>
      <c r="B28" s="4" t="str">
        <f ca="1">VLOOKUP(A28,Calculation!$E$6:$J$1004,4,FALSE)</f>
        <v/>
      </c>
      <c r="C28" s="4" t="str">
        <f ca="1">VLOOKUP(A28,Calculation!$E$6:$J$1004,5,FALSE)</f>
        <v/>
      </c>
      <c r="D28" s="4" t="str">
        <f ca="1">VLOOKUP(A28,Calculation!$E$6:$J$1004,6,FALSE)</f>
        <v/>
      </c>
      <c r="E28" s="42" t="str">
        <f t="shared" ca="1" si="0"/>
        <v/>
      </c>
      <c r="F28" s="51"/>
      <c r="G28" s="29" t="str">
        <f ca="1">VLOOKUP(A28,Calculation!$F$6:$J$1004,3,FALSE)</f>
        <v/>
      </c>
      <c r="H28" s="4" t="str">
        <f ca="1">VLOOKUP(A28,Calculation!$F$6:$J$1004,4,FALSE)</f>
        <v/>
      </c>
      <c r="I28" s="4" t="str">
        <f ca="1">VLOOKUP(A28,Calculation!$F$6:$J$1004,5,FALSE)</f>
        <v/>
      </c>
      <c r="J28" s="43" t="str">
        <f t="shared" ca="1" si="1"/>
        <v/>
      </c>
      <c r="K28" s="51"/>
      <c r="L28" s="29" t="str">
        <f ca="1">VLOOKUP(A28,Calculation!$G$6:$S$1004,2,FALSE)</f>
        <v/>
      </c>
      <c r="M28" s="4" t="str">
        <f ca="1">IFERROR(VLOOKUP($L28,Calculation!$H$6:$S$1005,HLOOKUP(M$2,Calculation!$M$4:$S$5,2,FALSE)+5,FALSE),"")</f>
        <v/>
      </c>
      <c r="N28" s="4" t="str">
        <f ca="1">IFERROR(VLOOKUP($L28,Calculation!$H$6:$S$1005,HLOOKUP(N$2,Calculation!$M$4:$S$5,2,FALSE)+5,FALSE),"")</f>
        <v/>
      </c>
      <c r="O28" s="4" t="str">
        <f ca="1">IFERROR(VLOOKUP($L28,Calculation!$H$6:$S$1005,HLOOKUP(O$2,Calculation!$M$4:$S$5,2,FALSE)+5,FALSE),"")</f>
        <v/>
      </c>
      <c r="P28" s="4" t="str">
        <f ca="1">IFERROR(VLOOKUP($L28,Calculation!$H$6:$S$1005,HLOOKUP(P$2,Calculation!$M$4:$S$5,2,FALSE)+5,FALSE),"")</f>
        <v/>
      </c>
      <c r="Q28" s="4" t="str">
        <f ca="1">IFERROR(VLOOKUP($L28,Calculation!$H$6:$S$1005,HLOOKUP(Q$2,Calculation!$M$4:$S$5,2,FALSE)+5,FALSE),"")</f>
        <v/>
      </c>
      <c r="R28" s="27" t="str">
        <f ca="1">IFERROR(VLOOKUP($L28,Calculation!$H$6:$S$1005,HLOOKUP(R$2,Calculation!$M$4:$S$5,2,FALSE)+5,FALSE),"")</f>
        <v/>
      </c>
      <c r="S28" s="53"/>
      <c r="T28" s="29"/>
      <c r="U28" s="43" t="str">
        <f>IFERROR(VLOOKUP(T28,Calculation!$U$6:$V$11,2,FALSE),"")</f>
        <v/>
      </c>
    </row>
    <row r="29" spans="1:21" ht="14.25" customHeight="1" x14ac:dyDescent="0.3">
      <c r="A29" s="26" t="str">
        <f ca="1">IF(Calculation!T32&lt;=Calculation!$H$4,Calculation!T32,"")</f>
        <v/>
      </c>
      <c r="B29" s="4" t="str">
        <f ca="1">VLOOKUP(A29,Calculation!$E$6:$J$1004,4,FALSE)</f>
        <v/>
      </c>
      <c r="C29" s="4" t="str">
        <f ca="1">VLOOKUP(A29,Calculation!$E$6:$J$1004,5,FALSE)</f>
        <v/>
      </c>
      <c r="D29" s="4" t="str">
        <f ca="1">VLOOKUP(A29,Calculation!$E$6:$J$1004,6,FALSE)</f>
        <v/>
      </c>
      <c r="E29" s="42" t="str">
        <f t="shared" ca="1" si="0"/>
        <v/>
      </c>
      <c r="F29" s="51"/>
      <c r="G29" s="29" t="str">
        <f ca="1">VLOOKUP(A29,Calculation!$F$6:$J$1004,3,FALSE)</f>
        <v/>
      </c>
      <c r="H29" s="4" t="str">
        <f ca="1">VLOOKUP(A29,Calculation!$F$6:$J$1004,4,FALSE)</f>
        <v/>
      </c>
      <c r="I29" s="4" t="str">
        <f ca="1">VLOOKUP(A29,Calculation!$F$6:$J$1004,5,FALSE)</f>
        <v/>
      </c>
      <c r="J29" s="43" t="str">
        <f t="shared" ca="1" si="1"/>
        <v/>
      </c>
      <c r="K29" s="51"/>
      <c r="L29" s="29" t="str">
        <f ca="1">VLOOKUP(A29,Calculation!$G$6:$S$1004,2,FALSE)</f>
        <v/>
      </c>
      <c r="M29" s="4" t="str">
        <f ca="1">IFERROR(VLOOKUP($L29,Calculation!$H$6:$S$1005,HLOOKUP(M$2,Calculation!$M$4:$S$5,2,FALSE)+5,FALSE),"")</f>
        <v/>
      </c>
      <c r="N29" s="4" t="str">
        <f ca="1">IFERROR(VLOOKUP($L29,Calculation!$H$6:$S$1005,HLOOKUP(N$2,Calculation!$M$4:$S$5,2,FALSE)+5,FALSE),"")</f>
        <v/>
      </c>
      <c r="O29" s="4" t="str">
        <f ca="1">IFERROR(VLOOKUP($L29,Calculation!$H$6:$S$1005,HLOOKUP(O$2,Calculation!$M$4:$S$5,2,FALSE)+5,FALSE),"")</f>
        <v/>
      </c>
      <c r="P29" s="4" t="str">
        <f ca="1">IFERROR(VLOOKUP($L29,Calculation!$H$6:$S$1005,HLOOKUP(P$2,Calculation!$M$4:$S$5,2,FALSE)+5,FALSE),"")</f>
        <v/>
      </c>
      <c r="Q29" s="4" t="str">
        <f ca="1">IFERROR(VLOOKUP($L29,Calculation!$H$6:$S$1005,HLOOKUP(Q$2,Calculation!$M$4:$S$5,2,FALSE)+5,FALSE),"")</f>
        <v/>
      </c>
      <c r="R29" s="27" t="str">
        <f ca="1">IFERROR(VLOOKUP($L29,Calculation!$H$6:$S$1005,HLOOKUP(R$2,Calculation!$M$4:$S$5,2,FALSE)+5,FALSE),"")</f>
        <v/>
      </c>
      <c r="S29" s="53"/>
      <c r="T29" s="29"/>
      <c r="U29" s="43" t="str">
        <f>IFERROR(VLOOKUP(T29,Calculation!$U$6:$V$11,2,FALSE),"")</f>
        <v/>
      </c>
    </row>
    <row r="30" spans="1:21" ht="14.25" customHeight="1" x14ac:dyDescent="0.3">
      <c r="A30" s="26" t="str">
        <f ca="1">IF(Calculation!T33&lt;=Calculation!$H$4,Calculation!T33,"")</f>
        <v/>
      </c>
      <c r="B30" s="4" t="str">
        <f ca="1">VLOOKUP(A30,Calculation!$E$6:$J$1004,4,FALSE)</f>
        <v/>
      </c>
      <c r="C30" s="4" t="str">
        <f ca="1">VLOOKUP(A30,Calculation!$E$6:$J$1004,5,FALSE)</f>
        <v/>
      </c>
      <c r="D30" s="4" t="str">
        <f ca="1">VLOOKUP(A30,Calculation!$E$6:$J$1004,6,FALSE)</f>
        <v/>
      </c>
      <c r="E30" s="42" t="str">
        <f t="shared" ca="1" si="0"/>
        <v/>
      </c>
      <c r="F30" s="51"/>
      <c r="G30" s="29" t="str">
        <f ca="1">VLOOKUP(A30,Calculation!$F$6:$J$1004,3,FALSE)</f>
        <v/>
      </c>
      <c r="H30" s="4" t="str">
        <f ca="1">VLOOKUP(A30,Calculation!$F$6:$J$1004,4,FALSE)</f>
        <v/>
      </c>
      <c r="I30" s="4" t="str">
        <f ca="1">VLOOKUP(A30,Calculation!$F$6:$J$1004,5,FALSE)</f>
        <v/>
      </c>
      <c r="J30" s="43" t="str">
        <f t="shared" ca="1" si="1"/>
        <v/>
      </c>
      <c r="K30" s="51"/>
      <c r="L30" s="29" t="str">
        <f ca="1">VLOOKUP(A30,Calculation!$G$6:$S$1004,2,FALSE)</f>
        <v/>
      </c>
      <c r="M30" s="4" t="str">
        <f ca="1">IFERROR(VLOOKUP($L30,Calculation!$H$6:$S$1005,HLOOKUP(M$2,Calculation!$M$4:$S$5,2,FALSE)+5,FALSE),"")</f>
        <v/>
      </c>
      <c r="N30" s="4" t="str">
        <f ca="1">IFERROR(VLOOKUP($L30,Calculation!$H$6:$S$1005,HLOOKUP(N$2,Calculation!$M$4:$S$5,2,FALSE)+5,FALSE),"")</f>
        <v/>
      </c>
      <c r="O30" s="4" t="str">
        <f ca="1">IFERROR(VLOOKUP($L30,Calculation!$H$6:$S$1005,HLOOKUP(O$2,Calculation!$M$4:$S$5,2,FALSE)+5,FALSE),"")</f>
        <v/>
      </c>
      <c r="P30" s="4" t="str">
        <f ca="1">IFERROR(VLOOKUP($L30,Calculation!$H$6:$S$1005,HLOOKUP(P$2,Calculation!$M$4:$S$5,2,FALSE)+5,FALSE),"")</f>
        <v/>
      </c>
      <c r="Q30" s="4" t="str">
        <f ca="1">IFERROR(VLOOKUP($L30,Calculation!$H$6:$S$1005,HLOOKUP(Q$2,Calculation!$M$4:$S$5,2,FALSE)+5,FALSE),"")</f>
        <v/>
      </c>
      <c r="R30" s="27" t="str">
        <f ca="1">IFERROR(VLOOKUP($L30,Calculation!$H$6:$S$1005,HLOOKUP(R$2,Calculation!$M$4:$S$5,2,FALSE)+5,FALSE),"")</f>
        <v/>
      </c>
      <c r="S30" s="53"/>
      <c r="T30" s="29"/>
      <c r="U30" s="43" t="str">
        <f>IFERROR(VLOOKUP(T30,Calculation!$U$6:$V$11,2,FALSE),"")</f>
        <v/>
      </c>
    </row>
    <row r="31" spans="1:21" ht="14.25" customHeight="1" x14ac:dyDescent="0.3">
      <c r="A31" s="26" t="str">
        <f ca="1">IF(Calculation!T34&lt;=Calculation!$H$4,Calculation!T34,"")</f>
        <v/>
      </c>
      <c r="B31" s="4" t="str">
        <f ca="1">VLOOKUP(A31,Calculation!$E$6:$J$1004,4,FALSE)</f>
        <v/>
      </c>
      <c r="C31" s="4" t="str">
        <f ca="1">VLOOKUP(A31,Calculation!$E$6:$J$1004,5,FALSE)</f>
        <v/>
      </c>
      <c r="D31" s="4" t="str">
        <f ca="1">VLOOKUP(A31,Calculation!$E$6:$J$1004,6,FALSE)</f>
        <v/>
      </c>
      <c r="E31" s="42" t="str">
        <f t="shared" ca="1" si="0"/>
        <v/>
      </c>
      <c r="F31" s="51"/>
      <c r="G31" s="29" t="str">
        <f ca="1">VLOOKUP(A31,Calculation!$F$6:$J$1004,3,FALSE)</f>
        <v/>
      </c>
      <c r="H31" s="4" t="str">
        <f ca="1">VLOOKUP(A31,Calculation!$F$6:$J$1004,4,FALSE)</f>
        <v/>
      </c>
      <c r="I31" s="4" t="str">
        <f ca="1">VLOOKUP(A31,Calculation!$F$6:$J$1004,5,FALSE)</f>
        <v/>
      </c>
      <c r="J31" s="43" t="str">
        <f t="shared" ca="1" si="1"/>
        <v/>
      </c>
      <c r="K31" s="51"/>
      <c r="L31" s="29" t="str">
        <f ca="1">VLOOKUP(A31,Calculation!$G$6:$S$1004,2,FALSE)</f>
        <v/>
      </c>
      <c r="M31" s="4" t="str">
        <f ca="1">IFERROR(VLOOKUP($L31,Calculation!$H$6:$S$1005,HLOOKUP(M$2,Calculation!$M$4:$S$5,2,FALSE)+5,FALSE),"")</f>
        <v/>
      </c>
      <c r="N31" s="4" t="str">
        <f ca="1">IFERROR(VLOOKUP($L31,Calculation!$H$6:$S$1005,HLOOKUP(N$2,Calculation!$M$4:$S$5,2,FALSE)+5,FALSE),"")</f>
        <v/>
      </c>
      <c r="O31" s="4" t="str">
        <f ca="1">IFERROR(VLOOKUP($L31,Calculation!$H$6:$S$1005,HLOOKUP(O$2,Calculation!$M$4:$S$5,2,FALSE)+5,FALSE),"")</f>
        <v/>
      </c>
      <c r="P31" s="4" t="str">
        <f ca="1">IFERROR(VLOOKUP($L31,Calculation!$H$6:$S$1005,HLOOKUP(P$2,Calculation!$M$4:$S$5,2,FALSE)+5,FALSE),"")</f>
        <v/>
      </c>
      <c r="Q31" s="4" t="str">
        <f ca="1">IFERROR(VLOOKUP($L31,Calculation!$H$6:$S$1005,HLOOKUP(Q$2,Calculation!$M$4:$S$5,2,FALSE)+5,FALSE),"")</f>
        <v/>
      </c>
      <c r="R31" s="27" t="str">
        <f ca="1">IFERROR(VLOOKUP($L31,Calculation!$H$6:$S$1005,HLOOKUP(R$2,Calculation!$M$4:$S$5,2,FALSE)+5,FALSE),"")</f>
        <v/>
      </c>
      <c r="S31" s="53"/>
      <c r="T31" s="29"/>
      <c r="U31" s="43" t="str">
        <f>IFERROR(VLOOKUP(T31,Calculation!$U$6:$V$11,2,FALSE),"")</f>
        <v/>
      </c>
    </row>
    <row r="32" spans="1:21" ht="14.25" customHeight="1" x14ac:dyDescent="0.3">
      <c r="A32" s="26" t="str">
        <f ca="1">IF(Calculation!T35&lt;=Calculation!$H$4,Calculation!T35,"")</f>
        <v/>
      </c>
      <c r="B32" s="4" t="str">
        <f ca="1">VLOOKUP(A32,Calculation!$E$6:$J$1004,4,FALSE)</f>
        <v/>
      </c>
      <c r="C32" s="4" t="str">
        <f ca="1">VLOOKUP(A32,Calculation!$E$6:$J$1004,5,FALSE)</f>
        <v/>
      </c>
      <c r="D32" s="4" t="str">
        <f ca="1">VLOOKUP(A32,Calculation!$E$6:$J$1004,6,FALSE)</f>
        <v/>
      </c>
      <c r="E32" s="42" t="str">
        <f t="shared" ca="1" si="0"/>
        <v/>
      </c>
      <c r="G32" s="29" t="str">
        <f ca="1">VLOOKUP(A32,Calculation!$F$6:$J$1004,3,FALSE)</f>
        <v/>
      </c>
      <c r="H32" s="4" t="str">
        <f ca="1">VLOOKUP(A32,Calculation!$F$6:$J$1004,4,FALSE)</f>
        <v/>
      </c>
      <c r="I32" s="4" t="str">
        <f ca="1">VLOOKUP(A32,Calculation!$F$6:$J$1004,5,FALSE)</f>
        <v/>
      </c>
      <c r="J32" s="43" t="str">
        <f t="shared" ca="1" si="1"/>
        <v/>
      </c>
      <c r="L32" s="29" t="str">
        <f ca="1">VLOOKUP(A32,Calculation!$G$6:$S$1004,2,FALSE)</f>
        <v/>
      </c>
      <c r="M32" s="4" t="str">
        <f ca="1">IFERROR(VLOOKUP($L32,Calculation!$H$6:$S$1005,HLOOKUP(M$2,Calculation!$M$4:$S$5,2,FALSE)+5,FALSE),"")</f>
        <v/>
      </c>
      <c r="N32" s="4" t="str">
        <f ca="1">IFERROR(VLOOKUP($L32,Calculation!$H$6:$S$1005,HLOOKUP(N$2,Calculation!$M$4:$S$5,2,FALSE)+5,FALSE),"")</f>
        <v/>
      </c>
      <c r="O32" s="4" t="str">
        <f ca="1">IFERROR(VLOOKUP($L32,Calculation!$H$6:$S$1005,HLOOKUP(O$2,Calculation!$M$4:$S$5,2,FALSE)+5,FALSE),"")</f>
        <v/>
      </c>
      <c r="P32" s="4" t="str">
        <f ca="1">IFERROR(VLOOKUP($L32,Calculation!$H$6:$S$1005,HLOOKUP(P$2,Calculation!$M$4:$S$5,2,FALSE)+5,FALSE),"")</f>
        <v/>
      </c>
      <c r="Q32" s="4" t="str">
        <f ca="1">IFERROR(VLOOKUP($L32,Calculation!$H$6:$S$1005,HLOOKUP(Q$2,Calculation!$M$4:$S$5,2,FALSE)+5,FALSE),"")</f>
        <v/>
      </c>
      <c r="R32" s="27" t="str">
        <f ca="1">IFERROR(VLOOKUP($L32,Calculation!$H$6:$S$1005,HLOOKUP(R$2,Calculation!$M$4:$S$5,2,FALSE)+5,FALSE),"")</f>
        <v/>
      </c>
      <c r="S32" s="4" t="str">
        <f ca="1">IFERROR(VLOOKUP($L32,Calculation!$H$6:$S$1005,HLOOKUP(S$2,Calculation!$M$4:$S$5,2,FALSE)+5,FALSE),"")</f>
        <v/>
      </c>
      <c r="T32" s="29"/>
      <c r="U32" s="43" t="str">
        <f>IFERROR(VLOOKUP(T32,Calculation!$U$6:$V$11,2,FALSE),"")</f>
        <v/>
      </c>
    </row>
    <row r="33" spans="1:21" ht="14.25" customHeight="1" x14ac:dyDescent="0.3">
      <c r="A33" s="26" t="str">
        <f ca="1">IF(Calculation!T36&lt;=Calculation!$H$4,Calculation!T36,"")</f>
        <v/>
      </c>
      <c r="B33" s="4" t="str">
        <f ca="1">VLOOKUP(A33,Calculation!$E$6:$J$1004,4,FALSE)</f>
        <v/>
      </c>
      <c r="C33" s="4" t="str">
        <f ca="1">VLOOKUP(A33,Calculation!$E$6:$J$1004,5,FALSE)</f>
        <v/>
      </c>
      <c r="D33" s="4" t="str">
        <f ca="1">VLOOKUP(A33,Calculation!$E$6:$J$1004,6,FALSE)</f>
        <v/>
      </c>
      <c r="E33" s="42" t="str">
        <f t="shared" ca="1" si="0"/>
        <v/>
      </c>
      <c r="G33" s="29" t="str">
        <f ca="1">VLOOKUP(A33,Calculation!$F$6:$J$1004,3,FALSE)</f>
        <v/>
      </c>
      <c r="H33" s="4" t="str">
        <f ca="1">VLOOKUP(A33,Calculation!$F$6:$J$1004,4,FALSE)</f>
        <v/>
      </c>
      <c r="I33" s="4" t="str">
        <f ca="1">VLOOKUP(A33,Calculation!$F$6:$J$1004,5,FALSE)</f>
        <v/>
      </c>
      <c r="J33" s="43" t="str">
        <f t="shared" ca="1" si="1"/>
        <v/>
      </c>
      <c r="L33" s="29" t="str">
        <f ca="1">VLOOKUP(A33,Calculation!$G$6:$S$1004,2,FALSE)</f>
        <v/>
      </c>
      <c r="M33" s="4" t="str">
        <f ca="1">IFERROR(VLOOKUP($L33,Calculation!$H$6:$S$1005,HLOOKUP(M$2,Calculation!$M$4:$S$5,2,FALSE)+5,FALSE),"")</f>
        <v/>
      </c>
      <c r="N33" s="4" t="str">
        <f ca="1">IFERROR(VLOOKUP($L33,Calculation!$H$6:$S$1005,HLOOKUP(N$2,Calculation!$M$4:$S$5,2,FALSE)+5,FALSE),"")</f>
        <v/>
      </c>
      <c r="O33" s="4" t="str">
        <f ca="1">IFERROR(VLOOKUP($L33,Calculation!$H$6:$S$1005,HLOOKUP(O$2,Calculation!$M$4:$S$5,2,FALSE)+5,FALSE),"")</f>
        <v/>
      </c>
      <c r="P33" s="4" t="str">
        <f ca="1">IFERROR(VLOOKUP($L33,Calculation!$H$6:$S$1005,HLOOKUP(P$2,Calculation!$M$4:$S$5,2,FALSE)+5,FALSE),"")</f>
        <v/>
      </c>
      <c r="Q33" s="4" t="str">
        <f ca="1">IFERROR(VLOOKUP($L33,Calculation!$H$6:$S$1005,HLOOKUP(Q$2,Calculation!$M$4:$S$5,2,FALSE)+5,FALSE),"")</f>
        <v/>
      </c>
      <c r="R33" s="27" t="str">
        <f ca="1">IFERROR(VLOOKUP($L33,Calculation!$H$6:$S$1005,HLOOKUP(R$2,Calculation!$M$4:$S$5,2,FALSE)+5,FALSE),"")</f>
        <v/>
      </c>
      <c r="S33" s="4" t="str">
        <f ca="1">IFERROR(VLOOKUP($L33,Calculation!$H$6:$S$1005,HLOOKUP(S$2,Calculation!$M$4:$S$5,2,FALSE)+5,FALSE),"")</f>
        <v/>
      </c>
      <c r="T33" s="29"/>
      <c r="U33" s="43" t="str">
        <f>IFERROR(VLOOKUP(T33,Calculation!$U$6:$V$11,2,FALSE),"")</f>
        <v/>
      </c>
    </row>
    <row r="34" spans="1:21" ht="14.25" customHeight="1" x14ac:dyDescent="0.3">
      <c r="A34" s="26" t="str">
        <f ca="1">IF(Calculation!T37&lt;=Calculation!$H$4,Calculation!T37,"")</f>
        <v/>
      </c>
      <c r="B34" s="4" t="str">
        <f ca="1">VLOOKUP(A34,Calculation!$E$6:$J$1004,4,FALSE)</f>
        <v/>
      </c>
      <c r="C34" s="4" t="str">
        <f ca="1">VLOOKUP(A34,Calculation!$E$6:$J$1004,5,FALSE)</f>
        <v/>
      </c>
      <c r="D34" s="4" t="str">
        <f ca="1">VLOOKUP(A34,Calculation!$E$6:$J$1004,6,FALSE)</f>
        <v/>
      </c>
      <c r="E34" s="42" t="str">
        <f t="shared" ca="1" si="0"/>
        <v/>
      </c>
      <c r="G34" s="29" t="str">
        <f ca="1">VLOOKUP(A34,Calculation!$F$6:$J$1004,3,FALSE)</f>
        <v/>
      </c>
      <c r="H34" s="4" t="str">
        <f ca="1">VLOOKUP(A34,Calculation!$F$6:$J$1004,4,FALSE)</f>
        <v/>
      </c>
      <c r="I34" s="4" t="str">
        <f ca="1">VLOOKUP(A34,Calculation!$F$6:$J$1004,5,FALSE)</f>
        <v/>
      </c>
      <c r="J34" s="43" t="str">
        <f t="shared" ca="1" si="1"/>
        <v/>
      </c>
      <c r="L34" s="29" t="str">
        <f ca="1">VLOOKUP(A34,Calculation!$G$6:$S$1004,2,FALSE)</f>
        <v/>
      </c>
      <c r="M34" s="4" t="str">
        <f ca="1">IFERROR(VLOOKUP($L34,Calculation!$H$6:$S$1005,HLOOKUP(M$2,Calculation!$M$4:$S$5,2,FALSE)+5,FALSE),"")</f>
        <v/>
      </c>
      <c r="N34" s="4" t="str">
        <f ca="1">IFERROR(VLOOKUP($L34,Calculation!$H$6:$S$1005,HLOOKUP(N$2,Calculation!$M$4:$S$5,2,FALSE)+5,FALSE),"")</f>
        <v/>
      </c>
      <c r="O34" s="4" t="str">
        <f ca="1">IFERROR(VLOOKUP($L34,Calculation!$H$6:$S$1005,HLOOKUP(O$2,Calculation!$M$4:$S$5,2,FALSE)+5,FALSE),"")</f>
        <v/>
      </c>
      <c r="P34" s="4" t="str">
        <f ca="1">IFERROR(VLOOKUP($L34,Calculation!$H$6:$S$1005,HLOOKUP(P$2,Calculation!$M$4:$S$5,2,FALSE)+5,FALSE),"")</f>
        <v/>
      </c>
      <c r="Q34" s="4" t="str">
        <f ca="1">IFERROR(VLOOKUP($L34,Calculation!$H$6:$S$1005,HLOOKUP(Q$2,Calculation!$M$4:$S$5,2,FALSE)+5,FALSE),"")</f>
        <v/>
      </c>
      <c r="R34" s="27" t="str">
        <f ca="1">IFERROR(VLOOKUP($L34,Calculation!$H$6:$S$1005,HLOOKUP(R$2,Calculation!$M$4:$S$5,2,FALSE)+5,FALSE),"")</f>
        <v/>
      </c>
      <c r="S34" s="4" t="str">
        <f ca="1">IFERROR(VLOOKUP($L34,Calculation!$H$6:$S$1005,HLOOKUP(S$2,Calculation!$M$4:$S$5,2,FALSE)+5,FALSE),"")</f>
        <v/>
      </c>
      <c r="T34" s="29"/>
      <c r="U34" s="43" t="str">
        <f>IFERROR(VLOOKUP(T34,Calculation!$U$6:$V$11,2,FALSE),"")</f>
        <v/>
      </c>
    </row>
    <row r="35" spans="1:21" ht="14.25" customHeight="1" x14ac:dyDescent="0.3">
      <c r="A35" s="26" t="str">
        <f ca="1">IF(Calculation!T38&lt;=Calculation!$H$4,Calculation!T38,"")</f>
        <v/>
      </c>
      <c r="B35" s="4" t="str">
        <f ca="1">VLOOKUP(A35,Calculation!$E$6:$J$1004,4,FALSE)</f>
        <v/>
      </c>
      <c r="C35" s="4" t="str">
        <f ca="1">VLOOKUP(A35,Calculation!$E$6:$J$1004,5,FALSE)</f>
        <v/>
      </c>
      <c r="D35" s="4" t="str">
        <f ca="1">VLOOKUP(A35,Calculation!$E$6:$J$1004,6,FALSE)</f>
        <v/>
      </c>
      <c r="E35" s="42" t="str">
        <f t="shared" ca="1" si="0"/>
        <v/>
      </c>
      <c r="G35" s="29" t="str">
        <f ca="1">VLOOKUP(A35,Calculation!$F$6:$J$1004,3,FALSE)</f>
        <v/>
      </c>
      <c r="H35" s="4" t="str">
        <f ca="1">VLOOKUP(A35,Calculation!$F$6:$J$1004,4,FALSE)</f>
        <v/>
      </c>
      <c r="I35" s="4" t="str">
        <f ca="1">VLOOKUP(A35,Calculation!$F$6:$J$1004,5,FALSE)</f>
        <v/>
      </c>
      <c r="J35" s="43" t="str">
        <f t="shared" ca="1" si="1"/>
        <v/>
      </c>
      <c r="L35" s="29" t="str">
        <f ca="1">VLOOKUP(A35,Calculation!$G$6:$S$1004,2,FALSE)</f>
        <v/>
      </c>
      <c r="M35" s="4" t="str">
        <f ca="1">IFERROR(VLOOKUP($L35,Calculation!$H$6:$S$1005,HLOOKUP(M$2,Calculation!$M$4:$S$5,2,FALSE)+5,FALSE),"")</f>
        <v/>
      </c>
      <c r="N35" s="4" t="str">
        <f ca="1">IFERROR(VLOOKUP($L35,Calculation!$H$6:$S$1005,HLOOKUP(N$2,Calculation!$M$4:$S$5,2,FALSE)+5,FALSE),"")</f>
        <v/>
      </c>
      <c r="O35" s="4" t="str">
        <f ca="1">IFERROR(VLOOKUP($L35,Calculation!$H$6:$S$1005,HLOOKUP(O$2,Calculation!$M$4:$S$5,2,FALSE)+5,FALSE),"")</f>
        <v/>
      </c>
      <c r="P35" s="4" t="str">
        <f ca="1">IFERROR(VLOOKUP($L35,Calculation!$H$6:$S$1005,HLOOKUP(P$2,Calculation!$M$4:$S$5,2,FALSE)+5,FALSE),"")</f>
        <v/>
      </c>
      <c r="Q35" s="4" t="str">
        <f ca="1">IFERROR(VLOOKUP($L35,Calculation!$H$6:$S$1005,HLOOKUP(Q$2,Calculation!$M$4:$S$5,2,FALSE)+5,FALSE),"")</f>
        <v/>
      </c>
      <c r="R35" s="27" t="str">
        <f ca="1">IFERROR(VLOOKUP($L35,Calculation!$H$6:$S$1005,HLOOKUP(R$2,Calculation!$M$4:$S$5,2,FALSE)+5,FALSE),"")</f>
        <v/>
      </c>
      <c r="S35" s="4" t="str">
        <f ca="1">IFERROR(VLOOKUP($L35,Calculation!$H$6:$S$1005,HLOOKUP(S$2,Calculation!$M$4:$S$5,2,FALSE)+5,FALSE),"")</f>
        <v/>
      </c>
      <c r="T35" s="29"/>
      <c r="U35" s="43" t="str">
        <f>IFERROR(VLOOKUP(T35,Calculation!$U$6:$V$11,2,FALSE),"")</f>
        <v/>
      </c>
    </row>
    <row r="36" spans="1:21" ht="14.25" customHeight="1" x14ac:dyDescent="0.3">
      <c r="A36" s="26" t="str">
        <f ca="1">IF(Calculation!T39&lt;=Calculation!$H$4,Calculation!T39,"")</f>
        <v/>
      </c>
      <c r="B36" s="4" t="str">
        <f ca="1">VLOOKUP(A36,Calculation!$E$6:$J$1004,4,FALSE)</f>
        <v/>
      </c>
      <c r="C36" s="4" t="str">
        <f ca="1">VLOOKUP(A36,Calculation!$E$6:$J$1004,5,FALSE)</f>
        <v/>
      </c>
      <c r="D36" s="4" t="str">
        <f ca="1">VLOOKUP(A36,Calculation!$E$6:$J$1004,6,FALSE)</f>
        <v/>
      </c>
      <c r="E36" s="42" t="str">
        <f t="shared" ca="1" si="0"/>
        <v/>
      </c>
      <c r="G36" s="29" t="str">
        <f ca="1">VLOOKUP(A36,Calculation!$F$6:$J$1004,3,FALSE)</f>
        <v/>
      </c>
      <c r="H36" s="4" t="str">
        <f ca="1">VLOOKUP(A36,Calculation!$F$6:$J$1004,4,FALSE)</f>
        <v/>
      </c>
      <c r="I36" s="4" t="str">
        <f ca="1">VLOOKUP(A36,Calculation!$F$6:$J$1004,5,FALSE)</f>
        <v/>
      </c>
      <c r="J36" s="43" t="str">
        <f t="shared" ca="1" si="1"/>
        <v/>
      </c>
      <c r="L36" s="29" t="str">
        <f ca="1">VLOOKUP(A36,Calculation!$G$6:$S$1004,2,FALSE)</f>
        <v/>
      </c>
      <c r="M36" s="4" t="str">
        <f ca="1">IFERROR(VLOOKUP($L36,Calculation!$H$6:$S$1005,HLOOKUP(M$2,Calculation!$M$4:$S$5,2,FALSE)+5,FALSE),"")</f>
        <v/>
      </c>
      <c r="N36" s="4" t="str">
        <f ca="1">IFERROR(VLOOKUP($L36,Calculation!$H$6:$S$1005,HLOOKUP(N$2,Calculation!$M$4:$S$5,2,FALSE)+5,FALSE),"")</f>
        <v/>
      </c>
      <c r="O36" s="4" t="str">
        <f ca="1">IFERROR(VLOOKUP($L36,Calculation!$H$6:$S$1005,HLOOKUP(O$2,Calculation!$M$4:$S$5,2,FALSE)+5,FALSE),"")</f>
        <v/>
      </c>
      <c r="P36" s="4" t="str">
        <f ca="1">IFERROR(VLOOKUP($L36,Calculation!$H$6:$S$1005,HLOOKUP(P$2,Calculation!$M$4:$S$5,2,FALSE)+5,FALSE),"")</f>
        <v/>
      </c>
      <c r="Q36" s="4" t="str">
        <f ca="1">IFERROR(VLOOKUP($L36,Calculation!$H$6:$S$1005,HLOOKUP(Q$2,Calculation!$M$4:$S$5,2,FALSE)+5,FALSE),"")</f>
        <v/>
      </c>
      <c r="R36" s="27" t="str">
        <f ca="1">IFERROR(VLOOKUP($L36,Calculation!$H$6:$S$1005,HLOOKUP(R$2,Calculation!$M$4:$S$5,2,FALSE)+5,FALSE),"")</f>
        <v/>
      </c>
      <c r="S36" s="4" t="str">
        <f ca="1">IFERROR(VLOOKUP($L36,Calculation!$H$6:$S$1005,HLOOKUP(S$2,Calculation!$M$4:$S$5,2,FALSE)+5,FALSE),"")</f>
        <v/>
      </c>
      <c r="T36" s="29"/>
      <c r="U36" s="43" t="str">
        <f>IFERROR(VLOOKUP(T36,Calculation!$U$6:$V$11,2,FALSE),"")</f>
        <v/>
      </c>
    </row>
    <row r="37" spans="1:21" ht="14.25" customHeight="1" x14ac:dyDescent="0.3">
      <c r="A37" s="26" t="str">
        <f ca="1">IF(Calculation!T40&lt;=Calculation!$H$4,Calculation!T40,"")</f>
        <v/>
      </c>
      <c r="B37" s="4" t="str">
        <f ca="1">VLOOKUP(A37,Calculation!$E$6:$J$1004,4,FALSE)</f>
        <v/>
      </c>
      <c r="C37" s="4" t="str">
        <f ca="1">VLOOKUP(A37,Calculation!$E$6:$J$1004,5,FALSE)</f>
        <v/>
      </c>
      <c r="D37" s="4" t="str">
        <f ca="1">VLOOKUP(A37,Calculation!$E$6:$J$1004,6,FALSE)</f>
        <v/>
      </c>
      <c r="E37" s="42" t="str">
        <f t="shared" ca="1" si="0"/>
        <v/>
      </c>
      <c r="G37" s="29" t="str">
        <f ca="1">VLOOKUP(A37,Calculation!$F$6:$J$1004,3,FALSE)</f>
        <v/>
      </c>
      <c r="H37" s="4" t="str">
        <f ca="1">VLOOKUP(A37,Calculation!$F$6:$J$1004,4,FALSE)</f>
        <v/>
      </c>
      <c r="I37" s="4" t="str">
        <f ca="1">VLOOKUP(A37,Calculation!$F$6:$J$1004,5,FALSE)</f>
        <v/>
      </c>
      <c r="J37" s="43" t="str">
        <f t="shared" ca="1" si="1"/>
        <v/>
      </c>
      <c r="L37" s="29" t="str">
        <f ca="1">VLOOKUP(A37,Calculation!$G$6:$S$1004,2,FALSE)</f>
        <v/>
      </c>
      <c r="M37" s="4" t="str">
        <f ca="1">IFERROR(VLOOKUP($L37,Calculation!$H$6:$S$1005,HLOOKUP(M$2,Calculation!$M$4:$S$5,2,FALSE)+5,FALSE),"")</f>
        <v/>
      </c>
      <c r="N37" s="4" t="str">
        <f ca="1">IFERROR(VLOOKUP($L37,Calculation!$H$6:$S$1005,HLOOKUP(N$2,Calculation!$M$4:$S$5,2,FALSE)+5,FALSE),"")</f>
        <v/>
      </c>
      <c r="O37" s="4" t="str">
        <f ca="1">IFERROR(VLOOKUP($L37,Calculation!$H$6:$S$1005,HLOOKUP(O$2,Calculation!$M$4:$S$5,2,FALSE)+5,FALSE),"")</f>
        <v/>
      </c>
      <c r="P37" s="4" t="str">
        <f ca="1">IFERROR(VLOOKUP($L37,Calculation!$H$6:$S$1005,HLOOKUP(P$2,Calculation!$M$4:$S$5,2,FALSE)+5,FALSE),"")</f>
        <v/>
      </c>
      <c r="Q37" s="4" t="str">
        <f ca="1">IFERROR(VLOOKUP($L37,Calculation!$H$6:$S$1005,HLOOKUP(Q$2,Calculation!$M$4:$S$5,2,FALSE)+5,FALSE),"")</f>
        <v/>
      </c>
      <c r="R37" s="27" t="str">
        <f ca="1">IFERROR(VLOOKUP($L37,Calculation!$H$6:$S$1005,HLOOKUP(R$2,Calculation!$M$4:$S$5,2,FALSE)+5,FALSE),"")</f>
        <v/>
      </c>
      <c r="S37" s="4" t="str">
        <f ca="1">IFERROR(VLOOKUP($L37,Calculation!$H$6:$S$1005,HLOOKUP(S$2,Calculation!$M$4:$S$5,2,FALSE)+5,FALSE),"")</f>
        <v/>
      </c>
      <c r="T37" s="29"/>
      <c r="U37" s="43" t="str">
        <f>IFERROR(VLOOKUP(T37,Calculation!$U$6:$V$11,2,FALSE),"")</f>
        <v/>
      </c>
    </row>
    <row r="38" spans="1:21" ht="14.25" customHeight="1" x14ac:dyDescent="0.3">
      <c r="A38" s="26" t="str">
        <f ca="1">IF(Calculation!T41&lt;=Calculation!$H$4,Calculation!T41,"")</f>
        <v/>
      </c>
      <c r="B38" s="4" t="str">
        <f ca="1">VLOOKUP(A38,Calculation!$E$6:$J$1004,4,FALSE)</f>
        <v/>
      </c>
      <c r="C38" s="4" t="str">
        <f ca="1">VLOOKUP(A38,Calculation!$E$6:$J$1004,5,FALSE)</f>
        <v/>
      </c>
      <c r="D38" s="4" t="str">
        <f ca="1">VLOOKUP(A38,Calculation!$E$6:$J$1004,6,FALSE)</f>
        <v/>
      </c>
      <c r="E38" s="42" t="str">
        <f t="shared" ca="1" si="0"/>
        <v/>
      </c>
      <c r="G38" s="29" t="str">
        <f ca="1">VLOOKUP(A38,Calculation!$F$6:$J$1004,3,FALSE)</f>
        <v/>
      </c>
      <c r="H38" s="4" t="str">
        <f ca="1">VLOOKUP(A38,Calculation!$F$6:$J$1004,4,FALSE)</f>
        <v/>
      </c>
      <c r="I38" s="4" t="str">
        <f ca="1">VLOOKUP(A38,Calculation!$F$6:$J$1004,5,FALSE)</f>
        <v/>
      </c>
      <c r="J38" s="43" t="str">
        <f t="shared" ca="1" si="1"/>
        <v/>
      </c>
      <c r="L38" s="29" t="str">
        <f ca="1">VLOOKUP(A38,Calculation!$G$6:$S$1004,2,FALSE)</f>
        <v/>
      </c>
      <c r="M38" s="4" t="str">
        <f ca="1">IFERROR(VLOOKUP($L38,Calculation!$H$6:$S$1005,HLOOKUP(M$2,Calculation!$M$4:$S$5,2,FALSE)+5,FALSE),"")</f>
        <v/>
      </c>
      <c r="N38" s="4" t="str">
        <f ca="1">IFERROR(VLOOKUP($L38,Calculation!$H$6:$S$1005,HLOOKUP(N$2,Calculation!$M$4:$S$5,2,FALSE)+5,FALSE),"")</f>
        <v/>
      </c>
      <c r="O38" s="4" t="str">
        <f ca="1">IFERROR(VLOOKUP($L38,Calculation!$H$6:$S$1005,HLOOKUP(O$2,Calculation!$M$4:$S$5,2,FALSE)+5,FALSE),"")</f>
        <v/>
      </c>
      <c r="P38" s="4" t="str">
        <f ca="1">IFERROR(VLOOKUP($L38,Calculation!$H$6:$S$1005,HLOOKUP(P$2,Calculation!$M$4:$S$5,2,FALSE)+5,FALSE),"")</f>
        <v/>
      </c>
      <c r="Q38" s="4" t="str">
        <f ca="1">IFERROR(VLOOKUP($L38,Calculation!$H$6:$S$1005,HLOOKUP(Q$2,Calculation!$M$4:$S$5,2,FALSE)+5,FALSE),"")</f>
        <v/>
      </c>
      <c r="R38" s="27" t="str">
        <f ca="1">IFERROR(VLOOKUP($L38,Calculation!$H$6:$S$1005,HLOOKUP(R$2,Calculation!$M$4:$S$5,2,FALSE)+5,FALSE),"")</f>
        <v/>
      </c>
      <c r="S38" s="4" t="str">
        <f ca="1">IFERROR(VLOOKUP($L38,Calculation!$H$6:$S$1005,HLOOKUP(S$2,Calculation!$M$4:$S$5,2,FALSE)+5,FALSE),"")</f>
        <v/>
      </c>
      <c r="T38" s="29"/>
      <c r="U38" s="43" t="str">
        <f>IFERROR(VLOOKUP(T38,Calculation!$U$6:$V$11,2,FALSE),"")</f>
        <v/>
      </c>
    </row>
    <row r="39" spans="1:21" ht="14.25" customHeight="1" x14ac:dyDescent="0.3">
      <c r="A39" s="26" t="str">
        <f ca="1">IF(Calculation!T42&lt;=Calculation!$H$4,Calculation!T42,"")</f>
        <v/>
      </c>
      <c r="B39" s="4" t="str">
        <f ca="1">VLOOKUP(A39,Calculation!$E$6:$J$1004,4,FALSE)</f>
        <v/>
      </c>
      <c r="C39" s="4" t="str">
        <f ca="1">VLOOKUP(A39,Calculation!$E$6:$J$1004,5,FALSE)</f>
        <v/>
      </c>
      <c r="D39" s="4" t="str">
        <f ca="1">VLOOKUP(A39,Calculation!$E$6:$J$1004,6,FALSE)</f>
        <v/>
      </c>
      <c r="E39" s="42" t="str">
        <f t="shared" ca="1" si="0"/>
        <v/>
      </c>
      <c r="G39" s="29" t="str">
        <f ca="1">VLOOKUP(A39,Calculation!$F$6:$J$1004,3,FALSE)</f>
        <v/>
      </c>
      <c r="H39" s="4" t="str">
        <f ca="1">VLOOKUP(A39,Calculation!$F$6:$J$1004,4,FALSE)</f>
        <v/>
      </c>
      <c r="I39" s="4" t="str">
        <f ca="1">VLOOKUP(A39,Calculation!$F$6:$J$1004,5,FALSE)</f>
        <v/>
      </c>
      <c r="J39" s="43" t="str">
        <f t="shared" ca="1" si="1"/>
        <v/>
      </c>
      <c r="L39" s="29" t="str">
        <f ca="1">VLOOKUP(A39,Calculation!$G$6:$S$1004,2,FALSE)</f>
        <v/>
      </c>
      <c r="M39" s="4" t="str">
        <f ca="1">IFERROR(VLOOKUP($L39,Calculation!$H$6:$S$1005,HLOOKUP(M$2,Calculation!$M$4:$S$5,2,FALSE)+5,FALSE),"")</f>
        <v/>
      </c>
      <c r="N39" s="4" t="str">
        <f ca="1">IFERROR(VLOOKUP($L39,Calculation!$H$6:$S$1005,HLOOKUP(N$2,Calculation!$M$4:$S$5,2,FALSE)+5,FALSE),"")</f>
        <v/>
      </c>
      <c r="O39" s="4" t="str">
        <f ca="1">IFERROR(VLOOKUP($L39,Calculation!$H$6:$S$1005,HLOOKUP(O$2,Calculation!$M$4:$S$5,2,FALSE)+5,FALSE),"")</f>
        <v/>
      </c>
      <c r="P39" s="4" t="str">
        <f ca="1">IFERROR(VLOOKUP($L39,Calculation!$H$6:$S$1005,HLOOKUP(P$2,Calculation!$M$4:$S$5,2,FALSE)+5,FALSE),"")</f>
        <v/>
      </c>
      <c r="Q39" s="4" t="str">
        <f ca="1">IFERROR(VLOOKUP($L39,Calculation!$H$6:$S$1005,HLOOKUP(Q$2,Calculation!$M$4:$S$5,2,FALSE)+5,FALSE),"")</f>
        <v/>
      </c>
      <c r="R39" s="27" t="str">
        <f ca="1">IFERROR(VLOOKUP($L39,Calculation!$H$6:$S$1005,HLOOKUP(R$2,Calculation!$M$4:$S$5,2,FALSE)+5,FALSE),"")</f>
        <v/>
      </c>
      <c r="S39" s="4" t="str">
        <f ca="1">IFERROR(VLOOKUP($L39,Calculation!$H$6:$S$1005,HLOOKUP(S$2,Calculation!$M$4:$S$5,2,FALSE)+5,FALSE),"")</f>
        <v/>
      </c>
      <c r="T39" s="29"/>
      <c r="U39" s="43" t="str">
        <f>IFERROR(VLOOKUP(T39,Calculation!$U$6:$V$11,2,FALSE),"")</f>
        <v/>
      </c>
    </row>
    <row r="40" spans="1:21" ht="14.25" customHeight="1" x14ac:dyDescent="0.3">
      <c r="A40" s="26" t="str">
        <f ca="1">IF(Calculation!T43&lt;=Calculation!$H$4,Calculation!T43,"")</f>
        <v/>
      </c>
      <c r="B40" s="4" t="str">
        <f ca="1">VLOOKUP(A40,Calculation!$E$6:$J$1004,4,FALSE)</f>
        <v/>
      </c>
      <c r="C40" s="4" t="str">
        <f ca="1">VLOOKUP(A40,Calculation!$E$6:$J$1004,5,FALSE)</f>
        <v/>
      </c>
      <c r="D40" s="4" t="str">
        <f ca="1">VLOOKUP(A40,Calculation!$E$6:$J$1004,6,FALSE)</f>
        <v/>
      </c>
      <c r="E40" s="42" t="str">
        <f t="shared" ca="1" si="0"/>
        <v/>
      </c>
      <c r="G40" s="29" t="str">
        <f ca="1">VLOOKUP(A40,Calculation!$F$6:$J$1004,3,FALSE)</f>
        <v/>
      </c>
      <c r="H40" s="4" t="str">
        <f ca="1">VLOOKUP(A40,Calculation!$F$6:$J$1004,4,FALSE)</f>
        <v/>
      </c>
      <c r="I40" s="4" t="str">
        <f ca="1">VLOOKUP(A40,Calculation!$F$6:$J$1004,5,FALSE)</f>
        <v/>
      </c>
      <c r="J40" s="43" t="str">
        <f t="shared" ca="1" si="1"/>
        <v/>
      </c>
      <c r="L40" s="29" t="str">
        <f ca="1">VLOOKUP(A40,Calculation!$G$6:$S$1004,2,FALSE)</f>
        <v/>
      </c>
      <c r="M40" s="4" t="str">
        <f ca="1">IFERROR(VLOOKUP($L40,Calculation!$H$6:$S$1005,HLOOKUP(M$2,Calculation!$M$4:$S$5,2,FALSE)+5,FALSE),"")</f>
        <v/>
      </c>
      <c r="N40" s="4" t="str">
        <f ca="1">IFERROR(VLOOKUP($L40,Calculation!$H$6:$S$1005,HLOOKUP(N$2,Calculation!$M$4:$S$5,2,FALSE)+5,FALSE),"")</f>
        <v/>
      </c>
      <c r="O40" s="4" t="str">
        <f ca="1">IFERROR(VLOOKUP($L40,Calculation!$H$6:$S$1005,HLOOKUP(O$2,Calculation!$M$4:$S$5,2,FALSE)+5,FALSE),"")</f>
        <v/>
      </c>
      <c r="P40" s="4" t="str">
        <f ca="1">IFERROR(VLOOKUP($L40,Calculation!$H$6:$S$1005,HLOOKUP(P$2,Calculation!$M$4:$S$5,2,FALSE)+5,FALSE),"")</f>
        <v/>
      </c>
      <c r="Q40" s="4" t="str">
        <f ca="1">IFERROR(VLOOKUP($L40,Calculation!$H$6:$S$1005,HLOOKUP(Q$2,Calculation!$M$4:$S$5,2,FALSE)+5,FALSE),"")</f>
        <v/>
      </c>
      <c r="R40" s="27" t="str">
        <f ca="1">IFERROR(VLOOKUP($L40,Calculation!$H$6:$S$1005,HLOOKUP(R$2,Calculation!$M$4:$S$5,2,FALSE)+5,FALSE),"")</f>
        <v/>
      </c>
      <c r="S40" s="4" t="str">
        <f ca="1">IFERROR(VLOOKUP($L40,Calculation!$H$6:$S$1005,HLOOKUP(S$2,Calculation!$M$4:$S$5,2,FALSE)+5,FALSE),"")</f>
        <v/>
      </c>
      <c r="T40" s="29"/>
      <c r="U40" s="43" t="str">
        <f>IFERROR(VLOOKUP(T40,Calculation!$U$6:$V$11,2,FALSE),"")</f>
        <v/>
      </c>
    </row>
    <row r="41" spans="1:21" ht="14.25" customHeight="1" x14ac:dyDescent="0.3">
      <c r="A41" s="26" t="str">
        <f ca="1">IF(Calculation!T44&lt;=Calculation!$H$4,Calculation!T44,"")</f>
        <v/>
      </c>
      <c r="B41" s="4" t="str">
        <f ca="1">VLOOKUP(A41,Calculation!$E$6:$J$1004,4,FALSE)</f>
        <v/>
      </c>
      <c r="C41" s="4" t="str">
        <f ca="1">VLOOKUP(A41,Calculation!$E$6:$J$1004,5,FALSE)</f>
        <v/>
      </c>
      <c r="D41" s="4" t="str">
        <f ca="1">VLOOKUP(A41,Calculation!$E$6:$J$1004,6,FALSE)</f>
        <v/>
      </c>
      <c r="E41" s="42" t="str">
        <f t="shared" ca="1" si="0"/>
        <v/>
      </c>
      <c r="G41" s="29" t="str">
        <f ca="1">VLOOKUP(A41,Calculation!$F$6:$J$1004,3,FALSE)</f>
        <v/>
      </c>
      <c r="H41" s="4" t="str">
        <f ca="1">VLOOKUP(A41,Calculation!$F$6:$J$1004,4,FALSE)</f>
        <v/>
      </c>
      <c r="I41" s="4" t="str">
        <f ca="1">VLOOKUP(A41,Calculation!$F$6:$J$1004,5,FALSE)</f>
        <v/>
      </c>
      <c r="J41" s="43" t="str">
        <f t="shared" ca="1" si="1"/>
        <v/>
      </c>
      <c r="L41" s="29" t="str">
        <f ca="1">VLOOKUP(A41,Calculation!$G$6:$S$1004,2,FALSE)</f>
        <v/>
      </c>
      <c r="M41" s="4" t="str">
        <f ca="1">IFERROR(VLOOKUP($L41,Calculation!$H$6:$S$1005,HLOOKUP(M$2,Calculation!$M$4:$S$5,2,FALSE)+5,FALSE),"")</f>
        <v/>
      </c>
      <c r="N41" s="4" t="str">
        <f ca="1">IFERROR(VLOOKUP($L41,Calculation!$H$6:$S$1005,HLOOKUP(N$2,Calculation!$M$4:$S$5,2,FALSE)+5,FALSE),"")</f>
        <v/>
      </c>
      <c r="O41" s="4" t="str">
        <f ca="1">IFERROR(VLOOKUP($L41,Calculation!$H$6:$S$1005,HLOOKUP(O$2,Calculation!$M$4:$S$5,2,FALSE)+5,FALSE),"")</f>
        <v/>
      </c>
      <c r="P41" s="4" t="str">
        <f ca="1">IFERROR(VLOOKUP($L41,Calculation!$H$6:$S$1005,HLOOKUP(P$2,Calculation!$M$4:$S$5,2,FALSE)+5,FALSE),"")</f>
        <v/>
      </c>
      <c r="Q41" s="4" t="str">
        <f ca="1">IFERROR(VLOOKUP($L41,Calculation!$H$6:$S$1005,HLOOKUP(Q$2,Calculation!$M$4:$S$5,2,FALSE)+5,FALSE),"")</f>
        <v/>
      </c>
      <c r="R41" s="27" t="str">
        <f ca="1">IFERROR(VLOOKUP($L41,Calculation!$H$6:$S$1005,HLOOKUP(R$2,Calculation!$M$4:$S$5,2,FALSE)+5,FALSE),"")</f>
        <v/>
      </c>
      <c r="S41" s="4" t="str">
        <f ca="1">IFERROR(VLOOKUP($L41,Calculation!$H$6:$S$1005,HLOOKUP(S$2,Calculation!$M$4:$S$5,2,FALSE)+5,FALSE),"")</f>
        <v/>
      </c>
      <c r="T41" s="29"/>
      <c r="U41" s="43" t="str">
        <f>IFERROR(VLOOKUP(T41,Calculation!$U$6:$V$11,2,FALSE),"")</f>
        <v/>
      </c>
    </row>
    <row r="42" spans="1:21" ht="14.25" customHeight="1" x14ac:dyDescent="0.3">
      <c r="A42" s="26" t="str">
        <f ca="1">IF(Calculation!T45&lt;=Calculation!$H$4,Calculation!T45,"")</f>
        <v/>
      </c>
      <c r="B42" s="4" t="str">
        <f ca="1">VLOOKUP(A42,Calculation!$E$6:$J$1004,4,FALSE)</f>
        <v/>
      </c>
      <c r="C42" s="4" t="str">
        <f ca="1">VLOOKUP(A42,Calculation!$E$6:$J$1004,5,FALSE)</f>
        <v/>
      </c>
      <c r="D42" s="4" t="str">
        <f ca="1">VLOOKUP(A42,Calculation!$E$6:$J$1004,6,FALSE)</f>
        <v/>
      </c>
      <c r="E42" s="42" t="str">
        <f t="shared" ca="1" si="0"/>
        <v/>
      </c>
      <c r="G42" s="29" t="str">
        <f ca="1">VLOOKUP(A42,Calculation!$F$6:$J$1004,3,FALSE)</f>
        <v/>
      </c>
      <c r="H42" s="4" t="str">
        <f ca="1">VLOOKUP(A42,Calculation!$F$6:$J$1004,4,FALSE)</f>
        <v/>
      </c>
      <c r="I42" s="4" t="str">
        <f ca="1">VLOOKUP(A42,Calculation!$F$6:$J$1004,5,FALSE)</f>
        <v/>
      </c>
      <c r="J42" s="43" t="str">
        <f t="shared" ca="1" si="1"/>
        <v/>
      </c>
      <c r="L42" s="29" t="str">
        <f ca="1">VLOOKUP(A42,Calculation!$G$6:$S$1004,2,FALSE)</f>
        <v/>
      </c>
      <c r="M42" s="4" t="str">
        <f ca="1">IFERROR(VLOOKUP($L42,Calculation!$H$6:$S$1005,HLOOKUP(M$2,Calculation!$M$4:$S$5,2,FALSE)+5,FALSE),"")</f>
        <v/>
      </c>
      <c r="N42" s="4" t="str">
        <f ca="1">IFERROR(VLOOKUP($L42,Calculation!$H$6:$S$1005,HLOOKUP(N$2,Calculation!$M$4:$S$5,2,FALSE)+5,FALSE),"")</f>
        <v/>
      </c>
      <c r="O42" s="4" t="str">
        <f ca="1">IFERROR(VLOOKUP($L42,Calculation!$H$6:$S$1005,HLOOKUP(O$2,Calculation!$M$4:$S$5,2,FALSE)+5,FALSE),"")</f>
        <v/>
      </c>
      <c r="P42" s="4" t="str">
        <f ca="1">IFERROR(VLOOKUP($L42,Calculation!$H$6:$S$1005,HLOOKUP(P$2,Calculation!$M$4:$S$5,2,FALSE)+5,FALSE),"")</f>
        <v/>
      </c>
      <c r="Q42" s="4" t="str">
        <f ca="1">IFERROR(VLOOKUP($L42,Calculation!$H$6:$S$1005,HLOOKUP(Q$2,Calculation!$M$4:$S$5,2,FALSE)+5,FALSE),"")</f>
        <v/>
      </c>
      <c r="R42" s="27" t="str">
        <f ca="1">IFERROR(VLOOKUP($L42,Calculation!$H$6:$S$1005,HLOOKUP(R$2,Calculation!$M$4:$S$5,2,FALSE)+5,FALSE),"")</f>
        <v/>
      </c>
      <c r="S42" s="4" t="str">
        <f ca="1">IFERROR(VLOOKUP($L42,Calculation!$H$6:$S$1005,HLOOKUP(S$2,Calculation!$M$4:$S$5,2,FALSE)+5,FALSE),"")</f>
        <v/>
      </c>
      <c r="T42" s="29"/>
      <c r="U42" s="43" t="str">
        <f>IFERROR(VLOOKUP(T42,Calculation!$U$6:$V$11,2,FALSE),"")</f>
        <v/>
      </c>
    </row>
    <row r="43" spans="1:21" ht="14.25" customHeight="1" x14ac:dyDescent="0.3">
      <c r="A43" s="26" t="str">
        <f ca="1">IF(Calculation!T46&lt;=Calculation!$H$4,Calculation!T46,"")</f>
        <v/>
      </c>
      <c r="B43" s="4" t="str">
        <f ca="1">VLOOKUP(A43,Calculation!$E$6:$J$1004,4,FALSE)</f>
        <v/>
      </c>
      <c r="C43" s="4" t="str">
        <f ca="1">VLOOKUP(A43,Calculation!$E$6:$J$1004,5,FALSE)</f>
        <v/>
      </c>
      <c r="D43" s="4" t="str">
        <f ca="1">VLOOKUP(A43,Calculation!$E$6:$J$1004,6,FALSE)</f>
        <v/>
      </c>
      <c r="E43" s="42" t="str">
        <f t="shared" ca="1" si="0"/>
        <v/>
      </c>
      <c r="G43" s="29" t="str">
        <f ca="1">VLOOKUP(A43,Calculation!$F$6:$J$1004,3,FALSE)</f>
        <v/>
      </c>
      <c r="H43" s="4" t="str">
        <f ca="1">VLOOKUP(A43,Calculation!$F$6:$J$1004,4,FALSE)</f>
        <v/>
      </c>
      <c r="I43" s="4" t="str">
        <f ca="1">VLOOKUP(A43,Calculation!$F$6:$J$1004,5,FALSE)</f>
        <v/>
      </c>
      <c r="J43" s="43" t="str">
        <f t="shared" ca="1" si="1"/>
        <v/>
      </c>
      <c r="L43" s="29" t="str">
        <f ca="1">VLOOKUP(A43,Calculation!$G$6:$S$1004,2,FALSE)</f>
        <v/>
      </c>
      <c r="M43" s="4" t="str">
        <f ca="1">IFERROR(VLOOKUP($L43,Calculation!$H$6:$S$1005,HLOOKUP(M$2,Calculation!$M$4:$S$5,2,FALSE)+5,FALSE),"")</f>
        <v/>
      </c>
      <c r="N43" s="4" t="str">
        <f ca="1">IFERROR(VLOOKUP($L43,Calculation!$H$6:$S$1005,HLOOKUP(N$2,Calculation!$M$4:$S$5,2,FALSE)+5,FALSE),"")</f>
        <v/>
      </c>
      <c r="O43" s="4" t="str">
        <f ca="1">IFERROR(VLOOKUP($L43,Calculation!$H$6:$S$1005,HLOOKUP(O$2,Calculation!$M$4:$S$5,2,FALSE)+5,FALSE),"")</f>
        <v/>
      </c>
      <c r="P43" s="4" t="str">
        <f ca="1">IFERROR(VLOOKUP($L43,Calculation!$H$6:$S$1005,HLOOKUP(P$2,Calculation!$M$4:$S$5,2,FALSE)+5,FALSE),"")</f>
        <v/>
      </c>
      <c r="Q43" s="4" t="str">
        <f ca="1">IFERROR(VLOOKUP($L43,Calculation!$H$6:$S$1005,HLOOKUP(Q$2,Calculation!$M$4:$S$5,2,FALSE)+5,FALSE),"")</f>
        <v/>
      </c>
      <c r="R43" s="27" t="str">
        <f ca="1">IFERROR(VLOOKUP($L43,Calculation!$H$6:$S$1005,HLOOKUP(R$2,Calculation!$M$4:$S$5,2,FALSE)+5,FALSE),"")</f>
        <v/>
      </c>
      <c r="S43" s="4" t="str">
        <f ca="1">IFERROR(VLOOKUP($L43,Calculation!$H$6:$S$1005,HLOOKUP(S$2,Calculation!$M$4:$S$5,2,FALSE)+5,FALSE),"")</f>
        <v/>
      </c>
      <c r="T43" s="29"/>
      <c r="U43" s="43" t="str">
        <f>IFERROR(VLOOKUP(T43,Calculation!$U$6:$V$11,2,FALSE),"")</f>
        <v/>
      </c>
    </row>
    <row r="44" spans="1:21" ht="14.25" customHeight="1" x14ac:dyDescent="0.3">
      <c r="A44" s="26" t="str">
        <f ca="1">IF(Calculation!T47&lt;=Calculation!$H$4,Calculation!T47,"")</f>
        <v/>
      </c>
      <c r="B44" s="4" t="str">
        <f ca="1">VLOOKUP(A44,Calculation!$E$6:$J$1004,4,FALSE)</f>
        <v/>
      </c>
      <c r="C44" s="4" t="str">
        <f ca="1">VLOOKUP(A44,Calculation!$E$6:$J$1004,5,FALSE)</f>
        <v/>
      </c>
      <c r="D44" s="4" t="str">
        <f ca="1">VLOOKUP(A44,Calculation!$E$6:$J$1004,6,FALSE)</f>
        <v/>
      </c>
      <c r="E44" s="42" t="str">
        <f t="shared" ca="1" si="0"/>
        <v/>
      </c>
      <c r="G44" s="29" t="str">
        <f ca="1">VLOOKUP(A44,Calculation!$F$6:$J$1004,3,FALSE)</f>
        <v/>
      </c>
      <c r="H44" s="4" t="str">
        <f ca="1">VLOOKUP(A44,Calculation!$F$6:$J$1004,4,FALSE)</f>
        <v/>
      </c>
      <c r="I44" s="4" t="str">
        <f ca="1">VLOOKUP(A44,Calculation!$F$6:$J$1004,5,FALSE)</f>
        <v/>
      </c>
      <c r="J44" s="43" t="str">
        <f t="shared" ca="1" si="1"/>
        <v/>
      </c>
      <c r="L44" s="29" t="str">
        <f ca="1">VLOOKUP(A44,Calculation!$G$6:$S$1004,2,FALSE)</f>
        <v/>
      </c>
      <c r="M44" s="4" t="str">
        <f ca="1">IFERROR(VLOOKUP($L44,Calculation!$H$6:$S$1005,HLOOKUP(M$2,Calculation!$M$4:$S$5,2,FALSE)+5,FALSE),"")</f>
        <v/>
      </c>
      <c r="N44" s="4" t="str">
        <f ca="1">IFERROR(VLOOKUP($L44,Calculation!$H$6:$S$1005,HLOOKUP(N$2,Calculation!$M$4:$S$5,2,FALSE)+5,FALSE),"")</f>
        <v/>
      </c>
      <c r="O44" s="4" t="str">
        <f ca="1">IFERROR(VLOOKUP($L44,Calculation!$H$6:$S$1005,HLOOKUP(O$2,Calculation!$M$4:$S$5,2,FALSE)+5,FALSE),"")</f>
        <v/>
      </c>
      <c r="P44" s="4" t="str">
        <f ca="1">IFERROR(VLOOKUP($L44,Calculation!$H$6:$S$1005,HLOOKUP(P$2,Calculation!$M$4:$S$5,2,FALSE)+5,FALSE),"")</f>
        <v/>
      </c>
      <c r="Q44" s="4" t="str">
        <f ca="1">IFERROR(VLOOKUP($L44,Calculation!$H$6:$S$1005,HLOOKUP(Q$2,Calculation!$M$4:$S$5,2,FALSE)+5,FALSE),"")</f>
        <v/>
      </c>
      <c r="R44" s="27" t="str">
        <f ca="1">IFERROR(VLOOKUP($L44,Calculation!$H$6:$S$1005,HLOOKUP(R$2,Calculation!$M$4:$S$5,2,FALSE)+5,FALSE),"")</f>
        <v/>
      </c>
      <c r="S44" s="4" t="str">
        <f ca="1">IFERROR(VLOOKUP($L44,Calculation!$H$6:$S$1005,HLOOKUP(S$2,Calculation!$M$4:$S$5,2,FALSE)+5,FALSE),"")</f>
        <v/>
      </c>
      <c r="T44" s="29"/>
      <c r="U44" s="43" t="str">
        <f>IFERROR(VLOOKUP(T44,Calculation!$U$6:$V$11,2,FALSE),"")</f>
        <v/>
      </c>
    </row>
    <row r="45" spans="1:21" ht="14.25" customHeight="1" x14ac:dyDescent="0.3">
      <c r="A45" s="26" t="str">
        <f ca="1">IF(Calculation!T48&lt;=Calculation!$H$4,Calculation!T48,"")</f>
        <v/>
      </c>
      <c r="B45" s="4" t="str">
        <f ca="1">VLOOKUP(A45,Calculation!$E$6:$J$1004,4,FALSE)</f>
        <v/>
      </c>
      <c r="C45" s="4" t="str">
        <f ca="1">VLOOKUP(A45,Calculation!$E$6:$J$1004,5,FALSE)</f>
        <v/>
      </c>
      <c r="D45" s="4" t="str">
        <f ca="1">VLOOKUP(A45,Calculation!$E$6:$J$1004,6,FALSE)</f>
        <v/>
      </c>
      <c r="E45" s="42" t="str">
        <f t="shared" ca="1" si="0"/>
        <v/>
      </c>
      <c r="G45" s="29" t="str">
        <f ca="1">VLOOKUP(A45,Calculation!$F$6:$J$1004,3,FALSE)</f>
        <v/>
      </c>
      <c r="H45" s="4" t="str">
        <f ca="1">VLOOKUP(A45,Calculation!$F$6:$J$1004,4,FALSE)</f>
        <v/>
      </c>
      <c r="I45" s="4" t="str">
        <f ca="1">VLOOKUP(A45,Calculation!$F$6:$J$1004,5,FALSE)</f>
        <v/>
      </c>
      <c r="J45" s="43" t="str">
        <f t="shared" ca="1" si="1"/>
        <v/>
      </c>
      <c r="L45" s="29" t="str">
        <f ca="1">VLOOKUP(A45,Calculation!$G$6:$S$1004,2,FALSE)</f>
        <v/>
      </c>
      <c r="M45" s="4" t="str">
        <f ca="1">IFERROR(VLOOKUP($L45,Calculation!$H$6:$S$1005,HLOOKUP(M$2,Calculation!$M$4:$S$5,2,FALSE)+5,FALSE),"")</f>
        <v/>
      </c>
      <c r="N45" s="4" t="str">
        <f ca="1">IFERROR(VLOOKUP($L45,Calculation!$H$6:$S$1005,HLOOKUP(N$2,Calculation!$M$4:$S$5,2,FALSE)+5,FALSE),"")</f>
        <v/>
      </c>
      <c r="O45" s="4" t="str">
        <f ca="1">IFERROR(VLOOKUP($L45,Calculation!$H$6:$S$1005,HLOOKUP(O$2,Calculation!$M$4:$S$5,2,FALSE)+5,FALSE),"")</f>
        <v/>
      </c>
      <c r="P45" s="4" t="str">
        <f ca="1">IFERROR(VLOOKUP($L45,Calculation!$H$6:$S$1005,HLOOKUP(P$2,Calculation!$M$4:$S$5,2,FALSE)+5,FALSE),"")</f>
        <v/>
      </c>
      <c r="Q45" s="4" t="str">
        <f ca="1">IFERROR(VLOOKUP($L45,Calculation!$H$6:$S$1005,HLOOKUP(Q$2,Calculation!$M$4:$S$5,2,FALSE)+5,FALSE),"")</f>
        <v/>
      </c>
      <c r="R45" s="27" t="str">
        <f ca="1">IFERROR(VLOOKUP($L45,Calculation!$H$6:$S$1005,HLOOKUP(R$2,Calculation!$M$4:$S$5,2,FALSE)+5,FALSE),"")</f>
        <v/>
      </c>
      <c r="S45" s="4" t="str">
        <f ca="1">IFERROR(VLOOKUP($L45,Calculation!$H$6:$S$1005,HLOOKUP(S$2,Calculation!$M$4:$S$5,2,FALSE)+5,FALSE),"")</f>
        <v/>
      </c>
      <c r="T45" s="29"/>
      <c r="U45" s="43" t="str">
        <f>IFERROR(VLOOKUP(T45,Calculation!$U$6:$V$11,2,FALSE),"")</f>
        <v/>
      </c>
    </row>
    <row r="46" spans="1:21" ht="14.25" customHeight="1" x14ac:dyDescent="0.3">
      <c r="A46" s="26" t="str">
        <f ca="1">IF(Calculation!T49&lt;=Calculation!$H$4,Calculation!T49,"")</f>
        <v/>
      </c>
      <c r="B46" s="4" t="str">
        <f ca="1">VLOOKUP(A46,Calculation!$E$6:$J$1004,4,FALSE)</f>
        <v/>
      </c>
      <c r="C46" s="4" t="str">
        <f ca="1">VLOOKUP(A46,Calculation!$E$6:$J$1004,5,FALSE)</f>
        <v/>
      </c>
      <c r="D46" s="4" t="str">
        <f ca="1">VLOOKUP(A46,Calculation!$E$6:$J$1004,6,FALSE)</f>
        <v/>
      </c>
      <c r="E46" s="42" t="str">
        <f t="shared" ca="1" si="0"/>
        <v/>
      </c>
      <c r="G46" s="29" t="str">
        <f ca="1">VLOOKUP(A46,Calculation!$F$6:$J$1004,3,FALSE)</f>
        <v/>
      </c>
      <c r="H46" s="4" t="str">
        <f ca="1">VLOOKUP(A46,Calculation!$F$6:$J$1004,4,FALSE)</f>
        <v/>
      </c>
      <c r="I46" s="4" t="str">
        <f ca="1">VLOOKUP(A46,Calculation!$F$6:$J$1004,5,FALSE)</f>
        <v/>
      </c>
      <c r="J46" s="43" t="str">
        <f t="shared" ca="1" si="1"/>
        <v/>
      </c>
      <c r="L46" s="29" t="str">
        <f ca="1">VLOOKUP(A46,Calculation!$G$6:$S$1004,2,FALSE)</f>
        <v/>
      </c>
      <c r="M46" s="4" t="str">
        <f ca="1">IFERROR(VLOOKUP($L46,Calculation!$H$6:$S$1005,HLOOKUP(M$2,Calculation!$M$4:$S$5,2,FALSE)+5,FALSE),"")</f>
        <v/>
      </c>
      <c r="N46" s="4" t="str">
        <f ca="1">IFERROR(VLOOKUP($L46,Calculation!$H$6:$S$1005,HLOOKUP(N$2,Calculation!$M$4:$S$5,2,FALSE)+5,FALSE),"")</f>
        <v/>
      </c>
      <c r="O46" s="4" t="str">
        <f ca="1">IFERROR(VLOOKUP($L46,Calculation!$H$6:$S$1005,HLOOKUP(O$2,Calculation!$M$4:$S$5,2,FALSE)+5,FALSE),"")</f>
        <v/>
      </c>
      <c r="P46" s="4" t="str">
        <f ca="1">IFERROR(VLOOKUP($L46,Calculation!$H$6:$S$1005,HLOOKUP(P$2,Calculation!$M$4:$S$5,2,FALSE)+5,FALSE),"")</f>
        <v/>
      </c>
      <c r="Q46" s="4" t="str">
        <f ca="1">IFERROR(VLOOKUP($L46,Calculation!$H$6:$S$1005,HLOOKUP(Q$2,Calculation!$M$4:$S$5,2,FALSE)+5,FALSE),"")</f>
        <v/>
      </c>
      <c r="R46" s="27" t="str">
        <f ca="1">IFERROR(VLOOKUP($L46,Calculation!$H$6:$S$1005,HLOOKUP(R$2,Calculation!$M$4:$S$5,2,FALSE)+5,FALSE),"")</f>
        <v/>
      </c>
      <c r="S46" s="4" t="str">
        <f ca="1">IFERROR(VLOOKUP($L46,Calculation!$H$6:$S$1005,HLOOKUP(S$2,Calculation!$M$4:$S$5,2,FALSE)+5,FALSE),"")</f>
        <v/>
      </c>
      <c r="T46" s="29"/>
      <c r="U46" s="43" t="str">
        <f>IFERROR(VLOOKUP(T46,Calculation!$U$6:$V$11,2,FALSE),"")</f>
        <v/>
      </c>
    </row>
    <row r="47" spans="1:21" ht="14.25" customHeight="1" x14ac:dyDescent="0.3">
      <c r="A47" s="26" t="str">
        <f ca="1">IF(Calculation!T50&lt;=Calculation!$H$4,Calculation!T50,"")</f>
        <v/>
      </c>
      <c r="B47" s="4" t="str">
        <f ca="1">VLOOKUP(A47,Calculation!$E$6:$J$1004,4,FALSE)</f>
        <v/>
      </c>
      <c r="C47" s="4" t="str">
        <f ca="1">VLOOKUP(A47,Calculation!$E$6:$J$1004,5,FALSE)</f>
        <v/>
      </c>
      <c r="D47" s="4" t="str">
        <f ca="1">VLOOKUP(A47,Calculation!$E$6:$J$1004,6,FALSE)</f>
        <v/>
      </c>
      <c r="E47" s="42" t="str">
        <f t="shared" ca="1" si="0"/>
        <v/>
      </c>
      <c r="G47" s="29" t="str">
        <f ca="1">VLOOKUP(A47,Calculation!$F$6:$J$1004,3,FALSE)</f>
        <v/>
      </c>
      <c r="H47" s="4" t="str">
        <f ca="1">VLOOKUP(A47,Calculation!$F$6:$J$1004,4,FALSE)</f>
        <v/>
      </c>
      <c r="I47" s="4" t="str">
        <f ca="1">VLOOKUP(A47,Calculation!$F$6:$J$1004,5,FALSE)</f>
        <v/>
      </c>
      <c r="J47" s="43" t="str">
        <f t="shared" ca="1" si="1"/>
        <v/>
      </c>
      <c r="L47" s="29" t="str">
        <f ca="1">VLOOKUP(A47,Calculation!$G$6:$S$1004,2,FALSE)</f>
        <v/>
      </c>
      <c r="M47" s="4" t="str">
        <f ca="1">IFERROR(VLOOKUP($L47,Calculation!$H$6:$S$1005,HLOOKUP(M$2,Calculation!$M$4:$S$5,2,FALSE)+5,FALSE),"")</f>
        <v/>
      </c>
      <c r="N47" s="4" t="str">
        <f ca="1">IFERROR(VLOOKUP($L47,Calculation!$H$6:$S$1005,HLOOKUP(N$2,Calculation!$M$4:$S$5,2,FALSE)+5,FALSE),"")</f>
        <v/>
      </c>
      <c r="O47" s="4" t="str">
        <f ca="1">IFERROR(VLOOKUP($L47,Calculation!$H$6:$S$1005,HLOOKUP(O$2,Calculation!$M$4:$S$5,2,FALSE)+5,FALSE),"")</f>
        <v/>
      </c>
      <c r="P47" s="4" t="str">
        <f ca="1">IFERROR(VLOOKUP($L47,Calculation!$H$6:$S$1005,HLOOKUP(P$2,Calculation!$M$4:$S$5,2,FALSE)+5,FALSE),"")</f>
        <v/>
      </c>
      <c r="Q47" s="4" t="str">
        <f ca="1">IFERROR(VLOOKUP($L47,Calculation!$H$6:$S$1005,HLOOKUP(Q$2,Calculation!$M$4:$S$5,2,FALSE)+5,FALSE),"")</f>
        <v/>
      </c>
      <c r="R47" s="27" t="str">
        <f ca="1">IFERROR(VLOOKUP($L47,Calculation!$H$6:$S$1005,HLOOKUP(R$2,Calculation!$M$4:$S$5,2,FALSE)+5,FALSE),"")</f>
        <v/>
      </c>
      <c r="S47" s="4" t="str">
        <f ca="1">IFERROR(VLOOKUP($L47,Calculation!$H$6:$S$1005,HLOOKUP(S$2,Calculation!$M$4:$S$5,2,FALSE)+5,FALSE),"")</f>
        <v/>
      </c>
      <c r="T47" s="29"/>
      <c r="U47" s="43" t="str">
        <f>IFERROR(VLOOKUP(T47,Calculation!$U$6:$V$11,2,FALSE),"")</f>
        <v/>
      </c>
    </row>
    <row r="48" spans="1:21" ht="14.25" customHeight="1" x14ac:dyDescent="0.3">
      <c r="A48" s="26" t="str">
        <f ca="1">IF(Calculation!T51&lt;=Calculation!$H$4,Calculation!T51,"")</f>
        <v/>
      </c>
      <c r="B48" s="4" t="str">
        <f ca="1">VLOOKUP(A48,Calculation!$E$6:$J$1004,4,FALSE)</f>
        <v/>
      </c>
      <c r="C48" s="4" t="str">
        <f ca="1">VLOOKUP(A48,Calculation!$E$6:$J$1004,5,FALSE)</f>
        <v/>
      </c>
      <c r="D48" s="4" t="str">
        <f ca="1">VLOOKUP(A48,Calculation!$E$6:$J$1004,6,FALSE)</f>
        <v/>
      </c>
      <c r="E48" s="42" t="str">
        <f t="shared" ca="1" si="0"/>
        <v/>
      </c>
      <c r="G48" s="29" t="str">
        <f ca="1">VLOOKUP(A48,Calculation!$F$6:$J$1004,3,FALSE)</f>
        <v/>
      </c>
      <c r="H48" s="4" t="str">
        <f ca="1">VLOOKUP(A48,Calculation!$F$6:$J$1004,4,FALSE)</f>
        <v/>
      </c>
      <c r="I48" s="4" t="str">
        <f ca="1">VLOOKUP(A48,Calculation!$F$6:$J$1004,5,FALSE)</f>
        <v/>
      </c>
      <c r="J48" s="43" t="str">
        <f t="shared" ca="1" si="1"/>
        <v/>
      </c>
      <c r="L48" s="29" t="str">
        <f ca="1">VLOOKUP(A48,Calculation!$G$6:$S$1004,2,FALSE)</f>
        <v/>
      </c>
      <c r="M48" s="4" t="str">
        <f ca="1">IFERROR(VLOOKUP($L48,Calculation!$H$6:$S$1005,HLOOKUP(M$2,Calculation!$M$4:$S$5,2,FALSE)+5,FALSE),"")</f>
        <v/>
      </c>
      <c r="N48" s="4" t="str">
        <f ca="1">IFERROR(VLOOKUP($L48,Calculation!$H$6:$S$1005,HLOOKUP(N$2,Calculation!$M$4:$S$5,2,FALSE)+5,FALSE),"")</f>
        <v/>
      </c>
      <c r="O48" s="4" t="str">
        <f ca="1">IFERROR(VLOOKUP($L48,Calculation!$H$6:$S$1005,HLOOKUP(O$2,Calculation!$M$4:$S$5,2,FALSE)+5,FALSE),"")</f>
        <v/>
      </c>
      <c r="P48" s="4" t="str">
        <f ca="1">IFERROR(VLOOKUP($L48,Calculation!$H$6:$S$1005,HLOOKUP(P$2,Calculation!$M$4:$S$5,2,FALSE)+5,FALSE),"")</f>
        <v/>
      </c>
      <c r="Q48" s="4" t="str">
        <f ca="1">IFERROR(VLOOKUP($L48,Calculation!$H$6:$S$1005,HLOOKUP(Q$2,Calculation!$M$4:$S$5,2,FALSE)+5,FALSE),"")</f>
        <v/>
      </c>
      <c r="R48" s="27" t="str">
        <f ca="1">IFERROR(VLOOKUP($L48,Calculation!$H$6:$S$1005,HLOOKUP(R$2,Calculation!$M$4:$S$5,2,FALSE)+5,FALSE),"")</f>
        <v/>
      </c>
      <c r="S48" s="4" t="str">
        <f ca="1">IFERROR(VLOOKUP($L48,Calculation!$H$6:$S$1005,HLOOKUP(S$2,Calculation!$M$4:$S$5,2,FALSE)+5,FALSE),"")</f>
        <v/>
      </c>
      <c r="T48" s="29"/>
      <c r="U48" s="43" t="str">
        <f>IFERROR(VLOOKUP(T48,Calculation!$U$6:$V$11,2,FALSE),"")</f>
        <v/>
      </c>
    </row>
    <row r="49" spans="1:21" ht="14.25" customHeight="1" x14ac:dyDescent="0.3">
      <c r="A49" s="26" t="str">
        <f ca="1">IF(Calculation!T52&lt;=Calculation!$H$4,Calculation!T52,"")</f>
        <v/>
      </c>
      <c r="B49" s="4" t="str">
        <f ca="1">VLOOKUP(A49,Calculation!$E$6:$J$1004,4,FALSE)</f>
        <v/>
      </c>
      <c r="C49" s="4" t="str">
        <f ca="1">VLOOKUP(A49,Calculation!$E$6:$J$1004,5,FALSE)</f>
        <v/>
      </c>
      <c r="D49" s="4" t="str">
        <f ca="1">VLOOKUP(A49,Calculation!$E$6:$J$1004,6,FALSE)</f>
        <v/>
      </c>
      <c r="E49" s="42" t="str">
        <f t="shared" ca="1" si="0"/>
        <v/>
      </c>
      <c r="G49" s="29" t="str">
        <f ca="1">VLOOKUP(A49,Calculation!$F$6:$J$1004,3,FALSE)</f>
        <v/>
      </c>
      <c r="H49" s="4" t="str">
        <f ca="1">VLOOKUP(A49,Calculation!$F$6:$J$1004,4,FALSE)</f>
        <v/>
      </c>
      <c r="I49" s="4" t="str">
        <f ca="1">VLOOKUP(A49,Calculation!$F$6:$J$1004,5,FALSE)</f>
        <v/>
      </c>
      <c r="J49" s="43" t="str">
        <f t="shared" ca="1" si="1"/>
        <v/>
      </c>
      <c r="L49" s="29" t="str">
        <f ca="1">VLOOKUP(A49,Calculation!$G$6:$S$1004,2,FALSE)</f>
        <v/>
      </c>
      <c r="M49" s="4" t="str">
        <f ca="1">IFERROR(VLOOKUP($L49,Calculation!$H$6:$S$1005,HLOOKUP(M$2,Calculation!$M$4:$S$5,2,FALSE)+5,FALSE),"")</f>
        <v/>
      </c>
      <c r="N49" s="4" t="str">
        <f ca="1">IFERROR(VLOOKUP($L49,Calculation!$H$6:$S$1005,HLOOKUP(N$2,Calculation!$M$4:$S$5,2,FALSE)+5,FALSE),"")</f>
        <v/>
      </c>
      <c r="O49" s="4" t="str">
        <f ca="1">IFERROR(VLOOKUP($L49,Calculation!$H$6:$S$1005,HLOOKUP(O$2,Calculation!$M$4:$S$5,2,FALSE)+5,FALSE),"")</f>
        <v/>
      </c>
      <c r="P49" s="4" t="str">
        <f ca="1">IFERROR(VLOOKUP($L49,Calculation!$H$6:$S$1005,HLOOKUP(P$2,Calculation!$M$4:$S$5,2,FALSE)+5,FALSE),"")</f>
        <v/>
      </c>
      <c r="Q49" s="4" t="str">
        <f ca="1">IFERROR(VLOOKUP($L49,Calculation!$H$6:$S$1005,HLOOKUP(Q$2,Calculation!$M$4:$S$5,2,FALSE)+5,FALSE),"")</f>
        <v/>
      </c>
      <c r="R49" s="27" t="str">
        <f ca="1">IFERROR(VLOOKUP($L49,Calculation!$H$6:$S$1005,HLOOKUP(R$2,Calculation!$M$4:$S$5,2,FALSE)+5,FALSE),"")</f>
        <v/>
      </c>
      <c r="S49" s="4" t="str">
        <f ca="1">IFERROR(VLOOKUP($L49,Calculation!$H$6:$S$1005,HLOOKUP(S$2,Calculation!$M$4:$S$5,2,FALSE)+5,FALSE),"")</f>
        <v/>
      </c>
      <c r="T49" s="29"/>
      <c r="U49" s="43" t="str">
        <f>IFERROR(VLOOKUP(T49,Calculation!$U$6:$V$11,2,FALSE),"")</f>
        <v/>
      </c>
    </row>
    <row r="50" spans="1:21" ht="14.25" customHeight="1" x14ac:dyDescent="0.3">
      <c r="A50" s="26" t="str">
        <f ca="1">IF(Calculation!T53&lt;=Calculation!$H$4,Calculation!T53,"")</f>
        <v/>
      </c>
      <c r="B50" s="4" t="str">
        <f ca="1">VLOOKUP(A50,Calculation!$E$6:$J$1004,4,FALSE)</f>
        <v/>
      </c>
      <c r="C50" s="4" t="str">
        <f ca="1">VLOOKUP(A50,Calculation!$E$6:$J$1004,5,FALSE)</f>
        <v/>
      </c>
      <c r="D50" s="4" t="str">
        <f ca="1">VLOOKUP(A50,Calculation!$E$6:$J$1004,6,FALSE)</f>
        <v/>
      </c>
      <c r="E50" s="42" t="str">
        <f t="shared" ca="1" si="0"/>
        <v/>
      </c>
      <c r="G50" s="29" t="str">
        <f ca="1">VLOOKUP(A50,Calculation!$F$6:$J$1004,3,FALSE)</f>
        <v/>
      </c>
      <c r="H50" s="4" t="str">
        <f ca="1">VLOOKUP(A50,Calculation!$F$6:$J$1004,4,FALSE)</f>
        <v/>
      </c>
      <c r="I50" s="4" t="str">
        <f ca="1">VLOOKUP(A50,Calculation!$F$6:$J$1004,5,FALSE)</f>
        <v/>
      </c>
      <c r="J50" s="43" t="str">
        <f t="shared" ca="1" si="1"/>
        <v/>
      </c>
      <c r="L50" s="29" t="str">
        <f ca="1">VLOOKUP(A50,Calculation!$G$6:$S$1004,2,FALSE)</f>
        <v/>
      </c>
      <c r="M50" s="4" t="str">
        <f ca="1">IFERROR(VLOOKUP($L50,Calculation!$H$6:$S$1005,HLOOKUP(M$2,Calculation!$M$4:$S$5,2,FALSE)+5,FALSE),"")</f>
        <v/>
      </c>
      <c r="N50" s="4" t="str">
        <f ca="1">IFERROR(VLOOKUP($L50,Calculation!$H$6:$S$1005,HLOOKUP(N$2,Calculation!$M$4:$S$5,2,FALSE)+5,FALSE),"")</f>
        <v/>
      </c>
      <c r="O50" s="4" t="str">
        <f ca="1">IFERROR(VLOOKUP($L50,Calculation!$H$6:$S$1005,HLOOKUP(O$2,Calculation!$M$4:$S$5,2,FALSE)+5,FALSE),"")</f>
        <v/>
      </c>
      <c r="P50" s="4" t="str">
        <f ca="1">IFERROR(VLOOKUP($L50,Calculation!$H$6:$S$1005,HLOOKUP(P$2,Calculation!$M$4:$S$5,2,FALSE)+5,FALSE),"")</f>
        <v/>
      </c>
      <c r="Q50" s="4" t="str">
        <f ca="1">IFERROR(VLOOKUP($L50,Calculation!$H$6:$S$1005,HLOOKUP(Q$2,Calculation!$M$4:$S$5,2,FALSE)+5,FALSE),"")</f>
        <v/>
      </c>
      <c r="R50" s="27" t="str">
        <f ca="1">IFERROR(VLOOKUP($L50,Calculation!$H$6:$S$1005,HLOOKUP(R$2,Calculation!$M$4:$S$5,2,FALSE)+5,FALSE),"")</f>
        <v/>
      </c>
      <c r="S50" s="4" t="str">
        <f ca="1">IFERROR(VLOOKUP($L50,Calculation!$H$6:$S$1005,HLOOKUP(S$2,Calculation!$M$4:$S$5,2,FALSE)+5,FALSE),"")</f>
        <v/>
      </c>
      <c r="T50" s="29"/>
      <c r="U50" s="43" t="str">
        <f>IFERROR(VLOOKUP(T50,Calculation!$U$6:$V$11,2,FALSE),"")</f>
        <v/>
      </c>
    </row>
    <row r="51" spans="1:21" ht="14.25" customHeight="1" x14ac:dyDescent="0.3">
      <c r="A51" s="26" t="str">
        <f ca="1">IF(Calculation!T54&lt;=Calculation!$H$4,Calculation!T54,"")</f>
        <v/>
      </c>
      <c r="B51" s="4" t="str">
        <f ca="1">VLOOKUP(A51,Calculation!$E$6:$J$1004,4,FALSE)</f>
        <v/>
      </c>
      <c r="C51" s="4" t="str">
        <f ca="1">VLOOKUP(A51,Calculation!$E$6:$J$1004,5,FALSE)</f>
        <v/>
      </c>
      <c r="D51" s="4" t="str">
        <f ca="1">VLOOKUP(A51,Calculation!$E$6:$J$1004,6,FALSE)</f>
        <v/>
      </c>
      <c r="E51" s="42" t="str">
        <f t="shared" ca="1" si="0"/>
        <v/>
      </c>
      <c r="G51" s="29" t="str">
        <f ca="1">VLOOKUP(A51,Calculation!$F$6:$J$1004,3,FALSE)</f>
        <v/>
      </c>
      <c r="H51" s="4" t="str">
        <f ca="1">VLOOKUP(A51,Calculation!$F$6:$J$1004,4,FALSE)</f>
        <v/>
      </c>
      <c r="I51" s="4" t="str">
        <f ca="1">VLOOKUP(A51,Calculation!$F$6:$J$1004,5,FALSE)</f>
        <v/>
      </c>
      <c r="J51" s="43" t="str">
        <f t="shared" ca="1" si="1"/>
        <v/>
      </c>
      <c r="L51" s="29" t="str">
        <f ca="1">VLOOKUP(A51,Calculation!$G$6:$S$1004,2,FALSE)</f>
        <v/>
      </c>
      <c r="M51" s="4" t="str">
        <f ca="1">IFERROR(VLOOKUP($L51,Calculation!$H$6:$S$1005,HLOOKUP(M$2,Calculation!$M$4:$S$5,2,FALSE)+5,FALSE),"")</f>
        <v/>
      </c>
      <c r="N51" s="4" t="str">
        <f ca="1">IFERROR(VLOOKUP($L51,Calculation!$H$6:$S$1005,HLOOKUP(N$2,Calculation!$M$4:$S$5,2,FALSE)+5,FALSE),"")</f>
        <v/>
      </c>
      <c r="O51" s="4" t="str">
        <f ca="1">IFERROR(VLOOKUP($L51,Calculation!$H$6:$S$1005,HLOOKUP(O$2,Calculation!$M$4:$S$5,2,FALSE)+5,FALSE),"")</f>
        <v/>
      </c>
      <c r="P51" s="4" t="str">
        <f ca="1">IFERROR(VLOOKUP($L51,Calculation!$H$6:$S$1005,HLOOKUP(P$2,Calculation!$M$4:$S$5,2,FALSE)+5,FALSE),"")</f>
        <v/>
      </c>
      <c r="Q51" s="4" t="str">
        <f ca="1">IFERROR(VLOOKUP($L51,Calculation!$H$6:$S$1005,HLOOKUP(Q$2,Calculation!$M$4:$S$5,2,FALSE)+5,FALSE),"")</f>
        <v/>
      </c>
      <c r="R51" s="27" t="str">
        <f ca="1">IFERROR(VLOOKUP($L51,Calculation!$H$6:$S$1005,HLOOKUP(R$2,Calculation!$M$4:$S$5,2,FALSE)+5,FALSE),"")</f>
        <v/>
      </c>
      <c r="S51" s="4" t="str">
        <f ca="1">IFERROR(VLOOKUP($L51,Calculation!$H$6:$S$1005,HLOOKUP(S$2,Calculation!$M$4:$S$5,2,FALSE)+5,FALSE),"")</f>
        <v/>
      </c>
      <c r="T51" s="29"/>
      <c r="U51" s="43" t="str">
        <f>IFERROR(VLOOKUP(T51,Calculation!$U$6:$V$11,2,FALSE),"")</f>
        <v/>
      </c>
    </row>
    <row r="52" spans="1:21" ht="14.25" customHeight="1" x14ac:dyDescent="0.3">
      <c r="A52" s="26" t="str">
        <f ca="1">IF(Calculation!T55&lt;=Calculation!$H$4,Calculation!T55,"")</f>
        <v/>
      </c>
      <c r="B52" s="4" t="str">
        <f ca="1">VLOOKUP(A52,Calculation!$E$6:$J$1004,4,FALSE)</f>
        <v/>
      </c>
      <c r="C52" s="4" t="str">
        <f ca="1">VLOOKUP(A52,Calculation!$E$6:$J$1004,5,FALSE)</f>
        <v/>
      </c>
      <c r="D52" s="4" t="str">
        <f ca="1">VLOOKUP(A52,Calculation!$E$6:$J$1004,6,FALSE)</f>
        <v/>
      </c>
      <c r="E52" s="42" t="str">
        <f t="shared" ca="1" si="0"/>
        <v/>
      </c>
      <c r="G52" s="29" t="str">
        <f ca="1">VLOOKUP(A52,Calculation!$F$6:$J$1004,3,FALSE)</f>
        <v/>
      </c>
      <c r="H52" s="4" t="str">
        <f ca="1">VLOOKUP(A52,Calculation!$F$6:$J$1004,4,FALSE)</f>
        <v/>
      </c>
      <c r="I52" s="4" t="str">
        <f ca="1">VLOOKUP(A52,Calculation!$F$6:$J$1004,5,FALSE)</f>
        <v/>
      </c>
      <c r="J52" s="43" t="str">
        <f t="shared" ca="1" si="1"/>
        <v/>
      </c>
      <c r="L52" s="29" t="str">
        <f ca="1">VLOOKUP(A52,Calculation!$G$6:$S$1004,2,FALSE)</f>
        <v/>
      </c>
      <c r="M52" s="4" t="str">
        <f ca="1">IFERROR(VLOOKUP($L52,Calculation!$H$6:$S$1005,HLOOKUP(M$2,Calculation!$M$4:$S$5,2,FALSE)+5,FALSE),"")</f>
        <v/>
      </c>
      <c r="N52" s="4" t="str">
        <f ca="1">IFERROR(VLOOKUP($L52,Calculation!$H$6:$S$1005,HLOOKUP(N$2,Calculation!$M$4:$S$5,2,FALSE)+5,FALSE),"")</f>
        <v/>
      </c>
      <c r="O52" s="4" t="str">
        <f ca="1">IFERROR(VLOOKUP($L52,Calculation!$H$6:$S$1005,HLOOKUP(O$2,Calculation!$M$4:$S$5,2,FALSE)+5,FALSE),"")</f>
        <v/>
      </c>
      <c r="P52" s="4" t="str">
        <f ca="1">IFERROR(VLOOKUP($L52,Calculation!$H$6:$S$1005,HLOOKUP(P$2,Calculation!$M$4:$S$5,2,FALSE)+5,FALSE),"")</f>
        <v/>
      </c>
      <c r="Q52" s="4" t="str">
        <f ca="1">IFERROR(VLOOKUP($L52,Calculation!$H$6:$S$1005,HLOOKUP(Q$2,Calculation!$M$4:$S$5,2,FALSE)+5,FALSE),"")</f>
        <v/>
      </c>
      <c r="R52" s="27" t="str">
        <f ca="1">IFERROR(VLOOKUP($L52,Calculation!$H$6:$S$1005,HLOOKUP(R$2,Calculation!$M$4:$S$5,2,FALSE)+5,FALSE),"")</f>
        <v/>
      </c>
      <c r="S52" s="4" t="str">
        <f ca="1">IFERROR(VLOOKUP($L52,Calculation!$H$6:$S$1005,HLOOKUP(S$2,Calculation!$M$4:$S$5,2,FALSE)+5,FALSE),"")</f>
        <v/>
      </c>
      <c r="T52" s="29"/>
      <c r="U52" s="43" t="str">
        <f>IFERROR(VLOOKUP(T52,Calculation!$U$6:$V$11,2,FALSE),"")</f>
        <v/>
      </c>
    </row>
    <row r="53" spans="1:21" ht="14.25" customHeight="1" x14ac:dyDescent="0.3">
      <c r="A53" s="26" t="str">
        <f ca="1">IF(Calculation!T56&lt;=Calculation!$H$4,Calculation!T56,"")</f>
        <v/>
      </c>
      <c r="B53" s="4" t="str">
        <f ca="1">VLOOKUP(A53,Calculation!$E$6:$J$1004,4,FALSE)</f>
        <v/>
      </c>
      <c r="C53" s="4" t="str">
        <f ca="1">VLOOKUP(A53,Calculation!$E$6:$J$1004,5,FALSE)</f>
        <v/>
      </c>
      <c r="D53" s="4" t="str">
        <f ca="1">VLOOKUP(A53,Calculation!$E$6:$J$1004,6,FALSE)</f>
        <v/>
      </c>
      <c r="E53" s="42" t="str">
        <f t="shared" ca="1" si="0"/>
        <v/>
      </c>
      <c r="G53" s="29" t="str">
        <f ca="1">VLOOKUP(A53,Calculation!$F$6:$J$1004,3,FALSE)</f>
        <v/>
      </c>
      <c r="H53" s="4" t="str">
        <f ca="1">VLOOKUP(A53,Calculation!$F$6:$J$1004,4,FALSE)</f>
        <v/>
      </c>
      <c r="I53" s="4" t="str">
        <f ca="1">VLOOKUP(A53,Calculation!$F$6:$J$1004,5,FALSE)</f>
        <v/>
      </c>
      <c r="J53" s="43" t="str">
        <f t="shared" ca="1" si="1"/>
        <v/>
      </c>
      <c r="L53" s="29" t="str">
        <f ca="1">VLOOKUP(A53,Calculation!$G$6:$S$1004,2,FALSE)</f>
        <v/>
      </c>
      <c r="M53" s="4" t="str">
        <f ca="1">IFERROR(VLOOKUP($L53,Calculation!$H$6:$S$1005,HLOOKUP(M$2,Calculation!$M$4:$S$5,2,FALSE)+5,FALSE),"")</f>
        <v/>
      </c>
      <c r="N53" s="4" t="str">
        <f ca="1">IFERROR(VLOOKUP($L53,Calculation!$H$6:$S$1005,HLOOKUP(N$2,Calculation!$M$4:$S$5,2,FALSE)+5,FALSE),"")</f>
        <v/>
      </c>
      <c r="O53" s="4" t="str">
        <f ca="1">IFERROR(VLOOKUP($L53,Calculation!$H$6:$S$1005,HLOOKUP(O$2,Calculation!$M$4:$S$5,2,FALSE)+5,FALSE),"")</f>
        <v/>
      </c>
      <c r="P53" s="4" t="str">
        <f ca="1">IFERROR(VLOOKUP($L53,Calculation!$H$6:$S$1005,HLOOKUP(P$2,Calculation!$M$4:$S$5,2,FALSE)+5,FALSE),"")</f>
        <v/>
      </c>
      <c r="Q53" s="4" t="str">
        <f ca="1">IFERROR(VLOOKUP($L53,Calculation!$H$6:$S$1005,HLOOKUP(Q$2,Calculation!$M$4:$S$5,2,FALSE)+5,FALSE),"")</f>
        <v/>
      </c>
      <c r="R53" s="27" t="str">
        <f ca="1">IFERROR(VLOOKUP($L53,Calculation!$H$6:$S$1005,HLOOKUP(R$2,Calculation!$M$4:$S$5,2,FALSE)+5,FALSE),"")</f>
        <v/>
      </c>
      <c r="S53" s="4" t="str">
        <f ca="1">IFERROR(VLOOKUP($L53,Calculation!$H$6:$S$1005,HLOOKUP(S$2,Calculation!$M$4:$S$5,2,FALSE)+5,FALSE),"")</f>
        <v/>
      </c>
      <c r="T53" s="29"/>
      <c r="U53" s="43" t="str">
        <f>IFERROR(VLOOKUP(T53,Calculation!$U$6:$V$11,2,FALSE),"")</f>
        <v/>
      </c>
    </row>
    <row r="54" spans="1:21" ht="14.25" customHeight="1" x14ac:dyDescent="0.3">
      <c r="A54" s="26" t="str">
        <f ca="1">IF(Calculation!T57&lt;=Calculation!$H$4,Calculation!T57,"")</f>
        <v/>
      </c>
      <c r="B54" s="4" t="str">
        <f ca="1">VLOOKUP(A54,Calculation!$E$6:$J$1004,4,FALSE)</f>
        <v/>
      </c>
      <c r="C54" s="4" t="str">
        <f ca="1">VLOOKUP(A54,Calculation!$E$6:$J$1004,5,FALSE)</f>
        <v/>
      </c>
      <c r="D54" s="4" t="str">
        <f ca="1">VLOOKUP(A54,Calculation!$E$6:$J$1004,6,FALSE)</f>
        <v/>
      </c>
      <c r="E54" s="42" t="str">
        <f t="shared" ca="1" si="0"/>
        <v/>
      </c>
      <c r="G54" s="29" t="str">
        <f ca="1">VLOOKUP(A54,Calculation!$F$6:$J$1004,3,FALSE)</f>
        <v/>
      </c>
      <c r="H54" s="4" t="str">
        <f ca="1">VLOOKUP(A54,Calculation!$F$6:$J$1004,4,FALSE)</f>
        <v/>
      </c>
      <c r="I54" s="4" t="str">
        <f ca="1">VLOOKUP(A54,Calculation!$F$6:$J$1004,5,FALSE)</f>
        <v/>
      </c>
      <c r="J54" s="43" t="str">
        <f t="shared" ca="1" si="1"/>
        <v/>
      </c>
      <c r="L54" s="29" t="str">
        <f ca="1">VLOOKUP(A54,Calculation!$G$6:$S$1004,2,FALSE)</f>
        <v/>
      </c>
      <c r="M54" s="4" t="str">
        <f ca="1">IFERROR(VLOOKUP($L54,Calculation!$H$6:$S$1005,HLOOKUP(M$2,Calculation!$M$4:$S$5,2,FALSE)+5,FALSE),"")</f>
        <v/>
      </c>
      <c r="N54" s="4" t="str">
        <f ca="1">IFERROR(VLOOKUP($L54,Calculation!$H$6:$S$1005,HLOOKUP(N$2,Calculation!$M$4:$S$5,2,FALSE)+5,FALSE),"")</f>
        <v/>
      </c>
      <c r="O54" s="4" t="str">
        <f ca="1">IFERROR(VLOOKUP($L54,Calculation!$H$6:$S$1005,HLOOKUP(O$2,Calculation!$M$4:$S$5,2,FALSE)+5,FALSE),"")</f>
        <v/>
      </c>
      <c r="P54" s="4" t="str">
        <f ca="1">IFERROR(VLOOKUP($L54,Calculation!$H$6:$S$1005,HLOOKUP(P$2,Calculation!$M$4:$S$5,2,FALSE)+5,FALSE),"")</f>
        <v/>
      </c>
      <c r="Q54" s="4" t="str">
        <f ca="1">IFERROR(VLOOKUP($L54,Calculation!$H$6:$S$1005,HLOOKUP(Q$2,Calculation!$M$4:$S$5,2,FALSE)+5,FALSE),"")</f>
        <v/>
      </c>
      <c r="R54" s="27" t="str">
        <f ca="1">IFERROR(VLOOKUP($L54,Calculation!$H$6:$S$1005,HLOOKUP(R$2,Calculation!$M$4:$S$5,2,FALSE)+5,FALSE),"")</f>
        <v/>
      </c>
      <c r="S54" s="4" t="str">
        <f ca="1">IFERROR(VLOOKUP($L54,Calculation!$H$6:$S$1005,HLOOKUP(S$2,Calculation!$M$4:$S$5,2,FALSE)+5,FALSE),"")</f>
        <v/>
      </c>
      <c r="T54" s="29"/>
      <c r="U54" s="43" t="str">
        <f>IFERROR(VLOOKUP(T54,Calculation!$U$6:$V$11,2,FALSE),"")</f>
        <v/>
      </c>
    </row>
    <row r="55" spans="1:21" ht="14.25" customHeight="1" x14ac:dyDescent="0.3">
      <c r="A55" s="26" t="str">
        <f ca="1">IF(Calculation!T58&lt;=Calculation!$H$4,Calculation!T58,"")</f>
        <v/>
      </c>
      <c r="B55" s="4" t="str">
        <f ca="1">VLOOKUP(A55,Calculation!$E$6:$J$1004,4,FALSE)</f>
        <v/>
      </c>
      <c r="C55" s="4" t="str">
        <f ca="1">VLOOKUP(A55,Calculation!$E$6:$J$1004,5,FALSE)</f>
        <v/>
      </c>
      <c r="D55" s="4" t="str">
        <f ca="1">VLOOKUP(A55,Calculation!$E$6:$J$1004,6,FALSE)</f>
        <v/>
      </c>
      <c r="E55" s="42" t="str">
        <f t="shared" ca="1" si="0"/>
        <v/>
      </c>
      <c r="G55" s="29" t="str">
        <f ca="1">VLOOKUP(A55,Calculation!$F$6:$J$1004,3,FALSE)</f>
        <v/>
      </c>
      <c r="H55" s="4" t="str">
        <f ca="1">VLOOKUP(A55,Calculation!$F$6:$J$1004,4,FALSE)</f>
        <v/>
      </c>
      <c r="I55" s="4" t="str">
        <f ca="1">VLOOKUP(A55,Calculation!$F$6:$J$1004,5,FALSE)</f>
        <v/>
      </c>
      <c r="J55" s="43" t="str">
        <f t="shared" ca="1" si="1"/>
        <v/>
      </c>
      <c r="L55" s="29" t="str">
        <f ca="1">VLOOKUP(A55,Calculation!$G$6:$S$1004,2,FALSE)</f>
        <v/>
      </c>
      <c r="M55" s="4" t="str">
        <f ca="1">IFERROR(VLOOKUP($L55,Calculation!$H$6:$S$1005,HLOOKUP(M$2,Calculation!$M$4:$S$5,2,FALSE)+5,FALSE),"")</f>
        <v/>
      </c>
      <c r="N55" s="4" t="str">
        <f ca="1">IFERROR(VLOOKUP($L55,Calculation!$H$6:$S$1005,HLOOKUP(N$2,Calculation!$M$4:$S$5,2,FALSE)+5,FALSE),"")</f>
        <v/>
      </c>
      <c r="O55" s="4" t="str">
        <f ca="1">IFERROR(VLOOKUP($L55,Calculation!$H$6:$S$1005,HLOOKUP(O$2,Calculation!$M$4:$S$5,2,FALSE)+5,FALSE),"")</f>
        <v/>
      </c>
      <c r="P55" s="4" t="str">
        <f ca="1">IFERROR(VLOOKUP($L55,Calculation!$H$6:$S$1005,HLOOKUP(P$2,Calculation!$M$4:$S$5,2,FALSE)+5,FALSE),"")</f>
        <v/>
      </c>
      <c r="Q55" s="4" t="str">
        <f ca="1">IFERROR(VLOOKUP($L55,Calculation!$H$6:$S$1005,HLOOKUP(Q$2,Calculation!$M$4:$S$5,2,FALSE)+5,FALSE),"")</f>
        <v/>
      </c>
      <c r="R55" s="27" t="str">
        <f ca="1">IFERROR(VLOOKUP($L55,Calculation!$H$6:$S$1005,HLOOKUP(R$2,Calculation!$M$4:$S$5,2,FALSE)+5,FALSE),"")</f>
        <v/>
      </c>
      <c r="S55" s="4" t="str">
        <f ca="1">IFERROR(VLOOKUP($L55,Calculation!$H$6:$S$1005,HLOOKUP(S$2,Calculation!$M$4:$S$5,2,FALSE)+5,FALSE),"")</f>
        <v/>
      </c>
      <c r="T55" s="29"/>
      <c r="U55" s="43" t="str">
        <f>IFERROR(VLOOKUP(T55,Calculation!$U$6:$V$11,2,FALSE),"")</f>
        <v/>
      </c>
    </row>
    <row r="56" spans="1:21" ht="14.25" customHeight="1" x14ac:dyDescent="0.3">
      <c r="A56" s="26" t="str">
        <f ca="1">IF(Calculation!T59&lt;=Calculation!$H$4,Calculation!T59,"")</f>
        <v/>
      </c>
      <c r="B56" s="4" t="str">
        <f ca="1">VLOOKUP(A56,Calculation!$E$6:$J$1004,4,FALSE)</f>
        <v/>
      </c>
      <c r="C56" s="4" t="str">
        <f ca="1">VLOOKUP(A56,Calculation!$E$6:$J$1004,5,FALSE)</f>
        <v/>
      </c>
      <c r="D56" s="4" t="str">
        <f ca="1">VLOOKUP(A56,Calculation!$E$6:$J$1004,6,FALSE)</f>
        <v/>
      </c>
      <c r="E56" s="42" t="str">
        <f t="shared" ca="1" si="0"/>
        <v/>
      </c>
      <c r="G56" s="29" t="str">
        <f ca="1">VLOOKUP(A56,Calculation!$F$6:$J$1004,3,FALSE)</f>
        <v/>
      </c>
      <c r="H56" s="4" t="str">
        <f ca="1">VLOOKUP(A56,Calculation!$F$6:$J$1004,4,FALSE)</f>
        <v/>
      </c>
      <c r="I56" s="4" t="str">
        <f ca="1">VLOOKUP(A56,Calculation!$F$6:$J$1004,5,FALSE)</f>
        <v/>
      </c>
      <c r="J56" s="43" t="str">
        <f t="shared" ca="1" si="1"/>
        <v/>
      </c>
      <c r="L56" s="29" t="str">
        <f ca="1">VLOOKUP(A56,Calculation!$G$6:$S$1004,2,FALSE)</f>
        <v/>
      </c>
      <c r="M56" s="4" t="str">
        <f ca="1">IFERROR(VLOOKUP($L56,Calculation!$H$6:$S$1005,HLOOKUP(M$2,Calculation!$M$4:$S$5,2,FALSE)+5,FALSE),"")</f>
        <v/>
      </c>
      <c r="N56" s="4" t="str">
        <f ca="1">IFERROR(VLOOKUP($L56,Calculation!$H$6:$S$1005,HLOOKUP(N$2,Calculation!$M$4:$S$5,2,FALSE)+5,FALSE),"")</f>
        <v/>
      </c>
      <c r="O56" s="4" t="str">
        <f ca="1">IFERROR(VLOOKUP($L56,Calculation!$H$6:$S$1005,HLOOKUP(O$2,Calculation!$M$4:$S$5,2,FALSE)+5,FALSE),"")</f>
        <v/>
      </c>
      <c r="P56" s="4" t="str">
        <f ca="1">IFERROR(VLOOKUP($L56,Calculation!$H$6:$S$1005,HLOOKUP(P$2,Calculation!$M$4:$S$5,2,FALSE)+5,FALSE),"")</f>
        <v/>
      </c>
      <c r="Q56" s="4" t="str">
        <f ca="1">IFERROR(VLOOKUP($L56,Calculation!$H$6:$S$1005,HLOOKUP(Q$2,Calculation!$M$4:$S$5,2,FALSE)+5,FALSE),"")</f>
        <v/>
      </c>
      <c r="R56" s="27" t="str">
        <f ca="1">IFERROR(VLOOKUP($L56,Calculation!$H$6:$S$1005,HLOOKUP(R$2,Calculation!$M$4:$S$5,2,FALSE)+5,FALSE),"")</f>
        <v/>
      </c>
      <c r="S56" s="4" t="str">
        <f ca="1">IFERROR(VLOOKUP($L56,Calculation!$H$6:$S$1005,HLOOKUP(S$2,Calculation!$M$4:$S$5,2,FALSE)+5,FALSE),"")</f>
        <v/>
      </c>
      <c r="T56" s="29"/>
      <c r="U56" s="43" t="str">
        <f>IFERROR(VLOOKUP(T56,Calculation!$U$6:$V$11,2,FALSE),"")</f>
        <v/>
      </c>
    </row>
    <row r="57" spans="1:21" ht="14.25" customHeight="1" x14ac:dyDescent="0.3">
      <c r="A57" s="26" t="str">
        <f ca="1">IF(Calculation!T60&lt;=Calculation!$H$4,Calculation!T60,"")</f>
        <v/>
      </c>
      <c r="B57" s="4" t="str">
        <f ca="1">VLOOKUP(A57,Calculation!$E$6:$J$1004,4,FALSE)</f>
        <v/>
      </c>
      <c r="C57" s="4" t="str">
        <f ca="1">VLOOKUP(A57,Calculation!$E$6:$J$1004,5,FALSE)</f>
        <v/>
      </c>
      <c r="D57" s="4" t="str">
        <f ca="1">VLOOKUP(A57,Calculation!$E$6:$J$1004,6,FALSE)</f>
        <v/>
      </c>
      <c r="E57" s="42" t="str">
        <f t="shared" ca="1" si="0"/>
        <v/>
      </c>
      <c r="G57" s="29" t="str">
        <f ca="1">VLOOKUP(A57,Calculation!$F$6:$J$1004,3,FALSE)</f>
        <v/>
      </c>
      <c r="H57" s="4" t="str">
        <f ca="1">VLOOKUP(A57,Calculation!$F$6:$J$1004,4,FALSE)</f>
        <v/>
      </c>
      <c r="I57" s="4" t="str">
        <f ca="1">VLOOKUP(A57,Calculation!$F$6:$J$1004,5,FALSE)</f>
        <v/>
      </c>
      <c r="J57" s="43" t="str">
        <f t="shared" ca="1" si="1"/>
        <v/>
      </c>
      <c r="L57" s="29" t="str">
        <f ca="1">VLOOKUP(A57,Calculation!$G$6:$S$1004,2,FALSE)</f>
        <v/>
      </c>
      <c r="M57" s="4" t="str">
        <f ca="1">IFERROR(VLOOKUP($L57,Calculation!$H$6:$S$1005,HLOOKUP(M$2,Calculation!$M$4:$S$5,2,FALSE)+5,FALSE),"")</f>
        <v/>
      </c>
      <c r="N57" s="4" t="str">
        <f ca="1">IFERROR(VLOOKUP($L57,Calculation!$H$6:$S$1005,HLOOKUP(N$2,Calculation!$M$4:$S$5,2,FALSE)+5,FALSE),"")</f>
        <v/>
      </c>
      <c r="O57" s="4" t="str">
        <f ca="1">IFERROR(VLOOKUP($L57,Calculation!$H$6:$S$1005,HLOOKUP(O$2,Calculation!$M$4:$S$5,2,FALSE)+5,FALSE),"")</f>
        <v/>
      </c>
      <c r="P57" s="4" t="str">
        <f ca="1">IFERROR(VLOOKUP($L57,Calculation!$H$6:$S$1005,HLOOKUP(P$2,Calculation!$M$4:$S$5,2,FALSE)+5,FALSE),"")</f>
        <v/>
      </c>
      <c r="Q57" s="4" t="str">
        <f ca="1">IFERROR(VLOOKUP($L57,Calculation!$H$6:$S$1005,HLOOKUP(Q$2,Calculation!$M$4:$S$5,2,FALSE)+5,FALSE),"")</f>
        <v/>
      </c>
      <c r="R57" s="27" t="str">
        <f ca="1">IFERROR(VLOOKUP($L57,Calculation!$H$6:$S$1005,HLOOKUP(R$2,Calculation!$M$4:$S$5,2,FALSE)+5,FALSE),"")</f>
        <v/>
      </c>
      <c r="S57" s="4" t="str">
        <f ca="1">IFERROR(VLOOKUP($L57,Calculation!$H$6:$S$1005,HLOOKUP(S$2,Calculation!$M$4:$S$5,2,FALSE)+5,FALSE),"")</f>
        <v/>
      </c>
      <c r="T57" s="29"/>
      <c r="U57" s="43" t="str">
        <f>IFERROR(VLOOKUP(T57,Calculation!$U$6:$V$11,2,FALSE),"")</f>
        <v/>
      </c>
    </row>
    <row r="58" spans="1:21" ht="14.25" customHeight="1" x14ac:dyDescent="0.3">
      <c r="A58" s="26" t="str">
        <f ca="1">IF(Calculation!T61&lt;=Calculation!$H$4,Calculation!T61,"")</f>
        <v/>
      </c>
      <c r="B58" s="4" t="str">
        <f ca="1">VLOOKUP(A58,Calculation!$E$6:$J$1004,4,FALSE)</f>
        <v/>
      </c>
      <c r="C58" s="4" t="str">
        <f ca="1">VLOOKUP(A58,Calculation!$E$6:$J$1004,5,FALSE)</f>
        <v/>
      </c>
      <c r="D58" s="4" t="str">
        <f ca="1">VLOOKUP(A58,Calculation!$E$6:$J$1004,6,FALSE)</f>
        <v/>
      </c>
      <c r="E58" s="42" t="str">
        <f t="shared" ca="1" si="0"/>
        <v/>
      </c>
      <c r="G58" s="29" t="str">
        <f ca="1">VLOOKUP(A58,Calculation!$F$6:$J$1004,3,FALSE)</f>
        <v/>
      </c>
      <c r="H58" s="4" t="str">
        <f ca="1">VLOOKUP(A58,Calculation!$F$6:$J$1004,4,FALSE)</f>
        <v/>
      </c>
      <c r="I58" s="4" t="str">
        <f ca="1">VLOOKUP(A58,Calculation!$F$6:$J$1004,5,FALSE)</f>
        <v/>
      </c>
      <c r="J58" s="43" t="str">
        <f t="shared" ca="1" si="1"/>
        <v/>
      </c>
      <c r="L58" s="29" t="str">
        <f ca="1">VLOOKUP(A58,Calculation!$G$6:$S$1004,2,FALSE)</f>
        <v/>
      </c>
      <c r="M58" s="4" t="str">
        <f ca="1">IFERROR(VLOOKUP($L58,Calculation!$H$6:$S$1005,HLOOKUP(M$2,Calculation!$M$4:$S$5,2,FALSE)+5,FALSE),"")</f>
        <v/>
      </c>
      <c r="N58" s="4" t="str">
        <f ca="1">IFERROR(VLOOKUP($L58,Calculation!$H$6:$S$1005,HLOOKUP(N$2,Calculation!$M$4:$S$5,2,FALSE)+5,FALSE),"")</f>
        <v/>
      </c>
      <c r="O58" s="4" t="str">
        <f ca="1">IFERROR(VLOOKUP($L58,Calculation!$H$6:$S$1005,HLOOKUP(O$2,Calculation!$M$4:$S$5,2,FALSE)+5,FALSE),"")</f>
        <v/>
      </c>
      <c r="P58" s="4" t="str">
        <f ca="1">IFERROR(VLOOKUP($L58,Calculation!$H$6:$S$1005,HLOOKUP(P$2,Calculation!$M$4:$S$5,2,FALSE)+5,FALSE),"")</f>
        <v/>
      </c>
      <c r="Q58" s="4" t="str">
        <f ca="1">IFERROR(VLOOKUP($L58,Calculation!$H$6:$S$1005,HLOOKUP(Q$2,Calculation!$M$4:$S$5,2,FALSE)+5,FALSE),"")</f>
        <v/>
      </c>
      <c r="R58" s="27" t="str">
        <f ca="1">IFERROR(VLOOKUP($L58,Calculation!$H$6:$S$1005,HLOOKUP(R$2,Calculation!$M$4:$S$5,2,FALSE)+5,FALSE),"")</f>
        <v/>
      </c>
      <c r="S58" s="4" t="str">
        <f ca="1">IFERROR(VLOOKUP($L58,Calculation!$H$6:$S$1005,HLOOKUP(S$2,Calculation!$M$4:$S$5,2,FALSE)+5,FALSE),"")</f>
        <v/>
      </c>
      <c r="T58" s="29"/>
      <c r="U58" s="43" t="str">
        <f>IFERROR(VLOOKUP(T58,Calculation!$U$6:$V$11,2,FALSE),"")</f>
        <v/>
      </c>
    </row>
    <row r="59" spans="1:21" ht="14.25" customHeight="1" x14ac:dyDescent="0.3">
      <c r="A59" s="26" t="str">
        <f ca="1">IF(Calculation!T62&lt;=Calculation!$H$4,Calculation!T62,"")</f>
        <v/>
      </c>
      <c r="B59" s="4" t="str">
        <f ca="1">VLOOKUP(A59,Calculation!$E$6:$J$1004,4,FALSE)</f>
        <v/>
      </c>
      <c r="C59" s="4" t="str">
        <f ca="1">VLOOKUP(A59,Calculation!$E$6:$J$1004,5,FALSE)</f>
        <v/>
      </c>
      <c r="D59" s="4" t="str">
        <f ca="1">VLOOKUP(A59,Calculation!$E$6:$J$1004,6,FALSE)</f>
        <v/>
      </c>
      <c r="E59" s="42" t="str">
        <f t="shared" ca="1" si="0"/>
        <v/>
      </c>
      <c r="G59" s="29" t="str">
        <f ca="1">VLOOKUP(A59,Calculation!$F$6:$J$1004,3,FALSE)</f>
        <v/>
      </c>
      <c r="H59" s="4" t="str">
        <f ca="1">VLOOKUP(A59,Calculation!$F$6:$J$1004,4,FALSE)</f>
        <v/>
      </c>
      <c r="I59" s="4" t="str">
        <f ca="1">VLOOKUP(A59,Calculation!$F$6:$J$1004,5,FALSE)</f>
        <v/>
      </c>
      <c r="J59" s="43" t="str">
        <f t="shared" ca="1" si="1"/>
        <v/>
      </c>
      <c r="L59" s="29" t="str">
        <f ca="1">VLOOKUP(A59,Calculation!$G$6:$S$1004,2,FALSE)</f>
        <v/>
      </c>
      <c r="M59" s="4" t="str">
        <f ca="1">IFERROR(VLOOKUP($L59,Calculation!$H$6:$S$1005,HLOOKUP(M$2,Calculation!$M$4:$S$5,2,FALSE)+5,FALSE),"")</f>
        <v/>
      </c>
      <c r="N59" s="4" t="str">
        <f ca="1">IFERROR(VLOOKUP($L59,Calculation!$H$6:$S$1005,HLOOKUP(N$2,Calculation!$M$4:$S$5,2,FALSE)+5,FALSE),"")</f>
        <v/>
      </c>
      <c r="O59" s="4" t="str">
        <f ca="1">IFERROR(VLOOKUP($L59,Calculation!$H$6:$S$1005,HLOOKUP(O$2,Calculation!$M$4:$S$5,2,FALSE)+5,FALSE),"")</f>
        <v/>
      </c>
      <c r="P59" s="4" t="str">
        <f ca="1">IFERROR(VLOOKUP($L59,Calculation!$H$6:$S$1005,HLOOKUP(P$2,Calculation!$M$4:$S$5,2,FALSE)+5,FALSE),"")</f>
        <v/>
      </c>
      <c r="Q59" s="4" t="str">
        <f ca="1">IFERROR(VLOOKUP($L59,Calculation!$H$6:$S$1005,HLOOKUP(Q$2,Calculation!$M$4:$S$5,2,FALSE)+5,FALSE),"")</f>
        <v/>
      </c>
      <c r="R59" s="27" t="str">
        <f ca="1">IFERROR(VLOOKUP($L59,Calculation!$H$6:$S$1005,HLOOKUP(R$2,Calculation!$M$4:$S$5,2,FALSE)+5,FALSE),"")</f>
        <v/>
      </c>
      <c r="S59" s="4" t="str">
        <f ca="1">IFERROR(VLOOKUP($L59,Calculation!$H$6:$S$1005,HLOOKUP(S$2,Calculation!$M$4:$S$5,2,FALSE)+5,FALSE),"")</f>
        <v/>
      </c>
      <c r="T59" s="29"/>
      <c r="U59" s="43" t="str">
        <f>IFERROR(VLOOKUP(T59,Calculation!$U$6:$V$11,2,FALSE),"")</f>
        <v/>
      </c>
    </row>
    <row r="60" spans="1:21" ht="14.25" customHeight="1" x14ac:dyDescent="0.3">
      <c r="A60" s="26" t="str">
        <f ca="1">IF(Calculation!T63&lt;=Calculation!$H$4,Calculation!T63,"")</f>
        <v/>
      </c>
      <c r="B60" s="4" t="str">
        <f ca="1">VLOOKUP(A60,Calculation!$E$6:$J$1004,4,FALSE)</f>
        <v/>
      </c>
      <c r="C60" s="4" t="str">
        <f ca="1">VLOOKUP(A60,Calculation!$E$6:$J$1004,5,FALSE)</f>
        <v/>
      </c>
      <c r="D60" s="4" t="str">
        <f ca="1">VLOOKUP(A60,Calculation!$E$6:$J$1004,6,FALSE)</f>
        <v/>
      </c>
      <c r="E60" s="42" t="str">
        <f t="shared" ca="1" si="0"/>
        <v/>
      </c>
      <c r="G60" s="29" t="str">
        <f ca="1">VLOOKUP(A60,Calculation!$F$6:$J$1004,3,FALSE)</f>
        <v/>
      </c>
      <c r="H60" s="4" t="str">
        <f ca="1">VLOOKUP(A60,Calculation!$F$6:$J$1004,4,FALSE)</f>
        <v/>
      </c>
      <c r="I60" s="4" t="str">
        <f ca="1">VLOOKUP(A60,Calculation!$F$6:$J$1004,5,FALSE)</f>
        <v/>
      </c>
      <c r="J60" s="43" t="str">
        <f t="shared" ca="1" si="1"/>
        <v/>
      </c>
      <c r="L60" s="29" t="str">
        <f ca="1">VLOOKUP(A60,Calculation!$G$6:$S$1004,2,FALSE)</f>
        <v/>
      </c>
      <c r="M60" s="4" t="str">
        <f ca="1">IFERROR(VLOOKUP($L60,Calculation!$H$6:$S$1005,HLOOKUP(M$2,Calculation!$M$4:$S$5,2,FALSE)+5,FALSE),"")</f>
        <v/>
      </c>
      <c r="N60" s="4" t="str">
        <f ca="1">IFERROR(VLOOKUP($L60,Calculation!$H$6:$S$1005,HLOOKUP(N$2,Calculation!$M$4:$S$5,2,FALSE)+5,FALSE),"")</f>
        <v/>
      </c>
      <c r="O60" s="4" t="str">
        <f ca="1">IFERROR(VLOOKUP($L60,Calculation!$H$6:$S$1005,HLOOKUP(O$2,Calculation!$M$4:$S$5,2,FALSE)+5,FALSE),"")</f>
        <v/>
      </c>
      <c r="P60" s="4" t="str">
        <f ca="1">IFERROR(VLOOKUP($L60,Calculation!$H$6:$S$1005,HLOOKUP(P$2,Calculation!$M$4:$S$5,2,FALSE)+5,FALSE),"")</f>
        <v/>
      </c>
      <c r="Q60" s="4" t="str">
        <f ca="1">IFERROR(VLOOKUP($L60,Calculation!$H$6:$S$1005,HLOOKUP(Q$2,Calculation!$M$4:$S$5,2,FALSE)+5,FALSE),"")</f>
        <v/>
      </c>
      <c r="R60" s="27" t="str">
        <f ca="1">IFERROR(VLOOKUP($L60,Calculation!$H$6:$S$1005,HLOOKUP(R$2,Calculation!$M$4:$S$5,2,FALSE)+5,FALSE),"")</f>
        <v/>
      </c>
      <c r="S60" s="4" t="str">
        <f ca="1">IFERROR(VLOOKUP($L60,Calculation!$H$6:$S$1005,HLOOKUP(S$2,Calculation!$M$4:$S$5,2,FALSE)+5,FALSE),"")</f>
        <v/>
      </c>
      <c r="T60" s="29"/>
      <c r="U60" s="43" t="str">
        <f>IFERROR(VLOOKUP(T60,Calculation!$U$6:$V$11,2,FALSE),"")</f>
        <v/>
      </c>
    </row>
    <row r="61" spans="1:21" ht="14.25" customHeight="1" x14ac:dyDescent="0.3">
      <c r="A61" s="26" t="str">
        <f ca="1">IF(Calculation!T64&lt;=Calculation!$H$4,Calculation!T64,"")</f>
        <v/>
      </c>
      <c r="B61" s="4" t="str">
        <f ca="1">VLOOKUP(A61,Calculation!$E$6:$J$1004,4,FALSE)</f>
        <v/>
      </c>
      <c r="C61" s="4" t="str">
        <f ca="1">VLOOKUP(A61,Calculation!$E$6:$J$1004,5,FALSE)</f>
        <v/>
      </c>
      <c r="D61" s="4" t="str">
        <f ca="1">VLOOKUP(A61,Calculation!$E$6:$J$1004,6,FALSE)</f>
        <v/>
      </c>
      <c r="E61" s="42" t="str">
        <f t="shared" ca="1" si="0"/>
        <v/>
      </c>
      <c r="G61" s="29" t="str">
        <f ca="1">VLOOKUP(A61,Calculation!$F$6:$J$1004,3,FALSE)</f>
        <v/>
      </c>
      <c r="H61" s="4" t="str">
        <f ca="1">VLOOKUP(A61,Calculation!$F$6:$J$1004,4,FALSE)</f>
        <v/>
      </c>
      <c r="I61" s="4" t="str">
        <f ca="1">VLOOKUP(A61,Calculation!$F$6:$J$1004,5,FALSE)</f>
        <v/>
      </c>
      <c r="J61" s="43" t="str">
        <f t="shared" ca="1" si="1"/>
        <v/>
      </c>
      <c r="L61" s="29" t="str">
        <f ca="1">VLOOKUP(A61,Calculation!$G$6:$S$1004,2,FALSE)</f>
        <v/>
      </c>
      <c r="M61" s="4" t="str">
        <f ca="1">IFERROR(VLOOKUP($L61,Calculation!$H$6:$S$1005,HLOOKUP(M$2,Calculation!$M$4:$S$5,2,FALSE)+5,FALSE),"")</f>
        <v/>
      </c>
      <c r="N61" s="4" t="str">
        <f ca="1">IFERROR(VLOOKUP($L61,Calculation!$H$6:$S$1005,HLOOKUP(N$2,Calculation!$M$4:$S$5,2,FALSE)+5,FALSE),"")</f>
        <v/>
      </c>
      <c r="O61" s="4" t="str">
        <f ca="1">IFERROR(VLOOKUP($L61,Calculation!$H$6:$S$1005,HLOOKUP(O$2,Calculation!$M$4:$S$5,2,FALSE)+5,FALSE),"")</f>
        <v/>
      </c>
      <c r="P61" s="4" t="str">
        <f ca="1">IFERROR(VLOOKUP($L61,Calculation!$H$6:$S$1005,HLOOKUP(P$2,Calculation!$M$4:$S$5,2,FALSE)+5,FALSE),"")</f>
        <v/>
      </c>
      <c r="Q61" s="4" t="str">
        <f ca="1">IFERROR(VLOOKUP($L61,Calculation!$H$6:$S$1005,HLOOKUP(Q$2,Calculation!$M$4:$S$5,2,FALSE)+5,FALSE),"")</f>
        <v/>
      </c>
      <c r="R61" s="27" t="str">
        <f ca="1">IFERROR(VLOOKUP($L61,Calculation!$H$6:$S$1005,HLOOKUP(R$2,Calculation!$M$4:$S$5,2,FALSE)+5,FALSE),"")</f>
        <v/>
      </c>
      <c r="S61" s="4" t="str">
        <f ca="1">IFERROR(VLOOKUP($L61,Calculation!$H$6:$S$1005,HLOOKUP(S$2,Calculation!$M$4:$S$5,2,FALSE)+5,FALSE),"")</f>
        <v/>
      </c>
      <c r="T61" s="29"/>
      <c r="U61" s="43" t="str">
        <f>IFERROR(VLOOKUP(T61,Calculation!$U$6:$V$11,2,FALSE),"")</f>
        <v/>
      </c>
    </row>
    <row r="62" spans="1:21" ht="14.25" customHeight="1" x14ac:dyDescent="0.3">
      <c r="A62" s="26" t="str">
        <f ca="1">IF(Calculation!T65&lt;=Calculation!$H$4,Calculation!T65,"")</f>
        <v/>
      </c>
      <c r="B62" s="4" t="str">
        <f ca="1">VLOOKUP(A62,Calculation!$E$6:$J$1004,4,FALSE)</f>
        <v/>
      </c>
      <c r="C62" s="4" t="str">
        <f ca="1">VLOOKUP(A62,Calculation!$E$6:$J$1004,5,FALSE)</f>
        <v/>
      </c>
      <c r="D62" s="4" t="str">
        <f ca="1">VLOOKUP(A62,Calculation!$E$6:$J$1004,6,FALSE)</f>
        <v/>
      </c>
      <c r="E62" s="42" t="str">
        <f t="shared" ca="1" si="0"/>
        <v/>
      </c>
      <c r="G62" s="29" t="str">
        <f ca="1">VLOOKUP(A62,Calculation!$F$6:$J$1004,3,FALSE)</f>
        <v/>
      </c>
      <c r="H62" s="4" t="str">
        <f ca="1">VLOOKUP(A62,Calculation!$F$6:$J$1004,4,FALSE)</f>
        <v/>
      </c>
      <c r="I62" s="4" t="str">
        <f ca="1">VLOOKUP(A62,Calculation!$F$6:$J$1004,5,FALSE)</f>
        <v/>
      </c>
      <c r="J62" s="43" t="str">
        <f t="shared" ca="1" si="1"/>
        <v/>
      </c>
      <c r="L62" s="29" t="str">
        <f ca="1">VLOOKUP(A62,Calculation!$G$6:$S$1004,2,FALSE)</f>
        <v/>
      </c>
      <c r="M62" s="4" t="str">
        <f ca="1">IFERROR(VLOOKUP($L62,Calculation!$H$6:$S$1005,HLOOKUP(M$2,Calculation!$M$4:$S$5,2,FALSE)+5,FALSE),"")</f>
        <v/>
      </c>
      <c r="N62" s="4" t="str">
        <f ca="1">IFERROR(VLOOKUP($L62,Calculation!$H$6:$S$1005,HLOOKUP(N$2,Calculation!$M$4:$S$5,2,FALSE)+5,FALSE),"")</f>
        <v/>
      </c>
      <c r="O62" s="4" t="str">
        <f ca="1">IFERROR(VLOOKUP($L62,Calculation!$H$6:$S$1005,HLOOKUP(O$2,Calculation!$M$4:$S$5,2,FALSE)+5,FALSE),"")</f>
        <v/>
      </c>
      <c r="P62" s="4" t="str">
        <f ca="1">IFERROR(VLOOKUP($L62,Calculation!$H$6:$S$1005,HLOOKUP(P$2,Calculation!$M$4:$S$5,2,FALSE)+5,FALSE),"")</f>
        <v/>
      </c>
      <c r="Q62" s="4" t="str">
        <f ca="1">IFERROR(VLOOKUP($L62,Calculation!$H$6:$S$1005,HLOOKUP(Q$2,Calculation!$M$4:$S$5,2,FALSE)+5,FALSE),"")</f>
        <v/>
      </c>
      <c r="R62" s="27" t="str">
        <f ca="1">IFERROR(VLOOKUP($L62,Calculation!$H$6:$S$1005,HLOOKUP(R$2,Calculation!$M$4:$S$5,2,FALSE)+5,FALSE),"")</f>
        <v/>
      </c>
      <c r="S62" s="4" t="str">
        <f ca="1">IFERROR(VLOOKUP($L62,Calculation!$H$6:$S$1005,HLOOKUP(S$2,Calculation!$M$4:$S$5,2,FALSE)+5,FALSE),"")</f>
        <v/>
      </c>
      <c r="T62" s="29"/>
      <c r="U62" s="43" t="str">
        <f>IFERROR(VLOOKUP(T62,Calculation!$U$6:$V$11,2,FALSE),"")</f>
        <v/>
      </c>
    </row>
    <row r="63" spans="1:21" ht="14.25" customHeight="1" x14ac:dyDescent="0.3">
      <c r="A63" s="26" t="str">
        <f ca="1">IF(Calculation!T66&lt;=Calculation!$H$4,Calculation!T66,"")</f>
        <v/>
      </c>
      <c r="B63" s="4" t="str">
        <f ca="1">VLOOKUP(A63,Calculation!$E$6:$J$1004,4,FALSE)</f>
        <v/>
      </c>
      <c r="C63" s="4" t="str">
        <f ca="1">VLOOKUP(A63,Calculation!$E$6:$J$1004,5,FALSE)</f>
        <v/>
      </c>
      <c r="D63" s="4" t="str">
        <f ca="1">VLOOKUP(A63,Calculation!$E$6:$J$1004,6,FALSE)</f>
        <v/>
      </c>
      <c r="E63" s="42" t="str">
        <f t="shared" ca="1" si="0"/>
        <v/>
      </c>
      <c r="G63" s="29" t="str">
        <f ca="1">VLOOKUP(A63,Calculation!$F$6:$J$1004,3,FALSE)</f>
        <v/>
      </c>
      <c r="H63" s="4" t="str">
        <f ca="1">VLOOKUP(A63,Calculation!$F$6:$J$1004,4,FALSE)</f>
        <v/>
      </c>
      <c r="I63" s="4" t="str">
        <f ca="1">VLOOKUP(A63,Calculation!$F$6:$J$1004,5,FALSE)</f>
        <v/>
      </c>
      <c r="J63" s="43" t="str">
        <f t="shared" ca="1" si="1"/>
        <v/>
      </c>
      <c r="L63" s="29" t="str">
        <f ca="1">VLOOKUP(A63,Calculation!$G$6:$S$1004,2,FALSE)</f>
        <v/>
      </c>
      <c r="M63" s="4" t="str">
        <f ca="1">IFERROR(VLOOKUP($L63,Calculation!$H$6:$S$1005,HLOOKUP(M$2,Calculation!$M$4:$S$5,2,FALSE)+5,FALSE),"")</f>
        <v/>
      </c>
      <c r="N63" s="4" t="str">
        <f ca="1">IFERROR(VLOOKUP($L63,Calculation!$H$6:$S$1005,HLOOKUP(N$2,Calculation!$M$4:$S$5,2,FALSE)+5,FALSE),"")</f>
        <v/>
      </c>
      <c r="O63" s="4" t="str">
        <f ca="1">IFERROR(VLOOKUP($L63,Calculation!$H$6:$S$1005,HLOOKUP(O$2,Calculation!$M$4:$S$5,2,FALSE)+5,FALSE),"")</f>
        <v/>
      </c>
      <c r="P63" s="4" t="str">
        <f ca="1">IFERROR(VLOOKUP($L63,Calculation!$H$6:$S$1005,HLOOKUP(P$2,Calculation!$M$4:$S$5,2,FALSE)+5,FALSE),"")</f>
        <v/>
      </c>
      <c r="Q63" s="4" t="str">
        <f ca="1">IFERROR(VLOOKUP($L63,Calculation!$H$6:$S$1005,HLOOKUP(Q$2,Calculation!$M$4:$S$5,2,FALSE)+5,FALSE),"")</f>
        <v/>
      </c>
      <c r="R63" s="27" t="str">
        <f ca="1">IFERROR(VLOOKUP($L63,Calculation!$H$6:$S$1005,HLOOKUP(R$2,Calculation!$M$4:$S$5,2,FALSE)+5,FALSE),"")</f>
        <v/>
      </c>
      <c r="S63" s="4" t="str">
        <f ca="1">IFERROR(VLOOKUP($L63,Calculation!$H$6:$S$1005,HLOOKUP(S$2,Calculation!$M$4:$S$5,2,FALSE)+5,FALSE),"")</f>
        <v/>
      </c>
      <c r="T63" s="29"/>
      <c r="U63" s="43" t="str">
        <f>IFERROR(VLOOKUP(T63,Calculation!$U$6:$V$11,2,FALSE),"")</f>
        <v/>
      </c>
    </row>
    <row r="64" spans="1:21" ht="14.25" customHeight="1" x14ac:dyDescent="0.3">
      <c r="A64" s="26" t="str">
        <f ca="1">IF(Calculation!T67&lt;=Calculation!$H$4,Calculation!T67,"")</f>
        <v/>
      </c>
      <c r="B64" s="4" t="str">
        <f ca="1">VLOOKUP(A64,Calculation!$E$6:$J$1004,4,FALSE)</f>
        <v/>
      </c>
      <c r="C64" s="4" t="str">
        <f ca="1">VLOOKUP(A64,Calculation!$E$6:$J$1004,5,FALSE)</f>
        <v/>
      </c>
      <c r="D64" s="4" t="str">
        <f ca="1">VLOOKUP(A64,Calculation!$E$6:$J$1004,6,FALSE)</f>
        <v/>
      </c>
      <c r="E64" s="42" t="str">
        <f t="shared" ca="1" si="0"/>
        <v/>
      </c>
      <c r="G64" s="29" t="str">
        <f ca="1">VLOOKUP(A64,Calculation!$F$6:$J$1004,3,FALSE)</f>
        <v/>
      </c>
      <c r="H64" s="4" t="str">
        <f ca="1">VLOOKUP(A64,Calculation!$F$6:$J$1004,4,FALSE)</f>
        <v/>
      </c>
      <c r="I64" s="4" t="str">
        <f ca="1">VLOOKUP(A64,Calculation!$F$6:$J$1004,5,FALSE)</f>
        <v/>
      </c>
      <c r="J64" s="43" t="str">
        <f t="shared" ca="1" si="1"/>
        <v/>
      </c>
      <c r="L64" s="29" t="str">
        <f ca="1">VLOOKUP(A64,Calculation!$G$6:$S$1004,2,FALSE)</f>
        <v/>
      </c>
      <c r="M64" s="4" t="str">
        <f ca="1">IFERROR(VLOOKUP($L64,Calculation!$H$6:$S$1005,HLOOKUP(M$2,Calculation!$M$4:$S$5,2,FALSE)+5,FALSE),"")</f>
        <v/>
      </c>
      <c r="N64" s="4" t="str">
        <f ca="1">IFERROR(VLOOKUP($L64,Calculation!$H$6:$S$1005,HLOOKUP(N$2,Calculation!$M$4:$S$5,2,FALSE)+5,FALSE),"")</f>
        <v/>
      </c>
      <c r="O64" s="4" t="str">
        <f ca="1">IFERROR(VLOOKUP($L64,Calculation!$H$6:$S$1005,HLOOKUP(O$2,Calculation!$M$4:$S$5,2,FALSE)+5,FALSE),"")</f>
        <v/>
      </c>
      <c r="P64" s="4" t="str">
        <f ca="1">IFERROR(VLOOKUP($L64,Calculation!$H$6:$S$1005,HLOOKUP(P$2,Calculation!$M$4:$S$5,2,FALSE)+5,FALSE),"")</f>
        <v/>
      </c>
      <c r="Q64" s="4" t="str">
        <f ca="1">IFERROR(VLOOKUP($L64,Calculation!$H$6:$S$1005,HLOOKUP(Q$2,Calculation!$M$4:$S$5,2,FALSE)+5,FALSE),"")</f>
        <v/>
      </c>
      <c r="R64" s="27" t="str">
        <f ca="1">IFERROR(VLOOKUP($L64,Calculation!$H$6:$S$1005,HLOOKUP(R$2,Calculation!$M$4:$S$5,2,FALSE)+5,FALSE),"")</f>
        <v/>
      </c>
      <c r="S64" s="4" t="str">
        <f ca="1">IFERROR(VLOOKUP($L64,Calculation!$H$6:$S$1005,HLOOKUP(S$2,Calculation!$M$4:$S$5,2,FALSE)+5,FALSE),"")</f>
        <v/>
      </c>
      <c r="T64" s="29"/>
      <c r="U64" s="43" t="str">
        <f>IFERROR(VLOOKUP(T64,Calculation!$U$6:$V$11,2,FALSE),"")</f>
        <v/>
      </c>
    </row>
    <row r="65" spans="1:21" ht="14.25" customHeight="1" x14ac:dyDescent="0.3">
      <c r="A65" s="26" t="str">
        <f ca="1">IF(Calculation!T68&lt;=Calculation!$H$4,Calculation!T68,"")</f>
        <v/>
      </c>
      <c r="B65" s="4" t="str">
        <f ca="1">VLOOKUP(A65,Calculation!$E$6:$J$1004,4,FALSE)</f>
        <v/>
      </c>
      <c r="C65" s="4" t="str">
        <f ca="1">VLOOKUP(A65,Calculation!$E$6:$J$1004,5,FALSE)</f>
        <v/>
      </c>
      <c r="D65" s="4" t="str">
        <f ca="1">VLOOKUP(A65,Calculation!$E$6:$J$1004,6,FALSE)</f>
        <v/>
      </c>
      <c r="E65" s="42" t="str">
        <f t="shared" ca="1" si="0"/>
        <v/>
      </c>
      <c r="G65" s="29" t="str">
        <f ca="1">VLOOKUP(A65,Calculation!$F$6:$J$1004,3,FALSE)</f>
        <v/>
      </c>
      <c r="H65" s="4" t="str">
        <f ca="1">VLOOKUP(A65,Calculation!$F$6:$J$1004,4,FALSE)</f>
        <v/>
      </c>
      <c r="I65" s="4" t="str">
        <f ca="1">VLOOKUP(A65,Calculation!$F$6:$J$1004,5,FALSE)</f>
        <v/>
      </c>
      <c r="J65" s="43" t="str">
        <f t="shared" ca="1" si="1"/>
        <v/>
      </c>
      <c r="L65" s="29" t="str">
        <f ca="1">VLOOKUP(A65,Calculation!$G$6:$S$1004,2,FALSE)</f>
        <v/>
      </c>
      <c r="M65" s="4" t="str">
        <f ca="1">IFERROR(VLOOKUP($L65,Calculation!$H$6:$S$1005,HLOOKUP(M$2,Calculation!$M$4:$S$5,2,FALSE)+5,FALSE),"")</f>
        <v/>
      </c>
      <c r="N65" s="4" t="str">
        <f ca="1">IFERROR(VLOOKUP($L65,Calculation!$H$6:$S$1005,HLOOKUP(N$2,Calculation!$M$4:$S$5,2,FALSE)+5,FALSE),"")</f>
        <v/>
      </c>
      <c r="O65" s="4" t="str">
        <f ca="1">IFERROR(VLOOKUP($L65,Calculation!$H$6:$S$1005,HLOOKUP(O$2,Calculation!$M$4:$S$5,2,FALSE)+5,FALSE),"")</f>
        <v/>
      </c>
      <c r="P65" s="4" t="str">
        <f ca="1">IFERROR(VLOOKUP($L65,Calculation!$H$6:$S$1005,HLOOKUP(P$2,Calculation!$M$4:$S$5,2,FALSE)+5,FALSE),"")</f>
        <v/>
      </c>
      <c r="Q65" s="4" t="str">
        <f ca="1">IFERROR(VLOOKUP($L65,Calculation!$H$6:$S$1005,HLOOKUP(Q$2,Calculation!$M$4:$S$5,2,FALSE)+5,FALSE),"")</f>
        <v/>
      </c>
      <c r="R65" s="27" t="str">
        <f ca="1">IFERROR(VLOOKUP($L65,Calculation!$H$6:$S$1005,HLOOKUP(R$2,Calculation!$M$4:$S$5,2,FALSE)+5,FALSE),"")</f>
        <v/>
      </c>
      <c r="S65" s="4" t="str">
        <f ca="1">IFERROR(VLOOKUP($L65,Calculation!$H$6:$S$1005,HLOOKUP(S$2,Calculation!$M$4:$S$5,2,FALSE)+5,FALSE),"")</f>
        <v/>
      </c>
      <c r="T65" s="29"/>
      <c r="U65" s="43" t="str">
        <f>IFERROR(VLOOKUP(T65,Calculation!$U$6:$V$11,2,FALSE),"")</f>
        <v/>
      </c>
    </row>
    <row r="66" spans="1:21" ht="14.25" customHeight="1" x14ac:dyDescent="0.3">
      <c r="A66" s="26" t="str">
        <f ca="1">IF(Calculation!T69&lt;=Calculation!$H$4,Calculation!T69,"")</f>
        <v/>
      </c>
      <c r="B66" s="4" t="str">
        <f ca="1">VLOOKUP(A66,Calculation!$E$6:$J$1004,4,FALSE)</f>
        <v/>
      </c>
      <c r="C66" s="4" t="str">
        <f ca="1">VLOOKUP(A66,Calculation!$E$6:$J$1004,5,FALSE)</f>
        <v/>
      </c>
      <c r="D66" s="4" t="str">
        <f ca="1">VLOOKUP(A66,Calculation!$E$6:$J$1004,6,FALSE)</f>
        <v/>
      </c>
      <c r="E66" s="42" t="str">
        <f t="shared" ca="1" si="0"/>
        <v/>
      </c>
      <c r="G66" s="29" t="str">
        <f ca="1">VLOOKUP(A66,Calculation!$F$6:$J$1004,3,FALSE)</f>
        <v/>
      </c>
      <c r="H66" s="4" t="str">
        <f ca="1">VLOOKUP(A66,Calculation!$F$6:$J$1004,4,FALSE)</f>
        <v/>
      </c>
      <c r="I66" s="4" t="str">
        <f ca="1">VLOOKUP(A66,Calculation!$F$6:$J$1004,5,FALSE)</f>
        <v/>
      </c>
      <c r="J66" s="43" t="str">
        <f t="shared" ca="1" si="1"/>
        <v/>
      </c>
      <c r="L66" s="29" t="str">
        <f ca="1">VLOOKUP(A66,Calculation!$G$6:$S$1004,2,FALSE)</f>
        <v/>
      </c>
      <c r="M66" s="4" t="str">
        <f ca="1">IFERROR(VLOOKUP($L66,Calculation!$H$6:$S$1005,HLOOKUP(M$2,Calculation!$M$4:$S$5,2,FALSE)+5,FALSE),"")</f>
        <v/>
      </c>
      <c r="N66" s="4" t="str">
        <f ca="1">IFERROR(VLOOKUP($L66,Calculation!$H$6:$S$1005,HLOOKUP(N$2,Calculation!$M$4:$S$5,2,FALSE)+5,FALSE),"")</f>
        <v/>
      </c>
      <c r="O66" s="4" t="str">
        <f ca="1">IFERROR(VLOOKUP($L66,Calculation!$H$6:$S$1005,HLOOKUP(O$2,Calculation!$M$4:$S$5,2,FALSE)+5,FALSE),"")</f>
        <v/>
      </c>
      <c r="P66" s="4" t="str">
        <f ca="1">IFERROR(VLOOKUP($L66,Calculation!$H$6:$S$1005,HLOOKUP(P$2,Calculation!$M$4:$S$5,2,FALSE)+5,FALSE),"")</f>
        <v/>
      </c>
      <c r="Q66" s="4" t="str">
        <f ca="1">IFERROR(VLOOKUP($L66,Calculation!$H$6:$S$1005,HLOOKUP(Q$2,Calculation!$M$4:$S$5,2,FALSE)+5,FALSE),"")</f>
        <v/>
      </c>
      <c r="R66" s="27" t="str">
        <f ca="1">IFERROR(VLOOKUP($L66,Calculation!$H$6:$S$1005,HLOOKUP(R$2,Calculation!$M$4:$S$5,2,FALSE)+5,FALSE),"")</f>
        <v/>
      </c>
      <c r="S66" s="4" t="str">
        <f ca="1">IFERROR(VLOOKUP($L66,Calculation!$H$6:$S$1005,HLOOKUP(S$2,Calculation!$M$4:$S$5,2,FALSE)+5,FALSE),"")</f>
        <v/>
      </c>
      <c r="T66" s="29"/>
      <c r="U66" s="43" t="str">
        <f>IFERROR(VLOOKUP(T66,Calculation!$U$6:$V$11,2,FALSE),"")</f>
        <v/>
      </c>
    </row>
    <row r="67" spans="1:21" ht="14.25" customHeight="1" x14ac:dyDescent="0.3">
      <c r="A67" s="26" t="str">
        <f ca="1">IF(Calculation!T70&lt;=Calculation!$H$4,Calculation!T70,"")</f>
        <v/>
      </c>
      <c r="B67" s="4" t="str">
        <f ca="1">VLOOKUP(A67,Calculation!$E$6:$J$1004,4,FALSE)</f>
        <v/>
      </c>
      <c r="C67" s="4" t="str">
        <f ca="1">VLOOKUP(A67,Calculation!$E$6:$J$1004,5,FALSE)</f>
        <v/>
      </c>
      <c r="D67" s="4" t="str">
        <f ca="1">VLOOKUP(A67,Calculation!$E$6:$J$1004,6,FALSE)</f>
        <v/>
      </c>
      <c r="E67" s="42" t="str">
        <f t="shared" ca="1" si="0"/>
        <v/>
      </c>
      <c r="G67" s="29" t="str">
        <f ca="1">VLOOKUP(A67,Calculation!$F$6:$J$1004,3,FALSE)</f>
        <v/>
      </c>
      <c r="H67" s="4" t="str">
        <f ca="1">VLOOKUP(A67,Calculation!$F$6:$J$1004,4,FALSE)</f>
        <v/>
      </c>
      <c r="I67" s="4" t="str">
        <f ca="1">VLOOKUP(A67,Calculation!$F$6:$J$1004,5,FALSE)</f>
        <v/>
      </c>
      <c r="J67" s="43" t="str">
        <f t="shared" ca="1" si="1"/>
        <v/>
      </c>
      <c r="L67" s="29" t="str">
        <f ca="1">VLOOKUP(A67,Calculation!$G$6:$S$1004,2,FALSE)</f>
        <v/>
      </c>
      <c r="M67" s="4" t="str">
        <f ca="1">IFERROR(VLOOKUP($L67,Calculation!$H$6:$S$1005,HLOOKUP(M$2,Calculation!$M$4:$S$5,2,FALSE)+5,FALSE),"")</f>
        <v/>
      </c>
      <c r="N67" s="4" t="str">
        <f ca="1">IFERROR(VLOOKUP($L67,Calculation!$H$6:$S$1005,HLOOKUP(N$2,Calculation!$M$4:$S$5,2,FALSE)+5,FALSE),"")</f>
        <v/>
      </c>
      <c r="O67" s="4" t="str">
        <f ca="1">IFERROR(VLOOKUP($L67,Calculation!$H$6:$S$1005,HLOOKUP(O$2,Calculation!$M$4:$S$5,2,FALSE)+5,FALSE),"")</f>
        <v/>
      </c>
      <c r="P67" s="4" t="str">
        <f ca="1">IFERROR(VLOOKUP($L67,Calculation!$H$6:$S$1005,HLOOKUP(P$2,Calculation!$M$4:$S$5,2,FALSE)+5,FALSE),"")</f>
        <v/>
      </c>
      <c r="Q67" s="4" t="str">
        <f ca="1">IFERROR(VLOOKUP($L67,Calculation!$H$6:$S$1005,HLOOKUP(Q$2,Calculation!$M$4:$S$5,2,FALSE)+5,FALSE),"")</f>
        <v/>
      </c>
      <c r="R67" s="27" t="str">
        <f ca="1">IFERROR(VLOOKUP($L67,Calculation!$H$6:$S$1005,HLOOKUP(R$2,Calculation!$M$4:$S$5,2,FALSE)+5,FALSE),"")</f>
        <v/>
      </c>
      <c r="S67" s="4" t="str">
        <f ca="1">IFERROR(VLOOKUP($L67,Calculation!$H$6:$S$1005,HLOOKUP(S$2,Calculation!$M$4:$S$5,2,FALSE)+5,FALSE),"")</f>
        <v/>
      </c>
      <c r="T67" s="29"/>
      <c r="U67" s="43" t="str">
        <f>IFERROR(VLOOKUP(T67,Calculation!$U$6:$V$11,2,FALSE),"")</f>
        <v/>
      </c>
    </row>
    <row r="68" spans="1:21" ht="14.25" customHeight="1" x14ac:dyDescent="0.3">
      <c r="A68" s="26" t="str">
        <f ca="1">IF(Calculation!T71&lt;=Calculation!$H$4,Calculation!T71,"")</f>
        <v/>
      </c>
      <c r="B68" s="4" t="str">
        <f ca="1">VLOOKUP(A68,Calculation!$E$6:$J$1004,4,FALSE)</f>
        <v/>
      </c>
      <c r="C68" s="4" t="str">
        <f ca="1">VLOOKUP(A68,Calculation!$E$6:$J$1004,5,FALSE)</f>
        <v/>
      </c>
      <c r="D68" s="4" t="str">
        <f ca="1">VLOOKUP(A68,Calculation!$E$6:$J$1004,6,FALSE)</f>
        <v/>
      </c>
      <c r="E68" s="42" t="str">
        <f t="shared" ca="1" si="0"/>
        <v/>
      </c>
      <c r="G68" s="29" t="str">
        <f ca="1">VLOOKUP(A68,Calculation!$F$6:$J$1004,3,FALSE)</f>
        <v/>
      </c>
      <c r="H68" s="4" t="str">
        <f ca="1">VLOOKUP(A68,Calculation!$F$6:$J$1004,4,FALSE)</f>
        <v/>
      </c>
      <c r="I68" s="4" t="str">
        <f ca="1">VLOOKUP(A68,Calculation!$F$6:$J$1004,5,FALSE)</f>
        <v/>
      </c>
      <c r="J68" s="43" t="str">
        <f t="shared" ca="1" si="1"/>
        <v/>
      </c>
      <c r="L68" s="29" t="str">
        <f ca="1">VLOOKUP(A68,Calculation!$G$6:$S$1004,2,FALSE)</f>
        <v/>
      </c>
      <c r="M68" s="4" t="str">
        <f ca="1">IFERROR(VLOOKUP($L68,Calculation!$H$6:$S$1005,HLOOKUP(M$2,Calculation!$M$4:$S$5,2,FALSE)+5,FALSE),"")</f>
        <v/>
      </c>
      <c r="N68" s="4" t="str">
        <f ca="1">IFERROR(VLOOKUP($L68,Calculation!$H$6:$S$1005,HLOOKUP(N$2,Calculation!$M$4:$S$5,2,FALSE)+5,FALSE),"")</f>
        <v/>
      </c>
      <c r="O68" s="4" t="str">
        <f ca="1">IFERROR(VLOOKUP($L68,Calculation!$H$6:$S$1005,HLOOKUP(O$2,Calculation!$M$4:$S$5,2,FALSE)+5,FALSE),"")</f>
        <v/>
      </c>
      <c r="P68" s="4" t="str">
        <f ca="1">IFERROR(VLOOKUP($L68,Calculation!$H$6:$S$1005,HLOOKUP(P$2,Calculation!$M$4:$S$5,2,FALSE)+5,FALSE),"")</f>
        <v/>
      </c>
      <c r="Q68" s="4" t="str">
        <f ca="1">IFERROR(VLOOKUP($L68,Calculation!$H$6:$S$1005,HLOOKUP(Q$2,Calculation!$M$4:$S$5,2,FALSE)+5,FALSE),"")</f>
        <v/>
      </c>
      <c r="R68" s="27" t="str">
        <f ca="1">IFERROR(VLOOKUP($L68,Calculation!$H$6:$S$1005,HLOOKUP(R$2,Calculation!$M$4:$S$5,2,FALSE)+5,FALSE),"")</f>
        <v/>
      </c>
      <c r="S68" s="4" t="str">
        <f ca="1">IFERROR(VLOOKUP($L68,Calculation!$H$6:$S$1005,HLOOKUP(S$2,Calculation!$M$4:$S$5,2,FALSE)+5,FALSE),"")</f>
        <v/>
      </c>
      <c r="T68" s="29"/>
      <c r="U68" s="43" t="str">
        <f>IFERROR(VLOOKUP(T68,Calculation!$U$6:$V$11,2,FALSE),"")</f>
        <v/>
      </c>
    </row>
    <row r="69" spans="1:21" ht="14.25" customHeight="1" x14ac:dyDescent="0.3">
      <c r="A69" s="26" t="str">
        <f ca="1">IF(Calculation!T72&lt;=Calculation!$H$4,Calculation!T72,"")</f>
        <v/>
      </c>
      <c r="B69" s="4" t="str">
        <f ca="1">VLOOKUP(A69,Calculation!$E$6:$J$1004,4,FALSE)</f>
        <v/>
      </c>
      <c r="C69" s="4" t="str">
        <f ca="1">VLOOKUP(A69,Calculation!$E$6:$J$1004,5,FALSE)</f>
        <v/>
      </c>
      <c r="D69" s="4" t="str">
        <f ca="1">VLOOKUP(A69,Calculation!$E$6:$J$1004,6,FALSE)</f>
        <v/>
      </c>
      <c r="E69" s="42" t="str">
        <f t="shared" ca="1" si="0"/>
        <v/>
      </c>
      <c r="G69" s="29" t="str">
        <f ca="1">VLOOKUP(A69,Calculation!$F$6:$J$1004,3,FALSE)</f>
        <v/>
      </c>
      <c r="H69" s="4" t="str">
        <f ca="1">VLOOKUP(A69,Calculation!$F$6:$J$1004,4,FALSE)</f>
        <v/>
      </c>
      <c r="I69" s="4" t="str">
        <f ca="1">VLOOKUP(A69,Calculation!$F$6:$J$1004,5,FALSE)</f>
        <v/>
      </c>
      <c r="J69" s="43" t="str">
        <f t="shared" ca="1" si="1"/>
        <v/>
      </c>
      <c r="L69" s="29" t="str">
        <f ca="1">VLOOKUP(A69,Calculation!$G$6:$S$1004,2,FALSE)</f>
        <v/>
      </c>
      <c r="M69" s="4" t="str">
        <f ca="1">IFERROR(VLOOKUP($L69,Calculation!$H$6:$S$1005,HLOOKUP(M$2,Calculation!$M$4:$S$5,2,FALSE)+5,FALSE),"")</f>
        <v/>
      </c>
      <c r="N69" s="4" t="str">
        <f ca="1">IFERROR(VLOOKUP($L69,Calculation!$H$6:$S$1005,HLOOKUP(N$2,Calculation!$M$4:$S$5,2,FALSE)+5,FALSE),"")</f>
        <v/>
      </c>
      <c r="O69" s="4" t="str">
        <f ca="1">IFERROR(VLOOKUP($L69,Calculation!$H$6:$S$1005,HLOOKUP(O$2,Calculation!$M$4:$S$5,2,FALSE)+5,FALSE),"")</f>
        <v/>
      </c>
      <c r="P69" s="4" t="str">
        <f ca="1">IFERROR(VLOOKUP($L69,Calculation!$H$6:$S$1005,HLOOKUP(P$2,Calculation!$M$4:$S$5,2,FALSE)+5,FALSE),"")</f>
        <v/>
      </c>
      <c r="Q69" s="4" t="str">
        <f ca="1">IFERROR(VLOOKUP($L69,Calculation!$H$6:$S$1005,HLOOKUP(Q$2,Calculation!$M$4:$S$5,2,FALSE)+5,FALSE),"")</f>
        <v/>
      </c>
      <c r="R69" s="27" t="str">
        <f ca="1">IFERROR(VLOOKUP($L69,Calculation!$H$6:$S$1005,HLOOKUP(R$2,Calculation!$M$4:$S$5,2,FALSE)+5,FALSE),"")</f>
        <v/>
      </c>
      <c r="S69" s="4" t="str">
        <f ca="1">IFERROR(VLOOKUP($L69,Calculation!$H$6:$S$1005,HLOOKUP(S$2,Calculation!$M$4:$S$5,2,FALSE)+5,FALSE),"")</f>
        <v/>
      </c>
      <c r="T69" s="29"/>
      <c r="U69" s="43" t="str">
        <f>IFERROR(VLOOKUP(T69,Calculation!$U$6:$V$11,2,FALSE),"")</f>
        <v/>
      </c>
    </row>
    <row r="70" spans="1:21" ht="14.25" customHeight="1" x14ac:dyDescent="0.3">
      <c r="A70" s="26" t="str">
        <f ca="1">IF(Calculation!T73&lt;=Calculation!$H$4,Calculation!T73,"")</f>
        <v/>
      </c>
      <c r="B70" s="4" t="str">
        <f ca="1">VLOOKUP(A70,Calculation!$E$6:$J$1004,4,FALSE)</f>
        <v/>
      </c>
      <c r="C70" s="4" t="str">
        <f ca="1">VLOOKUP(A70,Calculation!$E$6:$J$1004,5,FALSE)</f>
        <v/>
      </c>
      <c r="D70" s="4" t="str">
        <f ca="1">VLOOKUP(A70,Calculation!$E$6:$J$1004,6,FALSE)</f>
        <v/>
      </c>
      <c r="E70" s="42" t="str">
        <f t="shared" ca="1" si="0"/>
        <v/>
      </c>
      <c r="G70" s="29" t="str">
        <f ca="1">VLOOKUP(A70,Calculation!$F$6:$J$1004,3,FALSE)</f>
        <v/>
      </c>
      <c r="H70" s="4" t="str">
        <f ca="1">VLOOKUP(A70,Calculation!$F$6:$J$1004,4,FALSE)</f>
        <v/>
      </c>
      <c r="I70" s="4" t="str">
        <f ca="1">VLOOKUP(A70,Calculation!$F$6:$J$1004,5,FALSE)</f>
        <v/>
      </c>
      <c r="J70" s="43" t="str">
        <f t="shared" ca="1" si="1"/>
        <v/>
      </c>
      <c r="L70" s="29" t="str">
        <f ca="1">VLOOKUP(A70,Calculation!$G$6:$S$1004,2,FALSE)</f>
        <v/>
      </c>
      <c r="M70" s="4" t="str">
        <f ca="1">IFERROR(VLOOKUP($L70,Calculation!$H$6:$S$1005,HLOOKUP(M$2,Calculation!$M$4:$S$5,2,FALSE)+5,FALSE),"")</f>
        <v/>
      </c>
      <c r="N70" s="4" t="str">
        <f ca="1">IFERROR(VLOOKUP($L70,Calculation!$H$6:$S$1005,HLOOKUP(N$2,Calculation!$M$4:$S$5,2,FALSE)+5,FALSE),"")</f>
        <v/>
      </c>
      <c r="O70" s="4" t="str">
        <f ca="1">IFERROR(VLOOKUP($L70,Calculation!$H$6:$S$1005,HLOOKUP(O$2,Calculation!$M$4:$S$5,2,FALSE)+5,FALSE),"")</f>
        <v/>
      </c>
      <c r="P70" s="4" t="str">
        <f ca="1">IFERROR(VLOOKUP($L70,Calculation!$H$6:$S$1005,HLOOKUP(P$2,Calculation!$M$4:$S$5,2,FALSE)+5,FALSE),"")</f>
        <v/>
      </c>
      <c r="Q70" s="4" t="str">
        <f ca="1">IFERROR(VLOOKUP($L70,Calculation!$H$6:$S$1005,HLOOKUP(Q$2,Calculation!$M$4:$S$5,2,FALSE)+5,FALSE),"")</f>
        <v/>
      </c>
      <c r="R70" s="27" t="str">
        <f ca="1">IFERROR(VLOOKUP($L70,Calculation!$H$6:$S$1005,HLOOKUP(R$2,Calculation!$M$4:$S$5,2,FALSE)+5,FALSE),"")</f>
        <v/>
      </c>
      <c r="S70" s="4" t="str">
        <f ca="1">IFERROR(VLOOKUP($L70,Calculation!$H$6:$S$1005,HLOOKUP(S$2,Calculation!$M$4:$S$5,2,FALSE)+5,FALSE),"")</f>
        <v/>
      </c>
      <c r="T70" s="29"/>
      <c r="U70" s="43" t="str">
        <f>IFERROR(VLOOKUP(T70,Calculation!$U$6:$V$11,2,FALSE),"")</f>
        <v/>
      </c>
    </row>
    <row r="71" spans="1:21" ht="14.25" customHeight="1" x14ac:dyDescent="0.3">
      <c r="A71" s="26" t="str">
        <f ca="1">IF(Calculation!T74&lt;=Calculation!$H$4,Calculation!T74,"")</f>
        <v/>
      </c>
      <c r="B71" s="4" t="str">
        <f ca="1">VLOOKUP(A71,Calculation!$E$6:$J$1004,4,FALSE)</f>
        <v/>
      </c>
      <c r="C71" s="4" t="str">
        <f ca="1">VLOOKUP(A71,Calculation!$E$6:$J$1004,5,FALSE)</f>
        <v/>
      </c>
      <c r="D71" s="4" t="str">
        <f ca="1">VLOOKUP(A71,Calculation!$E$6:$J$1004,6,FALSE)</f>
        <v/>
      </c>
      <c r="E71" s="42" t="str">
        <f t="shared" ca="1" si="0"/>
        <v/>
      </c>
      <c r="G71" s="29" t="str">
        <f ca="1">VLOOKUP(A71,Calculation!$F$6:$J$1004,3,FALSE)</f>
        <v/>
      </c>
      <c r="H71" s="4" t="str">
        <f ca="1">VLOOKUP(A71,Calculation!$F$6:$J$1004,4,FALSE)</f>
        <v/>
      </c>
      <c r="I71" s="4" t="str">
        <f ca="1">VLOOKUP(A71,Calculation!$F$6:$J$1004,5,FALSE)</f>
        <v/>
      </c>
      <c r="J71" s="43" t="str">
        <f t="shared" ca="1" si="1"/>
        <v/>
      </c>
      <c r="L71" s="29" t="str">
        <f ca="1">VLOOKUP(A71,Calculation!$G$6:$S$1004,2,FALSE)</f>
        <v/>
      </c>
      <c r="M71" s="4" t="str">
        <f ca="1">IFERROR(VLOOKUP($L71,Calculation!$H$6:$S$1005,HLOOKUP(M$2,Calculation!$M$4:$S$5,2,FALSE)+5,FALSE),"")</f>
        <v/>
      </c>
      <c r="N71" s="4" t="str">
        <f ca="1">IFERROR(VLOOKUP($L71,Calculation!$H$6:$S$1005,HLOOKUP(N$2,Calculation!$M$4:$S$5,2,FALSE)+5,FALSE),"")</f>
        <v/>
      </c>
      <c r="O71" s="4" t="str">
        <f ca="1">IFERROR(VLOOKUP($L71,Calculation!$H$6:$S$1005,HLOOKUP(O$2,Calculation!$M$4:$S$5,2,FALSE)+5,FALSE),"")</f>
        <v/>
      </c>
      <c r="P71" s="4" t="str">
        <f ca="1">IFERROR(VLOOKUP($L71,Calculation!$H$6:$S$1005,HLOOKUP(P$2,Calculation!$M$4:$S$5,2,FALSE)+5,FALSE),"")</f>
        <v/>
      </c>
      <c r="Q71" s="4" t="str">
        <f ca="1">IFERROR(VLOOKUP($L71,Calculation!$H$6:$S$1005,HLOOKUP(Q$2,Calculation!$M$4:$S$5,2,FALSE)+5,FALSE),"")</f>
        <v/>
      </c>
      <c r="R71" s="27" t="str">
        <f ca="1">IFERROR(VLOOKUP($L71,Calculation!$H$6:$S$1005,HLOOKUP(R$2,Calculation!$M$4:$S$5,2,FALSE)+5,FALSE),"")</f>
        <v/>
      </c>
      <c r="S71" s="4" t="str">
        <f ca="1">IFERROR(VLOOKUP($L71,Calculation!$H$6:$S$1005,HLOOKUP(S$2,Calculation!$M$4:$S$5,2,FALSE)+5,FALSE),"")</f>
        <v/>
      </c>
      <c r="T71" s="29"/>
      <c r="U71" s="43" t="str">
        <f>IFERROR(VLOOKUP(T71,Calculation!$U$6:$V$11,2,FALSE),"")</f>
        <v/>
      </c>
    </row>
    <row r="72" spans="1:21" ht="14.25" customHeight="1" x14ac:dyDescent="0.3">
      <c r="A72" s="26" t="str">
        <f ca="1">IF(Calculation!T75&lt;=Calculation!$H$4,Calculation!T75,"")</f>
        <v/>
      </c>
      <c r="B72" s="4" t="str">
        <f ca="1">VLOOKUP(A72,Calculation!$E$6:$J$1004,4,FALSE)</f>
        <v/>
      </c>
      <c r="C72" s="4" t="str">
        <f ca="1">VLOOKUP(A72,Calculation!$E$6:$J$1004,5,FALSE)</f>
        <v/>
      </c>
      <c r="D72" s="4" t="str">
        <f ca="1">VLOOKUP(A72,Calculation!$E$6:$J$1004,6,FALSE)</f>
        <v/>
      </c>
      <c r="E72" s="42" t="str">
        <f t="shared" ca="1" si="0"/>
        <v/>
      </c>
      <c r="G72" s="29" t="str">
        <f ca="1">VLOOKUP(A72,Calculation!$F$6:$J$1004,3,FALSE)</f>
        <v/>
      </c>
      <c r="H72" s="4" t="str">
        <f ca="1">VLOOKUP(A72,Calculation!$F$6:$J$1004,4,FALSE)</f>
        <v/>
      </c>
      <c r="I72" s="4" t="str">
        <f ca="1">VLOOKUP(A72,Calculation!$F$6:$J$1004,5,FALSE)</f>
        <v/>
      </c>
      <c r="J72" s="43" t="str">
        <f t="shared" ca="1" si="1"/>
        <v/>
      </c>
      <c r="L72" s="29" t="str">
        <f ca="1">VLOOKUP(A72,Calculation!$G$6:$S$1004,2,FALSE)</f>
        <v/>
      </c>
      <c r="M72" s="4" t="str">
        <f ca="1">IFERROR(VLOOKUP($L72,Calculation!$H$6:$S$1005,HLOOKUP(M$2,Calculation!$M$4:$S$5,2,FALSE)+5,FALSE),"")</f>
        <v/>
      </c>
      <c r="N72" s="4" t="str">
        <f ca="1">IFERROR(VLOOKUP($L72,Calculation!$H$6:$S$1005,HLOOKUP(N$2,Calculation!$M$4:$S$5,2,FALSE)+5,FALSE),"")</f>
        <v/>
      </c>
      <c r="O72" s="4" t="str">
        <f ca="1">IFERROR(VLOOKUP($L72,Calculation!$H$6:$S$1005,HLOOKUP(O$2,Calculation!$M$4:$S$5,2,FALSE)+5,FALSE),"")</f>
        <v/>
      </c>
      <c r="P72" s="4" t="str">
        <f ca="1">IFERROR(VLOOKUP($L72,Calculation!$H$6:$S$1005,HLOOKUP(P$2,Calculation!$M$4:$S$5,2,FALSE)+5,FALSE),"")</f>
        <v/>
      </c>
      <c r="Q72" s="4" t="str">
        <f ca="1">IFERROR(VLOOKUP($L72,Calculation!$H$6:$S$1005,HLOOKUP(Q$2,Calculation!$M$4:$S$5,2,FALSE)+5,FALSE),"")</f>
        <v/>
      </c>
      <c r="R72" s="27" t="str">
        <f ca="1">IFERROR(VLOOKUP($L72,Calculation!$H$6:$S$1005,HLOOKUP(R$2,Calculation!$M$4:$S$5,2,FALSE)+5,FALSE),"")</f>
        <v/>
      </c>
      <c r="S72" s="4" t="str">
        <f ca="1">IFERROR(VLOOKUP($L72,Calculation!$H$6:$S$1005,HLOOKUP(S$2,Calculation!$M$4:$S$5,2,FALSE)+5,FALSE),"")</f>
        <v/>
      </c>
      <c r="T72" s="29"/>
      <c r="U72" s="43" t="str">
        <f>IFERROR(VLOOKUP(T72,Calculation!$U$6:$V$11,2,FALSE),"")</f>
        <v/>
      </c>
    </row>
    <row r="73" spans="1:21" ht="14.25" customHeight="1" x14ac:dyDescent="0.3">
      <c r="A73" s="26" t="str">
        <f ca="1">IF(Calculation!T76&lt;=Calculation!$H$4,Calculation!T76,"")</f>
        <v/>
      </c>
      <c r="B73" s="4" t="str">
        <f ca="1">VLOOKUP(A73,Calculation!$E$6:$J$1004,4,FALSE)</f>
        <v/>
      </c>
      <c r="C73" s="4" t="str">
        <f ca="1">VLOOKUP(A73,Calculation!$E$6:$J$1004,5,FALSE)</f>
        <v/>
      </c>
      <c r="D73" s="4" t="str">
        <f ca="1">VLOOKUP(A73,Calculation!$E$6:$J$1004,6,FALSE)</f>
        <v/>
      </c>
      <c r="E73" s="42" t="str">
        <f t="shared" ca="1" si="0"/>
        <v/>
      </c>
      <c r="G73" s="29" t="str">
        <f ca="1">VLOOKUP(A73,Calculation!$F$6:$J$1004,3,FALSE)</f>
        <v/>
      </c>
      <c r="H73" s="4" t="str">
        <f ca="1">VLOOKUP(A73,Calculation!$F$6:$J$1004,4,FALSE)</f>
        <v/>
      </c>
      <c r="I73" s="4" t="str">
        <f ca="1">VLOOKUP(A73,Calculation!$F$6:$J$1004,5,FALSE)</f>
        <v/>
      </c>
      <c r="J73" s="43" t="str">
        <f t="shared" ca="1" si="1"/>
        <v/>
      </c>
      <c r="L73" s="29" t="str">
        <f ca="1">VLOOKUP(A73,Calculation!$G$6:$S$1004,2,FALSE)</f>
        <v/>
      </c>
      <c r="M73" s="4" t="str">
        <f ca="1">IFERROR(VLOOKUP($L73,Calculation!$H$6:$S$1005,HLOOKUP(M$2,Calculation!$M$4:$S$5,2,FALSE)+5,FALSE),"")</f>
        <v/>
      </c>
      <c r="N73" s="4" t="str">
        <f ca="1">IFERROR(VLOOKUP($L73,Calculation!$H$6:$S$1005,HLOOKUP(N$2,Calculation!$M$4:$S$5,2,FALSE)+5,FALSE),"")</f>
        <v/>
      </c>
      <c r="O73" s="4" t="str">
        <f ca="1">IFERROR(VLOOKUP($L73,Calculation!$H$6:$S$1005,HLOOKUP(O$2,Calculation!$M$4:$S$5,2,FALSE)+5,FALSE),"")</f>
        <v/>
      </c>
      <c r="P73" s="4" t="str">
        <f ca="1">IFERROR(VLOOKUP($L73,Calculation!$H$6:$S$1005,HLOOKUP(P$2,Calculation!$M$4:$S$5,2,FALSE)+5,FALSE),"")</f>
        <v/>
      </c>
      <c r="Q73" s="4" t="str">
        <f ca="1">IFERROR(VLOOKUP($L73,Calculation!$H$6:$S$1005,HLOOKUP(Q$2,Calculation!$M$4:$S$5,2,FALSE)+5,FALSE),"")</f>
        <v/>
      </c>
      <c r="R73" s="27" t="str">
        <f ca="1">IFERROR(VLOOKUP($L73,Calculation!$H$6:$S$1005,HLOOKUP(R$2,Calculation!$M$4:$S$5,2,FALSE)+5,FALSE),"")</f>
        <v/>
      </c>
      <c r="S73" s="4" t="str">
        <f ca="1">IFERROR(VLOOKUP($L73,Calculation!$H$6:$S$1005,HLOOKUP(S$2,Calculation!$M$4:$S$5,2,FALSE)+5,FALSE),"")</f>
        <v/>
      </c>
      <c r="T73" s="29"/>
      <c r="U73" s="43" t="str">
        <f>IFERROR(VLOOKUP(T73,Calculation!$U$6:$V$11,2,FALSE),"")</f>
        <v/>
      </c>
    </row>
    <row r="74" spans="1:21" ht="14.25" customHeight="1" x14ac:dyDescent="0.3">
      <c r="A74" s="26" t="str">
        <f ca="1">IF(Calculation!T77&lt;=Calculation!$H$4,Calculation!T77,"")</f>
        <v/>
      </c>
      <c r="B74" s="4" t="str">
        <f ca="1">VLOOKUP(A74,Calculation!$E$6:$J$1004,4,FALSE)</f>
        <v/>
      </c>
      <c r="C74" s="4" t="str">
        <f ca="1">VLOOKUP(A74,Calculation!$E$6:$J$1004,5,FALSE)</f>
        <v/>
      </c>
      <c r="D74" s="4" t="str">
        <f ca="1">VLOOKUP(A74,Calculation!$E$6:$J$1004,6,FALSE)</f>
        <v/>
      </c>
      <c r="E74" s="42" t="str">
        <f t="shared" ca="1" si="0"/>
        <v/>
      </c>
      <c r="G74" s="29" t="str">
        <f ca="1">VLOOKUP(A74,Calculation!$F$6:$J$1004,3,FALSE)</f>
        <v/>
      </c>
      <c r="H74" s="4" t="str">
        <f ca="1">VLOOKUP(A74,Calculation!$F$6:$J$1004,4,FALSE)</f>
        <v/>
      </c>
      <c r="I74" s="4" t="str">
        <f ca="1">VLOOKUP(A74,Calculation!$F$6:$J$1004,5,FALSE)</f>
        <v/>
      </c>
      <c r="J74" s="43" t="str">
        <f t="shared" ca="1" si="1"/>
        <v/>
      </c>
      <c r="L74" s="29" t="str">
        <f ca="1">VLOOKUP(A74,Calculation!$G$6:$S$1004,2,FALSE)</f>
        <v/>
      </c>
      <c r="M74" s="4" t="str">
        <f ca="1">IFERROR(VLOOKUP($L74,Calculation!$H$6:$S$1005,HLOOKUP(M$2,Calculation!$M$4:$S$5,2,FALSE)+5,FALSE),"")</f>
        <v/>
      </c>
      <c r="N74" s="4" t="str">
        <f ca="1">IFERROR(VLOOKUP($L74,Calculation!$H$6:$S$1005,HLOOKUP(N$2,Calculation!$M$4:$S$5,2,FALSE)+5,FALSE),"")</f>
        <v/>
      </c>
      <c r="O74" s="4" t="str">
        <f ca="1">IFERROR(VLOOKUP($L74,Calculation!$H$6:$S$1005,HLOOKUP(O$2,Calculation!$M$4:$S$5,2,FALSE)+5,FALSE),"")</f>
        <v/>
      </c>
      <c r="P74" s="4" t="str">
        <f ca="1">IFERROR(VLOOKUP($L74,Calculation!$H$6:$S$1005,HLOOKUP(P$2,Calculation!$M$4:$S$5,2,FALSE)+5,FALSE),"")</f>
        <v/>
      </c>
      <c r="Q74" s="4" t="str">
        <f ca="1">IFERROR(VLOOKUP($L74,Calculation!$H$6:$S$1005,HLOOKUP(Q$2,Calculation!$M$4:$S$5,2,FALSE)+5,FALSE),"")</f>
        <v/>
      </c>
      <c r="R74" s="27" t="str">
        <f ca="1">IFERROR(VLOOKUP($L74,Calculation!$H$6:$S$1005,HLOOKUP(R$2,Calculation!$M$4:$S$5,2,FALSE)+5,FALSE),"")</f>
        <v/>
      </c>
      <c r="S74" s="4" t="str">
        <f ca="1">IFERROR(VLOOKUP($L74,Calculation!$H$6:$S$1005,HLOOKUP(S$2,Calculation!$M$4:$S$5,2,FALSE)+5,FALSE),"")</f>
        <v/>
      </c>
      <c r="T74" s="29"/>
      <c r="U74" s="43" t="str">
        <f>IFERROR(VLOOKUP(T74,Calculation!$U$6:$V$11,2,FALSE),"")</f>
        <v/>
      </c>
    </row>
    <row r="75" spans="1:21" ht="14.25" customHeight="1" x14ac:dyDescent="0.3">
      <c r="A75" s="26" t="str">
        <f ca="1">IF(Calculation!T78&lt;=Calculation!$H$4,Calculation!T78,"")</f>
        <v/>
      </c>
      <c r="B75" s="4" t="str">
        <f ca="1">VLOOKUP(A75,Calculation!$E$6:$J$1004,4,FALSE)</f>
        <v/>
      </c>
      <c r="C75" s="4" t="str">
        <f ca="1">VLOOKUP(A75,Calculation!$E$6:$J$1004,5,FALSE)</f>
        <v/>
      </c>
      <c r="D75" s="4" t="str">
        <f ca="1">VLOOKUP(A75,Calculation!$E$6:$J$1004,6,FALSE)</f>
        <v/>
      </c>
      <c r="E75" s="42" t="str">
        <f t="shared" ca="1" si="0"/>
        <v/>
      </c>
      <c r="G75" s="29" t="str">
        <f ca="1">VLOOKUP(A75,Calculation!$F$6:$J$1004,3,FALSE)</f>
        <v/>
      </c>
      <c r="H75" s="4" t="str">
        <f ca="1">VLOOKUP(A75,Calculation!$F$6:$J$1004,4,FALSE)</f>
        <v/>
      </c>
      <c r="I75" s="4" t="str">
        <f ca="1">VLOOKUP(A75,Calculation!$F$6:$J$1004,5,FALSE)</f>
        <v/>
      </c>
      <c r="J75" s="43" t="str">
        <f t="shared" ca="1" si="1"/>
        <v/>
      </c>
      <c r="L75" s="29" t="str">
        <f ca="1">VLOOKUP(A75,Calculation!$G$6:$S$1004,2,FALSE)</f>
        <v/>
      </c>
      <c r="M75" s="4" t="str">
        <f ca="1">IFERROR(VLOOKUP($L75,Calculation!$H$6:$S$1005,HLOOKUP(M$2,Calculation!$M$4:$S$5,2,FALSE)+5,FALSE),"")</f>
        <v/>
      </c>
      <c r="N75" s="4" t="str">
        <f ca="1">IFERROR(VLOOKUP($L75,Calculation!$H$6:$S$1005,HLOOKUP(N$2,Calculation!$M$4:$S$5,2,FALSE)+5,FALSE),"")</f>
        <v/>
      </c>
      <c r="O75" s="4" t="str">
        <f ca="1">IFERROR(VLOOKUP($L75,Calculation!$H$6:$S$1005,HLOOKUP(O$2,Calculation!$M$4:$S$5,2,FALSE)+5,FALSE),"")</f>
        <v/>
      </c>
      <c r="P75" s="4" t="str">
        <f ca="1">IFERROR(VLOOKUP($L75,Calculation!$H$6:$S$1005,HLOOKUP(P$2,Calculation!$M$4:$S$5,2,FALSE)+5,FALSE),"")</f>
        <v/>
      </c>
      <c r="Q75" s="4" t="str">
        <f ca="1">IFERROR(VLOOKUP($L75,Calculation!$H$6:$S$1005,HLOOKUP(Q$2,Calculation!$M$4:$S$5,2,FALSE)+5,FALSE),"")</f>
        <v/>
      </c>
      <c r="R75" s="27" t="str">
        <f ca="1">IFERROR(VLOOKUP($L75,Calculation!$H$6:$S$1005,HLOOKUP(R$2,Calculation!$M$4:$S$5,2,FALSE)+5,FALSE),"")</f>
        <v/>
      </c>
      <c r="S75" s="4" t="str">
        <f ca="1">IFERROR(VLOOKUP($L75,Calculation!$H$6:$S$1005,HLOOKUP(S$2,Calculation!$M$4:$S$5,2,FALSE)+5,FALSE),"")</f>
        <v/>
      </c>
      <c r="T75" s="29"/>
      <c r="U75" s="43" t="str">
        <f>IFERROR(VLOOKUP(T75,Calculation!$U$6:$V$11,2,FALSE),"")</f>
        <v/>
      </c>
    </row>
    <row r="76" spans="1:21" ht="14.25" customHeight="1" x14ac:dyDescent="0.3">
      <c r="A76" s="26" t="str">
        <f ca="1">IF(Calculation!T79&lt;=Calculation!$H$4,Calculation!T79,"")</f>
        <v/>
      </c>
      <c r="B76" s="4" t="str">
        <f ca="1">VLOOKUP(A76,Calculation!$E$6:$J$1004,4,FALSE)</f>
        <v/>
      </c>
      <c r="C76" s="4" t="str">
        <f ca="1">VLOOKUP(A76,Calculation!$E$6:$J$1004,5,FALSE)</f>
        <v/>
      </c>
      <c r="D76" s="4" t="str">
        <f ca="1">VLOOKUP(A76,Calculation!$E$6:$J$1004,6,FALSE)</f>
        <v/>
      </c>
      <c r="E76" s="42" t="str">
        <f t="shared" ca="1" si="0"/>
        <v/>
      </c>
      <c r="G76" s="29" t="str">
        <f ca="1">VLOOKUP(A76,Calculation!$F$6:$J$1004,3,FALSE)</f>
        <v/>
      </c>
      <c r="H76" s="4" t="str">
        <f ca="1">VLOOKUP(A76,Calculation!$F$6:$J$1004,4,FALSE)</f>
        <v/>
      </c>
      <c r="I76" s="4" t="str">
        <f ca="1">VLOOKUP(A76,Calculation!$F$6:$J$1004,5,FALSE)</f>
        <v/>
      </c>
      <c r="J76" s="43" t="str">
        <f t="shared" ca="1" si="1"/>
        <v/>
      </c>
      <c r="L76" s="29" t="str">
        <f ca="1">VLOOKUP(A76,Calculation!$G$6:$S$1004,2,FALSE)</f>
        <v/>
      </c>
      <c r="M76" s="4" t="str">
        <f ca="1">IFERROR(VLOOKUP($L76,Calculation!$H$6:$S$1005,HLOOKUP(M$2,Calculation!$M$4:$S$5,2,FALSE)+5,FALSE),"")</f>
        <v/>
      </c>
      <c r="N76" s="4" t="str">
        <f ca="1">IFERROR(VLOOKUP($L76,Calculation!$H$6:$S$1005,HLOOKUP(N$2,Calculation!$M$4:$S$5,2,FALSE)+5,FALSE),"")</f>
        <v/>
      </c>
      <c r="O76" s="4" t="str">
        <f ca="1">IFERROR(VLOOKUP($L76,Calculation!$H$6:$S$1005,HLOOKUP(O$2,Calculation!$M$4:$S$5,2,FALSE)+5,FALSE),"")</f>
        <v/>
      </c>
      <c r="P76" s="4" t="str">
        <f ca="1">IFERROR(VLOOKUP($L76,Calculation!$H$6:$S$1005,HLOOKUP(P$2,Calculation!$M$4:$S$5,2,FALSE)+5,FALSE),"")</f>
        <v/>
      </c>
      <c r="Q76" s="4" t="str">
        <f ca="1">IFERROR(VLOOKUP($L76,Calculation!$H$6:$S$1005,HLOOKUP(Q$2,Calculation!$M$4:$S$5,2,FALSE)+5,FALSE),"")</f>
        <v/>
      </c>
      <c r="R76" s="27" t="str">
        <f ca="1">IFERROR(VLOOKUP($L76,Calculation!$H$6:$S$1005,HLOOKUP(R$2,Calculation!$M$4:$S$5,2,FALSE)+5,FALSE),"")</f>
        <v/>
      </c>
      <c r="S76" s="4" t="str">
        <f ca="1">IFERROR(VLOOKUP($L76,Calculation!$H$6:$S$1005,HLOOKUP(S$2,Calculation!$M$4:$S$5,2,FALSE)+5,FALSE),"")</f>
        <v/>
      </c>
      <c r="T76" s="29"/>
      <c r="U76" s="43" t="str">
        <f>IFERROR(VLOOKUP(T76,Calculation!$U$6:$V$11,2,FALSE),"")</f>
        <v/>
      </c>
    </row>
    <row r="77" spans="1:21" ht="14.25" customHeight="1" x14ac:dyDescent="0.3">
      <c r="A77" s="26" t="str">
        <f ca="1">IF(Calculation!T80&lt;=Calculation!$H$4,Calculation!T80,"")</f>
        <v/>
      </c>
      <c r="B77" s="4" t="str">
        <f ca="1">VLOOKUP(A77,Calculation!$E$6:$J$1004,4,FALSE)</f>
        <v/>
      </c>
      <c r="C77" s="4" t="str">
        <f ca="1">VLOOKUP(A77,Calculation!$E$6:$J$1004,5,FALSE)</f>
        <v/>
      </c>
      <c r="D77" s="4" t="str">
        <f ca="1">VLOOKUP(A77,Calculation!$E$6:$J$1004,6,FALSE)</f>
        <v/>
      </c>
      <c r="E77" s="42" t="str">
        <f t="shared" ca="1" si="0"/>
        <v/>
      </c>
      <c r="G77" s="29" t="str">
        <f ca="1">VLOOKUP(A77,Calculation!$F$6:$J$1004,3,FALSE)</f>
        <v/>
      </c>
      <c r="H77" s="4" t="str">
        <f ca="1">VLOOKUP(A77,Calculation!$F$6:$J$1004,4,FALSE)</f>
        <v/>
      </c>
      <c r="I77" s="4" t="str">
        <f ca="1">VLOOKUP(A77,Calculation!$F$6:$J$1004,5,FALSE)</f>
        <v/>
      </c>
      <c r="J77" s="43" t="str">
        <f t="shared" ca="1" si="1"/>
        <v/>
      </c>
      <c r="L77" s="29" t="str">
        <f ca="1">VLOOKUP(A77,Calculation!$G$6:$S$1004,2,FALSE)</f>
        <v/>
      </c>
      <c r="M77" s="4" t="str">
        <f ca="1">IFERROR(VLOOKUP($L77,Calculation!$H$6:$S$1005,HLOOKUP(M$2,Calculation!$M$4:$S$5,2,FALSE)+5,FALSE),"")</f>
        <v/>
      </c>
      <c r="N77" s="4" t="str">
        <f ca="1">IFERROR(VLOOKUP($L77,Calculation!$H$6:$S$1005,HLOOKUP(N$2,Calculation!$M$4:$S$5,2,FALSE)+5,FALSE),"")</f>
        <v/>
      </c>
      <c r="O77" s="4" t="str">
        <f ca="1">IFERROR(VLOOKUP($L77,Calculation!$H$6:$S$1005,HLOOKUP(O$2,Calculation!$M$4:$S$5,2,FALSE)+5,FALSE),"")</f>
        <v/>
      </c>
      <c r="P77" s="4" t="str">
        <f ca="1">IFERROR(VLOOKUP($L77,Calculation!$H$6:$S$1005,HLOOKUP(P$2,Calculation!$M$4:$S$5,2,FALSE)+5,FALSE),"")</f>
        <v/>
      </c>
      <c r="Q77" s="4" t="str">
        <f ca="1">IFERROR(VLOOKUP($L77,Calculation!$H$6:$S$1005,HLOOKUP(Q$2,Calculation!$M$4:$S$5,2,FALSE)+5,FALSE),"")</f>
        <v/>
      </c>
      <c r="R77" s="27" t="str">
        <f ca="1">IFERROR(VLOOKUP($L77,Calculation!$H$6:$S$1005,HLOOKUP(R$2,Calculation!$M$4:$S$5,2,FALSE)+5,FALSE),"")</f>
        <v/>
      </c>
      <c r="S77" s="4" t="str">
        <f ca="1">IFERROR(VLOOKUP($L77,Calculation!$H$6:$S$1005,HLOOKUP(S$2,Calculation!$M$4:$S$5,2,FALSE)+5,FALSE),"")</f>
        <v/>
      </c>
      <c r="T77" s="29"/>
      <c r="U77" s="43" t="str">
        <f>IFERROR(VLOOKUP(T77,Calculation!$U$6:$V$11,2,FALSE),"")</f>
        <v/>
      </c>
    </row>
    <row r="78" spans="1:21" ht="14.25" customHeight="1" x14ac:dyDescent="0.3">
      <c r="A78" s="26" t="str">
        <f ca="1">IF(Calculation!T81&lt;=Calculation!$H$4,Calculation!T81,"")</f>
        <v/>
      </c>
      <c r="B78" s="4" t="str">
        <f ca="1">VLOOKUP(A78,Calculation!$E$6:$J$1004,4,FALSE)</f>
        <v/>
      </c>
      <c r="C78" s="4" t="str">
        <f ca="1">VLOOKUP(A78,Calculation!$E$6:$J$1004,5,FALSE)</f>
        <v/>
      </c>
      <c r="D78" s="4" t="str">
        <f ca="1">VLOOKUP(A78,Calculation!$E$6:$J$1004,6,FALSE)</f>
        <v/>
      </c>
      <c r="E78" s="42" t="str">
        <f t="shared" ca="1" si="0"/>
        <v/>
      </c>
      <c r="G78" s="29" t="str">
        <f ca="1">VLOOKUP(A78,Calculation!$F$6:$J$1004,3,FALSE)</f>
        <v/>
      </c>
      <c r="H78" s="4" t="str">
        <f ca="1">VLOOKUP(A78,Calculation!$F$6:$J$1004,4,FALSE)</f>
        <v/>
      </c>
      <c r="I78" s="4" t="str">
        <f ca="1">VLOOKUP(A78,Calculation!$F$6:$J$1004,5,FALSE)</f>
        <v/>
      </c>
      <c r="J78" s="43" t="str">
        <f t="shared" ca="1" si="1"/>
        <v/>
      </c>
      <c r="L78" s="29" t="str">
        <f ca="1">VLOOKUP(A78,Calculation!$G$6:$S$1004,2,FALSE)</f>
        <v/>
      </c>
      <c r="M78" s="4" t="str">
        <f ca="1">IFERROR(VLOOKUP($L78,Calculation!$H$6:$S$1005,HLOOKUP(M$2,Calculation!$M$4:$S$5,2,FALSE)+5,FALSE),"")</f>
        <v/>
      </c>
      <c r="N78" s="4" t="str">
        <f ca="1">IFERROR(VLOOKUP($L78,Calculation!$H$6:$S$1005,HLOOKUP(N$2,Calculation!$M$4:$S$5,2,FALSE)+5,FALSE),"")</f>
        <v/>
      </c>
      <c r="O78" s="4" t="str">
        <f ca="1">IFERROR(VLOOKUP($L78,Calculation!$H$6:$S$1005,HLOOKUP(O$2,Calculation!$M$4:$S$5,2,FALSE)+5,FALSE),"")</f>
        <v/>
      </c>
      <c r="P78" s="4" t="str">
        <f ca="1">IFERROR(VLOOKUP($L78,Calculation!$H$6:$S$1005,HLOOKUP(P$2,Calculation!$M$4:$S$5,2,FALSE)+5,FALSE),"")</f>
        <v/>
      </c>
      <c r="Q78" s="4" t="str">
        <f ca="1">IFERROR(VLOOKUP($L78,Calculation!$H$6:$S$1005,HLOOKUP(Q$2,Calculation!$M$4:$S$5,2,FALSE)+5,FALSE),"")</f>
        <v/>
      </c>
      <c r="R78" s="27" t="str">
        <f ca="1">IFERROR(VLOOKUP($L78,Calculation!$H$6:$S$1005,HLOOKUP(R$2,Calculation!$M$4:$S$5,2,FALSE)+5,FALSE),"")</f>
        <v/>
      </c>
      <c r="S78" s="4" t="str">
        <f ca="1">IFERROR(VLOOKUP($L78,Calculation!$H$6:$S$1005,HLOOKUP(S$2,Calculation!$M$4:$S$5,2,FALSE)+5,FALSE),"")</f>
        <v/>
      </c>
      <c r="T78" s="29"/>
      <c r="U78" s="43" t="str">
        <f>IFERROR(VLOOKUP(T78,Calculation!$U$6:$V$11,2,FALSE),"")</f>
        <v/>
      </c>
    </row>
    <row r="79" spans="1:21" ht="14.25" customHeight="1" x14ac:dyDescent="0.3">
      <c r="A79" s="26" t="str">
        <f ca="1">IF(Calculation!T82&lt;=Calculation!$H$4,Calculation!T82,"")</f>
        <v/>
      </c>
      <c r="B79" s="4" t="str">
        <f ca="1">VLOOKUP(A79,Calculation!$E$6:$J$1004,4,FALSE)</f>
        <v/>
      </c>
      <c r="C79" s="4" t="str">
        <f ca="1">VLOOKUP(A79,Calculation!$E$6:$J$1004,5,FALSE)</f>
        <v/>
      </c>
      <c r="D79" s="4" t="str">
        <f ca="1">VLOOKUP(A79,Calculation!$E$6:$J$1004,6,FALSE)</f>
        <v/>
      </c>
      <c r="E79" s="42" t="str">
        <f t="shared" ca="1" si="0"/>
        <v/>
      </c>
      <c r="G79" s="29" t="str">
        <f ca="1">VLOOKUP(A79,Calculation!$F$6:$J$1004,3,FALSE)</f>
        <v/>
      </c>
      <c r="H79" s="4" t="str">
        <f ca="1">VLOOKUP(A79,Calculation!$F$6:$J$1004,4,FALSE)</f>
        <v/>
      </c>
      <c r="I79" s="4" t="str">
        <f ca="1">VLOOKUP(A79,Calculation!$F$6:$J$1004,5,FALSE)</f>
        <v/>
      </c>
      <c r="J79" s="43" t="str">
        <f t="shared" ca="1" si="1"/>
        <v/>
      </c>
      <c r="L79" s="29" t="str">
        <f ca="1">VLOOKUP(A79,Calculation!$G$6:$S$1004,2,FALSE)</f>
        <v/>
      </c>
      <c r="M79" s="4" t="str">
        <f ca="1">IFERROR(VLOOKUP($L79,Calculation!$H$6:$S$1005,HLOOKUP(M$2,Calculation!$M$4:$S$5,2,FALSE)+5,FALSE),"")</f>
        <v/>
      </c>
      <c r="N79" s="4" t="str">
        <f ca="1">IFERROR(VLOOKUP($L79,Calculation!$H$6:$S$1005,HLOOKUP(N$2,Calculation!$M$4:$S$5,2,FALSE)+5,FALSE),"")</f>
        <v/>
      </c>
      <c r="O79" s="4" t="str">
        <f ca="1">IFERROR(VLOOKUP($L79,Calculation!$H$6:$S$1005,HLOOKUP(O$2,Calculation!$M$4:$S$5,2,FALSE)+5,FALSE),"")</f>
        <v/>
      </c>
      <c r="P79" s="4" t="str">
        <f ca="1">IFERROR(VLOOKUP($L79,Calculation!$H$6:$S$1005,HLOOKUP(P$2,Calculation!$M$4:$S$5,2,FALSE)+5,FALSE),"")</f>
        <v/>
      </c>
      <c r="Q79" s="4" t="str">
        <f ca="1">IFERROR(VLOOKUP($L79,Calculation!$H$6:$S$1005,HLOOKUP(Q$2,Calculation!$M$4:$S$5,2,FALSE)+5,FALSE),"")</f>
        <v/>
      </c>
      <c r="R79" s="27" t="str">
        <f ca="1">IFERROR(VLOOKUP($L79,Calculation!$H$6:$S$1005,HLOOKUP(R$2,Calculation!$M$4:$S$5,2,FALSE)+5,FALSE),"")</f>
        <v/>
      </c>
      <c r="S79" s="4" t="str">
        <f ca="1">IFERROR(VLOOKUP($L79,Calculation!$H$6:$S$1005,HLOOKUP(S$2,Calculation!$M$4:$S$5,2,FALSE)+5,FALSE),"")</f>
        <v/>
      </c>
      <c r="T79" s="29"/>
      <c r="U79" s="43" t="str">
        <f>IFERROR(VLOOKUP(T79,Calculation!$U$6:$V$11,2,FALSE),"")</f>
        <v/>
      </c>
    </row>
    <row r="80" spans="1:21" ht="14.25" customHeight="1" x14ac:dyDescent="0.3">
      <c r="A80" s="26" t="str">
        <f ca="1">IF(Calculation!T83&lt;=Calculation!$H$4,Calculation!T83,"")</f>
        <v/>
      </c>
      <c r="B80" s="4" t="str">
        <f ca="1">VLOOKUP(A80,Calculation!$E$6:$J$1004,4,FALSE)</f>
        <v/>
      </c>
      <c r="C80" s="4" t="str">
        <f ca="1">VLOOKUP(A80,Calculation!$E$6:$J$1004,5,FALSE)</f>
        <v/>
      </c>
      <c r="D80" s="4" t="str">
        <f ca="1">VLOOKUP(A80,Calculation!$E$6:$J$1004,6,FALSE)</f>
        <v/>
      </c>
      <c r="E80" s="42" t="str">
        <f t="shared" ca="1" si="0"/>
        <v/>
      </c>
      <c r="G80" s="29" t="str">
        <f ca="1">VLOOKUP(A80,Calculation!$F$6:$J$1004,3,FALSE)</f>
        <v/>
      </c>
      <c r="H80" s="4" t="str">
        <f ca="1">VLOOKUP(A80,Calculation!$F$6:$J$1004,4,FALSE)</f>
        <v/>
      </c>
      <c r="I80" s="4" t="str">
        <f ca="1">VLOOKUP(A80,Calculation!$F$6:$J$1004,5,FALSE)</f>
        <v/>
      </c>
      <c r="J80" s="43" t="str">
        <f t="shared" ca="1" si="1"/>
        <v/>
      </c>
      <c r="L80" s="29" t="str">
        <f ca="1">VLOOKUP(A80,Calculation!$G$6:$S$1004,2,FALSE)</f>
        <v/>
      </c>
      <c r="M80" s="4" t="str">
        <f ca="1">IFERROR(VLOOKUP($L80,Calculation!$H$6:$S$1005,HLOOKUP(M$2,Calculation!$M$4:$S$5,2,FALSE)+5,FALSE),"")</f>
        <v/>
      </c>
      <c r="N80" s="4" t="str">
        <f ca="1">IFERROR(VLOOKUP($L80,Calculation!$H$6:$S$1005,HLOOKUP(N$2,Calculation!$M$4:$S$5,2,FALSE)+5,FALSE),"")</f>
        <v/>
      </c>
      <c r="O80" s="4" t="str">
        <f ca="1">IFERROR(VLOOKUP($L80,Calculation!$H$6:$S$1005,HLOOKUP(O$2,Calculation!$M$4:$S$5,2,FALSE)+5,FALSE),"")</f>
        <v/>
      </c>
      <c r="P80" s="4" t="str">
        <f ca="1">IFERROR(VLOOKUP($L80,Calculation!$H$6:$S$1005,HLOOKUP(P$2,Calculation!$M$4:$S$5,2,FALSE)+5,FALSE),"")</f>
        <v/>
      </c>
      <c r="Q80" s="4" t="str">
        <f ca="1">IFERROR(VLOOKUP($L80,Calculation!$H$6:$S$1005,HLOOKUP(Q$2,Calculation!$M$4:$S$5,2,FALSE)+5,FALSE),"")</f>
        <v/>
      </c>
      <c r="R80" s="27" t="str">
        <f ca="1">IFERROR(VLOOKUP($L80,Calculation!$H$6:$S$1005,HLOOKUP(R$2,Calculation!$M$4:$S$5,2,FALSE)+5,FALSE),"")</f>
        <v/>
      </c>
      <c r="S80" s="4" t="str">
        <f ca="1">IFERROR(VLOOKUP($L80,Calculation!$H$6:$S$1005,HLOOKUP(S$2,Calculation!$M$4:$S$5,2,FALSE)+5,FALSE),"")</f>
        <v/>
      </c>
      <c r="T80" s="29"/>
      <c r="U80" s="43" t="str">
        <f>IFERROR(VLOOKUP(T80,Calculation!$U$6:$V$11,2,FALSE),"")</f>
        <v/>
      </c>
    </row>
    <row r="81" spans="1:21" ht="14.25" customHeight="1" x14ac:dyDescent="0.3">
      <c r="A81" s="26" t="str">
        <f ca="1">IF(Calculation!T84&lt;=Calculation!$H$4,Calculation!T84,"")</f>
        <v/>
      </c>
      <c r="B81" s="4" t="str">
        <f ca="1">VLOOKUP(A81,Calculation!$E$6:$J$1004,4,FALSE)</f>
        <v/>
      </c>
      <c r="C81" s="4" t="str">
        <f ca="1">VLOOKUP(A81,Calculation!$E$6:$J$1004,5,FALSE)</f>
        <v/>
      </c>
      <c r="D81" s="4" t="str">
        <f ca="1">VLOOKUP(A81,Calculation!$E$6:$J$1004,6,FALSE)</f>
        <v/>
      </c>
      <c r="E81" s="42" t="str">
        <f t="shared" ca="1" si="0"/>
        <v/>
      </c>
      <c r="G81" s="29" t="str">
        <f ca="1">VLOOKUP(A81,Calculation!$F$6:$J$1004,3,FALSE)</f>
        <v/>
      </c>
      <c r="H81" s="4" t="str">
        <f ca="1">VLOOKUP(A81,Calculation!$F$6:$J$1004,4,FALSE)</f>
        <v/>
      </c>
      <c r="I81" s="4" t="str">
        <f ca="1">VLOOKUP(A81,Calculation!$F$6:$J$1004,5,FALSE)</f>
        <v/>
      </c>
      <c r="J81" s="43" t="str">
        <f t="shared" ca="1" si="1"/>
        <v/>
      </c>
      <c r="L81" s="29" t="str">
        <f ca="1">VLOOKUP(A81,Calculation!$G$6:$S$1004,2,FALSE)</f>
        <v/>
      </c>
      <c r="M81" s="4" t="str">
        <f ca="1">IFERROR(VLOOKUP($L81,Calculation!$H$6:$S$1005,HLOOKUP(M$2,Calculation!$M$4:$S$5,2,FALSE)+5,FALSE),"")</f>
        <v/>
      </c>
      <c r="N81" s="4" t="str">
        <f ca="1">IFERROR(VLOOKUP($L81,Calculation!$H$6:$S$1005,HLOOKUP(N$2,Calculation!$M$4:$S$5,2,FALSE)+5,FALSE),"")</f>
        <v/>
      </c>
      <c r="O81" s="4" t="str">
        <f ca="1">IFERROR(VLOOKUP($L81,Calculation!$H$6:$S$1005,HLOOKUP(O$2,Calculation!$M$4:$S$5,2,FALSE)+5,FALSE),"")</f>
        <v/>
      </c>
      <c r="P81" s="4" t="str">
        <f ca="1">IFERROR(VLOOKUP($L81,Calculation!$H$6:$S$1005,HLOOKUP(P$2,Calculation!$M$4:$S$5,2,FALSE)+5,FALSE),"")</f>
        <v/>
      </c>
      <c r="Q81" s="4" t="str">
        <f ca="1">IFERROR(VLOOKUP($L81,Calculation!$H$6:$S$1005,HLOOKUP(Q$2,Calculation!$M$4:$S$5,2,FALSE)+5,FALSE),"")</f>
        <v/>
      </c>
      <c r="R81" s="27" t="str">
        <f ca="1">IFERROR(VLOOKUP($L81,Calculation!$H$6:$S$1005,HLOOKUP(R$2,Calculation!$M$4:$S$5,2,FALSE)+5,FALSE),"")</f>
        <v/>
      </c>
      <c r="S81" s="4" t="str">
        <f ca="1">IFERROR(VLOOKUP($L81,Calculation!$H$6:$S$1005,HLOOKUP(S$2,Calculation!$M$4:$S$5,2,FALSE)+5,FALSE),"")</f>
        <v/>
      </c>
      <c r="T81" s="29"/>
      <c r="U81" s="43" t="str">
        <f>IFERROR(VLOOKUP(T81,Calculation!$U$6:$V$11,2,FALSE),"")</f>
        <v/>
      </c>
    </row>
    <row r="82" spans="1:21" ht="14.25" customHeight="1" x14ac:dyDescent="0.3">
      <c r="A82" s="26" t="str">
        <f ca="1">IF(Calculation!T85&lt;=Calculation!$H$4,Calculation!T85,"")</f>
        <v/>
      </c>
      <c r="B82" s="4" t="str">
        <f ca="1">VLOOKUP(A82,Calculation!$E$6:$J$1004,4,FALSE)</f>
        <v/>
      </c>
      <c r="C82" s="4" t="str">
        <f ca="1">VLOOKUP(A82,Calculation!$E$6:$J$1004,5,FALSE)</f>
        <v/>
      </c>
      <c r="D82" s="4" t="str">
        <f ca="1">VLOOKUP(A82,Calculation!$E$6:$J$1004,6,FALSE)</f>
        <v/>
      </c>
      <c r="E82" s="42" t="str">
        <f t="shared" ca="1" si="0"/>
        <v/>
      </c>
      <c r="G82" s="29" t="str">
        <f ca="1">VLOOKUP(A82,Calculation!$F$6:$J$1004,3,FALSE)</f>
        <v/>
      </c>
      <c r="H82" s="4" t="str">
        <f ca="1">VLOOKUP(A82,Calculation!$F$6:$J$1004,4,FALSE)</f>
        <v/>
      </c>
      <c r="I82" s="4" t="str">
        <f ca="1">VLOOKUP(A82,Calculation!$F$6:$J$1004,5,FALSE)</f>
        <v/>
      </c>
      <c r="J82" s="43" t="str">
        <f t="shared" ca="1" si="1"/>
        <v/>
      </c>
      <c r="L82" s="29" t="str">
        <f ca="1">VLOOKUP(A82,Calculation!$G$6:$S$1004,2,FALSE)</f>
        <v/>
      </c>
      <c r="M82" s="4" t="str">
        <f ca="1">IFERROR(VLOOKUP($L82,Calculation!$H$6:$S$1005,HLOOKUP(M$2,Calculation!$M$4:$S$5,2,FALSE)+5,FALSE),"")</f>
        <v/>
      </c>
      <c r="N82" s="4" t="str">
        <f ca="1">IFERROR(VLOOKUP($L82,Calculation!$H$6:$S$1005,HLOOKUP(N$2,Calculation!$M$4:$S$5,2,FALSE)+5,FALSE),"")</f>
        <v/>
      </c>
      <c r="O82" s="4" t="str">
        <f ca="1">IFERROR(VLOOKUP($L82,Calculation!$H$6:$S$1005,HLOOKUP(O$2,Calculation!$M$4:$S$5,2,FALSE)+5,FALSE),"")</f>
        <v/>
      </c>
      <c r="P82" s="4" t="str">
        <f ca="1">IFERROR(VLOOKUP($L82,Calculation!$H$6:$S$1005,HLOOKUP(P$2,Calculation!$M$4:$S$5,2,FALSE)+5,FALSE),"")</f>
        <v/>
      </c>
      <c r="Q82" s="4" t="str">
        <f ca="1">IFERROR(VLOOKUP($L82,Calculation!$H$6:$S$1005,HLOOKUP(Q$2,Calculation!$M$4:$S$5,2,FALSE)+5,FALSE),"")</f>
        <v/>
      </c>
      <c r="R82" s="27" t="str">
        <f ca="1">IFERROR(VLOOKUP($L82,Calculation!$H$6:$S$1005,HLOOKUP(R$2,Calculation!$M$4:$S$5,2,FALSE)+5,FALSE),"")</f>
        <v/>
      </c>
      <c r="S82" s="4" t="str">
        <f ca="1">IFERROR(VLOOKUP($L82,Calculation!$H$6:$S$1005,HLOOKUP(S$2,Calculation!$M$4:$S$5,2,FALSE)+5,FALSE),"")</f>
        <v/>
      </c>
      <c r="T82" s="29"/>
      <c r="U82" s="43" t="str">
        <f>IFERROR(VLOOKUP(T82,Calculation!$U$6:$V$11,2,FALSE),"")</f>
        <v/>
      </c>
    </row>
    <row r="83" spans="1:21" ht="14.25" customHeight="1" x14ac:dyDescent="0.3">
      <c r="A83" s="26" t="str">
        <f ca="1">IF(Calculation!T86&lt;=Calculation!$H$4,Calculation!T86,"")</f>
        <v/>
      </c>
      <c r="B83" s="4" t="str">
        <f ca="1">VLOOKUP(A83,Calculation!$E$6:$J$1004,4,FALSE)</f>
        <v/>
      </c>
      <c r="C83" s="4" t="str">
        <f ca="1">VLOOKUP(A83,Calculation!$E$6:$J$1004,5,FALSE)</f>
        <v/>
      </c>
      <c r="D83" s="4" t="str">
        <f ca="1">VLOOKUP(A83,Calculation!$E$6:$J$1004,6,FALSE)</f>
        <v/>
      </c>
      <c r="E83" s="42" t="str">
        <f t="shared" ca="1" si="0"/>
        <v/>
      </c>
      <c r="G83" s="29" t="str">
        <f ca="1">VLOOKUP(A83,Calculation!$F$6:$J$1004,3,FALSE)</f>
        <v/>
      </c>
      <c r="H83" s="4" t="str">
        <f ca="1">VLOOKUP(A83,Calculation!$F$6:$J$1004,4,FALSE)</f>
        <v/>
      </c>
      <c r="I83" s="4" t="str">
        <f ca="1">VLOOKUP(A83,Calculation!$F$6:$J$1004,5,FALSE)</f>
        <v/>
      </c>
      <c r="J83" s="43" t="str">
        <f t="shared" ca="1" si="1"/>
        <v/>
      </c>
      <c r="L83" s="29" t="str">
        <f ca="1">VLOOKUP(A83,Calculation!$G$6:$S$1004,2,FALSE)</f>
        <v/>
      </c>
      <c r="M83" s="4" t="str">
        <f ca="1">IFERROR(VLOOKUP($L83,Calculation!$H$6:$S$1005,HLOOKUP(M$2,Calculation!$M$4:$S$5,2,FALSE)+5,FALSE),"")</f>
        <v/>
      </c>
      <c r="N83" s="4" t="str">
        <f ca="1">IFERROR(VLOOKUP($L83,Calculation!$H$6:$S$1005,HLOOKUP(N$2,Calculation!$M$4:$S$5,2,FALSE)+5,FALSE),"")</f>
        <v/>
      </c>
      <c r="O83" s="4" t="str">
        <f ca="1">IFERROR(VLOOKUP($L83,Calculation!$H$6:$S$1005,HLOOKUP(O$2,Calculation!$M$4:$S$5,2,FALSE)+5,FALSE),"")</f>
        <v/>
      </c>
      <c r="P83" s="4" t="str">
        <f ca="1">IFERROR(VLOOKUP($L83,Calculation!$H$6:$S$1005,HLOOKUP(P$2,Calculation!$M$4:$S$5,2,FALSE)+5,FALSE),"")</f>
        <v/>
      </c>
      <c r="Q83" s="4" t="str">
        <f ca="1">IFERROR(VLOOKUP($L83,Calculation!$H$6:$S$1005,HLOOKUP(Q$2,Calculation!$M$4:$S$5,2,FALSE)+5,FALSE),"")</f>
        <v/>
      </c>
      <c r="R83" s="27" t="str">
        <f ca="1">IFERROR(VLOOKUP($L83,Calculation!$H$6:$S$1005,HLOOKUP(R$2,Calculation!$M$4:$S$5,2,FALSE)+5,FALSE),"")</f>
        <v/>
      </c>
      <c r="S83" s="4" t="str">
        <f ca="1">IFERROR(VLOOKUP($L83,Calculation!$H$6:$S$1005,HLOOKUP(S$2,Calculation!$M$4:$S$5,2,FALSE)+5,FALSE),"")</f>
        <v/>
      </c>
      <c r="T83" s="29"/>
      <c r="U83" s="43" t="str">
        <f>IFERROR(VLOOKUP(T83,Calculation!$U$6:$V$11,2,FALSE),"")</f>
        <v/>
      </c>
    </row>
    <row r="84" spans="1:21" ht="14.25" customHeight="1" x14ac:dyDescent="0.3">
      <c r="A84" s="26" t="str">
        <f ca="1">IF(Calculation!T87&lt;=Calculation!$H$4,Calculation!T87,"")</f>
        <v/>
      </c>
      <c r="B84" s="4" t="str">
        <f ca="1">VLOOKUP(A84,Calculation!$E$6:$J$1004,4,FALSE)</f>
        <v/>
      </c>
      <c r="C84" s="4" t="str">
        <f ca="1">VLOOKUP(A84,Calculation!$E$6:$J$1004,5,FALSE)</f>
        <v/>
      </c>
      <c r="D84" s="4" t="str">
        <f ca="1">VLOOKUP(A84,Calculation!$E$6:$J$1004,6,FALSE)</f>
        <v/>
      </c>
      <c r="E84" s="42" t="str">
        <f t="shared" ca="1" si="0"/>
        <v/>
      </c>
      <c r="G84" s="29" t="str">
        <f ca="1">VLOOKUP(A84,Calculation!$F$6:$J$1004,3,FALSE)</f>
        <v/>
      </c>
      <c r="H84" s="4" t="str">
        <f ca="1">VLOOKUP(A84,Calculation!$F$6:$J$1004,4,FALSE)</f>
        <v/>
      </c>
      <c r="I84" s="4" t="str">
        <f ca="1">VLOOKUP(A84,Calculation!$F$6:$J$1004,5,FALSE)</f>
        <v/>
      </c>
      <c r="J84" s="43" t="str">
        <f t="shared" ca="1" si="1"/>
        <v/>
      </c>
      <c r="L84" s="29" t="str">
        <f ca="1">VLOOKUP(A84,Calculation!$G$6:$S$1004,2,FALSE)</f>
        <v/>
      </c>
      <c r="M84" s="4" t="str">
        <f ca="1">IFERROR(VLOOKUP($L84,Calculation!$H$6:$S$1005,HLOOKUP(M$2,Calculation!$M$4:$S$5,2,FALSE)+5,FALSE),"")</f>
        <v/>
      </c>
      <c r="N84" s="4" t="str">
        <f ca="1">IFERROR(VLOOKUP($L84,Calculation!$H$6:$S$1005,HLOOKUP(N$2,Calculation!$M$4:$S$5,2,FALSE)+5,FALSE),"")</f>
        <v/>
      </c>
      <c r="O84" s="4" t="str">
        <f ca="1">IFERROR(VLOOKUP($L84,Calculation!$H$6:$S$1005,HLOOKUP(O$2,Calculation!$M$4:$S$5,2,FALSE)+5,FALSE),"")</f>
        <v/>
      </c>
      <c r="P84" s="4" t="str">
        <f ca="1">IFERROR(VLOOKUP($L84,Calculation!$H$6:$S$1005,HLOOKUP(P$2,Calculation!$M$4:$S$5,2,FALSE)+5,FALSE),"")</f>
        <v/>
      </c>
      <c r="Q84" s="4" t="str">
        <f ca="1">IFERROR(VLOOKUP($L84,Calculation!$H$6:$S$1005,HLOOKUP(Q$2,Calculation!$M$4:$S$5,2,FALSE)+5,FALSE),"")</f>
        <v/>
      </c>
      <c r="R84" s="27" t="str">
        <f ca="1">IFERROR(VLOOKUP($L84,Calculation!$H$6:$S$1005,HLOOKUP(R$2,Calculation!$M$4:$S$5,2,FALSE)+5,FALSE),"")</f>
        <v/>
      </c>
      <c r="S84" s="4" t="str">
        <f ca="1">IFERROR(VLOOKUP($L84,Calculation!$H$6:$S$1005,HLOOKUP(S$2,Calculation!$M$4:$S$5,2,FALSE)+5,FALSE),"")</f>
        <v/>
      </c>
      <c r="T84" s="29"/>
      <c r="U84" s="43" t="str">
        <f>IFERROR(VLOOKUP(T84,Calculation!$U$6:$V$11,2,FALSE),"")</f>
        <v/>
      </c>
    </row>
    <row r="85" spans="1:21" ht="14.25" customHeight="1" x14ac:dyDescent="0.3">
      <c r="A85" s="26" t="str">
        <f ca="1">IF(Calculation!T88&lt;=Calculation!$H$4,Calculation!T88,"")</f>
        <v/>
      </c>
      <c r="B85" s="4" t="str">
        <f ca="1">VLOOKUP(A85,Calculation!$E$6:$J$1004,4,FALSE)</f>
        <v/>
      </c>
      <c r="C85" s="4" t="str">
        <f ca="1">VLOOKUP(A85,Calculation!$E$6:$J$1004,5,FALSE)</f>
        <v/>
      </c>
      <c r="D85" s="4" t="str">
        <f ca="1">VLOOKUP(A85,Calculation!$E$6:$J$1004,6,FALSE)</f>
        <v/>
      </c>
      <c r="E85" s="42" t="str">
        <f t="shared" ca="1" si="0"/>
        <v/>
      </c>
      <c r="G85" s="29" t="str">
        <f ca="1">VLOOKUP(A85,Calculation!$F$6:$J$1004,3,FALSE)</f>
        <v/>
      </c>
      <c r="H85" s="4" t="str">
        <f ca="1">VLOOKUP(A85,Calculation!$F$6:$J$1004,4,FALSE)</f>
        <v/>
      </c>
      <c r="I85" s="4" t="str">
        <f ca="1">VLOOKUP(A85,Calculation!$F$6:$J$1004,5,FALSE)</f>
        <v/>
      </c>
      <c r="J85" s="43" t="str">
        <f t="shared" ca="1" si="1"/>
        <v/>
      </c>
      <c r="L85" s="29" t="str">
        <f ca="1">VLOOKUP(A85,Calculation!$G$6:$S$1004,2,FALSE)</f>
        <v/>
      </c>
      <c r="M85" s="4" t="str">
        <f ca="1">IFERROR(VLOOKUP($L85,Calculation!$H$6:$S$1005,HLOOKUP(M$2,Calculation!$M$4:$S$5,2,FALSE)+5,FALSE),"")</f>
        <v/>
      </c>
      <c r="N85" s="4" t="str">
        <f ca="1">IFERROR(VLOOKUP($L85,Calculation!$H$6:$S$1005,HLOOKUP(N$2,Calculation!$M$4:$S$5,2,FALSE)+5,FALSE),"")</f>
        <v/>
      </c>
      <c r="O85" s="4" t="str">
        <f ca="1">IFERROR(VLOOKUP($L85,Calculation!$H$6:$S$1005,HLOOKUP(O$2,Calculation!$M$4:$S$5,2,FALSE)+5,FALSE),"")</f>
        <v/>
      </c>
      <c r="P85" s="4" t="str">
        <f ca="1">IFERROR(VLOOKUP($L85,Calculation!$H$6:$S$1005,HLOOKUP(P$2,Calculation!$M$4:$S$5,2,FALSE)+5,FALSE),"")</f>
        <v/>
      </c>
      <c r="Q85" s="4" t="str">
        <f ca="1">IFERROR(VLOOKUP($L85,Calculation!$H$6:$S$1005,HLOOKUP(Q$2,Calculation!$M$4:$S$5,2,FALSE)+5,FALSE),"")</f>
        <v/>
      </c>
      <c r="R85" s="27" t="str">
        <f ca="1">IFERROR(VLOOKUP($L85,Calculation!$H$6:$S$1005,HLOOKUP(R$2,Calculation!$M$4:$S$5,2,FALSE)+5,FALSE),"")</f>
        <v/>
      </c>
      <c r="S85" s="4" t="str">
        <f ca="1">IFERROR(VLOOKUP($L85,Calculation!$H$6:$S$1005,HLOOKUP(S$2,Calculation!$M$4:$S$5,2,FALSE)+5,FALSE),"")</f>
        <v/>
      </c>
      <c r="T85" s="29"/>
      <c r="U85" s="43" t="str">
        <f>IFERROR(VLOOKUP(T85,Calculation!$U$6:$V$11,2,FALSE),"")</f>
        <v/>
      </c>
    </row>
    <row r="86" spans="1:21" ht="14.25" customHeight="1" x14ac:dyDescent="0.3">
      <c r="A86" s="26" t="str">
        <f ca="1">IF(Calculation!T89&lt;=Calculation!$H$4,Calculation!T89,"")</f>
        <v/>
      </c>
      <c r="B86" s="4" t="str">
        <f ca="1">VLOOKUP(A86,Calculation!$E$6:$J$1004,4,FALSE)</f>
        <v/>
      </c>
      <c r="C86" s="4" t="str">
        <f ca="1">VLOOKUP(A86,Calculation!$E$6:$J$1004,5,FALSE)</f>
        <v/>
      </c>
      <c r="D86" s="4" t="str">
        <f ca="1">VLOOKUP(A86,Calculation!$E$6:$J$1004,6,FALSE)</f>
        <v/>
      </c>
      <c r="E86" s="42" t="str">
        <f t="shared" ca="1" si="0"/>
        <v/>
      </c>
      <c r="G86" s="29" t="str">
        <f ca="1">VLOOKUP(A86,Calculation!$F$6:$J$1004,3,FALSE)</f>
        <v/>
      </c>
      <c r="H86" s="4" t="str">
        <f ca="1">VLOOKUP(A86,Calculation!$F$6:$J$1004,4,FALSE)</f>
        <v/>
      </c>
      <c r="I86" s="4" t="str">
        <f ca="1">VLOOKUP(A86,Calculation!$F$6:$J$1004,5,FALSE)</f>
        <v/>
      </c>
      <c r="J86" s="43" t="str">
        <f t="shared" ca="1" si="1"/>
        <v/>
      </c>
      <c r="L86" s="29" t="str">
        <f ca="1">VLOOKUP(A86,Calculation!$G$6:$S$1004,2,FALSE)</f>
        <v/>
      </c>
      <c r="M86" s="4" t="str">
        <f ca="1">IFERROR(VLOOKUP($L86,Calculation!$H$6:$S$1005,HLOOKUP(M$2,Calculation!$M$4:$S$5,2,FALSE)+5,FALSE),"")</f>
        <v/>
      </c>
      <c r="N86" s="4" t="str">
        <f ca="1">IFERROR(VLOOKUP($L86,Calculation!$H$6:$S$1005,HLOOKUP(N$2,Calculation!$M$4:$S$5,2,FALSE)+5,FALSE),"")</f>
        <v/>
      </c>
      <c r="O86" s="4" t="str">
        <f ca="1">IFERROR(VLOOKUP($L86,Calculation!$H$6:$S$1005,HLOOKUP(O$2,Calculation!$M$4:$S$5,2,FALSE)+5,FALSE),"")</f>
        <v/>
      </c>
      <c r="P86" s="4" t="str">
        <f ca="1">IFERROR(VLOOKUP($L86,Calculation!$H$6:$S$1005,HLOOKUP(P$2,Calculation!$M$4:$S$5,2,FALSE)+5,FALSE),"")</f>
        <v/>
      </c>
      <c r="Q86" s="4" t="str">
        <f ca="1">IFERROR(VLOOKUP($L86,Calculation!$H$6:$S$1005,HLOOKUP(Q$2,Calculation!$M$4:$S$5,2,FALSE)+5,FALSE),"")</f>
        <v/>
      </c>
      <c r="R86" s="27" t="str">
        <f ca="1">IFERROR(VLOOKUP($L86,Calculation!$H$6:$S$1005,HLOOKUP(R$2,Calculation!$M$4:$S$5,2,FALSE)+5,FALSE),"")</f>
        <v/>
      </c>
      <c r="S86" s="4" t="str">
        <f ca="1">IFERROR(VLOOKUP($L86,Calculation!$H$6:$S$1005,HLOOKUP(S$2,Calculation!$M$4:$S$5,2,FALSE)+5,FALSE),"")</f>
        <v/>
      </c>
      <c r="T86" s="29"/>
      <c r="U86" s="43" t="str">
        <f>IFERROR(VLOOKUP(T86,Calculation!$U$6:$V$11,2,FALSE),"")</f>
        <v/>
      </c>
    </row>
    <row r="87" spans="1:21" ht="14.25" customHeight="1" x14ac:dyDescent="0.3">
      <c r="A87" s="26" t="str">
        <f ca="1">IF(Calculation!T90&lt;=Calculation!$H$4,Calculation!T90,"")</f>
        <v/>
      </c>
      <c r="B87" s="4" t="str">
        <f ca="1">VLOOKUP(A87,Calculation!$E$6:$J$1004,4,FALSE)</f>
        <v/>
      </c>
      <c r="C87" s="4" t="str">
        <f ca="1">VLOOKUP(A87,Calculation!$E$6:$J$1004,5,FALSE)</f>
        <v/>
      </c>
      <c r="D87" s="4" t="str">
        <f ca="1">VLOOKUP(A87,Calculation!$E$6:$J$1004,6,FALSE)</f>
        <v/>
      </c>
      <c r="E87" s="42" t="str">
        <f t="shared" ca="1" si="0"/>
        <v/>
      </c>
      <c r="G87" s="29" t="str">
        <f ca="1">VLOOKUP(A87,Calculation!$F$6:$J$1004,3,FALSE)</f>
        <v/>
      </c>
      <c r="H87" s="4" t="str">
        <f ca="1">VLOOKUP(A87,Calculation!$F$6:$J$1004,4,FALSE)</f>
        <v/>
      </c>
      <c r="I87" s="4" t="str">
        <f ca="1">VLOOKUP(A87,Calculation!$F$6:$J$1004,5,FALSE)</f>
        <v/>
      </c>
      <c r="J87" s="43" t="str">
        <f t="shared" ca="1" si="1"/>
        <v/>
      </c>
      <c r="L87" s="29" t="str">
        <f ca="1">VLOOKUP(A87,Calculation!$G$6:$S$1004,2,FALSE)</f>
        <v/>
      </c>
      <c r="M87" s="4" t="str">
        <f ca="1">IFERROR(VLOOKUP($L87,Calculation!$H$6:$S$1005,HLOOKUP(M$2,Calculation!$M$4:$S$5,2,FALSE)+5,FALSE),"")</f>
        <v/>
      </c>
      <c r="N87" s="4" t="str">
        <f ca="1">IFERROR(VLOOKUP($L87,Calculation!$H$6:$S$1005,HLOOKUP(N$2,Calculation!$M$4:$S$5,2,FALSE)+5,FALSE),"")</f>
        <v/>
      </c>
      <c r="O87" s="4" t="str">
        <f ca="1">IFERROR(VLOOKUP($L87,Calculation!$H$6:$S$1005,HLOOKUP(O$2,Calculation!$M$4:$S$5,2,FALSE)+5,FALSE),"")</f>
        <v/>
      </c>
      <c r="P87" s="4" t="str">
        <f ca="1">IFERROR(VLOOKUP($L87,Calculation!$H$6:$S$1005,HLOOKUP(P$2,Calculation!$M$4:$S$5,2,FALSE)+5,FALSE),"")</f>
        <v/>
      </c>
      <c r="Q87" s="4" t="str">
        <f ca="1">IFERROR(VLOOKUP($L87,Calculation!$H$6:$S$1005,HLOOKUP(Q$2,Calculation!$M$4:$S$5,2,FALSE)+5,FALSE),"")</f>
        <v/>
      </c>
      <c r="R87" s="27" t="str">
        <f ca="1">IFERROR(VLOOKUP($L87,Calculation!$H$6:$S$1005,HLOOKUP(R$2,Calculation!$M$4:$S$5,2,FALSE)+5,FALSE),"")</f>
        <v/>
      </c>
      <c r="S87" s="4" t="str">
        <f ca="1">IFERROR(VLOOKUP($L87,Calculation!$H$6:$S$1005,HLOOKUP(S$2,Calculation!$M$4:$S$5,2,FALSE)+5,FALSE),"")</f>
        <v/>
      </c>
      <c r="T87" s="29"/>
      <c r="U87" s="43" t="str">
        <f>IFERROR(VLOOKUP(T87,Calculation!$U$6:$V$11,2,FALSE),"")</f>
        <v/>
      </c>
    </row>
    <row r="88" spans="1:21" ht="14.25" customHeight="1" x14ac:dyDescent="0.3">
      <c r="A88" s="26" t="str">
        <f ca="1">IF(Calculation!T91&lt;=Calculation!$H$4,Calculation!T91,"")</f>
        <v/>
      </c>
      <c r="B88" s="4" t="str">
        <f ca="1">VLOOKUP(A88,Calculation!$E$6:$J$1004,4,FALSE)</f>
        <v/>
      </c>
      <c r="C88" s="4" t="str">
        <f ca="1">VLOOKUP(A88,Calculation!$E$6:$J$1004,5,FALSE)</f>
        <v/>
      </c>
      <c r="D88" s="4" t="str">
        <f ca="1">VLOOKUP(A88,Calculation!$E$6:$J$1004,6,FALSE)</f>
        <v/>
      </c>
      <c r="E88" s="42" t="str">
        <f t="shared" ca="1" si="0"/>
        <v/>
      </c>
      <c r="G88" s="29" t="str">
        <f ca="1">VLOOKUP(A88,Calculation!$F$6:$J$1004,3,FALSE)</f>
        <v/>
      </c>
      <c r="H88" s="4" t="str">
        <f ca="1">VLOOKUP(A88,Calculation!$F$6:$J$1004,4,FALSE)</f>
        <v/>
      </c>
      <c r="I88" s="4" t="str">
        <f ca="1">VLOOKUP(A88,Calculation!$F$6:$J$1004,5,FALSE)</f>
        <v/>
      </c>
      <c r="J88" s="43" t="str">
        <f t="shared" ca="1" si="1"/>
        <v/>
      </c>
      <c r="L88" s="29" t="str">
        <f ca="1">VLOOKUP(A88,Calculation!$G$6:$S$1004,2,FALSE)</f>
        <v/>
      </c>
      <c r="M88" s="4" t="str">
        <f ca="1">IFERROR(VLOOKUP($L88,Calculation!$H$6:$S$1005,HLOOKUP(M$2,Calculation!$M$4:$S$5,2,FALSE)+5,FALSE),"")</f>
        <v/>
      </c>
      <c r="N88" s="4" t="str">
        <f ca="1">IFERROR(VLOOKUP($L88,Calculation!$H$6:$S$1005,HLOOKUP(N$2,Calculation!$M$4:$S$5,2,FALSE)+5,FALSE),"")</f>
        <v/>
      </c>
      <c r="O88" s="4" t="str">
        <f ca="1">IFERROR(VLOOKUP($L88,Calculation!$H$6:$S$1005,HLOOKUP(O$2,Calculation!$M$4:$S$5,2,FALSE)+5,FALSE),"")</f>
        <v/>
      </c>
      <c r="P88" s="4" t="str">
        <f ca="1">IFERROR(VLOOKUP($L88,Calculation!$H$6:$S$1005,HLOOKUP(P$2,Calculation!$M$4:$S$5,2,FALSE)+5,FALSE),"")</f>
        <v/>
      </c>
      <c r="Q88" s="4" t="str">
        <f ca="1">IFERROR(VLOOKUP($L88,Calculation!$H$6:$S$1005,HLOOKUP(Q$2,Calculation!$M$4:$S$5,2,FALSE)+5,FALSE),"")</f>
        <v/>
      </c>
      <c r="R88" s="27" t="str">
        <f ca="1">IFERROR(VLOOKUP($L88,Calculation!$H$6:$S$1005,HLOOKUP(R$2,Calculation!$M$4:$S$5,2,FALSE)+5,FALSE),"")</f>
        <v/>
      </c>
      <c r="S88" s="4" t="str">
        <f ca="1">IFERROR(VLOOKUP($L88,Calculation!$H$6:$S$1005,HLOOKUP(S$2,Calculation!$M$4:$S$5,2,FALSE)+5,FALSE),"")</f>
        <v/>
      </c>
      <c r="T88" s="29"/>
      <c r="U88" s="43" t="str">
        <f>IFERROR(VLOOKUP(T88,Calculation!$U$6:$V$11,2,FALSE),"")</f>
        <v/>
      </c>
    </row>
    <row r="89" spans="1:21" ht="14.25" customHeight="1" x14ac:dyDescent="0.3">
      <c r="A89" s="26" t="str">
        <f ca="1">IF(Calculation!T92&lt;=Calculation!$H$4,Calculation!T92,"")</f>
        <v/>
      </c>
      <c r="B89" s="4" t="str">
        <f ca="1">VLOOKUP(A89,Calculation!$E$6:$J$1004,4,FALSE)</f>
        <v/>
      </c>
      <c r="C89" s="4" t="str">
        <f ca="1">VLOOKUP(A89,Calculation!$E$6:$J$1004,5,FALSE)</f>
        <v/>
      </c>
      <c r="D89" s="4" t="str">
        <f ca="1">VLOOKUP(A89,Calculation!$E$6:$J$1004,6,FALSE)</f>
        <v/>
      </c>
      <c r="E89" s="42" t="str">
        <f t="shared" ca="1" si="0"/>
        <v/>
      </c>
      <c r="G89" s="29" t="str">
        <f ca="1">VLOOKUP(A89,Calculation!$F$6:$J$1004,3,FALSE)</f>
        <v/>
      </c>
      <c r="H89" s="4" t="str">
        <f ca="1">VLOOKUP(A89,Calculation!$F$6:$J$1004,4,FALSE)</f>
        <v/>
      </c>
      <c r="I89" s="4" t="str">
        <f ca="1">VLOOKUP(A89,Calculation!$F$6:$J$1004,5,FALSE)</f>
        <v/>
      </c>
      <c r="J89" s="43" t="str">
        <f t="shared" ca="1" si="1"/>
        <v/>
      </c>
      <c r="L89" s="29" t="str">
        <f ca="1">VLOOKUP(A89,Calculation!$G$6:$S$1004,2,FALSE)</f>
        <v/>
      </c>
      <c r="M89" s="4" t="str">
        <f ca="1">IFERROR(VLOOKUP($L89,Calculation!$H$6:$S$1005,HLOOKUP(M$2,Calculation!$M$4:$S$5,2,FALSE)+5,FALSE),"")</f>
        <v/>
      </c>
      <c r="N89" s="4" t="str">
        <f ca="1">IFERROR(VLOOKUP($L89,Calculation!$H$6:$S$1005,HLOOKUP(N$2,Calculation!$M$4:$S$5,2,FALSE)+5,FALSE),"")</f>
        <v/>
      </c>
      <c r="O89" s="4" t="str">
        <f ca="1">IFERROR(VLOOKUP($L89,Calculation!$H$6:$S$1005,HLOOKUP(O$2,Calculation!$M$4:$S$5,2,FALSE)+5,FALSE),"")</f>
        <v/>
      </c>
      <c r="P89" s="4" t="str">
        <f ca="1">IFERROR(VLOOKUP($L89,Calculation!$H$6:$S$1005,HLOOKUP(P$2,Calculation!$M$4:$S$5,2,FALSE)+5,FALSE),"")</f>
        <v/>
      </c>
      <c r="Q89" s="4" t="str">
        <f ca="1">IFERROR(VLOOKUP($L89,Calculation!$H$6:$S$1005,HLOOKUP(Q$2,Calculation!$M$4:$S$5,2,FALSE)+5,FALSE),"")</f>
        <v/>
      </c>
      <c r="R89" s="27" t="str">
        <f ca="1">IFERROR(VLOOKUP($L89,Calculation!$H$6:$S$1005,HLOOKUP(R$2,Calculation!$M$4:$S$5,2,FALSE)+5,FALSE),"")</f>
        <v/>
      </c>
      <c r="S89" s="4" t="str">
        <f ca="1">IFERROR(VLOOKUP($L89,Calculation!$H$6:$S$1005,HLOOKUP(S$2,Calculation!$M$4:$S$5,2,FALSE)+5,FALSE),"")</f>
        <v/>
      </c>
      <c r="T89" s="29"/>
      <c r="U89" s="43" t="str">
        <f>IFERROR(VLOOKUP(T89,Calculation!$U$6:$V$11,2,FALSE),"")</f>
        <v/>
      </c>
    </row>
    <row r="90" spans="1:21" ht="14.25" customHeight="1" x14ac:dyDescent="0.3">
      <c r="A90" s="26" t="str">
        <f ca="1">IF(Calculation!T93&lt;=Calculation!$H$4,Calculation!T93,"")</f>
        <v/>
      </c>
      <c r="B90" s="4" t="str">
        <f ca="1">VLOOKUP(A90,Calculation!$E$6:$J$1004,4,FALSE)</f>
        <v/>
      </c>
      <c r="C90" s="4" t="str">
        <f ca="1">VLOOKUP(A90,Calculation!$E$6:$J$1004,5,FALSE)</f>
        <v/>
      </c>
      <c r="D90" s="4" t="str">
        <f ca="1">VLOOKUP(A90,Calculation!$E$6:$J$1004,6,FALSE)</f>
        <v/>
      </c>
      <c r="E90" s="42" t="str">
        <f t="shared" ca="1" si="0"/>
        <v/>
      </c>
      <c r="G90" s="29" t="str">
        <f ca="1">VLOOKUP(A90,Calculation!$F$6:$J$1004,3,FALSE)</f>
        <v/>
      </c>
      <c r="H90" s="4" t="str">
        <f ca="1">VLOOKUP(A90,Calculation!$F$6:$J$1004,4,FALSE)</f>
        <v/>
      </c>
      <c r="I90" s="4" t="str">
        <f ca="1">VLOOKUP(A90,Calculation!$F$6:$J$1004,5,FALSE)</f>
        <v/>
      </c>
      <c r="J90" s="43" t="str">
        <f t="shared" ca="1" si="1"/>
        <v/>
      </c>
      <c r="L90" s="29" t="str">
        <f ca="1">VLOOKUP(A90,Calculation!$G$6:$S$1004,2,FALSE)</f>
        <v/>
      </c>
      <c r="M90" s="4" t="str">
        <f ca="1">IFERROR(VLOOKUP($L90,Calculation!$H$6:$S$1005,HLOOKUP(M$2,Calculation!$M$4:$S$5,2,FALSE)+5,FALSE),"")</f>
        <v/>
      </c>
      <c r="N90" s="4" t="str">
        <f ca="1">IFERROR(VLOOKUP($L90,Calculation!$H$6:$S$1005,HLOOKUP(N$2,Calculation!$M$4:$S$5,2,FALSE)+5,FALSE),"")</f>
        <v/>
      </c>
      <c r="O90" s="4" t="str">
        <f ca="1">IFERROR(VLOOKUP($L90,Calculation!$H$6:$S$1005,HLOOKUP(O$2,Calculation!$M$4:$S$5,2,FALSE)+5,FALSE),"")</f>
        <v/>
      </c>
      <c r="P90" s="4" t="str">
        <f ca="1">IFERROR(VLOOKUP($L90,Calculation!$H$6:$S$1005,HLOOKUP(P$2,Calculation!$M$4:$S$5,2,FALSE)+5,FALSE),"")</f>
        <v/>
      </c>
      <c r="Q90" s="4" t="str">
        <f ca="1">IFERROR(VLOOKUP($L90,Calculation!$H$6:$S$1005,HLOOKUP(Q$2,Calculation!$M$4:$S$5,2,FALSE)+5,FALSE),"")</f>
        <v/>
      </c>
      <c r="R90" s="27" t="str">
        <f ca="1">IFERROR(VLOOKUP($L90,Calculation!$H$6:$S$1005,HLOOKUP(R$2,Calculation!$M$4:$S$5,2,FALSE)+5,FALSE),"")</f>
        <v/>
      </c>
      <c r="S90" s="4" t="str">
        <f ca="1">IFERROR(VLOOKUP($L90,Calculation!$H$6:$S$1005,HLOOKUP(S$2,Calculation!$M$4:$S$5,2,FALSE)+5,FALSE),"")</f>
        <v/>
      </c>
      <c r="T90" s="29"/>
      <c r="U90" s="43" t="str">
        <f>IFERROR(VLOOKUP(T90,Calculation!$U$6:$V$11,2,FALSE),"")</f>
        <v/>
      </c>
    </row>
    <row r="91" spans="1:21" ht="14.25" customHeight="1" x14ac:dyDescent="0.3">
      <c r="A91" s="26" t="str">
        <f ca="1">IF(Calculation!T94&lt;=Calculation!$H$4,Calculation!T94,"")</f>
        <v/>
      </c>
      <c r="B91" s="4" t="str">
        <f ca="1">VLOOKUP(A91,Calculation!$E$6:$J$1004,4,FALSE)</f>
        <v/>
      </c>
      <c r="C91" s="4" t="str">
        <f ca="1">VLOOKUP(A91,Calculation!$E$6:$J$1004,5,FALSE)</f>
        <v/>
      </c>
      <c r="D91" s="4" t="str">
        <f ca="1">VLOOKUP(A91,Calculation!$E$6:$J$1004,6,FALSE)</f>
        <v/>
      </c>
      <c r="E91" s="42" t="str">
        <f t="shared" ca="1" si="0"/>
        <v/>
      </c>
      <c r="G91" s="29" t="str">
        <f ca="1">VLOOKUP(A91,Calculation!$F$6:$J$1004,3,FALSE)</f>
        <v/>
      </c>
      <c r="H91" s="4" t="str">
        <f ca="1">VLOOKUP(A91,Calculation!$F$6:$J$1004,4,FALSE)</f>
        <v/>
      </c>
      <c r="I91" s="4" t="str">
        <f ca="1">VLOOKUP(A91,Calculation!$F$6:$J$1004,5,FALSE)</f>
        <v/>
      </c>
      <c r="J91" s="43" t="str">
        <f t="shared" ca="1" si="1"/>
        <v/>
      </c>
      <c r="L91" s="29" t="str">
        <f ca="1">VLOOKUP(A91,Calculation!$G$6:$S$1004,2,FALSE)</f>
        <v/>
      </c>
      <c r="M91" s="4" t="str">
        <f ca="1">IFERROR(VLOOKUP($L91,Calculation!$H$6:$S$1005,HLOOKUP(M$2,Calculation!$M$4:$S$5,2,FALSE)+5,FALSE),"")</f>
        <v/>
      </c>
      <c r="N91" s="4" t="str">
        <f ca="1">IFERROR(VLOOKUP($L91,Calculation!$H$6:$S$1005,HLOOKUP(N$2,Calculation!$M$4:$S$5,2,FALSE)+5,FALSE),"")</f>
        <v/>
      </c>
      <c r="O91" s="4" t="str">
        <f ca="1">IFERROR(VLOOKUP($L91,Calculation!$H$6:$S$1005,HLOOKUP(O$2,Calculation!$M$4:$S$5,2,FALSE)+5,FALSE),"")</f>
        <v/>
      </c>
      <c r="P91" s="4" t="str">
        <f ca="1">IFERROR(VLOOKUP($L91,Calculation!$H$6:$S$1005,HLOOKUP(P$2,Calculation!$M$4:$S$5,2,FALSE)+5,FALSE),"")</f>
        <v/>
      </c>
      <c r="Q91" s="4" t="str">
        <f ca="1">IFERROR(VLOOKUP($L91,Calculation!$H$6:$S$1005,HLOOKUP(Q$2,Calculation!$M$4:$S$5,2,FALSE)+5,FALSE),"")</f>
        <v/>
      </c>
      <c r="R91" s="27" t="str">
        <f ca="1">IFERROR(VLOOKUP($L91,Calculation!$H$6:$S$1005,HLOOKUP(R$2,Calculation!$M$4:$S$5,2,FALSE)+5,FALSE),"")</f>
        <v/>
      </c>
      <c r="S91" s="4" t="str">
        <f ca="1">IFERROR(VLOOKUP($L91,Calculation!$H$6:$S$1005,HLOOKUP(S$2,Calculation!$M$4:$S$5,2,FALSE)+5,FALSE),"")</f>
        <v/>
      </c>
      <c r="T91" s="29"/>
      <c r="U91" s="43" t="str">
        <f>IFERROR(VLOOKUP(T91,Calculation!$U$6:$V$11,2,FALSE),"")</f>
        <v/>
      </c>
    </row>
    <row r="92" spans="1:21" ht="14.25" customHeight="1" x14ac:dyDescent="0.3">
      <c r="A92" s="26" t="str">
        <f ca="1">IF(Calculation!T95&lt;=Calculation!$H$4,Calculation!T95,"")</f>
        <v/>
      </c>
      <c r="B92" s="4" t="str">
        <f ca="1">VLOOKUP(A92,Calculation!$E$6:$J$1004,4,FALSE)</f>
        <v/>
      </c>
      <c r="C92" s="4" t="str">
        <f ca="1">VLOOKUP(A92,Calculation!$E$6:$J$1004,5,FALSE)</f>
        <v/>
      </c>
      <c r="D92" s="4" t="str">
        <f ca="1">VLOOKUP(A92,Calculation!$E$6:$J$1004,6,FALSE)</f>
        <v/>
      </c>
      <c r="E92" s="42" t="str">
        <f t="shared" ca="1" si="0"/>
        <v/>
      </c>
      <c r="G92" s="29" t="str">
        <f ca="1">VLOOKUP(A92,Calculation!$F$6:$J$1004,3,FALSE)</f>
        <v/>
      </c>
      <c r="H92" s="4" t="str">
        <f ca="1">VLOOKUP(A92,Calculation!$F$6:$J$1004,4,FALSE)</f>
        <v/>
      </c>
      <c r="I92" s="4" t="str">
        <f ca="1">VLOOKUP(A92,Calculation!$F$6:$J$1004,5,FALSE)</f>
        <v/>
      </c>
      <c r="J92" s="43" t="str">
        <f t="shared" ca="1" si="1"/>
        <v/>
      </c>
      <c r="L92" s="29" t="str">
        <f ca="1">VLOOKUP(A92,Calculation!$G$6:$S$1004,2,FALSE)</f>
        <v/>
      </c>
      <c r="M92" s="4" t="str">
        <f ca="1">IFERROR(VLOOKUP($L92,Calculation!$H$6:$S$1005,HLOOKUP(M$2,Calculation!$M$4:$S$5,2,FALSE)+5,FALSE),"")</f>
        <v/>
      </c>
      <c r="N92" s="4" t="str">
        <f ca="1">IFERROR(VLOOKUP($L92,Calculation!$H$6:$S$1005,HLOOKUP(N$2,Calculation!$M$4:$S$5,2,FALSE)+5,FALSE),"")</f>
        <v/>
      </c>
      <c r="O92" s="4" t="str">
        <f ca="1">IFERROR(VLOOKUP($L92,Calculation!$H$6:$S$1005,HLOOKUP(O$2,Calculation!$M$4:$S$5,2,FALSE)+5,FALSE),"")</f>
        <v/>
      </c>
      <c r="P92" s="4" t="str">
        <f ca="1">IFERROR(VLOOKUP($L92,Calculation!$H$6:$S$1005,HLOOKUP(P$2,Calculation!$M$4:$S$5,2,FALSE)+5,FALSE),"")</f>
        <v/>
      </c>
      <c r="Q92" s="4" t="str">
        <f ca="1">IFERROR(VLOOKUP($L92,Calculation!$H$6:$S$1005,HLOOKUP(Q$2,Calculation!$M$4:$S$5,2,FALSE)+5,FALSE),"")</f>
        <v/>
      </c>
      <c r="R92" s="27" t="str">
        <f ca="1">IFERROR(VLOOKUP($L92,Calculation!$H$6:$S$1005,HLOOKUP(R$2,Calculation!$M$4:$S$5,2,FALSE)+5,FALSE),"")</f>
        <v/>
      </c>
      <c r="S92" s="4" t="str">
        <f ca="1">IFERROR(VLOOKUP($L92,Calculation!$H$6:$S$1005,HLOOKUP(S$2,Calculation!$M$4:$S$5,2,FALSE)+5,FALSE),"")</f>
        <v/>
      </c>
      <c r="T92" s="29"/>
      <c r="U92" s="43" t="str">
        <f>IFERROR(VLOOKUP(T92,Calculation!$U$6:$V$11,2,FALSE),"")</f>
        <v/>
      </c>
    </row>
    <row r="93" spans="1:21" ht="14.25" customHeight="1" x14ac:dyDescent="0.3">
      <c r="A93" s="26" t="str">
        <f ca="1">IF(Calculation!T96&lt;=Calculation!$H$4,Calculation!T96,"")</f>
        <v/>
      </c>
      <c r="B93" s="4" t="str">
        <f ca="1">VLOOKUP(A93,Calculation!$E$6:$J$1004,4,FALSE)</f>
        <v/>
      </c>
      <c r="C93" s="4" t="str">
        <f ca="1">VLOOKUP(A93,Calculation!$E$6:$J$1004,5,FALSE)</f>
        <v/>
      </c>
      <c r="D93" s="4" t="str">
        <f ca="1">VLOOKUP(A93,Calculation!$E$6:$J$1004,6,FALSE)</f>
        <v/>
      </c>
      <c r="E93" s="42" t="str">
        <f t="shared" ca="1" si="0"/>
        <v/>
      </c>
      <c r="G93" s="29" t="str">
        <f ca="1">VLOOKUP(A93,Calculation!$F$6:$J$1004,3,FALSE)</f>
        <v/>
      </c>
      <c r="H93" s="4" t="str">
        <f ca="1">VLOOKUP(A93,Calculation!$F$6:$J$1004,4,FALSE)</f>
        <v/>
      </c>
      <c r="I93" s="4" t="str">
        <f ca="1">VLOOKUP(A93,Calculation!$F$6:$J$1004,5,FALSE)</f>
        <v/>
      </c>
      <c r="J93" s="43" t="str">
        <f t="shared" ca="1" si="1"/>
        <v/>
      </c>
      <c r="L93" s="29" t="str">
        <f ca="1">VLOOKUP(A93,Calculation!$G$6:$S$1004,2,FALSE)</f>
        <v/>
      </c>
      <c r="M93" s="4" t="str">
        <f ca="1">IFERROR(VLOOKUP($L93,Calculation!$H$6:$S$1005,HLOOKUP(M$2,Calculation!$M$4:$S$5,2,FALSE)+5,FALSE),"")</f>
        <v/>
      </c>
      <c r="N93" s="4" t="str">
        <f ca="1">IFERROR(VLOOKUP($L93,Calculation!$H$6:$S$1005,HLOOKUP(N$2,Calculation!$M$4:$S$5,2,FALSE)+5,FALSE),"")</f>
        <v/>
      </c>
      <c r="O93" s="4" t="str">
        <f ca="1">IFERROR(VLOOKUP($L93,Calculation!$H$6:$S$1005,HLOOKUP(O$2,Calculation!$M$4:$S$5,2,FALSE)+5,FALSE),"")</f>
        <v/>
      </c>
      <c r="P93" s="4" t="str">
        <f ca="1">IFERROR(VLOOKUP($L93,Calculation!$H$6:$S$1005,HLOOKUP(P$2,Calculation!$M$4:$S$5,2,FALSE)+5,FALSE),"")</f>
        <v/>
      </c>
      <c r="Q93" s="4" t="str">
        <f ca="1">IFERROR(VLOOKUP($L93,Calculation!$H$6:$S$1005,HLOOKUP(Q$2,Calculation!$M$4:$S$5,2,FALSE)+5,FALSE),"")</f>
        <v/>
      </c>
      <c r="R93" s="27" t="str">
        <f ca="1">IFERROR(VLOOKUP($L93,Calculation!$H$6:$S$1005,HLOOKUP(R$2,Calculation!$M$4:$S$5,2,FALSE)+5,FALSE),"")</f>
        <v/>
      </c>
      <c r="S93" s="4" t="str">
        <f ca="1">IFERROR(VLOOKUP($L93,Calculation!$H$6:$S$1005,HLOOKUP(S$2,Calculation!$M$4:$S$5,2,FALSE)+5,FALSE),"")</f>
        <v/>
      </c>
      <c r="T93" s="29"/>
      <c r="U93" s="43" t="str">
        <f>IFERROR(VLOOKUP(T93,Calculation!$U$6:$V$11,2,FALSE),"")</f>
        <v/>
      </c>
    </row>
    <row r="94" spans="1:21" ht="14.25" customHeight="1" x14ac:dyDescent="0.3">
      <c r="A94" s="26" t="str">
        <f ca="1">IF(Calculation!T97&lt;=Calculation!$H$4,Calculation!T97,"")</f>
        <v/>
      </c>
      <c r="B94" s="4" t="str">
        <f ca="1">VLOOKUP(A94,Calculation!$E$6:$J$1004,4,FALSE)</f>
        <v/>
      </c>
      <c r="C94" s="4" t="str">
        <f ca="1">VLOOKUP(A94,Calculation!$E$6:$J$1004,5,FALSE)</f>
        <v/>
      </c>
      <c r="D94" s="4" t="str">
        <f ca="1">VLOOKUP(A94,Calculation!$E$6:$J$1004,6,FALSE)</f>
        <v/>
      </c>
      <c r="E94" s="42" t="str">
        <f t="shared" ca="1" si="0"/>
        <v/>
      </c>
      <c r="G94" s="29" t="str">
        <f ca="1">VLOOKUP(A94,Calculation!$F$6:$J$1004,3,FALSE)</f>
        <v/>
      </c>
      <c r="H94" s="4" t="str">
        <f ca="1">VLOOKUP(A94,Calculation!$F$6:$J$1004,4,FALSE)</f>
        <v/>
      </c>
      <c r="I94" s="4" t="str">
        <f ca="1">VLOOKUP(A94,Calculation!$F$6:$J$1004,5,FALSE)</f>
        <v/>
      </c>
      <c r="J94" s="43" t="str">
        <f t="shared" ca="1" si="1"/>
        <v/>
      </c>
      <c r="L94" s="29" t="str">
        <f ca="1">VLOOKUP(A94,Calculation!$G$6:$S$1004,2,FALSE)</f>
        <v/>
      </c>
      <c r="M94" s="4" t="str">
        <f ca="1">IFERROR(VLOOKUP($L94,Calculation!$H$6:$S$1005,HLOOKUP(M$2,Calculation!$M$4:$S$5,2,FALSE)+5,FALSE),"")</f>
        <v/>
      </c>
      <c r="N94" s="4" t="str">
        <f ca="1">IFERROR(VLOOKUP($L94,Calculation!$H$6:$S$1005,HLOOKUP(N$2,Calculation!$M$4:$S$5,2,FALSE)+5,FALSE),"")</f>
        <v/>
      </c>
      <c r="O94" s="4" t="str">
        <f ca="1">IFERROR(VLOOKUP($L94,Calculation!$H$6:$S$1005,HLOOKUP(O$2,Calculation!$M$4:$S$5,2,FALSE)+5,FALSE),"")</f>
        <v/>
      </c>
      <c r="P94" s="4" t="str">
        <f ca="1">IFERROR(VLOOKUP($L94,Calculation!$H$6:$S$1005,HLOOKUP(P$2,Calculation!$M$4:$S$5,2,FALSE)+5,FALSE),"")</f>
        <v/>
      </c>
      <c r="Q94" s="4" t="str">
        <f ca="1">IFERROR(VLOOKUP($L94,Calculation!$H$6:$S$1005,HLOOKUP(Q$2,Calculation!$M$4:$S$5,2,FALSE)+5,FALSE),"")</f>
        <v/>
      </c>
      <c r="R94" s="27" t="str">
        <f ca="1">IFERROR(VLOOKUP($L94,Calculation!$H$6:$S$1005,HLOOKUP(R$2,Calculation!$M$4:$S$5,2,FALSE)+5,FALSE),"")</f>
        <v/>
      </c>
      <c r="S94" s="4" t="str">
        <f ca="1">IFERROR(VLOOKUP($L94,Calculation!$H$6:$S$1005,HLOOKUP(S$2,Calculation!$M$4:$S$5,2,FALSE)+5,FALSE),"")</f>
        <v/>
      </c>
      <c r="T94" s="29"/>
      <c r="U94" s="43" t="str">
        <f>IFERROR(VLOOKUP(T94,Calculation!$U$6:$V$11,2,FALSE),"")</f>
        <v/>
      </c>
    </row>
    <row r="95" spans="1:21" ht="14.25" customHeight="1" x14ac:dyDescent="0.3">
      <c r="A95" s="26" t="str">
        <f ca="1">IF(Calculation!T98&lt;=Calculation!$H$4,Calculation!T98,"")</f>
        <v/>
      </c>
      <c r="B95" s="4" t="str">
        <f ca="1">VLOOKUP(A95,Calculation!$E$6:$J$1004,4,FALSE)</f>
        <v/>
      </c>
      <c r="C95" s="4" t="str">
        <f ca="1">VLOOKUP(A95,Calculation!$E$6:$J$1004,5,FALSE)</f>
        <v/>
      </c>
      <c r="D95" s="4" t="str">
        <f ca="1">VLOOKUP(A95,Calculation!$E$6:$J$1004,6,FALSE)</f>
        <v/>
      </c>
      <c r="E95" s="42" t="str">
        <f t="shared" ca="1" si="0"/>
        <v/>
      </c>
      <c r="G95" s="29" t="str">
        <f ca="1">VLOOKUP(A95,Calculation!$F$6:$J$1004,3,FALSE)</f>
        <v/>
      </c>
      <c r="H95" s="4" t="str">
        <f ca="1">VLOOKUP(A95,Calculation!$F$6:$J$1004,4,FALSE)</f>
        <v/>
      </c>
      <c r="I95" s="4" t="str">
        <f ca="1">VLOOKUP(A95,Calculation!$F$6:$J$1004,5,FALSE)</f>
        <v/>
      </c>
      <c r="J95" s="43" t="str">
        <f t="shared" ca="1" si="1"/>
        <v/>
      </c>
      <c r="L95" s="29" t="str">
        <f ca="1">VLOOKUP(A95,Calculation!$G$6:$S$1004,2,FALSE)</f>
        <v/>
      </c>
      <c r="M95" s="4" t="str">
        <f ca="1">IFERROR(VLOOKUP($L95,Calculation!$H$6:$S$1005,HLOOKUP(M$2,Calculation!$M$4:$S$5,2,FALSE)+5,FALSE),"")</f>
        <v/>
      </c>
      <c r="N95" s="4" t="str">
        <f ca="1">IFERROR(VLOOKUP($L95,Calculation!$H$6:$S$1005,HLOOKUP(N$2,Calculation!$M$4:$S$5,2,FALSE)+5,FALSE),"")</f>
        <v/>
      </c>
      <c r="O95" s="4" t="str">
        <f ca="1">IFERROR(VLOOKUP($L95,Calculation!$H$6:$S$1005,HLOOKUP(O$2,Calculation!$M$4:$S$5,2,FALSE)+5,FALSE),"")</f>
        <v/>
      </c>
      <c r="P95" s="4" t="str">
        <f ca="1">IFERROR(VLOOKUP($L95,Calculation!$H$6:$S$1005,HLOOKUP(P$2,Calculation!$M$4:$S$5,2,FALSE)+5,FALSE),"")</f>
        <v/>
      </c>
      <c r="Q95" s="4" t="str">
        <f ca="1">IFERROR(VLOOKUP($L95,Calculation!$H$6:$S$1005,HLOOKUP(Q$2,Calculation!$M$4:$S$5,2,FALSE)+5,FALSE),"")</f>
        <v/>
      </c>
      <c r="R95" s="27" t="str">
        <f ca="1">IFERROR(VLOOKUP($L95,Calculation!$H$6:$S$1005,HLOOKUP(R$2,Calculation!$M$4:$S$5,2,FALSE)+5,FALSE),"")</f>
        <v/>
      </c>
      <c r="S95" s="4" t="str">
        <f ca="1">IFERROR(VLOOKUP($L95,Calculation!$H$6:$S$1005,HLOOKUP(S$2,Calculation!$M$4:$S$5,2,FALSE)+5,FALSE),"")</f>
        <v/>
      </c>
      <c r="T95" s="29"/>
      <c r="U95" s="43" t="str">
        <f>IFERROR(VLOOKUP(T95,Calculation!$U$6:$V$11,2,FALSE),"")</f>
        <v/>
      </c>
    </row>
    <row r="96" spans="1:21" ht="14.25" customHeight="1" x14ac:dyDescent="0.3">
      <c r="A96" s="26" t="str">
        <f ca="1">IF(Calculation!T99&lt;=Calculation!$H$4,Calculation!T99,"")</f>
        <v/>
      </c>
      <c r="B96" s="4" t="str">
        <f ca="1">VLOOKUP(A96,Calculation!$E$6:$J$1004,4,FALSE)</f>
        <v/>
      </c>
      <c r="C96" s="4" t="str">
        <f ca="1">VLOOKUP(A96,Calculation!$E$6:$J$1004,5,FALSE)</f>
        <v/>
      </c>
      <c r="D96" s="4" t="str">
        <f ca="1">VLOOKUP(A96,Calculation!$E$6:$J$1004,6,FALSE)</f>
        <v/>
      </c>
      <c r="E96" s="42" t="str">
        <f t="shared" ca="1" si="0"/>
        <v/>
      </c>
      <c r="G96" s="29" t="str">
        <f ca="1">VLOOKUP(A96,Calculation!$F$6:$J$1004,3,FALSE)</f>
        <v/>
      </c>
      <c r="H96" s="4" t="str">
        <f ca="1">VLOOKUP(A96,Calculation!$F$6:$J$1004,4,FALSE)</f>
        <v/>
      </c>
      <c r="I96" s="4" t="str">
        <f ca="1">VLOOKUP(A96,Calculation!$F$6:$J$1004,5,FALSE)</f>
        <v/>
      </c>
      <c r="J96" s="43" t="str">
        <f t="shared" ca="1" si="1"/>
        <v/>
      </c>
      <c r="L96" s="29" t="str">
        <f ca="1">VLOOKUP(A96,Calculation!$G$6:$S$1004,2,FALSE)</f>
        <v/>
      </c>
      <c r="M96" s="4" t="str">
        <f ca="1">IFERROR(VLOOKUP($L96,Calculation!$H$6:$S$1005,HLOOKUP(M$2,Calculation!$M$4:$S$5,2,FALSE)+5,FALSE),"")</f>
        <v/>
      </c>
      <c r="N96" s="4" t="str">
        <f ca="1">IFERROR(VLOOKUP($L96,Calculation!$H$6:$S$1005,HLOOKUP(N$2,Calculation!$M$4:$S$5,2,FALSE)+5,FALSE),"")</f>
        <v/>
      </c>
      <c r="O96" s="4" t="str">
        <f ca="1">IFERROR(VLOOKUP($L96,Calculation!$H$6:$S$1005,HLOOKUP(O$2,Calculation!$M$4:$S$5,2,FALSE)+5,FALSE),"")</f>
        <v/>
      </c>
      <c r="P96" s="4" t="str">
        <f ca="1">IFERROR(VLOOKUP($L96,Calculation!$H$6:$S$1005,HLOOKUP(P$2,Calculation!$M$4:$S$5,2,FALSE)+5,FALSE),"")</f>
        <v/>
      </c>
      <c r="Q96" s="4" t="str">
        <f ca="1">IFERROR(VLOOKUP($L96,Calculation!$H$6:$S$1005,HLOOKUP(Q$2,Calculation!$M$4:$S$5,2,FALSE)+5,FALSE),"")</f>
        <v/>
      </c>
      <c r="R96" s="27" t="str">
        <f ca="1">IFERROR(VLOOKUP($L96,Calculation!$H$6:$S$1005,HLOOKUP(R$2,Calculation!$M$4:$S$5,2,FALSE)+5,FALSE),"")</f>
        <v/>
      </c>
      <c r="S96" s="4" t="str">
        <f ca="1">IFERROR(VLOOKUP($L96,Calculation!$H$6:$S$1005,HLOOKUP(S$2,Calculation!$M$4:$S$5,2,FALSE)+5,FALSE),"")</f>
        <v/>
      </c>
      <c r="T96" s="29"/>
      <c r="U96" s="43" t="str">
        <f>IFERROR(VLOOKUP(T96,Calculation!$U$6:$V$11,2,FALSE),"")</f>
        <v/>
      </c>
    </row>
    <row r="97" spans="1:21" ht="14.25" customHeight="1" x14ac:dyDescent="0.3">
      <c r="A97" s="26" t="str">
        <f ca="1">IF(Calculation!T100&lt;=Calculation!$H$4,Calculation!T100,"")</f>
        <v/>
      </c>
      <c r="B97" s="4" t="str">
        <f ca="1">VLOOKUP(A97,Calculation!$E$6:$J$1004,4,FALSE)</f>
        <v/>
      </c>
      <c r="C97" s="4" t="str">
        <f ca="1">VLOOKUP(A97,Calculation!$E$6:$J$1004,5,FALSE)</f>
        <v/>
      </c>
      <c r="D97" s="4" t="str">
        <f ca="1">VLOOKUP(A97,Calculation!$E$6:$J$1004,6,FALSE)</f>
        <v/>
      </c>
      <c r="E97" s="42" t="str">
        <f t="shared" ca="1" si="0"/>
        <v/>
      </c>
      <c r="G97" s="29" t="str">
        <f ca="1">VLOOKUP(A97,Calculation!$F$6:$J$1004,3,FALSE)</f>
        <v/>
      </c>
      <c r="H97" s="4" t="str">
        <f ca="1">VLOOKUP(A97,Calculation!$F$6:$J$1004,4,FALSE)</f>
        <v/>
      </c>
      <c r="I97" s="4" t="str">
        <f ca="1">VLOOKUP(A97,Calculation!$F$6:$J$1004,5,FALSE)</f>
        <v/>
      </c>
      <c r="J97" s="43" t="str">
        <f t="shared" ca="1" si="1"/>
        <v/>
      </c>
      <c r="L97" s="29" t="str">
        <f ca="1">VLOOKUP(A97,Calculation!$G$6:$S$1004,2,FALSE)</f>
        <v/>
      </c>
      <c r="M97" s="4" t="str">
        <f ca="1">IFERROR(VLOOKUP($L97,Calculation!$H$6:$S$1005,HLOOKUP(M$2,Calculation!$M$4:$S$5,2,FALSE)+5,FALSE),"")</f>
        <v/>
      </c>
      <c r="N97" s="4" t="str">
        <f ca="1">IFERROR(VLOOKUP($L97,Calculation!$H$6:$S$1005,HLOOKUP(N$2,Calculation!$M$4:$S$5,2,FALSE)+5,FALSE),"")</f>
        <v/>
      </c>
      <c r="O97" s="4" t="str">
        <f ca="1">IFERROR(VLOOKUP($L97,Calculation!$H$6:$S$1005,HLOOKUP(O$2,Calculation!$M$4:$S$5,2,FALSE)+5,FALSE),"")</f>
        <v/>
      </c>
      <c r="P97" s="4" t="str">
        <f ca="1">IFERROR(VLOOKUP($L97,Calculation!$H$6:$S$1005,HLOOKUP(P$2,Calculation!$M$4:$S$5,2,FALSE)+5,FALSE),"")</f>
        <v/>
      </c>
      <c r="Q97" s="4" t="str">
        <f ca="1">IFERROR(VLOOKUP($L97,Calculation!$H$6:$S$1005,HLOOKUP(Q$2,Calculation!$M$4:$S$5,2,FALSE)+5,FALSE),"")</f>
        <v/>
      </c>
      <c r="R97" s="27" t="str">
        <f ca="1">IFERROR(VLOOKUP($L97,Calculation!$H$6:$S$1005,HLOOKUP(R$2,Calculation!$M$4:$S$5,2,FALSE)+5,FALSE),"")</f>
        <v/>
      </c>
      <c r="S97" s="4" t="str">
        <f ca="1">IFERROR(VLOOKUP($L97,Calculation!$H$6:$S$1005,HLOOKUP(S$2,Calculation!$M$4:$S$5,2,FALSE)+5,FALSE),"")</f>
        <v/>
      </c>
      <c r="T97" s="29"/>
      <c r="U97" s="43" t="str">
        <f>IFERROR(VLOOKUP(T97,Calculation!$U$6:$V$11,2,FALSE),"")</f>
        <v/>
      </c>
    </row>
    <row r="98" spans="1:21" ht="14.25" customHeight="1" x14ac:dyDescent="0.3">
      <c r="A98" s="26" t="str">
        <f ca="1">IF(Calculation!T101&lt;=Calculation!$H$4,Calculation!T101,"")</f>
        <v/>
      </c>
      <c r="B98" s="4" t="str">
        <f ca="1">VLOOKUP(A98,Calculation!$E$6:$J$1004,4,FALSE)</f>
        <v/>
      </c>
      <c r="C98" s="4" t="str">
        <f ca="1">VLOOKUP(A98,Calculation!$E$6:$J$1004,5,FALSE)</f>
        <v/>
      </c>
      <c r="D98" s="4" t="str">
        <f ca="1">VLOOKUP(A98,Calculation!$E$6:$J$1004,6,FALSE)</f>
        <v/>
      </c>
      <c r="E98" s="42" t="str">
        <f t="shared" ca="1" si="0"/>
        <v/>
      </c>
      <c r="G98" s="29" t="str">
        <f ca="1">VLOOKUP(A98,Calculation!$F$6:$J$1004,3,FALSE)</f>
        <v/>
      </c>
      <c r="H98" s="4" t="str">
        <f ca="1">VLOOKUP(A98,Calculation!$F$6:$J$1004,4,FALSE)</f>
        <v/>
      </c>
      <c r="I98" s="4" t="str">
        <f ca="1">VLOOKUP(A98,Calculation!$F$6:$J$1004,5,FALSE)</f>
        <v/>
      </c>
      <c r="J98" s="43" t="str">
        <f t="shared" ca="1" si="1"/>
        <v/>
      </c>
      <c r="L98" s="29" t="str">
        <f ca="1">VLOOKUP(A98,Calculation!$G$6:$S$1004,2,FALSE)</f>
        <v/>
      </c>
      <c r="M98" s="4" t="str">
        <f ca="1">IFERROR(VLOOKUP($L98,Calculation!$H$6:$S$1005,HLOOKUP(M$2,Calculation!$M$4:$S$5,2,FALSE)+5,FALSE),"")</f>
        <v/>
      </c>
      <c r="N98" s="4" t="str">
        <f ca="1">IFERROR(VLOOKUP($L98,Calculation!$H$6:$S$1005,HLOOKUP(N$2,Calculation!$M$4:$S$5,2,FALSE)+5,FALSE),"")</f>
        <v/>
      </c>
      <c r="O98" s="4" t="str">
        <f ca="1">IFERROR(VLOOKUP($L98,Calculation!$H$6:$S$1005,HLOOKUP(O$2,Calculation!$M$4:$S$5,2,FALSE)+5,FALSE),"")</f>
        <v/>
      </c>
      <c r="P98" s="4" t="str">
        <f ca="1">IFERROR(VLOOKUP($L98,Calculation!$H$6:$S$1005,HLOOKUP(P$2,Calculation!$M$4:$S$5,2,FALSE)+5,FALSE),"")</f>
        <v/>
      </c>
      <c r="Q98" s="4" t="str">
        <f ca="1">IFERROR(VLOOKUP($L98,Calculation!$H$6:$S$1005,HLOOKUP(Q$2,Calculation!$M$4:$S$5,2,FALSE)+5,FALSE),"")</f>
        <v/>
      </c>
      <c r="R98" s="27" t="str">
        <f ca="1">IFERROR(VLOOKUP($L98,Calculation!$H$6:$S$1005,HLOOKUP(R$2,Calculation!$M$4:$S$5,2,FALSE)+5,FALSE),"")</f>
        <v/>
      </c>
      <c r="S98" s="4" t="str">
        <f ca="1">IFERROR(VLOOKUP($L98,Calculation!$H$6:$S$1005,HLOOKUP(S$2,Calculation!$M$4:$S$5,2,FALSE)+5,FALSE),"")</f>
        <v/>
      </c>
      <c r="T98" s="29"/>
      <c r="U98" s="43" t="str">
        <f>IFERROR(VLOOKUP(T98,Calculation!$U$6:$V$11,2,FALSE),"")</f>
        <v/>
      </c>
    </row>
    <row r="99" spans="1:21" ht="14.25" customHeight="1" x14ac:dyDescent="0.3">
      <c r="A99" s="26" t="str">
        <f ca="1">IF(Calculation!T102&lt;=Calculation!$H$4,Calculation!T102,"")</f>
        <v/>
      </c>
      <c r="B99" s="4" t="str">
        <f ca="1">VLOOKUP(A99,Calculation!$E$6:$J$1004,4,FALSE)</f>
        <v/>
      </c>
      <c r="C99" s="4" t="str">
        <f ca="1">VLOOKUP(A99,Calculation!$E$6:$J$1004,5,FALSE)</f>
        <v/>
      </c>
      <c r="D99" s="4" t="str">
        <f ca="1">VLOOKUP(A99,Calculation!$E$6:$J$1004,6,FALSE)</f>
        <v/>
      </c>
      <c r="E99" s="42" t="str">
        <f t="shared" ca="1" si="0"/>
        <v/>
      </c>
      <c r="G99" s="29" t="str">
        <f ca="1">VLOOKUP(A99,Calculation!$F$6:$J$1004,3,FALSE)</f>
        <v/>
      </c>
      <c r="H99" s="4" t="str">
        <f ca="1">VLOOKUP(A99,Calculation!$F$6:$J$1004,4,FALSE)</f>
        <v/>
      </c>
      <c r="I99" s="4" t="str">
        <f ca="1">VLOOKUP(A99,Calculation!$F$6:$J$1004,5,FALSE)</f>
        <v/>
      </c>
      <c r="J99" s="43" t="str">
        <f t="shared" ca="1" si="1"/>
        <v/>
      </c>
      <c r="L99" s="29" t="str">
        <f ca="1">VLOOKUP(A99,Calculation!$G$6:$S$1004,2,FALSE)</f>
        <v/>
      </c>
      <c r="M99" s="4" t="str">
        <f ca="1">IFERROR(VLOOKUP($L99,Calculation!$H$6:$S$1005,HLOOKUP(M$2,Calculation!$M$4:$S$5,2,FALSE)+5,FALSE),"")</f>
        <v/>
      </c>
      <c r="N99" s="4" t="str">
        <f ca="1">IFERROR(VLOOKUP($L99,Calculation!$H$6:$S$1005,HLOOKUP(N$2,Calculation!$M$4:$S$5,2,FALSE)+5,FALSE),"")</f>
        <v/>
      </c>
      <c r="O99" s="4" t="str">
        <f ca="1">IFERROR(VLOOKUP($L99,Calculation!$H$6:$S$1005,HLOOKUP(O$2,Calculation!$M$4:$S$5,2,FALSE)+5,FALSE),"")</f>
        <v/>
      </c>
      <c r="P99" s="4" t="str">
        <f ca="1">IFERROR(VLOOKUP($L99,Calculation!$H$6:$S$1005,HLOOKUP(P$2,Calculation!$M$4:$S$5,2,FALSE)+5,FALSE),"")</f>
        <v/>
      </c>
      <c r="Q99" s="4" t="str">
        <f ca="1">IFERROR(VLOOKUP($L99,Calculation!$H$6:$S$1005,HLOOKUP(Q$2,Calculation!$M$4:$S$5,2,FALSE)+5,FALSE),"")</f>
        <v/>
      </c>
      <c r="R99" s="27" t="str">
        <f ca="1">IFERROR(VLOOKUP($L99,Calculation!$H$6:$S$1005,HLOOKUP(R$2,Calculation!$M$4:$S$5,2,FALSE)+5,FALSE),"")</f>
        <v/>
      </c>
      <c r="S99" s="4" t="str">
        <f ca="1">IFERROR(VLOOKUP($L99,Calculation!$H$6:$S$1005,HLOOKUP(S$2,Calculation!$M$4:$S$5,2,FALSE)+5,FALSE),"")</f>
        <v/>
      </c>
      <c r="T99" s="29"/>
      <c r="U99" s="43" t="str">
        <f>IFERROR(VLOOKUP(T99,Calculation!$U$6:$V$11,2,FALSE),"")</f>
        <v/>
      </c>
    </row>
    <row r="100" spans="1:21" ht="14.25" customHeight="1" x14ac:dyDescent="0.3">
      <c r="A100" s="26" t="str">
        <f ca="1">IF(Calculation!T103&lt;=Calculation!$H$4,Calculation!T103,"")</f>
        <v/>
      </c>
      <c r="B100" s="4" t="str">
        <f ca="1">VLOOKUP(A100,Calculation!$E$6:$J$1004,4,FALSE)</f>
        <v/>
      </c>
      <c r="C100" s="4" t="str">
        <f ca="1">VLOOKUP(A100,Calculation!$E$6:$J$1004,5,FALSE)</f>
        <v/>
      </c>
      <c r="D100" s="4" t="str">
        <f ca="1">VLOOKUP(A100,Calculation!$E$6:$J$1004,6,FALSE)</f>
        <v/>
      </c>
      <c r="E100" s="42" t="str">
        <f t="shared" ca="1" si="0"/>
        <v/>
      </c>
      <c r="G100" s="29" t="str">
        <f ca="1">VLOOKUP(A100,Calculation!$F$6:$J$1004,3,FALSE)</f>
        <v/>
      </c>
      <c r="H100" s="4" t="str">
        <f ca="1">VLOOKUP(A100,Calculation!$F$6:$J$1004,4,FALSE)</f>
        <v/>
      </c>
      <c r="I100" s="4" t="str">
        <f ca="1">VLOOKUP(A100,Calculation!$F$6:$J$1004,5,FALSE)</f>
        <v/>
      </c>
      <c r="J100" s="43" t="str">
        <f t="shared" ca="1" si="1"/>
        <v/>
      </c>
      <c r="L100" s="29" t="str">
        <f ca="1">VLOOKUP(A100,Calculation!$G$6:$S$1004,2,FALSE)</f>
        <v/>
      </c>
      <c r="M100" s="4" t="str">
        <f ca="1">IFERROR(VLOOKUP($L100,Calculation!$H$6:$S$1005,HLOOKUP(M$2,Calculation!$M$4:$S$5,2,FALSE)+5,FALSE),"")</f>
        <v/>
      </c>
      <c r="N100" s="4" t="str">
        <f ca="1">IFERROR(VLOOKUP($L100,Calculation!$H$6:$S$1005,HLOOKUP(N$2,Calculation!$M$4:$S$5,2,FALSE)+5,FALSE),"")</f>
        <v/>
      </c>
      <c r="O100" s="4" t="str">
        <f ca="1">IFERROR(VLOOKUP($L100,Calculation!$H$6:$S$1005,HLOOKUP(O$2,Calculation!$M$4:$S$5,2,FALSE)+5,FALSE),"")</f>
        <v/>
      </c>
      <c r="P100" s="4" t="str">
        <f ca="1">IFERROR(VLOOKUP($L100,Calculation!$H$6:$S$1005,HLOOKUP(P$2,Calculation!$M$4:$S$5,2,FALSE)+5,FALSE),"")</f>
        <v/>
      </c>
      <c r="Q100" s="4" t="str">
        <f ca="1">IFERROR(VLOOKUP($L100,Calculation!$H$6:$S$1005,HLOOKUP(Q$2,Calculation!$M$4:$S$5,2,FALSE)+5,FALSE),"")</f>
        <v/>
      </c>
      <c r="R100" s="27" t="str">
        <f ca="1">IFERROR(VLOOKUP($L100,Calculation!$H$6:$S$1005,HLOOKUP(R$2,Calculation!$M$4:$S$5,2,FALSE)+5,FALSE),"")</f>
        <v/>
      </c>
      <c r="S100" s="4" t="str">
        <f ca="1">IFERROR(VLOOKUP($L100,Calculation!$H$6:$S$1005,HLOOKUP(S$2,Calculation!$M$4:$S$5,2,FALSE)+5,FALSE),"")</f>
        <v/>
      </c>
      <c r="T100" s="29"/>
      <c r="U100" s="43" t="str">
        <f>IFERROR(VLOOKUP(T100,Calculation!$U$6:$V$11,2,FALSE),"")</f>
        <v/>
      </c>
    </row>
    <row r="101" spans="1:21" ht="14.25" customHeight="1" x14ac:dyDescent="0.3">
      <c r="A101" s="26" t="str">
        <f ca="1">IF(Calculation!T104&lt;=Calculation!$H$4,Calculation!T104,"")</f>
        <v/>
      </c>
      <c r="B101" s="4" t="str">
        <f ca="1">VLOOKUP(A101,Calculation!$E$6:$J$1004,4,FALSE)</f>
        <v/>
      </c>
      <c r="C101" s="4" t="str">
        <f ca="1">VLOOKUP(A101,Calculation!$E$6:$J$1004,5,FALSE)</f>
        <v/>
      </c>
      <c r="D101" s="4" t="str">
        <f ca="1">VLOOKUP(A101,Calculation!$E$6:$J$1004,6,FALSE)</f>
        <v/>
      </c>
      <c r="E101" s="42" t="str">
        <f t="shared" ca="1" si="0"/>
        <v/>
      </c>
      <c r="G101" s="29" t="str">
        <f ca="1">VLOOKUP(A101,Calculation!$F$6:$J$1004,3,FALSE)</f>
        <v/>
      </c>
      <c r="H101" s="4" t="str">
        <f ca="1">VLOOKUP(A101,Calculation!$F$6:$J$1004,4,FALSE)</f>
        <v/>
      </c>
      <c r="I101" s="4" t="str">
        <f ca="1">VLOOKUP(A101,Calculation!$F$6:$J$1004,5,FALSE)</f>
        <v/>
      </c>
      <c r="J101" s="43" t="str">
        <f t="shared" ca="1" si="1"/>
        <v/>
      </c>
      <c r="L101" s="29" t="str">
        <f ca="1">VLOOKUP(A101,Calculation!$G$6:$S$1004,2,FALSE)</f>
        <v/>
      </c>
      <c r="M101" s="4" t="str">
        <f ca="1">IFERROR(VLOOKUP($L101,Calculation!$H$6:$S$1005,HLOOKUP(M$2,Calculation!$M$4:$S$5,2,FALSE)+5,FALSE),"")</f>
        <v/>
      </c>
      <c r="N101" s="4" t="str">
        <f ca="1">IFERROR(VLOOKUP($L101,Calculation!$H$6:$S$1005,HLOOKUP(N$2,Calculation!$M$4:$S$5,2,FALSE)+5,FALSE),"")</f>
        <v/>
      </c>
      <c r="O101" s="4" t="str">
        <f ca="1">IFERROR(VLOOKUP($L101,Calculation!$H$6:$S$1005,HLOOKUP(O$2,Calculation!$M$4:$S$5,2,FALSE)+5,FALSE),"")</f>
        <v/>
      </c>
      <c r="P101" s="4" t="str">
        <f ca="1">IFERROR(VLOOKUP($L101,Calculation!$H$6:$S$1005,HLOOKUP(P$2,Calculation!$M$4:$S$5,2,FALSE)+5,FALSE),"")</f>
        <v/>
      </c>
      <c r="Q101" s="4" t="str">
        <f ca="1">IFERROR(VLOOKUP($L101,Calculation!$H$6:$S$1005,HLOOKUP(Q$2,Calculation!$M$4:$S$5,2,FALSE)+5,FALSE),"")</f>
        <v/>
      </c>
      <c r="R101" s="27" t="str">
        <f ca="1">IFERROR(VLOOKUP($L101,Calculation!$H$6:$S$1005,HLOOKUP(R$2,Calculation!$M$4:$S$5,2,FALSE)+5,FALSE),"")</f>
        <v/>
      </c>
      <c r="S101" s="4" t="str">
        <f ca="1">IFERROR(VLOOKUP($L101,Calculation!$H$6:$S$1005,HLOOKUP(S$2,Calculation!$M$4:$S$5,2,FALSE)+5,FALSE),"")</f>
        <v/>
      </c>
      <c r="T101" s="29"/>
      <c r="U101" s="43" t="str">
        <f>IFERROR(VLOOKUP(T101,Calculation!$U$6:$V$11,2,FALSE),"")</f>
        <v/>
      </c>
    </row>
    <row r="102" spans="1:21" ht="14.25" customHeight="1" x14ac:dyDescent="0.3">
      <c r="A102" s="26" t="str">
        <f ca="1">IF(Calculation!T105&lt;=Calculation!$H$4,Calculation!T105,"")</f>
        <v/>
      </c>
      <c r="B102" s="4" t="str">
        <f ca="1">VLOOKUP(A102,Calculation!$E$6:$J$1004,4,FALSE)</f>
        <v/>
      </c>
      <c r="C102" s="4" t="str">
        <f ca="1">VLOOKUP(A102,Calculation!$E$6:$J$1004,5,FALSE)</f>
        <v/>
      </c>
      <c r="D102" s="4" t="str">
        <f ca="1">VLOOKUP(A102,Calculation!$E$6:$J$1004,6,FALSE)</f>
        <v/>
      </c>
      <c r="E102" s="42" t="str">
        <f t="shared" ca="1" si="0"/>
        <v/>
      </c>
      <c r="G102" s="29" t="str">
        <f ca="1">VLOOKUP(A102,Calculation!$F$6:$J$1004,3,FALSE)</f>
        <v/>
      </c>
      <c r="H102" s="4" t="str">
        <f ca="1">VLOOKUP(A102,Calculation!$F$6:$J$1004,4,FALSE)</f>
        <v/>
      </c>
      <c r="I102" s="4" t="str">
        <f ca="1">VLOOKUP(A102,Calculation!$F$6:$J$1004,5,FALSE)</f>
        <v/>
      </c>
      <c r="J102" s="43" t="str">
        <f t="shared" ca="1" si="1"/>
        <v/>
      </c>
      <c r="L102" s="29" t="str">
        <f ca="1">VLOOKUP(A102,Calculation!$G$6:$S$1004,2,FALSE)</f>
        <v/>
      </c>
      <c r="M102" s="4" t="str">
        <f ca="1">IFERROR(VLOOKUP($L102,Calculation!$H$6:$S$1005,HLOOKUP(M$2,Calculation!$M$4:$S$5,2,FALSE)+5,FALSE),"")</f>
        <v/>
      </c>
      <c r="N102" s="4" t="str">
        <f ca="1">IFERROR(VLOOKUP($L102,Calculation!$H$6:$S$1005,HLOOKUP(N$2,Calculation!$M$4:$S$5,2,FALSE)+5,FALSE),"")</f>
        <v/>
      </c>
      <c r="O102" s="4" t="str">
        <f ca="1">IFERROR(VLOOKUP($L102,Calculation!$H$6:$S$1005,HLOOKUP(O$2,Calculation!$M$4:$S$5,2,FALSE)+5,FALSE),"")</f>
        <v/>
      </c>
      <c r="P102" s="4" t="str">
        <f ca="1">IFERROR(VLOOKUP($L102,Calculation!$H$6:$S$1005,HLOOKUP(P$2,Calculation!$M$4:$S$5,2,FALSE)+5,FALSE),"")</f>
        <v/>
      </c>
      <c r="Q102" s="4" t="str">
        <f ca="1">IFERROR(VLOOKUP($L102,Calculation!$H$6:$S$1005,HLOOKUP(Q$2,Calculation!$M$4:$S$5,2,FALSE)+5,FALSE),"")</f>
        <v/>
      </c>
      <c r="R102" s="27" t="str">
        <f ca="1">IFERROR(VLOOKUP($L102,Calculation!$H$6:$S$1005,HLOOKUP(R$2,Calculation!$M$4:$S$5,2,FALSE)+5,FALSE),"")</f>
        <v/>
      </c>
      <c r="S102" s="4" t="str">
        <f ca="1">IFERROR(VLOOKUP($L102,Calculation!$H$6:$S$1005,HLOOKUP(S$2,Calculation!$M$4:$S$5,2,FALSE)+5,FALSE),"")</f>
        <v/>
      </c>
      <c r="T102" s="29"/>
      <c r="U102" s="43" t="str">
        <f>IFERROR(VLOOKUP(T102,Calculation!$U$6:$V$11,2,FALSE),"")</f>
        <v/>
      </c>
    </row>
    <row r="103" spans="1:21" ht="14.25" customHeight="1" x14ac:dyDescent="0.3">
      <c r="A103" s="26" t="str">
        <f ca="1">IF(Calculation!T106&lt;=Calculation!$H$4,Calculation!T106,"")</f>
        <v/>
      </c>
      <c r="B103" s="4" t="str">
        <f ca="1">VLOOKUP(A103,Calculation!$E$6:$J$1004,4,FALSE)</f>
        <v/>
      </c>
      <c r="C103" s="4" t="str">
        <f ca="1">VLOOKUP(A103,Calculation!$E$6:$J$1004,5,FALSE)</f>
        <v/>
      </c>
      <c r="D103" s="4" t="str">
        <f ca="1">VLOOKUP(A103,Calculation!$E$6:$J$1004,6,FALSE)</f>
        <v/>
      </c>
      <c r="E103" s="42" t="str">
        <f t="shared" ca="1" si="0"/>
        <v/>
      </c>
      <c r="G103" s="29" t="str">
        <f ca="1">VLOOKUP(A103,Calculation!$F$6:$J$1004,3,FALSE)</f>
        <v/>
      </c>
      <c r="H103" s="4" t="str">
        <f ca="1">VLOOKUP(A103,Calculation!$F$6:$J$1004,4,FALSE)</f>
        <v/>
      </c>
      <c r="I103" s="4" t="str">
        <f ca="1">VLOOKUP(A103,Calculation!$F$6:$J$1004,5,FALSE)</f>
        <v/>
      </c>
      <c r="J103" s="43" t="str">
        <f t="shared" ca="1" si="1"/>
        <v/>
      </c>
      <c r="L103" s="29" t="str">
        <f ca="1">VLOOKUP(A103,Calculation!$G$6:$S$1004,2,FALSE)</f>
        <v/>
      </c>
      <c r="M103" s="4" t="str">
        <f ca="1">IFERROR(VLOOKUP($L103,Calculation!$H$6:$S$1005,HLOOKUP(M$2,Calculation!$M$4:$S$5,2,FALSE)+5,FALSE),"")</f>
        <v/>
      </c>
      <c r="N103" s="4" t="str">
        <f ca="1">IFERROR(VLOOKUP($L103,Calculation!$H$6:$S$1005,HLOOKUP(N$2,Calculation!$M$4:$S$5,2,FALSE)+5,FALSE),"")</f>
        <v/>
      </c>
      <c r="O103" s="4" t="str">
        <f ca="1">IFERROR(VLOOKUP($L103,Calculation!$H$6:$S$1005,HLOOKUP(O$2,Calculation!$M$4:$S$5,2,FALSE)+5,FALSE),"")</f>
        <v/>
      </c>
      <c r="P103" s="4" t="str">
        <f ca="1">IFERROR(VLOOKUP($L103,Calculation!$H$6:$S$1005,HLOOKUP(P$2,Calculation!$M$4:$S$5,2,FALSE)+5,FALSE),"")</f>
        <v/>
      </c>
      <c r="Q103" s="4" t="str">
        <f ca="1">IFERROR(VLOOKUP($L103,Calculation!$H$6:$S$1005,HLOOKUP(Q$2,Calculation!$M$4:$S$5,2,FALSE)+5,FALSE),"")</f>
        <v/>
      </c>
      <c r="R103" s="27" t="str">
        <f ca="1">IFERROR(VLOOKUP($L103,Calculation!$H$6:$S$1005,HLOOKUP(R$2,Calculation!$M$4:$S$5,2,FALSE)+5,FALSE),"")</f>
        <v/>
      </c>
      <c r="S103" s="4" t="str">
        <f ca="1">IFERROR(VLOOKUP($L103,Calculation!$H$6:$S$1005,HLOOKUP(S$2,Calculation!$M$4:$S$5,2,FALSE)+5,FALSE),"")</f>
        <v/>
      </c>
      <c r="T103" s="29"/>
      <c r="U103" s="43" t="str">
        <f>IFERROR(VLOOKUP(T103,Calculation!$U$6:$V$11,2,FALSE),"")</f>
        <v/>
      </c>
    </row>
    <row r="104" spans="1:21" ht="14.25" customHeight="1" x14ac:dyDescent="0.3">
      <c r="A104" s="26" t="str">
        <f ca="1">IF(Calculation!T107&lt;=Calculation!$H$4,Calculation!T107,"")</f>
        <v/>
      </c>
      <c r="B104" s="4" t="str">
        <f ca="1">VLOOKUP(A104,Calculation!$E$6:$J$1004,4,FALSE)</f>
        <v/>
      </c>
      <c r="C104" s="4" t="str">
        <f ca="1">VLOOKUP(A104,Calculation!$E$6:$J$1004,5,FALSE)</f>
        <v/>
      </c>
      <c r="D104" s="4" t="str">
        <f ca="1">VLOOKUP(A104,Calculation!$E$6:$J$1004,6,FALSE)</f>
        <v/>
      </c>
      <c r="E104" s="42" t="str">
        <f t="shared" ca="1" si="0"/>
        <v/>
      </c>
      <c r="G104" s="29" t="str">
        <f ca="1">VLOOKUP(A104,Calculation!$F$6:$J$1004,3,FALSE)</f>
        <v/>
      </c>
      <c r="H104" s="4" t="str">
        <f ca="1">VLOOKUP(A104,Calculation!$F$6:$J$1004,4,FALSE)</f>
        <v/>
      </c>
      <c r="I104" s="4" t="str">
        <f ca="1">VLOOKUP(A104,Calculation!$F$6:$J$1004,5,FALSE)</f>
        <v/>
      </c>
      <c r="J104" s="43" t="str">
        <f t="shared" ca="1" si="1"/>
        <v/>
      </c>
      <c r="L104" s="29" t="str">
        <f ca="1">VLOOKUP(A104,Calculation!$G$6:$S$1004,2,FALSE)</f>
        <v/>
      </c>
      <c r="M104" s="4" t="str">
        <f ca="1">IFERROR(VLOOKUP($L104,Calculation!$H$6:$S$1005,HLOOKUP(M$2,Calculation!$M$4:$S$5,2,FALSE)+5,FALSE),"")</f>
        <v/>
      </c>
      <c r="N104" s="4" t="str">
        <f ca="1">IFERROR(VLOOKUP($L104,Calculation!$H$6:$S$1005,HLOOKUP(N$2,Calculation!$M$4:$S$5,2,FALSE)+5,FALSE),"")</f>
        <v/>
      </c>
      <c r="O104" s="4" t="str">
        <f ca="1">IFERROR(VLOOKUP($L104,Calculation!$H$6:$S$1005,HLOOKUP(O$2,Calculation!$M$4:$S$5,2,FALSE)+5,FALSE),"")</f>
        <v/>
      </c>
      <c r="P104" s="4" t="str">
        <f ca="1">IFERROR(VLOOKUP($L104,Calculation!$H$6:$S$1005,HLOOKUP(P$2,Calculation!$M$4:$S$5,2,FALSE)+5,FALSE),"")</f>
        <v/>
      </c>
      <c r="Q104" s="4" t="str">
        <f ca="1">IFERROR(VLOOKUP($L104,Calculation!$H$6:$S$1005,HLOOKUP(Q$2,Calculation!$M$4:$S$5,2,FALSE)+5,FALSE),"")</f>
        <v/>
      </c>
      <c r="R104" s="27" t="str">
        <f ca="1">IFERROR(VLOOKUP($L104,Calculation!$H$6:$S$1005,HLOOKUP(R$2,Calculation!$M$4:$S$5,2,FALSE)+5,FALSE),"")</f>
        <v/>
      </c>
      <c r="S104" s="4" t="str">
        <f ca="1">IFERROR(VLOOKUP($L104,Calculation!$H$6:$S$1005,HLOOKUP(S$2,Calculation!$M$4:$S$5,2,FALSE)+5,FALSE),"")</f>
        <v/>
      </c>
      <c r="T104" s="29"/>
      <c r="U104" s="43" t="str">
        <f>IFERROR(VLOOKUP(T104,Calculation!$U$6:$V$11,2,FALSE),"")</f>
        <v/>
      </c>
    </row>
    <row r="105" spans="1:21" ht="14.25" customHeight="1" x14ac:dyDescent="0.3">
      <c r="A105" s="26" t="str">
        <f ca="1">IF(Calculation!T108&lt;=Calculation!$H$4,Calculation!T108,"")</f>
        <v/>
      </c>
      <c r="B105" s="4" t="str">
        <f ca="1">VLOOKUP(A105,Calculation!$E$6:$J$1004,4,FALSE)</f>
        <v/>
      </c>
      <c r="C105" s="4" t="str">
        <f ca="1">VLOOKUP(A105,Calculation!$E$6:$J$1004,5,FALSE)</f>
        <v/>
      </c>
      <c r="D105" s="4" t="str">
        <f ca="1">VLOOKUP(A105,Calculation!$E$6:$J$1004,6,FALSE)</f>
        <v/>
      </c>
      <c r="E105" s="42" t="str">
        <f t="shared" ca="1" si="0"/>
        <v/>
      </c>
      <c r="G105" s="29" t="str">
        <f ca="1">VLOOKUP(A105,Calculation!$F$6:$J$1004,3,FALSE)</f>
        <v/>
      </c>
      <c r="H105" s="4" t="str">
        <f ca="1">VLOOKUP(A105,Calculation!$F$6:$J$1004,4,FALSE)</f>
        <v/>
      </c>
      <c r="I105" s="4" t="str">
        <f ca="1">VLOOKUP(A105,Calculation!$F$6:$J$1004,5,FALSE)</f>
        <v/>
      </c>
      <c r="J105" s="43" t="str">
        <f t="shared" ca="1" si="1"/>
        <v/>
      </c>
      <c r="L105" s="29" t="str">
        <f ca="1">VLOOKUP(A105,Calculation!$G$6:$S$1004,2,FALSE)</f>
        <v/>
      </c>
      <c r="M105" s="4" t="str">
        <f ca="1">IFERROR(VLOOKUP($L105,Calculation!$H$6:$S$1005,HLOOKUP(M$2,Calculation!$M$4:$S$5,2,FALSE)+5,FALSE),"")</f>
        <v/>
      </c>
      <c r="N105" s="4" t="str">
        <f ca="1">IFERROR(VLOOKUP($L105,Calculation!$H$6:$S$1005,HLOOKUP(N$2,Calculation!$M$4:$S$5,2,FALSE)+5,FALSE),"")</f>
        <v/>
      </c>
      <c r="O105" s="4" t="str">
        <f ca="1">IFERROR(VLOOKUP($L105,Calculation!$H$6:$S$1005,HLOOKUP(O$2,Calculation!$M$4:$S$5,2,FALSE)+5,FALSE),"")</f>
        <v/>
      </c>
      <c r="P105" s="4" t="str">
        <f ca="1">IFERROR(VLOOKUP($L105,Calculation!$H$6:$S$1005,HLOOKUP(P$2,Calculation!$M$4:$S$5,2,FALSE)+5,FALSE),"")</f>
        <v/>
      </c>
      <c r="Q105" s="4" t="str">
        <f ca="1">IFERROR(VLOOKUP($L105,Calculation!$H$6:$S$1005,HLOOKUP(Q$2,Calculation!$M$4:$S$5,2,FALSE)+5,FALSE),"")</f>
        <v/>
      </c>
      <c r="R105" s="27" t="str">
        <f ca="1">IFERROR(VLOOKUP($L105,Calculation!$H$6:$S$1005,HLOOKUP(R$2,Calculation!$M$4:$S$5,2,FALSE)+5,FALSE),"")</f>
        <v/>
      </c>
      <c r="S105" s="4" t="str">
        <f ca="1">IFERROR(VLOOKUP($L105,Calculation!$H$6:$S$1005,HLOOKUP(S$2,Calculation!$M$4:$S$5,2,FALSE)+5,FALSE),"")</f>
        <v/>
      </c>
      <c r="T105" s="29"/>
      <c r="U105" s="43" t="str">
        <f>IFERROR(VLOOKUP(T105,Calculation!$U$6:$V$11,2,FALSE),"")</f>
        <v/>
      </c>
    </row>
    <row r="106" spans="1:21" ht="14.25" customHeight="1" x14ac:dyDescent="0.3">
      <c r="A106" s="26" t="str">
        <f ca="1">IF(Calculation!T109&lt;=Calculation!$H$4,Calculation!T109,"")</f>
        <v/>
      </c>
      <c r="B106" s="4" t="str">
        <f ca="1">VLOOKUP(A106,Calculation!$E$6:$J$1004,4,FALSE)</f>
        <v/>
      </c>
      <c r="C106" s="4" t="str">
        <f ca="1">VLOOKUP(A106,Calculation!$E$6:$J$1004,5,FALSE)</f>
        <v/>
      </c>
      <c r="D106" s="4" t="str">
        <f ca="1">VLOOKUP(A106,Calculation!$E$6:$J$1004,6,FALSE)</f>
        <v/>
      </c>
      <c r="E106" s="42" t="str">
        <f t="shared" ca="1" si="0"/>
        <v/>
      </c>
      <c r="G106" s="29" t="str">
        <f ca="1">VLOOKUP(A106,Calculation!$F$6:$J$1004,3,FALSE)</f>
        <v/>
      </c>
      <c r="H106" s="4" t="str">
        <f ca="1">VLOOKUP(A106,Calculation!$F$6:$J$1004,4,FALSE)</f>
        <v/>
      </c>
      <c r="I106" s="4" t="str">
        <f ca="1">VLOOKUP(A106,Calculation!$F$6:$J$1004,5,FALSE)</f>
        <v/>
      </c>
      <c r="J106" s="43" t="str">
        <f t="shared" ca="1" si="1"/>
        <v/>
      </c>
      <c r="L106" s="29" t="str">
        <f ca="1">VLOOKUP(A106,Calculation!$G$6:$S$1004,2,FALSE)</f>
        <v/>
      </c>
      <c r="M106" s="4" t="str">
        <f ca="1">IFERROR(VLOOKUP($L106,Calculation!$H$6:$S$1005,HLOOKUP(M$2,Calculation!$M$4:$S$5,2,FALSE)+5,FALSE),"")</f>
        <v/>
      </c>
      <c r="N106" s="4" t="str">
        <f ca="1">IFERROR(VLOOKUP($L106,Calculation!$H$6:$S$1005,HLOOKUP(N$2,Calculation!$M$4:$S$5,2,FALSE)+5,FALSE),"")</f>
        <v/>
      </c>
      <c r="O106" s="4" t="str">
        <f ca="1">IFERROR(VLOOKUP($L106,Calculation!$H$6:$S$1005,HLOOKUP(O$2,Calculation!$M$4:$S$5,2,FALSE)+5,FALSE),"")</f>
        <v/>
      </c>
      <c r="P106" s="4" t="str">
        <f ca="1">IFERROR(VLOOKUP($L106,Calculation!$H$6:$S$1005,HLOOKUP(P$2,Calculation!$M$4:$S$5,2,FALSE)+5,FALSE),"")</f>
        <v/>
      </c>
      <c r="Q106" s="4" t="str">
        <f ca="1">IFERROR(VLOOKUP($L106,Calculation!$H$6:$S$1005,HLOOKUP(Q$2,Calculation!$M$4:$S$5,2,FALSE)+5,FALSE),"")</f>
        <v/>
      </c>
      <c r="R106" s="27" t="str">
        <f ca="1">IFERROR(VLOOKUP($L106,Calculation!$H$6:$S$1005,HLOOKUP(R$2,Calculation!$M$4:$S$5,2,FALSE)+5,FALSE),"")</f>
        <v/>
      </c>
      <c r="S106" s="4" t="str">
        <f ca="1">IFERROR(VLOOKUP($L106,Calculation!$H$6:$S$1005,HLOOKUP(S$2,Calculation!$M$4:$S$5,2,FALSE)+5,FALSE),"")</f>
        <v/>
      </c>
      <c r="T106" s="29"/>
      <c r="U106" s="43" t="str">
        <f>IFERROR(VLOOKUP(T106,Calculation!$U$6:$V$11,2,FALSE),"")</f>
        <v/>
      </c>
    </row>
    <row r="107" spans="1:21" ht="14.25" customHeight="1" x14ac:dyDescent="0.3">
      <c r="A107" s="26" t="str">
        <f ca="1">IF(Calculation!T110&lt;=Calculation!$H$4,Calculation!T110,"")</f>
        <v/>
      </c>
      <c r="B107" s="4" t="str">
        <f ca="1">VLOOKUP(A107,Calculation!$E$6:$J$1004,4,FALSE)</f>
        <v/>
      </c>
      <c r="C107" s="4" t="str">
        <f ca="1">VLOOKUP(A107,Calculation!$E$6:$J$1004,5,FALSE)</f>
        <v/>
      </c>
      <c r="D107" s="4" t="str">
        <f ca="1">VLOOKUP(A107,Calculation!$E$6:$J$1004,6,FALSE)</f>
        <v/>
      </c>
      <c r="E107" s="42" t="str">
        <f t="shared" ca="1" si="0"/>
        <v/>
      </c>
      <c r="G107" s="29" t="str">
        <f ca="1">VLOOKUP(A107,Calculation!$F$6:$J$1004,3,FALSE)</f>
        <v/>
      </c>
      <c r="H107" s="4" t="str">
        <f ca="1">VLOOKUP(A107,Calculation!$F$6:$J$1004,4,FALSE)</f>
        <v/>
      </c>
      <c r="I107" s="4" t="str">
        <f ca="1">VLOOKUP(A107,Calculation!$F$6:$J$1004,5,FALSE)</f>
        <v/>
      </c>
      <c r="J107" s="43" t="str">
        <f t="shared" ca="1" si="1"/>
        <v/>
      </c>
      <c r="L107" s="29" t="str">
        <f ca="1">VLOOKUP(A107,Calculation!$G$6:$S$1004,2,FALSE)</f>
        <v/>
      </c>
      <c r="M107" s="4" t="str">
        <f ca="1">IFERROR(VLOOKUP($L107,Calculation!$H$6:$S$1005,HLOOKUP(M$2,Calculation!$M$4:$S$5,2,FALSE)+5,FALSE),"")</f>
        <v/>
      </c>
      <c r="N107" s="4" t="str">
        <f ca="1">IFERROR(VLOOKUP($L107,Calculation!$H$6:$S$1005,HLOOKUP(N$2,Calculation!$M$4:$S$5,2,FALSE)+5,FALSE),"")</f>
        <v/>
      </c>
      <c r="O107" s="4" t="str">
        <f ca="1">IFERROR(VLOOKUP($L107,Calculation!$H$6:$S$1005,HLOOKUP(O$2,Calculation!$M$4:$S$5,2,FALSE)+5,FALSE),"")</f>
        <v/>
      </c>
      <c r="P107" s="4" t="str">
        <f ca="1">IFERROR(VLOOKUP($L107,Calculation!$H$6:$S$1005,HLOOKUP(P$2,Calculation!$M$4:$S$5,2,FALSE)+5,FALSE),"")</f>
        <v/>
      </c>
      <c r="Q107" s="4" t="str">
        <f ca="1">IFERROR(VLOOKUP($L107,Calculation!$H$6:$S$1005,HLOOKUP(Q$2,Calculation!$M$4:$S$5,2,FALSE)+5,FALSE),"")</f>
        <v/>
      </c>
      <c r="R107" s="27" t="str">
        <f ca="1">IFERROR(VLOOKUP($L107,Calculation!$H$6:$S$1005,HLOOKUP(R$2,Calculation!$M$4:$S$5,2,FALSE)+5,FALSE),"")</f>
        <v/>
      </c>
      <c r="S107" s="4" t="str">
        <f ca="1">IFERROR(VLOOKUP($L107,Calculation!$H$6:$S$1005,HLOOKUP(S$2,Calculation!$M$4:$S$5,2,FALSE)+5,FALSE),"")</f>
        <v/>
      </c>
      <c r="T107" s="29"/>
      <c r="U107" s="43" t="str">
        <f>IFERROR(VLOOKUP(T107,Calculation!$U$6:$V$11,2,FALSE),"")</f>
        <v/>
      </c>
    </row>
    <row r="108" spans="1:21" ht="14.25" customHeight="1" x14ac:dyDescent="0.3">
      <c r="A108" s="26" t="str">
        <f ca="1">IF(Calculation!T111&lt;=Calculation!$H$4,Calculation!T111,"")</f>
        <v/>
      </c>
      <c r="B108" s="4" t="str">
        <f ca="1">VLOOKUP(A108,Calculation!$E$6:$J$1004,4,FALSE)</f>
        <v/>
      </c>
      <c r="C108" s="4" t="str">
        <f ca="1">VLOOKUP(A108,Calculation!$E$6:$J$1004,5,FALSE)</f>
        <v/>
      </c>
      <c r="D108" s="4" t="str">
        <f ca="1">VLOOKUP(A108,Calculation!$E$6:$J$1004,6,FALSE)</f>
        <v/>
      </c>
      <c r="E108" s="42" t="str">
        <f t="shared" ca="1" si="0"/>
        <v/>
      </c>
      <c r="G108" s="29" t="str">
        <f ca="1">VLOOKUP(A108,Calculation!$F$6:$J$1004,3,FALSE)</f>
        <v/>
      </c>
      <c r="H108" s="4" t="str">
        <f ca="1">VLOOKUP(A108,Calculation!$F$6:$J$1004,4,FALSE)</f>
        <v/>
      </c>
      <c r="I108" s="4" t="str">
        <f ca="1">VLOOKUP(A108,Calculation!$F$6:$J$1004,5,FALSE)</f>
        <v/>
      </c>
      <c r="J108" s="43" t="str">
        <f t="shared" ca="1" si="1"/>
        <v/>
      </c>
      <c r="L108" s="29" t="str">
        <f ca="1">VLOOKUP(A108,Calculation!$G$6:$S$1004,2,FALSE)</f>
        <v/>
      </c>
      <c r="M108" s="4" t="str">
        <f ca="1">IFERROR(VLOOKUP($L108,Calculation!$H$6:$S$1005,HLOOKUP(M$2,Calculation!$M$4:$S$5,2,FALSE)+5,FALSE),"")</f>
        <v/>
      </c>
      <c r="N108" s="4" t="str">
        <f ca="1">IFERROR(VLOOKUP($L108,Calculation!$H$6:$S$1005,HLOOKUP(N$2,Calculation!$M$4:$S$5,2,FALSE)+5,FALSE),"")</f>
        <v/>
      </c>
      <c r="O108" s="4" t="str">
        <f ca="1">IFERROR(VLOOKUP($L108,Calculation!$H$6:$S$1005,HLOOKUP(O$2,Calculation!$M$4:$S$5,2,FALSE)+5,FALSE),"")</f>
        <v/>
      </c>
      <c r="P108" s="4" t="str">
        <f ca="1">IFERROR(VLOOKUP($L108,Calculation!$H$6:$S$1005,HLOOKUP(P$2,Calculation!$M$4:$S$5,2,FALSE)+5,FALSE),"")</f>
        <v/>
      </c>
      <c r="Q108" s="4" t="str">
        <f ca="1">IFERROR(VLOOKUP($L108,Calculation!$H$6:$S$1005,HLOOKUP(Q$2,Calculation!$M$4:$S$5,2,FALSE)+5,FALSE),"")</f>
        <v/>
      </c>
      <c r="R108" s="27" t="str">
        <f ca="1">IFERROR(VLOOKUP($L108,Calculation!$H$6:$S$1005,HLOOKUP(R$2,Calculation!$M$4:$S$5,2,FALSE)+5,FALSE),"")</f>
        <v/>
      </c>
      <c r="S108" s="4" t="str">
        <f ca="1">IFERROR(VLOOKUP($L108,Calculation!$H$6:$S$1005,HLOOKUP(S$2,Calculation!$M$4:$S$5,2,FALSE)+5,FALSE),"")</f>
        <v/>
      </c>
      <c r="T108" s="29"/>
      <c r="U108" s="43" t="str">
        <f>IFERROR(VLOOKUP(T108,Calculation!$U$6:$V$11,2,FALSE),"")</f>
        <v/>
      </c>
    </row>
    <row r="109" spans="1:21" ht="14.25" customHeight="1" x14ac:dyDescent="0.3">
      <c r="A109" s="26" t="str">
        <f ca="1">IF(Calculation!T112&lt;=Calculation!$H$4,Calculation!T112,"")</f>
        <v/>
      </c>
      <c r="B109" s="4" t="str">
        <f ca="1">VLOOKUP(A109,Calculation!$E$6:$J$1004,4,FALSE)</f>
        <v/>
      </c>
      <c r="C109" s="4" t="str">
        <f ca="1">VLOOKUP(A109,Calculation!$E$6:$J$1004,5,FALSE)</f>
        <v/>
      </c>
      <c r="D109" s="4" t="str">
        <f ca="1">VLOOKUP(A109,Calculation!$E$6:$J$1004,6,FALSE)</f>
        <v/>
      </c>
      <c r="E109" s="42" t="str">
        <f t="shared" ca="1" si="0"/>
        <v/>
      </c>
      <c r="G109" s="29" t="str">
        <f ca="1">VLOOKUP(A109,Calculation!$F$6:$J$1004,3,FALSE)</f>
        <v/>
      </c>
      <c r="H109" s="4" t="str">
        <f ca="1">VLOOKUP(A109,Calculation!$F$6:$J$1004,4,FALSE)</f>
        <v/>
      </c>
      <c r="I109" s="4" t="str">
        <f ca="1">VLOOKUP(A109,Calculation!$F$6:$J$1004,5,FALSE)</f>
        <v/>
      </c>
      <c r="J109" s="43" t="str">
        <f t="shared" ca="1" si="1"/>
        <v/>
      </c>
      <c r="L109" s="29" t="str">
        <f ca="1">VLOOKUP(A109,Calculation!$G$6:$S$1004,2,FALSE)</f>
        <v/>
      </c>
      <c r="M109" s="4" t="str">
        <f ca="1">IFERROR(VLOOKUP($L109,Calculation!$H$6:$S$1005,HLOOKUP(M$2,Calculation!$M$4:$S$5,2,FALSE)+5,FALSE),"")</f>
        <v/>
      </c>
      <c r="N109" s="4" t="str">
        <f ca="1">IFERROR(VLOOKUP($L109,Calculation!$H$6:$S$1005,HLOOKUP(N$2,Calculation!$M$4:$S$5,2,FALSE)+5,FALSE),"")</f>
        <v/>
      </c>
      <c r="O109" s="4" t="str">
        <f ca="1">IFERROR(VLOOKUP($L109,Calculation!$H$6:$S$1005,HLOOKUP(O$2,Calculation!$M$4:$S$5,2,FALSE)+5,FALSE),"")</f>
        <v/>
      </c>
      <c r="P109" s="4" t="str">
        <f ca="1">IFERROR(VLOOKUP($L109,Calculation!$H$6:$S$1005,HLOOKUP(P$2,Calculation!$M$4:$S$5,2,FALSE)+5,FALSE),"")</f>
        <v/>
      </c>
      <c r="Q109" s="4" t="str">
        <f ca="1">IFERROR(VLOOKUP($L109,Calculation!$H$6:$S$1005,HLOOKUP(Q$2,Calculation!$M$4:$S$5,2,FALSE)+5,FALSE),"")</f>
        <v/>
      </c>
      <c r="R109" s="27" t="str">
        <f ca="1">IFERROR(VLOOKUP($L109,Calculation!$H$6:$S$1005,HLOOKUP(R$2,Calculation!$M$4:$S$5,2,FALSE)+5,FALSE),"")</f>
        <v/>
      </c>
      <c r="S109" s="4" t="str">
        <f ca="1">IFERROR(VLOOKUP($L109,Calculation!$H$6:$S$1005,HLOOKUP(S$2,Calculation!$M$4:$S$5,2,FALSE)+5,FALSE),"")</f>
        <v/>
      </c>
      <c r="T109" s="29"/>
      <c r="U109" s="43" t="str">
        <f>IFERROR(VLOOKUP(T109,Calculation!$U$6:$V$11,2,FALSE),"")</f>
        <v/>
      </c>
    </row>
    <row r="110" spans="1:21" ht="14.25" customHeight="1" x14ac:dyDescent="0.3">
      <c r="A110" s="26" t="str">
        <f ca="1">IF(Calculation!T113&lt;=Calculation!$H$4,Calculation!T113,"")</f>
        <v/>
      </c>
      <c r="B110" s="4" t="str">
        <f ca="1">VLOOKUP(A110,Calculation!$E$6:$J$1004,4,FALSE)</f>
        <v/>
      </c>
      <c r="C110" s="4" t="str">
        <f ca="1">VLOOKUP(A110,Calculation!$E$6:$J$1004,5,FALSE)</f>
        <v/>
      </c>
      <c r="D110" s="4" t="str">
        <f ca="1">VLOOKUP(A110,Calculation!$E$6:$J$1004,6,FALSE)</f>
        <v/>
      </c>
      <c r="E110" s="42" t="str">
        <f t="shared" ca="1" si="0"/>
        <v/>
      </c>
      <c r="G110" s="29" t="str">
        <f ca="1">VLOOKUP(A110,Calculation!$F$6:$J$1004,3,FALSE)</f>
        <v/>
      </c>
      <c r="H110" s="4" t="str">
        <f ca="1">VLOOKUP(A110,Calculation!$F$6:$J$1004,4,FALSE)</f>
        <v/>
      </c>
      <c r="I110" s="4" t="str">
        <f ca="1">VLOOKUP(A110,Calculation!$F$6:$J$1004,5,FALSE)</f>
        <v/>
      </c>
      <c r="J110" s="43" t="str">
        <f t="shared" ca="1" si="1"/>
        <v/>
      </c>
      <c r="L110" s="29" t="str">
        <f ca="1">VLOOKUP(A110,Calculation!$G$6:$S$1004,2,FALSE)</f>
        <v/>
      </c>
      <c r="M110" s="4" t="str">
        <f ca="1">IFERROR(VLOOKUP($L110,Calculation!$H$6:$S$1005,HLOOKUP(M$2,Calculation!$M$4:$S$5,2,FALSE)+5,FALSE),"")</f>
        <v/>
      </c>
      <c r="N110" s="4" t="str">
        <f ca="1">IFERROR(VLOOKUP($L110,Calculation!$H$6:$S$1005,HLOOKUP(N$2,Calculation!$M$4:$S$5,2,FALSE)+5,FALSE),"")</f>
        <v/>
      </c>
      <c r="O110" s="4" t="str">
        <f ca="1">IFERROR(VLOOKUP($L110,Calculation!$H$6:$S$1005,HLOOKUP(O$2,Calculation!$M$4:$S$5,2,FALSE)+5,FALSE),"")</f>
        <v/>
      </c>
      <c r="P110" s="4" t="str">
        <f ca="1">IFERROR(VLOOKUP($L110,Calculation!$H$6:$S$1005,HLOOKUP(P$2,Calculation!$M$4:$S$5,2,FALSE)+5,FALSE),"")</f>
        <v/>
      </c>
      <c r="Q110" s="4" t="str">
        <f ca="1">IFERROR(VLOOKUP($L110,Calculation!$H$6:$S$1005,HLOOKUP(Q$2,Calculation!$M$4:$S$5,2,FALSE)+5,FALSE),"")</f>
        <v/>
      </c>
      <c r="R110" s="27" t="str">
        <f ca="1">IFERROR(VLOOKUP($L110,Calculation!$H$6:$S$1005,HLOOKUP(R$2,Calculation!$M$4:$S$5,2,FALSE)+5,FALSE),"")</f>
        <v/>
      </c>
      <c r="S110" s="4" t="str">
        <f ca="1">IFERROR(VLOOKUP($L110,Calculation!$H$6:$S$1005,HLOOKUP(S$2,Calculation!$M$4:$S$5,2,FALSE)+5,FALSE),"")</f>
        <v/>
      </c>
      <c r="T110" s="29"/>
      <c r="U110" s="43" t="str">
        <f>IFERROR(VLOOKUP(T110,Calculation!$U$6:$V$11,2,FALSE),"")</f>
        <v/>
      </c>
    </row>
    <row r="111" spans="1:21" ht="14.25" customHeight="1" x14ac:dyDescent="0.3">
      <c r="A111" s="26" t="str">
        <f ca="1">IF(Calculation!T114&lt;=Calculation!$H$4,Calculation!T114,"")</f>
        <v/>
      </c>
      <c r="B111" s="4" t="str">
        <f ca="1">VLOOKUP(A111,Calculation!$E$6:$J$1004,4,FALSE)</f>
        <v/>
      </c>
      <c r="C111" s="4" t="str">
        <f ca="1">VLOOKUP(A111,Calculation!$E$6:$J$1004,5,FALSE)</f>
        <v/>
      </c>
      <c r="D111" s="4" t="str">
        <f ca="1">VLOOKUP(A111,Calculation!$E$6:$J$1004,6,FALSE)</f>
        <v/>
      </c>
      <c r="E111" s="42" t="str">
        <f t="shared" ca="1" si="0"/>
        <v/>
      </c>
      <c r="G111" s="29" t="str">
        <f ca="1">VLOOKUP(A111,Calculation!$F$6:$J$1004,3,FALSE)</f>
        <v/>
      </c>
      <c r="H111" s="4" t="str">
        <f ca="1">VLOOKUP(A111,Calculation!$F$6:$J$1004,4,FALSE)</f>
        <v/>
      </c>
      <c r="I111" s="4" t="str">
        <f ca="1">VLOOKUP(A111,Calculation!$F$6:$J$1004,5,FALSE)</f>
        <v/>
      </c>
      <c r="J111" s="43" t="str">
        <f t="shared" ca="1" si="1"/>
        <v/>
      </c>
      <c r="L111" s="29" t="str">
        <f ca="1">VLOOKUP(A111,Calculation!$G$6:$S$1004,2,FALSE)</f>
        <v/>
      </c>
      <c r="M111" s="4" t="str">
        <f ca="1">IFERROR(VLOOKUP($L111,Calculation!$H$6:$S$1005,HLOOKUP(M$2,Calculation!$M$4:$S$5,2,FALSE)+5,FALSE),"")</f>
        <v/>
      </c>
      <c r="N111" s="4" t="str">
        <f ca="1">IFERROR(VLOOKUP($L111,Calculation!$H$6:$S$1005,HLOOKUP(N$2,Calculation!$M$4:$S$5,2,FALSE)+5,FALSE),"")</f>
        <v/>
      </c>
      <c r="O111" s="4" t="str">
        <f ca="1">IFERROR(VLOOKUP($L111,Calculation!$H$6:$S$1005,HLOOKUP(O$2,Calculation!$M$4:$S$5,2,FALSE)+5,FALSE),"")</f>
        <v/>
      </c>
      <c r="P111" s="4" t="str">
        <f ca="1">IFERROR(VLOOKUP($L111,Calculation!$H$6:$S$1005,HLOOKUP(P$2,Calculation!$M$4:$S$5,2,FALSE)+5,FALSE),"")</f>
        <v/>
      </c>
      <c r="Q111" s="4" t="str">
        <f ca="1">IFERROR(VLOOKUP($L111,Calculation!$H$6:$S$1005,HLOOKUP(Q$2,Calculation!$M$4:$S$5,2,FALSE)+5,FALSE),"")</f>
        <v/>
      </c>
      <c r="R111" s="27" t="str">
        <f ca="1">IFERROR(VLOOKUP($L111,Calculation!$H$6:$S$1005,HLOOKUP(R$2,Calculation!$M$4:$S$5,2,FALSE)+5,FALSE),"")</f>
        <v/>
      </c>
      <c r="S111" s="4" t="str">
        <f ca="1">IFERROR(VLOOKUP($L111,Calculation!$H$6:$S$1005,HLOOKUP(S$2,Calculation!$M$4:$S$5,2,FALSE)+5,FALSE),"")</f>
        <v/>
      </c>
      <c r="T111" s="29"/>
      <c r="U111" s="43" t="str">
        <f>IFERROR(VLOOKUP(T111,Calculation!$U$6:$V$11,2,FALSE),"")</f>
        <v/>
      </c>
    </row>
    <row r="112" spans="1:21" ht="14.25" customHeight="1" x14ac:dyDescent="0.3">
      <c r="A112" s="26" t="str">
        <f ca="1">IF(Calculation!T115&lt;=Calculation!$H$4,Calculation!T115,"")</f>
        <v/>
      </c>
      <c r="B112" s="4" t="str">
        <f ca="1">VLOOKUP(A112,Calculation!$E$6:$J$1004,4,FALSE)</f>
        <v/>
      </c>
      <c r="C112" s="4" t="str">
        <f ca="1">VLOOKUP(A112,Calculation!$E$6:$J$1004,5,FALSE)</f>
        <v/>
      </c>
      <c r="D112" s="4" t="str">
        <f ca="1">VLOOKUP(A112,Calculation!$E$6:$J$1004,6,FALSE)</f>
        <v/>
      </c>
      <c r="E112" s="42" t="str">
        <f t="shared" ca="1" si="0"/>
        <v/>
      </c>
      <c r="G112" s="29" t="str">
        <f ca="1">VLOOKUP(A112,Calculation!$F$6:$J$1004,3,FALSE)</f>
        <v/>
      </c>
      <c r="H112" s="4" t="str">
        <f ca="1">VLOOKUP(A112,Calculation!$F$6:$J$1004,4,FALSE)</f>
        <v/>
      </c>
      <c r="I112" s="4" t="str">
        <f ca="1">VLOOKUP(A112,Calculation!$F$6:$J$1004,5,FALSE)</f>
        <v/>
      </c>
      <c r="J112" s="43" t="str">
        <f t="shared" ca="1" si="1"/>
        <v/>
      </c>
      <c r="L112" s="29" t="str">
        <f ca="1">VLOOKUP(A112,Calculation!$G$6:$S$1004,2,FALSE)</f>
        <v/>
      </c>
      <c r="M112" s="4" t="str">
        <f ca="1">IFERROR(VLOOKUP($L112,Calculation!$H$6:$S$1005,HLOOKUP(M$2,Calculation!$M$4:$S$5,2,FALSE)+5,FALSE),"")</f>
        <v/>
      </c>
      <c r="N112" s="4" t="str">
        <f ca="1">IFERROR(VLOOKUP($L112,Calculation!$H$6:$S$1005,HLOOKUP(N$2,Calculation!$M$4:$S$5,2,FALSE)+5,FALSE),"")</f>
        <v/>
      </c>
      <c r="O112" s="4" t="str">
        <f ca="1">IFERROR(VLOOKUP($L112,Calculation!$H$6:$S$1005,HLOOKUP(O$2,Calculation!$M$4:$S$5,2,FALSE)+5,FALSE),"")</f>
        <v/>
      </c>
      <c r="P112" s="4" t="str">
        <f ca="1">IFERROR(VLOOKUP($L112,Calculation!$H$6:$S$1005,HLOOKUP(P$2,Calculation!$M$4:$S$5,2,FALSE)+5,FALSE),"")</f>
        <v/>
      </c>
      <c r="Q112" s="4" t="str">
        <f ca="1">IFERROR(VLOOKUP($L112,Calculation!$H$6:$S$1005,HLOOKUP(Q$2,Calculation!$M$4:$S$5,2,FALSE)+5,FALSE),"")</f>
        <v/>
      </c>
      <c r="R112" s="27" t="str">
        <f ca="1">IFERROR(VLOOKUP($L112,Calculation!$H$6:$S$1005,HLOOKUP(R$2,Calculation!$M$4:$S$5,2,FALSE)+5,FALSE),"")</f>
        <v/>
      </c>
      <c r="S112" s="4" t="str">
        <f ca="1">IFERROR(VLOOKUP($L112,Calculation!$H$6:$S$1005,HLOOKUP(S$2,Calculation!$M$4:$S$5,2,FALSE)+5,FALSE),"")</f>
        <v/>
      </c>
      <c r="T112" s="29"/>
      <c r="U112" s="43" t="str">
        <f>IFERROR(VLOOKUP(T112,Calculation!$U$6:$V$11,2,FALSE),"")</f>
        <v/>
      </c>
    </row>
    <row r="113" spans="1:21" ht="14.25" customHeight="1" x14ac:dyDescent="0.3">
      <c r="A113" s="26" t="str">
        <f ca="1">IF(Calculation!T116&lt;=Calculation!$H$4,Calculation!T116,"")</f>
        <v/>
      </c>
      <c r="B113" s="4" t="str">
        <f ca="1">VLOOKUP(A113,Calculation!$E$6:$J$1004,4,FALSE)</f>
        <v/>
      </c>
      <c r="C113" s="4" t="str">
        <f ca="1">VLOOKUP(A113,Calculation!$E$6:$J$1004,5,FALSE)</f>
        <v/>
      </c>
      <c r="D113" s="4" t="str">
        <f ca="1">VLOOKUP(A113,Calculation!$E$6:$J$1004,6,FALSE)</f>
        <v/>
      </c>
      <c r="E113" s="42" t="str">
        <f t="shared" ca="1" si="0"/>
        <v/>
      </c>
      <c r="G113" s="29" t="str">
        <f ca="1">VLOOKUP(A113,Calculation!$F$6:$J$1004,3,FALSE)</f>
        <v/>
      </c>
      <c r="H113" s="4" t="str">
        <f ca="1">VLOOKUP(A113,Calculation!$F$6:$J$1004,4,FALSE)</f>
        <v/>
      </c>
      <c r="I113" s="4" t="str">
        <f ca="1">VLOOKUP(A113,Calculation!$F$6:$J$1004,5,FALSE)</f>
        <v/>
      </c>
      <c r="J113" s="43" t="str">
        <f t="shared" ca="1" si="1"/>
        <v/>
      </c>
      <c r="L113" s="29" t="str">
        <f ca="1">VLOOKUP(A113,Calculation!$G$6:$S$1004,2,FALSE)</f>
        <v/>
      </c>
      <c r="M113" s="4" t="str">
        <f ca="1">IFERROR(VLOOKUP($L113,Calculation!$H$6:$S$1005,HLOOKUP(M$2,Calculation!$M$4:$S$5,2,FALSE)+5,FALSE),"")</f>
        <v/>
      </c>
      <c r="N113" s="4" t="str">
        <f ca="1">IFERROR(VLOOKUP($L113,Calculation!$H$6:$S$1005,HLOOKUP(N$2,Calculation!$M$4:$S$5,2,FALSE)+5,FALSE),"")</f>
        <v/>
      </c>
      <c r="O113" s="4" t="str">
        <f ca="1">IFERROR(VLOOKUP($L113,Calculation!$H$6:$S$1005,HLOOKUP(O$2,Calculation!$M$4:$S$5,2,FALSE)+5,FALSE),"")</f>
        <v/>
      </c>
      <c r="P113" s="4" t="str">
        <f ca="1">IFERROR(VLOOKUP($L113,Calculation!$H$6:$S$1005,HLOOKUP(P$2,Calculation!$M$4:$S$5,2,FALSE)+5,FALSE),"")</f>
        <v/>
      </c>
      <c r="Q113" s="4" t="str">
        <f ca="1">IFERROR(VLOOKUP($L113,Calculation!$H$6:$S$1005,HLOOKUP(Q$2,Calculation!$M$4:$S$5,2,FALSE)+5,FALSE),"")</f>
        <v/>
      </c>
      <c r="R113" s="27" t="str">
        <f ca="1">IFERROR(VLOOKUP($L113,Calculation!$H$6:$S$1005,HLOOKUP(R$2,Calculation!$M$4:$S$5,2,FALSE)+5,FALSE),"")</f>
        <v/>
      </c>
      <c r="S113" s="4" t="str">
        <f ca="1">IFERROR(VLOOKUP($L113,Calculation!$H$6:$S$1005,HLOOKUP(S$2,Calculation!$M$4:$S$5,2,FALSE)+5,FALSE),"")</f>
        <v/>
      </c>
      <c r="T113" s="29"/>
      <c r="U113" s="43" t="str">
        <f>IFERROR(VLOOKUP(T113,Calculation!$U$6:$V$11,2,FALSE),"")</f>
        <v/>
      </c>
    </row>
    <row r="114" spans="1:21" ht="14.25" customHeight="1" x14ac:dyDescent="0.3">
      <c r="A114" s="26" t="str">
        <f ca="1">IF(Calculation!T117&lt;=Calculation!$H$4,Calculation!T117,"")</f>
        <v/>
      </c>
      <c r="B114" s="4" t="str">
        <f ca="1">VLOOKUP(A114,Calculation!$E$6:$J$1004,4,FALSE)</f>
        <v/>
      </c>
      <c r="C114" s="4" t="str">
        <f ca="1">VLOOKUP(A114,Calculation!$E$6:$J$1004,5,FALSE)</f>
        <v/>
      </c>
      <c r="D114" s="4" t="str">
        <f ca="1">VLOOKUP(A114,Calculation!$E$6:$J$1004,6,FALSE)</f>
        <v/>
      </c>
      <c r="E114" s="42" t="str">
        <f t="shared" ca="1" si="0"/>
        <v/>
      </c>
      <c r="G114" s="29" t="str">
        <f ca="1">VLOOKUP(A114,Calculation!$F$6:$J$1004,3,FALSE)</f>
        <v/>
      </c>
      <c r="H114" s="4" t="str">
        <f ca="1">VLOOKUP(A114,Calculation!$F$6:$J$1004,4,FALSE)</f>
        <v/>
      </c>
      <c r="I114" s="4" t="str">
        <f ca="1">VLOOKUP(A114,Calculation!$F$6:$J$1004,5,FALSE)</f>
        <v/>
      </c>
      <c r="J114" s="43" t="str">
        <f t="shared" ca="1" si="1"/>
        <v/>
      </c>
      <c r="L114" s="29" t="str">
        <f ca="1">VLOOKUP(A114,Calculation!$G$6:$S$1004,2,FALSE)</f>
        <v/>
      </c>
      <c r="M114" s="4" t="str">
        <f ca="1">IFERROR(VLOOKUP($L114,Calculation!$H$6:$S$1005,HLOOKUP(M$2,Calculation!$M$4:$S$5,2,FALSE)+5,FALSE),"")</f>
        <v/>
      </c>
      <c r="N114" s="4" t="str">
        <f ca="1">IFERROR(VLOOKUP($L114,Calculation!$H$6:$S$1005,HLOOKUP(N$2,Calculation!$M$4:$S$5,2,FALSE)+5,FALSE),"")</f>
        <v/>
      </c>
      <c r="O114" s="4" t="str">
        <f ca="1">IFERROR(VLOOKUP($L114,Calculation!$H$6:$S$1005,HLOOKUP(O$2,Calculation!$M$4:$S$5,2,FALSE)+5,FALSE),"")</f>
        <v/>
      </c>
      <c r="P114" s="4" t="str">
        <f ca="1">IFERROR(VLOOKUP($L114,Calculation!$H$6:$S$1005,HLOOKUP(P$2,Calculation!$M$4:$S$5,2,FALSE)+5,FALSE),"")</f>
        <v/>
      </c>
      <c r="Q114" s="4" t="str">
        <f ca="1">IFERROR(VLOOKUP($L114,Calculation!$H$6:$S$1005,HLOOKUP(Q$2,Calculation!$M$4:$S$5,2,FALSE)+5,FALSE),"")</f>
        <v/>
      </c>
      <c r="R114" s="27" t="str">
        <f ca="1">IFERROR(VLOOKUP($L114,Calculation!$H$6:$S$1005,HLOOKUP(R$2,Calculation!$M$4:$S$5,2,FALSE)+5,FALSE),"")</f>
        <v/>
      </c>
      <c r="S114" s="4" t="str">
        <f ca="1">IFERROR(VLOOKUP($L114,Calculation!$H$6:$S$1005,HLOOKUP(S$2,Calculation!$M$4:$S$5,2,FALSE)+5,FALSE),"")</f>
        <v/>
      </c>
      <c r="T114" s="29"/>
      <c r="U114" s="43" t="str">
        <f>IFERROR(VLOOKUP(T114,Calculation!$U$6:$V$11,2,FALSE),"")</f>
        <v/>
      </c>
    </row>
    <row r="115" spans="1:21" ht="14.25" customHeight="1" x14ac:dyDescent="0.3">
      <c r="A115" s="26" t="str">
        <f ca="1">IF(Calculation!T118&lt;=Calculation!$H$4,Calculation!T118,"")</f>
        <v/>
      </c>
      <c r="B115" s="4" t="str">
        <f ca="1">VLOOKUP(A115,Calculation!$E$6:$J$1004,4,FALSE)</f>
        <v/>
      </c>
      <c r="C115" s="4" t="str">
        <f ca="1">VLOOKUP(A115,Calculation!$E$6:$J$1004,5,FALSE)</f>
        <v/>
      </c>
      <c r="D115" s="4" t="str">
        <f ca="1">VLOOKUP(A115,Calculation!$E$6:$J$1004,6,FALSE)</f>
        <v/>
      </c>
      <c r="E115" s="42" t="str">
        <f t="shared" ca="1" si="0"/>
        <v/>
      </c>
      <c r="G115" s="29" t="str">
        <f ca="1">VLOOKUP(A115,Calculation!$F$6:$J$1004,3,FALSE)</f>
        <v/>
      </c>
      <c r="H115" s="4" t="str">
        <f ca="1">VLOOKUP(A115,Calculation!$F$6:$J$1004,4,FALSE)</f>
        <v/>
      </c>
      <c r="I115" s="4" t="str">
        <f ca="1">VLOOKUP(A115,Calculation!$F$6:$J$1004,5,FALSE)</f>
        <v/>
      </c>
      <c r="J115" s="43" t="str">
        <f t="shared" ca="1" si="1"/>
        <v/>
      </c>
      <c r="L115" s="29" t="str">
        <f ca="1">VLOOKUP(A115,Calculation!$G$6:$S$1004,2,FALSE)</f>
        <v/>
      </c>
      <c r="M115" s="4" t="str">
        <f ca="1">IFERROR(VLOOKUP($L115,Calculation!$H$6:$S$1005,HLOOKUP(M$2,Calculation!$M$4:$S$5,2,FALSE)+5,FALSE),"")</f>
        <v/>
      </c>
      <c r="N115" s="4" t="str">
        <f ca="1">IFERROR(VLOOKUP($L115,Calculation!$H$6:$S$1005,HLOOKUP(N$2,Calculation!$M$4:$S$5,2,FALSE)+5,FALSE),"")</f>
        <v/>
      </c>
      <c r="O115" s="4" t="str">
        <f ca="1">IFERROR(VLOOKUP($L115,Calculation!$H$6:$S$1005,HLOOKUP(O$2,Calculation!$M$4:$S$5,2,FALSE)+5,FALSE),"")</f>
        <v/>
      </c>
      <c r="P115" s="4" t="str">
        <f ca="1">IFERROR(VLOOKUP($L115,Calculation!$H$6:$S$1005,HLOOKUP(P$2,Calculation!$M$4:$S$5,2,FALSE)+5,FALSE),"")</f>
        <v/>
      </c>
      <c r="Q115" s="4" t="str">
        <f ca="1">IFERROR(VLOOKUP($L115,Calculation!$H$6:$S$1005,HLOOKUP(Q$2,Calculation!$M$4:$S$5,2,FALSE)+5,FALSE),"")</f>
        <v/>
      </c>
      <c r="R115" s="27" t="str">
        <f ca="1">IFERROR(VLOOKUP($L115,Calculation!$H$6:$S$1005,HLOOKUP(R$2,Calculation!$M$4:$S$5,2,FALSE)+5,FALSE),"")</f>
        <v/>
      </c>
      <c r="S115" s="4" t="str">
        <f ca="1">IFERROR(VLOOKUP($L115,Calculation!$H$6:$S$1005,HLOOKUP(S$2,Calculation!$M$4:$S$5,2,FALSE)+5,FALSE),"")</f>
        <v/>
      </c>
      <c r="T115" s="29"/>
      <c r="U115" s="43" t="str">
        <f>IFERROR(VLOOKUP(T115,Calculation!$U$6:$V$11,2,FALSE),"")</f>
        <v/>
      </c>
    </row>
    <row r="116" spans="1:21" ht="14.25" customHeight="1" x14ac:dyDescent="0.3">
      <c r="A116" s="26" t="str">
        <f ca="1">IF(Calculation!T119&lt;=Calculation!$H$4,Calculation!T119,"")</f>
        <v/>
      </c>
      <c r="B116" s="4" t="str">
        <f ca="1">VLOOKUP(A116,Calculation!$E$6:$J$1004,4,FALSE)</f>
        <v/>
      </c>
      <c r="C116" s="4" t="str">
        <f ca="1">VLOOKUP(A116,Calculation!$E$6:$J$1004,5,FALSE)</f>
        <v/>
      </c>
      <c r="D116" s="4" t="str">
        <f ca="1">VLOOKUP(A116,Calculation!$E$6:$J$1004,6,FALSE)</f>
        <v/>
      </c>
      <c r="E116" s="42" t="str">
        <f t="shared" ca="1" si="0"/>
        <v/>
      </c>
      <c r="G116" s="29" t="str">
        <f ca="1">VLOOKUP(A116,Calculation!$F$6:$J$1004,3,FALSE)</f>
        <v/>
      </c>
      <c r="H116" s="4" t="str">
        <f ca="1">VLOOKUP(A116,Calculation!$F$6:$J$1004,4,FALSE)</f>
        <v/>
      </c>
      <c r="I116" s="4" t="str">
        <f ca="1">VLOOKUP(A116,Calculation!$F$6:$J$1004,5,FALSE)</f>
        <v/>
      </c>
      <c r="J116" s="43" t="str">
        <f t="shared" ca="1" si="1"/>
        <v/>
      </c>
      <c r="L116" s="29" t="str">
        <f ca="1">VLOOKUP(A116,Calculation!$G$6:$S$1004,2,FALSE)</f>
        <v/>
      </c>
      <c r="M116" s="4" t="str">
        <f ca="1">IFERROR(VLOOKUP($L116,Calculation!$H$6:$S$1005,HLOOKUP(M$2,Calculation!$M$4:$S$5,2,FALSE)+5,FALSE),"")</f>
        <v/>
      </c>
      <c r="N116" s="4" t="str">
        <f ca="1">IFERROR(VLOOKUP($L116,Calculation!$H$6:$S$1005,HLOOKUP(N$2,Calculation!$M$4:$S$5,2,FALSE)+5,FALSE),"")</f>
        <v/>
      </c>
      <c r="O116" s="4" t="str">
        <f ca="1">IFERROR(VLOOKUP($L116,Calculation!$H$6:$S$1005,HLOOKUP(O$2,Calculation!$M$4:$S$5,2,FALSE)+5,FALSE),"")</f>
        <v/>
      </c>
      <c r="P116" s="4" t="str">
        <f ca="1">IFERROR(VLOOKUP($L116,Calculation!$H$6:$S$1005,HLOOKUP(P$2,Calculation!$M$4:$S$5,2,FALSE)+5,FALSE),"")</f>
        <v/>
      </c>
      <c r="Q116" s="4" t="str">
        <f ca="1">IFERROR(VLOOKUP($L116,Calculation!$H$6:$S$1005,HLOOKUP(Q$2,Calculation!$M$4:$S$5,2,FALSE)+5,FALSE),"")</f>
        <v/>
      </c>
      <c r="R116" s="27" t="str">
        <f ca="1">IFERROR(VLOOKUP($L116,Calculation!$H$6:$S$1005,HLOOKUP(R$2,Calculation!$M$4:$S$5,2,FALSE)+5,FALSE),"")</f>
        <v/>
      </c>
      <c r="S116" s="4" t="str">
        <f ca="1">IFERROR(VLOOKUP($L116,Calculation!$H$6:$S$1005,HLOOKUP(S$2,Calculation!$M$4:$S$5,2,FALSE)+5,FALSE),"")</f>
        <v/>
      </c>
      <c r="T116" s="29"/>
      <c r="U116" s="43" t="str">
        <f>IFERROR(VLOOKUP(T116,Calculation!$U$6:$V$11,2,FALSE),"")</f>
        <v/>
      </c>
    </row>
    <row r="117" spans="1:21" ht="14.25" customHeight="1" x14ac:dyDescent="0.3">
      <c r="A117" s="26" t="str">
        <f ca="1">IF(Calculation!T120&lt;=Calculation!$H$4,Calculation!T120,"")</f>
        <v/>
      </c>
      <c r="B117" s="4" t="str">
        <f ca="1">VLOOKUP(A117,Calculation!$E$6:$J$1004,4,FALSE)</f>
        <v/>
      </c>
      <c r="C117" s="4" t="str">
        <f ca="1">VLOOKUP(A117,Calculation!$E$6:$J$1004,5,FALSE)</f>
        <v/>
      </c>
      <c r="D117" s="4" t="str">
        <f ca="1">VLOOKUP(A117,Calculation!$E$6:$J$1004,6,FALSE)</f>
        <v/>
      </c>
      <c r="E117" s="42" t="str">
        <f t="shared" ca="1" si="0"/>
        <v/>
      </c>
      <c r="G117" s="29" t="str">
        <f ca="1">VLOOKUP(A117,Calculation!$F$6:$J$1004,3,FALSE)</f>
        <v/>
      </c>
      <c r="H117" s="4" t="str">
        <f ca="1">VLOOKUP(A117,Calculation!$F$6:$J$1004,4,FALSE)</f>
        <v/>
      </c>
      <c r="I117" s="4" t="str">
        <f ca="1">VLOOKUP(A117,Calculation!$F$6:$J$1004,5,FALSE)</f>
        <v/>
      </c>
      <c r="J117" s="43" t="str">
        <f t="shared" ca="1" si="1"/>
        <v/>
      </c>
      <c r="L117" s="29" t="str">
        <f ca="1">VLOOKUP(A117,Calculation!$G$6:$S$1004,2,FALSE)</f>
        <v/>
      </c>
      <c r="M117" s="4" t="str">
        <f ca="1">IFERROR(VLOOKUP($L117,Calculation!$H$6:$S$1005,HLOOKUP(M$2,Calculation!$M$4:$S$5,2,FALSE)+5,FALSE),"")</f>
        <v/>
      </c>
      <c r="N117" s="4" t="str">
        <f ca="1">IFERROR(VLOOKUP($L117,Calculation!$H$6:$S$1005,HLOOKUP(N$2,Calculation!$M$4:$S$5,2,FALSE)+5,FALSE),"")</f>
        <v/>
      </c>
      <c r="O117" s="4" t="str">
        <f ca="1">IFERROR(VLOOKUP($L117,Calculation!$H$6:$S$1005,HLOOKUP(O$2,Calculation!$M$4:$S$5,2,FALSE)+5,FALSE),"")</f>
        <v/>
      </c>
      <c r="P117" s="4" t="str">
        <f ca="1">IFERROR(VLOOKUP($L117,Calculation!$H$6:$S$1005,HLOOKUP(P$2,Calculation!$M$4:$S$5,2,FALSE)+5,FALSE),"")</f>
        <v/>
      </c>
      <c r="Q117" s="4" t="str">
        <f ca="1">IFERROR(VLOOKUP($L117,Calculation!$H$6:$S$1005,HLOOKUP(Q$2,Calculation!$M$4:$S$5,2,FALSE)+5,FALSE),"")</f>
        <v/>
      </c>
      <c r="R117" s="27" t="str">
        <f ca="1">IFERROR(VLOOKUP($L117,Calculation!$H$6:$S$1005,HLOOKUP(R$2,Calculation!$M$4:$S$5,2,FALSE)+5,FALSE),"")</f>
        <v/>
      </c>
      <c r="S117" s="4" t="str">
        <f ca="1">IFERROR(VLOOKUP($L117,Calculation!$H$6:$S$1005,HLOOKUP(S$2,Calculation!$M$4:$S$5,2,FALSE)+5,FALSE),"")</f>
        <v/>
      </c>
      <c r="T117" s="29"/>
      <c r="U117" s="43" t="str">
        <f>IFERROR(VLOOKUP(T117,Calculation!$U$6:$V$11,2,FALSE),"")</f>
        <v/>
      </c>
    </row>
    <row r="118" spans="1:21" ht="14.25" customHeight="1" x14ac:dyDescent="0.3">
      <c r="A118" s="26" t="str">
        <f ca="1">IF(Calculation!T121&lt;=Calculation!$H$4,Calculation!T121,"")</f>
        <v/>
      </c>
      <c r="B118" s="4" t="str">
        <f ca="1">VLOOKUP(A118,Calculation!$E$6:$J$1004,4,FALSE)</f>
        <v/>
      </c>
      <c r="C118" s="4" t="str">
        <f ca="1">VLOOKUP(A118,Calculation!$E$6:$J$1004,5,FALSE)</f>
        <v/>
      </c>
      <c r="D118" s="4" t="str">
        <f ca="1">VLOOKUP(A118,Calculation!$E$6:$J$1004,6,FALSE)</f>
        <v/>
      </c>
      <c r="E118" s="42" t="str">
        <f t="shared" ca="1" si="0"/>
        <v/>
      </c>
      <c r="G118" s="29" t="str">
        <f ca="1">VLOOKUP(A118,Calculation!$F$6:$J$1004,3,FALSE)</f>
        <v/>
      </c>
      <c r="H118" s="4" t="str">
        <f ca="1">VLOOKUP(A118,Calculation!$F$6:$J$1004,4,FALSE)</f>
        <v/>
      </c>
      <c r="I118" s="4" t="str">
        <f ca="1">VLOOKUP(A118,Calculation!$F$6:$J$1004,5,FALSE)</f>
        <v/>
      </c>
      <c r="J118" s="43" t="str">
        <f t="shared" ca="1" si="1"/>
        <v/>
      </c>
      <c r="L118" s="29" t="str">
        <f ca="1">VLOOKUP(A118,Calculation!$G$6:$S$1004,2,FALSE)</f>
        <v/>
      </c>
      <c r="M118" s="4" t="str">
        <f ca="1">IFERROR(VLOOKUP($L118,Calculation!$H$6:$S$1005,HLOOKUP(M$2,Calculation!$M$4:$S$5,2,FALSE)+5,FALSE),"")</f>
        <v/>
      </c>
      <c r="N118" s="4" t="str">
        <f ca="1">IFERROR(VLOOKUP($L118,Calculation!$H$6:$S$1005,HLOOKUP(N$2,Calculation!$M$4:$S$5,2,FALSE)+5,FALSE),"")</f>
        <v/>
      </c>
      <c r="O118" s="4" t="str">
        <f ca="1">IFERROR(VLOOKUP($L118,Calculation!$H$6:$S$1005,HLOOKUP(O$2,Calculation!$M$4:$S$5,2,FALSE)+5,FALSE),"")</f>
        <v/>
      </c>
      <c r="P118" s="4" t="str">
        <f ca="1">IFERROR(VLOOKUP($L118,Calculation!$H$6:$S$1005,HLOOKUP(P$2,Calculation!$M$4:$S$5,2,FALSE)+5,FALSE),"")</f>
        <v/>
      </c>
      <c r="Q118" s="4" t="str">
        <f ca="1">IFERROR(VLOOKUP($L118,Calculation!$H$6:$S$1005,HLOOKUP(Q$2,Calculation!$M$4:$S$5,2,FALSE)+5,FALSE),"")</f>
        <v/>
      </c>
      <c r="R118" s="27" t="str">
        <f ca="1">IFERROR(VLOOKUP($L118,Calculation!$H$6:$S$1005,HLOOKUP(R$2,Calculation!$M$4:$S$5,2,FALSE)+5,FALSE),"")</f>
        <v/>
      </c>
      <c r="S118" s="4" t="str">
        <f ca="1">IFERROR(VLOOKUP($L118,Calculation!$H$6:$S$1005,HLOOKUP(S$2,Calculation!$M$4:$S$5,2,FALSE)+5,FALSE),"")</f>
        <v/>
      </c>
      <c r="T118" s="29"/>
      <c r="U118" s="43" t="str">
        <f>IFERROR(VLOOKUP(T118,Calculation!$U$6:$V$11,2,FALSE),"")</f>
        <v/>
      </c>
    </row>
    <row r="119" spans="1:21" ht="14.25" customHeight="1" x14ac:dyDescent="0.3">
      <c r="A119" s="26" t="str">
        <f ca="1">IF(Calculation!T122&lt;=Calculation!$H$4,Calculation!T122,"")</f>
        <v/>
      </c>
      <c r="B119" s="4" t="str">
        <f ca="1">VLOOKUP(A119,Calculation!$E$6:$J$1004,4,FALSE)</f>
        <v/>
      </c>
      <c r="C119" s="4" t="str">
        <f ca="1">VLOOKUP(A119,Calculation!$E$6:$J$1004,5,FALSE)</f>
        <v/>
      </c>
      <c r="D119" s="4" t="str">
        <f ca="1">VLOOKUP(A119,Calculation!$E$6:$J$1004,6,FALSE)</f>
        <v/>
      </c>
      <c r="E119" s="42" t="str">
        <f t="shared" ca="1" si="0"/>
        <v/>
      </c>
      <c r="G119" s="29" t="str">
        <f ca="1">VLOOKUP(A119,Calculation!$F$6:$J$1004,3,FALSE)</f>
        <v/>
      </c>
      <c r="H119" s="4" t="str">
        <f ca="1">VLOOKUP(A119,Calculation!$F$6:$J$1004,4,FALSE)</f>
        <v/>
      </c>
      <c r="I119" s="4" t="str">
        <f ca="1">VLOOKUP(A119,Calculation!$F$6:$J$1004,5,FALSE)</f>
        <v/>
      </c>
      <c r="J119" s="43" t="str">
        <f t="shared" ca="1" si="1"/>
        <v/>
      </c>
      <c r="L119" s="29" t="str">
        <f ca="1">VLOOKUP(A119,Calculation!$G$6:$S$1004,2,FALSE)</f>
        <v/>
      </c>
      <c r="M119" s="4" t="str">
        <f ca="1">IFERROR(VLOOKUP($L119,Calculation!$H$6:$S$1005,HLOOKUP(M$2,Calculation!$M$4:$S$5,2,FALSE)+5,FALSE),"")</f>
        <v/>
      </c>
      <c r="N119" s="4" t="str">
        <f ca="1">IFERROR(VLOOKUP($L119,Calculation!$H$6:$S$1005,HLOOKUP(N$2,Calculation!$M$4:$S$5,2,FALSE)+5,FALSE),"")</f>
        <v/>
      </c>
      <c r="O119" s="4" t="str">
        <f ca="1">IFERROR(VLOOKUP($L119,Calculation!$H$6:$S$1005,HLOOKUP(O$2,Calculation!$M$4:$S$5,2,FALSE)+5,FALSE),"")</f>
        <v/>
      </c>
      <c r="P119" s="4" t="str">
        <f ca="1">IFERROR(VLOOKUP($L119,Calculation!$H$6:$S$1005,HLOOKUP(P$2,Calculation!$M$4:$S$5,2,FALSE)+5,FALSE),"")</f>
        <v/>
      </c>
      <c r="Q119" s="4" t="str">
        <f ca="1">IFERROR(VLOOKUP($L119,Calculation!$H$6:$S$1005,HLOOKUP(Q$2,Calculation!$M$4:$S$5,2,FALSE)+5,FALSE),"")</f>
        <v/>
      </c>
      <c r="R119" s="27" t="str">
        <f ca="1">IFERROR(VLOOKUP($L119,Calculation!$H$6:$S$1005,HLOOKUP(R$2,Calculation!$M$4:$S$5,2,FALSE)+5,FALSE),"")</f>
        <v/>
      </c>
      <c r="S119" s="4" t="str">
        <f ca="1">IFERROR(VLOOKUP($L119,Calculation!$H$6:$S$1005,HLOOKUP(S$2,Calculation!$M$4:$S$5,2,FALSE)+5,FALSE),"")</f>
        <v/>
      </c>
      <c r="T119" s="29"/>
      <c r="U119" s="43" t="str">
        <f>IFERROR(VLOOKUP(T119,Calculation!$U$6:$V$11,2,FALSE),"")</f>
        <v/>
      </c>
    </row>
    <row r="120" spans="1:21" ht="14.25" customHeight="1" x14ac:dyDescent="0.3">
      <c r="A120" s="26" t="str">
        <f ca="1">IF(Calculation!T123&lt;=Calculation!$H$4,Calculation!T123,"")</f>
        <v/>
      </c>
      <c r="B120" s="4" t="str">
        <f ca="1">VLOOKUP(A120,Calculation!$E$6:$J$1004,4,FALSE)</f>
        <v/>
      </c>
      <c r="C120" s="4" t="str">
        <f ca="1">VLOOKUP(A120,Calculation!$E$6:$J$1004,5,FALSE)</f>
        <v/>
      </c>
      <c r="D120" s="4" t="str">
        <f ca="1">VLOOKUP(A120,Calculation!$E$6:$J$1004,6,FALSE)</f>
        <v/>
      </c>
      <c r="E120" s="42" t="str">
        <f t="shared" ca="1" si="0"/>
        <v/>
      </c>
      <c r="G120" s="29" t="str">
        <f ca="1">VLOOKUP(A120,Calculation!$F$6:$J$1004,3,FALSE)</f>
        <v/>
      </c>
      <c r="H120" s="4" t="str">
        <f ca="1">VLOOKUP(A120,Calculation!$F$6:$J$1004,4,FALSE)</f>
        <v/>
      </c>
      <c r="I120" s="4" t="str">
        <f ca="1">VLOOKUP(A120,Calculation!$F$6:$J$1004,5,FALSE)</f>
        <v/>
      </c>
      <c r="J120" s="43" t="str">
        <f t="shared" ca="1" si="1"/>
        <v/>
      </c>
      <c r="L120" s="29" t="str">
        <f ca="1">VLOOKUP(A120,Calculation!$G$6:$S$1004,2,FALSE)</f>
        <v/>
      </c>
      <c r="M120" s="4" t="str">
        <f ca="1">IFERROR(VLOOKUP($L120,Calculation!$H$6:$S$1005,HLOOKUP(M$2,Calculation!$M$4:$S$5,2,FALSE)+5,FALSE),"")</f>
        <v/>
      </c>
      <c r="N120" s="4" t="str">
        <f ca="1">IFERROR(VLOOKUP($L120,Calculation!$H$6:$S$1005,HLOOKUP(N$2,Calculation!$M$4:$S$5,2,FALSE)+5,FALSE),"")</f>
        <v/>
      </c>
      <c r="O120" s="4" t="str">
        <f ca="1">IFERROR(VLOOKUP($L120,Calculation!$H$6:$S$1005,HLOOKUP(O$2,Calculation!$M$4:$S$5,2,FALSE)+5,FALSE),"")</f>
        <v/>
      </c>
      <c r="P120" s="4" t="str">
        <f ca="1">IFERROR(VLOOKUP($L120,Calculation!$H$6:$S$1005,HLOOKUP(P$2,Calculation!$M$4:$S$5,2,FALSE)+5,FALSE),"")</f>
        <v/>
      </c>
      <c r="Q120" s="4" t="str">
        <f ca="1">IFERROR(VLOOKUP($L120,Calculation!$H$6:$S$1005,HLOOKUP(Q$2,Calculation!$M$4:$S$5,2,FALSE)+5,FALSE),"")</f>
        <v/>
      </c>
      <c r="R120" s="27" t="str">
        <f ca="1">IFERROR(VLOOKUP($L120,Calculation!$H$6:$S$1005,HLOOKUP(R$2,Calculation!$M$4:$S$5,2,FALSE)+5,FALSE),"")</f>
        <v/>
      </c>
      <c r="S120" s="4" t="str">
        <f ca="1">IFERROR(VLOOKUP($L120,Calculation!$H$6:$S$1005,HLOOKUP(S$2,Calculation!$M$4:$S$5,2,FALSE)+5,FALSE),"")</f>
        <v/>
      </c>
      <c r="T120" s="29"/>
      <c r="U120" s="43" t="str">
        <f>IFERROR(VLOOKUP(T120,Calculation!$U$6:$V$11,2,FALSE),"")</f>
        <v/>
      </c>
    </row>
    <row r="121" spans="1:21" ht="14.25" customHeight="1" x14ac:dyDescent="0.3">
      <c r="A121" s="26" t="str">
        <f ca="1">IF(Calculation!T124&lt;=Calculation!$H$4,Calculation!T124,"")</f>
        <v/>
      </c>
      <c r="B121" s="4" t="str">
        <f ca="1">VLOOKUP(A121,Calculation!$E$6:$J$1004,4,FALSE)</f>
        <v/>
      </c>
      <c r="C121" s="4" t="str">
        <f ca="1">VLOOKUP(A121,Calculation!$E$6:$J$1004,5,FALSE)</f>
        <v/>
      </c>
      <c r="D121" s="4" t="str">
        <f ca="1">VLOOKUP(A121,Calculation!$E$6:$J$1004,6,FALSE)</f>
        <v/>
      </c>
      <c r="E121" s="42" t="str">
        <f t="shared" ca="1" si="0"/>
        <v/>
      </c>
      <c r="G121" s="29" t="str">
        <f ca="1">VLOOKUP(A121,Calculation!$F$6:$J$1004,3,FALSE)</f>
        <v/>
      </c>
      <c r="H121" s="4" t="str">
        <f ca="1">VLOOKUP(A121,Calculation!$F$6:$J$1004,4,FALSE)</f>
        <v/>
      </c>
      <c r="I121" s="4" t="str">
        <f ca="1">VLOOKUP(A121,Calculation!$F$6:$J$1004,5,FALSE)</f>
        <v/>
      </c>
      <c r="J121" s="43" t="str">
        <f t="shared" ca="1" si="1"/>
        <v/>
      </c>
      <c r="L121" s="29" t="str">
        <f ca="1">VLOOKUP(A121,Calculation!$G$6:$S$1004,2,FALSE)</f>
        <v/>
      </c>
      <c r="M121" s="4" t="str">
        <f ca="1">IFERROR(VLOOKUP($L121,Calculation!$H$6:$S$1005,HLOOKUP(M$2,Calculation!$M$4:$S$5,2,FALSE)+5,FALSE),"")</f>
        <v/>
      </c>
      <c r="N121" s="4" t="str">
        <f ca="1">IFERROR(VLOOKUP($L121,Calculation!$H$6:$S$1005,HLOOKUP(N$2,Calculation!$M$4:$S$5,2,FALSE)+5,FALSE),"")</f>
        <v/>
      </c>
      <c r="O121" s="4" t="str">
        <f ca="1">IFERROR(VLOOKUP($L121,Calculation!$H$6:$S$1005,HLOOKUP(O$2,Calculation!$M$4:$S$5,2,FALSE)+5,FALSE),"")</f>
        <v/>
      </c>
      <c r="P121" s="4" t="str">
        <f ca="1">IFERROR(VLOOKUP($L121,Calculation!$H$6:$S$1005,HLOOKUP(P$2,Calculation!$M$4:$S$5,2,FALSE)+5,FALSE),"")</f>
        <v/>
      </c>
      <c r="Q121" s="4" t="str">
        <f ca="1">IFERROR(VLOOKUP($L121,Calculation!$H$6:$S$1005,HLOOKUP(Q$2,Calculation!$M$4:$S$5,2,FALSE)+5,FALSE),"")</f>
        <v/>
      </c>
      <c r="R121" s="27" t="str">
        <f ca="1">IFERROR(VLOOKUP($L121,Calculation!$H$6:$S$1005,HLOOKUP(R$2,Calculation!$M$4:$S$5,2,FALSE)+5,FALSE),"")</f>
        <v/>
      </c>
      <c r="S121" s="4" t="str">
        <f ca="1">IFERROR(VLOOKUP($L121,Calculation!$H$6:$S$1005,HLOOKUP(S$2,Calculation!$M$4:$S$5,2,FALSE)+5,FALSE),"")</f>
        <v/>
      </c>
      <c r="T121" s="29"/>
      <c r="U121" s="43" t="str">
        <f>IFERROR(VLOOKUP(T121,Calculation!$U$6:$V$11,2,FALSE),"")</f>
        <v/>
      </c>
    </row>
    <row r="122" spans="1:21" ht="14.25" customHeight="1" x14ac:dyDescent="0.3">
      <c r="A122" s="26" t="str">
        <f ca="1">IF(Calculation!T125&lt;=Calculation!$H$4,Calculation!T125,"")</f>
        <v/>
      </c>
      <c r="B122" s="4" t="str">
        <f ca="1">VLOOKUP(A122,Calculation!$E$6:$J$1004,4,FALSE)</f>
        <v/>
      </c>
      <c r="C122" s="4" t="str">
        <f ca="1">VLOOKUP(A122,Calculation!$E$6:$J$1004,5,FALSE)</f>
        <v/>
      </c>
      <c r="D122" s="4" t="str">
        <f ca="1">VLOOKUP(A122,Calculation!$E$6:$J$1004,6,FALSE)</f>
        <v/>
      </c>
      <c r="E122" s="42" t="str">
        <f t="shared" ca="1" si="0"/>
        <v/>
      </c>
      <c r="G122" s="29" t="str">
        <f ca="1">VLOOKUP(A122,Calculation!$F$6:$J$1004,3,FALSE)</f>
        <v/>
      </c>
      <c r="H122" s="4" t="str">
        <f ca="1">VLOOKUP(A122,Calculation!$F$6:$J$1004,4,FALSE)</f>
        <v/>
      </c>
      <c r="I122" s="4" t="str">
        <f ca="1">VLOOKUP(A122,Calculation!$F$6:$J$1004,5,FALSE)</f>
        <v/>
      </c>
      <c r="J122" s="43" t="str">
        <f t="shared" ca="1" si="1"/>
        <v/>
      </c>
      <c r="L122" s="29" t="str">
        <f ca="1">VLOOKUP(A122,Calculation!$G$6:$S$1004,2,FALSE)</f>
        <v/>
      </c>
      <c r="M122" s="4" t="str">
        <f ca="1">IFERROR(VLOOKUP($L122,Calculation!$H$6:$S$1005,HLOOKUP(M$2,Calculation!$M$4:$S$5,2,FALSE)+5,FALSE),"")</f>
        <v/>
      </c>
      <c r="N122" s="4" t="str">
        <f ca="1">IFERROR(VLOOKUP($L122,Calculation!$H$6:$S$1005,HLOOKUP(N$2,Calculation!$M$4:$S$5,2,FALSE)+5,FALSE),"")</f>
        <v/>
      </c>
      <c r="O122" s="4" t="str">
        <f ca="1">IFERROR(VLOOKUP($L122,Calculation!$H$6:$S$1005,HLOOKUP(O$2,Calculation!$M$4:$S$5,2,FALSE)+5,FALSE),"")</f>
        <v/>
      </c>
      <c r="P122" s="4" t="str">
        <f ca="1">IFERROR(VLOOKUP($L122,Calculation!$H$6:$S$1005,HLOOKUP(P$2,Calculation!$M$4:$S$5,2,FALSE)+5,FALSE),"")</f>
        <v/>
      </c>
      <c r="Q122" s="4" t="str">
        <f ca="1">IFERROR(VLOOKUP($L122,Calculation!$H$6:$S$1005,HLOOKUP(Q$2,Calculation!$M$4:$S$5,2,FALSE)+5,FALSE),"")</f>
        <v/>
      </c>
      <c r="R122" s="27" t="str">
        <f ca="1">IFERROR(VLOOKUP($L122,Calculation!$H$6:$S$1005,HLOOKUP(R$2,Calculation!$M$4:$S$5,2,FALSE)+5,FALSE),"")</f>
        <v/>
      </c>
      <c r="S122" s="4" t="str">
        <f ca="1">IFERROR(VLOOKUP($L122,Calculation!$H$6:$S$1005,HLOOKUP(S$2,Calculation!$M$4:$S$5,2,FALSE)+5,FALSE),"")</f>
        <v/>
      </c>
      <c r="T122" s="29"/>
      <c r="U122" s="43" t="str">
        <f>IFERROR(VLOOKUP(T122,Calculation!$U$6:$V$11,2,FALSE),"")</f>
        <v/>
      </c>
    </row>
    <row r="123" spans="1:21" ht="14.25" customHeight="1" x14ac:dyDescent="0.3">
      <c r="A123" s="26" t="str">
        <f ca="1">IF(Calculation!T126&lt;=Calculation!$H$4,Calculation!T126,"")</f>
        <v/>
      </c>
      <c r="B123" s="4" t="str">
        <f ca="1">VLOOKUP(A123,Calculation!$E$6:$J$1004,4,FALSE)</f>
        <v/>
      </c>
      <c r="C123" s="4" t="str">
        <f ca="1">VLOOKUP(A123,Calculation!$E$6:$J$1004,5,FALSE)</f>
        <v/>
      </c>
      <c r="D123" s="4" t="str">
        <f ca="1">VLOOKUP(A123,Calculation!$E$6:$J$1004,6,FALSE)</f>
        <v/>
      </c>
      <c r="E123" s="42" t="str">
        <f t="shared" ca="1" si="0"/>
        <v/>
      </c>
      <c r="G123" s="29" t="str">
        <f ca="1">VLOOKUP(A123,Calculation!$F$6:$J$1004,3,FALSE)</f>
        <v/>
      </c>
      <c r="H123" s="4" t="str">
        <f ca="1">VLOOKUP(A123,Calculation!$F$6:$J$1004,4,FALSE)</f>
        <v/>
      </c>
      <c r="I123" s="4" t="str">
        <f ca="1">VLOOKUP(A123,Calculation!$F$6:$J$1004,5,FALSE)</f>
        <v/>
      </c>
      <c r="J123" s="43" t="str">
        <f t="shared" ca="1" si="1"/>
        <v/>
      </c>
      <c r="L123" s="29" t="str">
        <f ca="1">VLOOKUP(A123,Calculation!$G$6:$S$1004,2,FALSE)</f>
        <v/>
      </c>
      <c r="M123" s="4" t="str">
        <f ca="1">IFERROR(VLOOKUP($L123,Calculation!$H$6:$S$1005,HLOOKUP(M$2,Calculation!$M$4:$S$5,2,FALSE)+5,FALSE),"")</f>
        <v/>
      </c>
      <c r="N123" s="4" t="str">
        <f ca="1">IFERROR(VLOOKUP($L123,Calculation!$H$6:$S$1005,HLOOKUP(N$2,Calculation!$M$4:$S$5,2,FALSE)+5,FALSE),"")</f>
        <v/>
      </c>
      <c r="O123" s="4" t="str">
        <f ca="1">IFERROR(VLOOKUP($L123,Calculation!$H$6:$S$1005,HLOOKUP(O$2,Calculation!$M$4:$S$5,2,FALSE)+5,FALSE),"")</f>
        <v/>
      </c>
      <c r="P123" s="4" t="str">
        <f ca="1">IFERROR(VLOOKUP($L123,Calculation!$H$6:$S$1005,HLOOKUP(P$2,Calculation!$M$4:$S$5,2,FALSE)+5,FALSE),"")</f>
        <v/>
      </c>
      <c r="Q123" s="4" t="str">
        <f ca="1">IFERROR(VLOOKUP($L123,Calculation!$H$6:$S$1005,HLOOKUP(Q$2,Calculation!$M$4:$S$5,2,FALSE)+5,FALSE),"")</f>
        <v/>
      </c>
      <c r="R123" s="27" t="str">
        <f ca="1">IFERROR(VLOOKUP($L123,Calculation!$H$6:$S$1005,HLOOKUP(R$2,Calculation!$M$4:$S$5,2,FALSE)+5,FALSE),"")</f>
        <v/>
      </c>
      <c r="S123" s="4" t="str">
        <f ca="1">IFERROR(VLOOKUP($L123,Calculation!$H$6:$S$1005,HLOOKUP(S$2,Calculation!$M$4:$S$5,2,FALSE)+5,FALSE),"")</f>
        <v/>
      </c>
      <c r="T123" s="29"/>
      <c r="U123" s="43" t="str">
        <f>IFERROR(VLOOKUP(T123,Calculation!$U$6:$V$11,2,FALSE),"")</f>
        <v/>
      </c>
    </row>
    <row r="124" spans="1:21" ht="14.25" customHeight="1" x14ac:dyDescent="0.3">
      <c r="A124" s="26" t="str">
        <f ca="1">IF(Calculation!T127&lt;=Calculation!$H$4,Calculation!T127,"")</f>
        <v/>
      </c>
      <c r="B124" s="4" t="str">
        <f ca="1">VLOOKUP(A124,Calculation!$E$6:$J$1004,4,FALSE)</f>
        <v/>
      </c>
      <c r="C124" s="4" t="str">
        <f ca="1">VLOOKUP(A124,Calculation!$E$6:$J$1004,5,FALSE)</f>
        <v/>
      </c>
      <c r="D124" s="4" t="str">
        <f ca="1">VLOOKUP(A124,Calculation!$E$6:$J$1004,6,FALSE)</f>
        <v/>
      </c>
      <c r="E124" s="42" t="str">
        <f t="shared" ca="1" si="0"/>
        <v/>
      </c>
      <c r="G124" s="29" t="str">
        <f ca="1">VLOOKUP(A124,Calculation!$F$6:$J$1004,3,FALSE)</f>
        <v/>
      </c>
      <c r="H124" s="4" t="str">
        <f ca="1">VLOOKUP(A124,Calculation!$F$6:$J$1004,4,FALSE)</f>
        <v/>
      </c>
      <c r="I124" s="4" t="str">
        <f ca="1">VLOOKUP(A124,Calculation!$F$6:$J$1004,5,FALSE)</f>
        <v/>
      </c>
      <c r="J124" s="43" t="str">
        <f t="shared" ca="1" si="1"/>
        <v/>
      </c>
      <c r="L124" s="29" t="str">
        <f ca="1">VLOOKUP(A124,Calculation!$G$6:$S$1004,2,FALSE)</f>
        <v/>
      </c>
      <c r="M124" s="4" t="str">
        <f ca="1">IFERROR(VLOOKUP($L124,Calculation!$H$6:$S$1005,HLOOKUP(M$2,Calculation!$M$4:$S$5,2,FALSE)+5,FALSE),"")</f>
        <v/>
      </c>
      <c r="N124" s="4" t="str">
        <f ca="1">IFERROR(VLOOKUP($L124,Calculation!$H$6:$S$1005,HLOOKUP(N$2,Calculation!$M$4:$S$5,2,FALSE)+5,FALSE),"")</f>
        <v/>
      </c>
      <c r="O124" s="4" t="str">
        <f ca="1">IFERROR(VLOOKUP($L124,Calculation!$H$6:$S$1005,HLOOKUP(O$2,Calculation!$M$4:$S$5,2,FALSE)+5,FALSE),"")</f>
        <v/>
      </c>
      <c r="P124" s="4" t="str">
        <f ca="1">IFERROR(VLOOKUP($L124,Calculation!$H$6:$S$1005,HLOOKUP(P$2,Calculation!$M$4:$S$5,2,FALSE)+5,FALSE),"")</f>
        <v/>
      </c>
      <c r="Q124" s="4" t="str">
        <f ca="1">IFERROR(VLOOKUP($L124,Calculation!$H$6:$S$1005,HLOOKUP(Q$2,Calculation!$M$4:$S$5,2,FALSE)+5,FALSE),"")</f>
        <v/>
      </c>
      <c r="R124" s="27" t="str">
        <f ca="1">IFERROR(VLOOKUP($L124,Calculation!$H$6:$S$1005,HLOOKUP(R$2,Calculation!$M$4:$S$5,2,FALSE)+5,FALSE),"")</f>
        <v/>
      </c>
      <c r="S124" s="4" t="str">
        <f ca="1">IFERROR(VLOOKUP($L124,Calculation!$H$6:$S$1005,HLOOKUP(S$2,Calculation!$M$4:$S$5,2,FALSE)+5,FALSE),"")</f>
        <v/>
      </c>
      <c r="T124" s="29"/>
      <c r="U124" s="43" t="str">
        <f>IFERROR(VLOOKUP(T124,Calculation!$U$6:$V$11,2,FALSE),"")</f>
        <v/>
      </c>
    </row>
    <row r="125" spans="1:21" ht="14.25" customHeight="1" x14ac:dyDescent="0.3">
      <c r="A125" s="26" t="str">
        <f ca="1">IF(Calculation!T128&lt;=Calculation!$H$4,Calculation!T128,"")</f>
        <v/>
      </c>
      <c r="B125" s="4" t="str">
        <f ca="1">VLOOKUP(A125,Calculation!$E$6:$J$1004,4,FALSE)</f>
        <v/>
      </c>
      <c r="C125" s="4" t="str">
        <f ca="1">VLOOKUP(A125,Calculation!$E$6:$J$1004,5,FALSE)</f>
        <v/>
      </c>
      <c r="D125" s="4" t="str">
        <f ca="1">VLOOKUP(A125,Calculation!$E$6:$J$1004,6,FALSE)</f>
        <v/>
      </c>
      <c r="E125" s="42" t="str">
        <f t="shared" ca="1" si="0"/>
        <v/>
      </c>
      <c r="G125" s="29" t="str">
        <f ca="1">VLOOKUP(A125,Calculation!$F$6:$J$1004,3,FALSE)</f>
        <v/>
      </c>
      <c r="H125" s="4" t="str">
        <f ca="1">VLOOKUP(A125,Calculation!$F$6:$J$1004,4,FALSE)</f>
        <v/>
      </c>
      <c r="I125" s="4" t="str">
        <f ca="1">VLOOKUP(A125,Calculation!$F$6:$J$1004,5,FALSE)</f>
        <v/>
      </c>
      <c r="J125" s="43" t="str">
        <f t="shared" ca="1" si="1"/>
        <v/>
      </c>
      <c r="L125" s="29" t="str">
        <f ca="1">VLOOKUP(A125,Calculation!$G$6:$S$1004,2,FALSE)</f>
        <v/>
      </c>
      <c r="M125" s="4" t="str">
        <f ca="1">IFERROR(VLOOKUP($L125,Calculation!$H$6:$S$1005,HLOOKUP(M$2,Calculation!$M$4:$S$5,2,FALSE)+5,FALSE),"")</f>
        <v/>
      </c>
      <c r="N125" s="4" t="str">
        <f ca="1">IFERROR(VLOOKUP($L125,Calculation!$H$6:$S$1005,HLOOKUP(N$2,Calculation!$M$4:$S$5,2,FALSE)+5,FALSE),"")</f>
        <v/>
      </c>
      <c r="O125" s="4" t="str">
        <f ca="1">IFERROR(VLOOKUP($L125,Calculation!$H$6:$S$1005,HLOOKUP(O$2,Calculation!$M$4:$S$5,2,FALSE)+5,FALSE),"")</f>
        <v/>
      </c>
      <c r="P125" s="4" t="str">
        <f ca="1">IFERROR(VLOOKUP($L125,Calculation!$H$6:$S$1005,HLOOKUP(P$2,Calculation!$M$4:$S$5,2,FALSE)+5,FALSE),"")</f>
        <v/>
      </c>
      <c r="Q125" s="4" t="str">
        <f ca="1">IFERROR(VLOOKUP($L125,Calculation!$H$6:$S$1005,HLOOKUP(Q$2,Calculation!$M$4:$S$5,2,FALSE)+5,FALSE),"")</f>
        <v/>
      </c>
      <c r="R125" s="27" t="str">
        <f ca="1">IFERROR(VLOOKUP($L125,Calculation!$H$6:$S$1005,HLOOKUP(R$2,Calculation!$M$4:$S$5,2,FALSE)+5,FALSE),"")</f>
        <v/>
      </c>
      <c r="S125" s="4" t="str">
        <f ca="1">IFERROR(VLOOKUP($L125,Calculation!$H$6:$S$1005,HLOOKUP(S$2,Calculation!$M$4:$S$5,2,FALSE)+5,FALSE),"")</f>
        <v/>
      </c>
      <c r="T125" s="29"/>
      <c r="U125" s="43" t="str">
        <f>IFERROR(VLOOKUP(T125,Calculation!$U$6:$V$11,2,FALSE),"")</f>
        <v/>
      </c>
    </row>
    <row r="126" spans="1:21" ht="14.25" customHeight="1" x14ac:dyDescent="0.3">
      <c r="A126" s="26" t="str">
        <f ca="1">IF(Calculation!T129&lt;=Calculation!$H$4,Calculation!T129,"")</f>
        <v/>
      </c>
      <c r="B126" s="4" t="str">
        <f ca="1">VLOOKUP(A126,Calculation!$E$6:$J$1004,4,FALSE)</f>
        <v/>
      </c>
      <c r="C126" s="4" t="str">
        <f ca="1">VLOOKUP(A126,Calculation!$E$6:$J$1004,5,FALSE)</f>
        <v/>
      </c>
      <c r="D126" s="4" t="str">
        <f ca="1">VLOOKUP(A126,Calculation!$E$6:$J$1004,6,FALSE)</f>
        <v/>
      </c>
      <c r="E126" s="42" t="str">
        <f t="shared" ca="1" si="0"/>
        <v/>
      </c>
      <c r="G126" s="29" t="str">
        <f ca="1">VLOOKUP(A126,Calculation!$F$6:$J$1004,3,FALSE)</f>
        <v/>
      </c>
      <c r="H126" s="4" t="str">
        <f ca="1">VLOOKUP(A126,Calculation!$F$6:$J$1004,4,FALSE)</f>
        <v/>
      </c>
      <c r="I126" s="4" t="str">
        <f ca="1">VLOOKUP(A126,Calculation!$F$6:$J$1004,5,FALSE)</f>
        <v/>
      </c>
      <c r="J126" s="43" t="str">
        <f t="shared" ca="1" si="1"/>
        <v/>
      </c>
      <c r="L126" s="29" t="str">
        <f ca="1">VLOOKUP(A126,Calculation!$G$6:$S$1004,2,FALSE)</f>
        <v/>
      </c>
      <c r="M126" s="4" t="str">
        <f ca="1">IFERROR(VLOOKUP($L126,Calculation!$H$6:$S$1005,HLOOKUP(M$2,Calculation!$M$4:$S$5,2,FALSE)+5,FALSE),"")</f>
        <v/>
      </c>
      <c r="N126" s="4" t="str">
        <f ca="1">IFERROR(VLOOKUP($L126,Calculation!$H$6:$S$1005,HLOOKUP(N$2,Calculation!$M$4:$S$5,2,FALSE)+5,FALSE),"")</f>
        <v/>
      </c>
      <c r="O126" s="4" t="str">
        <f ca="1">IFERROR(VLOOKUP($L126,Calculation!$H$6:$S$1005,HLOOKUP(O$2,Calculation!$M$4:$S$5,2,FALSE)+5,FALSE),"")</f>
        <v/>
      </c>
      <c r="P126" s="4" t="str">
        <f ca="1">IFERROR(VLOOKUP($L126,Calculation!$H$6:$S$1005,HLOOKUP(P$2,Calculation!$M$4:$S$5,2,FALSE)+5,FALSE),"")</f>
        <v/>
      </c>
      <c r="Q126" s="4" t="str">
        <f ca="1">IFERROR(VLOOKUP($L126,Calculation!$H$6:$S$1005,HLOOKUP(Q$2,Calculation!$M$4:$S$5,2,FALSE)+5,FALSE),"")</f>
        <v/>
      </c>
      <c r="R126" s="27" t="str">
        <f ca="1">IFERROR(VLOOKUP($L126,Calculation!$H$6:$S$1005,HLOOKUP(R$2,Calculation!$M$4:$S$5,2,FALSE)+5,FALSE),"")</f>
        <v/>
      </c>
      <c r="S126" s="4" t="str">
        <f ca="1">IFERROR(VLOOKUP($L126,Calculation!$H$6:$S$1005,HLOOKUP(S$2,Calculation!$M$4:$S$5,2,FALSE)+5,FALSE),"")</f>
        <v/>
      </c>
      <c r="T126" s="29"/>
      <c r="U126" s="43" t="str">
        <f>IFERROR(VLOOKUP(T126,Calculation!$U$6:$V$11,2,FALSE),"")</f>
        <v/>
      </c>
    </row>
    <row r="127" spans="1:21" ht="14.25" customHeight="1" x14ac:dyDescent="0.3">
      <c r="A127" s="26" t="str">
        <f ca="1">IF(Calculation!T130&lt;=Calculation!$H$4,Calculation!T130,"")</f>
        <v/>
      </c>
      <c r="B127" s="4" t="str">
        <f ca="1">VLOOKUP(A127,Calculation!$E$6:$J$1004,4,FALSE)</f>
        <v/>
      </c>
      <c r="C127" s="4" t="str">
        <f ca="1">VLOOKUP(A127,Calculation!$E$6:$J$1004,5,FALSE)</f>
        <v/>
      </c>
      <c r="D127" s="4" t="str">
        <f ca="1">VLOOKUP(A127,Calculation!$E$6:$J$1004,6,FALSE)</f>
        <v/>
      </c>
      <c r="E127" s="42" t="str">
        <f t="shared" ca="1" si="0"/>
        <v/>
      </c>
      <c r="G127" s="29" t="str">
        <f ca="1">VLOOKUP(A127,Calculation!$F$6:$J$1004,3,FALSE)</f>
        <v/>
      </c>
      <c r="H127" s="4" t="str">
        <f ca="1">VLOOKUP(A127,Calculation!$F$6:$J$1004,4,FALSE)</f>
        <v/>
      </c>
      <c r="I127" s="4" t="str">
        <f ca="1">VLOOKUP(A127,Calculation!$F$6:$J$1004,5,FALSE)</f>
        <v/>
      </c>
      <c r="J127" s="43" t="str">
        <f t="shared" ca="1" si="1"/>
        <v/>
      </c>
      <c r="L127" s="29" t="str">
        <f ca="1">VLOOKUP(A127,Calculation!$G$6:$S$1004,2,FALSE)</f>
        <v/>
      </c>
      <c r="M127" s="4" t="str">
        <f ca="1">IFERROR(VLOOKUP($L127,Calculation!$H$6:$S$1005,HLOOKUP(M$2,Calculation!$M$4:$S$5,2,FALSE)+5,FALSE),"")</f>
        <v/>
      </c>
      <c r="N127" s="4" t="str">
        <f ca="1">IFERROR(VLOOKUP($L127,Calculation!$H$6:$S$1005,HLOOKUP(N$2,Calculation!$M$4:$S$5,2,FALSE)+5,FALSE),"")</f>
        <v/>
      </c>
      <c r="O127" s="4" t="str">
        <f ca="1">IFERROR(VLOOKUP($L127,Calculation!$H$6:$S$1005,HLOOKUP(O$2,Calculation!$M$4:$S$5,2,FALSE)+5,FALSE),"")</f>
        <v/>
      </c>
      <c r="P127" s="4" t="str">
        <f ca="1">IFERROR(VLOOKUP($L127,Calculation!$H$6:$S$1005,HLOOKUP(P$2,Calculation!$M$4:$S$5,2,FALSE)+5,FALSE),"")</f>
        <v/>
      </c>
      <c r="Q127" s="4" t="str">
        <f ca="1">IFERROR(VLOOKUP($L127,Calculation!$H$6:$S$1005,HLOOKUP(Q$2,Calculation!$M$4:$S$5,2,FALSE)+5,FALSE),"")</f>
        <v/>
      </c>
      <c r="R127" s="27" t="str">
        <f ca="1">IFERROR(VLOOKUP($L127,Calculation!$H$6:$S$1005,HLOOKUP(R$2,Calculation!$M$4:$S$5,2,FALSE)+5,FALSE),"")</f>
        <v/>
      </c>
      <c r="S127" s="4" t="str">
        <f ca="1">IFERROR(VLOOKUP($L127,Calculation!$H$6:$S$1005,HLOOKUP(S$2,Calculation!$M$4:$S$5,2,FALSE)+5,FALSE),"")</f>
        <v/>
      </c>
      <c r="T127" s="29"/>
      <c r="U127" s="43" t="str">
        <f>IFERROR(VLOOKUP(T127,Calculation!$U$6:$V$11,2,FALSE),"")</f>
        <v/>
      </c>
    </row>
    <row r="128" spans="1:21" ht="14.25" customHeight="1" x14ac:dyDescent="0.3">
      <c r="A128" s="26" t="str">
        <f ca="1">IF(Calculation!T131&lt;=Calculation!$H$4,Calculation!T131,"")</f>
        <v/>
      </c>
      <c r="B128" s="4" t="str">
        <f ca="1">VLOOKUP(A128,Calculation!$E$6:$J$1004,4,FALSE)</f>
        <v/>
      </c>
      <c r="C128" s="4" t="str">
        <f ca="1">VLOOKUP(A128,Calculation!$E$6:$J$1004,5,FALSE)</f>
        <v/>
      </c>
      <c r="D128" s="4" t="str">
        <f ca="1">VLOOKUP(A128,Calculation!$E$6:$J$1004,6,FALSE)</f>
        <v/>
      </c>
      <c r="E128" s="42" t="str">
        <f t="shared" ca="1" si="0"/>
        <v/>
      </c>
      <c r="G128" s="29" t="str">
        <f ca="1">VLOOKUP(A128,Calculation!$F$6:$J$1004,3,FALSE)</f>
        <v/>
      </c>
      <c r="H128" s="4" t="str">
        <f ca="1">VLOOKUP(A128,Calculation!$F$6:$J$1004,4,FALSE)</f>
        <v/>
      </c>
      <c r="I128" s="4" t="str">
        <f ca="1">VLOOKUP(A128,Calculation!$F$6:$J$1004,5,FALSE)</f>
        <v/>
      </c>
      <c r="J128" s="43" t="str">
        <f t="shared" ca="1" si="1"/>
        <v/>
      </c>
      <c r="L128" s="29" t="str">
        <f ca="1">VLOOKUP(A128,Calculation!$G$6:$S$1004,2,FALSE)</f>
        <v/>
      </c>
      <c r="M128" s="4" t="str">
        <f ca="1">IFERROR(VLOOKUP($L128,Calculation!$H$6:$S$1005,HLOOKUP(M$2,Calculation!$M$4:$S$5,2,FALSE)+5,FALSE),"")</f>
        <v/>
      </c>
      <c r="N128" s="4" t="str">
        <f ca="1">IFERROR(VLOOKUP($L128,Calculation!$H$6:$S$1005,HLOOKUP(N$2,Calculation!$M$4:$S$5,2,FALSE)+5,FALSE),"")</f>
        <v/>
      </c>
      <c r="O128" s="4" t="str">
        <f ca="1">IFERROR(VLOOKUP($L128,Calculation!$H$6:$S$1005,HLOOKUP(O$2,Calculation!$M$4:$S$5,2,FALSE)+5,FALSE),"")</f>
        <v/>
      </c>
      <c r="P128" s="4" t="str">
        <f ca="1">IFERROR(VLOOKUP($L128,Calculation!$H$6:$S$1005,HLOOKUP(P$2,Calculation!$M$4:$S$5,2,FALSE)+5,FALSE),"")</f>
        <v/>
      </c>
      <c r="Q128" s="4" t="str">
        <f ca="1">IFERROR(VLOOKUP($L128,Calculation!$H$6:$S$1005,HLOOKUP(Q$2,Calculation!$M$4:$S$5,2,FALSE)+5,FALSE),"")</f>
        <v/>
      </c>
      <c r="R128" s="27" t="str">
        <f ca="1">IFERROR(VLOOKUP($L128,Calculation!$H$6:$S$1005,HLOOKUP(R$2,Calculation!$M$4:$S$5,2,FALSE)+5,FALSE),"")</f>
        <v/>
      </c>
      <c r="S128" s="4" t="str">
        <f ca="1">IFERROR(VLOOKUP($L128,Calculation!$H$6:$S$1005,HLOOKUP(S$2,Calculation!$M$4:$S$5,2,FALSE)+5,FALSE),"")</f>
        <v/>
      </c>
      <c r="T128" s="29"/>
      <c r="U128" s="43" t="str">
        <f>IFERROR(VLOOKUP(T128,Calculation!$U$6:$V$11,2,FALSE),"")</f>
        <v/>
      </c>
    </row>
    <row r="129" spans="1:21" ht="14.25" customHeight="1" x14ac:dyDescent="0.3">
      <c r="A129" s="26" t="str">
        <f ca="1">IF(Calculation!T132&lt;=Calculation!$H$4,Calculation!T132,"")</f>
        <v/>
      </c>
      <c r="B129" s="4" t="str">
        <f ca="1">VLOOKUP(A129,Calculation!$E$6:$J$1004,4,FALSE)</f>
        <v/>
      </c>
      <c r="C129" s="4" t="str">
        <f ca="1">VLOOKUP(A129,Calculation!$E$6:$J$1004,5,FALSE)</f>
        <v/>
      </c>
      <c r="D129" s="4" t="str">
        <f ca="1">VLOOKUP(A129,Calculation!$E$6:$J$1004,6,FALSE)</f>
        <v/>
      </c>
      <c r="E129" s="42" t="str">
        <f t="shared" ca="1" si="0"/>
        <v/>
      </c>
      <c r="G129" s="29" t="str">
        <f ca="1">VLOOKUP(A129,Calculation!$F$6:$J$1004,3,FALSE)</f>
        <v/>
      </c>
      <c r="H129" s="4" t="str">
        <f ca="1">VLOOKUP(A129,Calculation!$F$6:$J$1004,4,FALSE)</f>
        <v/>
      </c>
      <c r="I129" s="4" t="str">
        <f ca="1">VLOOKUP(A129,Calculation!$F$6:$J$1004,5,FALSE)</f>
        <v/>
      </c>
      <c r="J129" s="43" t="str">
        <f t="shared" ca="1" si="1"/>
        <v/>
      </c>
      <c r="L129" s="29" t="str">
        <f ca="1">VLOOKUP(A129,Calculation!$G$6:$S$1004,2,FALSE)</f>
        <v/>
      </c>
      <c r="M129" s="4" t="str">
        <f ca="1">IFERROR(VLOOKUP($L129,Calculation!$H$6:$S$1005,HLOOKUP(M$2,Calculation!$M$4:$S$5,2,FALSE)+5,FALSE),"")</f>
        <v/>
      </c>
      <c r="N129" s="4" t="str">
        <f ca="1">IFERROR(VLOOKUP($L129,Calculation!$H$6:$S$1005,HLOOKUP(N$2,Calculation!$M$4:$S$5,2,FALSE)+5,FALSE),"")</f>
        <v/>
      </c>
      <c r="O129" s="4" t="str">
        <f ca="1">IFERROR(VLOOKUP($L129,Calculation!$H$6:$S$1005,HLOOKUP(O$2,Calculation!$M$4:$S$5,2,FALSE)+5,FALSE),"")</f>
        <v/>
      </c>
      <c r="P129" s="4" t="str">
        <f ca="1">IFERROR(VLOOKUP($L129,Calculation!$H$6:$S$1005,HLOOKUP(P$2,Calculation!$M$4:$S$5,2,FALSE)+5,FALSE),"")</f>
        <v/>
      </c>
      <c r="Q129" s="4" t="str">
        <f ca="1">IFERROR(VLOOKUP($L129,Calculation!$H$6:$S$1005,HLOOKUP(Q$2,Calculation!$M$4:$S$5,2,FALSE)+5,FALSE),"")</f>
        <v/>
      </c>
      <c r="R129" s="27" t="str">
        <f ca="1">IFERROR(VLOOKUP($L129,Calculation!$H$6:$S$1005,HLOOKUP(R$2,Calculation!$M$4:$S$5,2,FALSE)+5,FALSE),"")</f>
        <v/>
      </c>
      <c r="S129" s="4" t="str">
        <f ca="1">IFERROR(VLOOKUP($L129,Calculation!$H$6:$S$1005,HLOOKUP(S$2,Calculation!$M$4:$S$5,2,FALSE)+5,FALSE),"")</f>
        <v/>
      </c>
      <c r="T129" s="29"/>
      <c r="U129" s="43" t="str">
        <f>IFERROR(VLOOKUP(T129,Calculation!$U$6:$V$11,2,FALSE),"")</f>
        <v/>
      </c>
    </row>
    <row r="130" spans="1:21" ht="14.25" customHeight="1" x14ac:dyDescent="0.3">
      <c r="A130" s="26" t="str">
        <f ca="1">IF(Calculation!T133&lt;=Calculation!$H$4,Calculation!T133,"")</f>
        <v/>
      </c>
      <c r="B130" s="4" t="str">
        <f ca="1">VLOOKUP(A130,Calculation!$E$6:$J$1004,4,FALSE)</f>
        <v/>
      </c>
      <c r="C130" s="4" t="str">
        <f ca="1">VLOOKUP(A130,Calculation!$E$6:$J$1004,5,FALSE)</f>
        <v/>
      </c>
      <c r="D130" s="4" t="str">
        <f ca="1">VLOOKUP(A130,Calculation!$E$6:$J$1004,6,FALSE)</f>
        <v/>
      </c>
      <c r="E130" s="42" t="str">
        <f t="shared" ca="1" si="0"/>
        <v/>
      </c>
      <c r="G130" s="29" t="str">
        <f ca="1">VLOOKUP(A130,Calculation!$F$6:$J$1004,3,FALSE)</f>
        <v/>
      </c>
      <c r="H130" s="4" t="str">
        <f ca="1">VLOOKUP(A130,Calculation!$F$6:$J$1004,4,FALSE)</f>
        <v/>
      </c>
      <c r="I130" s="4" t="str">
        <f ca="1">VLOOKUP(A130,Calculation!$F$6:$J$1004,5,FALSE)</f>
        <v/>
      </c>
      <c r="J130" s="43" t="str">
        <f t="shared" ca="1" si="1"/>
        <v/>
      </c>
      <c r="L130" s="29" t="str">
        <f ca="1">VLOOKUP(A130,Calculation!$G$6:$S$1004,2,FALSE)</f>
        <v/>
      </c>
      <c r="M130" s="4" t="str">
        <f ca="1">IFERROR(VLOOKUP($L130,Calculation!$H$6:$S$1005,HLOOKUP(M$2,Calculation!$M$4:$S$5,2,FALSE)+5,FALSE),"")</f>
        <v/>
      </c>
      <c r="N130" s="4" t="str">
        <f ca="1">IFERROR(VLOOKUP($L130,Calculation!$H$6:$S$1005,HLOOKUP(N$2,Calculation!$M$4:$S$5,2,FALSE)+5,FALSE),"")</f>
        <v/>
      </c>
      <c r="O130" s="4" t="str">
        <f ca="1">IFERROR(VLOOKUP($L130,Calculation!$H$6:$S$1005,HLOOKUP(O$2,Calculation!$M$4:$S$5,2,FALSE)+5,FALSE),"")</f>
        <v/>
      </c>
      <c r="P130" s="4" t="str">
        <f ca="1">IFERROR(VLOOKUP($L130,Calculation!$H$6:$S$1005,HLOOKUP(P$2,Calculation!$M$4:$S$5,2,FALSE)+5,FALSE),"")</f>
        <v/>
      </c>
      <c r="Q130" s="4" t="str">
        <f ca="1">IFERROR(VLOOKUP($L130,Calculation!$H$6:$S$1005,HLOOKUP(Q$2,Calculation!$M$4:$S$5,2,FALSE)+5,FALSE),"")</f>
        <v/>
      </c>
      <c r="R130" s="27" t="str">
        <f ca="1">IFERROR(VLOOKUP($L130,Calculation!$H$6:$S$1005,HLOOKUP(R$2,Calculation!$M$4:$S$5,2,FALSE)+5,FALSE),"")</f>
        <v/>
      </c>
      <c r="S130" s="4" t="str">
        <f ca="1">IFERROR(VLOOKUP($L130,Calculation!$H$6:$S$1005,HLOOKUP(S$2,Calculation!$M$4:$S$5,2,FALSE)+5,FALSE),"")</f>
        <v/>
      </c>
      <c r="T130" s="29"/>
      <c r="U130" s="43" t="str">
        <f>IFERROR(VLOOKUP(T130,Calculation!$U$6:$V$11,2,FALSE),"")</f>
        <v/>
      </c>
    </row>
    <row r="131" spans="1:21" ht="14.25" customHeight="1" x14ac:dyDescent="0.3">
      <c r="A131" s="26" t="str">
        <f ca="1">IF(Calculation!T134&lt;=Calculation!$H$4,Calculation!T134,"")</f>
        <v/>
      </c>
      <c r="B131" s="4" t="str">
        <f ca="1">VLOOKUP(A131,Calculation!$E$6:$J$1004,4,FALSE)</f>
        <v/>
      </c>
      <c r="C131" s="4" t="str">
        <f ca="1">VLOOKUP(A131,Calculation!$E$6:$J$1004,5,FALSE)</f>
        <v/>
      </c>
      <c r="D131" s="4" t="str">
        <f ca="1">VLOOKUP(A131,Calculation!$E$6:$J$1004,6,FALSE)</f>
        <v/>
      </c>
      <c r="E131" s="42" t="str">
        <f t="shared" ca="1" si="0"/>
        <v/>
      </c>
      <c r="G131" s="29" t="str">
        <f ca="1">VLOOKUP(A131,Calculation!$F$6:$J$1004,3,FALSE)</f>
        <v/>
      </c>
      <c r="H131" s="4" t="str">
        <f ca="1">VLOOKUP(A131,Calculation!$F$6:$J$1004,4,FALSE)</f>
        <v/>
      </c>
      <c r="I131" s="4" t="str">
        <f ca="1">VLOOKUP(A131,Calculation!$F$6:$J$1004,5,FALSE)</f>
        <v/>
      </c>
      <c r="J131" s="43" t="str">
        <f t="shared" ca="1" si="1"/>
        <v/>
      </c>
      <c r="L131" s="29" t="str">
        <f ca="1">VLOOKUP(A131,Calculation!$G$6:$S$1004,2,FALSE)</f>
        <v/>
      </c>
      <c r="M131" s="4" t="str">
        <f ca="1">IFERROR(VLOOKUP($L131,Calculation!$H$6:$S$1005,HLOOKUP(M$2,Calculation!$M$4:$S$5,2,FALSE)+5,FALSE),"")</f>
        <v/>
      </c>
      <c r="N131" s="4" t="str">
        <f ca="1">IFERROR(VLOOKUP($L131,Calculation!$H$6:$S$1005,HLOOKUP(N$2,Calculation!$M$4:$S$5,2,FALSE)+5,FALSE),"")</f>
        <v/>
      </c>
      <c r="O131" s="4" t="str">
        <f ca="1">IFERROR(VLOOKUP($L131,Calculation!$H$6:$S$1005,HLOOKUP(O$2,Calculation!$M$4:$S$5,2,FALSE)+5,FALSE),"")</f>
        <v/>
      </c>
      <c r="P131" s="4" t="str">
        <f ca="1">IFERROR(VLOOKUP($L131,Calculation!$H$6:$S$1005,HLOOKUP(P$2,Calculation!$M$4:$S$5,2,FALSE)+5,FALSE),"")</f>
        <v/>
      </c>
      <c r="Q131" s="4" t="str">
        <f ca="1">IFERROR(VLOOKUP($L131,Calculation!$H$6:$S$1005,HLOOKUP(Q$2,Calculation!$M$4:$S$5,2,FALSE)+5,FALSE),"")</f>
        <v/>
      </c>
      <c r="R131" s="27" t="str">
        <f ca="1">IFERROR(VLOOKUP($L131,Calculation!$H$6:$S$1005,HLOOKUP(R$2,Calculation!$M$4:$S$5,2,FALSE)+5,FALSE),"")</f>
        <v/>
      </c>
      <c r="S131" s="4" t="str">
        <f ca="1">IFERROR(VLOOKUP($L131,Calculation!$H$6:$S$1005,HLOOKUP(S$2,Calculation!$M$4:$S$5,2,FALSE)+5,FALSE),"")</f>
        <v/>
      </c>
      <c r="T131" s="29"/>
      <c r="U131" s="43" t="str">
        <f>IFERROR(VLOOKUP(T131,Calculation!$U$6:$V$11,2,FALSE),"")</f>
        <v/>
      </c>
    </row>
    <row r="132" spans="1:21" ht="14.25" customHeight="1" x14ac:dyDescent="0.3">
      <c r="A132" s="26" t="str">
        <f ca="1">IF(Calculation!T135&lt;=Calculation!$H$4,Calculation!T135,"")</f>
        <v/>
      </c>
      <c r="B132" s="4" t="str">
        <f ca="1">VLOOKUP(A132,Calculation!$E$6:$J$1004,4,FALSE)</f>
        <v/>
      </c>
      <c r="C132" s="4" t="str">
        <f ca="1">VLOOKUP(A132,Calculation!$E$6:$J$1004,5,FALSE)</f>
        <v/>
      </c>
      <c r="D132" s="4" t="str">
        <f ca="1">VLOOKUP(A132,Calculation!$E$6:$J$1004,6,FALSE)</f>
        <v/>
      </c>
      <c r="E132" s="42" t="str">
        <f t="shared" ca="1" si="0"/>
        <v/>
      </c>
      <c r="G132" s="29" t="str">
        <f ca="1">VLOOKUP(A132,Calculation!$F$6:$J$1004,3,FALSE)</f>
        <v/>
      </c>
      <c r="H132" s="4" t="str">
        <f ca="1">VLOOKUP(A132,Calculation!$F$6:$J$1004,4,FALSE)</f>
        <v/>
      </c>
      <c r="I132" s="4" t="str">
        <f ca="1">VLOOKUP(A132,Calculation!$F$6:$J$1004,5,FALSE)</f>
        <v/>
      </c>
      <c r="J132" s="43" t="str">
        <f t="shared" ca="1" si="1"/>
        <v/>
      </c>
      <c r="L132" s="29" t="str">
        <f ca="1">VLOOKUP(A132,Calculation!$G$6:$S$1004,2,FALSE)</f>
        <v/>
      </c>
      <c r="M132" s="4" t="str">
        <f ca="1">IFERROR(VLOOKUP($L132,Calculation!$H$6:$S$1005,HLOOKUP(M$2,Calculation!$M$4:$S$5,2,FALSE)+5,FALSE),"")</f>
        <v/>
      </c>
      <c r="N132" s="4" t="str">
        <f ca="1">IFERROR(VLOOKUP($L132,Calculation!$H$6:$S$1005,HLOOKUP(N$2,Calculation!$M$4:$S$5,2,FALSE)+5,FALSE),"")</f>
        <v/>
      </c>
      <c r="O132" s="4" t="str">
        <f ca="1">IFERROR(VLOOKUP($L132,Calculation!$H$6:$S$1005,HLOOKUP(O$2,Calculation!$M$4:$S$5,2,FALSE)+5,FALSE),"")</f>
        <v/>
      </c>
      <c r="P132" s="4" t="str">
        <f ca="1">IFERROR(VLOOKUP($L132,Calculation!$H$6:$S$1005,HLOOKUP(P$2,Calculation!$M$4:$S$5,2,FALSE)+5,FALSE),"")</f>
        <v/>
      </c>
      <c r="Q132" s="4" t="str">
        <f ca="1">IFERROR(VLOOKUP($L132,Calculation!$H$6:$S$1005,HLOOKUP(Q$2,Calculation!$M$4:$S$5,2,FALSE)+5,FALSE),"")</f>
        <v/>
      </c>
      <c r="R132" s="27" t="str">
        <f ca="1">IFERROR(VLOOKUP($L132,Calculation!$H$6:$S$1005,HLOOKUP(R$2,Calculation!$M$4:$S$5,2,FALSE)+5,FALSE),"")</f>
        <v/>
      </c>
      <c r="S132" s="4" t="str">
        <f ca="1">IFERROR(VLOOKUP($L132,Calculation!$H$6:$S$1005,HLOOKUP(S$2,Calculation!$M$4:$S$5,2,FALSE)+5,FALSE),"")</f>
        <v/>
      </c>
      <c r="T132" s="29"/>
      <c r="U132" s="43" t="str">
        <f>IFERROR(VLOOKUP(T132,Calculation!$U$6:$V$11,2,FALSE),"")</f>
        <v/>
      </c>
    </row>
    <row r="133" spans="1:21" ht="14.25" customHeight="1" x14ac:dyDescent="0.3">
      <c r="A133" s="26" t="str">
        <f ca="1">IF(Calculation!T136&lt;=Calculation!$H$4,Calculation!T136,"")</f>
        <v/>
      </c>
      <c r="B133" s="4" t="str">
        <f ca="1">VLOOKUP(A133,Calculation!$E$6:$J$1004,4,FALSE)</f>
        <v/>
      </c>
      <c r="C133" s="4" t="str">
        <f ca="1">VLOOKUP(A133,Calculation!$E$6:$J$1004,5,FALSE)</f>
        <v/>
      </c>
      <c r="D133" s="4" t="str">
        <f ca="1">VLOOKUP(A133,Calculation!$E$6:$J$1004,6,FALSE)</f>
        <v/>
      </c>
      <c r="E133" s="42" t="str">
        <f t="shared" ca="1" si="0"/>
        <v/>
      </c>
      <c r="G133" s="29" t="str">
        <f ca="1">VLOOKUP(A133,Calculation!$F$6:$J$1004,3,FALSE)</f>
        <v/>
      </c>
      <c r="H133" s="4" t="str">
        <f ca="1">VLOOKUP(A133,Calculation!$F$6:$J$1004,4,FALSE)</f>
        <v/>
      </c>
      <c r="I133" s="4" t="str">
        <f ca="1">VLOOKUP(A133,Calculation!$F$6:$J$1004,5,FALSE)</f>
        <v/>
      </c>
      <c r="J133" s="43" t="str">
        <f t="shared" ca="1" si="1"/>
        <v/>
      </c>
      <c r="L133" s="29" t="str">
        <f ca="1">VLOOKUP(A133,Calculation!$G$6:$S$1004,2,FALSE)</f>
        <v/>
      </c>
      <c r="M133" s="4" t="str">
        <f ca="1">IFERROR(VLOOKUP($L133,Calculation!$H$6:$S$1005,HLOOKUP(M$2,Calculation!$M$4:$S$5,2,FALSE)+5,FALSE),"")</f>
        <v/>
      </c>
      <c r="N133" s="4" t="str">
        <f ca="1">IFERROR(VLOOKUP($L133,Calculation!$H$6:$S$1005,HLOOKUP(N$2,Calculation!$M$4:$S$5,2,FALSE)+5,FALSE),"")</f>
        <v/>
      </c>
      <c r="O133" s="4" t="str">
        <f ca="1">IFERROR(VLOOKUP($L133,Calculation!$H$6:$S$1005,HLOOKUP(O$2,Calculation!$M$4:$S$5,2,FALSE)+5,FALSE),"")</f>
        <v/>
      </c>
      <c r="P133" s="4" t="str">
        <f ca="1">IFERROR(VLOOKUP($L133,Calculation!$H$6:$S$1005,HLOOKUP(P$2,Calculation!$M$4:$S$5,2,FALSE)+5,FALSE),"")</f>
        <v/>
      </c>
      <c r="Q133" s="4" t="str">
        <f ca="1">IFERROR(VLOOKUP($L133,Calculation!$H$6:$S$1005,HLOOKUP(Q$2,Calculation!$M$4:$S$5,2,FALSE)+5,FALSE),"")</f>
        <v/>
      </c>
      <c r="R133" s="27" t="str">
        <f ca="1">IFERROR(VLOOKUP($L133,Calculation!$H$6:$S$1005,HLOOKUP(R$2,Calculation!$M$4:$S$5,2,FALSE)+5,FALSE),"")</f>
        <v/>
      </c>
      <c r="S133" s="4" t="str">
        <f ca="1">IFERROR(VLOOKUP($L133,Calculation!$H$6:$S$1005,HLOOKUP(S$2,Calculation!$M$4:$S$5,2,FALSE)+5,FALSE),"")</f>
        <v/>
      </c>
      <c r="T133" s="29"/>
      <c r="U133" s="43" t="str">
        <f>IFERROR(VLOOKUP(T133,Calculation!$U$6:$V$11,2,FALSE),"")</f>
        <v/>
      </c>
    </row>
    <row r="134" spans="1:21" ht="14.25" customHeight="1" x14ac:dyDescent="0.3">
      <c r="A134" s="26" t="str">
        <f ca="1">IF(Calculation!T137&lt;=Calculation!$H$4,Calculation!T137,"")</f>
        <v/>
      </c>
      <c r="B134" s="4" t="str">
        <f ca="1">VLOOKUP(A134,Calculation!$E$6:$J$1004,4,FALSE)</f>
        <v/>
      </c>
      <c r="C134" s="4" t="str">
        <f ca="1">VLOOKUP(A134,Calculation!$E$6:$J$1004,5,FALSE)</f>
        <v/>
      </c>
      <c r="D134" s="4" t="str">
        <f ca="1">VLOOKUP(A134,Calculation!$E$6:$J$1004,6,FALSE)</f>
        <v/>
      </c>
      <c r="E134" s="42" t="str">
        <f t="shared" ca="1" si="0"/>
        <v/>
      </c>
      <c r="G134" s="29" t="str">
        <f ca="1">VLOOKUP(A134,Calculation!$F$6:$J$1004,3,FALSE)</f>
        <v/>
      </c>
      <c r="H134" s="4" t="str">
        <f ca="1">VLOOKUP(A134,Calculation!$F$6:$J$1004,4,FALSE)</f>
        <v/>
      </c>
      <c r="I134" s="4" t="str">
        <f ca="1">VLOOKUP(A134,Calculation!$F$6:$J$1004,5,FALSE)</f>
        <v/>
      </c>
      <c r="J134" s="43" t="str">
        <f t="shared" ca="1" si="1"/>
        <v/>
      </c>
      <c r="L134" s="29" t="str">
        <f ca="1">VLOOKUP(A134,Calculation!$G$6:$S$1004,2,FALSE)</f>
        <v/>
      </c>
      <c r="M134" s="4" t="str">
        <f ca="1">IFERROR(VLOOKUP($L134,Calculation!$H$6:$S$1005,HLOOKUP(M$2,Calculation!$M$4:$S$5,2,FALSE)+5,FALSE),"")</f>
        <v/>
      </c>
      <c r="N134" s="4" t="str">
        <f ca="1">IFERROR(VLOOKUP($L134,Calculation!$H$6:$S$1005,HLOOKUP(N$2,Calculation!$M$4:$S$5,2,FALSE)+5,FALSE),"")</f>
        <v/>
      </c>
      <c r="O134" s="4" t="str">
        <f ca="1">IFERROR(VLOOKUP($L134,Calculation!$H$6:$S$1005,HLOOKUP(O$2,Calculation!$M$4:$S$5,2,FALSE)+5,FALSE),"")</f>
        <v/>
      </c>
      <c r="P134" s="4" t="str">
        <f ca="1">IFERROR(VLOOKUP($L134,Calculation!$H$6:$S$1005,HLOOKUP(P$2,Calculation!$M$4:$S$5,2,FALSE)+5,FALSE),"")</f>
        <v/>
      </c>
      <c r="Q134" s="4" t="str">
        <f ca="1">IFERROR(VLOOKUP($L134,Calculation!$H$6:$S$1005,HLOOKUP(Q$2,Calculation!$M$4:$S$5,2,FALSE)+5,FALSE),"")</f>
        <v/>
      </c>
      <c r="R134" s="27" t="str">
        <f ca="1">IFERROR(VLOOKUP($L134,Calculation!$H$6:$S$1005,HLOOKUP(R$2,Calculation!$M$4:$S$5,2,FALSE)+5,FALSE),"")</f>
        <v/>
      </c>
      <c r="S134" s="4" t="str">
        <f ca="1">IFERROR(VLOOKUP($L134,Calculation!$H$6:$S$1005,HLOOKUP(S$2,Calculation!$M$4:$S$5,2,FALSE)+5,FALSE),"")</f>
        <v/>
      </c>
      <c r="T134" s="29"/>
      <c r="U134" s="43" t="str">
        <f>IFERROR(VLOOKUP(T134,Calculation!$U$6:$V$11,2,FALSE),"")</f>
        <v/>
      </c>
    </row>
    <row r="135" spans="1:21" ht="14.25" customHeight="1" x14ac:dyDescent="0.3">
      <c r="A135" s="26" t="str">
        <f ca="1">IF(Calculation!T138&lt;=Calculation!$H$4,Calculation!T138,"")</f>
        <v/>
      </c>
      <c r="B135" s="4" t="str">
        <f ca="1">VLOOKUP(A135,Calculation!$E$6:$J$1004,4,FALSE)</f>
        <v/>
      </c>
      <c r="C135" s="4" t="str">
        <f ca="1">VLOOKUP(A135,Calculation!$E$6:$J$1004,5,FALSE)</f>
        <v/>
      </c>
      <c r="D135" s="4" t="str">
        <f ca="1">VLOOKUP(A135,Calculation!$E$6:$J$1004,6,FALSE)</f>
        <v/>
      </c>
      <c r="E135" s="42" t="str">
        <f t="shared" ca="1" si="0"/>
        <v/>
      </c>
      <c r="G135" s="29" t="str">
        <f ca="1">VLOOKUP(A135,Calculation!$F$6:$J$1004,3,FALSE)</f>
        <v/>
      </c>
      <c r="H135" s="4" t="str">
        <f ca="1">VLOOKUP(A135,Calculation!$F$6:$J$1004,4,FALSE)</f>
        <v/>
      </c>
      <c r="I135" s="4" t="str">
        <f ca="1">VLOOKUP(A135,Calculation!$F$6:$J$1004,5,FALSE)</f>
        <v/>
      </c>
      <c r="J135" s="43" t="str">
        <f t="shared" ca="1" si="1"/>
        <v/>
      </c>
      <c r="L135" s="29" t="str">
        <f ca="1">VLOOKUP(A135,Calculation!$G$6:$S$1004,2,FALSE)</f>
        <v/>
      </c>
      <c r="M135" s="4" t="str">
        <f ca="1">IFERROR(VLOOKUP($L135,Calculation!$H$6:$S$1005,HLOOKUP(M$2,Calculation!$M$4:$S$5,2,FALSE)+5,FALSE),"")</f>
        <v/>
      </c>
      <c r="N135" s="4" t="str">
        <f ca="1">IFERROR(VLOOKUP($L135,Calculation!$H$6:$S$1005,HLOOKUP(N$2,Calculation!$M$4:$S$5,2,FALSE)+5,FALSE),"")</f>
        <v/>
      </c>
      <c r="O135" s="4" t="str">
        <f ca="1">IFERROR(VLOOKUP($L135,Calculation!$H$6:$S$1005,HLOOKUP(O$2,Calculation!$M$4:$S$5,2,FALSE)+5,FALSE),"")</f>
        <v/>
      </c>
      <c r="P135" s="4" t="str">
        <f ca="1">IFERROR(VLOOKUP($L135,Calculation!$H$6:$S$1005,HLOOKUP(P$2,Calculation!$M$4:$S$5,2,FALSE)+5,FALSE),"")</f>
        <v/>
      </c>
      <c r="Q135" s="4" t="str">
        <f ca="1">IFERROR(VLOOKUP($L135,Calculation!$H$6:$S$1005,HLOOKUP(Q$2,Calculation!$M$4:$S$5,2,FALSE)+5,FALSE),"")</f>
        <v/>
      </c>
      <c r="R135" s="27" t="str">
        <f ca="1">IFERROR(VLOOKUP($L135,Calculation!$H$6:$S$1005,HLOOKUP(R$2,Calculation!$M$4:$S$5,2,FALSE)+5,FALSE),"")</f>
        <v/>
      </c>
      <c r="S135" s="4" t="str">
        <f ca="1">IFERROR(VLOOKUP($L135,Calculation!$H$6:$S$1005,HLOOKUP(S$2,Calculation!$M$4:$S$5,2,FALSE)+5,FALSE),"")</f>
        <v/>
      </c>
      <c r="T135" s="29"/>
      <c r="U135" s="43" t="str">
        <f>IFERROR(VLOOKUP(T135,Calculation!$U$6:$V$11,2,FALSE),"")</f>
        <v/>
      </c>
    </row>
    <row r="136" spans="1:21" ht="14.25" customHeight="1" x14ac:dyDescent="0.3">
      <c r="A136" s="26" t="str">
        <f ca="1">IF(Calculation!T139&lt;=Calculation!$H$4,Calculation!T139,"")</f>
        <v/>
      </c>
      <c r="B136" s="4" t="str">
        <f ca="1">VLOOKUP(A136,Calculation!$E$6:$J$1004,4,FALSE)</f>
        <v/>
      </c>
      <c r="C136" s="4" t="str">
        <f ca="1">VLOOKUP(A136,Calculation!$E$6:$J$1004,5,FALSE)</f>
        <v/>
      </c>
      <c r="D136" s="4" t="str">
        <f ca="1">VLOOKUP(A136,Calculation!$E$6:$J$1004,6,FALSE)</f>
        <v/>
      </c>
      <c r="E136" s="42" t="str">
        <f t="shared" ca="1" si="0"/>
        <v/>
      </c>
      <c r="G136" s="29" t="str">
        <f ca="1">VLOOKUP(A136,Calculation!$F$6:$J$1004,3,FALSE)</f>
        <v/>
      </c>
      <c r="H136" s="4" t="str">
        <f ca="1">VLOOKUP(A136,Calculation!$F$6:$J$1004,4,FALSE)</f>
        <v/>
      </c>
      <c r="I136" s="4" t="str">
        <f ca="1">VLOOKUP(A136,Calculation!$F$6:$J$1004,5,FALSE)</f>
        <v/>
      </c>
      <c r="J136" s="43" t="str">
        <f t="shared" ca="1" si="1"/>
        <v/>
      </c>
      <c r="L136" s="29" t="str">
        <f ca="1">VLOOKUP(A136,Calculation!$G$6:$S$1004,2,FALSE)</f>
        <v/>
      </c>
      <c r="M136" s="4" t="str">
        <f ca="1">IFERROR(VLOOKUP($L136,Calculation!$H$6:$S$1005,HLOOKUP(M$2,Calculation!$M$4:$S$5,2,FALSE)+5,FALSE),"")</f>
        <v/>
      </c>
      <c r="N136" s="4" t="str">
        <f ca="1">IFERROR(VLOOKUP($L136,Calculation!$H$6:$S$1005,HLOOKUP(N$2,Calculation!$M$4:$S$5,2,FALSE)+5,FALSE),"")</f>
        <v/>
      </c>
      <c r="O136" s="4" t="str">
        <f ca="1">IFERROR(VLOOKUP($L136,Calculation!$H$6:$S$1005,HLOOKUP(O$2,Calculation!$M$4:$S$5,2,FALSE)+5,FALSE),"")</f>
        <v/>
      </c>
      <c r="P136" s="4" t="str">
        <f ca="1">IFERROR(VLOOKUP($L136,Calculation!$H$6:$S$1005,HLOOKUP(P$2,Calculation!$M$4:$S$5,2,FALSE)+5,FALSE),"")</f>
        <v/>
      </c>
      <c r="Q136" s="4" t="str">
        <f ca="1">IFERROR(VLOOKUP($L136,Calculation!$H$6:$S$1005,HLOOKUP(Q$2,Calculation!$M$4:$S$5,2,FALSE)+5,FALSE),"")</f>
        <v/>
      </c>
      <c r="R136" s="27" t="str">
        <f ca="1">IFERROR(VLOOKUP($L136,Calculation!$H$6:$S$1005,HLOOKUP(R$2,Calculation!$M$4:$S$5,2,FALSE)+5,FALSE),"")</f>
        <v/>
      </c>
      <c r="S136" s="4" t="str">
        <f ca="1">IFERROR(VLOOKUP($L136,Calculation!$H$6:$S$1005,HLOOKUP(S$2,Calculation!$M$4:$S$5,2,FALSE)+5,FALSE),"")</f>
        <v/>
      </c>
      <c r="T136" s="29"/>
      <c r="U136" s="43" t="str">
        <f>IFERROR(VLOOKUP(T136,Calculation!$U$6:$V$11,2,FALSE),"")</f>
        <v/>
      </c>
    </row>
    <row r="137" spans="1:21" ht="14.25" customHeight="1" x14ac:dyDescent="0.3">
      <c r="A137" s="26" t="str">
        <f ca="1">IF(Calculation!T140&lt;=Calculation!$H$4,Calculation!T140,"")</f>
        <v/>
      </c>
      <c r="B137" s="4" t="str">
        <f ca="1">VLOOKUP(A137,Calculation!$E$6:$J$1004,4,FALSE)</f>
        <v/>
      </c>
      <c r="C137" s="4" t="str">
        <f ca="1">VLOOKUP(A137,Calculation!$E$6:$J$1004,5,FALSE)</f>
        <v/>
      </c>
      <c r="D137" s="4" t="str">
        <f ca="1">VLOOKUP(A137,Calculation!$E$6:$J$1004,6,FALSE)</f>
        <v/>
      </c>
      <c r="E137" s="42" t="str">
        <f t="shared" ca="1" si="0"/>
        <v/>
      </c>
      <c r="G137" s="29" t="str">
        <f ca="1">VLOOKUP(A137,Calculation!$F$6:$J$1004,3,FALSE)</f>
        <v/>
      </c>
      <c r="H137" s="4" t="str">
        <f ca="1">VLOOKUP(A137,Calculation!$F$6:$J$1004,4,FALSE)</f>
        <v/>
      </c>
      <c r="I137" s="4" t="str">
        <f ca="1">VLOOKUP(A137,Calculation!$F$6:$J$1004,5,FALSE)</f>
        <v/>
      </c>
      <c r="J137" s="43" t="str">
        <f t="shared" ca="1" si="1"/>
        <v/>
      </c>
      <c r="L137" s="29" t="str">
        <f ca="1">VLOOKUP(A137,Calculation!$G$6:$S$1004,2,FALSE)</f>
        <v/>
      </c>
      <c r="M137" s="4" t="str">
        <f ca="1">IFERROR(VLOOKUP($L137,Calculation!$H$6:$S$1005,HLOOKUP(M$2,Calculation!$M$4:$S$5,2,FALSE)+5,FALSE),"")</f>
        <v/>
      </c>
      <c r="N137" s="4" t="str">
        <f ca="1">IFERROR(VLOOKUP($L137,Calculation!$H$6:$S$1005,HLOOKUP(N$2,Calculation!$M$4:$S$5,2,FALSE)+5,FALSE),"")</f>
        <v/>
      </c>
      <c r="O137" s="4" t="str">
        <f ca="1">IFERROR(VLOOKUP($L137,Calculation!$H$6:$S$1005,HLOOKUP(O$2,Calculation!$M$4:$S$5,2,FALSE)+5,FALSE),"")</f>
        <v/>
      </c>
      <c r="P137" s="4" t="str">
        <f ca="1">IFERROR(VLOOKUP($L137,Calculation!$H$6:$S$1005,HLOOKUP(P$2,Calculation!$M$4:$S$5,2,FALSE)+5,FALSE),"")</f>
        <v/>
      </c>
      <c r="Q137" s="4" t="str">
        <f ca="1">IFERROR(VLOOKUP($L137,Calculation!$H$6:$S$1005,HLOOKUP(Q$2,Calculation!$M$4:$S$5,2,FALSE)+5,FALSE),"")</f>
        <v/>
      </c>
      <c r="R137" s="27" t="str">
        <f ca="1">IFERROR(VLOOKUP($L137,Calculation!$H$6:$S$1005,HLOOKUP(R$2,Calculation!$M$4:$S$5,2,FALSE)+5,FALSE),"")</f>
        <v/>
      </c>
      <c r="S137" s="4" t="str">
        <f ca="1">IFERROR(VLOOKUP($L137,Calculation!$H$6:$S$1005,HLOOKUP(S$2,Calculation!$M$4:$S$5,2,FALSE)+5,FALSE),"")</f>
        <v/>
      </c>
      <c r="T137" s="29"/>
      <c r="U137" s="43" t="str">
        <f>IFERROR(VLOOKUP(T137,Calculation!$U$6:$V$11,2,FALSE),"")</f>
        <v/>
      </c>
    </row>
    <row r="138" spans="1:21" ht="14.25" customHeight="1" x14ac:dyDescent="0.3">
      <c r="A138" s="26" t="str">
        <f ca="1">IF(Calculation!T141&lt;=Calculation!$H$4,Calculation!T141,"")</f>
        <v/>
      </c>
      <c r="B138" s="4" t="str">
        <f ca="1">VLOOKUP(A138,Calculation!$E$6:$J$1004,4,FALSE)</f>
        <v/>
      </c>
      <c r="C138" s="4" t="str">
        <f ca="1">VLOOKUP(A138,Calculation!$E$6:$J$1004,5,FALSE)</f>
        <v/>
      </c>
      <c r="D138" s="4" t="str">
        <f ca="1">VLOOKUP(A138,Calculation!$E$6:$J$1004,6,FALSE)</f>
        <v/>
      </c>
      <c r="E138" s="42" t="str">
        <f t="shared" ca="1" si="0"/>
        <v/>
      </c>
      <c r="G138" s="29" t="str">
        <f ca="1">VLOOKUP(A138,Calculation!$F$6:$J$1004,3,FALSE)</f>
        <v/>
      </c>
      <c r="H138" s="4" t="str">
        <f ca="1">VLOOKUP(A138,Calculation!$F$6:$J$1004,4,FALSE)</f>
        <v/>
      </c>
      <c r="I138" s="4" t="str">
        <f ca="1">VLOOKUP(A138,Calculation!$F$6:$J$1004,5,FALSE)</f>
        <v/>
      </c>
      <c r="J138" s="43" t="str">
        <f t="shared" ca="1" si="1"/>
        <v/>
      </c>
      <c r="L138" s="29" t="str">
        <f ca="1">VLOOKUP(A138,Calculation!$G$6:$S$1004,2,FALSE)</f>
        <v/>
      </c>
      <c r="M138" s="4" t="str">
        <f ca="1">IFERROR(VLOOKUP($L138,Calculation!$H$6:$S$1005,HLOOKUP(M$2,Calculation!$M$4:$S$5,2,FALSE)+5,FALSE),"")</f>
        <v/>
      </c>
      <c r="N138" s="4" t="str">
        <f ca="1">IFERROR(VLOOKUP($L138,Calculation!$H$6:$S$1005,HLOOKUP(N$2,Calculation!$M$4:$S$5,2,FALSE)+5,FALSE),"")</f>
        <v/>
      </c>
      <c r="O138" s="4" t="str">
        <f ca="1">IFERROR(VLOOKUP($L138,Calculation!$H$6:$S$1005,HLOOKUP(O$2,Calculation!$M$4:$S$5,2,FALSE)+5,FALSE),"")</f>
        <v/>
      </c>
      <c r="P138" s="4" t="str">
        <f ca="1">IFERROR(VLOOKUP($L138,Calculation!$H$6:$S$1005,HLOOKUP(P$2,Calculation!$M$4:$S$5,2,FALSE)+5,FALSE),"")</f>
        <v/>
      </c>
      <c r="Q138" s="4" t="str">
        <f ca="1">IFERROR(VLOOKUP($L138,Calculation!$H$6:$S$1005,HLOOKUP(Q$2,Calculation!$M$4:$S$5,2,FALSE)+5,FALSE),"")</f>
        <v/>
      </c>
      <c r="R138" s="27" t="str">
        <f ca="1">IFERROR(VLOOKUP($L138,Calculation!$H$6:$S$1005,HLOOKUP(R$2,Calculation!$M$4:$S$5,2,FALSE)+5,FALSE),"")</f>
        <v/>
      </c>
      <c r="S138" s="4" t="str">
        <f ca="1">IFERROR(VLOOKUP($L138,Calculation!$H$6:$S$1005,HLOOKUP(S$2,Calculation!$M$4:$S$5,2,FALSE)+5,FALSE),"")</f>
        <v/>
      </c>
      <c r="T138" s="29"/>
      <c r="U138" s="43" t="str">
        <f>IFERROR(VLOOKUP(T138,Calculation!$U$6:$V$11,2,FALSE),"")</f>
        <v/>
      </c>
    </row>
    <row r="139" spans="1:21" ht="14.25" customHeight="1" x14ac:dyDescent="0.3">
      <c r="A139" s="26" t="str">
        <f ca="1">IF(Calculation!T142&lt;=Calculation!$H$4,Calculation!T142,"")</f>
        <v/>
      </c>
      <c r="B139" s="4" t="str">
        <f ca="1">VLOOKUP(A139,Calculation!$E$6:$J$1004,4,FALSE)</f>
        <v/>
      </c>
      <c r="C139" s="4" t="str">
        <f ca="1">VLOOKUP(A139,Calculation!$E$6:$J$1004,5,FALSE)</f>
        <v/>
      </c>
      <c r="D139" s="4" t="str">
        <f ca="1">VLOOKUP(A139,Calculation!$E$6:$J$1004,6,FALSE)</f>
        <v/>
      </c>
      <c r="E139" s="42" t="str">
        <f t="shared" ca="1" si="0"/>
        <v/>
      </c>
      <c r="G139" s="29" t="str">
        <f ca="1">VLOOKUP(A139,Calculation!$F$6:$J$1004,3,FALSE)</f>
        <v/>
      </c>
      <c r="H139" s="4" t="str">
        <f ca="1">VLOOKUP(A139,Calculation!$F$6:$J$1004,4,FALSE)</f>
        <v/>
      </c>
      <c r="I139" s="4" t="str">
        <f ca="1">VLOOKUP(A139,Calculation!$F$6:$J$1004,5,FALSE)</f>
        <v/>
      </c>
      <c r="J139" s="43" t="str">
        <f t="shared" ca="1" si="1"/>
        <v/>
      </c>
      <c r="L139" s="29" t="str">
        <f ca="1">VLOOKUP(A139,Calculation!$G$6:$S$1004,2,FALSE)</f>
        <v/>
      </c>
      <c r="M139" s="4" t="str">
        <f ca="1">IFERROR(VLOOKUP($L139,Calculation!$H$6:$S$1005,HLOOKUP(M$2,Calculation!$M$4:$S$5,2,FALSE)+5,FALSE),"")</f>
        <v/>
      </c>
      <c r="N139" s="4" t="str">
        <f ca="1">IFERROR(VLOOKUP($L139,Calculation!$H$6:$S$1005,HLOOKUP(N$2,Calculation!$M$4:$S$5,2,FALSE)+5,FALSE),"")</f>
        <v/>
      </c>
      <c r="O139" s="4" t="str">
        <f ca="1">IFERROR(VLOOKUP($L139,Calculation!$H$6:$S$1005,HLOOKUP(O$2,Calculation!$M$4:$S$5,2,FALSE)+5,FALSE),"")</f>
        <v/>
      </c>
      <c r="P139" s="4" t="str">
        <f ca="1">IFERROR(VLOOKUP($L139,Calculation!$H$6:$S$1005,HLOOKUP(P$2,Calculation!$M$4:$S$5,2,FALSE)+5,FALSE),"")</f>
        <v/>
      </c>
      <c r="Q139" s="4" t="str">
        <f ca="1">IFERROR(VLOOKUP($L139,Calculation!$H$6:$S$1005,HLOOKUP(Q$2,Calculation!$M$4:$S$5,2,FALSE)+5,FALSE),"")</f>
        <v/>
      </c>
      <c r="R139" s="27" t="str">
        <f ca="1">IFERROR(VLOOKUP($L139,Calculation!$H$6:$S$1005,HLOOKUP(R$2,Calculation!$M$4:$S$5,2,FALSE)+5,FALSE),"")</f>
        <v/>
      </c>
      <c r="S139" s="4" t="str">
        <f ca="1">IFERROR(VLOOKUP($L139,Calculation!$H$6:$S$1005,HLOOKUP(S$2,Calculation!$M$4:$S$5,2,FALSE)+5,FALSE),"")</f>
        <v/>
      </c>
      <c r="T139" s="29"/>
      <c r="U139" s="43" t="str">
        <f>IFERROR(VLOOKUP(T139,Calculation!$U$6:$V$11,2,FALSE),"")</f>
        <v/>
      </c>
    </row>
    <row r="140" spans="1:21" ht="14.25" customHeight="1" x14ac:dyDescent="0.3">
      <c r="A140" s="26" t="str">
        <f ca="1">IF(Calculation!T143&lt;=Calculation!$H$4,Calculation!T143,"")</f>
        <v/>
      </c>
      <c r="B140" s="4" t="str">
        <f ca="1">VLOOKUP(A140,Calculation!$E$6:$J$1004,4,FALSE)</f>
        <v/>
      </c>
      <c r="C140" s="4" t="str">
        <f ca="1">VLOOKUP(A140,Calculation!$E$6:$J$1004,5,FALSE)</f>
        <v/>
      </c>
      <c r="D140" s="4" t="str">
        <f ca="1">VLOOKUP(A140,Calculation!$E$6:$J$1004,6,FALSE)</f>
        <v/>
      </c>
      <c r="E140" s="42" t="str">
        <f t="shared" ca="1" si="0"/>
        <v/>
      </c>
      <c r="G140" s="29" t="str">
        <f ca="1">VLOOKUP(A140,Calculation!$F$6:$J$1004,3,FALSE)</f>
        <v/>
      </c>
      <c r="H140" s="4" t="str">
        <f ca="1">VLOOKUP(A140,Calculation!$F$6:$J$1004,4,FALSE)</f>
        <v/>
      </c>
      <c r="I140" s="4" t="str">
        <f ca="1">VLOOKUP(A140,Calculation!$F$6:$J$1004,5,FALSE)</f>
        <v/>
      </c>
      <c r="J140" s="43" t="str">
        <f t="shared" ca="1" si="1"/>
        <v/>
      </c>
      <c r="L140" s="29" t="str">
        <f ca="1">VLOOKUP(A140,Calculation!$G$6:$S$1004,2,FALSE)</f>
        <v/>
      </c>
      <c r="M140" s="4" t="str">
        <f ca="1">IFERROR(VLOOKUP($L140,Calculation!$H$6:$S$1005,HLOOKUP(M$2,Calculation!$M$4:$S$5,2,FALSE)+5,FALSE),"")</f>
        <v/>
      </c>
      <c r="N140" s="4" t="str">
        <f ca="1">IFERROR(VLOOKUP($L140,Calculation!$H$6:$S$1005,HLOOKUP(N$2,Calculation!$M$4:$S$5,2,FALSE)+5,FALSE),"")</f>
        <v/>
      </c>
      <c r="O140" s="4" t="str">
        <f ca="1">IFERROR(VLOOKUP($L140,Calculation!$H$6:$S$1005,HLOOKUP(O$2,Calculation!$M$4:$S$5,2,FALSE)+5,FALSE),"")</f>
        <v/>
      </c>
      <c r="P140" s="4" t="str">
        <f ca="1">IFERROR(VLOOKUP($L140,Calculation!$H$6:$S$1005,HLOOKUP(P$2,Calculation!$M$4:$S$5,2,FALSE)+5,FALSE),"")</f>
        <v/>
      </c>
      <c r="Q140" s="4" t="str">
        <f ca="1">IFERROR(VLOOKUP($L140,Calculation!$H$6:$S$1005,HLOOKUP(Q$2,Calculation!$M$4:$S$5,2,FALSE)+5,FALSE),"")</f>
        <v/>
      </c>
      <c r="R140" s="27" t="str">
        <f ca="1">IFERROR(VLOOKUP($L140,Calculation!$H$6:$S$1005,HLOOKUP(R$2,Calculation!$M$4:$S$5,2,FALSE)+5,FALSE),"")</f>
        <v/>
      </c>
      <c r="S140" s="4" t="str">
        <f ca="1">IFERROR(VLOOKUP($L140,Calculation!$H$6:$S$1005,HLOOKUP(S$2,Calculation!$M$4:$S$5,2,FALSE)+5,FALSE),"")</f>
        <v/>
      </c>
      <c r="T140" s="29"/>
      <c r="U140" s="43" t="str">
        <f>IFERROR(VLOOKUP(T140,Calculation!$U$6:$V$11,2,FALSE),"")</f>
        <v/>
      </c>
    </row>
    <row r="141" spans="1:21" ht="14.25" customHeight="1" x14ac:dyDescent="0.3">
      <c r="A141" s="26" t="str">
        <f ca="1">IF(Calculation!T144&lt;=Calculation!$H$4,Calculation!T144,"")</f>
        <v/>
      </c>
      <c r="B141" s="4" t="str">
        <f ca="1">VLOOKUP(A141,Calculation!$E$6:$J$1004,4,FALSE)</f>
        <v/>
      </c>
      <c r="C141" s="4" t="str">
        <f ca="1">VLOOKUP(A141,Calculation!$E$6:$J$1004,5,FALSE)</f>
        <v/>
      </c>
      <c r="D141" s="4" t="str">
        <f ca="1">VLOOKUP(A141,Calculation!$E$6:$J$1004,6,FALSE)</f>
        <v/>
      </c>
      <c r="E141" s="42" t="str">
        <f t="shared" ca="1" si="0"/>
        <v/>
      </c>
      <c r="G141" s="29" t="str">
        <f ca="1">VLOOKUP(A141,Calculation!$F$6:$J$1004,3,FALSE)</f>
        <v/>
      </c>
      <c r="H141" s="4" t="str">
        <f ca="1">VLOOKUP(A141,Calculation!$F$6:$J$1004,4,FALSE)</f>
        <v/>
      </c>
      <c r="I141" s="4" t="str">
        <f ca="1">VLOOKUP(A141,Calculation!$F$6:$J$1004,5,FALSE)</f>
        <v/>
      </c>
      <c r="J141" s="43" t="str">
        <f t="shared" ca="1" si="1"/>
        <v/>
      </c>
      <c r="L141" s="29" t="str">
        <f ca="1">VLOOKUP(A141,Calculation!$G$6:$S$1004,2,FALSE)</f>
        <v/>
      </c>
      <c r="M141" s="4" t="str">
        <f ca="1">IFERROR(VLOOKUP($L141,Calculation!$H$6:$S$1005,HLOOKUP(M$2,Calculation!$M$4:$S$5,2,FALSE)+5,FALSE),"")</f>
        <v/>
      </c>
      <c r="N141" s="4" t="str">
        <f ca="1">IFERROR(VLOOKUP($L141,Calculation!$H$6:$S$1005,HLOOKUP(N$2,Calculation!$M$4:$S$5,2,FALSE)+5,FALSE),"")</f>
        <v/>
      </c>
      <c r="O141" s="4" t="str">
        <f ca="1">IFERROR(VLOOKUP($L141,Calculation!$H$6:$S$1005,HLOOKUP(O$2,Calculation!$M$4:$S$5,2,FALSE)+5,FALSE),"")</f>
        <v/>
      </c>
      <c r="P141" s="4" t="str">
        <f ca="1">IFERROR(VLOOKUP($L141,Calculation!$H$6:$S$1005,HLOOKUP(P$2,Calculation!$M$4:$S$5,2,FALSE)+5,FALSE),"")</f>
        <v/>
      </c>
      <c r="Q141" s="4" t="str">
        <f ca="1">IFERROR(VLOOKUP($L141,Calculation!$H$6:$S$1005,HLOOKUP(Q$2,Calculation!$M$4:$S$5,2,FALSE)+5,FALSE),"")</f>
        <v/>
      </c>
      <c r="R141" s="27" t="str">
        <f ca="1">IFERROR(VLOOKUP($L141,Calculation!$H$6:$S$1005,HLOOKUP(R$2,Calculation!$M$4:$S$5,2,FALSE)+5,FALSE),"")</f>
        <v/>
      </c>
      <c r="S141" s="4" t="str">
        <f ca="1">IFERROR(VLOOKUP($L141,Calculation!$H$6:$S$1005,HLOOKUP(S$2,Calculation!$M$4:$S$5,2,FALSE)+5,FALSE),"")</f>
        <v/>
      </c>
      <c r="T141" s="29"/>
      <c r="U141" s="43" t="str">
        <f>IFERROR(VLOOKUP(T141,Calculation!$U$6:$V$11,2,FALSE),"")</f>
        <v/>
      </c>
    </row>
    <row r="142" spans="1:21" ht="14.25" customHeight="1" x14ac:dyDescent="0.3">
      <c r="A142" s="26" t="str">
        <f ca="1">IF(Calculation!T145&lt;=Calculation!$H$4,Calculation!T145,"")</f>
        <v/>
      </c>
      <c r="B142" s="4" t="str">
        <f ca="1">VLOOKUP(A142,Calculation!$E$6:$J$1004,4,FALSE)</f>
        <v/>
      </c>
      <c r="C142" s="4" t="str">
        <f ca="1">VLOOKUP(A142,Calculation!$E$6:$J$1004,5,FALSE)</f>
        <v/>
      </c>
      <c r="D142" s="4" t="str">
        <f ca="1">VLOOKUP(A142,Calculation!$E$6:$J$1004,6,FALSE)</f>
        <v/>
      </c>
      <c r="E142" s="42" t="str">
        <f t="shared" ca="1" si="0"/>
        <v/>
      </c>
      <c r="G142" s="29" t="str">
        <f ca="1">VLOOKUP(A142,Calculation!$F$6:$J$1004,3,FALSE)</f>
        <v/>
      </c>
      <c r="H142" s="4" t="str">
        <f ca="1">VLOOKUP(A142,Calculation!$F$6:$J$1004,4,FALSE)</f>
        <v/>
      </c>
      <c r="I142" s="4" t="str">
        <f ca="1">VLOOKUP(A142,Calculation!$F$6:$J$1004,5,FALSE)</f>
        <v/>
      </c>
      <c r="J142" s="43" t="str">
        <f t="shared" ca="1" si="1"/>
        <v/>
      </c>
      <c r="L142" s="29" t="str">
        <f ca="1">VLOOKUP(A142,Calculation!$G$6:$S$1004,2,FALSE)</f>
        <v/>
      </c>
      <c r="M142" s="4" t="str">
        <f ca="1">IFERROR(VLOOKUP($L142,Calculation!$H$6:$S$1005,HLOOKUP(M$2,Calculation!$M$4:$S$5,2,FALSE)+5,FALSE),"")</f>
        <v/>
      </c>
      <c r="N142" s="4" t="str">
        <f ca="1">IFERROR(VLOOKUP($L142,Calculation!$H$6:$S$1005,HLOOKUP(N$2,Calculation!$M$4:$S$5,2,FALSE)+5,FALSE),"")</f>
        <v/>
      </c>
      <c r="O142" s="4" t="str">
        <f ca="1">IFERROR(VLOOKUP($L142,Calculation!$H$6:$S$1005,HLOOKUP(O$2,Calculation!$M$4:$S$5,2,FALSE)+5,FALSE),"")</f>
        <v/>
      </c>
      <c r="P142" s="4" t="str">
        <f ca="1">IFERROR(VLOOKUP($L142,Calculation!$H$6:$S$1005,HLOOKUP(P$2,Calculation!$M$4:$S$5,2,FALSE)+5,FALSE),"")</f>
        <v/>
      </c>
      <c r="Q142" s="4" t="str">
        <f ca="1">IFERROR(VLOOKUP($L142,Calculation!$H$6:$S$1005,HLOOKUP(Q$2,Calculation!$M$4:$S$5,2,FALSE)+5,FALSE),"")</f>
        <v/>
      </c>
      <c r="R142" s="27" t="str">
        <f ca="1">IFERROR(VLOOKUP($L142,Calculation!$H$6:$S$1005,HLOOKUP(R$2,Calculation!$M$4:$S$5,2,FALSE)+5,FALSE),"")</f>
        <v/>
      </c>
      <c r="S142" s="4" t="str">
        <f ca="1">IFERROR(VLOOKUP($L142,Calculation!$H$6:$S$1005,HLOOKUP(S$2,Calculation!$M$4:$S$5,2,FALSE)+5,FALSE),"")</f>
        <v/>
      </c>
      <c r="T142" s="29"/>
      <c r="U142" s="43" t="str">
        <f>IFERROR(VLOOKUP(T142,Calculation!$U$6:$V$11,2,FALSE),"")</f>
        <v/>
      </c>
    </row>
    <row r="143" spans="1:21" ht="14.25" customHeight="1" x14ac:dyDescent="0.3">
      <c r="A143" s="26" t="str">
        <f ca="1">IF(Calculation!T146&lt;=Calculation!$H$4,Calculation!T146,"")</f>
        <v/>
      </c>
      <c r="B143" s="4" t="str">
        <f ca="1">VLOOKUP(A143,Calculation!$E$6:$J$1004,4,FALSE)</f>
        <v/>
      </c>
      <c r="C143" s="4" t="str">
        <f ca="1">VLOOKUP(A143,Calculation!$E$6:$J$1004,5,FALSE)</f>
        <v/>
      </c>
      <c r="D143" s="4" t="str">
        <f ca="1">VLOOKUP(A143,Calculation!$E$6:$J$1004,6,FALSE)</f>
        <v/>
      </c>
      <c r="E143" s="42" t="str">
        <f t="shared" ca="1" si="0"/>
        <v/>
      </c>
      <c r="G143" s="29" t="str">
        <f ca="1">VLOOKUP(A143,Calculation!$F$6:$J$1004,3,FALSE)</f>
        <v/>
      </c>
      <c r="H143" s="4" t="str">
        <f ca="1">VLOOKUP(A143,Calculation!$F$6:$J$1004,4,FALSE)</f>
        <v/>
      </c>
      <c r="I143" s="4" t="str">
        <f ca="1">VLOOKUP(A143,Calculation!$F$6:$J$1004,5,FALSE)</f>
        <v/>
      </c>
      <c r="J143" s="43" t="str">
        <f t="shared" ca="1" si="1"/>
        <v/>
      </c>
      <c r="L143" s="29" t="str">
        <f ca="1">VLOOKUP(A143,Calculation!$G$6:$S$1004,2,FALSE)</f>
        <v/>
      </c>
      <c r="M143" s="4" t="str">
        <f ca="1">IFERROR(VLOOKUP($L143,Calculation!$H$6:$S$1005,HLOOKUP(M$2,Calculation!$M$4:$S$5,2,FALSE)+5,FALSE),"")</f>
        <v/>
      </c>
      <c r="N143" s="4" t="str">
        <f ca="1">IFERROR(VLOOKUP($L143,Calculation!$H$6:$S$1005,HLOOKUP(N$2,Calculation!$M$4:$S$5,2,FALSE)+5,FALSE),"")</f>
        <v/>
      </c>
      <c r="O143" s="4" t="str">
        <f ca="1">IFERROR(VLOOKUP($L143,Calculation!$H$6:$S$1005,HLOOKUP(O$2,Calculation!$M$4:$S$5,2,FALSE)+5,FALSE),"")</f>
        <v/>
      </c>
      <c r="P143" s="4" t="str">
        <f ca="1">IFERROR(VLOOKUP($L143,Calculation!$H$6:$S$1005,HLOOKUP(P$2,Calculation!$M$4:$S$5,2,FALSE)+5,FALSE),"")</f>
        <v/>
      </c>
      <c r="Q143" s="4" t="str">
        <f ca="1">IFERROR(VLOOKUP($L143,Calculation!$H$6:$S$1005,HLOOKUP(Q$2,Calculation!$M$4:$S$5,2,FALSE)+5,FALSE),"")</f>
        <v/>
      </c>
      <c r="R143" s="27" t="str">
        <f ca="1">IFERROR(VLOOKUP($L143,Calculation!$H$6:$S$1005,HLOOKUP(R$2,Calculation!$M$4:$S$5,2,FALSE)+5,FALSE),"")</f>
        <v/>
      </c>
      <c r="S143" s="4" t="str">
        <f ca="1">IFERROR(VLOOKUP($L143,Calculation!$H$6:$S$1005,HLOOKUP(S$2,Calculation!$M$4:$S$5,2,FALSE)+5,FALSE),"")</f>
        <v/>
      </c>
      <c r="T143" s="29"/>
      <c r="U143" s="43" t="str">
        <f>IFERROR(VLOOKUP(T143,Calculation!$U$6:$V$11,2,FALSE),"")</f>
        <v/>
      </c>
    </row>
    <row r="144" spans="1:21" ht="14.25" customHeight="1" x14ac:dyDescent="0.3">
      <c r="A144" s="26" t="str">
        <f ca="1">IF(Calculation!T147&lt;=Calculation!$H$4,Calculation!T147,"")</f>
        <v/>
      </c>
      <c r="B144" s="4" t="str">
        <f ca="1">VLOOKUP(A144,Calculation!$E$6:$J$1004,4,FALSE)</f>
        <v/>
      </c>
      <c r="C144" s="4" t="str">
        <f ca="1">VLOOKUP(A144,Calculation!$E$6:$J$1004,5,FALSE)</f>
        <v/>
      </c>
      <c r="D144" s="4" t="str">
        <f ca="1">VLOOKUP(A144,Calculation!$E$6:$J$1004,6,FALSE)</f>
        <v/>
      </c>
      <c r="E144" s="42" t="str">
        <f t="shared" ca="1" si="0"/>
        <v/>
      </c>
      <c r="G144" s="29" t="str">
        <f ca="1">VLOOKUP(A144,Calculation!$F$6:$J$1004,3,FALSE)</f>
        <v/>
      </c>
      <c r="H144" s="4" t="str">
        <f ca="1">VLOOKUP(A144,Calculation!$F$6:$J$1004,4,FALSE)</f>
        <v/>
      </c>
      <c r="I144" s="4" t="str">
        <f ca="1">VLOOKUP(A144,Calculation!$F$6:$J$1004,5,FALSE)</f>
        <v/>
      </c>
      <c r="J144" s="43" t="str">
        <f t="shared" ca="1" si="1"/>
        <v/>
      </c>
      <c r="L144" s="29" t="str">
        <f ca="1">VLOOKUP(A144,Calculation!$G$6:$S$1004,2,FALSE)</f>
        <v/>
      </c>
      <c r="M144" s="4" t="str">
        <f ca="1">IFERROR(VLOOKUP($L144,Calculation!$H$6:$S$1005,HLOOKUP(M$2,Calculation!$M$4:$S$5,2,FALSE)+5,FALSE),"")</f>
        <v/>
      </c>
      <c r="N144" s="4" t="str">
        <f ca="1">IFERROR(VLOOKUP($L144,Calculation!$H$6:$S$1005,HLOOKUP(N$2,Calculation!$M$4:$S$5,2,FALSE)+5,FALSE),"")</f>
        <v/>
      </c>
      <c r="O144" s="4" t="str">
        <f ca="1">IFERROR(VLOOKUP($L144,Calculation!$H$6:$S$1005,HLOOKUP(O$2,Calculation!$M$4:$S$5,2,FALSE)+5,FALSE),"")</f>
        <v/>
      </c>
      <c r="P144" s="4" t="str">
        <f ca="1">IFERROR(VLOOKUP($L144,Calculation!$H$6:$S$1005,HLOOKUP(P$2,Calculation!$M$4:$S$5,2,FALSE)+5,FALSE),"")</f>
        <v/>
      </c>
      <c r="Q144" s="4" t="str">
        <f ca="1">IFERROR(VLOOKUP($L144,Calculation!$H$6:$S$1005,HLOOKUP(Q$2,Calculation!$M$4:$S$5,2,FALSE)+5,FALSE),"")</f>
        <v/>
      </c>
      <c r="R144" s="27" t="str">
        <f ca="1">IFERROR(VLOOKUP($L144,Calculation!$H$6:$S$1005,HLOOKUP(R$2,Calculation!$M$4:$S$5,2,FALSE)+5,FALSE),"")</f>
        <v/>
      </c>
      <c r="S144" s="4" t="str">
        <f ca="1">IFERROR(VLOOKUP($L144,Calculation!$H$6:$S$1005,HLOOKUP(S$2,Calculation!$M$4:$S$5,2,FALSE)+5,FALSE),"")</f>
        <v/>
      </c>
      <c r="T144" s="29"/>
      <c r="U144" s="43" t="str">
        <f>IFERROR(VLOOKUP(T144,Calculation!$U$6:$V$11,2,FALSE),"")</f>
        <v/>
      </c>
    </row>
    <row r="145" spans="1:21" ht="14.25" customHeight="1" x14ac:dyDescent="0.3">
      <c r="A145" s="26" t="str">
        <f ca="1">IF(Calculation!T148&lt;=Calculation!$H$4,Calculation!T148,"")</f>
        <v/>
      </c>
      <c r="B145" s="4" t="str">
        <f ca="1">VLOOKUP(A145,Calculation!$E$6:$J$1004,4,FALSE)</f>
        <v/>
      </c>
      <c r="C145" s="4" t="str">
        <f ca="1">VLOOKUP(A145,Calculation!$E$6:$J$1004,5,FALSE)</f>
        <v/>
      </c>
      <c r="D145" s="4" t="str">
        <f ca="1">VLOOKUP(A145,Calculation!$E$6:$J$1004,6,FALSE)</f>
        <v/>
      </c>
      <c r="E145" s="42" t="str">
        <f t="shared" ca="1" si="0"/>
        <v/>
      </c>
      <c r="G145" s="29" t="str">
        <f ca="1">VLOOKUP(A145,Calculation!$F$6:$J$1004,3,FALSE)</f>
        <v/>
      </c>
      <c r="H145" s="4" t="str">
        <f ca="1">VLOOKUP(A145,Calculation!$F$6:$J$1004,4,FALSE)</f>
        <v/>
      </c>
      <c r="I145" s="4" t="str">
        <f ca="1">VLOOKUP(A145,Calculation!$F$6:$J$1004,5,FALSE)</f>
        <v/>
      </c>
      <c r="J145" s="43" t="str">
        <f t="shared" ca="1" si="1"/>
        <v/>
      </c>
      <c r="L145" s="29" t="str">
        <f ca="1">VLOOKUP(A145,Calculation!$G$6:$S$1004,2,FALSE)</f>
        <v/>
      </c>
      <c r="M145" s="4" t="str">
        <f ca="1">IFERROR(VLOOKUP($L145,Calculation!$H$6:$S$1005,HLOOKUP(M$2,Calculation!$M$4:$S$5,2,FALSE)+5,FALSE),"")</f>
        <v/>
      </c>
      <c r="N145" s="4" t="str">
        <f ca="1">IFERROR(VLOOKUP($L145,Calculation!$H$6:$S$1005,HLOOKUP(N$2,Calculation!$M$4:$S$5,2,FALSE)+5,FALSE),"")</f>
        <v/>
      </c>
      <c r="O145" s="4" t="str">
        <f ca="1">IFERROR(VLOOKUP($L145,Calculation!$H$6:$S$1005,HLOOKUP(O$2,Calculation!$M$4:$S$5,2,FALSE)+5,FALSE),"")</f>
        <v/>
      </c>
      <c r="P145" s="4" t="str">
        <f ca="1">IFERROR(VLOOKUP($L145,Calculation!$H$6:$S$1005,HLOOKUP(P$2,Calculation!$M$4:$S$5,2,FALSE)+5,FALSE),"")</f>
        <v/>
      </c>
      <c r="Q145" s="4" t="str">
        <f ca="1">IFERROR(VLOOKUP($L145,Calculation!$H$6:$S$1005,HLOOKUP(Q$2,Calculation!$M$4:$S$5,2,FALSE)+5,FALSE),"")</f>
        <v/>
      </c>
      <c r="R145" s="27" t="str">
        <f ca="1">IFERROR(VLOOKUP($L145,Calculation!$H$6:$S$1005,HLOOKUP(R$2,Calculation!$M$4:$S$5,2,FALSE)+5,FALSE),"")</f>
        <v/>
      </c>
      <c r="S145" s="4" t="str">
        <f ca="1">IFERROR(VLOOKUP($L145,Calculation!$H$6:$S$1005,HLOOKUP(S$2,Calculation!$M$4:$S$5,2,FALSE)+5,FALSE),"")</f>
        <v/>
      </c>
      <c r="T145" s="29"/>
      <c r="U145" s="43" t="str">
        <f>IFERROR(VLOOKUP(T145,Calculation!$U$6:$V$11,2,FALSE),"")</f>
        <v/>
      </c>
    </row>
    <row r="146" spans="1:21" ht="14.25" customHeight="1" x14ac:dyDescent="0.3">
      <c r="A146" s="26" t="str">
        <f ca="1">IF(Calculation!T149&lt;=Calculation!$H$4,Calculation!T149,"")</f>
        <v/>
      </c>
      <c r="B146" s="4" t="str">
        <f ca="1">VLOOKUP(A146,Calculation!$E$6:$J$1004,4,FALSE)</f>
        <v/>
      </c>
      <c r="C146" s="4" t="str">
        <f ca="1">VLOOKUP(A146,Calculation!$E$6:$J$1004,5,FALSE)</f>
        <v/>
      </c>
      <c r="D146" s="4" t="str">
        <f ca="1">VLOOKUP(A146,Calculation!$E$6:$J$1004,6,FALSE)</f>
        <v/>
      </c>
      <c r="E146" s="42" t="str">
        <f t="shared" ca="1" si="0"/>
        <v/>
      </c>
      <c r="G146" s="29" t="str">
        <f ca="1">VLOOKUP(A146,Calculation!$F$6:$J$1004,3,FALSE)</f>
        <v/>
      </c>
      <c r="H146" s="4" t="str">
        <f ca="1">VLOOKUP(A146,Calculation!$F$6:$J$1004,4,FALSE)</f>
        <v/>
      </c>
      <c r="I146" s="4" t="str">
        <f ca="1">VLOOKUP(A146,Calculation!$F$6:$J$1004,5,FALSE)</f>
        <v/>
      </c>
      <c r="J146" s="43" t="str">
        <f t="shared" ca="1" si="1"/>
        <v/>
      </c>
      <c r="L146" s="29" t="str">
        <f ca="1">VLOOKUP(A146,Calculation!$G$6:$S$1004,2,FALSE)</f>
        <v/>
      </c>
      <c r="M146" s="4" t="str">
        <f ca="1">IFERROR(VLOOKUP($L146,Calculation!$H$6:$S$1005,HLOOKUP(M$2,Calculation!$M$4:$S$5,2,FALSE)+5,FALSE),"")</f>
        <v/>
      </c>
      <c r="N146" s="4" t="str">
        <f ca="1">IFERROR(VLOOKUP($L146,Calculation!$H$6:$S$1005,HLOOKUP(N$2,Calculation!$M$4:$S$5,2,FALSE)+5,FALSE),"")</f>
        <v/>
      </c>
      <c r="O146" s="4" t="str">
        <f ca="1">IFERROR(VLOOKUP($L146,Calculation!$H$6:$S$1005,HLOOKUP(O$2,Calculation!$M$4:$S$5,2,FALSE)+5,FALSE),"")</f>
        <v/>
      </c>
      <c r="P146" s="4" t="str">
        <f ca="1">IFERROR(VLOOKUP($L146,Calculation!$H$6:$S$1005,HLOOKUP(P$2,Calculation!$M$4:$S$5,2,FALSE)+5,FALSE),"")</f>
        <v/>
      </c>
      <c r="Q146" s="4" t="str">
        <f ca="1">IFERROR(VLOOKUP($L146,Calculation!$H$6:$S$1005,HLOOKUP(Q$2,Calculation!$M$4:$S$5,2,FALSE)+5,FALSE),"")</f>
        <v/>
      </c>
      <c r="R146" s="27" t="str">
        <f ca="1">IFERROR(VLOOKUP($L146,Calculation!$H$6:$S$1005,HLOOKUP(R$2,Calculation!$M$4:$S$5,2,FALSE)+5,FALSE),"")</f>
        <v/>
      </c>
      <c r="S146" s="4" t="str">
        <f ca="1">IFERROR(VLOOKUP($L146,Calculation!$H$6:$S$1005,HLOOKUP(S$2,Calculation!$M$4:$S$5,2,FALSE)+5,FALSE),"")</f>
        <v/>
      </c>
      <c r="T146" s="29"/>
      <c r="U146" s="43" t="str">
        <f>IFERROR(VLOOKUP(T146,Calculation!$U$6:$V$11,2,FALSE),"")</f>
        <v/>
      </c>
    </row>
    <row r="147" spans="1:21" ht="14.25" customHeight="1" x14ac:dyDescent="0.3">
      <c r="A147" s="26" t="str">
        <f ca="1">IF(Calculation!T150&lt;=Calculation!$H$4,Calculation!T150,"")</f>
        <v/>
      </c>
      <c r="B147" s="4" t="str">
        <f ca="1">VLOOKUP(A147,Calculation!$E$6:$J$1004,4,FALSE)</f>
        <v/>
      </c>
      <c r="C147" s="4" t="str">
        <f ca="1">VLOOKUP(A147,Calculation!$E$6:$J$1004,5,FALSE)</f>
        <v/>
      </c>
      <c r="D147" s="4" t="str">
        <f ca="1">VLOOKUP(A147,Calculation!$E$6:$J$1004,6,FALSE)</f>
        <v/>
      </c>
      <c r="E147" s="42" t="str">
        <f t="shared" ca="1" si="0"/>
        <v/>
      </c>
      <c r="G147" s="29" t="str">
        <f ca="1">VLOOKUP(A147,Calculation!$F$6:$J$1004,3,FALSE)</f>
        <v/>
      </c>
      <c r="H147" s="4" t="str">
        <f ca="1">VLOOKUP(A147,Calculation!$F$6:$J$1004,4,FALSE)</f>
        <v/>
      </c>
      <c r="I147" s="4" t="str">
        <f ca="1">VLOOKUP(A147,Calculation!$F$6:$J$1004,5,FALSE)</f>
        <v/>
      </c>
      <c r="J147" s="43" t="str">
        <f t="shared" ca="1" si="1"/>
        <v/>
      </c>
      <c r="L147" s="29" t="str">
        <f ca="1">VLOOKUP(A147,Calculation!$G$6:$S$1004,2,FALSE)</f>
        <v/>
      </c>
      <c r="M147" s="4" t="str">
        <f ca="1">IFERROR(VLOOKUP($L147,Calculation!$H$6:$S$1005,HLOOKUP(M$2,Calculation!$M$4:$S$5,2,FALSE)+5,FALSE),"")</f>
        <v/>
      </c>
      <c r="N147" s="4" t="str">
        <f ca="1">IFERROR(VLOOKUP($L147,Calculation!$H$6:$S$1005,HLOOKUP(N$2,Calculation!$M$4:$S$5,2,FALSE)+5,FALSE),"")</f>
        <v/>
      </c>
      <c r="O147" s="4" t="str">
        <f ca="1">IFERROR(VLOOKUP($L147,Calculation!$H$6:$S$1005,HLOOKUP(O$2,Calculation!$M$4:$S$5,2,FALSE)+5,FALSE),"")</f>
        <v/>
      </c>
      <c r="P147" s="4" t="str">
        <f ca="1">IFERROR(VLOOKUP($L147,Calculation!$H$6:$S$1005,HLOOKUP(P$2,Calculation!$M$4:$S$5,2,FALSE)+5,FALSE),"")</f>
        <v/>
      </c>
      <c r="Q147" s="4" t="str">
        <f ca="1">IFERROR(VLOOKUP($L147,Calculation!$H$6:$S$1005,HLOOKUP(Q$2,Calculation!$M$4:$S$5,2,FALSE)+5,FALSE),"")</f>
        <v/>
      </c>
      <c r="R147" s="27" t="str">
        <f ca="1">IFERROR(VLOOKUP($L147,Calculation!$H$6:$S$1005,HLOOKUP(R$2,Calculation!$M$4:$S$5,2,FALSE)+5,FALSE),"")</f>
        <v/>
      </c>
      <c r="S147" s="4" t="str">
        <f ca="1">IFERROR(VLOOKUP($L147,Calculation!$H$6:$S$1005,HLOOKUP(S$2,Calculation!$M$4:$S$5,2,FALSE)+5,FALSE),"")</f>
        <v/>
      </c>
      <c r="T147" s="29"/>
      <c r="U147" s="43" t="str">
        <f>IFERROR(VLOOKUP(T147,Calculation!$U$6:$V$11,2,FALSE),"")</f>
        <v/>
      </c>
    </row>
    <row r="148" spans="1:21" ht="14.25" customHeight="1" x14ac:dyDescent="0.3">
      <c r="A148" s="26" t="str">
        <f ca="1">IF(Calculation!T151&lt;=Calculation!$H$4,Calculation!T151,"")</f>
        <v/>
      </c>
      <c r="B148" s="4" t="str">
        <f ca="1">VLOOKUP(A148,Calculation!$E$6:$J$1004,4,FALSE)</f>
        <v/>
      </c>
      <c r="C148" s="4" t="str">
        <f ca="1">VLOOKUP(A148,Calculation!$E$6:$J$1004,5,FALSE)</f>
        <v/>
      </c>
      <c r="D148" s="4" t="str">
        <f ca="1">VLOOKUP(A148,Calculation!$E$6:$J$1004,6,FALSE)</f>
        <v/>
      </c>
      <c r="E148" s="42" t="str">
        <f t="shared" ca="1" si="0"/>
        <v/>
      </c>
      <c r="G148" s="29" t="str">
        <f ca="1">VLOOKUP(A148,Calculation!$F$6:$J$1004,3,FALSE)</f>
        <v/>
      </c>
      <c r="H148" s="4" t="str">
        <f ca="1">VLOOKUP(A148,Calculation!$F$6:$J$1004,4,FALSE)</f>
        <v/>
      </c>
      <c r="I148" s="4" t="str">
        <f ca="1">VLOOKUP(A148,Calculation!$F$6:$J$1004,5,FALSE)</f>
        <v/>
      </c>
      <c r="J148" s="43" t="str">
        <f t="shared" ca="1" si="1"/>
        <v/>
      </c>
      <c r="L148" s="29" t="str">
        <f ca="1">VLOOKUP(A148,Calculation!$G$6:$S$1004,2,FALSE)</f>
        <v/>
      </c>
      <c r="M148" s="4" t="str">
        <f ca="1">IFERROR(VLOOKUP($L148,Calculation!$H$6:$S$1005,HLOOKUP(M$2,Calculation!$M$4:$S$5,2,FALSE)+5,FALSE),"")</f>
        <v/>
      </c>
      <c r="N148" s="4" t="str">
        <f ca="1">IFERROR(VLOOKUP($L148,Calculation!$H$6:$S$1005,HLOOKUP(N$2,Calculation!$M$4:$S$5,2,FALSE)+5,FALSE),"")</f>
        <v/>
      </c>
      <c r="O148" s="4" t="str">
        <f ca="1">IFERROR(VLOOKUP($L148,Calculation!$H$6:$S$1005,HLOOKUP(O$2,Calculation!$M$4:$S$5,2,FALSE)+5,FALSE),"")</f>
        <v/>
      </c>
      <c r="P148" s="4" t="str">
        <f ca="1">IFERROR(VLOOKUP($L148,Calculation!$H$6:$S$1005,HLOOKUP(P$2,Calculation!$M$4:$S$5,2,FALSE)+5,FALSE),"")</f>
        <v/>
      </c>
      <c r="Q148" s="4" t="str">
        <f ca="1">IFERROR(VLOOKUP($L148,Calculation!$H$6:$S$1005,HLOOKUP(Q$2,Calculation!$M$4:$S$5,2,FALSE)+5,FALSE),"")</f>
        <v/>
      </c>
      <c r="R148" s="27" t="str">
        <f ca="1">IFERROR(VLOOKUP($L148,Calculation!$H$6:$S$1005,HLOOKUP(R$2,Calculation!$M$4:$S$5,2,FALSE)+5,FALSE),"")</f>
        <v/>
      </c>
      <c r="S148" s="4" t="str">
        <f ca="1">IFERROR(VLOOKUP($L148,Calculation!$H$6:$S$1005,HLOOKUP(S$2,Calculation!$M$4:$S$5,2,FALSE)+5,FALSE),"")</f>
        <v/>
      </c>
      <c r="T148" s="29"/>
      <c r="U148" s="43" t="str">
        <f>IFERROR(VLOOKUP(T148,Calculation!$U$6:$V$11,2,FALSE),"")</f>
        <v/>
      </c>
    </row>
    <row r="149" spans="1:21" ht="14.25" customHeight="1" x14ac:dyDescent="0.3">
      <c r="A149" s="26" t="str">
        <f ca="1">IF(Calculation!T152&lt;=Calculation!$H$4,Calculation!T152,"")</f>
        <v/>
      </c>
      <c r="B149" s="4" t="str">
        <f ca="1">VLOOKUP(A149,Calculation!$E$6:$J$1004,4,FALSE)</f>
        <v/>
      </c>
      <c r="C149" s="4" t="str">
        <f ca="1">VLOOKUP(A149,Calculation!$E$6:$J$1004,5,FALSE)</f>
        <v/>
      </c>
      <c r="D149" s="4" t="str">
        <f ca="1">VLOOKUP(A149,Calculation!$E$6:$J$1004,6,FALSE)</f>
        <v/>
      </c>
      <c r="E149" s="42" t="str">
        <f t="shared" ca="1" si="0"/>
        <v/>
      </c>
      <c r="G149" s="29" t="str">
        <f ca="1">VLOOKUP(A149,Calculation!$F$6:$J$1004,3,FALSE)</f>
        <v/>
      </c>
      <c r="H149" s="4" t="str">
        <f ca="1">VLOOKUP(A149,Calculation!$F$6:$J$1004,4,FALSE)</f>
        <v/>
      </c>
      <c r="I149" s="4" t="str">
        <f ca="1">VLOOKUP(A149,Calculation!$F$6:$J$1004,5,FALSE)</f>
        <v/>
      </c>
      <c r="J149" s="43" t="str">
        <f t="shared" ca="1" si="1"/>
        <v/>
      </c>
      <c r="L149" s="29" t="str">
        <f ca="1">VLOOKUP(A149,Calculation!$G$6:$S$1004,2,FALSE)</f>
        <v/>
      </c>
      <c r="M149" s="4" t="str">
        <f ca="1">IFERROR(VLOOKUP($L149,Calculation!$H$6:$S$1005,HLOOKUP(M$2,Calculation!$M$4:$S$5,2,FALSE)+5,FALSE),"")</f>
        <v/>
      </c>
      <c r="N149" s="4" t="str">
        <f ca="1">IFERROR(VLOOKUP($L149,Calculation!$H$6:$S$1005,HLOOKUP(N$2,Calculation!$M$4:$S$5,2,FALSE)+5,FALSE),"")</f>
        <v/>
      </c>
      <c r="O149" s="4" t="str">
        <f ca="1">IFERROR(VLOOKUP($L149,Calculation!$H$6:$S$1005,HLOOKUP(O$2,Calculation!$M$4:$S$5,2,FALSE)+5,FALSE),"")</f>
        <v/>
      </c>
      <c r="P149" s="4" t="str">
        <f ca="1">IFERROR(VLOOKUP($L149,Calculation!$H$6:$S$1005,HLOOKUP(P$2,Calculation!$M$4:$S$5,2,FALSE)+5,FALSE),"")</f>
        <v/>
      </c>
      <c r="Q149" s="4" t="str">
        <f ca="1">IFERROR(VLOOKUP($L149,Calculation!$H$6:$S$1005,HLOOKUP(Q$2,Calculation!$M$4:$S$5,2,FALSE)+5,FALSE),"")</f>
        <v/>
      </c>
      <c r="R149" s="27" t="str">
        <f ca="1">IFERROR(VLOOKUP($L149,Calculation!$H$6:$S$1005,HLOOKUP(R$2,Calculation!$M$4:$S$5,2,FALSE)+5,FALSE),"")</f>
        <v/>
      </c>
      <c r="S149" s="4" t="str">
        <f ca="1">IFERROR(VLOOKUP($L149,Calculation!$H$6:$S$1005,HLOOKUP(S$2,Calculation!$M$4:$S$5,2,FALSE)+5,FALSE),"")</f>
        <v/>
      </c>
      <c r="T149" s="29"/>
      <c r="U149" s="43" t="str">
        <f>IFERROR(VLOOKUP(T149,Calculation!$U$6:$V$11,2,FALSE),"")</f>
        <v/>
      </c>
    </row>
    <row r="150" spans="1:21" ht="14.25" customHeight="1" x14ac:dyDescent="0.3">
      <c r="A150" s="26" t="str">
        <f ca="1">IF(Calculation!T153&lt;=Calculation!$H$4,Calculation!T153,"")</f>
        <v/>
      </c>
      <c r="B150" s="4" t="str">
        <f ca="1">VLOOKUP(A150,Calculation!$E$6:$J$1004,4,FALSE)</f>
        <v/>
      </c>
      <c r="C150" s="4" t="str">
        <f ca="1">VLOOKUP(A150,Calculation!$E$6:$J$1004,5,FALSE)</f>
        <v/>
      </c>
      <c r="D150" s="4" t="str">
        <f ca="1">VLOOKUP(A150,Calculation!$E$6:$J$1004,6,FALSE)</f>
        <v/>
      </c>
      <c r="E150" s="42" t="str">
        <f t="shared" ca="1" si="0"/>
        <v/>
      </c>
      <c r="G150" s="29" t="str">
        <f ca="1">VLOOKUP(A150,Calculation!$F$6:$J$1004,3,FALSE)</f>
        <v/>
      </c>
      <c r="H150" s="4" t="str">
        <f ca="1">VLOOKUP(A150,Calculation!$F$6:$J$1004,4,FALSE)</f>
        <v/>
      </c>
      <c r="I150" s="4" t="str">
        <f ca="1">VLOOKUP(A150,Calculation!$F$6:$J$1004,5,FALSE)</f>
        <v/>
      </c>
      <c r="J150" s="43" t="str">
        <f t="shared" ca="1" si="1"/>
        <v/>
      </c>
      <c r="L150" s="29" t="str">
        <f ca="1">VLOOKUP(A150,Calculation!$G$6:$S$1004,2,FALSE)</f>
        <v/>
      </c>
      <c r="M150" s="4" t="str">
        <f ca="1">IFERROR(VLOOKUP($L150,Calculation!$H$6:$S$1005,HLOOKUP(M$2,Calculation!$M$4:$S$5,2,FALSE)+5,FALSE),"")</f>
        <v/>
      </c>
      <c r="N150" s="4" t="str">
        <f ca="1">IFERROR(VLOOKUP($L150,Calculation!$H$6:$S$1005,HLOOKUP(N$2,Calculation!$M$4:$S$5,2,FALSE)+5,FALSE),"")</f>
        <v/>
      </c>
      <c r="O150" s="4" t="str">
        <f ca="1">IFERROR(VLOOKUP($L150,Calculation!$H$6:$S$1005,HLOOKUP(O$2,Calculation!$M$4:$S$5,2,FALSE)+5,FALSE),"")</f>
        <v/>
      </c>
      <c r="P150" s="4" t="str">
        <f ca="1">IFERROR(VLOOKUP($L150,Calculation!$H$6:$S$1005,HLOOKUP(P$2,Calculation!$M$4:$S$5,2,FALSE)+5,FALSE),"")</f>
        <v/>
      </c>
      <c r="Q150" s="4" t="str">
        <f ca="1">IFERROR(VLOOKUP($L150,Calculation!$H$6:$S$1005,HLOOKUP(Q$2,Calculation!$M$4:$S$5,2,FALSE)+5,FALSE),"")</f>
        <v/>
      </c>
      <c r="R150" s="27" t="str">
        <f ca="1">IFERROR(VLOOKUP($L150,Calculation!$H$6:$S$1005,HLOOKUP(R$2,Calculation!$M$4:$S$5,2,FALSE)+5,FALSE),"")</f>
        <v/>
      </c>
      <c r="S150" s="4" t="str">
        <f ca="1">IFERROR(VLOOKUP($L150,Calculation!$H$6:$S$1005,HLOOKUP(S$2,Calculation!$M$4:$S$5,2,FALSE)+5,FALSE),"")</f>
        <v/>
      </c>
      <c r="T150" s="29"/>
      <c r="U150" s="43" t="str">
        <f>IFERROR(VLOOKUP(T150,Calculation!$U$6:$V$11,2,FALSE),"")</f>
        <v/>
      </c>
    </row>
    <row r="151" spans="1:21" ht="14.25" customHeight="1" x14ac:dyDescent="0.3">
      <c r="A151" s="26" t="str">
        <f ca="1">IF(Calculation!T154&lt;=Calculation!$H$4,Calculation!T154,"")</f>
        <v/>
      </c>
      <c r="B151" s="4" t="str">
        <f ca="1">VLOOKUP(A151,Calculation!$E$6:$J$1004,4,FALSE)</f>
        <v/>
      </c>
      <c r="C151" s="4" t="str">
        <f ca="1">VLOOKUP(A151,Calculation!$E$6:$J$1004,5,FALSE)</f>
        <v/>
      </c>
      <c r="D151" s="4" t="str">
        <f ca="1">VLOOKUP(A151,Calculation!$E$6:$J$1004,6,FALSE)</f>
        <v/>
      </c>
      <c r="E151" s="42" t="str">
        <f t="shared" ca="1" si="0"/>
        <v/>
      </c>
      <c r="G151" s="29" t="str">
        <f ca="1">VLOOKUP(A151,Calculation!$F$6:$J$1004,3,FALSE)</f>
        <v/>
      </c>
      <c r="H151" s="4" t="str">
        <f ca="1">VLOOKUP(A151,Calculation!$F$6:$J$1004,4,FALSE)</f>
        <v/>
      </c>
      <c r="I151" s="4" t="str">
        <f ca="1">VLOOKUP(A151,Calculation!$F$6:$J$1004,5,FALSE)</f>
        <v/>
      </c>
      <c r="J151" s="43" t="str">
        <f t="shared" ca="1" si="1"/>
        <v/>
      </c>
      <c r="L151" s="29" t="str">
        <f ca="1">VLOOKUP(A151,Calculation!$G$6:$S$1004,2,FALSE)</f>
        <v/>
      </c>
      <c r="M151" s="4" t="str">
        <f ca="1">IFERROR(VLOOKUP($L151,Calculation!$H$6:$S$1005,HLOOKUP(M$2,Calculation!$M$4:$S$5,2,FALSE)+5,FALSE),"")</f>
        <v/>
      </c>
      <c r="N151" s="4" t="str">
        <f ca="1">IFERROR(VLOOKUP($L151,Calculation!$H$6:$S$1005,HLOOKUP(N$2,Calculation!$M$4:$S$5,2,FALSE)+5,FALSE),"")</f>
        <v/>
      </c>
      <c r="O151" s="4" t="str">
        <f ca="1">IFERROR(VLOOKUP($L151,Calculation!$H$6:$S$1005,HLOOKUP(O$2,Calculation!$M$4:$S$5,2,FALSE)+5,FALSE),"")</f>
        <v/>
      </c>
      <c r="P151" s="4" t="str">
        <f ca="1">IFERROR(VLOOKUP($L151,Calculation!$H$6:$S$1005,HLOOKUP(P$2,Calculation!$M$4:$S$5,2,FALSE)+5,FALSE),"")</f>
        <v/>
      </c>
      <c r="Q151" s="4" t="str">
        <f ca="1">IFERROR(VLOOKUP($L151,Calculation!$H$6:$S$1005,HLOOKUP(Q$2,Calculation!$M$4:$S$5,2,FALSE)+5,FALSE),"")</f>
        <v/>
      </c>
      <c r="R151" s="27" t="str">
        <f ca="1">IFERROR(VLOOKUP($L151,Calculation!$H$6:$S$1005,HLOOKUP(R$2,Calculation!$M$4:$S$5,2,FALSE)+5,FALSE),"")</f>
        <v/>
      </c>
      <c r="S151" s="4" t="str">
        <f ca="1">IFERROR(VLOOKUP($L151,Calculation!$H$6:$S$1005,HLOOKUP(S$2,Calculation!$M$4:$S$5,2,FALSE)+5,FALSE),"")</f>
        <v/>
      </c>
      <c r="T151" s="29"/>
      <c r="U151" s="43" t="str">
        <f>IFERROR(VLOOKUP(T151,Calculation!$U$6:$V$11,2,FALSE),"")</f>
        <v/>
      </c>
    </row>
    <row r="152" spans="1:21" ht="14.25" customHeight="1" x14ac:dyDescent="0.3">
      <c r="A152" s="26" t="str">
        <f ca="1">IF(Calculation!T155&lt;=Calculation!$H$4,Calculation!T155,"")</f>
        <v/>
      </c>
      <c r="B152" s="4" t="str">
        <f ca="1">VLOOKUP(A152,Calculation!$E$6:$J$1004,4,FALSE)</f>
        <v/>
      </c>
      <c r="C152" s="4" t="str">
        <f ca="1">VLOOKUP(A152,Calculation!$E$6:$J$1004,5,FALSE)</f>
        <v/>
      </c>
      <c r="D152" s="4" t="str">
        <f ca="1">VLOOKUP(A152,Calculation!$E$6:$J$1004,6,FALSE)</f>
        <v/>
      </c>
      <c r="E152" s="42" t="str">
        <f t="shared" ca="1" si="0"/>
        <v/>
      </c>
      <c r="G152" s="29" t="str">
        <f ca="1">VLOOKUP(A152,Calculation!$F$6:$J$1004,3,FALSE)</f>
        <v/>
      </c>
      <c r="H152" s="4" t="str">
        <f ca="1">VLOOKUP(A152,Calculation!$F$6:$J$1004,4,FALSE)</f>
        <v/>
      </c>
      <c r="I152" s="4" t="str">
        <f ca="1">VLOOKUP(A152,Calculation!$F$6:$J$1004,5,FALSE)</f>
        <v/>
      </c>
      <c r="J152" s="43" t="str">
        <f t="shared" ca="1" si="1"/>
        <v/>
      </c>
      <c r="L152" s="29" t="str">
        <f ca="1">VLOOKUP(A152,Calculation!$G$6:$S$1004,2,FALSE)</f>
        <v/>
      </c>
      <c r="M152" s="4" t="str">
        <f ca="1">IFERROR(VLOOKUP($L152,Calculation!$H$6:$S$1005,HLOOKUP(M$2,Calculation!$M$4:$S$5,2,FALSE)+5,FALSE),"")</f>
        <v/>
      </c>
      <c r="N152" s="4" t="str">
        <f ca="1">IFERROR(VLOOKUP($L152,Calculation!$H$6:$S$1005,HLOOKUP(N$2,Calculation!$M$4:$S$5,2,FALSE)+5,FALSE),"")</f>
        <v/>
      </c>
      <c r="O152" s="4" t="str">
        <f ca="1">IFERROR(VLOOKUP($L152,Calculation!$H$6:$S$1005,HLOOKUP(O$2,Calculation!$M$4:$S$5,2,FALSE)+5,FALSE),"")</f>
        <v/>
      </c>
      <c r="P152" s="4" t="str">
        <f ca="1">IFERROR(VLOOKUP($L152,Calculation!$H$6:$S$1005,HLOOKUP(P$2,Calculation!$M$4:$S$5,2,FALSE)+5,FALSE),"")</f>
        <v/>
      </c>
      <c r="Q152" s="4" t="str">
        <f ca="1">IFERROR(VLOOKUP($L152,Calculation!$H$6:$S$1005,HLOOKUP(Q$2,Calculation!$M$4:$S$5,2,FALSE)+5,FALSE),"")</f>
        <v/>
      </c>
      <c r="R152" s="27" t="str">
        <f ca="1">IFERROR(VLOOKUP($L152,Calculation!$H$6:$S$1005,HLOOKUP(R$2,Calculation!$M$4:$S$5,2,FALSE)+5,FALSE),"")</f>
        <v/>
      </c>
      <c r="S152" s="4" t="str">
        <f ca="1">IFERROR(VLOOKUP($L152,Calculation!$H$6:$S$1005,HLOOKUP(S$2,Calculation!$M$4:$S$5,2,FALSE)+5,FALSE),"")</f>
        <v/>
      </c>
      <c r="T152" s="29"/>
      <c r="U152" s="43" t="str">
        <f>IFERROR(VLOOKUP(T152,Calculation!$U$6:$V$11,2,FALSE),"")</f>
        <v/>
      </c>
    </row>
    <row r="153" spans="1:21" ht="14.25" customHeight="1" x14ac:dyDescent="0.3">
      <c r="A153" s="26" t="str">
        <f ca="1">IF(Calculation!T156&lt;=Calculation!$H$4,Calculation!T156,"")</f>
        <v/>
      </c>
      <c r="B153" s="4" t="str">
        <f ca="1">VLOOKUP(A153,Calculation!$E$6:$J$1004,4,FALSE)</f>
        <v/>
      </c>
      <c r="C153" s="4" t="str">
        <f ca="1">VLOOKUP(A153,Calculation!$E$6:$J$1004,5,FALSE)</f>
        <v/>
      </c>
      <c r="D153" s="4" t="str">
        <f ca="1">VLOOKUP(A153,Calculation!$E$6:$J$1004,6,FALSE)</f>
        <v/>
      </c>
      <c r="E153" s="42" t="str">
        <f t="shared" ca="1" si="0"/>
        <v/>
      </c>
      <c r="G153" s="29" t="str">
        <f ca="1">VLOOKUP(A153,Calculation!$F$6:$J$1004,3,FALSE)</f>
        <v/>
      </c>
      <c r="H153" s="4" t="str">
        <f ca="1">VLOOKUP(A153,Calculation!$F$6:$J$1004,4,FALSE)</f>
        <v/>
      </c>
      <c r="I153" s="4" t="str">
        <f ca="1">VLOOKUP(A153,Calculation!$F$6:$J$1004,5,FALSE)</f>
        <v/>
      </c>
      <c r="J153" s="43" t="str">
        <f t="shared" ca="1" si="1"/>
        <v/>
      </c>
      <c r="L153" s="29" t="str">
        <f ca="1">VLOOKUP(A153,Calculation!$G$6:$S$1004,2,FALSE)</f>
        <v/>
      </c>
      <c r="M153" s="4" t="str">
        <f ca="1">IFERROR(VLOOKUP($L153,Calculation!$H$6:$S$1005,HLOOKUP(M$2,Calculation!$M$4:$S$5,2,FALSE)+5,FALSE),"")</f>
        <v/>
      </c>
      <c r="N153" s="4" t="str">
        <f ca="1">IFERROR(VLOOKUP($L153,Calculation!$H$6:$S$1005,HLOOKUP(N$2,Calculation!$M$4:$S$5,2,FALSE)+5,FALSE),"")</f>
        <v/>
      </c>
      <c r="O153" s="4" t="str">
        <f ca="1">IFERROR(VLOOKUP($L153,Calculation!$H$6:$S$1005,HLOOKUP(O$2,Calculation!$M$4:$S$5,2,FALSE)+5,FALSE),"")</f>
        <v/>
      </c>
      <c r="P153" s="4" t="str">
        <f ca="1">IFERROR(VLOOKUP($L153,Calculation!$H$6:$S$1005,HLOOKUP(P$2,Calculation!$M$4:$S$5,2,FALSE)+5,FALSE),"")</f>
        <v/>
      </c>
      <c r="Q153" s="4" t="str">
        <f ca="1">IFERROR(VLOOKUP($L153,Calculation!$H$6:$S$1005,HLOOKUP(Q$2,Calculation!$M$4:$S$5,2,FALSE)+5,FALSE),"")</f>
        <v/>
      </c>
      <c r="R153" s="27" t="str">
        <f ca="1">IFERROR(VLOOKUP($L153,Calculation!$H$6:$S$1005,HLOOKUP(R$2,Calculation!$M$4:$S$5,2,FALSE)+5,FALSE),"")</f>
        <v/>
      </c>
      <c r="S153" s="4" t="str">
        <f ca="1">IFERROR(VLOOKUP($L153,Calculation!$H$6:$S$1005,HLOOKUP(S$2,Calculation!$M$4:$S$5,2,FALSE)+5,FALSE),"")</f>
        <v/>
      </c>
      <c r="T153" s="29"/>
      <c r="U153" s="43" t="str">
        <f>IFERROR(VLOOKUP(T153,Calculation!$U$6:$V$11,2,FALSE),"")</f>
        <v/>
      </c>
    </row>
    <row r="154" spans="1:21" ht="14.25" customHeight="1" x14ac:dyDescent="0.3">
      <c r="A154" s="26" t="str">
        <f ca="1">IF(Calculation!T157&lt;=Calculation!$H$4,Calculation!T157,"")</f>
        <v/>
      </c>
      <c r="B154" s="4" t="str">
        <f ca="1">VLOOKUP(A154,Calculation!$E$6:$J$1004,4,FALSE)</f>
        <v/>
      </c>
      <c r="C154" s="4" t="str">
        <f ca="1">VLOOKUP(A154,Calculation!$E$6:$J$1004,5,FALSE)</f>
        <v/>
      </c>
      <c r="D154" s="4" t="str">
        <f ca="1">VLOOKUP(A154,Calculation!$E$6:$J$1004,6,FALSE)</f>
        <v/>
      </c>
      <c r="E154" s="42" t="str">
        <f t="shared" ca="1" si="0"/>
        <v/>
      </c>
      <c r="G154" s="29" t="str">
        <f ca="1">VLOOKUP(A154,Calculation!$F$6:$J$1004,3,FALSE)</f>
        <v/>
      </c>
      <c r="H154" s="4" t="str">
        <f ca="1">VLOOKUP(A154,Calculation!$F$6:$J$1004,4,FALSE)</f>
        <v/>
      </c>
      <c r="I154" s="4" t="str">
        <f ca="1">VLOOKUP(A154,Calculation!$F$6:$J$1004,5,FALSE)</f>
        <v/>
      </c>
      <c r="J154" s="43" t="str">
        <f t="shared" ca="1" si="1"/>
        <v/>
      </c>
      <c r="L154" s="29" t="str">
        <f ca="1">VLOOKUP(A154,Calculation!$G$6:$S$1004,2,FALSE)</f>
        <v/>
      </c>
      <c r="M154" s="4" t="str">
        <f ca="1">IFERROR(VLOOKUP($L154,Calculation!$H$6:$S$1005,HLOOKUP(M$2,Calculation!$M$4:$S$5,2,FALSE)+5,FALSE),"")</f>
        <v/>
      </c>
      <c r="N154" s="4" t="str">
        <f ca="1">IFERROR(VLOOKUP($L154,Calculation!$H$6:$S$1005,HLOOKUP(N$2,Calculation!$M$4:$S$5,2,FALSE)+5,FALSE),"")</f>
        <v/>
      </c>
      <c r="O154" s="4" t="str">
        <f ca="1">IFERROR(VLOOKUP($L154,Calculation!$H$6:$S$1005,HLOOKUP(O$2,Calculation!$M$4:$S$5,2,FALSE)+5,FALSE),"")</f>
        <v/>
      </c>
      <c r="P154" s="4" t="str">
        <f ca="1">IFERROR(VLOOKUP($L154,Calculation!$H$6:$S$1005,HLOOKUP(P$2,Calculation!$M$4:$S$5,2,FALSE)+5,FALSE),"")</f>
        <v/>
      </c>
      <c r="Q154" s="4" t="str">
        <f ca="1">IFERROR(VLOOKUP($L154,Calculation!$H$6:$S$1005,HLOOKUP(Q$2,Calculation!$M$4:$S$5,2,FALSE)+5,FALSE),"")</f>
        <v/>
      </c>
      <c r="R154" s="27" t="str">
        <f ca="1">IFERROR(VLOOKUP($L154,Calculation!$H$6:$S$1005,HLOOKUP(R$2,Calculation!$M$4:$S$5,2,FALSE)+5,FALSE),"")</f>
        <v/>
      </c>
      <c r="S154" s="4" t="str">
        <f ca="1">IFERROR(VLOOKUP($L154,Calculation!$H$6:$S$1005,HLOOKUP(S$2,Calculation!$M$4:$S$5,2,FALSE)+5,FALSE),"")</f>
        <v/>
      </c>
      <c r="T154" s="29"/>
      <c r="U154" s="43" t="str">
        <f>IFERROR(VLOOKUP(T154,Calculation!$U$6:$V$11,2,FALSE),"")</f>
        <v/>
      </c>
    </row>
    <row r="155" spans="1:21" ht="14.25" customHeight="1" x14ac:dyDescent="0.3">
      <c r="A155" s="26" t="str">
        <f ca="1">IF(Calculation!T158&lt;=Calculation!$H$4,Calculation!T158,"")</f>
        <v/>
      </c>
      <c r="B155" s="4" t="str">
        <f ca="1">VLOOKUP(A155,Calculation!$E$6:$J$1004,4,FALSE)</f>
        <v/>
      </c>
      <c r="C155" s="4" t="str">
        <f ca="1">VLOOKUP(A155,Calculation!$E$6:$J$1004,5,FALSE)</f>
        <v/>
      </c>
      <c r="D155" s="4" t="str">
        <f ca="1">VLOOKUP(A155,Calculation!$E$6:$J$1004,6,FALSE)</f>
        <v/>
      </c>
      <c r="E155" s="42" t="str">
        <f t="shared" ca="1" si="0"/>
        <v/>
      </c>
      <c r="G155" s="29" t="str">
        <f ca="1">VLOOKUP(A155,Calculation!$F$6:$J$1004,3,FALSE)</f>
        <v/>
      </c>
      <c r="H155" s="4" t="str">
        <f ca="1">VLOOKUP(A155,Calculation!$F$6:$J$1004,4,FALSE)</f>
        <v/>
      </c>
      <c r="I155" s="4" t="str">
        <f ca="1">VLOOKUP(A155,Calculation!$F$6:$J$1004,5,FALSE)</f>
        <v/>
      </c>
      <c r="J155" s="43" t="str">
        <f t="shared" ca="1" si="1"/>
        <v/>
      </c>
      <c r="L155" s="29" t="str">
        <f ca="1">VLOOKUP(A155,Calculation!$G$6:$S$1004,2,FALSE)</f>
        <v/>
      </c>
      <c r="M155" s="4" t="str">
        <f ca="1">IFERROR(VLOOKUP($L155,Calculation!$H$6:$S$1005,HLOOKUP(M$2,Calculation!$M$4:$S$5,2,FALSE)+5,FALSE),"")</f>
        <v/>
      </c>
      <c r="N155" s="4" t="str">
        <f ca="1">IFERROR(VLOOKUP($L155,Calculation!$H$6:$S$1005,HLOOKUP(N$2,Calculation!$M$4:$S$5,2,FALSE)+5,FALSE),"")</f>
        <v/>
      </c>
      <c r="O155" s="4" t="str">
        <f ca="1">IFERROR(VLOOKUP($L155,Calculation!$H$6:$S$1005,HLOOKUP(O$2,Calculation!$M$4:$S$5,2,FALSE)+5,FALSE),"")</f>
        <v/>
      </c>
      <c r="P155" s="4" t="str">
        <f ca="1">IFERROR(VLOOKUP($L155,Calculation!$H$6:$S$1005,HLOOKUP(P$2,Calculation!$M$4:$S$5,2,FALSE)+5,FALSE),"")</f>
        <v/>
      </c>
      <c r="Q155" s="4" t="str">
        <f ca="1">IFERROR(VLOOKUP($L155,Calculation!$H$6:$S$1005,HLOOKUP(Q$2,Calculation!$M$4:$S$5,2,FALSE)+5,FALSE),"")</f>
        <v/>
      </c>
      <c r="R155" s="27" t="str">
        <f ca="1">IFERROR(VLOOKUP($L155,Calculation!$H$6:$S$1005,HLOOKUP(R$2,Calculation!$M$4:$S$5,2,FALSE)+5,FALSE),"")</f>
        <v/>
      </c>
      <c r="S155" s="4" t="str">
        <f ca="1">IFERROR(VLOOKUP($L155,Calculation!$H$6:$S$1005,HLOOKUP(S$2,Calculation!$M$4:$S$5,2,FALSE)+5,FALSE),"")</f>
        <v/>
      </c>
      <c r="T155" s="29"/>
      <c r="U155" s="43" t="str">
        <f>IFERROR(VLOOKUP(T155,Calculation!$U$6:$V$11,2,FALSE),"")</f>
        <v/>
      </c>
    </row>
    <row r="156" spans="1:21" ht="14.25" customHeight="1" x14ac:dyDescent="0.3">
      <c r="A156" s="26" t="str">
        <f ca="1">IF(Calculation!T159&lt;=Calculation!$H$4,Calculation!T159,"")</f>
        <v/>
      </c>
      <c r="B156" s="4" t="str">
        <f ca="1">VLOOKUP(A156,Calculation!$E$6:$J$1004,4,FALSE)</f>
        <v/>
      </c>
      <c r="C156" s="4" t="str">
        <f ca="1">VLOOKUP(A156,Calculation!$E$6:$J$1004,5,FALSE)</f>
        <v/>
      </c>
      <c r="D156" s="4" t="str">
        <f ca="1">VLOOKUP(A156,Calculation!$E$6:$J$1004,6,FALSE)</f>
        <v/>
      </c>
      <c r="E156" s="42" t="str">
        <f t="shared" ca="1" si="0"/>
        <v/>
      </c>
      <c r="G156" s="29" t="str">
        <f ca="1">VLOOKUP(A156,Calculation!$F$6:$J$1004,3,FALSE)</f>
        <v/>
      </c>
      <c r="H156" s="4" t="str">
        <f ca="1">VLOOKUP(A156,Calculation!$F$6:$J$1004,4,FALSE)</f>
        <v/>
      </c>
      <c r="I156" s="4" t="str">
        <f ca="1">VLOOKUP(A156,Calculation!$F$6:$J$1004,5,FALSE)</f>
        <v/>
      </c>
      <c r="J156" s="43" t="str">
        <f t="shared" ca="1" si="1"/>
        <v/>
      </c>
      <c r="L156" s="29" t="str">
        <f ca="1">VLOOKUP(A156,Calculation!$G$6:$S$1004,2,FALSE)</f>
        <v/>
      </c>
      <c r="M156" s="4" t="str">
        <f ca="1">IFERROR(VLOOKUP($L156,Calculation!$H$6:$S$1005,HLOOKUP(M$2,Calculation!$M$4:$S$5,2,FALSE)+5,FALSE),"")</f>
        <v/>
      </c>
      <c r="N156" s="4" t="str">
        <f ca="1">IFERROR(VLOOKUP($L156,Calculation!$H$6:$S$1005,HLOOKUP(N$2,Calculation!$M$4:$S$5,2,FALSE)+5,FALSE),"")</f>
        <v/>
      </c>
      <c r="O156" s="4" t="str">
        <f ca="1">IFERROR(VLOOKUP($L156,Calculation!$H$6:$S$1005,HLOOKUP(O$2,Calculation!$M$4:$S$5,2,FALSE)+5,FALSE),"")</f>
        <v/>
      </c>
      <c r="P156" s="4" t="str">
        <f ca="1">IFERROR(VLOOKUP($L156,Calculation!$H$6:$S$1005,HLOOKUP(P$2,Calculation!$M$4:$S$5,2,FALSE)+5,FALSE),"")</f>
        <v/>
      </c>
      <c r="Q156" s="4" t="str">
        <f ca="1">IFERROR(VLOOKUP($L156,Calculation!$H$6:$S$1005,HLOOKUP(Q$2,Calculation!$M$4:$S$5,2,FALSE)+5,FALSE),"")</f>
        <v/>
      </c>
      <c r="R156" s="27" t="str">
        <f ca="1">IFERROR(VLOOKUP($L156,Calculation!$H$6:$S$1005,HLOOKUP(R$2,Calculation!$M$4:$S$5,2,FALSE)+5,FALSE),"")</f>
        <v/>
      </c>
      <c r="S156" s="4" t="str">
        <f ca="1">IFERROR(VLOOKUP($L156,Calculation!$H$6:$S$1005,HLOOKUP(S$2,Calculation!$M$4:$S$5,2,FALSE)+5,FALSE),"")</f>
        <v/>
      </c>
      <c r="T156" s="29"/>
      <c r="U156" s="43" t="str">
        <f>IFERROR(VLOOKUP(T156,Calculation!$U$6:$V$11,2,FALSE),"")</f>
        <v/>
      </c>
    </row>
    <row r="157" spans="1:21" ht="14.25" customHeight="1" x14ac:dyDescent="0.3">
      <c r="A157" s="26" t="str">
        <f ca="1">IF(Calculation!T160&lt;=Calculation!$H$4,Calculation!T160,"")</f>
        <v/>
      </c>
      <c r="B157" s="4" t="str">
        <f ca="1">VLOOKUP(A157,Calculation!$E$6:$J$1004,4,FALSE)</f>
        <v/>
      </c>
      <c r="C157" s="4" t="str">
        <f ca="1">VLOOKUP(A157,Calculation!$E$6:$J$1004,5,FALSE)</f>
        <v/>
      </c>
      <c r="D157" s="4" t="str">
        <f ca="1">VLOOKUP(A157,Calculation!$E$6:$J$1004,6,FALSE)</f>
        <v/>
      </c>
      <c r="E157" s="42" t="str">
        <f t="shared" ca="1" si="0"/>
        <v/>
      </c>
      <c r="G157" s="29" t="str">
        <f ca="1">VLOOKUP(A157,Calculation!$F$6:$J$1004,3,FALSE)</f>
        <v/>
      </c>
      <c r="H157" s="4" t="str">
        <f ca="1">VLOOKUP(A157,Calculation!$F$6:$J$1004,4,FALSE)</f>
        <v/>
      </c>
      <c r="I157" s="4" t="str">
        <f ca="1">VLOOKUP(A157,Calculation!$F$6:$J$1004,5,FALSE)</f>
        <v/>
      </c>
      <c r="J157" s="43" t="str">
        <f t="shared" ca="1" si="1"/>
        <v/>
      </c>
      <c r="L157" s="29" t="str">
        <f ca="1">VLOOKUP(A157,Calculation!$G$6:$S$1004,2,FALSE)</f>
        <v/>
      </c>
      <c r="M157" s="4" t="str">
        <f ca="1">IFERROR(VLOOKUP($L157,Calculation!$H$6:$S$1005,HLOOKUP(M$2,Calculation!$M$4:$S$5,2,FALSE)+5,FALSE),"")</f>
        <v/>
      </c>
      <c r="N157" s="4" t="str">
        <f ca="1">IFERROR(VLOOKUP($L157,Calculation!$H$6:$S$1005,HLOOKUP(N$2,Calculation!$M$4:$S$5,2,FALSE)+5,FALSE),"")</f>
        <v/>
      </c>
      <c r="O157" s="4" t="str">
        <f ca="1">IFERROR(VLOOKUP($L157,Calculation!$H$6:$S$1005,HLOOKUP(O$2,Calculation!$M$4:$S$5,2,FALSE)+5,FALSE),"")</f>
        <v/>
      </c>
      <c r="P157" s="4" t="str">
        <f ca="1">IFERROR(VLOOKUP($L157,Calculation!$H$6:$S$1005,HLOOKUP(P$2,Calculation!$M$4:$S$5,2,FALSE)+5,FALSE),"")</f>
        <v/>
      </c>
      <c r="Q157" s="4" t="str">
        <f ca="1">IFERROR(VLOOKUP($L157,Calculation!$H$6:$S$1005,HLOOKUP(Q$2,Calculation!$M$4:$S$5,2,FALSE)+5,FALSE),"")</f>
        <v/>
      </c>
      <c r="R157" s="27" t="str">
        <f ca="1">IFERROR(VLOOKUP($L157,Calculation!$H$6:$S$1005,HLOOKUP(R$2,Calculation!$M$4:$S$5,2,FALSE)+5,FALSE),"")</f>
        <v/>
      </c>
      <c r="S157" s="4" t="str">
        <f ca="1">IFERROR(VLOOKUP($L157,Calculation!$H$6:$S$1005,HLOOKUP(S$2,Calculation!$M$4:$S$5,2,FALSE)+5,FALSE),"")</f>
        <v/>
      </c>
      <c r="T157" s="29"/>
      <c r="U157" s="43" t="str">
        <f>IFERROR(VLOOKUP(T157,Calculation!$U$6:$V$11,2,FALSE),"")</f>
        <v/>
      </c>
    </row>
    <row r="158" spans="1:21" ht="14.25" customHeight="1" x14ac:dyDescent="0.3">
      <c r="A158" s="26" t="str">
        <f ca="1">IF(Calculation!T161&lt;=Calculation!$H$4,Calculation!T161,"")</f>
        <v/>
      </c>
      <c r="B158" s="4" t="str">
        <f ca="1">VLOOKUP(A158,Calculation!$E$6:$J$1004,4,FALSE)</f>
        <v/>
      </c>
      <c r="C158" s="4" t="str">
        <f ca="1">VLOOKUP(A158,Calculation!$E$6:$J$1004,5,FALSE)</f>
        <v/>
      </c>
      <c r="D158" s="4" t="str">
        <f ca="1">VLOOKUP(A158,Calculation!$E$6:$J$1004,6,FALSE)</f>
        <v/>
      </c>
      <c r="E158" s="42" t="str">
        <f t="shared" ca="1" si="0"/>
        <v/>
      </c>
      <c r="G158" s="29" t="str">
        <f ca="1">VLOOKUP(A158,Calculation!$F$6:$J$1004,3,FALSE)</f>
        <v/>
      </c>
      <c r="H158" s="4" t="str">
        <f ca="1">VLOOKUP(A158,Calculation!$F$6:$J$1004,4,FALSE)</f>
        <v/>
      </c>
      <c r="I158" s="4" t="str">
        <f ca="1">VLOOKUP(A158,Calculation!$F$6:$J$1004,5,FALSE)</f>
        <v/>
      </c>
      <c r="J158" s="43" t="str">
        <f t="shared" ca="1" si="1"/>
        <v/>
      </c>
      <c r="L158" s="29" t="str">
        <f ca="1">VLOOKUP(A158,Calculation!$G$6:$S$1004,2,FALSE)</f>
        <v/>
      </c>
      <c r="M158" s="4" t="str">
        <f ca="1">IFERROR(VLOOKUP($L158,Calculation!$H$6:$S$1005,HLOOKUP(M$2,Calculation!$M$4:$S$5,2,FALSE)+5,FALSE),"")</f>
        <v/>
      </c>
      <c r="N158" s="4" t="str">
        <f ca="1">IFERROR(VLOOKUP($L158,Calculation!$H$6:$S$1005,HLOOKUP(N$2,Calculation!$M$4:$S$5,2,FALSE)+5,FALSE),"")</f>
        <v/>
      </c>
      <c r="O158" s="4" t="str">
        <f ca="1">IFERROR(VLOOKUP($L158,Calculation!$H$6:$S$1005,HLOOKUP(O$2,Calculation!$M$4:$S$5,2,FALSE)+5,FALSE),"")</f>
        <v/>
      </c>
      <c r="P158" s="4" t="str">
        <f ca="1">IFERROR(VLOOKUP($L158,Calculation!$H$6:$S$1005,HLOOKUP(P$2,Calculation!$M$4:$S$5,2,FALSE)+5,FALSE),"")</f>
        <v/>
      </c>
      <c r="Q158" s="4" t="str">
        <f ca="1">IFERROR(VLOOKUP($L158,Calculation!$H$6:$S$1005,HLOOKUP(Q$2,Calculation!$M$4:$S$5,2,FALSE)+5,FALSE),"")</f>
        <v/>
      </c>
      <c r="R158" s="27" t="str">
        <f ca="1">IFERROR(VLOOKUP($L158,Calculation!$H$6:$S$1005,HLOOKUP(R$2,Calculation!$M$4:$S$5,2,FALSE)+5,FALSE),"")</f>
        <v/>
      </c>
      <c r="S158" s="4" t="str">
        <f ca="1">IFERROR(VLOOKUP($L158,Calculation!$H$6:$S$1005,HLOOKUP(S$2,Calculation!$M$4:$S$5,2,FALSE)+5,FALSE),"")</f>
        <v/>
      </c>
      <c r="T158" s="29"/>
      <c r="U158" s="43" t="str">
        <f>IFERROR(VLOOKUP(T158,Calculation!$U$6:$V$11,2,FALSE),"")</f>
        <v/>
      </c>
    </row>
    <row r="159" spans="1:21" ht="14.25" customHeight="1" x14ac:dyDescent="0.3">
      <c r="A159" s="26" t="str">
        <f ca="1">IF(Calculation!T162&lt;=Calculation!$H$4,Calculation!T162,"")</f>
        <v/>
      </c>
      <c r="B159" s="4" t="str">
        <f ca="1">VLOOKUP(A159,Calculation!$E$6:$J$1004,4,FALSE)</f>
        <v/>
      </c>
      <c r="C159" s="4" t="str">
        <f ca="1">VLOOKUP(A159,Calculation!$E$6:$J$1004,5,FALSE)</f>
        <v/>
      </c>
      <c r="D159" s="4" t="str">
        <f ca="1">VLOOKUP(A159,Calculation!$E$6:$J$1004,6,FALSE)</f>
        <v/>
      </c>
      <c r="E159" s="42" t="str">
        <f t="shared" ca="1" si="0"/>
        <v/>
      </c>
      <c r="G159" s="29" t="str">
        <f ca="1">VLOOKUP(A159,Calculation!$F$6:$J$1004,3,FALSE)</f>
        <v/>
      </c>
      <c r="H159" s="4" t="str">
        <f ca="1">VLOOKUP(A159,Calculation!$F$6:$J$1004,4,FALSE)</f>
        <v/>
      </c>
      <c r="I159" s="4" t="str">
        <f ca="1">VLOOKUP(A159,Calculation!$F$6:$J$1004,5,FALSE)</f>
        <v/>
      </c>
      <c r="J159" s="43" t="str">
        <f t="shared" ca="1" si="1"/>
        <v/>
      </c>
      <c r="L159" s="29" t="str">
        <f ca="1">VLOOKUP(A159,Calculation!$G$6:$S$1004,2,FALSE)</f>
        <v/>
      </c>
      <c r="M159" s="4" t="str">
        <f ca="1">IFERROR(VLOOKUP($L159,Calculation!$H$6:$S$1005,HLOOKUP(M$2,Calculation!$M$4:$S$5,2,FALSE)+5,FALSE),"")</f>
        <v/>
      </c>
      <c r="N159" s="4" t="str">
        <f ca="1">IFERROR(VLOOKUP($L159,Calculation!$H$6:$S$1005,HLOOKUP(N$2,Calculation!$M$4:$S$5,2,FALSE)+5,FALSE),"")</f>
        <v/>
      </c>
      <c r="O159" s="4" t="str">
        <f ca="1">IFERROR(VLOOKUP($L159,Calculation!$H$6:$S$1005,HLOOKUP(O$2,Calculation!$M$4:$S$5,2,FALSE)+5,FALSE),"")</f>
        <v/>
      </c>
      <c r="P159" s="4" t="str">
        <f ca="1">IFERROR(VLOOKUP($L159,Calculation!$H$6:$S$1005,HLOOKUP(P$2,Calculation!$M$4:$S$5,2,FALSE)+5,FALSE),"")</f>
        <v/>
      </c>
      <c r="Q159" s="4" t="str">
        <f ca="1">IFERROR(VLOOKUP($L159,Calculation!$H$6:$S$1005,HLOOKUP(Q$2,Calculation!$M$4:$S$5,2,FALSE)+5,FALSE),"")</f>
        <v/>
      </c>
      <c r="R159" s="27" t="str">
        <f ca="1">IFERROR(VLOOKUP($L159,Calculation!$H$6:$S$1005,HLOOKUP(R$2,Calculation!$M$4:$S$5,2,FALSE)+5,FALSE),"")</f>
        <v/>
      </c>
      <c r="S159" s="4" t="str">
        <f ca="1">IFERROR(VLOOKUP($L159,Calculation!$H$6:$S$1005,HLOOKUP(S$2,Calculation!$M$4:$S$5,2,FALSE)+5,FALSE),"")</f>
        <v/>
      </c>
      <c r="T159" s="29"/>
      <c r="U159" s="43" t="str">
        <f>IFERROR(VLOOKUP(T159,Calculation!$U$6:$V$11,2,FALSE),"")</f>
        <v/>
      </c>
    </row>
    <row r="160" spans="1:21" ht="14.25" customHeight="1" x14ac:dyDescent="0.3">
      <c r="A160" s="26" t="str">
        <f ca="1">IF(Calculation!T163&lt;=Calculation!$H$4,Calculation!T163,"")</f>
        <v/>
      </c>
      <c r="B160" s="4" t="str">
        <f ca="1">VLOOKUP(A160,Calculation!$E$6:$J$1004,4,FALSE)</f>
        <v/>
      </c>
      <c r="C160" s="4" t="str">
        <f ca="1">VLOOKUP(A160,Calculation!$E$6:$J$1004,5,FALSE)</f>
        <v/>
      </c>
      <c r="D160" s="4" t="str">
        <f ca="1">VLOOKUP(A160,Calculation!$E$6:$J$1004,6,FALSE)</f>
        <v/>
      </c>
      <c r="E160" s="42" t="str">
        <f t="shared" ca="1" si="0"/>
        <v/>
      </c>
      <c r="G160" s="29" t="str">
        <f ca="1">VLOOKUP(A160,Calculation!$F$6:$J$1004,3,FALSE)</f>
        <v/>
      </c>
      <c r="H160" s="4" t="str">
        <f ca="1">VLOOKUP(A160,Calculation!$F$6:$J$1004,4,FALSE)</f>
        <v/>
      </c>
      <c r="I160" s="4" t="str">
        <f ca="1">VLOOKUP(A160,Calculation!$F$6:$J$1004,5,FALSE)</f>
        <v/>
      </c>
      <c r="J160" s="43" t="str">
        <f t="shared" ca="1" si="1"/>
        <v/>
      </c>
      <c r="L160" s="29" t="str">
        <f ca="1">VLOOKUP(A160,Calculation!$G$6:$S$1004,2,FALSE)</f>
        <v/>
      </c>
      <c r="M160" s="4" t="str">
        <f ca="1">IFERROR(VLOOKUP($L160,Calculation!$H$6:$S$1005,HLOOKUP(M$2,Calculation!$M$4:$S$5,2,FALSE)+5,FALSE),"")</f>
        <v/>
      </c>
      <c r="N160" s="4" t="str">
        <f ca="1">IFERROR(VLOOKUP($L160,Calculation!$H$6:$S$1005,HLOOKUP(N$2,Calculation!$M$4:$S$5,2,FALSE)+5,FALSE),"")</f>
        <v/>
      </c>
      <c r="O160" s="4" t="str">
        <f ca="1">IFERROR(VLOOKUP($L160,Calculation!$H$6:$S$1005,HLOOKUP(O$2,Calculation!$M$4:$S$5,2,FALSE)+5,FALSE),"")</f>
        <v/>
      </c>
      <c r="P160" s="4" t="str">
        <f ca="1">IFERROR(VLOOKUP($L160,Calculation!$H$6:$S$1005,HLOOKUP(P$2,Calculation!$M$4:$S$5,2,FALSE)+5,FALSE),"")</f>
        <v/>
      </c>
      <c r="Q160" s="4" t="str">
        <f ca="1">IFERROR(VLOOKUP($L160,Calculation!$H$6:$S$1005,HLOOKUP(Q$2,Calculation!$M$4:$S$5,2,FALSE)+5,FALSE),"")</f>
        <v/>
      </c>
      <c r="R160" s="27" t="str">
        <f ca="1">IFERROR(VLOOKUP($L160,Calculation!$H$6:$S$1005,HLOOKUP(R$2,Calculation!$M$4:$S$5,2,FALSE)+5,FALSE),"")</f>
        <v/>
      </c>
      <c r="S160" s="4" t="str">
        <f ca="1">IFERROR(VLOOKUP($L160,Calculation!$H$6:$S$1005,HLOOKUP(S$2,Calculation!$M$4:$S$5,2,FALSE)+5,FALSE),"")</f>
        <v/>
      </c>
      <c r="T160" s="29"/>
      <c r="U160" s="43" t="str">
        <f>IFERROR(VLOOKUP(T160,Calculation!$U$6:$V$11,2,FALSE),"")</f>
        <v/>
      </c>
    </row>
    <row r="161" spans="1:21" ht="14.25" customHeight="1" x14ac:dyDescent="0.3">
      <c r="A161" s="26" t="str">
        <f ca="1">IF(Calculation!T164&lt;=Calculation!$H$4,Calculation!T164,"")</f>
        <v/>
      </c>
      <c r="B161" s="4" t="str">
        <f ca="1">VLOOKUP(A161,Calculation!$E$6:$J$1004,4,FALSE)</f>
        <v/>
      </c>
      <c r="C161" s="4" t="str">
        <f ca="1">VLOOKUP(A161,Calculation!$E$6:$J$1004,5,FALSE)</f>
        <v/>
      </c>
      <c r="D161" s="4" t="str">
        <f ca="1">VLOOKUP(A161,Calculation!$E$6:$J$1004,6,FALSE)</f>
        <v/>
      </c>
      <c r="E161" s="42" t="str">
        <f t="shared" ca="1" si="0"/>
        <v/>
      </c>
      <c r="G161" s="29" t="str">
        <f ca="1">VLOOKUP(A161,Calculation!$F$6:$J$1004,3,FALSE)</f>
        <v/>
      </c>
      <c r="H161" s="4" t="str">
        <f ca="1">VLOOKUP(A161,Calculation!$F$6:$J$1004,4,FALSE)</f>
        <v/>
      </c>
      <c r="I161" s="4" t="str">
        <f ca="1">VLOOKUP(A161,Calculation!$F$6:$J$1004,5,FALSE)</f>
        <v/>
      </c>
      <c r="J161" s="43" t="str">
        <f t="shared" ca="1" si="1"/>
        <v/>
      </c>
      <c r="L161" s="29" t="str">
        <f ca="1">VLOOKUP(A161,Calculation!$G$6:$S$1004,2,FALSE)</f>
        <v/>
      </c>
      <c r="M161" s="4" t="str">
        <f ca="1">IFERROR(VLOOKUP($L161,Calculation!$H$6:$S$1005,HLOOKUP(M$2,Calculation!$M$4:$S$5,2,FALSE)+5,FALSE),"")</f>
        <v/>
      </c>
      <c r="N161" s="4" t="str">
        <f ca="1">IFERROR(VLOOKUP($L161,Calculation!$H$6:$S$1005,HLOOKUP(N$2,Calculation!$M$4:$S$5,2,FALSE)+5,FALSE),"")</f>
        <v/>
      </c>
      <c r="O161" s="4" t="str">
        <f ca="1">IFERROR(VLOOKUP($L161,Calculation!$H$6:$S$1005,HLOOKUP(O$2,Calculation!$M$4:$S$5,2,FALSE)+5,FALSE),"")</f>
        <v/>
      </c>
      <c r="P161" s="4" t="str">
        <f ca="1">IFERROR(VLOOKUP($L161,Calculation!$H$6:$S$1005,HLOOKUP(P$2,Calculation!$M$4:$S$5,2,FALSE)+5,FALSE),"")</f>
        <v/>
      </c>
      <c r="Q161" s="4" t="str">
        <f ca="1">IFERROR(VLOOKUP($L161,Calculation!$H$6:$S$1005,HLOOKUP(Q$2,Calculation!$M$4:$S$5,2,FALSE)+5,FALSE),"")</f>
        <v/>
      </c>
      <c r="R161" s="27" t="str">
        <f ca="1">IFERROR(VLOOKUP($L161,Calculation!$H$6:$S$1005,HLOOKUP(R$2,Calculation!$M$4:$S$5,2,FALSE)+5,FALSE),"")</f>
        <v/>
      </c>
      <c r="S161" s="4" t="str">
        <f ca="1">IFERROR(VLOOKUP($L161,Calculation!$H$6:$S$1005,HLOOKUP(S$2,Calculation!$M$4:$S$5,2,FALSE)+5,FALSE),"")</f>
        <v/>
      </c>
      <c r="T161" s="29"/>
      <c r="U161" s="43" t="str">
        <f>IFERROR(VLOOKUP(T161,Calculation!$U$6:$V$11,2,FALSE),"")</f>
        <v/>
      </c>
    </row>
    <row r="162" spans="1:21" ht="14.25" customHeight="1" x14ac:dyDescent="0.3">
      <c r="A162" s="26" t="str">
        <f ca="1">IF(Calculation!T165&lt;=Calculation!$H$4,Calculation!T165,"")</f>
        <v/>
      </c>
      <c r="B162" s="4" t="str">
        <f ca="1">VLOOKUP(A162,Calculation!$E$6:$J$1004,4,FALSE)</f>
        <v/>
      </c>
      <c r="C162" s="4" t="str">
        <f ca="1">VLOOKUP(A162,Calculation!$E$6:$J$1004,5,FALSE)</f>
        <v/>
      </c>
      <c r="D162" s="4" t="str">
        <f ca="1">VLOOKUP(A162,Calculation!$E$6:$J$1004,6,FALSE)</f>
        <v/>
      </c>
      <c r="E162" s="42" t="str">
        <f t="shared" ca="1" si="0"/>
        <v/>
      </c>
      <c r="G162" s="29" t="str">
        <f ca="1">VLOOKUP(A162,Calculation!$F$6:$J$1004,3,FALSE)</f>
        <v/>
      </c>
      <c r="H162" s="4" t="str">
        <f ca="1">VLOOKUP(A162,Calculation!$F$6:$J$1004,4,FALSE)</f>
        <v/>
      </c>
      <c r="I162" s="4" t="str">
        <f ca="1">VLOOKUP(A162,Calculation!$F$6:$J$1004,5,FALSE)</f>
        <v/>
      </c>
      <c r="J162" s="43" t="str">
        <f t="shared" ca="1" si="1"/>
        <v/>
      </c>
      <c r="L162" s="29" t="str">
        <f ca="1">VLOOKUP(A162,Calculation!$G$6:$S$1004,2,FALSE)</f>
        <v/>
      </c>
      <c r="M162" s="4" t="str">
        <f ca="1">IFERROR(VLOOKUP($L162,Calculation!$H$6:$S$1005,HLOOKUP(M$2,Calculation!$M$4:$S$5,2,FALSE)+5,FALSE),"")</f>
        <v/>
      </c>
      <c r="N162" s="4" t="str">
        <f ca="1">IFERROR(VLOOKUP($L162,Calculation!$H$6:$S$1005,HLOOKUP(N$2,Calculation!$M$4:$S$5,2,FALSE)+5,FALSE),"")</f>
        <v/>
      </c>
      <c r="O162" s="4" t="str">
        <f ca="1">IFERROR(VLOOKUP($L162,Calculation!$H$6:$S$1005,HLOOKUP(O$2,Calculation!$M$4:$S$5,2,FALSE)+5,FALSE),"")</f>
        <v/>
      </c>
      <c r="P162" s="4" t="str">
        <f ca="1">IFERROR(VLOOKUP($L162,Calculation!$H$6:$S$1005,HLOOKUP(P$2,Calculation!$M$4:$S$5,2,FALSE)+5,FALSE),"")</f>
        <v/>
      </c>
      <c r="Q162" s="4" t="str">
        <f ca="1">IFERROR(VLOOKUP($L162,Calculation!$H$6:$S$1005,HLOOKUP(Q$2,Calculation!$M$4:$S$5,2,FALSE)+5,FALSE),"")</f>
        <v/>
      </c>
      <c r="R162" s="27" t="str">
        <f ca="1">IFERROR(VLOOKUP($L162,Calculation!$H$6:$S$1005,HLOOKUP(R$2,Calculation!$M$4:$S$5,2,FALSE)+5,FALSE),"")</f>
        <v/>
      </c>
      <c r="S162" s="4" t="str">
        <f ca="1">IFERROR(VLOOKUP($L162,Calculation!$H$6:$S$1005,HLOOKUP(S$2,Calculation!$M$4:$S$5,2,FALSE)+5,FALSE),"")</f>
        <v/>
      </c>
      <c r="T162" s="29"/>
      <c r="U162" s="43" t="str">
        <f>IFERROR(VLOOKUP(T162,Calculation!$U$6:$V$11,2,FALSE),"")</f>
        <v/>
      </c>
    </row>
    <row r="163" spans="1:21" ht="14.25" customHeight="1" x14ac:dyDescent="0.3">
      <c r="A163" s="26" t="str">
        <f ca="1">IF(Calculation!T166&lt;=Calculation!$H$4,Calculation!T166,"")</f>
        <v/>
      </c>
      <c r="B163" s="4" t="str">
        <f ca="1">VLOOKUP(A163,Calculation!$E$6:$J$1004,4,FALSE)</f>
        <v/>
      </c>
      <c r="C163" s="4" t="str">
        <f ca="1">VLOOKUP(A163,Calculation!$E$6:$J$1004,5,FALSE)</f>
        <v/>
      </c>
      <c r="D163" s="4" t="str">
        <f ca="1">VLOOKUP(A163,Calculation!$E$6:$J$1004,6,FALSE)</f>
        <v/>
      </c>
      <c r="E163" s="42" t="str">
        <f t="shared" ca="1" si="0"/>
        <v/>
      </c>
      <c r="G163" s="29" t="str">
        <f ca="1">VLOOKUP(A163,Calculation!$F$6:$J$1004,3,FALSE)</f>
        <v/>
      </c>
      <c r="H163" s="4" t="str">
        <f ca="1">VLOOKUP(A163,Calculation!$F$6:$J$1004,4,FALSE)</f>
        <v/>
      </c>
      <c r="I163" s="4" t="str">
        <f ca="1">VLOOKUP(A163,Calculation!$F$6:$J$1004,5,FALSE)</f>
        <v/>
      </c>
      <c r="J163" s="43" t="str">
        <f t="shared" ca="1" si="1"/>
        <v/>
      </c>
      <c r="L163" s="29" t="str">
        <f ca="1">VLOOKUP(A163,Calculation!$G$6:$S$1004,2,FALSE)</f>
        <v/>
      </c>
      <c r="M163" s="4" t="str">
        <f ca="1">IFERROR(VLOOKUP($L163,Calculation!$H$6:$S$1005,HLOOKUP(M$2,Calculation!$M$4:$S$5,2,FALSE)+5,FALSE),"")</f>
        <v/>
      </c>
      <c r="N163" s="4" t="str">
        <f ca="1">IFERROR(VLOOKUP($L163,Calculation!$H$6:$S$1005,HLOOKUP(N$2,Calculation!$M$4:$S$5,2,FALSE)+5,FALSE),"")</f>
        <v/>
      </c>
      <c r="O163" s="4" t="str">
        <f ca="1">IFERROR(VLOOKUP($L163,Calculation!$H$6:$S$1005,HLOOKUP(O$2,Calculation!$M$4:$S$5,2,FALSE)+5,FALSE),"")</f>
        <v/>
      </c>
      <c r="P163" s="4" t="str">
        <f ca="1">IFERROR(VLOOKUP($L163,Calculation!$H$6:$S$1005,HLOOKUP(P$2,Calculation!$M$4:$S$5,2,FALSE)+5,FALSE),"")</f>
        <v/>
      </c>
      <c r="Q163" s="4" t="str">
        <f ca="1">IFERROR(VLOOKUP($L163,Calculation!$H$6:$S$1005,HLOOKUP(Q$2,Calculation!$M$4:$S$5,2,FALSE)+5,FALSE),"")</f>
        <v/>
      </c>
      <c r="R163" s="27" t="str">
        <f ca="1">IFERROR(VLOOKUP($L163,Calculation!$H$6:$S$1005,HLOOKUP(R$2,Calculation!$M$4:$S$5,2,FALSE)+5,FALSE),"")</f>
        <v/>
      </c>
      <c r="S163" s="4" t="str">
        <f ca="1">IFERROR(VLOOKUP($L163,Calculation!$H$6:$S$1005,HLOOKUP(S$2,Calculation!$M$4:$S$5,2,FALSE)+5,FALSE),"")</f>
        <v/>
      </c>
      <c r="T163" s="29"/>
      <c r="U163" s="43" t="str">
        <f>IFERROR(VLOOKUP(T163,Calculation!$U$6:$V$11,2,FALSE),"")</f>
        <v/>
      </c>
    </row>
    <row r="164" spans="1:21" ht="14.25" customHeight="1" x14ac:dyDescent="0.3">
      <c r="A164" s="26" t="str">
        <f ca="1">IF(Calculation!T167&lt;=Calculation!$H$4,Calculation!T167,"")</f>
        <v/>
      </c>
      <c r="B164" s="4" t="str">
        <f ca="1">VLOOKUP(A164,Calculation!$E$6:$J$1004,4,FALSE)</f>
        <v/>
      </c>
      <c r="C164" s="4" t="str">
        <f ca="1">VLOOKUP(A164,Calculation!$E$6:$J$1004,5,FALSE)</f>
        <v/>
      </c>
      <c r="D164" s="4" t="str">
        <f ca="1">VLOOKUP(A164,Calculation!$E$6:$J$1004,6,FALSE)</f>
        <v/>
      </c>
      <c r="E164" s="42" t="str">
        <f t="shared" ca="1" si="0"/>
        <v/>
      </c>
      <c r="G164" s="29" t="str">
        <f ca="1">VLOOKUP(A164,Calculation!$F$6:$J$1004,3,FALSE)</f>
        <v/>
      </c>
      <c r="H164" s="4" t="str">
        <f ca="1">VLOOKUP(A164,Calculation!$F$6:$J$1004,4,FALSE)</f>
        <v/>
      </c>
      <c r="I164" s="4" t="str">
        <f ca="1">VLOOKUP(A164,Calculation!$F$6:$J$1004,5,FALSE)</f>
        <v/>
      </c>
      <c r="J164" s="43" t="str">
        <f t="shared" ca="1" si="1"/>
        <v/>
      </c>
      <c r="L164" s="29" t="str">
        <f ca="1">VLOOKUP(A164,Calculation!$G$6:$S$1004,2,FALSE)</f>
        <v/>
      </c>
      <c r="M164" s="4" t="str">
        <f ca="1">IFERROR(VLOOKUP($L164,Calculation!$H$6:$S$1005,HLOOKUP(M$2,Calculation!$M$4:$S$5,2,FALSE)+5,FALSE),"")</f>
        <v/>
      </c>
      <c r="N164" s="4" t="str">
        <f ca="1">IFERROR(VLOOKUP($L164,Calculation!$H$6:$S$1005,HLOOKUP(N$2,Calculation!$M$4:$S$5,2,FALSE)+5,FALSE),"")</f>
        <v/>
      </c>
      <c r="O164" s="4" t="str">
        <f ca="1">IFERROR(VLOOKUP($L164,Calculation!$H$6:$S$1005,HLOOKUP(O$2,Calculation!$M$4:$S$5,2,FALSE)+5,FALSE),"")</f>
        <v/>
      </c>
      <c r="P164" s="4" t="str">
        <f ca="1">IFERROR(VLOOKUP($L164,Calculation!$H$6:$S$1005,HLOOKUP(P$2,Calculation!$M$4:$S$5,2,FALSE)+5,FALSE),"")</f>
        <v/>
      </c>
      <c r="Q164" s="4" t="str">
        <f ca="1">IFERROR(VLOOKUP($L164,Calculation!$H$6:$S$1005,HLOOKUP(Q$2,Calculation!$M$4:$S$5,2,FALSE)+5,FALSE),"")</f>
        <v/>
      </c>
      <c r="R164" s="27" t="str">
        <f ca="1">IFERROR(VLOOKUP($L164,Calculation!$H$6:$S$1005,HLOOKUP(R$2,Calculation!$M$4:$S$5,2,FALSE)+5,FALSE),"")</f>
        <v/>
      </c>
      <c r="S164" s="4" t="str">
        <f ca="1">IFERROR(VLOOKUP($L164,Calculation!$H$6:$S$1005,HLOOKUP(S$2,Calculation!$M$4:$S$5,2,FALSE)+5,FALSE),"")</f>
        <v/>
      </c>
      <c r="T164" s="29"/>
      <c r="U164" s="43" t="str">
        <f>IFERROR(VLOOKUP(T164,Calculation!$U$6:$V$11,2,FALSE),"")</f>
        <v/>
      </c>
    </row>
    <row r="165" spans="1:21" ht="14.25" customHeight="1" x14ac:dyDescent="0.3">
      <c r="A165" s="26" t="str">
        <f ca="1">IF(Calculation!T168&lt;=Calculation!$H$4,Calculation!T168,"")</f>
        <v/>
      </c>
      <c r="B165" s="4" t="str">
        <f ca="1">VLOOKUP(A165,Calculation!$E$6:$J$1004,4,FALSE)</f>
        <v/>
      </c>
      <c r="C165" s="4" t="str">
        <f ca="1">VLOOKUP(A165,Calculation!$E$6:$J$1004,5,FALSE)</f>
        <v/>
      </c>
      <c r="D165" s="4" t="str">
        <f ca="1">VLOOKUP(A165,Calculation!$E$6:$J$1004,6,FALSE)</f>
        <v/>
      </c>
      <c r="E165" s="42" t="str">
        <f t="shared" ca="1" si="0"/>
        <v/>
      </c>
      <c r="G165" s="29" t="str">
        <f ca="1">VLOOKUP(A165,Calculation!$F$6:$J$1004,3,FALSE)</f>
        <v/>
      </c>
      <c r="H165" s="4" t="str">
        <f ca="1">VLOOKUP(A165,Calculation!$F$6:$J$1004,4,FALSE)</f>
        <v/>
      </c>
      <c r="I165" s="4" t="str">
        <f ca="1">VLOOKUP(A165,Calculation!$F$6:$J$1004,5,FALSE)</f>
        <v/>
      </c>
      <c r="J165" s="43" t="str">
        <f t="shared" ca="1" si="1"/>
        <v/>
      </c>
      <c r="L165" s="29" t="str">
        <f ca="1">VLOOKUP(A165,Calculation!$G$6:$S$1004,2,FALSE)</f>
        <v/>
      </c>
      <c r="M165" s="4" t="str">
        <f ca="1">IFERROR(VLOOKUP($L165,Calculation!$H$6:$S$1005,HLOOKUP(M$2,Calculation!$M$4:$S$5,2,FALSE)+5,FALSE),"")</f>
        <v/>
      </c>
      <c r="N165" s="4" t="str">
        <f ca="1">IFERROR(VLOOKUP($L165,Calculation!$H$6:$S$1005,HLOOKUP(N$2,Calculation!$M$4:$S$5,2,FALSE)+5,FALSE),"")</f>
        <v/>
      </c>
      <c r="O165" s="4" t="str">
        <f ca="1">IFERROR(VLOOKUP($L165,Calculation!$H$6:$S$1005,HLOOKUP(O$2,Calculation!$M$4:$S$5,2,FALSE)+5,FALSE),"")</f>
        <v/>
      </c>
      <c r="P165" s="4" t="str">
        <f ca="1">IFERROR(VLOOKUP($L165,Calculation!$H$6:$S$1005,HLOOKUP(P$2,Calculation!$M$4:$S$5,2,FALSE)+5,FALSE),"")</f>
        <v/>
      </c>
      <c r="Q165" s="4" t="str">
        <f ca="1">IFERROR(VLOOKUP($L165,Calculation!$H$6:$S$1005,HLOOKUP(Q$2,Calculation!$M$4:$S$5,2,FALSE)+5,FALSE),"")</f>
        <v/>
      </c>
      <c r="R165" s="27" t="str">
        <f ca="1">IFERROR(VLOOKUP($L165,Calculation!$H$6:$S$1005,HLOOKUP(R$2,Calculation!$M$4:$S$5,2,FALSE)+5,FALSE),"")</f>
        <v/>
      </c>
      <c r="S165" s="4" t="str">
        <f ca="1">IFERROR(VLOOKUP($L165,Calculation!$H$6:$S$1005,HLOOKUP(S$2,Calculation!$M$4:$S$5,2,FALSE)+5,FALSE),"")</f>
        <v/>
      </c>
      <c r="T165" s="29"/>
      <c r="U165" s="43" t="str">
        <f>IFERROR(VLOOKUP(T165,Calculation!$U$6:$V$11,2,FALSE),"")</f>
        <v/>
      </c>
    </row>
    <row r="166" spans="1:21" ht="14.25" customHeight="1" x14ac:dyDescent="0.3">
      <c r="A166" s="26" t="str">
        <f ca="1">IF(Calculation!T169&lt;=Calculation!$H$4,Calculation!T169,"")</f>
        <v/>
      </c>
      <c r="B166" s="4" t="str">
        <f ca="1">VLOOKUP(A166,Calculation!$E$6:$J$1004,4,FALSE)</f>
        <v/>
      </c>
      <c r="C166" s="4" t="str">
        <f ca="1">VLOOKUP(A166,Calculation!$E$6:$J$1004,5,FALSE)</f>
        <v/>
      </c>
      <c r="D166" s="4" t="str">
        <f ca="1">VLOOKUP(A166,Calculation!$E$6:$J$1004,6,FALSE)</f>
        <v/>
      </c>
      <c r="E166" s="42" t="str">
        <f t="shared" ca="1" si="0"/>
        <v/>
      </c>
      <c r="G166" s="29" t="str">
        <f ca="1">VLOOKUP(A166,Calculation!$F$6:$J$1004,3,FALSE)</f>
        <v/>
      </c>
      <c r="H166" s="4" t="str">
        <f ca="1">VLOOKUP(A166,Calculation!$F$6:$J$1004,4,FALSE)</f>
        <v/>
      </c>
      <c r="I166" s="4" t="str">
        <f ca="1">VLOOKUP(A166,Calculation!$F$6:$J$1004,5,FALSE)</f>
        <v/>
      </c>
      <c r="J166" s="43" t="str">
        <f t="shared" ca="1" si="1"/>
        <v/>
      </c>
      <c r="L166" s="29" t="str">
        <f ca="1">VLOOKUP(A166,Calculation!$G$6:$S$1004,2,FALSE)</f>
        <v/>
      </c>
      <c r="M166" s="4" t="str">
        <f ca="1">IFERROR(VLOOKUP($L166,Calculation!$H$6:$S$1005,HLOOKUP(M$2,Calculation!$M$4:$S$5,2,FALSE)+5,FALSE),"")</f>
        <v/>
      </c>
      <c r="N166" s="4" t="str">
        <f ca="1">IFERROR(VLOOKUP($L166,Calculation!$H$6:$S$1005,HLOOKUP(N$2,Calculation!$M$4:$S$5,2,FALSE)+5,FALSE),"")</f>
        <v/>
      </c>
      <c r="O166" s="4" t="str">
        <f ca="1">IFERROR(VLOOKUP($L166,Calculation!$H$6:$S$1005,HLOOKUP(O$2,Calculation!$M$4:$S$5,2,FALSE)+5,FALSE),"")</f>
        <v/>
      </c>
      <c r="P166" s="4" t="str">
        <f ca="1">IFERROR(VLOOKUP($L166,Calculation!$H$6:$S$1005,HLOOKUP(P$2,Calculation!$M$4:$S$5,2,FALSE)+5,FALSE),"")</f>
        <v/>
      </c>
      <c r="Q166" s="4" t="str">
        <f ca="1">IFERROR(VLOOKUP($L166,Calculation!$H$6:$S$1005,HLOOKUP(Q$2,Calculation!$M$4:$S$5,2,FALSE)+5,FALSE),"")</f>
        <v/>
      </c>
      <c r="R166" s="27" t="str">
        <f ca="1">IFERROR(VLOOKUP($L166,Calculation!$H$6:$S$1005,HLOOKUP(R$2,Calculation!$M$4:$S$5,2,FALSE)+5,FALSE),"")</f>
        <v/>
      </c>
      <c r="S166" s="4" t="str">
        <f ca="1">IFERROR(VLOOKUP($L166,Calculation!$H$6:$S$1005,HLOOKUP(S$2,Calculation!$M$4:$S$5,2,FALSE)+5,FALSE),"")</f>
        <v/>
      </c>
      <c r="T166" s="29"/>
      <c r="U166" s="43" t="str">
        <f>IFERROR(VLOOKUP(T166,Calculation!$U$6:$V$11,2,FALSE),"")</f>
        <v/>
      </c>
    </row>
    <row r="167" spans="1:21" ht="14.25" customHeight="1" x14ac:dyDescent="0.3">
      <c r="A167" s="26" t="str">
        <f ca="1">IF(Calculation!T170&lt;=Calculation!$H$4,Calculation!T170,"")</f>
        <v/>
      </c>
      <c r="B167" s="4" t="str">
        <f ca="1">VLOOKUP(A167,Calculation!$E$6:$J$1004,4,FALSE)</f>
        <v/>
      </c>
      <c r="C167" s="4" t="str">
        <f ca="1">VLOOKUP(A167,Calculation!$E$6:$J$1004,5,FALSE)</f>
        <v/>
      </c>
      <c r="D167" s="4" t="str">
        <f ca="1">VLOOKUP(A167,Calculation!$E$6:$J$1004,6,FALSE)</f>
        <v/>
      </c>
      <c r="E167" s="42" t="str">
        <f t="shared" ca="1" si="0"/>
        <v/>
      </c>
      <c r="G167" s="29" t="str">
        <f ca="1">VLOOKUP(A167,Calculation!$F$6:$J$1004,3,FALSE)</f>
        <v/>
      </c>
      <c r="H167" s="4" t="str">
        <f ca="1">VLOOKUP(A167,Calculation!$F$6:$J$1004,4,FALSE)</f>
        <v/>
      </c>
      <c r="I167" s="4" t="str">
        <f ca="1">VLOOKUP(A167,Calculation!$F$6:$J$1004,5,FALSE)</f>
        <v/>
      </c>
      <c r="J167" s="43" t="str">
        <f t="shared" ca="1" si="1"/>
        <v/>
      </c>
      <c r="L167" s="29" t="str">
        <f ca="1">VLOOKUP(A167,Calculation!$G$6:$S$1004,2,FALSE)</f>
        <v/>
      </c>
      <c r="M167" s="4" t="str">
        <f ca="1">IFERROR(VLOOKUP($L167,Calculation!$H$6:$S$1005,HLOOKUP(M$2,Calculation!$M$4:$S$5,2,FALSE)+5,FALSE),"")</f>
        <v/>
      </c>
      <c r="N167" s="4" t="str">
        <f ca="1">IFERROR(VLOOKUP($L167,Calculation!$H$6:$S$1005,HLOOKUP(N$2,Calculation!$M$4:$S$5,2,FALSE)+5,FALSE),"")</f>
        <v/>
      </c>
      <c r="O167" s="4" t="str">
        <f ca="1">IFERROR(VLOOKUP($L167,Calculation!$H$6:$S$1005,HLOOKUP(O$2,Calculation!$M$4:$S$5,2,FALSE)+5,FALSE),"")</f>
        <v/>
      </c>
      <c r="P167" s="4" t="str">
        <f ca="1">IFERROR(VLOOKUP($L167,Calculation!$H$6:$S$1005,HLOOKUP(P$2,Calculation!$M$4:$S$5,2,FALSE)+5,FALSE),"")</f>
        <v/>
      </c>
      <c r="Q167" s="4" t="str">
        <f ca="1">IFERROR(VLOOKUP($L167,Calculation!$H$6:$S$1005,HLOOKUP(Q$2,Calculation!$M$4:$S$5,2,FALSE)+5,FALSE),"")</f>
        <v/>
      </c>
      <c r="R167" s="27" t="str">
        <f ca="1">IFERROR(VLOOKUP($L167,Calculation!$H$6:$S$1005,HLOOKUP(R$2,Calculation!$M$4:$S$5,2,FALSE)+5,FALSE),"")</f>
        <v/>
      </c>
      <c r="S167" s="4" t="str">
        <f ca="1">IFERROR(VLOOKUP($L167,Calculation!$H$6:$S$1005,HLOOKUP(S$2,Calculation!$M$4:$S$5,2,FALSE)+5,FALSE),"")</f>
        <v/>
      </c>
      <c r="T167" s="29"/>
      <c r="U167" s="43" t="str">
        <f>IFERROR(VLOOKUP(T167,Calculation!$U$6:$V$11,2,FALSE),"")</f>
        <v/>
      </c>
    </row>
    <row r="168" spans="1:21" ht="14.25" customHeight="1" x14ac:dyDescent="0.3">
      <c r="A168" s="26" t="str">
        <f ca="1">IF(Calculation!T171&lt;=Calculation!$H$4,Calculation!T171,"")</f>
        <v/>
      </c>
      <c r="B168" s="4" t="str">
        <f ca="1">VLOOKUP(A168,Calculation!$E$6:$J$1004,4,FALSE)</f>
        <v/>
      </c>
      <c r="C168" s="4" t="str">
        <f ca="1">VLOOKUP(A168,Calculation!$E$6:$J$1004,5,FALSE)</f>
        <v/>
      </c>
      <c r="D168" s="4" t="str">
        <f ca="1">VLOOKUP(A168,Calculation!$E$6:$J$1004,6,FALSE)</f>
        <v/>
      </c>
      <c r="E168" s="42" t="str">
        <f t="shared" ca="1" si="0"/>
        <v/>
      </c>
      <c r="G168" s="29" t="str">
        <f ca="1">VLOOKUP(A168,Calculation!$F$6:$J$1004,3,FALSE)</f>
        <v/>
      </c>
      <c r="H168" s="4" t="str">
        <f ca="1">VLOOKUP(A168,Calculation!$F$6:$J$1004,4,FALSE)</f>
        <v/>
      </c>
      <c r="I168" s="4" t="str">
        <f ca="1">VLOOKUP(A168,Calculation!$F$6:$J$1004,5,FALSE)</f>
        <v/>
      </c>
      <c r="J168" s="43" t="str">
        <f t="shared" ca="1" si="1"/>
        <v/>
      </c>
      <c r="L168" s="29" t="str">
        <f ca="1">VLOOKUP(A168,Calculation!$G$6:$S$1004,2,FALSE)</f>
        <v/>
      </c>
      <c r="M168" s="4" t="str">
        <f ca="1">IFERROR(VLOOKUP($L168,Calculation!$H$6:$S$1005,HLOOKUP(M$2,Calculation!$M$4:$S$5,2,FALSE)+5,FALSE),"")</f>
        <v/>
      </c>
      <c r="N168" s="4" t="str">
        <f ca="1">IFERROR(VLOOKUP($L168,Calculation!$H$6:$S$1005,HLOOKUP(N$2,Calculation!$M$4:$S$5,2,FALSE)+5,FALSE),"")</f>
        <v/>
      </c>
      <c r="O168" s="4" t="str">
        <f ca="1">IFERROR(VLOOKUP($L168,Calculation!$H$6:$S$1005,HLOOKUP(O$2,Calculation!$M$4:$S$5,2,FALSE)+5,FALSE),"")</f>
        <v/>
      </c>
      <c r="P168" s="4" t="str">
        <f ca="1">IFERROR(VLOOKUP($L168,Calculation!$H$6:$S$1005,HLOOKUP(P$2,Calculation!$M$4:$S$5,2,FALSE)+5,FALSE),"")</f>
        <v/>
      </c>
      <c r="Q168" s="4" t="str">
        <f ca="1">IFERROR(VLOOKUP($L168,Calculation!$H$6:$S$1005,HLOOKUP(Q$2,Calculation!$M$4:$S$5,2,FALSE)+5,FALSE),"")</f>
        <v/>
      </c>
      <c r="R168" s="27" t="str">
        <f ca="1">IFERROR(VLOOKUP($L168,Calculation!$H$6:$S$1005,HLOOKUP(R$2,Calculation!$M$4:$S$5,2,FALSE)+5,FALSE),"")</f>
        <v/>
      </c>
      <c r="S168" s="4" t="str">
        <f ca="1">IFERROR(VLOOKUP($L168,Calculation!$H$6:$S$1005,HLOOKUP(S$2,Calculation!$M$4:$S$5,2,FALSE)+5,FALSE),"")</f>
        <v/>
      </c>
      <c r="T168" s="29"/>
      <c r="U168" s="43" t="str">
        <f>IFERROR(VLOOKUP(T168,Calculation!$U$6:$V$11,2,FALSE),"")</f>
        <v/>
      </c>
    </row>
    <row r="169" spans="1:21" ht="14.25" customHeight="1" x14ac:dyDescent="0.3">
      <c r="A169" s="26" t="str">
        <f ca="1">IF(Calculation!T172&lt;=Calculation!$H$4,Calculation!T172,"")</f>
        <v/>
      </c>
      <c r="B169" s="4" t="str">
        <f ca="1">VLOOKUP(A169,Calculation!$E$6:$J$1004,4,FALSE)</f>
        <v/>
      </c>
      <c r="C169" s="4" t="str">
        <f ca="1">VLOOKUP(A169,Calculation!$E$6:$J$1004,5,FALSE)</f>
        <v/>
      </c>
      <c r="D169" s="4" t="str">
        <f ca="1">VLOOKUP(A169,Calculation!$E$6:$J$1004,6,FALSE)</f>
        <v/>
      </c>
      <c r="E169" s="42" t="str">
        <f t="shared" ca="1" si="0"/>
        <v/>
      </c>
      <c r="G169" s="29" t="str">
        <f ca="1">VLOOKUP(A169,Calculation!$F$6:$J$1004,3,FALSE)</f>
        <v/>
      </c>
      <c r="H169" s="4" t="str">
        <f ca="1">VLOOKUP(A169,Calculation!$F$6:$J$1004,4,FALSE)</f>
        <v/>
      </c>
      <c r="I169" s="4" t="str">
        <f ca="1">VLOOKUP(A169,Calculation!$F$6:$J$1004,5,FALSE)</f>
        <v/>
      </c>
      <c r="J169" s="43" t="str">
        <f t="shared" ca="1" si="1"/>
        <v/>
      </c>
      <c r="L169" s="29" t="str">
        <f ca="1">VLOOKUP(A169,Calculation!$G$6:$S$1004,2,FALSE)</f>
        <v/>
      </c>
      <c r="M169" s="4" t="str">
        <f ca="1">IFERROR(VLOOKUP($L169,Calculation!$H$6:$S$1005,HLOOKUP(M$2,Calculation!$M$4:$S$5,2,FALSE)+5,FALSE),"")</f>
        <v/>
      </c>
      <c r="N169" s="4" t="str">
        <f ca="1">IFERROR(VLOOKUP($L169,Calculation!$H$6:$S$1005,HLOOKUP(N$2,Calculation!$M$4:$S$5,2,FALSE)+5,FALSE),"")</f>
        <v/>
      </c>
      <c r="O169" s="4" t="str">
        <f ca="1">IFERROR(VLOOKUP($L169,Calculation!$H$6:$S$1005,HLOOKUP(O$2,Calculation!$M$4:$S$5,2,FALSE)+5,FALSE),"")</f>
        <v/>
      </c>
      <c r="P169" s="4" t="str">
        <f ca="1">IFERROR(VLOOKUP($L169,Calculation!$H$6:$S$1005,HLOOKUP(P$2,Calculation!$M$4:$S$5,2,FALSE)+5,FALSE),"")</f>
        <v/>
      </c>
      <c r="Q169" s="4" t="str">
        <f ca="1">IFERROR(VLOOKUP($L169,Calculation!$H$6:$S$1005,HLOOKUP(Q$2,Calculation!$M$4:$S$5,2,FALSE)+5,FALSE),"")</f>
        <v/>
      </c>
      <c r="R169" s="27" t="str">
        <f ca="1">IFERROR(VLOOKUP($L169,Calculation!$H$6:$S$1005,HLOOKUP(R$2,Calculation!$M$4:$S$5,2,FALSE)+5,FALSE),"")</f>
        <v/>
      </c>
      <c r="S169" s="4" t="str">
        <f ca="1">IFERROR(VLOOKUP($L169,Calculation!$H$6:$S$1005,HLOOKUP(S$2,Calculation!$M$4:$S$5,2,FALSE)+5,FALSE),"")</f>
        <v/>
      </c>
      <c r="T169" s="29"/>
      <c r="U169" s="43" t="str">
        <f>IFERROR(VLOOKUP(T169,Calculation!$U$6:$V$11,2,FALSE),"")</f>
        <v/>
      </c>
    </row>
    <row r="170" spans="1:21" ht="14.25" customHeight="1" x14ac:dyDescent="0.3">
      <c r="A170" s="26" t="str">
        <f ca="1">IF(Calculation!T173&lt;=Calculation!$H$4,Calculation!T173,"")</f>
        <v/>
      </c>
      <c r="B170" s="4" t="str">
        <f ca="1">VLOOKUP(A170,Calculation!$E$6:$J$1004,4,FALSE)</f>
        <v/>
      </c>
      <c r="C170" s="4" t="str">
        <f ca="1">VLOOKUP(A170,Calculation!$E$6:$J$1004,5,FALSE)</f>
        <v/>
      </c>
      <c r="D170" s="4" t="str">
        <f ca="1">VLOOKUP(A170,Calculation!$E$6:$J$1004,6,FALSE)</f>
        <v/>
      </c>
      <c r="E170" s="42" t="str">
        <f t="shared" ca="1" si="0"/>
        <v/>
      </c>
      <c r="G170" s="29" t="str">
        <f ca="1">VLOOKUP(A170,Calculation!$F$6:$J$1004,3,FALSE)</f>
        <v/>
      </c>
      <c r="H170" s="4" t="str">
        <f ca="1">VLOOKUP(A170,Calculation!$F$6:$J$1004,4,FALSE)</f>
        <v/>
      </c>
      <c r="I170" s="4" t="str">
        <f ca="1">VLOOKUP(A170,Calculation!$F$6:$J$1004,5,FALSE)</f>
        <v/>
      </c>
      <c r="J170" s="43" t="str">
        <f t="shared" ca="1" si="1"/>
        <v/>
      </c>
      <c r="L170" s="29" t="str">
        <f ca="1">VLOOKUP(A170,Calculation!$G$6:$S$1004,2,FALSE)</f>
        <v/>
      </c>
      <c r="M170" s="4" t="str">
        <f ca="1">IFERROR(VLOOKUP($L170,Calculation!$H$6:$S$1005,HLOOKUP(M$2,Calculation!$M$4:$S$5,2,FALSE)+5,FALSE),"")</f>
        <v/>
      </c>
      <c r="N170" s="4" t="str">
        <f ca="1">IFERROR(VLOOKUP($L170,Calculation!$H$6:$S$1005,HLOOKUP(N$2,Calculation!$M$4:$S$5,2,FALSE)+5,FALSE),"")</f>
        <v/>
      </c>
      <c r="O170" s="4" t="str">
        <f ca="1">IFERROR(VLOOKUP($L170,Calculation!$H$6:$S$1005,HLOOKUP(O$2,Calculation!$M$4:$S$5,2,FALSE)+5,FALSE),"")</f>
        <v/>
      </c>
      <c r="P170" s="4" t="str">
        <f ca="1">IFERROR(VLOOKUP($L170,Calculation!$H$6:$S$1005,HLOOKUP(P$2,Calculation!$M$4:$S$5,2,FALSE)+5,FALSE),"")</f>
        <v/>
      </c>
      <c r="Q170" s="4" t="str">
        <f ca="1">IFERROR(VLOOKUP($L170,Calculation!$H$6:$S$1005,HLOOKUP(Q$2,Calculation!$M$4:$S$5,2,FALSE)+5,FALSE),"")</f>
        <v/>
      </c>
      <c r="R170" s="27" t="str">
        <f ca="1">IFERROR(VLOOKUP($L170,Calculation!$H$6:$S$1005,HLOOKUP(R$2,Calculation!$M$4:$S$5,2,FALSE)+5,FALSE),"")</f>
        <v/>
      </c>
      <c r="S170" s="4" t="str">
        <f ca="1">IFERROR(VLOOKUP($L170,Calculation!$H$6:$S$1005,HLOOKUP(S$2,Calculation!$M$4:$S$5,2,FALSE)+5,FALSE),"")</f>
        <v/>
      </c>
      <c r="T170" s="29"/>
      <c r="U170" s="43" t="str">
        <f>IFERROR(VLOOKUP(T170,Calculation!$U$6:$V$11,2,FALSE),"")</f>
        <v/>
      </c>
    </row>
    <row r="171" spans="1:21" ht="14.25" customHeight="1" x14ac:dyDescent="0.3">
      <c r="A171" s="26" t="str">
        <f ca="1">IF(Calculation!T174&lt;=Calculation!$H$4,Calculation!T174,"")</f>
        <v/>
      </c>
      <c r="B171" s="4" t="str">
        <f ca="1">VLOOKUP(A171,Calculation!$E$6:$J$1004,4,FALSE)</f>
        <v/>
      </c>
      <c r="C171" s="4" t="str">
        <f ca="1">VLOOKUP(A171,Calculation!$E$6:$J$1004,5,FALSE)</f>
        <v/>
      </c>
      <c r="D171" s="4" t="str">
        <f ca="1">VLOOKUP(A171,Calculation!$E$6:$J$1004,6,FALSE)</f>
        <v/>
      </c>
      <c r="E171" s="42" t="str">
        <f t="shared" ca="1" si="0"/>
        <v/>
      </c>
      <c r="G171" s="29" t="str">
        <f ca="1">VLOOKUP(A171,Calculation!$F$6:$J$1004,3,FALSE)</f>
        <v/>
      </c>
      <c r="H171" s="4" t="str">
        <f ca="1">VLOOKUP(A171,Calculation!$F$6:$J$1004,4,FALSE)</f>
        <v/>
      </c>
      <c r="I171" s="4" t="str">
        <f ca="1">VLOOKUP(A171,Calculation!$F$6:$J$1004,5,FALSE)</f>
        <v/>
      </c>
      <c r="J171" s="43" t="str">
        <f t="shared" ca="1" si="1"/>
        <v/>
      </c>
      <c r="L171" s="29" t="str">
        <f ca="1">VLOOKUP(A171,Calculation!$G$6:$S$1004,2,FALSE)</f>
        <v/>
      </c>
      <c r="M171" s="4" t="str">
        <f ca="1">IFERROR(VLOOKUP($L171,Calculation!$H$6:$S$1005,HLOOKUP(M$2,Calculation!$M$4:$S$5,2,FALSE)+5,FALSE),"")</f>
        <v/>
      </c>
      <c r="N171" s="4" t="str">
        <f ca="1">IFERROR(VLOOKUP($L171,Calculation!$H$6:$S$1005,HLOOKUP(N$2,Calculation!$M$4:$S$5,2,FALSE)+5,FALSE),"")</f>
        <v/>
      </c>
      <c r="O171" s="4" t="str">
        <f ca="1">IFERROR(VLOOKUP($L171,Calculation!$H$6:$S$1005,HLOOKUP(O$2,Calculation!$M$4:$S$5,2,FALSE)+5,FALSE),"")</f>
        <v/>
      </c>
      <c r="P171" s="4" t="str">
        <f ca="1">IFERROR(VLOOKUP($L171,Calculation!$H$6:$S$1005,HLOOKUP(P$2,Calculation!$M$4:$S$5,2,FALSE)+5,FALSE),"")</f>
        <v/>
      </c>
      <c r="Q171" s="4" t="str">
        <f ca="1">IFERROR(VLOOKUP($L171,Calculation!$H$6:$S$1005,HLOOKUP(Q$2,Calculation!$M$4:$S$5,2,FALSE)+5,FALSE),"")</f>
        <v/>
      </c>
      <c r="R171" s="27" t="str">
        <f ca="1">IFERROR(VLOOKUP($L171,Calculation!$H$6:$S$1005,HLOOKUP(R$2,Calculation!$M$4:$S$5,2,FALSE)+5,FALSE),"")</f>
        <v/>
      </c>
      <c r="S171" s="4" t="str">
        <f ca="1">IFERROR(VLOOKUP($L171,Calculation!$H$6:$S$1005,HLOOKUP(S$2,Calculation!$M$4:$S$5,2,FALSE)+5,FALSE),"")</f>
        <v/>
      </c>
      <c r="T171" s="29"/>
      <c r="U171" s="43" t="str">
        <f>IFERROR(VLOOKUP(T171,Calculation!$U$6:$V$11,2,FALSE),"")</f>
        <v/>
      </c>
    </row>
    <row r="172" spans="1:21" ht="14.25" customHeight="1" x14ac:dyDescent="0.3">
      <c r="A172" s="26" t="str">
        <f ca="1">IF(Calculation!T175&lt;=Calculation!$H$4,Calculation!T175,"")</f>
        <v/>
      </c>
      <c r="B172" s="4" t="str">
        <f ca="1">VLOOKUP(A172,Calculation!$E$6:$J$1004,4,FALSE)</f>
        <v/>
      </c>
      <c r="C172" s="4" t="str">
        <f ca="1">VLOOKUP(A172,Calculation!$E$6:$J$1004,5,FALSE)</f>
        <v/>
      </c>
      <c r="D172" s="4" t="str">
        <f ca="1">VLOOKUP(A172,Calculation!$E$6:$J$1004,6,FALSE)</f>
        <v/>
      </c>
      <c r="E172" s="42" t="str">
        <f t="shared" ca="1" si="0"/>
        <v/>
      </c>
      <c r="G172" s="29" t="str">
        <f ca="1">VLOOKUP(A172,Calculation!$F$6:$J$1004,3,FALSE)</f>
        <v/>
      </c>
      <c r="H172" s="4" t="str">
        <f ca="1">VLOOKUP(A172,Calculation!$F$6:$J$1004,4,FALSE)</f>
        <v/>
      </c>
      <c r="I172" s="4" t="str">
        <f ca="1">VLOOKUP(A172,Calculation!$F$6:$J$1004,5,FALSE)</f>
        <v/>
      </c>
      <c r="J172" s="43" t="str">
        <f t="shared" ca="1" si="1"/>
        <v/>
      </c>
      <c r="L172" s="29" t="str">
        <f ca="1">VLOOKUP(A172,Calculation!$G$6:$S$1004,2,FALSE)</f>
        <v/>
      </c>
      <c r="M172" s="4" t="str">
        <f ca="1">IFERROR(VLOOKUP($L172,Calculation!$H$6:$S$1005,HLOOKUP(M$2,Calculation!$M$4:$S$5,2,FALSE)+5,FALSE),"")</f>
        <v/>
      </c>
      <c r="N172" s="4" t="str">
        <f ca="1">IFERROR(VLOOKUP($L172,Calculation!$H$6:$S$1005,HLOOKUP(N$2,Calculation!$M$4:$S$5,2,FALSE)+5,FALSE),"")</f>
        <v/>
      </c>
      <c r="O172" s="4" t="str">
        <f ca="1">IFERROR(VLOOKUP($L172,Calculation!$H$6:$S$1005,HLOOKUP(O$2,Calculation!$M$4:$S$5,2,FALSE)+5,FALSE),"")</f>
        <v/>
      </c>
      <c r="P172" s="4" t="str">
        <f ca="1">IFERROR(VLOOKUP($L172,Calculation!$H$6:$S$1005,HLOOKUP(P$2,Calculation!$M$4:$S$5,2,FALSE)+5,FALSE),"")</f>
        <v/>
      </c>
      <c r="Q172" s="4" t="str">
        <f ca="1">IFERROR(VLOOKUP($L172,Calculation!$H$6:$S$1005,HLOOKUP(Q$2,Calculation!$M$4:$S$5,2,FALSE)+5,FALSE),"")</f>
        <v/>
      </c>
      <c r="R172" s="27" t="str">
        <f ca="1">IFERROR(VLOOKUP($L172,Calculation!$H$6:$S$1005,HLOOKUP(R$2,Calculation!$M$4:$S$5,2,FALSE)+5,FALSE),"")</f>
        <v/>
      </c>
      <c r="S172" s="4" t="str">
        <f ca="1">IFERROR(VLOOKUP($L172,Calculation!$H$6:$S$1005,HLOOKUP(S$2,Calculation!$M$4:$S$5,2,FALSE)+5,FALSE),"")</f>
        <v/>
      </c>
      <c r="T172" s="29"/>
      <c r="U172" s="43" t="str">
        <f>IFERROR(VLOOKUP(T172,Calculation!$U$6:$V$11,2,FALSE),"")</f>
        <v/>
      </c>
    </row>
    <row r="173" spans="1:21" ht="14.25" customHeight="1" x14ac:dyDescent="0.3">
      <c r="A173" s="26" t="str">
        <f ca="1">IF(Calculation!T176&lt;=Calculation!$H$4,Calculation!T176,"")</f>
        <v/>
      </c>
      <c r="B173" s="4" t="str">
        <f ca="1">VLOOKUP(A173,Calculation!$E$6:$J$1004,4,FALSE)</f>
        <v/>
      </c>
      <c r="C173" s="4" t="str">
        <f ca="1">VLOOKUP(A173,Calculation!$E$6:$J$1004,5,FALSE)</f>
        <v/>
      </c>
      <c r="D173" s="4" t="str">
        <f ca="1">VLOOKUP(A173,Calculation!$E$6:$J$1004,6,FALSE)</f>
        <v/>
      </c>
      <c r="E173" s="42" t="str">
        <f t="shared" ca="1" si="0"/>
        <v/>
      </c>
      <c r="G173" s="29" t="str">
        <f ca="1">VLOOKUP(A173,Calculation!$F$6:$J$1004,3,FALSE)</f>
        <v/>
      </c>
      <c r="H173" s="4" t="str">
        <f ca="1">VLOOKUP(A173,Calculation!$F$6:$J$1004,4,FALSE)</f>
        <v/>
      </c>
      <c r="I173" s="4" t="str">
        <f ca="1">VLOOKUP(A173,Calculation!$F$6:$J$1004,5,FALSE)</f>
        <v/>
      </c>
      <c r="J173" s="43" t="str">
        <f t="shared" ca="1" si="1"/>
        <v/>
      </c>
      <c r="L173" s="29" t="str">
        <f ca="1">VLOOKUP(A173,Calculation!$G$6:$S$1004,2,FALSE)</f>
        <v/>
      </c>
      <c r="M173" s="4" t="str">
        <f ca="1">IFERROR(VLOOKUP($L173,Calculation!$H$6:$S$1005,HLOOKUP(M$2,Calculation!$M$4:$S$5,2,FALSE)+5,FALSE),"")</f>
        <v/>
      </c>
      <c r="N173" s="4" t="str">
        <f ca="1">IFERROR(VLOOKUP($L173,Calculation!$H$6:$S$1005,HLOOKUP(N$2,Calculation!$M$4:$S$5,2,FALSE)+5,FALSE),"")</f>
        <v/>
      </c>
      <c r="O173" s="4" t="str">
        <f ca="1">IFERROR(VLOOKUP($L173,Calculation!$H$6:$S$1005,HLOOKUP(O$2,Calculation!$M$4:$S$5,2,FALSE)+5,FALSE),"")</f>
        <v/>
      </c>
      <c r="P173" s="4" t="str">
        <f ca="1">IFERROR(VLOOKUP($L173,Calculation!$H$6:$S$1005,HLOOKUP(P$2,Calculation!$M$4:$S$5,2,FALSE)+5,FALSE),"")</f>
        <v/>
      </c>
      <c r="Q173" s="4" t="str">
        <f ca="1">IFERROR(VLOOKUP($L173,Calculation!$H$6:$S$1005,HLOOKUP(Q$2,Calculation!$M$4:$S$5,2,FALSE)+5,FALSE),"")</f>
        <v/>
      </c>
      <c r="R173" s="27" t="str">
        <f ca="1">IFERROR(VLOOKUP($L173,Calculation!$H$6:$S$1005,HLOOKUP(R$2,Calculation!$M$4:$S$5,2,FALSE)+5,FALSE),"")</f>
        <v/>
      </c>
      <c r="S173" s="4" t="str">
        <f ca="1">IFERROR(VLOOKUP($L173,Calculation!$H$6:$S$1005,HLOOKUP(S$2,Calculation!$M$4:$S$5,2,FALSE)+5,FALSE),"")</f>
        <v/>
      </c>
      <c r="T173" s="29"/>
      <c r="U173" s="43" t="str">
        <f>IFERROR(VLOOKUP(T173,Calculation!$U$6:$V$11,2,FALSE),"")</f>
        <v/>
      </c>
    </row>
    <row r="174" spans="1:21" ht="14.25" customHeight="1" x14ac:dyDescent="0.3">
      <c r="A174" s="26" t="str">
        <f ca="1">IF(Calculation!T177&lt;=Calculation!$H$4,Calculation!T177,"")</f>
        <v/>
      </c>
      <c r="B174" s="4" t="str">
        <f ca="1">VLOOKUP(A174,Calculation!$E$6:$J$1004,4,FALSE)</f>
        <v/>
      </c>
      <c r="C174" s="4" t="str">
        <f ca="1">VLOOKUP(A174,Calculation!$E$6:$J$1004,5,FALSE)</f>
        <v/>
      </c>
      <c r="D174" s="4" t="str">
        <f ca="1">VLOOKUP(A174,Calculation!$E$6:$J$1004,6,FALSE)</f>
        <v/>
      </c>
      <c r="E174" s="42" t="str">
        <f t="shared" ca="1" si="0"/>
        <v/>
      </c>
      <c r="G174" s="29" t="str">
        <f ca="1">VLOOKUP(A174,Calculation!$F$6:$J$1004,3,FALSE)</f>
        <v/>
      </c>
      <c r="H174" s="4" t="str">
        <f ca="1">VLOOKUP(A174,Calculation!$F$6:$J$1004,4,FALSE)</f>
        <v/>
      </c>
      <c r="I174" s="4" t="str">
        <f ca="1">VLOOKUP(A174,Calculation!$F$6:$J$1004,5,FALSE)</f>
        <v/>
      </c>
      <c r="J174" s="43" t="str">
        <f t="shared" ca="1" si="1"/>
        <v/>
      </c>
      <c r="L174" s="29" t="str">
        <f ca="1">VLOOKUP(A174,Calculation!$G$6:$S$1004,2,FALSE)</f>
        <v/>
      </c>
      <c r="M174" s="4" t="str">
        <f ca="1">IFERROR(VLOOKUP($L174,Calculation!$H$6:$S$1005,HLOOKUP(M$2,Calculation!$M$4:$S$5,2,FALSE)+5,FALSE),"")</f>
        <v/>
      </c>
      <c r="N174" s="4" t="str">
        <f ca="1">IFERROR(VLOOKUP($L174,Calculation!$H$6:$S$1005,HLOOKUP(N$2,Calculation!$M$4:$S$5,2,FALSE)+5,FALSE),"")</f>
        <v/>
      </c>
      <c r="O174" s="4" t="str">
        <f ca="1">IFERROR(VLOOKUP($L174,Calculation!$H$6:$S$1005,HLOOKUP(O$2,Calculation!$M$4:$S$5,2,FALSE)+5,FALSE),"")</f>
        <v/>
      </c>
      <c r="P174" s="4" t="str">
        <f ca="1">IFERROR(VLOOKUP($L174,Calculation!$H$6:$S$1005,HLOOKUP(P$2,Calculation!$M$4:$S$5,2,FALSE)+5,FALSE),"")</f>
        <v/>
      </c>
      <c r="Q174" s="4" t="str">
        <f ca="1">IFERROR(VLOOKUP($L174,Calculation!$H$6:$S$1005,HLOOKUP(Q$2,Calculation!$M$4:$S$5,2,FALSE)+5,FALSE),"")</f>
        <v/>
      </c>
      <c r="R174" s="27" t="str">
        <f ca="1">IFERROR(VLOOKUP($L174,Calculation!$H$6:$S$1005,HLOOKUP(R$2,Calculation!$M$4:$S$5,2,FALSE)+5,FALSE),"")</f>
        <v/>
      </c>
      <c r="S174" s="4" t="str">
        <f ca="1">IFERROR(VLOOKUP($L174,Calculation!$H$6:$S$1005,HLOOKUP(S$2,Calculation!$M$4:$S$5,2,FALSE)+5,FALSE),"")</f>
        <v/>
      </c>
      <c r="T174" s="29"/>
      <c r="U174" s="43" t="str">
        <f>IFERROR(VLOOKUP(T174,Calculation!$U$6:$V$11,2,FALSE),"")</f>
        <v/>
      </c>
    </row>
    <row r="175" spans="1:21" ht="14.25" customHeight="1" x14ac:dyDescent="0.3">
      <c r="A175" s="26" t="str">
        <f ca="1">IF(Calculation!T178&lt;=Calculation!$H$4,Calculation!T178,"")</f>
        <v/>
      </c>
      <c r="B175" s="4" t="str">
        <f ca="1">VLOOKUP(A175,Calculation!$E$6:$J$1004,4,FALSE)</f>
        <v/>
      </c>
      <c r="C175" s="4" t="str">
        <f ca="1">VLOOKUP(A175,Calculation!$E$6:$J$1004,5,FALSE)</f>
        <v/>
      </c>
      <c r="D175" s="4" t="str">
        <f ca="1">VLOOKUP(A175,Calculation!$E$6:$J$1004,6,FALSE)</f>
        <v/>
      </c>
      <c r="E175" s="42" t="str">
        <f t="shared" ca="1" si="0"/>
        <v/>
      </c>
      <c r="G175" s="29" t="str">
        <f ca="1">VLOOKUP(A175,Calculation!$F$6:$J$1004,3,FALSE)</f>
        <v/>
      </c>
      <c r="H175" s="4" t="str">
        <f ca="1">VLOOKUP(A175,Calculation!$F$6:$J$1004,4,FALSE)</f>
        <v/>
      </c>
      <c r="I175" s="4" t="str">
        <f ca="1">VLOOKUP(A175,Calculation!$F$6:$J$1004,5,FALSE)</f>
        <v/>
      </c>
      <c r="J175" s="43" t="str">
        <f t="shared" ca="1" si="1"/>
        <v/>
      </c>
      <c r="L175" s="29" t="str">
        <f ca="1">VLOOKUP(A175,Calculation!$G$6:$S$1004,2,FALSE)</f>
        <v/>
      </c>
      <c r="M175" s="4" t="str">
        <f ca="1">IFERROR(VLOOKUP($L175,Calculation!$H$6:$S$1005,HLOOKUP(M$2,Calculation!$M$4:$S$5,2,FALSE)+5,FALSE),"")</f>
        <v/>
      </c>
      <c r="N175" s="4" t="str">
        <f ca="1">IFERROR(VLOOKUP($L175,Calculation!$H$6:$S$1005,HLOOKUP(N$2,Calculation!$M$4:$S$5,2,FALSE)+5,FALSE),"")</f>
        <v/>
      </c>
      <c r="O175" s="4" t="str">
        <f ca="1">IFERROR(VLOOKUP($L175,Calculation!$H$6:$S$1005,HLOOKUP(O$2,Calculation!$M$4:$S$5,2,FALSE)+5,FALSE),"")</f>
        <v/>
      </c>
      <c r="P175" s="4" t="str">
        <f ca="1">IFERROR(VLOOKUP($L175,Calculation!$H$6:$S$1005,HLOOKUP(P$2,Calculation!$M$4:$S$5,2,FALSE)+5,FALSE),"")</f>
        <v/>
      </c>
      <c r="Q175" s="4" t="str">
        <f ca="1">IFERROR(VLOOKUP($L175,Calculation!$H$6:$S$1005,HLOOKUP(Q$2,Calculation!$M$4:$S$5,2,FALSE)+5,FALSE),"")</f>
        <v/>
      </c>
      <c r="R175" s="27" t="str">
        <f ca="1">IFERROR(VLOOKUP($L175,Calculation!$H$6:$S$1005,HLOOKUP(R$2,Calculation!$M$4:$S$5,2,FALSE)+5,FALSE),"")</f>
        <v/>
      </c>
      <c r="S175" s="4" t="str">
        <f ca="1">IFERROR(VLOOKUP($L175,Calculation!$H$6:$S$1005,HLOOKUP(S$2,Calculation!$M$4:$S$5,2,FALSE)+5,FALSE),"")</f>
        <v/>
      </c>
      <c r="T175" s="29"/>
      <c r="U175" s="43" t="str">
        <f>IFERROR(VLOOKUP(T175,Calculation!$U$6:$V$11,2,FALSE),"")</f>
        <v/>
      </c>
    </row>
    <row r="176" spans="1:21" ht="14.25" customHeight="1" x14ac:dyDescent="0.3">
      <c r="A176" s="26" t="str">
        <f ca="1">IF(Calculation!T179&lt;=Calculation!$H$4,Calculation!T179,"")</f>
        <v/>
      </c>
      <c r="B176" s="4" t="str">
        <f ca="1">VLOOKUP(A176,Calculation!$E$6:$J$1004,4,FALSE)</f>
        <v/>
      </c>
      <c r="C176" s="4" t="str">
        <f ca="1">VLOOKUP(A176,Calculation!$E$6:$J$1004,5,FALSE)</f>
        <v/>
      </c>
      <c r="D176" s="4" t="str">
        <f ca="1">VLOOKUP(A176,Calculation!$E$6:$J$1004,6,FALSE)</f>
        <v/>
      </c>
      <c r="E176" s="42" t="str">
        <f t="shared" ca="1" si="0"/>
        <v/>
      </c>
      <c r="G176" s="29" t="str">
        <f ca="1">VLOOKUP(A176,Calculation!$F$6:$J$1004,3,FALSE)</f>
        <v/>
      </c>
      <c r="H176" s="4" t="str">
        <f ca="1">VLOOKUP(A176,Calculation!$F$6:$J$1004,4,FALSE)</f>
        <v/>
      </c>
      <c r="I176" s="4" t="str">
        <f ca="1">VLOOKUP(A176,Calculation!$F$6:$J$1004,5,FALSE)</f>
        <v/>
      </c>
      <c r="J176" s="43" t="str">
        <f t="shared" ca="1" si="1"/>
        <v/>
      </c>
      <c r="L176" s="29" t="str">
        <f ca="1">VLOOKUP(A176,Calculation!$G$6:$S$1004,2,FALSE)</f>
        <v/>
      </c>
      <c r="M176" s="4" t="str">
        <f ca="1">IFERROR(VLOOKUP($L176,Calculation!$H$6:$S$1005,HLOOKUP(M$2,Calculation!$M$4:$S$5,2,FALSE)+5,FALSE),"")</f>
        <v/>
      </c>
      <c r="N176" s="4" t="str">
        <f ca="1">IFERROR(VLOOKUP($L176,Calculation!$H$6:$S$1005,HLOOKUP(N$2,Calculation!$M$4:$S$5,2,FALSE)+5,FALSE),"")</f>
        <v/>
      </c>
      <c r="O176" s="4" t="str">
        <f ca="1">IFERROR(VLOOKUP($L176,Calculation!$H$6:$S$1005,HLOOKUP(O$2,Calculation!$M$4:$S$5,2,FALSE)+5,FALSE),"")</f>
        <v/>
      </c>
      <c r="P176" s="4" t="str">
        <f ca="1">IFERROR(VLOOKUP($L176,Calculation!$H$6:$S$1005,HLOOKUP(P$2,Calculation!$M$4:$S$5,2,FALSE)+5,FALSE),"")</f>
        <v/>
      </c>
      <c r="Q176" s="4" t="str">
        <f ca="1">IFERROR(VLOOKUP($L176,Calculation!$H$6:$S$1005,HLOOKUP(Q$2,Calculation!$M$4:$S$5,2,FALSE)+5,FALSE),"")</f>
        <v/>
      </c>
      <c r="R176" s="27" t="str">
        <f ca="1">IFERROR(VLOOKUP($L176,Calculation!$H$6:$S$1005,HLOOKUP(R$2,Calculation!$M$4:$S$5,2,FALSE)+5,FALSE),"")</f>
        <v/>
      </c>
      <c r="S176" s="4" t="str">
        <f ca="1">IFERROR(VLOOKUP($L176,Calculation!$H$6:$S$1005,HLOOKUP(S$2,Calculation!$M$4:$S$5,2,FALSE)+5,FALSE),"")</f>
        <v/>
      </c>
      <c r="T176" s="29"/>
      <c r="U176" s="43" t="str">
        <f>IFERROR(VLOOKUP(T176,Calculation!$U$6:$V$11,2,FALSE),"")</f>
        <v/>
      </c>
    </row>
    <row r="177" spans="1:21" ht="14.25" customHeight="1" x14ac:dyDescent="0.3">
      <c r="A177" s="26" t="str">
        <f ca="1">IF(Calculation!T180&lt;=Calculation!$H$4,Calculation!T180,"")</f>
        <v/>
      </c>
      <c r="B177" s="4" t="str">
        <f ca="1">VLOOKUP(A177,Calculation!$E$6:$J$1004,4,FALSE)</f>
        <v/>
      </c>
      <c r="C177" s="4" t="str">
        <f ca="1">VLOOKUP(A177,Calculation!$E$6:$J$1004,5,FALSE)</f>
        <v/>
      </c>
      <c r="D177" s="4" t="str">
        <f ca="1">VLOOKUP(A177,Calculation!$E$6:$J$1004,6,FALSE)</f>
        <v/>
      </c>
      <c r="E177" s="42" t="str">
        <f t="shared" ca="1" si="0"/>
        <v/>
      </c>
      <c r="G177" s="29" t="str">
        <f ca="1">VLOOKUP(A177,Calculation!$F$6:$J$1004,3,FALSE)</f>
        <v/>
      </c>
      <c r="H177" s="4" t="str">
        <f ca="1">VLOOKUP(A177,Calculation!$F$6:$J$1004,4,FALSE)</f>
        <v/>
      </c>
      <c r="I177" s="4" t="str">
        <f ca="1">VLOOKUP(A177,Calculation!$F$6:$J$1004,5,FALSE)</f>
        <v/>
      </c>
      <c r="J177" s="43" t="str">
        <f t="shared" ca="1" si="1"/>
        <v/>
      </c>
      <c r="L177" s="29" t="str">
        <f ca="1">VLOOKUP(A177,Calculation!$G$6:$S$1004,2,FALSE)</f>
        <v/>
      </c>
      <c r="M177" s="4" t="str">
        <f ca="1">IFERROR(VLOOKUP($L177,Calculation!$H$6:$S$1005,HLOOKUP(M$2,Calculation!$M$4:$S$5,2,FALSE)+5,FALSE),"")</f>
        <v/>
      </c>
      <c r="N177" s="4" t="str">
        <f ca="1">IFERROR(VLOOKUP($L177,Calculation!$H$6:$S$1005,HLOOKUP(N$2,Calculation!$M$4:$S$5,2,FALSE)+5,FALSE),"")</f>
        <v/>
      </c>
      <c r="O177" s="4" t="str">
        <f ca="1">IFERROR(VLOOKUP($L177,Calculation!$H$6:$S$1005,HLOOKUP(O$2,Calculation!$M$4:$S$5,2,FALSE)+5,FALSE),"")</f>
        <v/>
      </c>
      <c r="P177" s="4" t="str">
        <f ca="1">IFERROR(VLOOKUP($L177,Calculation!$H$6:$S$1005,HLOOKUP(P$2,Calculation!$M$4:$S$5,2,FALSE)+5,FALSE),"")</f>
        <v/>
      </c>
      <c r="Q177" s="4" t="str">
        <f ca="1">IFERROR(VLOOKUP($L177,Calculation!$H$6:$S$1005,HLOOKUP(Q$2,Calculation!$M$4:$S$5,2,FALSE)+5,FALSE),"")</f>
        <v/>
      </c>
      <c r="R177" s="27" t="str">
        <f ca="1">IFERROR(VLOOKUP($L177,Calculation!$H$6:$S$1005,HLOOKUP(R$2,Calculation!$M$4:$S$5,2,FALSE)+5,FALSE),"")</f>
        <v/>
      </c>
      <c r="S177" s="4" t="str">
        <f ca="1">IFERROR(VLOOKUP($L177,Calculation!$H$6:$S$1005,HLOOKUP(S$2,Calculation!$M$4:$S$5,2,FALSE)+5,FALSE),"")</f>
        <v/>
      </c>
      <c r="T177" s="29"/>
      <c r="U177" s="43" t="str">
        <f>IFERROR(VLOOKUP(T177,Calculation!$U$6:$V$11,2,FALSE),"")</f>
        <v/>
      </c>
    </row>
    <row r="178" spans="1:21" ht="14.25" customHeight="1" x14ac:dyDescent="0.3">
      <c r="A178" s="26" t="str">
        <f ca="1">IF(Calculation!T181&lt;=Calculation!$H$4,Calculation!T181,"")</f>
        <v/>
      </c>
      <c r="B178" s="4" t="str">
        <f ca="1">VLOOKUP(A178,Calculation!$E$6:$J$1004,4,FALSE)</f>
        <v/>
      </c>
      <c r="C178" s="4" t="str">
        <f ca="1">VLOOKUP(A178,Calculation!$E$6:$J$1004,5,FALSE)</f>
        <v/>
      </c>
      <c r="D178" s="4" t="str">
        <f ca="1">VLOOKUP(A178,Calculation!$E$6:$J$1004,6,FALSE)</f>
        <v/>
      </c>
      <c r="E178" s="42" t="str">
        <f t="shared" ca="1" si="0"/>
        <v/>
      </c>
      <c r="G178" s="29" t="str">
        <f ca="1">VLOOKUP(A178,Calculation!$F$6:$J$1004,3,FALSE)</f>
        <v/>
      </c>
      <c r="H178" s="4" t="str">
        <f ca="1">VLOOKUP(A178,Calculation!$F$6:$J$1004,4,FALSE)</f>
        <v/>
      </c>
      <c r="I178" s="4" t="str">
        <f ca="1">VLOOKUP(A178,Calculation!$F$6:$J$1004,5,FALSE)</f>
        <v/>
      </c>
      <c r="J178" s="43" t="str">
        <f t="shared" ca="1" si="1"/>
        <v/>
      </c>
      <c r="L178" s="29" t="str">
        <f ca="1">VLOOKUP(A178,Calculation!$G$6:$S$1004,2,FALSE)</f>
        <v/>
      </c>
      <c r="M178" s="4" t="str">
        <f ca="1">IFERROR(VLOOKUP($L178,Calculation!$H$6:$S$1005,HLOOKUP(M$2,Calculation!$M$4:$S$5,2,FALSE)+5,FALSE),"")</f>
        <v/>
      </c>
      <c r="N178" s="4" t="str">
        <f ca="1">IFERROR(VLOOKUP($L178,Calculation!$H$6:$S$1005,HLOOKUP(N$2,Calculation!$M$4:$S$5,2,FALSE)+5,FALSE),"")</f>
        <v/>
      </c>
      <c r="O178" s="4" t="str">
        <f ca="1">IFERROR(VLOOKUP($L178,Calculation!$H$6:$S$1005,HLOOKUP(O$2,Calculation!$M$4:$S$5,2,FALSE)+5,FALSE),"")</f>
        <v/>
      </c>
      <c r="P178" s="4" t="str">
        <f ca="1">IFERROR(VLOOKUP($L178,Calculation!$H$6:$S$1005,HLOOKUP(P$2,Calculation!$M$4:$S$5,2,FALSE)+5,FALSE),"")</f>
        <v/>
      </c>
      <c r="Q178" s="4" t="str">
        <f ca="1">IFERROR(VLOOKUP($L178,Calculation!$H$6:$S$1005,HLOOKUP(Q$2,Calculation!$M$4:$S$5,2,FALSE)+5,FALSE),"")</f>
        <v/>
      </c>
      <c r="R178" s="27" t="str">
        <f ca="1">IFERROR(VLOOKUP($L178,Calculation!$H$6:$S$1005,HLOOKUP(R$2,Calculation!$M$4:$S$5,2,FALSE)+5,FALSE),"")</f>
        <v/>
      </c>
      <c r="S178" s="4" t="str">
        <f ca="1">IFERROR(VLOOKUP($L178,Calculation!$H$6:$S$1005,HLOOKUP(S$2,Calculation!$M$4:$S$5,2,FALSE)+5,FALSE),"")</f>
        <v/>
      </c>
      <c r="T178" s="29"/>
      <c r="U178" s="43" t="str">
        <f>IFERROR(VLOOKUP(T178,Calculation!$U$6:$V$11,2,FALSE),"")</f>
        <v/>
      </c>
    </row>
    <row r="179" spans="1:21" ht="14.25" customHeight="1" x14ac:dyDescent="0.3">
      <c r="A179" s="26" t="str">
        <f ca="1">IF(Calculation!T182&lt;=Calculation!$H$4,Calculation!T182,"")</f>
        <v/>
      </c>
      <c r="B179" s="4" t="str">
        <f ca="1">VLOOKUP(A179,Calculation!$E$6:$J$1004,4,FALSE)</f>
        <v/>
      </c>
      <c r="C179" s="4" t="str">
        <f ca="1">VLOOKUP(A179,Calculation!$E$6:$J$1004,5,FALSE)</f>
        <v/>
      </c>
      <c r="D179" s="4" t="str">
        <f ca="1">VLOOKUP(A179,Calculation!$E$6:$J$1004,6,FALSE)</f>
        <v/>
      </c>
      <c r="E179" s="42" t="str">
        <f t="shared" ca="1" si="0"/>
        <v/>
      </c>
      <c r="G179" s="29" t="str">
        <f ca="1">VLOOKUP(A179,Calculation!$F$6:$J$1004,3,FALSE)</f>
        <v/>
      </c>
      <c r="H179" s="4" t="str">
        <f ca="1">VLOOKUP(A179,Calculation!$F$6:$J$1004,4,FALSE)</f>
        <v/>
      </c>
      <c r="I179" s="4" t="str">
        <f ca="1">VLOOKUP(A179,Calculation!$F$6:$J$1004,5,FALSE)</f>
        <v/>
      </c>
      <c r="J179" s="43" t="str">
        <f t="shared" ca="1" si="1"/>
        <v/>
      </c>
      <c r="L179" s="29" t="str">
        <f ca="1">VLOOKUP(A179,Calculation!$G$6:$S$1004,2,FALSE)</f>
        <v/>
      </c>
      <c r="M179" s="4" t="str">
        <f ca="1">IFERROR(VLOOKUP($L179,Calculation!$H$6:$S$1005,HLOOKUP(M$2,Calculation!$M$4:$S$5,2,FALSE)+5,FALSE),"")</f>
        <v/>
      </c>
      <c r="N179" s="4" t="str">
        <f ca="1">IFERROR(VLOOKUP($L179,Calculation!$H$6:$S$1005,HLOOKUP(N$2,Calculation!$M$4:$S$5,2,FALSE)+5,FALSE),"")</f>
        <v/>
      </c>
      <c r="O179" s="4" t="str">
        <f ca="1">IFERROR(VLOOKUP($L179,Calculation!$H$6:$S$1005,HLOOKUP(O$2,Calculation!$M$4:$S$5,2,FALSE)+5,FALSE),"")</f>
        <v/>
      </c>
      <c r="P179" s="4" t="str">
        <f ca="1">IFERROR(VLOOKUP($L179,Calculation!$H$6:$S$1005,HLOOKUP(P$2,Calculation!$M$4:$S$5,2,FALSE)+5,FALSE),"")</f>
        <v/>
      </c>
      <c r="Q179" s="4" t="str">
        <f ca="1">IFERROR(VLOOKUP($L179,Calculation!$H$6:$S$1005,HLOOKUP(Q$2,Calculation!$M$4:$S$5,2,FALSE)+5,FALSE),"")</f>
        <v/>
      </c>
      <c r="R179" s="27" t="str">
        <f ca="1">IFERROR(VLOOKUP($L179,Calculation!$H$6:$S$1005,HLOOKUP(R$2,Calculation!$M$4:$S$5,2,FALSE)+5,FALSE),"")</f>
        <v/>
      </c>
      <c r="S179" s="4" t="str">
        <f ca="1">IFERROR(VLOOKUP($L179,Calculation!$H$6:$S$1005,HLOOKUP(S$2,Calculation!$M$4:$S$5,2,FALSE)+5,FALSE),"")</f>
        <v/>
      </c>
      <c r="T179" s="29"/>
      <c r="U179" s="43" t="str">
        <f>IFERROR(VLOOKUP(T179,Calculation!$U$6:$V$11,2,FALSE),"")</f>
        <v/>
      </c>
    </row>
    <row r="180" spans="1:21" ht="14.25" customHeight="1" x14ac:dyDescent="0.3">
      <c r="A180" s="26" t="str">
        <f ca="1">IF(Calculation!T183&lt;=Calculation!$H$4,Calculation!T183,"")</f>
        <v/>
      </c>
      <c r="B180" s="4" t="str">
        <f ca="1">VLOOKUP(A180,Calculation!$E$6:$J$1004,4,FALSE)</f>
        <v/>
      </c>
      <c r="C180" s="4" t="str">
        <f ca="1">VLOOKUP(A180,Calculation!$E$6:$J$1004,5,FALSE)</f>
        <v/>
      </c>
      <c r="D180" s="4" t="str">
        <f ca="1">VLOOKUP(A180,Calculation!$E$6:$J$1004,6,FALSE)</f>
        <v/>
      </c>
      <c r="E180" s="42" t="str">
        <f t="shared" ca="1" si="0"/>
        <v/>
      </c>
      <c r="G180" s="29" t="str">
        <f ca="1">VLOOKUP(A180,Calculation!$F$6:$J$1004,3,FALSE)</f>
        <v/>
      </c>
      <c r="H180" s="4" t="str">
        <f ca="1">VLOOKUP(A180,Calculation!$F$6:$J$1004,4,FALSE)</f>
        <v/>
      </c>
      <c r="I180" s="4" t="str">
        <f ca="1">VLOOKUP(A180,Calculation!$F$6:$J$1004,5,FALSE)</f>
        <v/>
      </c>
      <c r="J180" s="43" t="str">
        <f t="shared" ca="1" si="1"/>
        <v/>
      </c>
      <c r="L180" s="29" t="str">
        <f ca="1">VLOOKUP(A180,Calculation!$G$6:$S$1004,2,FALSE)</f>
        <v/>
      </c>
      <c r="M180" s="4" t="str">
        <f ca="1">IFERROR(VLOOKUP($L180,Calculation!$H$6:$S$1005,HLOOKUP(M$2,Calculation!$M$4:$S$5,2,FALSE)+5,FALSE),"")</f>
        <v/>
      </c>
      <c r="N180" s="4" t="str">
        <f ca="1">IFERROR(VLOOKUP($L180,Calculation!$H$6:$S$1005,HLOOKUP(N$2,Calculation!$M$4:$S$5,2,FALSE)+5,FALSE),"")</f>
        <v/>
      </c>
      <c r="O180" s="4" t="str">
        <f ca="1">IFERROR(VLOOKUP($L180,Calculation!$H$6:$S$1005,HLOOKUP(O$2,Calculation!$M$4:$S$5,2,FALSE)+5,FALSE),"")</f>
        <v/>
      </c>
      <c r="P180" s="4" t="str">
        <f ca="1">IFERROR(VLOOKUP($L180,Calculation!$H$6:$S$1005,HLOOKUP(P$2,Calculation!$M$4:$S$5,2,FALSE)+5,FALSE),"")</f>
        <v/>
      </c>
      <c r="Q180" s="4" t="str">
        <f ca="1">IFERROR(VLOOKUP($L180,Calculation!$H$6:$S$1005,HLOOKUP(Q$2,Calculation!$M$4:$S$5,2,FALSE)+5,FALSE),"")</f>
        <v/>
      </c>
      <c r="R180" s="27" t="str">
        <f ca="1">IFERROR(VLOOKUP($L180,Calculation!$H$6:$S$1005,HLOOKUP(R$2,Calculation!$M$4:$S$5,2,FALSE)+5,FALSE),"")</f>
        <v/>
      </c>
      <c r="S180" s="4" t="str">
        <f ca="1">IFERROR(VLOOKUP($L180,Calculation!$H$6:$S$1005,HLOOKUP(S$2,Calculation!$M$4:$S$5,2,FALSE)+5,FALSE),"")</f>
        <v/>
      </c>
      <c r="T180" s="29"/>
      <c r="U180" s="43" t="str">
        <f>IFERROR(VLOOKUP(T180,Calculation!$U$6:$V$11,2,FALSE),"")</f>
        <v/>
      </c>
    </row>
    <row r="181" spans="1:21" ht="14.25" customHeight="1" x14ac:dyDescent="0.3">
      <c r="A181" s="26" t="str">
        <f ca="1">IF(Calculation!T184&lt;=Calculation!$H$4,Calculation!T184,"")</f>
        <v/>
      </c>
      <c r="B181" s="4" t="str">
        <f ca="1">VLOOKUP(A181,Calculation!$E$6:$J$1004,4,FALSE)</f>
        <v/>
      </c>
      <c r="C181" s="4" t="str">
        <f ca="1">VLOOKUP(A181,Calculation!$E$6:$J$1004,5,FALSE)</f>
        <v/>
      </c>
      <c r="D181" s="4" t="str">
        <f ca="1">VLOOKUP(A181,Calculation!$E$6:$J$1004,6,FALSE)</f>
        <v/>
      </c>
      <c r="E181" s="42" t="str">
        <f t="shared" ca="1" si="0"/>
        <v/>
      </c>
      <c r="G181" s="29" t="str">
        <f ca="1">VLOOKUP(A181,Calculation!$F$6:$J$1004,3,FALSE)</f>
        <v/>
      </c>
      <c r="H181" s="4" t="str">
        <f ca="1">VLOOKUP(A181,Calculation!$F$6:$J$1004,4,FALSE)</f>
        <v/>
      </c>
      <c r="I181" s="4" t="str">
        <f ca="1">VLOOKUP(A181,Calculation!$F$6:$J$1004,5,FALSE)</f>
        <v/>
      </c>
      <c r="J181" s="43" t="str">
        <f t="shared" ca="1" si="1"/>
        <v/>
      </c>
      <c r="L181" s="29" t="str">
        <f ca="1">VLOOKUP(A181,Calculation!$G$6:$S$1004,2,FALSE)</f>
        <v/>
      </c>
      <c r="M181" s="4" t="str">
        <f ca="1">IFERROR(VLOOKUP($L181,Calculation!$H$6:$S$1005,HLOOKUP(M$2,Calculation!$M$4:$S$5,2,FALSE)+5,FALSE),"")</f>
        <v/>
      </c>
      <c r="N181" s="4" t="str">
        <f ca="1">IFERROR(VLOOKUP($L181,Calculation!$H$6:$S$1005,HLOOKUP(N$2,Calculation!$M$4:$S$5,2,FALSE)+5,FALSE),"")</f>
        <v/>
      </c>
      <c r="O181" s="4" t="str">
        <f ca="1">IFERROR(VLOOKUP($L181,Calculation!$H$6:$S$1005,HLOOKUP(O$2,Calculation!$M$4:$S$5,2,FALSE)+5,FALSE),"")</f>
        <v/>
      </c>
      <c r="P181" s="4" t="str">
        <f ca="1">IFERROR(VLOOKUP($L181,Calculation!$H$6:$S$1005,HLOOKUP(P$2,Calculation!$M$4:$S$5,2,FALSE)+5,FALSE),"")</f>
        <v/>
      </c>
      <c r="Q181" s="4" t="str">
        <f ca="1">IFERROR(VLOOKUP($L181,Calculation!$H$6:$S$1005,HLOOKUP(Q$2,Calculation!$M$4:$S$5,2,FALSE)+5,FALSE),"")</f>
        <v/>
      </c>
      <c r="R181" s="27" t="str">
        <f ca="1">IFERROR(VLOOKUP($L181,Calculation!$H$6:$S$1005,HLOOKUP(R$2,Calculation!$M$4:$S$5,2,FALSE)+5,FALSE),"")</f>
        <v/>
      </c>
      <c r="S181" s="4" t="str">
        <f ca="1">IFERROR(VLOOKUP($L181,Calculation!$H$6:$S$1005,HLOOKUP(S$2,Calculation!$M$4:$S$5,2,FALSE)+5,FALSE),"")</f>
        <v/>
      </c>
      <c r="T181" s="29"/>
      <c r="U181" s="43" t="str">
        <f>IFERROR(VLOOKUP(T181,Calculation!$U$6:$V$11,2,FALSE),"")</f>
        <v/>
      </c>
    </row>
    <row r="182" spans="1:21" ht="14.25" customHeight="1" x14ac:dyDescent="0.3">
      <c r="A182" s="26" t="str">
        <f ca="1">IF(Calculation!T185&lt;=Calculation!$H$4,Calculation!T185,"")</f>
        <v/>
      </c>
      <c r="B182" s="4" t="str">
        <f ca="1">VLOOKUP(A182,Calculation!$E$6:$J$1004,4,FALSE)</f>
        <v/>
      </c>
      <c r="C182" s="4" t="str">
        <f ca="1">VLOOKUP(A182,Calculation!$E$6:$J$1004,5,FALSE)</f>
        <v/>
      </c>
      <c r="D182" s="4" t="str">
        <f ca="1">VLOOKUP(A182,Calculation!$E$6:$J$1004,6,FALSE)</f>
        <v/>
      </c>
      <c r="E182" s="42" t="str">
        <f t="shared" ca="1" si="0"/>
        <v/>
      </c>
      <c r="G182" s="29" t="str">
        <f ca="1">VLOOKUP(A182,Calculation!$F$6:$J$1004,3,FALSE)</f>
        <v/>
      </c>
      <c r="H182" s="4" t="str">
        <f ca="1">VLOOKUP(A182,Calculation!$F$6:$J$1004,4,FALSE)</f>
        <v/>
      </c>
      <c r="I182" s="4" t="str">
        <f ca="1">VLOOKUP(A182,Calculation!$F$6:$J$1004,5,FALSE)</f>
        <v/>
      </c>
      <c r="J182" s="43" t="str">
        <f t="shared" ca="1" si="1"/>
        <v/>
      </c>
      <c r="L182" s="29" t="str">
        <f ca="1">VLOOKUP(A182,Calculation!$G$6:$S$1004,2,FALSE)</f>
        <v/>
      </c>
      <c r="M182" s="4" t="str">
        <f ca="1">IFERROR(VLOOKUP($L182,Calculation!$H$6:$S$1005,HLOOKUP(M$2,Calculation!$M$4:$S$5,2,FALSE)+5,FALSE),"")</f>
        <v/>
      </c>
      <c r="N182" s="4" t="str">
        <f ca="1">IFERROR(VLOOKUP($L182,Calculation!$H$6:$S$1005,HLOOKUP(N$2,Calculation!$M$4:$S$5,2,FALSE)+5,FALSE),"")</f>
        <v/>
      </c>
      <c r="O182" s="4" t="str">
        <f ca="1">IFERROR(VLOOKUP($L182,Calculation!$H$6:$S$1005,HLOOKUP(O$2,Calculation!$M$4:$S$5,2,FALSE)+5,FALSE),"")</f>
        <v/>
      </c>
      <c r="P182" s="4" t="str">
        <f ca="1">IFERROR(VLOOKUP($L182,Calculation!$H$6:$S$1005,HLOOKUP(P$2,Calculation!$M$4:$S$5,2,FALSE)+5,FALSE),"")</f>
        <v/>
      </c>
      <c r="Q182" s="4" t="str">
        <f ca="1">IFERROR(VLOOKUP($L182,Calculation!$H$6:$S$1005,HLOOKUP(Q$2,Calculation!$M$4:$S$5,2,FALSE)+5,FALSE),"")</f>
        <v/>
      </c>
      <c r="R182" s="27" t="str">
        <f ca="1">IFERROR(VLOOKUP($L182,Calculation!$H$6:$S$1005,HLOOKUP(R$2,Calculation!$M$4:$S$5,2,FALSE)+5,FALSE),"")</f>
        <v/>
      </c>
      <c r="S182" s="4" t="str">
        <f ca="1">IFERROR(VLOOKUP($L182,Calculation!$H$6:$S$1005,HLOOKUP(S$2,Calculation!$M$4:$S$5,2,FALSE)+5,FALSE),"")</f>
        <v/>
      </c>
      <c r="T182" s="29"/>
      <c r="U182" s="43" t="str">
        <f>IFERROR(VLOOKUP(T182,Calculation!$U$6:$V$11,2,FALSE),"")</f>
        <v/>
      </c>
    </row>
    <row r="183" spans="1:21" ht="14.25" customHeight="1" x14ac:dyDescent="0.3">
      <c r="A183" s="26" t="str">
        <f ca="1">IF(Calculation!T186&lt;=Calculation!$H$4,Calculation!T186,"")</f>
        <v/>
      </c>
      <c r="B183" s="4" t="str">
        <f ca="1">VLOOKUP(A183,Calculation!$E$6:$J$1004,4,FALSE)</f>
        <v/>
      </c>
      <c r="C183" s="4" t="str">
        <f ca="1">VLOOKUP(A183,Calculation!$E$6:$J$1004,5,FALSE)</f>
        <v/>
      </c>
      <c r="D183" s="4" t="str">
        <f ca="1">VLOOKUP(A183,Calculation!$E$6:$J$1004,6,FALSE)</f>
        <v/>
      </c>
      <c r="E183" s="42" t="str">
        <f t="shared" ca="1" si="0"/>
        <v/>
      </c>
      <c r="G183" s="29" t="str">
        <f ca="1">VLOOKUP(A183,Calculation!$F$6:$J$1004,3,FALSE)</f>
        <v/>
      </c>
      <c r="H183" s="4" t="str">
        <f ca="1">VLOOKUP(A183,Calculation!$F$6:$J$1004,4,FALSE)</f>
        <v/>
      </c>
      <c r="I183" s="4" t="str">
        <f ca="1">VLOOKUP(A183,Calculation!$F$6:$J$1004,5,FALSE)</f>
        <v/>
      </c>
      <c r="J183" s="43" t="str">
        <f t="shared" ca="1" si="1"/>
        <v/>
      </c>
      <c r="L183" s="29" t="str">
        <f ca="1">VLOOKUP(A183,Calculation!$G$6:$S$1004,2,FALSE)</f>
        <v/>
      </c>
      <c r="M183" s="4" t="str">
        <f ca="1">IFERROR(VLOOKUP($L183,Calculation!$H$6:$S$1005,HLOOKUP(M$2,Calculation!$M$4:$S$5,2,FALSE)+5,FALSE),"")</f>
        <v/>
      </c>
      <c r="N183" s="4" t="str">
        <f ca="1">IFERROR(VLOOKUP($L183,Calculation!$H$6:$S$1005,HLOOKUP(N$2,Calculation!$M$4:$S$5,2,FALSE)+5,FALSE),"")</f>
        <v/>
      </c>
      <c r="O183" s="4" t="str">
        <f ca="1">IFERROR(VLOOKUP($L183,Calculation!$H$6:$S$1005,HLOOKUP(O$2,Calculation!$M$4:$S$5,2,FALSE)+5,FALSE),"")</f>
        <v/>
      </c>
      <c r="P183" s="4" t="str">
        <f ca="1">IFERROR(VLOOKUP($L183,Calculation!$H$6:$S$1005,HLOOKUP(P$2,Calculation!$M$4:$S$5,2,FALSE)+5,FALSE),"")</f>
        <v/>
      </c>
      <c r="Q183" s="4" t="str">
        <f ca="1">IFERROR(VLOOKUP($L183,Calculation!$H$6:$S$1005,HLOOKUP(Q$2,Calculation!$M$4:$S$5,2,FALSE)+5,FALSE),"")</f>
        <v/>
      </c>
      <c r="R183" s="27" t="str">
        <f ca="1">IFERROR(VLOOKUP($L183,Calculation!$H$6:$S$1005,HLOOKUP(R$2,Calculation!$M$4:$S$5,2,FALSE)+5,FALSE),"")</f>
        <v/>
      </c>
      <c r="S183" s="4" t="str">
        <f ca="1">IFERROR(VLOOKUP($L183,Calculation!$H$6:$S$1005,HLOOKUP(S$2,Calculation!$M$4:$S$5,2,FALSE)+5,FALSE),"")</f>
        <v/>
      </c>
      <c r="T183" s="29"/>
      <c r="U183" s="43" t="str">
        <f>IFERROR(VLOOKUP(T183,Calculation!$U$6:$V$11,2,FALSE),"")</f>
        <v/>
      </c>
    </row>
    <row r="184" spans="1:21" ht="14.25" customHeight="1" x14ac:dyDescent="0.3">
      <c r="A184" s="26" t="str">
        <f ca="1">IF(Calculation!T187&lt;=Calculation!$H$4,Calculation!T187,"")</f>
        <v/>
      </c>
      <c r="B184" s="4" t="str">
        <f ca="1">VLOOKUP(A184,Calculation!$E$6:$J$1004,4,FALSE)</f>
        <v/>
      </c>
      <c r="C184" s="4" t="str">
        <f ca="1">VLOOKUP(A184,Calculation!$E$6:$J$1004,5,FALSE)</f>
        <v/>
      </c>
      <c r="D184" s="4" t="str">
        <f ca="1">VLOOKUP(A184,Calculation!$E$6:$J$1004,6,FALSE)</f>
        <v/>
      </c>
      <c r="E184" s="42" t="str">
        <f t="shared" ca="1" si="0"/>
        <v/>
      </c>
      <c r="G184" s="29" t="str">
        <f ca="1">VLOOKUP(A184,Calculation!$F$6:$J$1004,3,FALSE)</f>
        <v/>
      </c>
      <c r="H184" s="4" t="str">
        <f ca="1">VLOOKUP(A184,Calculation!$F$6:$J$1004,4,FALSE)</f>
        <v/>
      </c>
      <c r="I184" s="4" t="str">
        <f ca="1">VLOOKUP(A184,Calculation!$F$6:$J$1004,5,FALSE)</f>
        <v/>
      </c>
      <c r="J184" s="43" t="str">
        <f t="shared" ca="1" si="1"/>
        <v/>
      </c>
      <c r="L184" s="29" t="str">
        <f ca="1">VLOOKUP(A184,Calculation!$G$6:$S$1004,2,FALSE)</f>
        <v/>
      </c>
      <c r="M184" s="4" t="str">
        <f ca="1">IFERROR(VLOOKUP($L184,Calculation!$H$6:$S$1005,HLOOKUP(M$2,Calculation!$M$4:$S$5,2,FALSE)+5,FALSE),"")</f>
        <v/>
      </c>
      <c r="N184" s="4" t="str">
        <f ca="1">IFERROR(VLOOKUP($L184,Calculation!$H$6:$S$1005,HLOOKUP(N$2,Calculation!$M$4:$S$5,2,FALSE)+5,FALSE),"")</f>
        <v/>
      </c>
      <c r="O184" s="4" t="str">
        <f ca="1">IFERROR(VLOOKUP($L184,Calculation!$H$6:$S$1005,HLOOKUP(O$2,Calculation!$M$4:$S$5,2,FALSE)+5,FALSE),"")</f>
        <v/>
      </c>
      <c r="P184" s="4" t="str">
        <f ca="1">IFERROR(VLOOKUP($L184,Calculation!$H$6:$S$1005,HLOOKUP(P$2,Calculation!$M$4:$S$5,2,FALSE)+5,FALSE),"")</f>
        <v/>
      </c>
      <c r="Q184" s="4" t="str">
        <f ca="1">IFERROR(VLOOKUP($L184,Calculation!$H$6:$S$1005,HLOOKUP(Q$2,Calculation!$M$4:$S$5,2,FALSE)+5,FALSE),"")</f>
        <v/>
      </c>
      <c r="R184" s="27" t="str">
        <f ca="1">IFERROR(VLOOKUP($L184,Calculation!$H$6:$S$1005,HLOOKUP(R$2,Calculation!$M$4:$S$5,2,FALSE)+5,FALSE),"")</f>
        <v/>
      </c>
      <c r="S184" s="4" t="str">
        <f ca="1">IFERROR(VLOOKUP($L184,Calculation!$H$6:$S$1005,HLOOKUP(S$2,Calculation!$M$4:$S$5,2,FALSE)+5,FALSE),"")</f>
        <v/>
      </c>
      <c r="T184" s="29"/>
      <c r="U184" s="43" t="str">
        <f>IFERROR(VLOOKUP(T184,Calculation!$U$6:$V$11,2,FALSE),"")</f>
        <v/>
      </c>
    </row>
    <row r="185" spans="1:21" ht="14.25" customHeight="1" x14ac:dyDescent="0.3">
      <c r="A185" s="26" t="str">
        <f ca="1">IF(Calculation!T188&lt;=Calculation!$H$4,Calculation!T188,"")</f>
        <v/>
      </c>
      <c r="B185" s="4" t="str">
        <f ca="1">VLOOKUP(A185,Calculation!$E$6:$J$1004,4,FALSE)</f>
        <v/>
      </c>
      <c r="C185" s="4" t="str">
        <f ca="1">VLOOKUP(A185,Calculation!$E$6:$J$1004,5,FALSE)</f>
        <v/>
      </c>
      <c r="D185" s="4" t="str">
        <f ca="1">VLOOKUP(A185,Calculation!$E$6:$J$1004,6,FALSE)</f>
        <v/>
      </c>
      <c r="E185" s="42" t="str">
        <f t="shared" ca="1" si="0"/>
        <v/>
      </c>
      <c r="G185" s="29" t="str">
        <f ca="1">VLOOKUP(A185,Calculation!$F$6:$J$1004,3,FALSE)</f>
        <v/>
      </c>
      <c r="H185" s="4" t="str">
        <f ca="1">VLOOKUP(A185,Calculation!$F$6:$J$1004,4,FALSE)</f>
        <v/>
      </c>
      <c r="I185" s="4" t="str">
        <f ca="1">VLOOKUP(A185,Calculation!$F$6:$J$1004,5,FALSE)</f>
        <v/>
      </c>
      <c r="J185" s="43" t="str">
        <f t="shared" ca="1" si="1"/>
        <v/>
      </c>
      <c r="L185" s="29" t="str">
        <f ca="1">VLOOKUP(A185,Calculation!$G$6:$S$1004,2,FALSE)</f>
        <v/>
      </c>
      <c r="M185" s="4" t="str">
        <f ca="1">IFERROR(VLOOKUP($L185,Calculation!$H$6:$S$1005,HLOOKUP(M$2,Calculation!$M$4:$S$5,2,FALSE)+5,FALSE),"")</f>
        <v/>
      </c>
      <c r="N185" s="4" t="str">
        <f ca="1">IFERROR(VLOOKUP($L185,Calculation!$H$6:$S$1005,HLOOKUP(N$2,Calculation!$M$4:$S$5,2,FALSE)+5,FALSE),"")</f>
        <v/>
      </c>
      <c r="O185" s="4" t="str">
        <f ca="1">IFERROR(VLOOKUP($L185,Calculation!$H$6:$S$1005,HLOOKUP(O$2,Calculation!$M$4:$S$5,2,FALSE)+5,FALSE),"")</f>
        <v/>
      </c>
      <c r="P185" s="4" t="str">
        <f ca="1">IFERROR(VLOOKUP($L185,Calculation!$H$6:$S$1005,HLOOKUP(P$2,Calculation!$M$4:$S$5,2,FALSE)+5,FALSE),"")</f>
        <v/>
      </c>
      <c r="Q185" s="4" t="str">
        <f ca="1">IFERROR(VLOOKUP($L185,Calculation!$H$6:$S$1005,HLOOKUP(Q$2,Calculation!$M$4:$S$5,2,FALSE)+5,FALSE),"")</f>
        <v/>
      </c>
      <c r="R185" s="27" t="str">
        <f ca="1">IFERROR(VLOOKUP($L185,Calculation!$H$6:$S$1005,HLOOKUP(R$2,Calculation!$M$4:$S$5,2,FALSE)+5,FALSE),"")</f>
        <v/>
      </c>
      <c r="S185" s="4" t="str">
        <f ca="1">IFERROR(VLOOKUP($L185,Calculation!$H$6:$S$1005,HLOOKUP(S$2,Calculation!$M$4:$S$5,2,FALSE)+5,FALSE),"")</f>
        <v/>
      </c>
      <c r="T185" s="29"/>
      <c r="U185" s="43" t="str">
        <f>IFERROR(VLOOKUP(T185,Calculation!$U$6:$V$11,2,FALSE),"")</f>
        <v/>
      </c>
    </row>
    <row r="186" spans="1:21" ht="14.25" customHeight="1" x14ac:dyDescent="0.3">
      <c r="A186" s="26" t="str">
        <f ca="1">IF(Calculation!T189&lt;=Calculation!$H$4,Calculation!T189,"")</f>
        <v/>
      </c>
      <c r="B186" s="4" t="str">
        <f ca="1">VLOOKUP(A186,Calculation!$E$6:$J$1004,4,FALSE)</f>
        <v/>
      </c>
      <c r="C186" s="4" t="str">
        <f ca="1">VLOOKUP(A186,Calculation!$E$6:$J$1004,5,FALSE)</f>
        <v/>
      </c>
      <c r="D186" s="4" t="str">
        <f ca="1">VLOOKUP(A186,Calculation!$E$6:$J$1004,6,FALSE)</f>
        <v/>
      </c>
      <c r="E186" s="42" t="str">
        <f t="shared" ca="1" si="0"/>
        <v/>
      </c>
      <c r="G186" s="29" t="str">
        <f ca="1">VLOOKUP(A186,Calculation!$F$6:$J$1004,3,FALSE)</f>
        <v/>
      </c>
      <c r="H186" s="4" t="str">
        <f ca="1">VLOOKUP(A186,Calculation!$F$6:$J$1004,4,FALSE)</f>
        <v/>
      </c>
      <c r="I186" s="4" t="str">
        <f ca="1">VLOOKUP(A186,Calculation!$F$6:$J$1004,5,FALSE)</f>
        <v/>
      </c>
      <c r="J186" s="43" t="str">
        <f t="shared" ca="1" si="1"/>
        <v/>
      </c>
      <c r="L186" s="29" t="str">
        <f ca="1">VLOOKUP(A186,Calculation!$G$6:$S$1004,2,FALSE)</f>
        <v/>
      </c>
      <c r="M186" s="4" t="str">
        <f ca="1">IFERROR(VLOOKUP($L186,Calculation!$H$6:$S$1005,HLOOKUP(M$2,Calculation!$M$4:$S$5,2,FALSE)+5,FALSE),"")</f>
        <v/>
      </c>
      <c r="N186" s="4" t="str">
        <f ca="1">IFERROR(VLOOKUP($L186,Calculation!$H$6:$S$1005,HLOOKUP(N$2,Calculation!$M$4:$S$5,2,FALSE)+5,FALSE),"")</f>
        <v/>
      </c>
      <c r="O186" s="4" t="str">
        <f ca="1">IFERROR(VLOOKUP($L186,Calculation!$H$6:$S$1005,HLOOKUP(O$2,Calculation!$M$4:$S$5,2,FALSE)+5,FALSE),"")</f>
        <v/>
      </c>
      <c r="P186" s="4" t="str">
        <f ca="1">IFERROR(VLOOKUP($L186,Calculation!$H$6:$S$1005,HLOOKUP(P$2,Calculation!$M$4:$S$5,2,FALSE)+5,FALSE),"")</f>
        <v/>
      </c>
      <c r="Q186" s="4" t="str">
        <f ca="1">IFERROR(VLOOKUP($L186,Calculation!$H$6:$S$1005,HLOOKUP(Q$2,Calculation!$M$4:$S$5,2,FALSE)+5,FALSE),"")</f>
        <v/>
      </c>
      <c r="R186" s="27" t="str">
        <f ca="1">IFERROR(VLOOKUP($L186,Calculation!$H$6:$S$1005,HLOOKUP(R$2,Calculation!$M$4:$S$5,2,FALSE)+5,FALSE),"")</f>
        <v/>
      </c>
      <c r="S186" s="4" t="str">
        <f ca="1">IFERROR(VLOOKUP($L186,Calculation!$H$6:$S$1005,HLOOKUP(S$2,Calculation!$M$4:$S$5,2,FALSE)+5,FALSE),"")</f>
        <v/>
      </c>
      <c r="T186" s="29"/>
      <c r="U186" s="43" t="str">
        <f>IFERROR(VLOOKUP(T186,Calculation!$U$6:$V$11,2,FALSE),"")</f>
        <v/>
      </c>
    </row>
    <row r="187" spans="1:21" ht="14.25" customHeight="1" x14ac:dyDescent="0.3">
      <c r="A187" s="26" t="str">
        <f ca="1">IF(Calculation!T190&lt;=Calculation!$H$4,Calculation!T190,"")</f>
        <v/>
      </c>
      <c r="B187" s="4" t="str">
        <f ca="1">VLOOKUP(A187,Calculation!$E$6:$J$1004,4,FALSE)</f>
        <v/>
      </c>
      <c r="C187" s="4" t="str">
        <f ca="1">VLOOKUP(A187,Calculation!$E$6:$J$1004,5,FALSE)</f>
        <v/>
      </c>
      <c r="D187" s="4" t="str">
        <f ca="1">VLOOKUP(A187,Calculation!$E$6:$J$1004,6,FALSE)</f>
        <v/>
      </c>
      <c r="E187" s="42" t="str">
        <f t="shared" ca="1" si="0"/>
        <v/>
      </c>
      <c r="G187" s="29" t="str">
        <f ca="1">VLOOKUP(A187,Calculation!$F$6:$J$1004,3,FALSE)</f>
        <v/>
      </c>
      <c r="H187" s="4" t="str">
        <f ca="1">VLOOKUP(A187,Calculation!$F$6:$J$1004,4,FALSE)</f>
        <v/>
      </c>
      <c r="I187" s="4" t="str">
        <f ca="1">VLOOKUP(A187,Calculation!$F$6:$J$1004,5,FALSE)</f>
        <v/>
      </c>
      <c r="J187" s="43" t="str">
        <f t="shared" ca="1" si="1"/>
        <v/>
      </c>
      <c r="L187" s="29" t="str">
        <f ca="1">VLOOKUP(A187,Calculation!$G$6:$S$1004,2,FALSE)</f>
        <v/>
      </c>
      <c r="M187" s="4" t="str">
        <f ca="1">IFERROR(VLOOKUP($L187,Calculation!$H$6:$S$1005,HLOOKUP(M$2,Calculation!$M$4:$S$5,2,FALSE)+5,FALSE),"")</f>
        <v/>
      </c>
      <c r="N187" s="4" t="str">
        <f ca="1">IFERROR(VLOOKUP($L187,Calculation!$H$6:$S$1005,HLOOKUP(N$2,Calculation!$M$4:$S$5,2,FALSE)+5,FALSE),"")</f>
        <v/>
      </c>
      <c r="O187" s="4" t="str">
        <f ca="1">IFERROR(VLOOKUP($L187,Calculation!$H$6:$S$1005,HLOOKUP(O$2,Calculation!$M$4:$S$5,2,FALSE)+5,FALSE),"")</f>
        <v/>
      </c>
      <c r="P187" s="4" t="str">
        <f ca="1">IFERROR(VLOOKUP($L187,Calculation!$H$6:$S$1005,HLOOKUP(P$2,Calculation!$M$4:$S$5,2,FALSE)+5,FALSE),"")</f>
        <v/>
      </c>
      <c r="Q187" s="4" t="str">
        <f ca="1">IFERROR(VLOOKUP($L187,Calculation!$H$6:$S$1005,HLOOKUP(Q$2,Calculation!$M$4:$S$5,2,FALSE)+5,FALSE),"")</f>
        <v/>
      </c>
      <c r="R187" s="27" t="str">
        <f ca="1">IFERROR(VLOOKUP($L187,Calculation!$H$6:$S$1005,HLOOKUP(R$2,Calculation!$M$4:$S$5,2,FALSE)+5,FALSE),"")</f>
        <v/>
      </c>
      <c r="S187" s="4" t="str">
        <f ca="1">IFERROR(VLOOKUP($L187,Calculation!$H$6:$S$1005,HLOOKUP(S$2,Calculation!$M$4:$S$5,2,FALSE)+5,FALSE),"")</f>
        <v/>
      </c>
      <c r="T187" s="29"/>
      <c r="U187" s="43" t="str">
        <f>IFERROR(VLOOKUP(T187,Calculation!$U$6:$V$11,2,FALSE),"")</f>
        <v/>
      </c>
    </row>
    <row r="188" spans="1:21" ht="14.25" customHeight="1" x14ac:dyDescent="0.3">
      <c r="A188" s="26" t="str">
        <f ca="1">IF(Calculation!T191&lt;=Calculation!$H$4,Calculation!T191,"")</f>
        <v/>
      </c>
      <c r="B188" s="4" t="str">
        <f ca="1">VLOOKUP(A188,Calculation!$E$6:$J$1004,4,FALSE)</f>
        <v/>
      </c>
      <c r="C188" s="4" t="str">
        <f ca="1">VLOOKUP(A188,Calculation!$E$6:$J$1004,5,FALSE)</f>
        <v/>
      </c>
      <c r="D188" s="4" t="str">
        <f ca="1">VLOOKUP(A188,Calculation!$E$6:$J$1004,6,FALSE)</f>
        <v/>
      </c>
      <c r="E188" s="42" t="str">
        <f t="shared" ca="1" si="0"/>
        <v/>
      </c>
      <c r="G188" s="29" t="str">
        <f ca="1">VLOOKUP(A188,Calculation!$F$6:$J$1004,3,FALSE)</f>
        <v/>
      </c>
      <c r="H188" s="4" t="str">
        <f ca="1">VLOOKUP(A188,Calculation!$F$6:$J$1004,4,FALSE)</f>
        <v/>
      </c>
      <c r="I188" s="4" t="str">
        <f ca="1">VLOOKUP(A188,Calculation!$F$6:$J$1004,5,FALSE)</f>
        <v/>
      </c>
      <c r="J188" s="43" t="str">
        <f t="shared" ca="1" si="1"/>
        <v/>
      </c>
      <c r="L188" s="29" t="str">
        <f ca="1">VLOOKUP(A188,Calculation!$G$6:$S$1004,2,FALSE)</f>
        <v/>
      </c>
      <c r="M188" s="4" t="str">
        <f ca="1">IFERROR(VLOOKUP($L188,Calculation!$H$6:$S$1005,HLOOKUP(M$2,Calculation!$M$4:$S$5,2,FALSE)+5,FALSE),"")</f>
        <v/>
      </c>
      <c r="N188" s="4" t="str">
        <f ca="1">IFERROR(VLOOKUP($L188,Calculation!$H$6:$S$1005,HLOOKUP(N$2,Calculation!$M$4:$S$5,2,FALSE)+5,FALSE),"")</f>
        <v/>
      </c>
      <c r="O188" s="4" t="str">
        <f ca="1">IFERROR(VLOOKUP($L188,Calculation!$H$6:$S$1005,HLOOKUP(O$2,Calculation!$M$4:$S$5,2,FALSE)+5,FALSE),"")</f>
        <v/>
      </c>
      <c r="P188" s="4" t="str">
        <f ca="1">IFERROR(VLOOKUP($L188,Calculation!$H$6:$S$1005,HLOOKUP(P$2,Calculation!$M$4:$S$5,2,FALSE)+5,FALSE),"")</f>
        <v/>
      </c>
      <c r="Q188" s="4" t="str">
        <f ca="1">IFERROR(VLOOKUP($L188,Calculation!$H$6:$S$1005,HLOOKUP(Q$2,Calculation!$M$4:$S$5,2,FALSE)+5,FALSE),"")</f>
        <v/>
      </c>
      <c r="R188" s="27" t="str">
        <f ca="1">IFERROR(VLOOKUP($L188,Calculation!$H$6:$S$1005,HLOOKUP(R$2,Calculation!$M$4:$S$5,2,FALSE)+5,FALSE),"")</f>
        <v/>
      </c>
      <c r="S188" s="4" t="str">
        <f ca="1">IFERROR(VLOOKUP($L188,Calculation!$H$6:$S$1005,HLOOKUP(S$2,Calculation!$M$4:$S$5,2,FALSE)+5,FALSE),"")</f>
        <v/>
      </c>
      <c r="T188" s="29"/>
      <c r="U188" s="43" t="str">
        <f>IFERROR(VLOOKUP(T188,Calculation!$U$6:$V$11,2,FALSE),"")</f>
        <v/>
      </c>
    </row>
    <row r="189" spans="1:21" ht="14.25" customHeight="1" x14ac:dyDescent="0.3">
      <c r="A189" s="26" t="str">
        <f ca="1">IF(Calculation!T192&lt;=Calculation!$H$4,Calculation!T192,"")</f>
        <v/>
      </c>
      <c r="B189" s="4" t="str">
        <f ca="1">VLOOKUP(A189,Calculation!$E$6:$J$1004,4,FALSE)</f>
        <v/>
      </c>
      <c r="C189" s="4" t="str">
        <f ca="1">VLOOKUP(A189,Calculation!$E$6:$J$1004,5,FALSE)</f>
        <v/>
      </c>
      <c r="D189" s="4" t="str">
        <f ca="1">VLOOKUP(A189,Calculation!$E$6:$J$1004,6,FALSE)</f>
        <v/>
      </c>
      <c r="E189" s="42" t="str">
        <f t="shared" ca="1" si="0"/>
        <v/>
      </c>
      <c r="G189" s="29" t="str">
        <f ca="1">VLOOKUP(A189,Calculation!$F$6:$J$1004,3,FALSE)</f>
        <v/>
      </c>
      <c r="H189" s="4" t="str">
        <f ca="1">VLOOKUP(A189,Calculation!$F$6:$J$1004,4,FALSE)</f>
        <v/>
      </c>
      <c r="I189" s="4" t="str">
        <f ca="1">VLOOKUP(A189,Calculation!$F$6:$J$1004,5,FALSE)</f>
        <v/>
      </c>
      <c r="J189" s="43" t="str">
        <f t="shared" ca="1" si="1"/>
        <v/>
      </c>
      <c r="L189" s="29" t="str">
        <f ca="1">VLOOKUP(A189,Calculation!$G$6:$S$1004,2,FALSE)</f>
        <v/>
      </c>
      <c r="M189" s="4" t="str">
        <f ca="1">IFERROR(VLOOKUP($L189,Calculation!$H$6:$S$1005,HLOOKUP(M$2,Calculation!$M$4:$S$5,2,FALSE)+5,FALSE),"")</f>
        <v/>
      </c>
      <c r="N189" s="4" t="str">
        <f ca="1">IFERROR(VLOOKUP($L189,Calculation!$H$6:$S$1005,HLOOKUP(N$2,Calculation!$M$4:$S$5,2,FALSE)+5,FALSE),"")</f>
        <v/>
      </c>
      <c r="O189" s="4" t="str">
        <f ca="1">IFERROR(VLOOKUP($L189,Calculation!$H$6:$S$1005,HLOOKUP(O$2,Calculation!$M$4:$S$5,2,FALSE)+5,FALSE),"")</f>
        <v/>
      </c>
      <c r="P189" s="4" t="str">
        <f ca="1">IFERROR(VLOOKUP($L189,Calculation!$H$6:$S$1005,HLOOKUP(P$2,Calculation!$M$4:$S$5,2,FALSE)+5,FALSE),"")</f>
        <v/>
      </c>
      <c r="Q189" s="4" t="str">
        <f ca="1">IFERROR(VLOOKUP($L189,Calculation!$H$6:$S$1005,HLOOKUP(Q$2,Calculation!$M$4:$S$5,2,FALSE)+5,FALSE),"")</f>
        <v/>
      </c>
      <c r="R189" s="27" t="str">
        <f ca="1">IFERROR(VLOOKUP($L189,Calculation!$H$6:$S$1005,HLOOKUP(R$2,Calculation!$M$4:$S$5,2,FALSE)+5,FALSE),"")</f>
        <v/>
      </c>
      <c r="S189" s="4" t="str">
        <f ca="1">IFERROR(VLOOKUP($L189,Calculation!$H$6:$S$1005,HLOOKUP(S$2,Calculation!$M$4:$S$5,2,FALSE)+5,FALSE),"")</f>
        <v/>
      </c>
      <c r="T189" s="29"/>
      <c r="U189" s="43" t="str">
        <f>IFERROR(VLOOKUP(T189,Calculation!$U$6:$V$11,2,FALSE),"")</f>
        <v/>
      </c>
    </row>
    <row r="190" spans="1:21" ht="14.25" customHeight="1" x14ac:dyDescent="0.3">
      <c r="A190" s="26" t="str">
        <f ca="1">IF(Calculation!T193&lt;=Calculation!$H$4,Calculation!T193,"")</f>
        <v/>
      </c>
      <c r="B190" s="4" t="str">
        <f ca="1">VLOOKUP(A190,Calculation!$E$6:$J$1004,4,FALSE)</f>
        <v/>
      </c>
      <c r="C190" s="4" t="str">
        <f ca="1">VLOOKUP(A190,Calculation!$E$6:$J$1004,5,FALSE)</f>
        <v/>
      </c>
      <c r="D190" s="4" t="str">
        <f ca="1">VLOOKUP(A190,Calculation!$E$6:$J$1004,6,FALSE)</f>
        <v/>
      </c>
      <c r="E190" s="42" t="str">
        <f t="shared" ca="1" si="0"/>
        <v/>
      </c>
      <c r="G190" s="29" t="str">
        <f ca="1">VLOOKUP(A190,Calculation!$F$6:$J$1004,3,FALSE)</f>
        <v/>
      </c>
      <c r="H190" s="4" t="str">
        <f ca="1">VLOOKUP(A190,Calculation!$F$6:$J$1004,4,FALSE)</f>
        <v/>
      </c>
      <c r="I190" s="4" t="str">
        <f ca="1">VLOOKUP(A190,Calculation!$F$6:$J$1004,5,FALSE)</f>
        <v/>
      </c>
      <c r="J190" s="43" t="str">
        <f t="shared" ca="1" si="1"/>
        <v/>
      </c>
      <c r="L190" s="29" t="str">
        <f ca="1">VLOOKUP(A190,Calculation!$G$6:$S$1004,2,FALSE)</f>
        <v/>
      </c>
      <c r="M190" s="4" t="str">
        <f ca="1">IFERROR(VLOOKUP($L190,Calculation!$H$6:$S$1005,HLOOKUP(M$2,Calculation!$M$4:$S$5,2,FALSE)+5,FALSE),"")</f>
        <v/>
      </c>
      <c r="N190" s="4" t="str">
        <f ca="1">IFERROR(VLOOKUP($L190,Calculation!$H$6:$S$1005,HLOOKUP(N$2,Calculation!$M$4:$S$5,2,FALSE)+5,FALSE),"")</f>
        <v/>
      </c>
      <c r="O190" s="4" t="str">
        <f ca="1">IFERROR(VLOOKUP($L190,Calculation!$H$6:$S$1005,HLOOKUP(O$2,Calculation!$M$4:$S$5,2,FALSE)+5,FALSE),"")</f>
        <v/>
      </c>
      <c r="P190" s="4" t="str">
        <f ca="1">IFERROR(VLOOKUP($L190,Calculation!$H$6:$S$1005,HLOOKUP(P$2,Calculation!$M$4:$S$5,2,FALSE)+5,FALSE),"")</f>
        <v/>
      </c>
      <c r="Q190" s="4" t="str">
        <f ca="1">IFERROR(VLOOKUP($L190,Calculation!$H$6:$S$1005,HLOOKUP(Q$2,Calculation!$M$4:$S$5,2,FALSE)+5,FALSE),"")</f>
        <v/>
      </c>
      <c r="R190" s="27" t="str">
        <f ca="1">IFERROR(VLOOKUP($L190,Calculation!$H$6:$S$1005,HLOOKUP(R$2,Calculation!$M$4:$S$5,2,FALSE)+5,FALSE),"")</f>
        <v/>
      </c>
      <c r="S190" s="4" t="str">
        <f ca="1">IFERROR(VLOOKUP($L190,Calculation!$H$6:$S$1005,HLOOKUP(S$2,Calculation!$M$4:$S$5,2,FALSE)+5,FALSE),"")</f>
        <v/>
      </c>
      <c r="T190" s="29"/>
      <c r="U190" s="43" t="str">
        <f>IFERROR(VLOOKUP(T190,Calculation!$U$6:$V$11,2,FALSE),"")</f>
        <v/>
      </c>
    </row>
    <row r="191" spans="1:21" ht="14.25" customHeight="1" x14ac:dyDescent="0.3">
      <c r="A191" s="26" t="str">
        <f ca="1">IF(Calculation!T194&lt;=Calculation!$H$4,Calculation!T194,"")</f>
        <v/>
      </c>
      <c r="B191" s="4" t="str">
        <f ca="1">VLOOKUP(A191,Calculation!$E$6:$J$1004,4,FALSE)</f>
        <v/>
      </c>
      <c r="C191" s="4" t="str">
        <f ca="1">VLOOKUP(A191,Calculation!$E$6:$J$1004,5,FALSE)</f>
        <v/>
      </c>
      <c r="D191" s="4" t="str">
        <f ca="1">VLOOKUP(A191,Calculation!$E$6:$J$1004,6,FALSE)</f>
        <v/>
      </c>
      <c r="E191" s="42" t="str">
        <f t="shared" ca="1" si="0"/>
        <v/>
      </c>
      <c r="G191" s="29" t="str">
        <f ca="1">VLOOKUP(A191,Calculation!$F$6:$J$1004,3,FALSE)</f>
        <v/>
      </c>
      <c r="H191" s="4" t="str">
        <f ca="1">VLOOKUP(A191,Calculation!$F$6:$J$1004,4,FALSE)</f>
        <v/>
      </c>
      <c r="I191" s="4" t="str">
        <f ca="1">VLOOKUP(A191,Calculation!$F$6:$J$1004,5,FALSE)</f>
        <v/>
      </c>
      <c r="J191" s="43" t="str">
        <f t="shared" ca="1" si="1"/>
        <v/>
      </c>
      <c r="L191" s="29" t="str">
        <f ca="1">VLOOKUP(A191,Calculation!$G$6:$S$1004,2,FALSE)</f>
        <v/>
      </c>
      <c r="M191" s="4" t="str">
        <f ca="1">IFERROR(VLOOKUP($L191,Calculation!$H$6:$S$1005,HLOOKUP(M$2,Calculation!$M$4:$S$5,2,FALSE)+5,FALSE),"")</f>
        <v/>
      </c>
      <c r="N191" s="4" t="str">
        <f ca="1">IFERROR(VLOOKUP($L191,Calculation!$H$6:$S$1005,HLOOKUP(N$2,Calculation!$M$4:$S$5,2,FALSE)+5,FALSE),"")</f>
        <v/>
      </c>
      <c r="O191" s="4" t="str">
        <f ca="1">IFERROR(VLOOKUP($L191,Calculation!$H$6:$S$1005,HLOOKUP(O$2,Calculation!$M$4:$S$5,2,FALSE)+5,FALSE),"")</f>
        <v/>
      </c>
      <c r="P191" s="4" t="str">
        <f ca="1">IFERROR(VLOOKUP($L191,Calculation!$H$6:$S$1005,HLOOKUP(P$2,Calculation!$M$4:$S$5,2,FALSE)+5,FALSE),"")</f>
        <v/>
      </c>
      <c r="Q191" s="4" t="str">
        <f ca="1">IFERROR(VLOOKUP($L191,Calculation!$H$6:$S$1005,HLOOKUP(Q$2,Calculation!$M$4:$S$5,2,FALSE)+5,FALSE),"")</f>
        <v/>
      </c>
      <c r="R191" s="27" t="str">
        <f ca="1">IFERROR(VLOOKUP($L191,Calculation!$H$6:$S$1005,HLOOKUP(R$2,Calculation!$M$4:$S$5,2,FALSE)+5,FALSE),"")</f>
        <v/>
      </c>
      <c r="S191" s="4" t="str">
        <f ca="1">IFERROR(VLOOKUP($L191,Calculation!$H$6:$S$1005,HLOOKUP(S$2,Calculation!$M$4:$S$5,2,FALSE)+5,FALSE),"")</f>
        <v/>
      </c>
      <c r="T191" s="29"/>
      <c r="U191" s="43" t="str">
        <f>IFERROR(VLOOKUP(T191,Calculation!$U$6:$V$11,2,FALSE),"")</f>
        <v/>
      </c>
    </row>
    <row r="192" spans="1:21" ht="14.25" customHeight="1" x14ac:dyDescent="0.3">
      <c r="A192" s="26" t="str">
        <f ca="1">IF(Calculation!T195&lt;=Calculation!$H$4,Calculation!T195,"")</f>
        <v/>
      </c>
      <c r="B192" s="4" t="str">
        <f ca="1">VLOOKUP(A192,Calculation!$E$6:$J$1004,4,FALSE)</f>
        <v/>
      </c>
      <c r="C192" s="4" t="str">
        <f ca="1">VLOOKUP(A192,Calculation!$E$6:$J$1004,5,FALSE)</f>
        <v/>
      </c>
      <c r="D192" s="4" t="str">
        <f ca="1">VLOOKUP(A192,Calculation!$E$6:$J$1004,6,FALSE)</f>
        <v/>
      </c>
      <c r="E192" s="42" t="str">
        <f t="shared" ca="1" si="0"/>
        <v/>
      </c>
      <c r="G192" s="29" t="str">
        <f ca="1">VLOOKUP(A192,Calculation!$F$6:$J$1004,3,FALSE)</f>
        <v/>
      </c>
      <c r="H192" s="4" t="str">
        <f ca="1">VLOOKUP(A192,Calculation!$F$6:$J$1004,4,FALSE)</f>
        <v/>
      </c>
      <c r="I192" s="4" t="str">
        <f ca="1">VLOOKUP(A192,Calculation!$F$6:$J$1004,5,FALSE)</f>
        <v/>
      </c>
      <c r="J192" s="43" t="str">
        <f t="shared" ca="1" si="1"/>
        <v/>
      </c>
      <c r="L192" s="29" t="str">
        <f ca="1">VLOOKUP(A192,Calculation!$G$6:$S$1004,2,FALSE)</f>
        <v/>
      </c>
      <c r="M192" s="4" t="str">
        <f ca="1">IFERROR(VLOOKUP($L192,Calculation!$H$6:$S$1005,HLOOKUP(M$2,Calculation!$M$4:$S$5,2,FALSE)+5,FALSE),"")</f>
        <v/>
      </c>
      <c r="N192" s="4" t="str">
        <f ca="1">IFERROR(VLOOKUP($L192,Calculation!$H$6:$S$1005,HLOOKUP(N$2,Calculation!$M$4:$S$5,2,FALSE)+5,FALSE),"")</f>
        <v/>
      </c>
      <c r="O192" s="4" t="str">
        <f ca="1">IFERROR(VLOOKUP($L192,Calculation!$H$6:$S$1005,HLOOKUP(O$2,Calculation!$M$4:$S$5,2,FALSE)+5,FALSE),"")</f>
        <v/>
      </c>
      <c r="P192" s="4" t="str">
        <f ca="1">IFERROR(VLOOKUP($L192,Calculation!$H$6:$S$1005,HLOOKUP(P$2,Calculation!$M$4:$S$5,2,FALSE)+5,FALSE),"")</f>
        <v/>
      </c>
      <c r="Q192" s="4" t="str">
        <f ca="1">IFERROR(VLOOKUP($L192,Calculation!$H$6:$S$1005,HLOOKUP(Q$2,Calculation!$M$4:$S$5,2,FALSE)+5,FALSE),"")</f>
        <v/>
      </c>
      <c r="R192" s="27" t="str">
        <f ca="1">IFERROR(VLOOKUP($L192,Calculation!$H$6:$S$1005,HLOOKUP(R$2,Calculation!$M$4:$S$5,2,FALSE)+5,FALSE),"")</f>
        <v/>
      </c>
      <c r="S192" s="4" t="str">
        <f ca="1">IFERROR(VLOOKUP($L192,Calculation!$H$6:$S$1005,HLOOKUP(S$2,Calculation!$M$4:$S$5,2,FALSE)+5,FALSE),"")</f>
        <v/>
      </c>
      <c r="T192" s="29"/>
      <c r="U192" s="43" t="str">
        <f>IFERROR(VLOOKUP(T192,Calculation!$U$6:$V$11,2,FALSE),"")</f>
        <v/>
      </c>
    </row>
    <row r="193" spans="1:21" ht="14.25" customHeight="1" x14ac:dyDescent="0.3">
      <c r="A193" s="26" t="str">
        <f ca="1">IF(Calculation!T196&lt;=Calculation!$H$4,Calculation!T196,"")</f>
        <v/>
      </c>
      <c r="B193" s="4" t="str">
        <f ca="1">VLOOKUP(A193,Calculation!$E$6:$J$1004,4,FALSE)</f>
        <v/>
      </c>
      <c r="C193" s="4" t="str">
        <f ca="1">VLOOKUP(A193,Calculation!$E$6:$J$1004,5,FALSE)</f>
        <v/>
      </c>
      <c r="D193" s="4" t="str">
        <f ca="1">VLOOKUP(A193,Calculation!$E$6:$J$1004,6,FALSE)</f>
        <v/>
      </c>
      <c r="E193" s="42" t="str">
        <f t="shared" ca="1" si="0"/>
        <v/>
      </c>
      <c r="G193" s="29" t="str">
        <f ca="1">VLOOKUP(A193,Calculation!$F$6:$J$1004,3,FALSE)</f>
        <v/>
      </c>
      <c r="H193" s="4" t="str">
        <f ca="1">VLOOKUP(A193,Calculation!$F$6:$J$1004,4,FALSE)</f>
        <v/>
      </c>
      <c r="I193" s="4" t="str">
        <f ca="1">VLOOKUP(A193,Calculation!$F$6:$J$1004,5,FALSE)</f>
        <v/>
      </c>
      <c r="J193" s="43" t="str">
        <f t="shared" ca="1" si="1"/>
        <v/>
      </c>
      <c r="L193" s="29" t="str">
        <f ca="1">VLOOKUP(A193,Calculation!$G$6:$S$1004,2,FALSE)</f>
        <v/>
      </c>
      <c r="M193" s="4" t="str">
        <f ca="1">IFERROR(VLOOKUP($L193,Calculation!$H$6:$S$1005,HLOOKUP(M$2,Calculation!$M$4:$S$5,2,FALSE)+5,FALSE),"")</f>
        <v/>
      </c>
      <c r="N193" s="4" t="str">
        <f ca="1">IFERROR(VLOOKUP($L193,Calculation!$H$6:$S$1005,HLOOKUP(N$2,Calculation!$M$4:$S$5,2,FALSE)+5,FALSE),"")</f>
        <v/>
      </c>
      <c r="O193" s="4" t="str">
        <f ca="1">IFERROR(VLOOKUP($L193,Calculation!$H$6:$S$1005,HLOOKUP(O$2,Calculation!$M$4:$S$5,2,FALSE)+5,FALSE),"")</f>
        <v/>
      </c>
      <c r="P193" s="4" t="str">
        <f ca="1">IFERROR(VLOOKUP($L193,Calculation!$H$6:$S$1005,HLOOKUP(P$2,Calculation!$M$4:$S$5,2,FALSE)+5,FALSE),"")</f>
        <v/>
      </c>
      <c r="Q193" s="4" t="str">
        <f ca="1">IFERROR(VLOOKUP($L193,Calculation!$H$6:$S$1005,HLOOKUP(Q$2,Calculation!$M$4:$S$5,2,FALSE)+5,FALSE),"")</f>
        <v/>
      </c>
      <c r="R193" s="27" t="str">
        <f ca="1">IFERROR(VLOOKUP($L193,Calculation!$H$6:$S$1005,HLOOKUP(R$2,Calculation!$M$4:$S$5,2,FALSE)+5,FALSE),"")</f>
        <v/>
      </c>
      <c r="S193" s="4" t="str">
        <f ca="1">IFERROR(VLOOKUP($L193,Calculation!$H$6:$S$1005,HLOOKUP(S$2,Calculation!$M$4:$S$5,2,FALSE)+5,FALSE),"")</f>
        <v/>
      </c>
      <c r="T193" s="29"/>
      <c r="U193" s="43" t="str">
        <f>IFERROR(VLOOKUP(T193,Calculation!$U$6:$V$11,2,FALSE),"")</f>
        <v/>
      </c>
    </row>
    <row r="194" spans="1:21" ht="14.25" customHeight="1" x14ac:dyDescent="0.3">
      <c r="A194" s="26" t="str">
        <f ca="1">IF(Calculation!T197&lt;=Calculation!$H$4,Calculation!T197,"")</f>
        <v/>
      </c>
      <c r="B194" s="4" t="str">
        <f ca="1">VLOOKUP(A194,Calculation!$E$6:$J$1004,4,FALSE)</f>
        <v/>
      </c>
      <c r="C194" s="4" t="str">
        <f ca="1">VLOOKUP(A194,Calculation!$E$6:$J$1004,5,FALSE)</f>
        <v/>
      </c>
      <c r="D194" s="4" t="str">
        <f ca="1">VLOOKUP(A194,Calculation!$E$6:$J$1004,6,FALSE)</f>
        <v/>
      </c>
      <c r="E194" s="42" t="str">
        <f t="shared" ca="1" si="0"/>
        <v/>
      </c>
      <c r="G194" s="29" t="str">
        <f ca="1">VLOOKUP(A194,Calculation!$F$6:$J$1004,3,FALSE)</f>
        <v/>
      </c>
      <c r="H194" s="4" t="str">
        <f ca="1">VLOOKUP(A194,Calculation!$F$6:$J$1004,4,FALSE)</f>
        <v/>
      </c>
      <c r="I194" s="4" t="str">
        <f ca="1">VLOOKUP(A194,Calculation!$F$6:$J$1004,5,FALSE)</f>
        <v/>
      </c>
      <c r="J194" s="43" t="str">
        <f t="shared" ca="1" si="1"/>
        <v/>
      </c>
      <c r="L194" s="29" t="str">
        <f ca="1">VLOOKUP(A194,Calculation!$G$6:$S$1004,2,FALSE)</f>
        <v/>
      </c>
      <c r="M194" s="4" t="str">
        <f ca="1">IFERROR(VLOOKUP($L194,Calculation!$H$6:$S$1005,HLOOKUP(M$2,Calculation!$M$4:$S$5,2,FALSE)+5,FALSE),"")</f>
        <v/>
      </c>
      <c r="N194" s="4" t="str">
        <f ca="1">IFERROR(VLOOKUP($L194,Calculation!$H$6:$S$1005,HLOOKUP(N$2,Calculation!$M$4:$S$5,2,FALSE)+5,FALSE),"")</f>
        <v/>
      </c>
      <c r="O194" s="4" t="str">
        <f ca="1">IFERROR(VLOOKUP($L194,Calculation!$H$6:$S$1005,HLOOKUP(O$2,Calculation!$M$4:$S$5,2,FALSE)+5,FALSE),"")</f>
        <v/>
      </c>
      <c r="P194" s="4" t="str">
        <f ca="1">IFERROR(VLOOKUP($L194,Calculation!$H$6:$S$1005,HLOOKUP(P$2,Calculation!$M$4:$S$5,2,FALSE)+5,FALSE),"")</f>
        <v/>
      </c>
      <c r="Q194" s="4" t="str">
        <f ca="1">IFERROR(VLOOKUP($L194,Calculation!$H$6:$S$1005,HLOOKUP(Q$2,Calculation!$M$4:$S$5,2,FALSE)+5,FALSE),"")</f>
        <v/>
      </c>
      <c r="R194" s="27" t="str">
        <f ca="1">IFERROR(VLOOKUP($L194,Calculation!$H$6:$S$1005,HLOOKUP(R$2,Calculation!$M$4:$S$5,2,FALSE)+5,FALSE),"")</f>
        <v/>
      </c>
      <c r="S194" s="4" t="str">
        <f ca="1">IFERROR(VLOOKUP($L194,Calculation!$H$6:$S$1005,HLOOKUP(S$2,Calculation!$M$4:$S$5,2,FALSE)+5,FALSE),"")</f>
        <v/>
      </c>
      <c r="T194" s="29"/>
      <c r="U194" s="43" t="str">
        <f>IFERROR(VLOOKUP(T194,Calculation!$U$6:$V$11,2,FALSE),"")</f>
        <v/>
      </c>
    </row>
    <row r="195" spans="1:21" ht="14.25" customHeight="1" x14ac:dyDescent="0.3">
      <c r="A195" s="26" t="str">
        <f ca="1">IF(Calculation!T198&lt;=Calculation!$H$4,Calculation!T198,"")</f>
        <v/>
      </c>
      <c r="B195" s="4" t="str">
        <f ca="1">VLOOKUP(A195,Calculation!$E$6:$J$1004,4,FALSE)</f>
        <v/>
      </c>
      <c r="C195" s="4" t="str">
        <f ca="1">VLOOKUP(A195,Calculation!$E$6:$J$1004,5,FALSE)</f>
        <v/>
      </c>
      <c r="D195" s="4" t="str">
        <f ca="1">VLOOKUP(A195,Calculation!$E$6:$J$1004,6,FALSE)</f>
        <v/>
      </c>
      <c r="E195" s="42" t="str">
        <f t="shared" ca="1" si="0"/>
        <v/>
      </c>
      <c r="G195" s="29" t="str">
        <f ca="1">VLOOKUP(A195,Calculation!$F$6:$J$1004,3,FALSE)</f>
        <v/>
      </c>
      <c r="H195" s="4" t="str">
        <f ca="1">VLOOKUP(A195,Calculation!$F$6:$J$1004,4,FALSE)</f>
        <v/>
      </c>
      <c r="I195" s="4" t="str">
        <f ca="1">VLOOKUP(A195,Calculation!$F$6:$J$1004,5,FALSE)</f>
        <v/>
      </c>
      <c r="J195" s="43" t="str">
        <f t="shared" ca="1" si="1"/>
        <v/>
      </c>
      <c r="L195" s="29" t="str">
        <f ca="1">VLOOKUP(A195,Calculation!$G$6:$S$1004,2,FALSE)</f>
        <v/>
      </c>
      <c r="M195" s="4" t="str">
        <f ca="1">IFERROR(VLOOKUP($L195,Calculation!$H$6:$S$1005,HLOOKUP(M$2,Calculation!$M$4:$S$5,2,FALSE)+5,FALSE),"")</f>
        <v/>
      </c>
      <c r="N195" s="4" t="str">
        <f ca="1">IFERROR(VLOOKUP($L195,Calculation!$H$6:$S$1005,HLOOKUP(N$2,Calculation!$M$4:$S$5,2,FALSE)+5,FALSE),"")</f>
        <v/>
      </c>
      <c r="O195" s="4" t="str">
        <f ca="1">IFERROR(VLOOKUP($L195,Calculation!$H$6:$S$1005,HLOOKUP(O$2,Calculation!$M$4:$S$5,2,FALSE)+5,FALSE),"")</f>
        <v/>
      </c>
      <c r="P195" s="4" t="str">
        <f ca="1">IFERROR(VLOOKUP($L195,Calculation!$H$6:$S$1005,HLOOKUP(P$2,Calculation!$M$4:$S$5,2,FALSE)+5,FALSE),"")</f>
        <v/>
      </c>
      <c r="Q195" s="4" t="str">
        <f ca="1">IFERROR(VLOOKUP($L195,Calculation!$H$6:$S$1005,HLOOKUP(Q$2,Calculation!$M$4:$S$5,2,FALSE)+5,FALSE),"")</f>
        <v/>
      </c>
      <c r="R195" s="27" t="str">
        <f ca="1">IFERROR(VLOOKUP($L195,Calculation!$H$6:$S$1005,HLOOKUP(R$2,Calculation!$M$4:$S$5,2,FALSE)+5,FALSE),"")</f>
        <v/>
      </c>
      <c r="S195" s="4" t="str">
        <f ca="1">IFERROR(VLOOKUP($L195,Calculation!$H$6:$S$1005,HLOOKUP(S$2,Calculation!$M$4:$S$5,2,FALSE)+5,FALSE),"")</f>
        <v/>
      </c>
      <c r="T195" s="29"/>
      <c r="U195" s="43" t="str">
        <f>IFERROR(VLOOKUP(T195,Calculation!$U$6:$V$11,2,FALSE),"")</f>
        <v/>
      </c>
    </row>
    <row r="196" spans="1:21" ht="14.25" customHeight="1" x14ac:dyDescent="0.3">
      <c r="A196" s="26" t="str">
        <f ca="1">IF(Calculation!T199&lt;=Calculation!$H$4,Calculation!T199,"")</f>
        <v/>
      </c>
      <c r="B196" s="4" t="str">
        <f ca="1">VLOOKUP(A196,Calculation!$E$6:$J$1004,4,FALSE)</f>
        <v/>
      </c>
      <c r="C196" s="4" t="str">
        <f ca="1">VLOOKUP(A196,Calculation!$E$6:$J$1004,5,FALSE)</f>
        <v/>
      </c>
      <c r="D196" s="4" t="str">
        <f ca="1">VLOOKUP(A196,Calculation!$E$6:$J$1004,6,FALSE)</f>
        <v/>
      </c>
      <c r="E196" s="42" t="str">
        <f t="shared" ca="1" si="0"/>
        <v/>
      </c>
      <c r="G196" s="29" t="str">
        <f ca="1">VLOOKUP(A196,Calculation!$F$6:$J$1004,3,FALSE)</f>
        <v/>
      </c>
      <c r="H196" s="4" t="str">
        <f ca="1">VLOOKUP(A196,Calculation!$F$6:$J$1004,4,FALSE)</f>
        <v/>
      </c>
      <c r="I196" s="4" t="str">
        <f ca="1">VLOOKUP(A196,Calculation!$F$6:$J$1004,5,FALSE)</f>
        <v/>
      </c>
      <c r="J196" s="43" t="str">
        <f t="shared" ca="1" si="1"/>
        <v/>
      </c>
      <c r="L196" s="29" t="str">
        <f ca="1">VLOOKUP(A196,Calculation!$G$6:$S$1004,2,FALSE)</f>
        <v/>
      </c>
      <c r="M196" s="4" t="str">
        <f ca="1">IFERROR(VLOOKUP($L196,Calculation!$H$6:$S$1005,HLOOKUP(M$2,Calculation!$M$4:$S$5,2,FALSE)+5,FALSE),"")</f>
        <v/>
      </c>
      <c r="N196" s="4" t="str">
        <f ca="1">IFERROR(VLOOKUP($L196,Calculation!$H$6:$S$1005,HLOOKUP(N$2,Calculation!$M$4:$S$5,2,FALSE)+5,FALSE),"")</f>
        <v/>
      </c>
      <c r="O196" s="4" t="str">
        <f ca="1">IFERROR(VLOOKUP($L196,Calculation!$H$6:$S$1005,HLOOKUP(O$2,Calculation!$M$4:$S$5,2,FALSE)+5,FALSE),"")</f>
        <v/>
      </c>
      <c r="P196" s="4" t="str">
        <f ca="1">IFERROR(VLOOKUP($L196,Calculation!$H$6:$S$1005,HLOOKUP(P$2,Calculation!$M$4:$S$5,2,FALSE)+5,FALSE),"")</f>
        <v/>
      </c>
      <c r="Q196" s="4" t="str">
        <f ca="1">IFERROR(VLOOKUP($L196,Calculation!$H$6:$S$1005,HLOOKUP(Q$2,Calculation!$M$4:$S$5,2,FALSE)+5,FALSE),"")</f>
        <v/>
      </c>
      <c r="R196" s="27" t="str">
        <f ca="1">IFERROR(VLOOKUP($L196,Calculation!$H$6:$S$1005,HLOOKUP(R$2,Calculation!$M$4:$S$5,2,FALSE)+5,FALSE),"")</f>
        <v/>
      </c>
      <c r="S196" s="4" t="str">
        <f ca="1">IFERROR(VLOOKUP($L196,Calculation!$H$6:$S$1005,HLOOKUP(S$2,Calculation!$M$4:$S$5,2,FALSE)+5,FALSE),"")</f>
        <v/>
      </c>
      <c r="T196" s="29"/>
      <c r="U196" s="43" t="str">
        <f>IFERROR(VLOOKUP(T196,Calculation!$U$6:$V$11,2,FALSE),"")</f>
        <v/>
      </c>
    </row>
    <row r="197" spans="1:21" ht="14.25" customHeight="1" x14ac:dyDescent="0.3">
      <c r="A197" s="26" t="str">
        <f ca="1">IF(Calculation!T200&lt;=Calculation!$H$4,Calculation!T200,"")</f>
        <v/>
      </c>
      <c r="B197" s="4" t="str">
        <f ca="1">VLOOKUP(A197,Calculation!$E$6:$J$1004,4,FALSE)</f>
        <v/>
      </c>
      <c r="C197" s="4" t="str">
        <f ca="1">VLOOKUP(A197,Calculation!$E$6:$J$1004,5,FALSE)</f>
        <v/>
      </c>
      <c r="D197" s="4" t="str">
        <f ca="1">VLOOKUP(A197,Calculation!$E$6:$J$1004,6,FALSE)</f>
        <v/>
      </c>
      <c r="E197" s="42" t="str">
        <f t="shared" ca="1" si="0"/>
        <v/>
      </c>
      <c r="G197" s="29" t="str">
        <f ca="1">VLOOKUP(A197,Calculation!$F$6:$J$1004,3,FALSE)</f>
        <v/>
      </c>
      <c r="H197" s="4" t="str">
        <f ca="1">VLOOKUP(A197,Calculation!$F$6:$J$1004,4,FALSE)</f>
        <v/>
      </c>
      <c r="I197" s="4" t="str">
        <f ca="1">VLOOKUP(A197,Calculation!$F$6:$J$1004,5,FALSE)</f>
        <v/>
      </c>
      <c r="J197" s="43" t="str">
        <f t="shared" ca="1" si="1"/>
        <v/>
      </c>
      <c r="L197" s="29" t="str">
        <f ca="1">VLOOKUP(A197,Calculation!$G$6:$S$1004,2,FALSE)</f>
        <v/>
      </c>
      <c r="M197" s="4" t="str">
        <f ca="1">IFERROR(VLOOKUP($L197,Calculation!$H$6:$S$1005,HLOOKUP(M$2,Calculation!$M$4:$S$5,2,FALSE)+5,FALSE),"")</f>
        <v/>
      </c>
      <c r="N197" s="4" t="str">
        <f ca="1">IFERROR(VLOOKUP($L197,Calculation!$H$6:$S$1005,HLOOKUP(N$2,Calculation!$M$4:$S$5,2,FALSE)+5,FALSE),"")</f>
        <v/>
      </c>
      <c r="O197" s="4" t="str">
        <f ca="1">IFERROR(VLOOKUP($L197,Calculation!$H$6:$S$1005,HLOOKUP(O$2,Calculation!$M$4:$S$5,2,FALSE)+5,FALSE),"")</f>
        <v/>
      </c>
      <c r="P197" s="4" t="str">
        <f ca="1">IFERROR(VLOOKUP($L197,Calculation!$H$6:$S$1005,HLOOKUP(P$2,Calculation!$M$4:$S$5,2,FALSE)+5,FALSE),"")</f>
        <v/>
      </c>
      <c r="Q197" s="4" t="str">
        <f ca="1">IFERROR(VLOOKUP($L197,Calculation!$H$6:$S$1005,HLOOKUP(Q$2,Calculation!$M$4:$S$5,2,FALSE)+5,FALSE),"")</f>
        <v/>
      </c>
      <c r="R197" s="27" t="str">
        <f ca="1">IFERROR(VLOOKUP($L197,Calculation!$H$6:$S$1005,HLOOKUP(R$2,Calculation!$M$4:$S$5,2,FALSE)+5,FALSE),"")</f>
        <v/>
      </c>
      <c r="S197" s="4" t="str">
        <f ca="1">IFERROR(VLOOKUP($L197,Calculation!$H$6:$S$1005,HLOOKUP(S$2,Calculation!$M$4:$S$5,2,FALSE)+5,FALSE),"")</f>
        <v/>
      </c>
      <c r="T197" s="29"/>
      <c r="U197" s="43" t="str">
        <f>IFERROR(VLOOKUP(T197,Calculation!$U$6:$V$11,2,FALSE),"")</f>
        <v/>
      </c>
    </row>
    <row r="198" spans="1:21" ht="14.25" customHeight="1" x14ac:dyDescent="0.3">
      <c r="A198" s="26" t="str">
        <f ca="1">IF(Calculation!T201&lt;=Calculation!$H$4,Calculation!T201,"")</f>
        <v/>
      </c>
      <c r="B198" s="4" t="str">
        <f ca="1">VLOOKUP(A198,Calculation!$E$6:$J$1004,4,FALSE)</f>
        <v/>
      </c>
      <c r="C198" s="4" t="str">
        <f ca="1">VLOOKUP(A198,Calculation!$E$6:$J$1004,5,FALSE)</f>
        <v/>
      </c>
      <c r="D198" s="4" t="str">
        <f ca="1">VLOOKUP(A198,Calculation!$E$6:$J$1004,6,FALSE)</f>
        <v/>
      </c>
      <c r="E198" s="42" t="str">
        <f t="shared" ca="1" si="0"/>
        <v/>
      </c>
      <c r="G198" s="29" t="str">
        <f ca="1">VLOOKUP(A198,Calculation!$F$6:$J$1004,3,FALSE)</f>
        <v/>
      </c>
      <c r="H198" s="4" t="str">
        <f ca="1">VLOOKUP(A198,Calculation!$F$6:$J$1004,4,FALSE)</f>
        <v/>
      </c>
      <c r="I198" s="4" t="str">
        <f ca="1">VLOOKUP(A198,Calculation!$F$6:$J$1004,5,FALSE)</f>
        <v/>
      </c>
      <c r="J198" s="43" t="str">
        <f t="shared" ca="1" si="1"/>
        <v/>
      </c>
      <c r="L198" s="29" t="str">
        <f ca="1">VLOOKUP(A198,Calculation!$G$6:$S$1004,2,FALSE)</f>
        <v/>
      </c>
      <c r="M198" s="4" t="str">
        <f ca="1">IFERROR(VLOOKUP($L198,Calculation!$H$6:$S$1005,HLOOKUP(M$2,Calculation!$M$4:$S$5,2,FALSE)+5,FALSE),"")</f>
        <v/>
      </c>
      <c r="N198" s="4" t="str">
        <f ca="1">IFERROR(VLOOKUP($L198,Calculation!$H$6:$S$1005,HLOOKUP(N$2,Calculation!$M$4:$S$5,2,FALSE)+5,FALSE),"")</f>
        <v/>
      </c>
      <c r="O198" s="4" t="str">
        <f ca="1">IFERROR(VLOOKUP($L198,Calculation!$H$6:$S$1005,HLOOKUP(O$2,Calculation!$M$4:$S$5,2,FALSE)+5,FALSE),"")</f>
        <v/>
      </c>
      <c r="P198" s="4" t="str">
        <f ca="1">IFERROR(VLOOKUP($L198,Calculation!$H$6:$S$1005,HLOOKUP(P$2,Calculation!$M$4:$S$5,2,FALSE)+5,FALSE),"")</f>
        <v/>
      </c>
      <c r="Q198" s="4" t="str">
        <f ca="1">IFERROR(VLOOKUP($L198,Calculation!$H$6:$S$1005,HLOOKUP(Q$2,Calculation!$M$4:$S$5,2,FALSE)+5,FALSE),"")</f>
        <v/>
      </c>
      <c r="R198" s="27" t="str">
        <f ca="1">IFERROR(VLOOKUP($L198,Calculation!$H$6:$S$1005,HLOOKUP(R$2,Calculation!$M$4:$S$5,2,FALSE)+5,FALSE),"")</f>
        <v/>
      </c>
      <c r="S198" s="4" t="str">
        <f ca="1">IFERROR(VLOOKUP($L198,Calculation!$H$6:$S$1005,HLOOKUP(S$2,Calculation!$M$4:$S$5,2,FALSE)+5,FALSE),"")</f>
        <v/>
      </c>
      <c r="T198" s="29"/>
      <c r="U198" s="43" t="str">
        <f>IFERROR(VLOOKUP(T198,Calculation!$U$6:$V$11,2,FALSE),"")</f>
        <v/>
      </c>
    </row>
    <row r="199" spans="1:21" ht="14.25" customHeight="1" x14ac:dyDescent="0.3">
      <c r="A199" s="26" t="str">
        <f ca="1">IF(Calculation!T202&lt;=Calculation!$H$4,Calculation!T202,"")</f>
        <v/>
      </c>
      <c r="B199" s="4" t="str">
        <f ca="1">VLOOKUP(A199,Calculation!$E$6:$J$1004,4,FALSE)</f>
        <v/>
      </c>
      <c r="C199" s="4" t="str">
        <f ca="1">VLOOKUP(A199,Calculation!$E$6:$J$1004,5,FALSE)</f>
        <v/>
      </c>
      <c r="D199" s="4" t="str">
        <f ca="1">VLOOKUP(A199,Calculation!$E$6:$J$1004,6,FALSE)</f>
        <v/>
      </c>
      <c r="E199" s="42" t="str">
        <f t="shared" ca="1" si="0"/>
        <v/>
      </c>
      <c r="G199" s="29" t="str">
        <f ca="1">VLOOKUP(A199,Calculation!$F$6:$J$1004,3,FALSE)</f>
        <v/>
      </c>
      <c r="H199" s="4" t="str">
        <f ca="1">VLOOKUP(A199,Calculation!$F$6:$J$1004,4,FALSE)</f>
        <v/>
      </c>
      <c r="I199" s="4" t="str">
        <f ca="1">VLOOKUP(A199,Calculation!$F$6:$J$1004,5,FALSE)</f>
        <v/>
      </c>
      <c r="J199" s="43" t="str">
        <f t="shared" ca="1" si="1"/>
        <v/>
      </c>
      <c r="L199" s="29" t="str">
        <f ca="1">VLOOKUP(A199,Calculation!$G$6:$S$1004,2,FALSE)</f>
        <v/>
      </c>
      <c r="M199" s="4" t="str">
        <f ca="1">IFERROR(VLOOKUP($L199,Calculation!$H$6:$S$1005,HLOOKUP(M$2,Calculation!$M$4:$S$5,2,FALSE)+5,FALSE),"")</f>
        <v/>
      </c>
      <c r="N199" s="4" t="str">
        <f ca="1">IFERROR(VLOOKUP($L199,Calculation!$H$6:$S$1005,HLOOKUP(N$2,Calculation!$M$4:$S$5,2,FALSE)+5,FALSE),"")</f>
        <v/>
      </c>
      <c r="O199" s="4" t="str">
        <f ca="1">IFERROR(VLOOKUP($L199,Calculation!$H$6:$S$1005,HLOOKUP(O$2,Calculation!$M$4:$S$5,2,FALSE)+5,FALSE),"")</f>
        <v/>
      </c>
      <c r="P199" s="4" t="str">
        <f ca="1">IFERROR(VLOOKUP($L199,Calculation!$H$6:$S$1005,HLOOKUP(P$2,Calculation!$M$4:$S$5,2,FALSE)+5,FALSE),"")</f>
        <v/>
      </c>
      <c r="Q199" s="4" t="str">
        <f ca="1">IFERROR(VLOOKUP($L199,Calculation!$H$6:$S$1005,HLOOKUP(Q$2,Calculation!$M$4:$S$5,2,FALSE)+5,FALSE),"")</f>
        <v/>
      </c>
      <c r="R199" s="27" t="str">
        <f ca="1">IFERROR(VLOOKUP($L199,Calculation!$H$6:$S$1005,HLOOKUP(R$2,Calculation!$M$4:$S$5,2,FALSE)+5,FALSE),"")</f>
        <v/>
      </c>
      <c r="S199" s="4" t="str">
        <f ca="1">IFERROR(VLOOKUP($L199,Calculation!$H$6:$S$1005,HLOOKUP(S$2,Calculation!$M$4:$S$5,2,FALSE)+5,FALSE),"")</f>
        <v/>
      </c>
      <c r="T199" s="29"/>
      <c r="U199" s="43" t="str">
        <f>IFERROR(VLOOKUP(T199,Calculation!$U$6:$V$11,2,FALSE),"")</f>
        <v/>
      </c>
    </row>
    <row r="200" spans="1:21" ht="14.25" customHeight="1" x14ac:dyDescent="0.3">
      <c r="A200" s="26" t="str">
        <f ca="1">IF(Calculation!T203&lt;=Calculation!$H$4,Calculation!T203,"")</f>
        <v/>
      </c>
      <c r="B200" s="4" t="str">
        <f ca="1">VLOOKUP(A200,Calculation!$E$6:$J$1004,4,FALSE)</f>
        <v/>
      </c>
      <c r="C200" s="4" t="str">
        <f ca="1">VLOOKUP(A200,Calculation!$E$6:$J$1004,5,FALSE)</f>
        <v/>
      </c>
      <c r="D200" s="4" t="str">
        <f ca="1">VLOOKUP(A200,Calculation!$E$6:$J$1004,6,FALSE)</f>
        <v/>
      </c>
      <c r="E200" s="42" t="str">
        <f t="shared" ca="1" si="0"/>
        <v/>
      </c>
      <c r="G200" s="29" t="str">
        <f ca="1">VLOOKUP(A200,Calculation!$F$6:$J$1004,3,FALSE)</f>
        <v/>
      </c>
      <c r="H200" s="4" t="str">
        <f ca="1">VLOOKUP(A200,Calculation!$F$6:$J$1004,4,FALSE)</f>
        <v/>
      </c>
      <c r="I200" s="4" t="str">
        <f ca="1">VLOOKUP(A200,Calculation!$F$6:$J$1004,5,FALSE)</f>
        <v/>
      </c>
      <c r="J200" s="43" t="str">
        <f t="shared" ca="1" si="1"/>
        <v/>
      </c>
      <c r="L200" s="29" t="str">
        <f ca="1">VLOOKUP(A200,Calculation!$G$6:$S$1004,2,FALSE)</f>
        <v/>
      </c>
      <c r="M200" s="4" t="str">
        <f ca="1">IFERROR(VLOOKUP($L200,Calculation!$H$6:$S$1005,HLOOKUP(M$2,Calculation!$M$4:$S$5,2,FALSE)+5,FALSE),"")</f>
        <v/>
      </c>
      <c r="N200" s="4" t="str">
        <f ca="1">IFERROR(VLOOKUP($L200,Calculation!$H$6:$S$1005,HLOOKUP(N$2,Calculation!$M$4:$S$5,2,FALSE)+5,FALSE),"")</f>
        <v/>
      </c>
      <c r="O200" s="4" t="str">
        <f ca="1">IFERROR(VLOOKUP($L200,Calculation!$H$6:$S$1005,HLOOKUP(O$2,Calculation!$M$4:$S$5,2,FALSE)+5,FALSE),"")</f>
        <v/>
      </c>
      <c r="P200" s="4" t="str">
        <f ca="1">IFERROR(VLOOKUP($L200,Calculation!$H$6:$S$1005,HLOOKUP(P$2,Calculation!$M$4:$S$5,2,FALSE)+5,FALSE),"")</f>
        <v/>
      </c>
      <c r="Q200" s="4" t="str">
        <f ca="1">IFERROR(VLOOKUP($L200,Calculation!$H$6:$S$1005,HLOOKUP(Q$2,Calculation!$M$4:$S$5,2,FALSE)+5,FALSE),"")</f>
        <v/>
      </c>
      <c r="R200" s="27" t="str">
        <f ca="1">IFERROR(VLOOKUP($L200,Calculation!$H$6:$S$1005,HLOOKUP(R$2,Calculation!$M$4:$S$5,2,FALSE)+5,FALSE),"")</f>
        <v/>
      </c>
      <c r="S200" s="4" t="str">
        <f ca="1">IFERROR(VLOOKUP($L200,Calculation!$H$6:$S$1005,HLOOKUP(S$2,Calculation!$M$4:$S$5,2,FALSE)+5,FALSE),"")</f>
        <v/>
      </c>
      <c r="T200" s="29"/>
      <c r="U200" s="43" t="str">
        <f>IFERROR(VLOOKUP(T200,Calculation!$U$6:$V$11,2,FALSE),"")</f>
        <v/>
      </c>
    </row>
    <row r="201" spans="1:21" ht="14.25" customHeight="1" x14ac:dyDescent="0.3">
      <c r="A201" s="26" t="str">
        <f ca="1">IF(Calculation!T204&lt;=Calculation!$H$4,Calculation!T204,"")</f>
        <v/>
      </c>
      <c r="B201" s="4" t="str">
        <f ca="1">VLOOKUP(A201,Calculation!$E$6:$J$1004,4,FALSE)</f>
        <v/>
      </c>
      <c r="C201" s="4" t="str">
        <f ca="1">VLOOKUP(A201,Calculation!$E$6:$J$1004,5,FALSE)</f>
        <v/>
      </c>
      <c r="D201" s="4" t="str">
        <f ca="1">VLOOKUP(A201,Calculation!$E$6:$J$1004,6,FALSE)</f>
        <v/>
      </c>
      <c r="E201" s="42" t="str">
        <f t="shared" ca="1" si="0"/>
        <v/>
      </c>
      <c r="G201" s="29" t="str">
        <f ca="1">VLOOKUP(A201,Calculation!$F$6:$J$1004,3,FALSE)</f>
        <v/>
      </c>
      <c r="H201" s="4" t="str">
        <f ca="1">VLOOKUP(A201,Calculation!$F$6:$J$1004,4,FALSE)</f>
        <v/>
      </c>
      <c r="I201" s="4" t="str">
        <f ca="1">VLOOKUP(A201,Calculation!$F$6:$J$1004,5,FALSE)</f>
        <v/>
      </c>
      <c r="J201" s="43" t="str">
        <f t="shared" ca="1" si="1"/>
        <v/>
      </c>
      <c r="L201" s="29" t="str">
        <f ca="1">VLOOKUP(A201,Calculation!$G$6:$S$1004,2,FALSE)</f>
        <v/>
      </c>
      <c r="M201" s="4" t="str">
        <f ca="1">IFERROR(VLOOKUP($L201,Calculation!$H$6:$S$1005,HLOOKUP(M$2,Calculation!$M$4:$S$5,2,FALSE)+5,FALSE),"")</f>
        <v/>
      </c>
      <c r="N201" s="4" t="str">
        <f ca="1">IFERROR(VLOOKUP($L201,Calculation!$H$6:$S$1005,HLOOKUP(N$2,Calculation!$M$4:$S$5,2,FALSE)+5,FALSE),"")</f>
        <v/>
      </c>
      <c r="O201" s="4" t="str">
        <f ca="1">IFERROR(VLOOKUP($L201,Calculation!$H$6:$S$1005,HLOOKUP(O$2,Calculation!$M$4:$S$5,2,FALSE)+5,FALSE),"")</f>
        <v/>
      </c>
      <c r="P201" s="4" t="str">
        <f ca="1">IFERROR(VLOOKUP($L201,Calculation!$H$6:$S$1005,HLOOKUP(P$2,Calculation!$M$4:$S$5,2,FALSE)+5,FALSE),"")</f>
        <v/>
      </c>
      <c r="Q201" s="4" t="str">
        <f ca="1">IFERROR(VLOOKUP($L201,Calculation!$H$6:$S$1005,HLOOKUP(Q$2,Calculation!$M$4:$S$5,2,FALSE)+5,FALSE),"")</f>
        <v/>
      </c>
      <c r="R201" s="27" t="str">
        <f ca="1">IFERROR(VLOOKUP($L201,Calculation!$H$6:$S$1005,HLOOKUP(R$2,Calculation!$M$4:$S$5,2,FALSE)+5,FALSE),"")</f>
        <v/>
      </c>
      <c r="S201" s="4" t="str">
        <f ca="1">IFERROR(VLOOKUP($L201,Calculation!$H$6:$S$1005,HLOOKUP(S$2,Calculation!$M$4:$S$5,2,FALSE)+5,FALSE),"")</f>
        <v/>
      </c>
      <c r="T201" s="29"/>
      <c r="U201" s="43" t="str">
        <f>IFERROR(VLOOKUP(T201,Calculation!$U$6:$V$11,2,FALSE),"")</f>
        <v/>
      </c>
    </row>
    <row r="202" spans="1:21" ht="14.25" customHeight="1" x14ac:dyDescent="0.3">
      <c r="A202" s="26" t="str">
        <f ca="1">IF(Calculation!T205&lt;=Calculation!$H$4,Calculation!T205,"")</f>
        <v/>
      </c>
      <c r="B202" s="4" t="str">
        <f ca="1">VLOOKUP(A202,Calculation!$E$6:$J$1004,4,FALSE)</f>
        <v/>
      </c>
      <c r="C202" s="4" t="str">
        <f ca="1">VLOOKUP(A202,Calculation!$E$6:$J$1004,5,FALSE)</f>
        <v/>
      </c>
      <c r="D202" s="4" t="str">
        <f ca="1">VLOOKUP(A202,Calculation!$E$6:$J$1004,6,FALSE)</f>
        <v/>
      </c>
      <c r="E202" s="42" t="str">
        <f t="shared" ca="1" si="0"/>
        <v/>
      </c>
      <c r="G202" s="29" t="str">
        <f ca="1">VLOOKUP(A202,Calculation!$F$6:$J$1004,3,FALSE)</f>
        <v/>
      </c>
      <c r="H202" s="4" t="str">
        <f ca="1">VLOOKUP(A202,Calculation!$F$6:$J$1004,4,FALSE)</f>
        <v/>
      </c>
      <c r="I202" s="4" t="str">
        <f ca="1">VLOOKUP(A202,Calculation!$F$6:$J$1004,5,FALSE)</f>
        <v/>
      </c>
      <c r="J202" s="43" t="str">
        <f t="shared" ca="1" si="1"/>
        <v/>
      </c>
      <c r="L202" s="29" t="str">
        <f ca="1">VLOOKUP(A202,Calculation!$G$6:$S$1004,2,FALSE)</f>
        <v/>
      </c>
      <c r="M202" s="4" t="str">
        <f ca="1">IFERROR(VLOOKUP($L202,Calculation!$H$6:$S$1005,HLOOKUP(M$2,Calculation!$M$4:$S$5,2,FALSE)+5,FALSE),"")</f>
        <v/>
      </c>
      <c r="N202" s="4" t="str">
        <f ca="1">IFERROR(VLOOKUP($L202,Calculation!$H$6:$S$1005,HLOOKUP(N$2,Calculation!$M$4:$S$5,2,FALSE)+5,FALSE),"")</f>
        <v/>
      </c>
      <c r="O202" s="4" t="str">
        <f ca="1">IFERROR(VLOOKUP($L202,Calculation!$H$6:$S$1005,HLOOKUP(O$2,Calculation!$M$4:$S$5,2,FALSE)+5,FALSE),"")</f>
        <v/>
      </c>
      <c r="P202" s="4" t="str">
        <f ca="1">IFERROR(VLOOKUP($L202,Calculation!$H$6:$S$1005,HLOOKUP(P$2,Calculation!$M$4:$S$5,2,FALSE)+5,FALSE),"")</f>
        <v/>
      </c>
      <c r="Q202" s="4" t="str">
        <f ca="1">IFERROR(VLOOKUP($L202,Calculation!$H$6:$S$1005,HLOOKUP(Q$2,Calculation!$M$4:$S$5,2,FALSE)+5,FALSE),"")</f>
        <v/>
      </c>
      <c r="R202" s="27" t="str">
        <f ca="1">IFERROR(VLOOKUP($L202,Calculation!$H$6:$S$1005,HLOOKUP(R$2,Calculation!$M$4:$S$5,2,FALSE)+5,FALSE),"")</f>
        <v/>
      </c>
      <c r="S202" s="4" t="str">
        <f ca="1">IFERROR(VLOOKUP($L202,Calculation!$H$6:$S$1005,HLOOKUP(S$2,Calculation!$M$4:$S$5,2,FALSE)+5,FALSE),"")</f>
        <v/>
      </c>
      <c r="T202" s="29"/>
      <c r="U202" s="43" t="str">
        <f>IFERROR(VLOOKUP(T202,Calculation!$U$6:$V$11,2,FALSE),"")</f>
        <v/>
      </c>
    </row>
    <row r="203" spans="1:21" ht="14.25" customHeight="1" x14ac:dyDescent="0.3">
      <c r="A203" s="26" t="str">
        <f ca="1">IF(Calculation!T206&lt;=Calculation!$H$4,Calculation!T206,"")</f>
        <v/>
      </c>
      <c r="B203" s="4" t="str">
        <f ca="1">VLOOKUP(A203,Calculation!$E$6:$J$1004,4,FALSE)</f>
        <v/>
      </c>
      <c r="C203" s="4" t="str">
        <f ca="1">VLOOKUP(A203,Calculation!$E$6:$J$1004,5,FALSE)</f>
        <v/>
      </c>
      <c r="D203" s="4" t="str">
        <f ca="1">VLOOKUP(A203,Calculation!$E$6:$J$1004,6,FALSE)</f>
        <v/>
      </c>
      <c r="E203" s="42" t="str">
        <f t="shared" ca="1" si="0"/>
        <v/>
      </c>
      <c r="G203" s="29" t="str">
        <f ca="1">VLOOKUP(A203,Calculation!$F$6:$J$1004,3,FALSE)</f>
        <v/>
      </c>
      <c r="H203" s="4" t="str">
        <f ca="1">VLOOKUP(A203,Calculation!$F$6:$J$1004,4,FALSE)</f>
        <v/>
      </c>
      <c r="I203" s="4" t="str">
        <f ca="1">VLOOKUP(A203,Calculation!$F$6:$J$1004,5,FALSE)</f>
        <v/>
      </c>
      <c r="J203" s="43" t="str">
        <f t="shared" ca="1" si="1"/>
        <v/>
      </c>
      <c r="L203" s="29" t="str">
        <f ca="1">VLOOKUP(A203,Calculation!$G$6:$S$1004,2,FALSE)</f>
        <v/>
      </c>
      <c r="M203" s="4" t="str">
        <f ca="1">IFERROR(VLOOKUP($L203,Calculation!$H$6:$S$1005,HLOOKUP(M$2,Calculation!$M$4:$S$5,2,FALSE)+5,FALSE),"")</f>
        <v/>
      </c>
      <c r="N203" s="4" t="str">
        <f ca="1">IFERROR(VLOOKUP($L203,Calculation!$H$6:$S$1005,HLOOKUP(N$2,Calculation!$M$4:$S$5,2,FALSE)+5,FALSE),"")</f>
        <v/>
      </c>
      <c r="O203" s="4" t="str">
        <f ca="1">IFERROR(VLOOKUP($L203,Calculation!$H$6:$S$1005,HLOOKUP(O$2,Calculation!$M$4:$S$5,2,FALSE)+5,FALSE),"")</f>
        <v/>
      </c>
      <c r="P203" s="4" t="str">
        <f ca="1">IFERROR(VLOOKUP($L203,Calculation!$H$6:$S$1005,HLOOKUP(P$2,Calculation!$M$4:$S$5,2,FALSE)+5,FALSE),"")</f>
        <v/>
      </c>
      <c r="Q203" s="4" t="str">
        <f ca="1">IFERROR(VLOOKUP($L203,Calculation!$H$6:$S$1005,HLOOKUP(Q$2,Calculation!$M$4:$S$5,2,FALSE)+5,FALSE),"")</f>
        <v/>
      </c>
      <c r="R203" s="27" t="str">
        <f ca="1">IFERROR(VLOOKUP($L203,Calculation!$H$6:$S$1005,HLOOKUP(R$2,Calculation!$M$4:$S$5,2,FALSE)+5,FALSE),"")</f>
        <v/>
      </c>
      <c r="S203" s="4" t="str">
        <f ca="1">IFERROR(VLOOKUP($L203,Calculation!$H$6:$S$1005,HLOOKUP(S$2,Calculation!$M$4:$S$5,2,FALSE)+5,FALSE),"")</f>
        <v/>
      </c>
      <c r="T203" s="29"/>
      <c r="U203" s="43" t="str">
        <f>IFERROR(VLOOKUP(T203,Calculation!$U$6:$V$11,2,FALSE),"")</f>
        <v/>
      </c>
    </row>
    <row r="204" spans="1:21" ht="14.25" customHeight="1" x14ac:dyDescent="0.3">
      <c r="A204" s="26" t="str">
        <f ca="1">IF(Calculation!T207&lt;=Calculation!$H$4,Calculation!T207,"")</f>
        <v/>
      </c>
      <c r="B204" s="4" t="str">
        <f ca="1">VLOOKUP(A204,Calculation!$E$6:$J$1004,4,FALSE)</f>
        <v/>
      </c>
      <c r="C204" s="4" t="str">
        <f ca="1">VLOOKUP(A204,Calculation!$E$6:$J$1004,5,FALSE)</f>
        <v/>
      </c>
      <c r="D204" s="4" t="str">
        <f ca="1">VLOOKUP(A204,Calculation!$E$6:$J$1004,6,FALSE)</f>
        <v/>
      </c>
      <c r="E204" s="42" t="str">
        <f t="shared" ca="1" si="0"/>
        <v/>
      </c>
      <c r="G204" s="29" t="str">
        <f ca="1">VLOOKUP(A204,Calculation!$F$6:$J$1004,3,FALSE)</f>
        <v/>
      </c>
      <c r="H204" s="4" t="str">
        <f ca="1">VLOOKUP(A204,Calculation!$F$6:$J$1004,4,FALSE)</f>
        <v/>
      </c>
      <c r="I204" s="4" t="str">
        <f ca="1">VLOOKUP(A204,Calculation!$F$6:$J$1004,5,FALSE)</f>
        <v/>
      </c>
      <c r="J204" s="43" t="str">
        <f t="shared" ca="1" si="1"/>
        <v/>
      </c>
      <c r="L204" s="29" t="str">
        <f ca="1">VLOOKUP(A204,Calculation!$G$6:$S$1004,2,FALSE)</f>
        <v/>
      </c>
      <c r="M204" s="4" t="str">
        <f ca="1">IFERROR(VLOOKUP($L204,Calculation!$H$6:$S$1005,HLOOKUP(M$2,Calculation!$M$4:$S$5,2,FALSE)+5,FALSE),"")</f>
        <v/>
      </c>
      <c r="N204" s="4" t="str">
        <f ca="1">IFERROR(VLOOKUP($L204,Calculation!$H$6:$S$1005,HLOOKUP(N$2,Calculation!$M$4:$S$5,2,FALSE)+5,FALSE),"")</f>
        <v/>
      </c>
      <c r="O204" s="4" t="str">
        <f ca="1">IFERROR(VLOOKUP($L204,Calculation!$H$6:$S$1005,HLOOKUP(O$2,Calculation!$M$4:$S$5,2,FALSE)+5,FALSE),"")</f>
        <v/>
      </c>
      <c r="P204" s="4" t="str">
        <f ca="1">IFERROR(VLOOKUP($L204,Calculation!$H$6:$S$1005,HLOOKUP(P$2,Calculation!$M$4:$S$5,2,FALSE)+5,FALSE),"")</f>
        <v/>
      </c>
      <c r="Q204" s="4" t="str">
        <f ca="1">IFERROR(VLOOKUP($L204,Calculation!$H$6:$S$1005,HLOOKUP(Q$2,Calculation!$M$4:$S$5,2,FALSE)+5,FALSE),"")</f>
        <v/>
      </c>
      <c r="R204" s="27" t="str">
        <f ca="1">IFERROR(VLOOKUP($L204,Calculation!$H$6:$S$1005,HLOOKUP(R$2,Calculation!$M$4:$S$5,2,FALSE)+5,FALSE),"")</f>
        <v/>
      </c>
      <c r="S204" s="4" t="str">
        <f ca="1">IFERROR(VLOOKUP($L204,Calculation!$H$6:$S$1005,HLOOKUP(S$2,Calculation!$M$4:$S$5,2,FALSE)+5,FALSE),"")</f>
        <v/>
      </c>
      <c r="T204" s="29"/>
      <c r="U204" s="43" t="str">
        <f>IFERROR(VLOOKUP(T204,Calculation!$U$6:$V$11,2,FALSE),"")</f>
        <v/>
      </c>
    </row>
    <row r="205" spans="1:21" ht="14.25" customHeight="1" x14ac:dyDescent="0.3">
      <c r="A205" s="26" t="str">
        <f ca="1">IF(Calculation!T208&lt;=Calculation!$H$4,Calculation!T208,"")</f>
        <v/>
      </c>
      <c r="B205" s="4" t="str">
        <f ca="1">VLOOKUP(A205,Calculation!$E$6:$J$1004,4,FALSE)</f>
        <v/>
      </c>
      <c r="C205" s="4" t="str">
        <f ca="1">VLOOKUP(A205,Calculation!$E$6:$J$1004,5,FALSE)</f>
        <v/>
      </c>
      <c r="D205" s="4" t="str">
        <f ca="1">VLOOKUP(A205,Calculation!$E$6:$J$1004,6,FALSE)</f>
        <v/>
      </c>
      <c r="E205" s="42" t="str">
        <f t="shared" ca="1" si="0"/>
        <v/>
      </c>
      <c r="G205" s="29" t="str">
        <f ca="1">VLOOKUP(A205,Calculation!$F$6:$J$1004,3,FALSE)</f>
        <v/>
      </c>
      <c r="H205" s="4" t="str">
        <f ca="1">VLOOKUP(A205,Calculation!$F$6:$J$1004,4,FALSE)</f>
        <v/>
      </c>
      <c r="I205" s="4" t="str">
        <f ca="1">VLOOKUP(A205,Calculation!$F$6:$J$1004,5,FALSE)</f>
        <v/>
      </c>
      <c r="J205" s="43" t="str">
        <f t="shared" ca="1" si="1"/>
        <v/>
      </c>
      <c r="L205" s="29" t="str">
        <f ca="1">VLOOKUP(A205,Calculation!$G$6:$S$1004,2,FALSE)</f>
        <v/>
      </c>
      <c r="M205" s="4" t="str">
        <f ca="1">IFERROR(VLOOKUP($L205,Calculation!$H$6:$S$1005,HLOOKUP(M$2,Calculation!$M$4:$S$5,2,FALSE)+5,FALSE),"")</f>
        <v/>
      </c>
      <c r="N205" s="4" t="str">
        <f ca="1">IFERROR(VLOOKUP($L205,Calculation!$H$6:$S$1005,HLOOKUP(N$2,Calculation!$M$4:$S$5,2,FALSE)+5,FALSE),"")</f>
        <v/>
      </c>
      <c r="O205" s="4" t="str">
        <f ca="1">IFERROR(VLOOKUP($L205,Calculation!$H$6:$S$1005,HLOOKUP(O$2,Calculation!$M$4:$S$5,2,FALSE)+5,FALSE),"")</f>
        <v/>
      </c>
      <c r="P205" s="4" t="str">
        <f ca="1">IFERROR(VLOOKUP($L205,Calculation!$H$6:$S$1005,HLOOKUP(P$2,Calculation!$M$4:$S$5,2,FALSE)+5,FALSE),"")</f>
        <v/>
      </c>
      <c r="Q205" s="4" t="str">
        <f ca="1">IFERROR(VLOOKUP($L205,Calculation!$H$6:$S$1005,HLOOKUP(Q$2,Calculation!$M$4:$S$5,2,FALSE)+5,FALSE),"")</f>
        <v/>
      </c>
      <c r="R205" s="27" t="str">
        <f ca="1">IFERROR(VLOOKUP($L205,Calculation!$H$6:$S$1005,HLOOKUP(R$2,Calculation!$M$4:$S$5,2,FALSE)+5,FALSE),"")</f>
        <v/>
      </c>
      <c r="S205" s="4" t="str">
        <f ca="1">IFERROR(VLOOKUP($L205,Calculation!$H$6:$S$1005,HLOOKUP(S$2,Calculation!$M$4:$S$5,2,FALSE)+5,FALSE),"")</f>
        <v/>
      </c>
      <c r="T205" s="29"/>
      <c r="U205" s="43" t="str">
        <f>IFERROR(VLOOKUP(T205,Calculation!$U$6:$V$11,2,FALSE),"")</f>
        <v/>
      </c>
    </row>
    <row r="206" spans="1:21" ht="14.25" customHeight="1" x14ac:dyDescent="0.3">
      <c r="A206" s="26" t="str">
        <f ca="1">IF(Calculation!T209&lt;=Calculation!$H$4,Calculation!T209,"")</f>
        <v/>
      </c>
      <c r="B206" s="4" t="str">
        <f ca="1">VLOOKUP(A206,Calculation!$E$6:$J$1004,4,FALSE)</f>
        <v/>
      </c>
      <c r="C206" s="4" t="str">
        <f ca="1">VLOOKUP(A206,Calculation!$E$6:$J$1004,5,FALSE)</f>
        <v/>
      </c>
      <c r="D206" s="4" t="str">
        <f ca="1">VLOOKUP(A206,Calculation!$E$6:$J$1004,6,FALSE)</f>
        <v/>
      </c>
      <c r="E206" s="42" t="str">
        <f t="shared" ca="1" si="0"/>
        <v/>
      </c>
      <c r="G206" s="29" t="str">
        <f ca="1">VLOOKUP(A206,Calculation!$F$6:$J$1004,3,FALSE)</f>
        <v/>
      </c>
      <c r="H206" s="4" t="str">
        <f ca="1">VLOOKUP(A206,Calculation!$F$6:$J$1004,4,FALSE)</f>
        <v/>
      </c>
      <c r="I206" s="4" t="str">
        <f ca="1">VLOOKUP(A206,Calculation!$F$6:$J$1004,5,FALSE)</f>
        <v/>
      </c>
      <c r="J206" s="43" t="str">
        <f t="shared" ca="1" si="1"/>
        <v/>
      </c>
      <c r="L206" s="29" t="str">
        <f ca="1">VLOOKUP(A206,Calculation!$G$6:$S$1004,2,FALSE)</f>
        <v/>
      </c>
      <c r="M206" s="4" t="str">
        <f ca="1">IFERROR(VLOOKUP($L206,Calculation!$H$6:$S$1005,HLOOKUP(M$2,Calculation!$M$4:$S$5,2,FALSE)+5,FALSE),"")</f>
        <v/>
      </c>
      <c r="N206" s="4" t="str">
        <f ca="1">IFERROR(VLOOKUP($L206,Calculation!$H$6:$S$1005,HLOOKUP(N$2,Calculation!$M$4:$S$5,2,FALSE)+5,FALSE),"")</f>
        <v/>
      </c>
      <c r="O206" s="4" t="str">
        <f ca="1">IFERROR(VLOOKUP($L206,Calculation!$H$6:$S$1005,HLOOKUP(O$2,Calculation!$M$4:$S$5,2,FALSE)+5,FALSE),"")</f>
        <v/>
      </c>
      <c r="P206" s="4" t="str">
        <f ca="1">IFERROR(VLOOKUP($L206,Calculation!$H$6:$S$1005,HLOOKUP(P$2,Calculation!$M$4:$S$5,2,FALSE)+5,FALSE),"")</f>
        <v/>
      </c>
      <c r="Q206" s="4" t="str">
        <f ca="1">IFERROR(VLOOKUP($L206,Calculation!$H$6:$S$1005,HLOOKUP(Q$2,Calculation!$M$4:$S$5,2,FALSE)+5,FALSE),"")</f>
        <v/>
      </c>
      <c r="R206" s="27" t="str">
        <f ca="1">IFERROR(VLOOKUP($L206,Calculation!$H$6:$S$1005,HLOOKUP(R$2,Calculation!$M$4:$S$5,2,FALSE)+5,FALSE),"")</f>
        <v/>
      </c>
      <c r="S206" s="4" t="str">
        <f ca="1">IFERROR(VLOOKUP($L206,Calculation!$H$6:$S$1005,HLOOKUP(S$2,Calculation!$M$4:$S$5,2,FALSE)+5,FALSE),"")</f>
        <v/>
      </c>
      <c r="T206" s="29"/>
      <c r="U206" s="43" t="str">
        <f>IFERROR(VLOOKUP(T206,Calculation!$U$6:$V$11,2,FALSE),"")</f>
        <v/>
      </c>
    </row>
    <row r="207" spans="1:21" ht="14.25" customHeight="1" x14ac:dyDescent="0.3">
      <c r="A207" s="26" t="str">
        <f ca="1">IF(Calculation!T210&lt;=Calculation!$H$4,Calculation!T210,"")</f>
        <v/>
      </c>
      <c r="B207" s="4" t="str">
        <f ca="1">VLOOKUP(A207,Calculation!$E$6:$J$1004,4,FALSE)</f>
        <v/>
      </c>
      <c r="C207" s="4" t="str">
        <f ca="1">VLOOKUP(A207,Calculation!$E$6:$J$1004,5,FALSE)</f>
        <v/>
      </c>
      <c r="D207" s="4" t="str">
        <f ca="1">VLOOKUP(A207,Calculation!$E$6:$J$1004,6,FALSE)</f>
        <v/>
      </c>
      <c r="E207" s="42" t="str">
        <f t="shared" ca="1" si="0"/>
        <v/>
      </c>
      <c r="G207" s="29" t="str">
        <f ca="1">VLOOKUP(A207,Calculation!$F$6:$J$1004,3,FALSE)</f>
        <v/>
      </c>
      <c r="H207" s="4" t="str">
        <f ca="1">VLOOKUP(A207,Calculation!$F$6:$J$1004,4,FALSE)</f>
        <v/>
      </c>
      <c r="I207" s="4" t="str">
        <f ca="1">VLOOKUP(A207,Calculation!$F$6:$J$1004,5,FALSE)</f>
        <v/>
      </c>
      <c r="J207" s="43" t="str">
        <f t="shared" ca="1" si="1"/>
        <v/>
      </c>
      <c r="L207" s="29" t="str">
        <f ca="1">VLOOKUP(A207,Calculation!$G$6:$S$1004,2,FALSE)</f>
        <v/>
      </c>
      <c r="M207" s="4" t="str">
        <f ca="1">IFERROR(VLOOKUP($L207,Calculation!$H$6:$S$1005,HLOOKUP(M$2,Calculation!$M$4:$S$5,2,FALSE)+5,FALSE),"")</f>
        <v/>
      </c>
      <c r="N207" s="4" t="str">
        <f ca="1">IFERROR(VLOOKUP($L207,Calculation!$H$6:$S$1005,HLOOKUP(N$2,Calculation!$M$4:$S$5,2,FALSE)+5,FALSE),"")</f>
        <v/>
      </c>
      <c r="O207" s="4" t="str">
        <f ca="1">IFERROR(VLOOKUP($L207,Calculation!$H$6:$S$1005,HLOOKUP(O$2,Calculation!$M$4:$S$5,2,FALSE)+5,FALSE),"")</f>
        <v/>
      </c>
      <c r="P207" s="4" t="str">
        <f ca="1">IFERROR(VLOOKUP($L207,Calculation!$H$6:$S$1005,HLOOKUP(P$2,Calculation!$M$4:$S$5,2,FALSE)+5,FALSE),"")</f>
        <v/>
      </c>
      <c r="Q207" s="4" t="str">
        <f ca="1">IFERROR(VLOOKUP($L207,Calculation!$H$6:$S$1005,HLOOKUP(Q$2,Calculation!$M$4:$S$5,2,FALSE)+5,FALSE),"")</f>
        <v/>
      </c>
      <c r="R207" s="27" t="str">
        <f ca="1">IFERROR(VLOOKUP($L207,Calculation!$H$6:$S$1005,HLOOKUP(R$2,Calculation!$M$4:$S$5,2,FALSE)+5,FALSE),"")</f>
        <v/>
      </c>
      <c r="S207" s="4" t="str">
        <f ca="1">IFERROR(VLOOKUP($L207,Calculation!$H$6:$S$1005,HLOOKUP(S$2,Calculation!$M$4:$S$5,2,FALSE)+5,FALSE),"")</f>
        <v/>
      </c>
      <c r="T207" s="29"/>
      <c r="U207" s="43" t="str">
        <f>IFERROR(VLOOKUP(T207,Calculation!$U$6:$V$11,2,FALSE),"")</f>
        <v/>
      </c>
    </row>
    <row r="208" spans="1:21" ht="14.25" customHeight="1" x14ac:dyDescent="0.3">
      <c r="A208" s="26" t="str">
        <f ca="1">IF(Calculation!T211&lt;=Calculation!$H$4,Calculation!T211,"")</f>
        <v/>
      </c>
      <c r="B208" s="4" t="str">
        <f ca="1">VLOOKUP(A208,Calculation!$E$6:$J$1004,4,FALSE)</f>
        <v/>
      </c>
      <c r="C208" s="4" t="str">
        <f ca="1">VLOOKUP(A208,Calculation!$E$6:$J$1004,5,FALSE)</f>
        <v/>
      </c>
      <c r="D208" s="4" t="str">
        <f ca="1">VLOOKUP(A208,Calculation!$E$6:$J$1004,6,FALSE)</f>
        <v/>
      </c>
      <c r="E208" s="42" t="str">
        <f t="shared" ca="1" si="0"/>
        <v/>
      </c>
      <c r="G208" s="29" t="str">
        <f ca="1">VLOOKUP(A208,Calculation!$F$6:$J$1004,3,FALSE)</f>
        <v/>
      </c>
      <c r="H208" s="4" t="str">
        <f ca="1">VLOOKUP(A208,Calculation!$F$6:$J$1004,4,FALSE)</f>
        <v/>
      </c>
      <c r="I208" s="4" t="str">
        <f ca="1">VLOOKUP(A208,Calculation!$F$6:$J$1004,5,FALSE)</f>
        <v/>
      </c>
      <c r="J208" s="43" t="str">
        <f t="shared" ca="1" si="1"/>
        <v/>
      </c>
      <c r="L208" s="29" t="str">
        <f ca="1">VLOOKUP(A208,Calculation!$G$6:$S$1004,2,FALSE)</f>
        <v/>
      </c>
      <c r="M208" s="4" t="str">
        <f ca="1">IFERROR(VLOOKUP($L208,Calculation!$H$6:$S$1005,HLOOKUP(M$2,Calculation!$M$4:$S$5,2,FALSE)+5,FALSE),"")</f>
        <v/>
      </c>
      <c r="N208" s="4" t="str">
        <f ca="1">IFERROR(VLOOKUP($L208,Calculation!$H$6:$S$1005,HLOOKUP(N$2,Calculation!$M$4:$S$5,2,FALSE)+5,FALSE),"")</f>
        <v/>
      </c>
      <c r="O208" s="4" t="str">
        <f ca="1">IFERROR(VLOOKUP($L208,Calculation!$H$6:$S$1005,HLOOKUP(O$2,Calculation!$M$4:$S$5,2,FALSE)+5,FALSE),"")</f>
        <v/>
      </c>
      <c r="P208" s="4" t="str">
        <f ca="1">IFERROR(VLOOKUP($L208,Calculation!$H$6:$S$1005,HLOOKUP(P$2,Calculation!$M$4:$S$5,2,FALSE)+5,FALSE),"")</f>
        <v/>
      </c>
      <c r="Q208" s="4" t="str">
        <f ca="1">IFERROR(VLOOKUP($L208,Calculation!$H$6:$S$1005,HLOOKUP(Q$2,Calculation!$M$4:$S$5,2,FALSE)+5,FALSE),"")</f>
        <v/>
      </c>
      <c r="R208" s="27" t="str">
        <f ca="1">IFERROR(VLOOKUP($L208,Calculation!$H$6:$S$1005,HLOOKUP(R$2,Calculation!$M$4:$S$5,2,FALSE)+5,FALSE),"")</f>
        <v/>
      </c>
      <c r="S208" s="4" t="str">
        <f ca="1">IFERROR(VLOOKUP($L208,Calculation!$H$6:$S$1005,HLOOKUP(S$2,Calculation!$M$4:$S$5,2,FALSE)+5,FALSE),"")</f>
        <v/>
      </c>
      <c r="T208" s="29"/>
      <c r="U208" s="43" t="str">
        <f>IFERROR(VLOOKUP(T208,Calculation!$U$6:$V$11,2,FALSE),"")</f>
        <v/>
      </c>
    </row>
    <row r="209" spans="1:21" ht="14.25" customHeight="1" x14ac:dyDescent="0.3">
      <c r="A209" s="26" t="str">
        <f ca="1">IF(Calculation!T212&lt;=Calculation!$H$4,Calculation!T212,"")</f>
        <v/>
      </c>
      <c r="B209" s="4" t="str">
        <f ca="1">VLOOKUP(A209,Calculation!$E$6:$J$1004,4,FALSE)</f>
        <v/>
      </c>
      <c r="C209" s="4" t="str">
        <f ca="1">VLOOKUP(A209,Calculation!$E$6:$J$1004,5,FALSE)</f>
        <v/>
      </c>
      <c r="D209" s="4" t="str">
        <f ca="1">VLOOKUP(A209,Calculation!$E$6:$J$1004,6,FALSE)</f>
        <v/>
      </c>
      <c r="E209" s="42" t="str">
        <f t="shared" ca="1" si="0"/>
        <v/>
      </c>
      <c r="G209" s="29" t="str">
        <f ca="1">VLOOKUP(A209,Calculation!$F$6:$J$1004,3,FALSE)</f>
        <v/>
      </c>
      <c r="H209" s="4" t="str">
        <f ca="1">VLOOKUP(A209,Calculation!$F$6:$J$1004,4,FALSE)</f>
        <v/>
      </c>
      <c r="I209" s="4" t="str">
        <f ca="1">VLOOKUP(A209,Calculation!$F$6:$J$1004,5,FALSE)</f>
        <v/>
      </c>
      <c r="J209" s="43" t="str">
        <f t="shared" ca="1" si="1"/>
        <v/>
      </c>
      <c r="L209" s="29" t="str">
        <f ca="1">VLOOKUP(A209,Calculation!$G$6:$S$1004,2,FALSE)</f>
        <v/>
      </c>
      <c r="M209" s="4" t="str">
        <f ca="1">IFERROR(VLOOKUP($L209,Calculation!$H$6:$S$1005,HLOOKUP(M$2,Calculation!$M$4:$S$5,2,FALSE)+5,FALSE),"")</f>
        <v/>
      </c>
      <c r="N209" s="4" t="str">
        <f ca="1">IFERROR(VLOOKUP($L209,Calculation!$H$6:$S$1005,HLOOKUP(N$2,Calculation!$M$4:$S$5,2,FALSE)+5,FALSE),"")</f>
        <v/>
      </c>
      <c r="O209" s="4" t="str">
        <f ca="1">IFERROR(VLOOKUP($L209,Calculation!$H$6:$S$1005,HLOOKUP(O$2,Calculation!$M$4:$S$5,2,FALSE)+5,FALSE),"")</f>
        <v/>
      </c>
      <c r="P209" s="4" t="str">
        <f ca="1">IFERROR(VLOOKUP($L209,Calculation!$H$6:$S$1005,HLOOKUP(P$2,Calculation!$M$4:$S$5,2,FALSE)+5,FALSE),"")</f>
        <v/>
      </c>
      <c r="Q209" s="4" t="str">
        <f ca="1">IFERROR(VLOOKUP($L209,Calculation!$H$6:$S$1005,HLOOKUP(Q$2,Calculation!$M$4:$S$5,2,FALSE)+5,FALSE),"")</f>
        <v/>
      </c>
      <c r="R209" s="27" t="str">
        <f ca="1">IFERROR(VLOOKUP($L209,Calculation!$H$6:$S$1005,HLOOKUP(R$2,Calculation!$M$4:$S$5,2,FALSE)+5,FALSE),"")</f>
        <v/>
      </c>
      <c r="S209" s="4" t="str">
        <f ca="1">IFERROR(VLOOKUP($L209,Calculation!$H$6:$S$1005,HLOOKUP(S$2,Calculation!$M$4:$S$5,2,FALSE)+5,FALSE),"")</f>
        <v/>
      </c>
      <c r="T209" s="29"/>
      <c r="U209" s="43" t="str">
        <f>IFERROR(VLOOKUP(T209,Calculation!$U$6:$V$11,2,FALSE),"")</f>
        <v/>
      </c>
    </row>
    <row r="210" spans="1:21" ht="14.25" customHeight="1" x14ac:dyDescent="0.3">
      <c r="A210" s="26" t="str">
        <f ca="1">IF(Calculation!T213&lt;=Calculation!$H$4,Calculation!T213,"")</f>
        <v/>
      </c>
      <c r="B210" s="4" t="str">
        <f ca="1">VLOOKUP(A210,Calculation!$E$6:$J$1004,4,FALSE)</f>
        <v/>
      </c>
      <c r="C210" s="4" t="str">
        <f ca="1">VLOOKUP(A210,Calculation!$E$6:$J$1004,5,FALSE)</f>
        <v/>
      </c>
      <c r="D210" s="4" t="str">
        <f ca="1">VLOOKUP(A210,Calculation!$E$6:$J$1004,6,FALSE)</f>
        <v/>
      </c>
      <c r="E210" s="42" t="str">
        <f t="shared" ca="1" si="0"/>
        <v/>
      </c>
      <c r="G210" s="29" t="str">
        <f ca="1">VLOOKUP(A210,Calculation!$F$6:$J$1004,3,FALSE)</f>
        <v/>
      </c>
      <c r="H210" s="4" t="str">
        <f ca="1">VLOOKUP(A210,Calculation!$F$6:$J$1004,4,FALSE)</f>
        <v/>
      </c>
      <c r="I210" s="4" t="str">
        <f ca="1">VLOOKUP(A210,Calculation!$F$6:$J$1004,5,FALSE)</f>
        <v/>
      </c>
      <c r="J210" s="43" t="str">
        <f t="shared" ca="1" si="1"/>
        <v/>
      </c>
      <c r="L210" s="29" t="str">
        <f ca="1">VLOOKUP(A210,Calculation!$G$6:$S$1004,2,FALSE)</f>
        <v/>
      </c>
      <c r="M210" s="4" t="str">
        <f ca="1">IFERROR(VLOOKUP($L210,Calculation!$H$6:$S$1005,HLOOKUP(M$2,Calculation!$M$4:$S$5,2,FALSE)+5,FALSE),"")</f>
        <v/>
      </c>
      <c r="N210" s="4" t="str">
        <f ca="1">IFERROR(VLOOKUP($L210,Calculation!$H$6:$S$1005,HLOOKUP(N$2,Calculation!$M$4:$S$5,2,FALSE)+5,FALSE),"")</f>
        <v/>
      </c>
      <c r="O210" s="4" t="str">
        <f ca="1">IFERROR(VLOOKUP($L210,Calculation!$H$6:$S$1005,HLOOKUP(O$2,Calculation!$M$4:$S$5,2,FALSE)+5,FALSE),"")</f>
        <v/>
      </c>
      <c r="P210" s="4" t="str">
        <f ca="1">IFERROR(VLOOKUP($L210,Calculation!$H$6:$S$1005,HLOOKUP(P$2,Calculation!$M$4:$S$5,2,FALSE)+5,FALSE),"")</f>
        <v/>
      </c>
      <c r="Q210" s="4" t="str">
        <f ca="1">IFERROR(VLOOKUP($L210,Calculation!$H$6:$S$1005,HLOOKUP(Q$2,Calculation!$M$4:$S$5,2,FALSE)+5,FALSE),"")</f>
        <v/>
      </c>
      <c r="R210" s="27" t="str">
        <f ca="1">IFERROR(VLOOKUP($L210,Calculation!$H$6:$S$1005,HLOOKUP(R$2,Calculation!$M$4:$S$5,2,FALSE)+5,FALSE),"")</f>
        <v/>
      </c>
      <c r="S210" s="4" t="str">
        <f ca="1">IFERROR(VLOOKUP($L210,Calculation!$H$6:$S$1005,HLOOKUP(S$2,Calculation!$M$4:$S$5,2,FALSE)+5,FALSE),"")</f>
        <v/>
      </c>
      <c r="T210" s="29"/>
      <c r="U210" s="43" t="str">
        <f>IFERROR(VLOOKUP(T210,Calculation!$U$6:$V$11,2,FALSE),"")</f>
        <v/>
      </c>
    </row>
    <row r="211" spans="1:21" ht="14.25" customHeight="1" x14ac:dyDescent="0.3">
      <c r="A211" s="26" t="str">
        <f ca="1">IF(Calculation!T214&lt;=Calculation!$H$4,Calculation!T214,"")</f>
        <v/>
      </c>
      <c r="B211" s="4" t="str">
        <f ca="1">VLOOKUP(A211,Calculation!$E$6:$J$1004,4,FALSE)</f>
        <v/>
      </c>
      <c r="C211" s="4" t="str">
        <f ca="1">VLOOKUP(A211,Calculation!$E$6:$J$1004,5,FALSE)</f>
        <v/>
      </c>
      <c r="D211" s="4" t="str">
        <f ca="1">VLOOKUP(A211,Calculation!$E$6:$J$1004,6,FALSE)</f>
        <v/>
      </c>
      <c r="E211" s="42" t="str">
        <f t="shared" ca="1" si="0"/>
        <v/>
      </c>
      <c r="G211" s="29" t="str">
        <f ca="1">VLOOKUP(A211,Calculation!$F$6:$J$1004,3,FALSE)</f>
        <v/>
      </c>
      <c r="H211" s="4" t="str">
        <f ca="1">VLOOKUP(A211,Calculation!$F$6:$J$1004,4,FALSE)</f>
        <v/>
      </c>
      <c r="I211" s="4" t="str">
        <f ca="1">VLOOKUP(A211,Calculation!$F$6:$J$1004,5,FALSE)</f>
        <v/>
      </c>
      <c r="J211" s="43" t="str">
        <f t="shared" ca="1" si="1"/>
        <v/>
      </c>
      <c r="L211" s="29" t="str">
        <f ca="1">VLOOKUP(A211,Calculation!$G$6:$S$1004,2,FALSE)</f>
        <v/>
      </c>
      <c r="M211" s="4" t="str">
        <f ca="1">IFERROR(VLOOKUP($L211,Calculation!$H$6:$S$1005,HLOOKUP(M$2,Calculation!$M$4:$S$5,2,FALSE)+5,FALSE),"")</f>
        <v/>
      </c>
      <c r="N211" s="4" t="str">
        <f ca="1">IFERROR(VLOOKUP($L211,Calculation!$H$6:$S$1005,HLOOKUP(N$2,Calculation!$M$4:$S$5,2,FALSE)+5,FALSE),"")</f>
        <v/>
      </c>
      <c r="O211" s="4" t="str">
        <f ca="1">IFERROR(VLOOKUP($L211,Calculation!$H$6:$S$1005,HLOOKUP(O$2,Calculation!$M$4:$S$5,2,FALSE)+5,FALSE),"")</f>
        <v/>
      </c>
      <c r="P211" s="4" t="str">
        <f ca="1">IFERROR(VLOOKUP($L211,Calculation!$H$6:$S$1005,HLOOKUP(P$2,Calculation!$M$4:$S$5,2,FALSE)+5,FALSE),"")</f>
        <v/>
      </c>
      <c r="Q211" s="4" t="str">
        <f ca="1">IFERROR(VLOOKUP($L211,Calculation!$H$6:$S$1005,HLOOKUP(Q$2,Calculation!$M$4:$S$5,2,FALSE)+5,FALSE),"")</f>
        <v/>
      </c>
      <c r="R211" s="27" t="str">
        <f ca="1">IFERROR(VLOOKUP($L211,Calculation!$H$6:$S$1005,HLOOKUP(R$2,Calculation!$M$4:$S$5,2,FALSE)+5,FALSE),"")</f>
        <v/>
      </c>
      <c r="S211" s="4" t="str">
        <f ca="1">IFERROR(VLOOKUP($L211,Calculation!$H$6:$S$1005,HLOOKUP(S$2,Calculation!$M$4:$S$5,2,FALSE)+5,FALSE),"")</f>
        <v/>
      </c>
      <c r="T211" s="29"/>
      <c r="U211" s="43" t="str">
        <f>IFERROR(VLOOKUP(T211,Calculation!$U$6:$V$11,2,FALSE),"")</f>
        <v/>
      </c>
    </row>
    <row r="212" spans="1:21" ht="14.25" customHeight="1" x14ac:dyDescent="0.3">
      <c r="A212" s="26" t="str">
        <f ca="1">IF(Calculation!T215&lt;=Calculation!$H$4,Calculation!T215,"")</f>
        <v/>
      </c>
      <c r="B212" s="4" t="str">
        <f ca="1">VLOOKUP(A212,Calculation!$E$6:$J$1004,4,FALSE)</f>
        <v/>
      </c>
      <c r="C212" s="4" t="str">
        <f ca="1">VLOOKUP(A212,Calculation!$E$6:$J$1004,5,FALSE)</f>
        <v/>
      </c>
      <c r="D212" s="4" t="str">
        <f ca="1">VLOOKUP(A212,Calculation!$E$6:$J$1004,6,FALSE)</f>
        <v/>
      </c>
      <c r="E212" s="42" t="str">
        <f t="shared" ca="1" si="0"/>
        <v/>
      </c>
      <c r="G212" s="29" t="str">
        <f ca="1">VLOOKUP(A212,Calculation!$F$6:$J$1004,3,FALSE)</f>
        <v/>
      </c>
      <c r="H212" s="4" t="str">
        <f ca="1">VLOOKUP(A212,Calculation!$F$6:$J$1004,4,FALSE)</f>
        <v/>
      </c>
      <c r="I212" s="4" t="str">
        <f ca="1">VLOOKUP(A212,Calculation!$F$6:$J$1004,5,FALSE)</f>
        <v/>
      </c>
      <c r="J212" s="43" t="str">
        <f t="shared" ca="1" si="1"/>
        <v/>
      </c>
      <c r="L212" s="29" t="str">
        <f ca="1">VLOOKUP(A212,Calculation!$G$6:$S$1004,2,FALSE)</f>
        <v/>
      </c>
      <c r="M212" s="4" t="str">
        <f ca="1">IFERROR(VLOOKUP($L212,Calculation!$H$6:$S$1005,HLOOKUP(M$2,Calculation!$M$4:$S$5,2,FALSE)+5,FALSE),"")</f>
        <v/>
      </c>
      <c r="N212" s="4" t="str">
        <f ca="1">IFERROR(VLOOKUP($L212,Calculation!$H$6:$S$1005,HLOOKUP(N$2,Calculation!$M$4:$S$5,2,FALSE)+5,FALSE),"")</f>
        <v/>
      </c>
      <c r="O212" s="4" t="str">
        <f ca="1">IFERROR(VLOOKUP($L212,Calculation!$H$6:$S$1005,HLOOKUP(O$2,Calculation!$M$4:$S$5,2,FALSE)+5,FALSE),"")</f>
        <v/>
      </c>
      <c r="P212" s="4" t="str">
        <f ca="1">IFERROR(VLOOKUP($L212,Calculation!$H$6:$S$1005,HLOOKUP(P$2,Calculation!$M$4:$S$5,2,FALSE)+5,FALSE),"")</f>
        <v/>
      </c>
      <c r="Q212" s="4" t="str">
        <f ca="1">IFERROR(VLOOKUP($L212,Calculation!$H$6:$S$1005,HLOOKUP(Q$2,Calculation!$M$4:$S$5,2,FALSE)+5,FALSE),"")</f>
        <v/>
      </c>
      <c r="R212" s="27" t="str">
        <f ca="1">IFERROR(VLOOKUP($L212,Calculation!$H$6:$S$1005,HLOOKUP(R$2,Calculation!$M$4:$S$5,2,FALSE)+5,FALSE),"")</f>
        <v/>
      </c>
      <c r="S212" s="4" t="str">
        <f ca="1">IFERROR(VLOOKUP($L212,Calculation!$H$6:$S$1005,HLOOKUP(S$2,Calculation!$M$4:$S$5,2,FALSE)+5,FALSE),"")</f>
        <v/>
      </c>
      <c r="T212" s="29"/>
      <c r="U212" s="43" t="str">
        <f>IFERROR(VLOOKUP(T212,Calculation!$U$6:$V$11,2,FALSE),"")</f>
        <v/>
      </c>
    </row>
    <row r="213" spans="1:21" ht="14.25" customHeight="1" x14ac:dyDescent="0.3">
      <c r="A213" s="26" t="str">
        <f ca="1">IF(Calculation!T216&lt;=Calculation!$H$4,Calculation!T216,"")</f>
        <v/>
      </c>
      <c r="B213" s="4" t="str">
        <f ca="1">VLOOKUP(A213,Calculation!$E$6:$J$1004,4,FALSE)</f>
        <v/>
      </c>
      <c r="C213" s="4" t="str">
        <f ca="1">VLOOKUP(A213,Calculation!$E$6:$J$1004,5,FALSE)</f>
        <v/>
      </c>
      <c r="D213" s="4" t="str">
        <f ca="1">VLOOKUP(A213,Calculation!$E$6:$J$1004,6,FALSE)</f>
        <v/>
      </c>
      <c r="E213" s="42" t="str">
        <f t="shared" ca="1" si="0"/>
        <v/>
      </c>
      <c r="G213" s="29" t="str">
        <f ca="1">VLOOKUP(A213,Calculation!$F$6:$J$1004,3,FALSE)</f>
        <v/>
      </c>
      <c r="H213" s="4" t="str">
        <f ca="1">VLOOKUP(A213,Calculation!$F$6:$J$1004,4,FALSE)</f>
        <v/>
      </c>
      <c r="I213" s="4" t="str">
        <f ca="1">VLOOKUP(A213,Calculation!$F$6:$J$1004,5,FALSE)</f>
        <v/>
      </c>
      <c r="J213" s="43" t="str">
        <f t="shared" ca="1" si="1"/>
        <v/>
      </c>
      <c r="L213" s="29" t="str">
        <f ca="1">VLOOKUP(A213,Calculation!$G$6:$S$1004,2,FALSE)</f>
        <v/>
      </c>
      <c r="M213" s="4" t="str">
        <f ca="1">IFERROR(VLOOKUP($L213,Calculation!$H$6:$S$1005,HLOOKUP(M$2,Calculation!$M$4:$S$5,2,FALSE)+5,FALSE),"")</f>
        <v/>
      </c>
      <c r="N213" s="4" t="str">
        <f ca="1">IFERROR(VLOOKUP($L213,Calculation!$H$6:$S$1005,HLOOKUP(N$2,Calculation!$M$4:$S$5,2,FALSE)+5,FALSE),"")</f>
        <v/>
      </c>
      <c r="O213" s="4" t="str">
        <f ca="1">IFERROR(VLOOKUP($L213,Calculation!$H$6:$S$1005,HLOOKUP(O$2,Calculation!$M$4:$S$5,2,FALSE)+5,FALSE),"")</f>
        <v/>
      </c>
      <c r="P213" s="4" t="str">
        <f ca="1">IFERROR(VLOOKUP($L213,Calculation!$H$6:$S$1005,HLOOKUP(P$2,Calculation!$M$4:$S$5,2,FALSE)+5,FALSE),"")</f>
        <v/>
      </c>
      <c r="Q213" s="4" t="str">
        <f ca="1">IFERROR(VLOOKUP($L213,Calculation!$H$6:$S$1005,HLOOKUP(Q$2,Calculation!$M$4:$S$5,2,FALSE)+5,FALSE),"")</f>
        <v/>
      </c>
      <c r="R213" s="27" t="str">
        <f ca="1">IFERROR(VLOOKUP($L213,Calculation!$H$6:$S$1005,HLOOKUP(R$2,Calculation!$M$4:$S$5,2,FALSE)+5,FALSE),"")</f>
        <v/>
      </c>
      <c r="S213" s="4" t="str">
        <f ca="1">IFERROR(VLOOKUP($L213,Calculation!$H$6:$S$1005,HLOOKUP(S$2,Calculation!$M$4:$S$5,2,FALSE)+5,FALSE),"")</f>
        <v/>
      </c>
      <c r="T213" s="29"/>
      <c r="U213" s="43" t="str">
        <f>IFERROR(VLOOKUP(T213,Calculation!$U$6:$V$11,2,FALSE),"")</f>
        <v/>
      </c>
    </row>
    <row r="214" spans="1:21" ht="14.25" customHeight="1" x14ac:dyDescent="0.3">
      <c r="A214" s="26" t="str">
        <f ca="1">IF(Calculation!T217&lt;=Calculation!$H$4,Calculation!T217,"")</f>
        <v/>
      </c>
      <c r="B214" s="4" t="str">
        <f ca="1">VLOOKUP(A214,Calculation!$E$6:$J$1004,4,FALSE)</f>
        <v/>
      </c>
      <c r="C214" s="4" t="str">
        <f ca="1">VLOOKUP(A214,Calculation!$E$6:$J$1004,5,FALSE)</f>
        <v/>
      </c>
      <c r="D214" s="4" t="str">
        <f ca="1">VLOOKUP(A214,Calculation!$E$6:$J$1004,6,FALSE)</f>
        <v/>
      </c>
      <c r="E214" s="42" t="str">
        <f t="shared" ca="1" si="0"/>
        <v/>
      </c>
      <c r="G214" s="29" t="str">
        <f ca="1">VLOOKUP(A214,Calculation!$F$6:$J$1004,3,FALSE)</f>
        <v/>
      </c>
      <c r="H214" s="4" t="str">
        <f ca="1">VLOOKUP(A214,Calculation!$F$6:$J$1004,4,FALSE)</f>
        <v/>
      </c>
      <c r="I214" s="4" t="str">
        <f ca="1">VLOOKUP(A214,Calculation!$F$6:$J$1004,5,FALSE)</f>
        <v/>
      </c>
      <c r="J214" s="43" t="str">
        <f t="shared" ca="1" si="1"/>
        <v/>
      </c>
      <c r="L214" s="29" t="str">
        <f ca="1">VLOOKUP(A214,Calculation!$G$6:$S$1004,2,FALSE)</f>
        <v/>
      </c>
      <c r="M214" s="4" t="str">
        <f ca="1">IFERROR(VLOOKUP($L214,Calculation!$H$6:$S$1005,HLOOKUP(M$2,Calculation!$M$4:$S$5,2,FALSE)+5,FALSE),"")</f>
        <v/>
      </c>
      <c r="N214" s="4" t="str">
        <f ca="1">IFERROR(VLOOKUP($L214,Calculation!$H$6:$S$1005,HLOOKUP(N$2,Calculation!$M$4:$S$5,2,FALSE)+5,FALSE),"")</f>
        <v/>
      </c>
      <c r="O214" s="4" t="str">
        <f ca="1">IFERROR(VLOOKUP($L214,Calculation!$H$6:$S$1005,HLOOKUP(O$2,Calculation!$M$4:$S$5,2,FALSE)+5,FALSE),"")</f>
        <v/>
      </c>
      <c r="P214" s="4" t="str">
        <f ca="1">IFERROR(VLOOKUP($L214,Calculation!$H$6:$S$1005,HLOOKUP(P$2,Calculation!$M$4:$S$5,2,FALSE)+5,FALSE),"")</f>
        <v/>
      </c>
      <c r="Q214" s="4" t="str">
        <f ca="1">IFERROR(VLOOKUP($L214,Calculation!$H$6:$S$1005,HLOOKUP(Q$2,Calculation!$M$4:$S$5,2,FALSE)+5,FALSE),"")</f>
        <v/>
      </c>
      <c r="R214" s="27" t="str">
        <f ca="1">IFERROR(VLOOKUP($L214,Calculation!$H$6:$S$1005,HLOOKUP(R$2,Calculation!$M$4:$S$5,2,FALSE)+5,FALSE),"")</f>
        <v/>
      </c>
      <c r="S214" s="4" t="str">
        <f ca="1">IFERROR(VLOOKUP($L214,Calculation!$H$6:$S$1005,HLOOKUP(S$2,Calculation!$M$4:$S$5,2,FALSE)+5,FALSE),"")</f>
        <v/>
      </c>
      <c r="T214" s="29"/>
      <c r="U214" s="43" t="str">
        <f>IFERROR(VLOOKUP(T214,Calculation!$U$6:$V$11,2,FALSE),"")</f>
        <v/>
      </c>
    </row>
    <row r="215" spans="1:21" ht="14.25" customHeight="1" x14ac:dyDescent="0.3">
      <c r="A215" s="26" t="str">
        <f ca="1">IF(Calculation!T218&lt;=Calculation!$H$4,Calculation!T218,"")</f>
        <v/>
      </c>
      <c r="B215" s="4" t="str">
        <f ca="1">VLOOKUP(A215,Calculation!$E$6:$J$1004,4,FALSE)</f>
        <v/>
      </c>
      <c r="C215" s="4" t="str">
        <f ca="1">VLOOKUP(A215,Calculation!$E$6:$J$1004,5,FALSE)</f>
        <v/>
      </c>
      <c r="D215" s="4" t="str">
        <f ca="1">VLOOKUP(A215,Calculation!$E$6:$J$1004,6,FALSE)</f>
        <v/>
      </c>
      <c r="E215" s="42" t="str">
        <f t="shared" ca="1" si="0"/>
        <v/>
      </c>
      <c r="G215" s="29" t="str">
        <f ca="1">VLOOKUP(A215,Calculation!$F$6:$J$1004,3,FALSE)</f>
        <v/>
      </c>
      <c r="H215" s="4" t="str">
        <f ca="1">VLOOKUP(A215,Calculation!$F$6:$J$1004,4,FALSE)</f>
        <v/>
      </c>
      <c r="I215" s="4" t="str">
        <f ca="1">VLOOKUP(A215,Calculation!$F$6:$J$1004,5,FALSE)</f>
        <v/>
      </c>
      <c r="J215" s="43" t="str">
        <f t="shared" ca="1" si="1"/>
        <v/>
      </c>
      <c r="L215" s="29" t="str">
        <f ca="1">VLOOKUP(A215,Calculation!$G$6:$S$1004,2,FALSE)</f>
        <v/>
      </c>
      <c r="M215" s="4" t="str">
        <f ca="1">IFERROR(VLOOKUP($L215,Calculation!$H$6:$S$1005,HLOOKUP(M$2,Calculation!$M$4:$S$5,2,FALSE)+5,FALSE),"")</f>
        <v/>
      </c>
      <c r="N215" s="4" t="str">
        <f ca="1">IFERROR(VLOOKUP($L215,Calculation!$H$6:$S$1005,HLOOKUP(N$2,Calculation!$M$4:$S$5,2,FALSE)+5,FALSE),"")</f>
        <v/>
      </c>
      <c r="O215" s="4" t="str">
        <f ca="1">IFERROR(VLOOKUP($L215,Calculation!$H$6:$S$1005,HLOOKUP(O$2,Calculation!$M$4:$S$5,2,FALSE)+5,FALSE),"")</f>
        <v/>
      </c>
      <c r="P215" s="4" t="str">
        <f ca="1">IFERROR(VLOOKUP($L215,Calculation!$H$6:$S$1005,HLOOKUP(P$2,Calculation!$M$4:$S$5,2,FALSE)+5,FALSE),"")</f>
        <v/>
      </c>
      <c r="Q215" s="4" t="str">
        <f ca="1">IFERROR(VLOOKUP($L215,Calculation!$H$6:$S$1005,HLOOKUP(Q$2,Calculation!$M$4:$S$5,2,FALSE)+5,FALSE),"")</f>
        <v/>
      </c>
      <c r="R215" s="27" t="str">
        <f ca="1">IFERROR(VLOOKUP($L215,Calculation!$H$6:$S$1005,HLOOKUP(R$2,Calculation!$M$4:$S$5,2,FALSE)+5,FALSE),"")</f>
        <v/>
      </c>
      <c r="S215" s="4" t="str">
        <f ca="1">IFERROR(VLOOKUP($L215,Calculation!$H$6:$S$1005,HLOOKUP(S$2,Calculation!$M$4:$S$5,2,FALSE)+5,FALSE),"")</f>
        <v/>
      </c>
      <c r="T215" s="29"/>
      <c r="U215" s="43" t="str">
        <f>IFERROR(VLOOKUP(T215,Calculation!$U$6:$V$11,2,FALSE),"")</f>
        <v/>
      </c>
    </row>
    <row r="216" spans="1:21" ht="14.25" customHeight="1" x14ac:dyDescent="0.3">
      <c r="A216" s="26" t="str">
        <f ca="1">IF(Calculation!T219&lt;=Calculation!$H$4,Calculation!T219,"")</f>
        <v/>
      </c>
      <c r="B216" s="4" t="str">
        <f ca="1">VLOOKUP(A216,Calculation!$E$6:$J$1004,4,FALSE)</f>
        <v/>
      </c>
      <c r="C216" s="4" t="str">
        <f ca="1">VLOOKUP(A216,Calculation!$E$6:$J$1004,5,FALSE)</f>
        <v/>
      </c>
      <c r="D216" s="4" t="str">
        <f ca="1">VLOOKUP(A216,Calculation!$E$6:$J$1004,6,FALSE)</f>
        <v/>
      </c>
      <c r="E216" s="42" t="str">
        <f t="shared" ca="1" si="0"/>
        <v/>
      </c>
      <c r="G216" s="29" t="str">
        <f ca="1">VLOOKUP(A216,Calculation!$F$6:$J$1004,3,FALSE)</f>
        <v/>
      </c>
      <c r="H216" s="4" t="str">
        <f ca="1">VLOOKUP(A216,Calculation!$F$6:$J$1004,4,FALSE)</f>
        <v/>
      </c>
      <c r="I216" s="4" t="str">
        <f ca="1">VLOOKUP(A216,Calculation!$F$6:$J$1004,5,FALSE)</f>
        <v/>
      </c>
      <c r="J216" s="43" t="str">
        <f t="shared" ca="1" si="1"/>
        <v/>
      </c>
      <c r="L216" s="29" t="str">
        <f ca="1">VLOOKUP(A216,Calculation!$G$6:$S$1004,2,FALSE)</f>
        <v/>
      </c>
      <c r="M216" s="4" t="str">
        <f ca="1">IFERROR(VLOOKUP($L216,Calculation!$H$6:$S$1005,HLOOKUP(M$2,Calculation!$M$4:$S$5,2,FALSE)+5,FALSE),"")</f>
        <v/>
      </c>
      <c r="N216" s="4" t="str">
        <f ca="1">IFERROR(VLOOKUP($L216,Calculation!$H$6:$S$1005,HLOOKUP(N$2,Calculation!$M$4:$S$5,2,FALSE)+5,FALSE),"")</f>
        <v/>
      </c>
      <c r="O216" s="4" t="str">
        <f ca="1">IFERROR(VLOOKUP($L216,Calculation!$H$6:$S$1005,HLOOKUP(O$2,Calculation!$M$4:$S$5,2,FALSE)+5,FALSE),"")</f>
        <v/>
      </c>
      <c r="P216" s="4" t="str">
        <f ca="1">IFERROR(VLOOKUP($L216,Calculation!$H$6:$S$1005,HLOOKUP(P$2,Calculation!$M$4:$S$5,2,FALSE)+5,FALSE),"")</f>
        <v/>
      </c>
      <c r="Q216" s="4" t="str">
        <f ca="1">IFERROR(VLOOKUP($L216,Calculation!$H$6:$S$1005,HLOOKUP(Q$2,Calculation!$M$4:$S$5,2,FALSE)+5,FALSE),"")</f>
        <v/>
      </c>
      <c r="R216" s="27" t="str">
        <f ca="1">IFERROR(VLOOKUP($L216,Calculation!$H$6:$S$1005,HLOOKUP(R$2,Calculation!$M$4:$S$5,2,FALSE)+5,FALSE),"")</f>
        <v/>
      </c>
      <c r="S216" s="4" t="str">
        <f ca="1">IFERROR(VLOOKUP($L216,Calculation!$H$6:$S$1005,HLOOKUP(S$2,Calculation!$M$4:$S$5,2,FALSE)+5,FALSE),"")</f>
        <v/>
      </c>
      <c r="T216" s="29"/>
      <c r="U216" s="43" t="str">
        <f>IFERROR(VLOOKUP(T216,Calculation!$U$6:$V$11,2,FALSE),"")</f>
        <v/>
      </c>
    </row>
    <row r="217" spans="1:21" ht="14.25" customHeight="1" x14ac:dyDescent="0.3">
      <c r="A217" s="26" t="str">
        <f ca="1">IF(Calculation!T220&lt;=Calculation!$H$4,Calculation!T220,"")</f>
        <v/>
      </c>
      <c r="B217" s="4" t="str">
        <f ca="1">VLOOKUP(A217,Calculation!$E$6:$J$1004,4,FALSE)</f>
        <v/>
      </c>
      <c r="C217" s="4" t="str">
        <f ca="1">VLOOKUP(A217,Calculation!$E$6:$J$1004,5,FALSE)</f>
        <v/>
      </c>
      <c r="D217" s="4" t="str">
        <f ca="1">VLOOKUP(A217,Calculation!$E$6:$J$1004,6,FALSE)</f>
        <v/>
      </c>
      <c r="E217" s="42" t="str">
        <f t="shared" ca="1" si="0"/>
        <v/>
      </c>
      <c r="G217" s="29" t="str">
        <f ca="1">VLOOKUP(A217,Calculation!$F$6:$J$1004,3,FALSE)</f>
        <v/>
      </c>
      <c r="H217" s="4" t="str">
        <f ca="1">VLOOKUP(A217,Calculation!$F$6:$J$1004,4,FALSE)</f>
        <v/>
      </c>
      <c r="I217" s="4" t="str">
        <f ca="1">VLOOKUP(A217,Calculation!$F$6:$J$1004,5,FALSE)</f>
        <v/>
      </c>
      <c r="J217" s="43" t="str">
        <f t="shared" ca="1" si="1"/>
        <v/>
      </c>
      <c r="L217" s="29" t="str">
        <f ca="1">VLOOKUP(A217,Calculation!$G$6:$S$1004,2,FALSE)</f>
        <v/>
      </c>
      <c r="M217" s="4" t="str">
        <f ca="1">IFERROR(VLOOKUP($L217,Calculation!$H$6:$S$1005,HLOOKUP(M$2,Calculation!$M$4:$S$5,2,FALSE)+5,FALSE),"")</f>
        <v/>
      </c>
      <c r="N217" s="4" t="str">
        <f ca="1">IFERROR(VLOOKUP($L217,Calculation!$H$6:$S$1005,HLOOKUP(N$2,Calculation!$M$4:$S$5,2,FALSE)+5,FALSE),"")</f>
        <v/>
      </c>
      <c r="O217" s="4" t="str">
        <f ca="1">IFERROR(VLOOKUP($L217,Calculation!$H$6:$S$1005,HLOOKUP(O$2,Calculation!$M$4:$S$5,2,FALSE)+5,FALSE),"")</f>
        <v/>
      </c>
      <c r="P217" s="4" t="str">
        <f ca="1">IFERROR(VLOOKUP($L217,Calculation!$H$6:$S$1005,HLOOKUP(P$2,Calculation!$M$4:$S$5,2,FALSE)+5,FALSE),"")</f>
        <v/>
      </c>
      <c r="Q217" s="4" t="str">
        <f ca="1">IFERROR(VLOOKUP($L217,Calculation!$H$6:$S$1005,HLOOKUP(Q$2,Calculation!$M$4:$S$5,2,FALSE)+5,FALSE),"")</f>
        <v/>
      </c>
      <c r="R217" s="27" t="str">
        <f ca="1">IFERROR(VLOOKUP($L217,Calculation!$H$6:$S$1005,HLOOKUP(R$2,Calculation!$M$4:$S$5,2,FALSE)+5,FALSE),"")</f>
        <v/>
      </c>
      <c r="S217" s="4" t="str">
        <f ca="1">IFERROR(VLOOKUP($L217,Calculation!$H$6:$S$1005,HLOOKUP(S$2,Calculation!$M$4:$S$5,2,FALSE)+5,FALSE),"")</f>
        <v/>
      </c>
      <c r="T217" s="29"/>
      <c r="U217" s="43" t="str">
        <f>IFERROR(VLOOKUP(T217,Calculation!$U$6:$V$11,2,FALSE),"")</f>
        <v/>
      </c>
    </row>
    <row r="218" spans="1:21" ht="14.25" customHeight="1" x14ac:dyDescent="0.3">
      <c r="A218" s="26" t="str">
        <f ca="1">IF(Calculation!T221&lt;=Calculation!$H$4,Calculation!T221,"")</f>
        <v/>
      </c>
      <c r="B218" s="4" t="str">
        <f ca="1">VLOOKUP(A218,Calculation!$E$6:$J$1004,4,FALSE)</f>
        <v/>
      </c>
      <c r="C218" s="4" t="str">
        <f ca="1">VLOOKUP(A218,Calculation!$E$6:$J$1004,5,FALSE)</f>
        <v/>
      </c>
      <c r="D218" s="4" t="str">
        <f ca="1">VLOOKUP(A218,Calculation!$E$6:$J$1004,6,FALSE)</f>
        <v/>
      </c>
      <c r="E218" s="42" t="str">
        <f t="shared" ca="1" si="0"/>
        <v/>
      </c>
      <c r="G218" s="29" t="str">
        <f ca="1">VLOOKUP(A218,Calculation!$F$6:$J$1004,3,FALSE)</f>
        <v/>
      </c>
      <c r="H218" s="4" t="str">
        <f ca="1">VLOOKUP(A218,Calculation!$F$6:$J$1004,4,FALSE)</f>
        <v/>
      </c>
      <c r="I218" s="4" t="str">
        <f ca="1">VLOOKUP(A218,Calculation!$F$6:$J$1004,5,FALSE)</f>
        <v/>
      </c>
      <c r="J218" s="43" t="str">
        <f t="shared" ca="1" si="1"/>
        <v/>
      </c>
      <c r="L218" s="29" t="str">
        <f ca="1">VLOOKUP(A218,Calculation!$G$6:$S$1004,2,FALSE)</f>
        <v/>
      </c>
      <c r="M218" s="4" t="str">
        <f ca="1">IFERROR(VLOOKUP($L218,Calculation!$H$6:$S$1005,HLOOKUP(M$2,Calculation!$M$4:$S$5,2,FALSE)+5,FALSE),"")</f>
        <v/>
      </c>
      <c r="N218" s="4" t="str">
        <f ca="1">IFERROR(VLOOKUP($L218,Calculation!$H$6:$S$1005,HLOOKUP(N$2,Calculation!$M$4:$S$5,2,FALSE)+5,FALSE),"")</f>
        <v/>
      </c>
      <c r="O218" s="4" t="str">
        <f ca="1">IFERROR(VLOOKUP($L218,Calculation!$H$6:$S$1005,HLOOKUP(O$2,Calculation!$M$4:$S$5,2,FALSE)+5,FALSE),"")</f>
        <v/>
      </c>
      <c r="P218" s="4" t="str">
        <f ca="1">IFERROR(VLOOKUP($L218,Calculation!$H$6:$S$1005,HLOOKUP(P$2,Calculation!$M$4:$S$5,2,FALSE)+5,FALSE),"")</f>
        <v/>
      </c>
      <c r="Q218" s="4" t="str">
        <f ca="1">IFERROR(VLOOKUP($L218,Calculation!$H$6:$S$1005,HLOOKUP(Q$2,Calculation!$M$4:$S$5,2,FALSE)+5,FALSE),"")</f>
        <v/>
      </c>
      <c r="R218" s="27" t="str">
        <f ca="1">IFERROR(VLOOKUP($L218,Calculation!$H$6:$S$1005,HLOOKUP(R$2,Calculation!$M$4:$S$5,2,FALSE)+5,FALSE),"")</f>
        <v/>
      </c>
      <c r="S218" s="4" t="str">
        <f ca="1">IFERROR(VLOOKUP($L218,Calculation!$H$6:$S$1005,HLOOKUP(S$2,Calculation!$M$4:$S$5,2,FALSE)+5,FALSE),"")</f>
        <v/>
      </c>
      <c r="T218" s="29"/>
      <c r="U218" s="43" t="str">
        <f>IFERROR(VLOOKUP(T218,Calculation!$U$6:$V$11,2,FALSE),"")</f>
        <v/>
      </c>
    </row>
    <row r="219" spans="1:21" ht="14.25" customHeight="1" x14ac:dyDescent="0.3">
      <c r="A219" s="26" t="str">
        <f ca="1">IF(Calculation!T222&lt;=Calculation!$H$4,Calculation!T222,"")</f>
        <v/>
      </c>
      <c r="B219" s="4" t="str">
        <f ca="1">VLOOKUP(A219,Calculation!$E$6:$J$1004,4,FALSE)</f>
        <v/>
      </c>
      <c r="C219" s="4" t="str">
        <f ca="1">VLOOKUP(A219,Calculation!$E$6:$J$1004,5,FALSE)</f>
        <v/>
      </c>
      <c r="D219" s="4" t="str">
        <f ca="1">VLOOKUP(A219,Calculation!$E$6:$J$1004,6,FALSE)</f>
        <v/>
      </c>
      <c r="E219" s="42" t="str">
        <f t="shared" ca="1" si="0"/>
        <v/>
      </c>
      <c r="G219" s="29" t="str">
        <f ca="1">VLOOKUP(A219,Calculation!$F$6:$J$1004,3,FALSE)</f>
        <v/>
      </c>
      <c r="H219" s="4" t="str">
        <f ca="1">VLOOKUP(A219,Calculation!$F$6:$J$1004,4,FALSE)</f>
        <v/>
      </c>
      <c r="I219" s="4" t="str">
        <f ca="1">VLOOKUP(A219,Calculation!$F$6:$J$1004,5,FALSE)</f>
        <v/>
      </c>
      <c r="J219" s="43" t="str">
        <f t="shared" ca="1" si="1"/>
        <v/>
      </c>
      <c r="L219" s="29" t="str">
        <f ca="1">VLOOKUP(A219,Calculation!$G$6:$S$1004,2,FALSE)</f>
        <v/>
      </c>
      <c r="M219" s="4" t="str">
        <f ca="1">IFERROR(VLOOKUP($L219,Calculation!$H$6:$S$1005,HLOOKUP(M$2,Calculation!$M$4:$S$5,2,FALSE)+5,FALSE),"")</f>
        <v/>
      </c>
      <c r="N219" s="4" t="str">
        <f ca="1">IFERROR(VLOOKUP($L219,Calculation!$H$6:$S$1005,HLOOKUP(N$2,Calculation!$M$4:$S$5,2,FALSE)+5,FALSE),"")</f>
        <v/>
      </c>
      <c r="O219" s="4" t="str">
        <f ca="1">IFERROR(VLOOKUP($L219,Calculation!$H$6:$S$1005,HLOOKUP(O$2,Calculation!$M$4:$S$5,2,FALSE)+5,FALSE),"")</f>
        <v/>
      </c>
      <c r="P219" s="4" t="str">
        <f ca="1">IFERROR(VLOOKUP($L219,Calculation!$H$6:$S$1005,HLOOKUP(P$2,Calculation!$M$4:$S$5,2,FALSE)+5,FALSE),"")</f>
        <v/>
      </c>
      <c r="Q219" s="4" t="str">
        <f ca="1">IFERROR(VLOOKUP($L219,Calculation!$H$6:$S$1005,HLOOKUP(Q$2,Calculation!$M$4:$S$5,2,FALSE)+5,FALSE),"")</f>
        <v/>
      </c>
      <c r="R219" s="27" t="str">
        <f ca="1">IFERROR(VLOOKUP($L219,Calculation!$H$6:$S$1005,HLOOKUP(R$2,Calculation!$M$4:$S$5,2,FALSE)+5,FALSE),"")</f>
        <v/>
      </c>
      <c r="S219" s="4" t="str">
        <f ca="1">IFERROR(VLOOKUP($L219,Calculation!$H$6:$S$1005,HLOOKUP(S$2,Calculation!$M$4:$S$5,2,FALSE)+5,FALSE),"")</f>
        <v/>
      </c>
      <c r="T219" s="29"/>
      <c r="U219" s="43" t="str">
        <f>IFERROR(VLOOKUP(T219,Calculation!$U$6:$V$11,2,FALSE),"")</f>
        <v/>
      </c>
    </row>
    <row r="220" spans="1:21" ht="14.25" customHeight="1" x14ac:dyDescent="0.3">
      <c r="A220" s="26" t="str">
        <f ca="1">IF(Calculation!T223&lt;=Calculation!$H$4,Calculation!T223,"")</f>
        <v/>
      </c>
      <c r="B220" s="4" t="str">
        <f ca="1">VLOOKUP(A220,Calculation!$E$6:$J$1004,4,FALSE)</f>
        <v/>
      </c>
      <c r="C220" s="4" t="str">
        <f ca="1">VLOOKUP(A220,Calculation!$E$6:$J$1004,5,FALSE)</f>
        <v/>
      </c>
      <c r="D220" s="4" t="str">
        <f ca="1">VLOOKUP(A220,Calculation!$E$6:$J$1004,6,FALSE)</f>
        <v/>
      </c>
      <c r="E220" s="42" t="str">
        <f t="shared" ca="1" si="0"/>
        <v/>
      </c>
      <c r="G220" s="29" t="str">
        <f ca="1">VLOOKUP(A220,Calculation!$F$6:$J$1004,3,FALSE)</f>
        <v/>
      </c>
      <c r="H220" s="4" t="str">
        <f ca="1">VLOOKUP(A220,Calculation!$F$6:$J$1004,4,FALSE)</f>
        <v/>
      </c>
      <c r="I220" s="4" t="str">
        <f ca="1">VLOOKUP(A220,Calculation!$F$6:$J$1004,5,FALSE)</f>
        <v/>
      </c>
      <c r="J220" s="43" t="str">
        <f t="shared" ca="1" si="1"/>
        <v/>
      </c>
      <c r="L220" s="29" t="str">
        <f ca="1">VLOOKUP(A220,Calculation!$G$6:$S$1004,2,FALSE)</f>
        <v/>
      </c>
      <c r="M220" s="4" t="str">
        <f ca="1">IFERROR(VLOOKUP($L220,Calculation!$H$6:$S$1005,HLOOKUP(M$2,Calculation!$M$4:$S$5,2,FALSE)+5,FALSE),"")</f>
        <v/>
      </c>
      <c r="N220" s="4" t="str">
        <f ca="1">IFERROR(VLOOKUP($L220,Calculation!$H$6:$S$1005,HLOOKUP(N$2,Calculation!$M$4:$S$5,2,FALSE)+5,FALSE),"")</f>
        <v/>
      </c>
      <c r="O220" s="4" t="str">
        <f ca="1">IFERROR(VLOOKUP($L220,Calculation!$H$6:$S$1005,HLOOKUP(O$2,Calculation!$M$4:$S$5,2,FALSE)+5,FALSE),"")</f>
        <v/>
      </c>
      <c r="P220" s="4" t="str">
        <f ca="1">IFERROR(VLOOKUP($L220,Calculation!$H$6:$S$1005,HLOOKUP(P$2,Calculation!$M$4:$S$5,2,FALSE)+5,FALSE),"")</f>
        <v/>
      </c>
      <c r="Q220" s="4" t="str">
        <f ca="1">IFERROR(VLOOKUP($L220,Calculation!$H$6:$S$1005,HLOOKUP(Q$2,Calculation!$M$4:$S$5,2,FALSE)+5,FALSE),"")</f>
        <v/>
      </c>
      <c r="R220" s="27" t="str">
        <f ca="1">IFERROR(VLOOKUP($L220,Calculation!$H$6:$S$1005,HLOOKUP(R$2,Calculation!$M$4:$S$5,2,FALSE)+5,FALSE),"")</f>
        <v/>
      </c>
      <c r="S220" s="4" t="str">
        <f ca="1">IFERROR(VLOOKUP($L220,Calculation!$H$6:$S$1005,HLOOKUP(S$2,Calculation!$M$4:$S$5,2,FALSE)+5,FALSE),"")</f>
        <v/>
      </c>
      <c r="T220" s="29"/>
      <c r="U220" s="43" t="str">
        <f>IFERROR(VLOOKUP(T220,Calculation!$U$6:$V$11,2,FALSE),"")</f>
        <v/>
      </c>
    </row>
    <row r="221" spans="1:21" ht="14.25" customHeight="1" x14ac:dyDescent="0.3">
      <c r="A221" s="26" t="str">
        <f ca="1">IF(Calculation!T224&lt;=Calculation!$H$4,Calculation!T224,"")</f>
        <v/>
      </c>
      <c r="B221" s="4" t="str">
        <f ca="1">VLOOKUP(A221,Calculation!$E$6:$J$1004,4,FALSE)</f>
        <v/>
      </c>
      <c r="C221" s="4" t="str">
        <f ca="1">VLOOKUP(A221,Calculation!$E$6:$J$1004,5,FALSE)</f>
        <v/>
      </c>
      <c r="D221" s="4" t="str">
        <f ca="1">VLOOKUP(A221,Calculation!$E$6:$J$1004,6,FALSE)</f>
        <v/>
      </c>
      <c r="E221" s="42" t="str">
        <f t="shared" ca="1" si="0"/>
        <v/>
      </c>
      <c r="G221" s="29" t="str">
        <f ca="1">VLOOKUP(A221,Calculation!$F$6:$J$1004,3,FALSE)</f>
        <v/>
      </c>
      <c r="H221" s="4" t="str">
        <f ca="1">VLOOKUP(A221,Calculation!$F$6:$J$1004,4,FALSE)</f>
        <v/>
      </c>
      <c r="I221" s="4" t="str">
        <f ca="1">VLOOKUP(A221,Calculation!$F$6:$J$1004,5,FALSE)</f>
        <v/>
      </c>
      <c r="J221" s="43" t="str">
        <f t="shared" ca="1" si="1"/>
        <v/>
      </c>
      <c r="L221" s="29" t="str">
        <f ca="1">VLOOKUP(A221,Calculation!$G$6:$S$1004,2,FALSE)</f>
        <v/>
      </c>
      <c r="M221" s="4" t="str">
        <f ca="1">IFERROR(VLOOKUP($L221,Calculation!$H$6:$S$1005,HLOOKUP(M$2,Calculation!$M$4:$S$5,2,FALSE)+5,FALSE),"")</f>
        <v/>
      </c>
      <c r="N221" s="4" t="str">
        <f ca="1">IFERROR(VLOOKUP($L221,Calculation!$H$6:$S$1005,HLOOKUP(N$2,Calculation!$M$4:$S$5,2,FALSE)+5,FALSE),"")</f>
        <v/>
      </c>
      <c r="O221" s="4" t="str">
        <f ca="1">IFERROR(VLOOKUP($L221,Calculation!$H$6:$S$1005,HLOOKUP(O$2,Calculation!$M$4:$S$5,2,FALSE)+5,FALSE),"")</f>
        <v/>
      </c>
      <c r="P221" s="4" t="str">
        <f ca="1">IFERROR(VLOOKUP($L221,Calculation!$H$6:$S$1005,HLOOKUP(P$2,Calculation!$M$4:$S$5,2,FALSE)+5,FALSE),"")</f>
        <v/>
      </c>
      <c r="Q221" s="4" t="str">
        <f ca="1">IFERROR(VLOOKUP($L221,Calculation!$H$6:$S$1005,HLOOKUP(Q$2,Calculation!$M$4:$S$5,2,FALSE)+5,FALSE),"")</f>
        <v/>
      </c>
      <c r="R221" s="27" t="str">
        <f ca="1">IFERROR(VLOOKUP($L221,Calculation!$H$6:$S$1005,HLOOKUP(R$2,Calculation!$M$4:$S$5,2,FALSE)+5,FALSE),"")</f>
        <v/>
      </c>
      <c r="S221" s="4" t="str">
        <f ca="1">IFERROR(VLOOKUP($L221,Calculation!$H$6:$S$1005,HLOOKUP(S$2,Calculation!$M$4:$S$5,2,FALSE)+5,FALSE),"")</f>
        <v/>
      </c>
      <c r="T221" s="29"/>
      <c r="U221" s="43" t="str">
        <f>IFERROR(VLOOKUP(T221,Calculation!$U$6:$V$11,2,FALSE),"")</f>
        <v/>
      </c>
    </row>
    <row r="222" spans="1:21" ht="14.25" customHeight="1" x14ac:dyDescent="0.3">
      <c r="A222" s="26" t="str">
        <f ca="1">IF(Calculation!T225&lt;=Calculation!$H$4,Calculation!T225,"")</f>
        <v/>
      </c>
      <c r="B222" s="4" t="str">
        <f ca="1">VLOOKUP(A222,Calculation!$E$6:$J$1004,4,FALSE)</f>
        <v/>
      </c>
      <c r="C222" s="4" t="str">
        <f ca="1">VLOOKUP(A222,Calculation!$E$6:$J$1004,5,FALSE)</f>
        <v/>
      </c>
      <c r="D222" s="4" t="str">
        <f ca="1">VLOOKUP(A222,Calculation!$E$6:$J$1004,6,FALSE)</f>
        <v/>
      </c>
      <c r="E222" s="42" t="str">
        <f t="shared" ca="1" si="0"/>
        <v/>
      </c>
      <c r="G222" s="29" t="str">
        <f ca="1">VLOOKUP(A222,Calculation!$F$6:$J$1004,3,FALSE)</f>
        <v/>
      </c>
      <c r="H222" s="4" t="str">
        <f ca="1">VLOOKUP(A222,Calculation!$F$6:$J$1004,4,FALSE)</f>
        <v/>
      </c>
      <c r="I222" s="4" t="str">
        <f ca="1">VLOOKUP(A222,Calculation!$F$6:$J$1004,5,FALSE)</f>
        <v/>
      </c>
      <c r="J222" s="43" t="str">
        <f t="shared" ca="1" si="1"/>
        <v/>
      </c>
      <c r="L222" s="29" t="str">
        <f ca="1">VLOOKUP(A222,Calculation!$G$6:$S$1004,2,FALSE)</f>
        <v/>
      </c>
      <c r="M222" s="4" t="str">
        <f ca="1">IFERROR(VLOOKUP($L222,Calculation!$H$6:$S$1005,HLOOKUP(M$2,Calculation!$M$4:$S$5,2,FALSE)+5,FALSE),"")</f>
        <v/>
      </c>
      <c r="N222" s="4" t="str">
        <f ca="1">IFERROR(VLOOKUP($L222,Calculation!$H$6:$S$1005,HLOOKUP(N$2,Calculation!$M$4:$S$5,2,FALSE)+5,FALSE),"")</f>
        <v/>
      </c>
      <c r="O222" s="4" t="str">
        <f ca="1">IFERROR(VLOOKUP($L222,Calculation!$H$6:$S$1005,HLOOKUP(O$2,Calculation!$M$4:$S$5,2,FALSE)+5,FALSE),"")</f>
        <v/>
      </c>
      <c r="P222" s="4" t="str">
        <f ca="1">IFERROR(VLOOKUP($L222,Calculation!$H$6:$S$1005,HLOOKUP(P$2,Calculation!$M$4:$S$5,2,FALSE)+5,FALSE),"")</f>
        <v/>
      </c>
      <c r="Q222" s="4" t="str">
        <f ca="1">IFERROR(VLOOKUP($L222,Calculation!$H$6:$S$1005,HLOOKUP(Q$2,Calculation!$M$4:$S$5,2,FALSE)+5,FALSE),"")</f>
        <v/>
      </c>
      <c r="R222" s="27" t="str">
        <f ca="1">IFERROR(VLOOKUP($L222,Calculation!$H$6:$S$1005,HLOOKUP(R$2,Calculation!$M$4:$S$5,2,FALSE)+5,FALSE),"")</f>
        <v/>
      </c>
      <c r="S222" s="4" t="str">
        <f ca="1">IFERROR(VLOOKUP($L222,Calculation!$H$6:$S$1005,HLOOKUP(S$2,Calculation!$M$4:$S$5,2,FALSE)+5,FALSE),"")</f>
        <v/>
      </c>
      <c r="T222" s="29"/>
      <c r="U222" s="43" t="str">
        <f>IFERROR(VLOOKUP(T222,Calculation!$U$6:$V$11,2,FALSE),"")</f>
        <v/>
      </c>
    </row>
    <row r="223" spans="1:21" ht="14.25" customHeight="1" x14ac:dyDescent="0.3">
      <c r="A223" s="26" t="str">
        <f ca="1">IF(Calculation!T226&lt;=Calculation!$H$4,Calculation!T226,"")</f>
        <v/>
      </c>
      <c r="B223" s="4" t="str">
        <f ca="1">VLOOKUP(A223,Calculation!$E$6:$J$1004,4,FALSE)</f>
        <v/>
      </c>
      <c r="C223" s="4" t="str">
        <f ca="1">VLOOKUP(A223,Calculation!$E$6:$J$1004,5,FALSE)</f>
        <v/>
      </c>
      <c r="D223" s="4" t="str">
        <f ca="1">VLOOKUP(A223,Calculation!$E$6:$J$1004,6,FALSE)</f>
        <v/>
      </c>
      <c r="E223" s="42" t="str">
        <f t="shared" ca="1" si="0"/>
        <v/>
      </c>
      <c r="G223" s="29" t="str">
        <f ca="1">VLOOKUP(A223,Calculation!$F$6:$J$1004,3,FALSE)</f>
        <v/>
      </c>
      <c r="H223" s="4" t="str">
        <f ca="1">VLOOKUP(A223,Calculation!$F$6:$J$1004,4,FALSE)</f>
        <v/>
      </c>
      <c r="I223" s="4" t="str">
        <f ca="1">VLOOKUP(A223,Calculation!$F$6:$J$1004,5,FALSE)</f>
        <v/>
      </c>
      <c r="J223" s="43" t="str">
        <f t="shared" ca="1" si="1"/>
        <v/>
      </c>
      <c r="L223" s="29" t="str">
        <f ca="1">VLOOKUP(A223,Calculation!$G$6:$S$1004,2,FALSE)</f>
        <v/>
      </c>
      <c r="M223" s="4" t="str">
        <f ca="1">IFERROR(VLOOKUP($L223,Calculation!$H$6:$S$1005,HLOOKUP(M$2,Calculation!$M$4:$S$5,2,FALSE)+5,FALSE),"")</f>
        <v/>
      </c>
      <c r="N223" s="4" t="str">
        <f ca="1">IFERROR(VLOOKUP($L223,Calculation!$H$6:$S$1005,HLOOKUP(N$2,Calculation!$M$4:$S$5,2,FALSE)+5,FALSE),"")</f>
        <v/>
      </c>
      <c r="O223" s="4" t="str">
        <f ca="1">IFERROR(VLOOKUP($L223,Calculation!$H$6:$S$1005,HLOOKUP(O$2,Calculation!$M$4:$S$5,2,FALSE)+5,FALSE),"")</f>
        <v/>
      </c>
      <c r="P223" s="4" t="str">
        <f ca="1">IFERROR(VLOOKUP($L223,Calculation!$H$6:$S$1005,HLOOKUP(P$2,Calculation!$M$4:$S$5,2,FALSE)+5,FALSE),"")</f>
        <v/>
      </c>
      <c r="Q223" s="4" t="str">
        <f ca="1">IFERROR(VLOOKUP($L223,Calculation!$H$6:$S$1005,HLOOKUP(Q$2,Calculation!$M$4:$S$5,2,FALSE)+5,FALSE),"")</f>
        <v/>
      </c>
      <c r="R223" s="27" t="str">
        <f ca="1">IFERROR(VLOOKUP($L223,Calculation!$H$6:$S$1005,HLOOKUP(R$2,Calculation!$M$4:$S$5,2,FALSE)+5,FALSE),"")</f>
        <v/>
      </c>
      <c r="S223" s="4" t="str">
        <f ca="1">IFERROR(VLOOKUP($L223,Calculation!$H$6:$S$1005,HLOOKUP(S$2,Calculation!$M$4:$S$5,2,FALSE)+5,FALSE),"")</f>
        <v/>
      </c>
      <c r="T223" s="29"/>
      <c r="U223" s="43" t="str">
        <f>IFERROR(VLOOKUP(T223,Calculation!$U$6:$V$11,2,FALSE),"")</f>
        <v/>
      </c>
    </row>
    <row r="224" spans="1:21" ht="14.25" customHeight="1" x14ac:dyDescent="0.3">
      <c r="A224" s="26" t="str">
        <f ca="1">IF(Calculation!T227&lt;=Calculation!$H$4,Calculation!T227,"")</f>
        <v/>
      </c>
      <c r="B224" s="4" t="str">
        <f ca="1">VLOOKUP(A224,Calculation!$E$6:$J$1004,4,FALSE)</f>
        <v/>
      </c>
      <c r="C224" s="4" t="str">
        <f ca="1">VLOOKUP(A224,Calculation!$E$6:$J$1004,5,FALSE)</f>
        <v/>
      </c>
      <c r="D224" s="4" t="str">
        <f ca="1">VLOOKUP(A224,Calculation!$E$6:$J$1004,6,FALSE)</f>
        <v/>
      </c>
      <c r="E224" s="42" t="str">
        <f t="shared" ca="1" si="0"/>
        <v/>
      </c>
      <c r="G224" s="29" t="str">
        <f ca="1">VLOOKUP(A224,Calculation!$F$6:$J$1004,3,FALSE)</f>
        <v/>
      </c>
      <c r="H224" s="4" t="str">
        <f ca="1">VLOOKUP(A224,Calculation!$F$6:$J$1004,4,FALSE)</f>
        <v/>
      </c>
      <c r="I224" s="4" t="str">
        <f ca="1">VLOOKUP(A224,Calculation!$F$6:$J$1004,5,FALSE)</f>
        <v/>
      </c>
      <c r="J224" s="43" t="str">
        <f t="shared" ca="1" si="1"/>
        <v/>
      </c>
      <c r="L224" s="29" t="str">
        <f ca="1">VLOOKUP(A224,Calculation!$G$6:$S$1004,2,FALSE)</f>
        <v/>
      </c>
      <c r="M224" s="4" t="str">
        <f ca="1">IFERROR(VLOOKUP($L224,Calculation!$H$6:$S$1005,HLOOKUP(M$2,Calculation!$M$4:$S$5,2,FALSE)+5,FALSE),"")</f>
        <v/>
      </c>
      <c r="N224" s="4" t="str">
        <f ca="1">IFERROR(VLOOKUP($L224,Calculation!$H$6:$S$1005,HLOOKUP(N$2,Calculation!$M$4:$S$5,2,FALSE)+5,FALSE),"")</f>
        <v/>
      </c>
      <c r="O224" s="4" t="str">
        <f ca="1">IFERROR(VLOOKUP($L224,Calculation!$H$6:$S$1005,HLOOKUP(O$2,Calculation!$M$4:$S$5,2,FALSE)+5,FALSE),"")</f>
        <v/>
      </c>
      <c r="P224" s="4" t="str">
        <f ca="1">IFERROR(VLOOKUP($L224,Calculation!$H$6:$S$1005,HLOOKUP(P$2,Calculation!$M$4:$S$5,2,FALSE)+5,FALSE),"")</f>
        <v/>
      </c>
      <c r="Q224" s="4" t="str">
        <f ca="1">IFERROR(VLOOKUP($L224,Calculation!$H$6:$S$1005,HLOOKUP(Q$2,Calculation!$M$4:$S$5,2,FALSE)+5,FALSE),"")</f>
        <v/>
      </c>
      <c r="R224" s="27" t="str">
        <f ca="1">IFERROR(VLOOKUP($L224,Calculation!$H$6:$S$1005,HLOOKUP(R$2,Calculation!$M$4:$S$5,2,FALSE)+5,FALSE),"")</f>
        <v/>
      </c>
      <c r="S224" s="4" t="str">
        <f ca="1">IFERROR(VLOOKUP($L224,Calculation!$H$6:$S$1005,HLOOKUP(S$2,Calculation!$M$4:$S$5,2,FALSE)+5,FALSE),"")</f>
        <v/>
      </c>
      <c r="T224" s="29"/>
      <c r="U224" s="43" t="str">
        <f>IFERROR(VLOOKUP(T224,Calculation!$U$6:$V$11,2,FALSE),"")</f>
        <v/>
      </c>
    </row>
    <row r="225" spans="1:21" ht="14.25" customHeight="1" x14ac:dyDescent="0.3">
      <c r="A225" s="26" t="str">
        <f ca="1">IF(Calculation!T228&lt;=Calculation!$H$4,Calculation!T228,"")</f>
        <v/>
      </c>
      <c r="B225" s="4" t="str">
        <f ca="1">VLOOKUP(A225,Calculation!$E$6:$J$1004,4,FALSE)</f>
        <v/>
      </c>
      <c r="C225" s="4" t="str">
        <f ca="1">VLOOKUP(A225,Calculation!$E$6:$J$1004,5,FALSE)</f>
        <v/>
      </c>
      <c r="D225" s="4" t="str">
        <f ca="1">VLOOKUP(A225,Calculation!$E$6:$J$1004,6,FALSE)</f>
        <v/>
      </c>
      <c r="E225" s="42" t="str">
        <f t="shared" ca="1" si="0"/>
        <v/>
      </c>
      <c r="G225" s="29" t="str">
        <f ca="1">VLOOKUP(A225,Calculation!$F$6:$J$1004,3,FALSE)</f>
        <v/>
      </c>
      <c r="H225" s="4" t="str">
        <f ca="1">VLOOKUP(A225,Calculation!$F$6:$J$1004,4,FALSE)</f>
        <v/>
      </c>
      <c r="I225" s="4" t="str">
        <f ca="1">VLOOKUP(A225,Calculation!$F$6:$J$1004,5,FALSE)</f>
        <v/>
      </c>
      <c r="J225" s="43" t="str">
        <f t="shared" ca="1" si="1"/>
        <v/>
      </c>
      <c r="L225" s="29" t="str">
        <f ca="1">VLOOKUP(A225,Calculation!$G$6:$S$1004,2,FALSE)</f>
        <v/>
      </c>
      <c r="M225" s="4" t="str">
        <f ca="1">IFERROR(VLOOKUP($L225,Calculation!$H$6:$S$1005,HLOOKUP(M$2,Calculation!$M$4:$S$5,2,FALSE)+5,FALSE),"")</f>
        <v/>
      </c>
      <c r="N225" s="4" t="str">
        <f ca="1">IFERROR(VLOOKUP($L225,Calculation!$H$6:$S$1005,HLOOKUP(N$2,Calculation!$M$4:$S$5,2,FALSE)+5,FALSE),"")</f>
        <v/>
      </c>
      <c r="O225" s="4" t="str">
        <f ca="1">IFERROR(VLOOKUP($L225,Calculation!$H$6:$S$1005,HLOOKUP(O$2,Calculation!$M$4:$S$5,2,FALSE)+5,FALSE),"")</f>
        <v/>
      </c>
      <c r="P225" s="4" t="str">
        <f ca="1">IFERROR(VLOOKUP($L225,Calculation!$H$6:$S$1005,HLOOKUP(P$2,Calculation!$M$4:$S$5,2,FALSE)+5,FALSE),"")</f>
        <v/>
      </c>
      <c r="Q225" s="4" t="str">
        <f ca="1">IFERROR(VLOOKUP($L225,Calculation!$H$6:$S$1005,HLOOKUP(Q$2,Calculation!$M$4:$S$5,2,FALSE)+5,FALSE),"")</f>
        <v/>
      </c>
      <c r="R225" s="27" t="str">
        <f ca="1">IFERROR(VLOOKUP($L225,Calculation!$H$6:$S$1005,HLOOKUP(R$2,Calculation!$M$4:$S$5,2,FALSE)+5,FALSE),"")</f>
        <v/>
      </c>
      <c r="S225" s="4" t="str">
        <f ca="1">IFERROR(VLOOKUP($L225,Calculation!$H$6:$S$1005,HLOOKUP(S$2,Calculation!$M$4:$S$5,2,FALSE)+5,FALSE),"")</f>
        <v/>
      </c>
      <c r="T225" s="29"/>
      <c r="U225" s="43" t="str">
        <f>IFERROR(VLOOKUP(T225,Calculation!$U$6:$V$11,2,FALSE),"")</f>
        <v/>
      </c>
    </row>
    <row r="226" spans="1:21" ht="14.25" customHeight="1" x14ac:dyDescent="0.3">
      <c r="A226" s="26" t="str">
        <f ca="1">IF(Calculation!T229&lt;=Calculation!$H$4,Calculation!T229,"")</f>
        <v/>
      </c>
      <c r="B226" s="4" t="str">
        <f ca="1">VLOOKUP(A226,Calculation!$E$6:$J$1004,4,FALSE)</f>
        <v/>
      </c>
      <c r="C226" s="4" t="str">
        <f ca="1">VLOOKUP(A226,Calculation!$E$6:$J$1004,5,FALSE)</f>
        <v/>
      </c>
      <c r="D226" s="4" t="str">
        <f ca="1">VLOOKUP(A226,Calculation!$E$6:$J$1004,6,FALSE)</f>
        <v/>
      </c>
      <c r="E226" s="42" t="str">
        <f t="shared" ca="1" si="0"/>
        <v/>
      </c>
      <c r="G226" s="29" t="str">
        <f ca="1">VLOOKUP(A226,Calculation!$F$6:$J$1004,3,FALSE)</f>
        <v/>
      </c>
      <c r="H226" s="4" t="str">
        <f ca="1">VLOOKUP(A226,Calculation!$F$6:$J$1004,4,FALSE)</f>
        <v/>
      </c>
      <c r="I226" s="4" t="str">
        <f ca="1">VLOOKUP(A226,Calculation!$F$6:$J$1004,5,FALSE)</f>
        <v/>
      </c>
      <c r="J226" s="43" t="str">
        <f t="shared" ca="1" si="1"/>
        <v/>
      </c>
      <c r="L226" s="29" t="str">
        <f ca="1">VLOOKUP(A226,Calculation!$G$6:$S$1004,2,FALSE)</f>
        <v/>
      </c>
      <c r="M226" s="4" t="str">
        <f ca="1">IFERROR(VLOOKUP($L226,Calculation!$H$6:$S$1005,HLOOKUP(M$2,Calculation!$M$4:$S$5,2,FALSE)+5,FALSE),"")</f>
        <v/>
      </c>
      <c r="N226" s="4" t="str">
        <f ca="1">IFERROR(VLOOKUP($L226,Calculation!$H$6:$S$1005,HLOOKUP(N$2,Calculation!$M$4:$S$5,2,FALSE)+5,FALSE),"")</f>
        <v/>
      </c>
      <c r="O226" s="4" t="str">
        <f ca="1">IFERROR(VLOOKUP($L226,Calculation!$H$6:$S$1005,HLOOKUP(O$2,Calculation!$M$4:$S$5,2,FALSE)+5,FALSE),"")</f>
        <v/>
      </c>
      <c r="P226" s="4" t="str">
        <f ca="1">IFERROR(VLOOKUP($L226,Calculation!$H$6:$S$1005,HLOOKUP(P$2,Calculation!$M$4:$S$5,2,FALSE)+5,FALSE),"")</f>
        <v/>
      </c>
      <c r="Q226" s="4" t="str">
        <f ca="1">IFERROR(VLOOKUP($L226,Calculation!$H$6:$S$1005,HLOOKUP(Q$2,Calculation!$M$4:$S$5,2,FALSE)+5,FALSE),"")</f>
        <v/>
      </c>
      <c r="R226" s="27" t="str">
        <f ca="1">IFERROR(VLOOKUP($L226,Calculation!$H$6:$S$1005,HLOOKUP(R$2,Calculation!$M$4:$S$5,2,FALSE)+5,FALSE),"")</f>
        <v/>
      </c>
      <c r="S226" s="4" t="str">
        <f ca="1">IFERROR(VLOOKUP($L226,Calculation!$H$6:$S$1005,HLOOKUP(S$2,Calculation!$M$4:$S$5,2,FALSE)+5,FALSE),"")</f>
        <v/>
      </c>
      <c r="T226" s="29"/>
      <c r="U226" s="43" t="str">
        <f>IFERROR(VLOOKUP(T226,Calculation!$U$6:$V$11,2,FALSE),"")</f>
        <v/>
      </c>
    </row>
    <row r="227" spans="1:21" ht="14.25" customHeight="1" x14ac:dyDescent="0.3">
      <c r="A227" s="26" t="str">
        <f ca="1">IF(Calculation!T230&lt;=Calculation!$H$4,Calculation!T230,"")</f>
        <v/>
      </c>
      <c r="B227" s="4" t="str">
        <f ca="1">VLOOKUP(A227,Calculation!$E$6:$J$1004,4,FALSE)</f>
        <v/>
      </c>
      <c r="C227" s="4" t="str">
        <f ca="1">VLOOKUP(A227,Calculation!$E$6:$J$1004,5,FALSE)</f>
        <v/>
      </c>
      <c r="D227" s="4" t="str">
        <f ca="1">VLOOKUP(A227,Calculation!$E$6:$J$1004,6,FALSE)</f>
        <v/>
      </c>
      <c r="E227" s="42" t="str">
        <f t="shared" ca="1" si="0"/>
        <v/>
      </c>
      <c r="G227" s="29" t="str">
        <f ca="1">VLOOKUP(A227,Calculation!$F$6:$J$1004,3,FALSE)</f>
        <v/>
      </c>
      <c r="H227" s="4" t="str">
        <f ca="1">VLOOKUP(A227,Calculation!$F$6:$J$1004,4,FALSE)</f>
        <v/>
      </c>
      <c r="I227" s="4" t="str">
        <f ca="1">VLOOKUP(A227,Calculation!$F$6:$J$1004,5,FALSE)</f>
        <v/>
      </c>
      <c r="J227" s="43" t="str">
        <f t="shared" ca="1" si="1"/>
        <v/>
      </c>
      <c r="L227" s="29" t="str">
        <f ca="1">VLOOKUP(A227,Calculation!$G$6:$S$1004,2,FALSE)</f>
        <v/>
      </c>
      <c r="M227" s="4" t="str">
        <f ca="1">IFERROR(VLOOKUP($L227,Calculation!$H$6:$S$1005,HLOOKUP(M$2,Calculation!$M$4:$S$5,2,FALSE)+5,FALSE),"")</f>
        <v/>
      </c>
      <c r="N227" s="4" t="str">
        <f ca="1">IFERROR(VLOOKUP($L227,Calculation!$H$6:$S$1005,HLOOKUP(N$2,Calculation!$M$4:$S$5,2,FALSE)+5,FALSE),"")</f>
        <v/>
      </c>
      <c r="O227" s="4" t="str">
        <f ca="1">IFERROR(VLOOKUP($L227,Calculation!$H$6:$S$1005,HLOOKUP(O$2,Calculation!$M$4:$S$5,2,FALSE)+5,FALSE),"")</f>
        <v/>
      </c>
      <c r="P227" s="4" t="str">
        <f ca="1">IFERROR(VLOOKUP($L227,Calculation!$H$6:$S$1005,HLOOKUP(P$2,Calculation!$M$4:$S$5,2,FALSE)+5,FALSE),"")</f>
        <v/>
      </c>
      <c r="Q227" s="4" t="str">
        <f ca="1">IFERROR(VLOOKUP($L227,Calculation!$H$6:$S$1005,HLOOKUP(Q$2,Calculation!$M$4:$S$5,2,FALSE)+5,FALSE),"")</f>
        <v/>
      </c>
      <c r="R227" s="27" t="str">
        <f ca="1">IFERROR(VLOOKUP($L227,Calculation!$H$6:$S$1005,HLOOKUP(R$2,Calculation!$M$4:$S$5,2,FALSE)+5,FALSE),"")</f>
        <v/>
      </c>
      <c r="S227" s="4" t="str">
        <f ca="1">IFERROR(VLOOKUP($L227,Calculation!$H$6:$S$1005,HLOOKUP(S$2,Calculation!$M$4:$S$5,2,FALSE)+5,FALSE),"")</f>
        <v/>
      </c>
      <c r="T227" s="29"/>
      <c r="U227" s="43" t="str">
        <f>IFERROR(VLOOKUP(T227,Calculation!$U$6:$V$11,2,FALSE),"")</f>
        <v/>
      </c>
    </row>
    <row r="228" spans="1:21" ht="14.25" customHeight="1" x14ac:dyDescent="0.3">
      <c r="A228" s="26" t="str">
        <f ca="1">IF(Calculation!T231&lt;=Calculation!$H$4,Calculation!T231,"")</f>
        <v/>
      </c>
      <c r="B228" s="4" t="str">
        <f ca="1">VLOOKUP(A228,Calculation!$E$6:$J$1004,4,FALSE)</f>
        <v/>
      </c>
      <c r="C228" s="4" t="str">
        <f ca="1">VLOOKUP(A228,Calculation!$E$6:$J$1004,5,FALSE)</f>
        <v/>
      </c>
      <c r="D228" s="4" t="str">
        <f ca="1">VLOOKUP(A228,Calculation!$E$6:$J$1004,6,FALSE)</f>
        <v/>
      </c>
      <c r="E228" s="42" t="str">
        <f t="shared" ca="1" si="0"/>
        <v/>
      </c>
      <c r="G228" s="29" t="str">
        <f ca="1">VLOOKUP(A228,Calculation!$F$6:$J$1004,3,FALSE)</f>
        <v/>
      </c>
      <c r="H228" s="4" t="str">
        <f ca="1">VLOOKUP(A228,Calculation!$F$6:$J$1004,4,FALSE)</f>
        <v/>
      </c>
      <c r="I228" s="4" t="str">
        <f ca="1">VLOOKUP(A228,Calculation!$F$6:$J$1004,5,FALSE)</f>
        <v/>
      </c>
      <c r="J228" s="43" t="str">
        <f t="shared" ca="1" si="1"/>
        <v/>
      </c>
      <c r="L228" s="29" t="str">
        <f ca="1">VLOOKUP(A228,Calculation!$G$6:$S$1004,2,FALSE)</f>
        <v/>
      </c>
      <c r="M228" s="4" t="str">
        <f ca="1">IFERROR(VLOOKUP($L228,Calculation!$H$6:$S$1005,HLOOKUP(M$2,Calculation!$M$4:$S$5,2,FALSE)+5,FALSE),"")</f>
        <v/>
      </c>
      <c r="N228" s="4" t="str">
        <f ca="1">IFERROR(VLOOKUP($L228,Calculation!$H$6:$S$1005,HLOOKUP(N$2,Calculation!$M$4:$S$5,2,FALSE)+5,FALSE),"")</f>
        <v/>
      </c>
      <c r="O228" s="4" t="str">
        <f ca="1">IFERROR(VLOOKUP($L228,Calculation!$H$6:$S$1005,HLOOKUP(O$2,Calculation!$M$4:$S$5,2,FALSE)+5,FALSE),"")</f>
        <v/>
      </c>
      <c r="P228" s="4" t="str">
        <f ca="1">IFERROR(VLOOKUP($L228,Calculation!$H$6:$S$1005,HLOOKUP(P$2,Calculation!$M$4:$S$5,2,FALSE)+5,FALSE),"")</f>
        <v/>
      </c>
      <c r="Q228" s="4" t="str">
        <f ca="1">IFERROR(VLOOKUP($L228,Calculation!$H$6:$S$1005,HLOOKUP(Q$2,Calculation!$M$4:$S$5,2,FALSE)+5,FALSE),"")</f>
        <v/>
      </c>
      <c r="R228" s="27" t="str">
        <f ca="1">IFERROR(VLOOKUP($L228,Calculation!$H$6:$S$1005,HLOOKUP(R$2,Calculation!$M$4:$S$5,2,FALSE)+5,FALSE),"")</f>
        <v/>
      </c>
      <c r="S228" s="4" t="str">
        <f ca="1">IFERROR(VLOOKUP($L228,Calculation!$H$6:$S$1005,HLOOKUP(S$2,Calculation!$M$4:$S$5,2,FALSE)+5,FALSE),"")</f>
        <v/>
      </c>
      <c r="T228" s="29"/>
      <c r="U228" s="43" t="str">
        <f>IFERROR(VLOOKUP(T228,Calculation!$U$6:$V$11,2,FALSE),"")</f>
        <v/>
      </c>
    </row>
    <row r="229" spans="1:21" ht="14.25" customHeight="1" x14ac:dyDescent="0.3">
      <c r="A229" s="26" t="str">
        <f ca="1">IF(Calculation!T232&lt;=Calculation!$H$4,Calculation!T232,"")</f>
        <v/>
      </c>
      <c r="B229" s="4" t="str">
        <f ca="1">VLOOKUP(A229,Calculation!$E$6:$J$1004,4,FALSE)</f>
        <v/>
      </c>
      <c r="C229" s="4" t="str">
        <f ca="1">VLOOKUP(A229,Calculation!$E$6:$J$1004,5,FALSE)</f>
        <v/>
      </c>
      <c r="D229" s="4" t="str">
        <f ca="1">VLOOKUP(A229,Calculation!$E$6:$J$1004,6,FALSE)</f>
        <v/>
      </c>
      <c r="E229" s="42" t="str">
        <f t="shared" ca="1" si="0"/>
        <v/>
      </c>
      <c r="G229" s="29" t="str">
        <f ca="1">VLOOKUP(A229,Calculation!$F$6:$J$1004,3,FALSE)</f>
        <v/>
      </c>
      <c r="H229" s="4" t="str">
        <f ca="1">VLOOKUP(A229,Calculation!$F$6:$J$1004,4,FALSE)</f>
        <v/>
      </c>
      <c r="I229" s="4" t="str">
        <f ca="1">VLOOKUP(A229,Calculation!$F$6:$J$1004,5,FALSE)</f>
        <v/>
      </c>
      <c r="J229" s="43" t="str">
        <f t="shared" ca="1" si="1"/>
        <v/>
      </c>
      <c r="L229" s="29" t="str">
        <f ca="1">VLOOKUP(A229,Calculation!$G$6:$S$1004,2,FALSE)</f>
        <v/>
      </c>
      <c r="M229" s="4" t="str">
        <f ca="1">IFERROR(VLOOKUP($L229,Calculation!$H$6:$S$1005,HLOOKUP(M$2,Calculation!$M$4:$S$5,2,FALSE)+5,FALSE),"")</f>
        <v/>
      </c>
      <c r="N229" s="4" t="str">
        <f ca="1">IFERROR(VLOOKUP($L229,Calculation!$H$6:$S$1005,HLOOKUP(N$2,Calculation!$M$4:$S$5,2,FALSE)+5,FALSE),"")</f>
        <v/>
      </c>
      <c r="O229" s="4" t="str">
        <f ca="1">IFERROR(VLOOKUP($L229,Calculation!$H$6:$S$1005,HLOOKUP(O$2,Calculation!$M$4:$S$5,2,FALSE)+5,FALSE),"")</f>
        <v/>
      </c>
      <c r="P229" s="4" t="str">
        <f ca="1">IFERROR(VLOOKUP($L229,Calculation!$H$6:$S$1005,HLOOKUP(P$2,Calculation!$M$4:$S$5,2,FALSE)+5,FALSE),"")</f>
        <v/>
      </c>
      <c r="Q229" s="4" t="str">
        <f ca="1">IFERROR(VLOOKUP($L229,Calculation!$H$6:$S$1005,HLOOKUP(Q$2,Calculation!$M$4:$S$5,2,FALSE)+5,FALSE),"")</f>
        <v/>
      </c>
      <c r="R229" s="27" t="str">
        <f ca="1">IFERROR(VLOOKUP($L229,Calculation!$H$6:$S$1005,HLOOKUP(R$2,Calculation!$M$4:$S$5,2,FALSE)+5,FALSE),"")</f>
        <v/>
      </c>
      <c r="S229" s="4" t="str">
        <f ca="1">IFERROR(VLOOKUP($L229,Calculation!$H$6:$S$1005,HLOOKUP(S$2,Calculation!$M$4:$S$5,2,FALSE)+5,FALSE),"")</f>
        <v/>
      </c>
      <c r="T229" s="29"/>
      <c r="U229" s="43" t="str">
        <f>IFERROR(VLOOKUP(T229,Calculation!$U$6:$V$11,2,FALSE),"")</f>
        <v/>
      </c>
    </row>
    <row r="230" spans="1:21" ht="14.25" customHeight="1" x14ac:dyDescent="0.3">
      <c r="A230" s="26" t="str">
        <f ca="1">IF(Calculation!T233&lt;=Calculation!$H$4,Calculation!T233,"")</f>
        <v/>
      </c>
      <c r="B230" s="4" t="str">
        <f ca="1">VLOOKUP(A230,Calculation!$E$6:$J$1004,4,FALSE)</f>
        <v/>
      </c>
      <c r="C230" s="4" t="str">
        <f ca="1">VLOOKUP(A230,Calculation!$E$6:$J$1004,5,FALSE)</f>
        <v/>
      </c>
      <c r="D230" s="4" t="str">
        <f ca="1">VLOOKUP(A230,Calculation!$E$6:$J$1004,6,FALSE)</f>
        <v/>
      </c>
      <c r="E230" s="42" t="str">
        <f t="shared" ca="1" si="0"/>
        <v/>
      </c>
      <c r="G230" s="29" t="str">
        <f ca="1">VLOOKUP(A230,Calculation!$F$6:$J$1004,3,FALSE)</f>
        <v/>
      </c>
      <c r="H230" s="4" t="str">
        <f ca="1">VLOOKUP(A230,Calculation!$F$6:$J$1004,4,FALSE)</f>
        <v/>
      </c>
      <c r="I230" s="4" t="str">
        <f ca="1">VLOOKUP(A230,Calculation!$F$6:$J$1004,5,FALSE)</f>
        <v/>
      </c>
      <c r="J230" s="43" t="str">
        <f t="shared" ca="1" si="1"/>
        <v/>
      </c>
      <c r="L230" s="29" t="str">
        <f ca="1">VLOOKUP(A230,Calculation!$G$6:$S$1004,2,FALSE)</f>
        <v/>
      </c>
      <c r="M230" s="4" t="str">
        <f ca="1">IFERROR(VLOOKUP($L230,Calculation!$H$6:$S$1005,HLOOKUP(M$2,Calculation!$M$4:$S$5,2,FALSE)+5,FALSE),"")</f>
        <v/>
      </c>
      <c r="N230" s="4" t="str">
        <f ca="1">IFERROR(VLOOKUP($L230,Calculation!$H$6:$S$1005,HLOOKUP(N$2,Calculation!$M$4:$S$5,2,FALSE)+5,FALSE),"")</f>
        <v/>
      </c>
      <c r="O230" s="4" t="str">
        <f ca="1">IFERROR(VLOOKUP($L230,Calculation!$H$6:$S$1005,HLOOKUP(O$2,Calculation!$M$4:$S$5,2,FALSE)+5,FALSE),"")</f>
        <v/>
      </c>
      <c r="P230" s="4" t="str">
        <f ca="1">IFERROR(VLOOKUP($L230,Calculation!$H$6:$S$1005,HLOOKUP(P$2,Calculation!$M$4:$S$5,2,FALSE)+5,FALSE),"")</f>
        <v/>
      </c>
      <c r="Q230" s="4" t="str">
        <f ca="1">IFERROR(VLOOKUP($L230,Calculation!$H$6:$S$1005,HLOOKUP(Q$2,Calculation!$M$4:$S$5,2,FALSE)+5,FALSE),"")</f>
        <v/>
      </c>
      <c r="R230" s="27" t="str">
        <f ca="1">IFERROR(VLOOKUP($L230,Calculation!$H$6:$S$1005,HLOOKUP(R$2,Calculation!$M$4:$S$5,2,FALSE)+5,FALSE),"")</f>
        <v/>
      </c>
      <c r="S230" s="4" t="str">
        <f ca="1">IFERROR(VLOOKUP($L230,Calculation!$H$6:$S$1005,HLOOKUP(S$2,Calculation!$M$4:$S$5,2,FALSE)+5,FALSE),"")</f>
        <v/>
      </c>
      <c r="T230" s="29"/>
      <c r="U230" s="43" t="str">
        <f>IFERROR(VLOOKUP(T230,Calculation!$U$6:$V$11,2,FALSE),"")</f>
        <v/>
      </c>
    </row>
    <row r="231" spans="1:21" ht="14.25" customHeight="1" x14ac:dyDescent="0.3">
      <c r="A231" s="26" t="str">
        <f ca="1">IF(Calculation!T234&lt;=Calculation!$H$4,Calculation!T234,"")</f>
        <v/>
      </c>
      <c r="B231" s="4" t="str">
        <f ca="1">VLOOKUP(A231,Calculation!$E$6:$J$1004,4,FALSE)</f>
        <v/>
      </c>
      <c r="C231" s="4" t="str">
        <f ca="1">VLOOKUP(A231,Calculation!$E$6:$J$1004,5,FALSE)</f>
        <v/>
      </c>
      <c r="D231" s="4" t="str">
        <f ca="1">VLOOKUP(A231,Calculation!$E$6:$J$1004,6,FALSE)</f>
        <v/>
      </c>
      <c r="E231" s="42" t="str">
        <f t="shared" ca="1" si="0"/>
        <v/>
      </c>
      <c r="G231" s="29" t="str">
        <f ca="1">VLOOKUP(A231,Calculation!$F$6:$J$1004,3,FALSE)</f>
        <v/>
      </c>
      <c r="H231" s="4" t="str">
        <f ca="1">VLOOKUP(A231,Calculation!$F$6:$J$1004,4,FALSE)</f>
        <v/>
      </c>
      <c r="I231" s="4" t="str">
        <f ca="1">VLOOKUP(A231,Calculation!$F$6:$J$1004,5,FALSE)</f>
        <v/>
      </c>
      <c r="J231" s="43" t="str">
        <f t="shared" ca="1" si="1"/>
        <v/>
      </c>
      <c r="L231" s="29" t="str">
        <f ca="1">VLOOKUP(A231,Calculation!$G$6:$S$1004,2,FALSE)</f>
        <v/>
      </c>
      <c r="M231" s="4" t="str">
        <f ca="1">IFERROR(VLOOKUP($L231,Calculation!$H$6:$S$1005,HLOOKUP(M$2,Calculation!$M$4:$S$5,2,FALSE)+5,FALSE),"")</f>
        <v/>
      </c>
      <c r="N231" s="4" t="str">
        <f ca="1">IFERROR(VLOOKUP($L231,Calculation!$H$6:$S$1005,HLOOKUP(N$2,Calculation!$M$4:$S$5,2,FALSE)+5,FALSE),"")</f>
        <v/>
      </c>
      <c r="O231" s="4" t="str">
        <f ca="1">IFERROR(VLOOKUP($L231,Calculation!$H$6:$S$1005,HLOOKUP(O$2,Calculation!$M$4:$S$5,2,FALSE)+5,FALSE),"")</f>
        <v/>
      </c>
      <c r="P231" s="4" t="str">
        <f ca="1">IFERROR(VLOOKUP($L231,Calculation!$H$6:$S$1005,HLOOKUP(P$2,Calculation!$M$4:$S$5,2,FALSE)+5,FALSE),"")</f>
        <v/>
      </c>
      <c r="Q231" s="4" t="str">
        <f ca="1">IFERROR(VLOOKUP($L231,Calculation!$H$6:$S$1005,HLOOKUP(Q$2,Calculation!$M$4:$S$5,2,FALSE)+5,FALSE),"")</f>
        <v/>
      </c>
      <c r="R231" s="27" t="str">
        <f ca="1">IFERROR(VLOOKUP($L231,Calculation!$H$6:$S$1005,HLOOKUP(R$2,Calculation!$M$4:$S$5,2,FALSE)+5,FALSE),"")</f>
        <v/>
      </c>
      <c r="S231" s="4" t="str">
        <f ca="1">IFERROR(VLOOKUP($L231,Calculation!$H$6:$S$1005,HLOOKUP(S$2,Calculation!$M$4:$S$5,2,FALSE)+5,FALSE),"")</f>
        <v/>
      </c>
      <c r="T231" s="29"/>
      <c r="U231" s="43" t="str">
        <f>IFERROR(VLOOKUP(T231,Calculation!$U$6:$V$11,2,FALSE),"")</f>
        <v/>
      </c>
    </row>
    <row r="232" spans="1:21" ht="14.25" customHeight="1" x14ac:dyDescent="0.3">
      <c r="A232" s="26" t="str">
        <f ca="1">IF(Calculation!T235&lt;=Calculation!$H$4,Calculation!T235,"")</f>
        <v/>
      </c>
      <c r="B232" s="4" t="str">
        <f ca="1">VLOOKUP(A232,Calculation!$E$6:$J$1004,4,FALSE)</f>
        <v/>
      </c>
      <c r="C232" s="4" t="str">
        <f ca="1">VLOOKUP(A232,Calculation!$E$6:$J$1004,5,FALSE)</f>
        <v/>
      </c>
      <c r="D232" s="4" t="str">
        <f ca="1">VLOOKUP(A232,Calculation!$E$6:$J$1004,6,FALSE)</f>
        <v/>
      </c>
      <c r="E232" s="42" t="str">
        <f t="shared" ca="1" si="0"/>
        <v/>
      </c>
      <c r="G232" s="29" t="str">
        <f ca="1">VLOOKUP(A232,Calculation!$F$6:$J$1004,3,FALSE)</f>
        <v/>
      </c>
      <c r="H232" s="4" t="str">
        <f ca="1">VLOOKUP(A232,Calculation!$F$6:$J$1004,4,FALSE)</f>
        <v/>
      </c>
      <c r="I232" s="4" t="str">
        <f ca="1">VLOOKUP(A232,Calculation!$F$6:$J$1004,5,FALSE)</f>
        <v/>
      </c>
      <c r="J232" s="43" t="str">
        <f t="shared" ca="1" si="1"/>
        <v/>
      </c>
      <c r="L232" s="29" t="str">
        <f ca="1">VLOOKUP(A232,Calculation!$G$6:$S$1004,2,FALSE)</f>
        <v/>
      </c>
      <c r="M232" s="4" t="str">
        <f ca="1">IFERROR(VLOOKUP($L232,Calculation!$H$6:$S$1005,HLOOKUP(M$2,Calculation!$M$4:$S$5,2,FALSE)+5,FALSE),"")</f>
        <v/>
      </c>
      <c r="N232" s="4" t="str">
        <f ca="1">IFERROR(VLOOKUP($L232,Calculation!$H$6:$S$1005,HLOOKUP(N$2,Calculation!$M$4:$S$5,2,FALSE)+5,FALSE),"")</f>
        <v/>
      </c>
      <c r="O232" s="4" t="str">
        <f ca="1">IFERROR(VLOOKUP($L232,Calculation!$H$6:$S$1005,HLOOKUP(O$2,Calculation!$M$4:$S$5,2,FALSE)+5,FALSE),"")</f>
        <v/>
      </c>
      <c r="P232" s="4" t="str">
        <f ca="1">IFERROR(VLOOKUP($L232,Calculation!$H$6:$S$1005,HLOOKUP(P$2,Calculation!$M$4:$S$5,2,FALSE)+5,FALSE),"")</f>
        <v/>
      </c>
      <c r="Q232" s="4" t="str">
        <f ca="1">IFERROR(VLOOKUP($L232,Calculation!$H$6:$S$1005,HLOOKUP(Q$2,Calculation!$M$4:$S$5,2,FALSE)+5,FALSE),"")</f>
        <v/>
      </c>
      <c r="R232" s="27" t="str">
        <f ca="1">IFERROR(VLOOKUP($L232,Calculation!$H$6:$S$1005,HLOOKUP(R$2,Calculation!$M$4:$S$5,2,FALSE)+5,FALSE),"")</f>
        <v/>
      </c>
      <c r="S232" s="4" t="str">
        <f ca="1">IFERROR(VLOOKUP($L232,Calculation!$H$6:$S$1005,HLOOKUP(S$2,Calculation!$M$4:$S$5,2,FALSE)+5,FALSE),"")</f>
        <v/>
      </c>
      <c r="T232" s="29"/>
      <c r="U232" s="43" t="str">
        <f>IFERROR(VLOOKUP(T232,Calculation!$U$6:$V$11,2,FALSE),"")</f>
        <v/>
      </c>
    </row>
    <row r="233" spans="1:21" ht="14.25" customHeight="1" x14ac:dyDescent="0.3">
      <c r="A233" s="26" t="str">
        <f ca="1">IF(Calculation!T236&lt;=Calculation!$H$4,Calculation!T236,"")</f>
        <v/>
      </c>
      <c r="B233" s="4" t="str">
        <f ca="1">VLOOKUP(A233,Calculation!$E$6:$J$1004,4,FALSE)</f>
        <v/>
      </c>
      <c r="C233" s="4" t="str">
        <f ca="1">VLOOKUP(A233,Calculation!$E$6:$J$1004,5,FALSE)</f>
        <v/>
      </c>
      <c r="D233" s="4" t="str">
        <f ca="1">VLOOKUP(A233,Calculation!$E$6:$J$1004,6,FALSE)</f>
        <v/>
      </c>
      <c r="E233" s="42" t="str">
        <f t="shared" ca="1" si="0"/>
        <v/>
      </c>
      <c r="G233" s="29" t="str">
        <f ca="1">VLOOKUP(A233,Calculation!$F$6:$J$1004,3,FALSE)</f>
        <v/>
      </c>
      <c r="H233" s="4" t="str">
        <f ca="1">VLOOKUP(A233,Calculation!$F$6:$J$1004,4,FALSE)</f>
        <v/>
      </c>
      <c r="I233" s="4" t="str">
        <f ca="1">VLOOKUP(A233,Calculation!$F$6:$J$1004,5,FALSE)</f>
        <v/>
      </c>
      <c r="J233" s="43" t="str">
        <f t="shared" ca="1" si="1"/>
        <v/>
      </c>
      <c r="L233" s="29" t="str">
        <f ca="1">VLOOKUP(A233,Calculation!$G$6:$S$1004,2,FALSE)</f>
        <v/>
      </c>
      <c r="M233" s="4" t="str">
        <f ca="1">IFERROR(VLOOKUP($L233,Calculation!$H$6:$S$1005,HLOOKUP(M$2,Calculation!$M$4:$S$5,2,FALSE)+5,FALSE),"")</f>
        <v/>
      </c>
      <c r="N233" s="4" t="str">
        <f ca="1">IFERROR(VLOOKUP($L233,Calculation!$H$6:$S$1005,HLOOKUP(N$2,Calculation!$M$4:$S$5,2,FALSE)+5,FALSE),"")</f>
        <v/>
      </c>
      <c r="O233" s="4" t="str">
        <f ca="1">IFERROR(VLOOKUP($L233,Calculation!$H$6:$S$1005,HLOOKUP(O$2,Calculation!$M$4:$S$5,2,FALSE)+5,FALSE),"")</f>
        <v/>
      </c>
      <c r="P233" s="4" t="str">
        <f ca="1">IFERROR(VLOOKUP($L233,Calculation!$H$6:$S$1005,HLOOKUP(P$2,Calculation!$M$4:$S$5,2,FALSE)+5,FALSE),"")</f>
        <v/>
      </c>
      <c r="Q233" s="4" t="str">
        <f ca="1">IFERROR(VLOOKUP($L233,Calculation!$H$6:$S$1005,HLOOKUP(Q$2,Calculation!$M$4:$S$5,2,FALSE)+5,FALSE),"")</f>
        <v/>
      </c>
      <c r="R233" s="27" t="str">
        <f ca="1">IFERROR(VLOOKUP($L233,Calculation!$H$6:$S$1005,HLOOKUP(R$2,Calculation!$M$4:$S$5,2,FALSE)+5,FALSE),"")</f>
        <v/>
      </c>
      <c r="S233" s="4" t="str">
        <f ca="1">IFERROR(VLOOKUP($L233,Calculation!$H$6:$S$1005,HLOOKUP(S$2,Calculation!$M$4:$S$5,2,FALSE)+5,FALSE),"")</f>
        <v/>
      </c>
      <c r="T233" s="29"/>
      <c r="U233" s="43" t="str">
        <f>IFERROR(VLOOKUP(T233,Calculation!$U$6:$V$11,2,FALSE),"")</f>
        <v/>
      </c>
    </row>
    <row r="234" spans="1:21" ht="14.25" customHeight="1" x14ac:dyDescent="0.3">
      <c r="A234" s="26" t="str">
        <f ca="1">IF(Calculation!T237&lt;=Calculation!$H$4,Calculation!T237,"")</f>
        <v/>
      </c>
      <c r="B234" s="4" t="str">
        <f ca="1">VLOOKUP(A234,Calculation!$E$6:$J$1004,4,FALSE)</f>
        <v/>
      </c>
      <c r="C234" s="4" t="str">
        <f ca="1">VLOOKUP(A234,Calculation!$E$6:$J$1004,5,FALSE)</f>
        <v/>
      </c>
      <c r="D234" s="4" t="str">
        <f ca="1">VLOOKUP(A234,Calculation!$E$6:$J$1004,6,FALSE)</f>
        <v/>
      </c>
      <c r="E234" s="42" t="str">
        <f t="shared" ca="1" si="0"/>
        <v/>
      </c>
      <c r="G234" s="29" t="str">
        <f ca="1">VLOOKUP(A234,Calculation!$F$6:$J$1004,3,FALSE)</f>
        <v/>
      </c>
      <c r="H234" s="4" t="str">
        <f ca="1">VLOOKUP(A234,Calculation!$F$6:$J$1004,4,FALSE)</f>
        <v/>
      </c>
      <c r="I234" s="4" t="str">
        <f ca="1">VLOOKUP(A234,Calculation!$F$6:$J$1004,5,FALSE)</f>
        <v/>
      </c>
      <c r="J234" s="43" t="str">
        <f t="shared" ca="1" si="1"/>
        <v/>
      </c>
      <c r="L234" s="29" t="str">
        <f ca="1">VLOOKUP(A234,Calculation!$G$6:$S$1004,2,FALSE)</f>
        <v/>
      </c>
      <c r="M234" s="4" t="str">
        <f ca="1">IFERROR(VLOOKUP($L234,Calculation!$H$6:$S$1005,HLOOKUP(M$2,Calculation!$M$4:$S$5,2,FALSE)+5,FALSE),"")</f>
        <v/>
      </c>
      <c r="N234" s="4" t="str">
        <f ca="1">IFERROR(VLOOKUP($L234,Calculation!$H$6:$S$1005,HLOOKUP(N$2,Calculation!$M$4:$S$5,2,FALSE)+5,FALSE),"")</f>
        <v/>
      </c>
      <c r="O234" s="4" t="str">
        <f ca="1">IFERROR(VLOOKUP($L234,Calculation!$H$6:$S$1005,HLOOKUP(O$2,Calculation!$M$4:$S$5,2,FALSE)+5,FALSE),"")</f>
        <v/>
      </c>
      <c r="P234" s="4" t="str">
        <f ca="1">IFERROR(VLOOKUP($L234,Calculation!$H$6:$S$1005,HLOOKUP(P$2,Calculation!$M$4:$S$5,2,FALSE)+5,FALSE),"")</f>
        <v/>
      </c>
      <c r="Q234" s="4" t="str">
        <f ca="1">IFERROR(VLOOKUP($L234,Calculation!$H$6:$S$1005,HLOOKUP(Q$2,Calculation!$M$4:$S$5,2,FALSE)+5,FALSE),"")</f>
        <v/>
      </c>
      <c r="R234" s="27" t="str">
        <f ca="1">IFERROR(VLOOKUP($L234,Calculation!$H$6:$S$1005,HLOOKUP(R$2,Calculation!$M$4:$S$5,2,FALSE)+5,FALSE),"")</f>
        <v/>
      </c>
      <c r="S234" s="4" t="str">
        <f ca="1">IFERROR(VLOOKUP($L234,Calculation!$H$6:$S$1005,HLOOKUP(S$2,Calculation!$M$4:$S$5,2,FALSE)+5,FALSE),"")</f>
        <v/>
      </c>
      <c r="T234" s="29"/>
      <c r="U234" s="43" t="str">
        <f>IFERROR(VLOOKUP(T234,Calculation!$U$6:$V$11,2,FALSE),"")</f>
        <v/>
      </c>
    </row>
    <row r="235" spans="1:21" ht="14.25" customHeight="1" x14ac:dyDescent="0.3">
      <c r="A235" s="26" t="str">
        <f ca="1">IF(Calculation!T238&lt;=Calculation!$H$4,Calculation!T238,"")</f>
        <v/>
      </c>
      <c r="B235" s="4" t="str">
        <f ca="1">VLOOKUP(A235,Calculation!$E$6:$J$1004,4,FALSE)</f>
        <v/>
      </c>
      <c r="C235" s="4" t="str">
        <f ca="1">VLOOKUP(A235,Calculation!$E$6:$J$1004,5,FALSE)</f>
        <v/>
      </c>
      <c r="D235" s="4" t="str">
        <f ca="1">VLOOKUP(A235,Calculation!$E$6:$J$1004,6,FALSE)</f>
        <v/>
      </c>
      <c r="E235" s="42" t="str">
        <f t="shared" ca="1" si="0"/>
        <v/>
      </c>
      <c r="G235" s="29" t="str">
        <f ca="1">VLOOKUP(A235,Calculation!$F$6:$J$1004,3,FALSE)</f>
        <v/>
      </c>
      <c r="H235" s="4" t="str">
        <f ca="1">VLOOKUP(A235,Calculation!$F$6:$J$1004,4,FALSE)</f>
        <v/>
      </c>
      <c r="I235" s="4" t="str">
        <f ca="1">VLOOKUP(A235,Calculation!$F$6:$J$1004,5,FALSE)</f>
        <v/>
      </c>
      <c r="J235" s="43" t="str">
        <f t="shared" ca="1" si="1"/>
        <v/>
      </c>
      <c r="L235" s="29" t="str">
        <f ca="1">VLOOKUP(A235,Calculation!$G$6:$S$1004,2,FALSE)</f>
        <v/>
      </c>
      <c r="M235" s="4" t="str">
        <f ca="1">IFERROR(VLOOKUP($L235,Calculation!$H$6:$S$1005,HLOOKUP(M$2,Calculation!$M$4:$S$5,2,FALSE)+5,FALSE),"")</f>
        <v/>
      </c>
      <c r="N235" s="4" t="str">
        <f ca="1">IFERROR(VLOOKUP($L235,Calculation!$H$6:$S$1005,HLOOKUP(N$2,Calculation!$M$4:$S$5,2,FALSE)+5,FALSE),"")</f>
        <v/>
      </c>
      <c r="O235" s="4" t="str">
        <f ca="1">IFERROR(VLOOKUP($L235,Calculation!$H$6:$S$1005,HLOOKUP(O$2,Calculation!$M$4:$S$5,2,FALSE)+5,FALSE),"")</f>
        <v/>
      </c>
      <c r="P235" s="4" t="str">
        <f ca="1">IFERROR(VLOOKUP($L235,Calculation!$H$6:$S$1005,HLOOKUP(P$2,Calculation!$M$4:$S$5,2,FALSE)+5,FALSE),"")</f>
        <v/>
      </c>
      <c r="Q235" s="4" t="str">
        <f ca="1">IFERROR(VLOOKUP($L235,Calculation!$H$6:$S$1005,HLOOKUP(Q$2,Calculation!$M$4:$S$5,2,FALSE)+5,FALSE),"")</f>
        <v/>
      </c>
      <c r="R235" s="27" t="str">
        <f ca="1">IFERROR(VLOOKUP($L235,Calculation!$H$6:$S$1005,HLOOKUP(R$2,Calculation!$M$4:$S$5,2,FALSE)+5,FALSE),"")</f>
        <v/>
      </c>
      <c r="S235" s="4" t="str">
        <f ca="1">IFERROR(VLOOKUP($L235,Calculation!$H$6:$S$1005,HLOOKUP(S$2,Calculation!$M$4:$S$5,2,FALSE)+5,FALSE),"")</f>
        <v/>
      </c>
      <c r="T235" s="29"/>
      <c r="U235" s="43" t="str">
        <f>IFERROR(VLOOKUP(T235,Calculation!$U$6:$V$11,2,FALSE),"")</f>
        <v/>
      </c>
    </row>
    <row r="236" spans="1:21" ht="14.25" customHeight="1" x14ac:dyDescent="0.3">
      <c r="A236" s="26" t="str">
        <f ca="1">IF(Calculation!T239&lt;=Calculation!$H$4,Calculation!T239,"")</f>
        <v/>
      </c>
      <c r="B236" s="4" t="str">
        <f ca="1">VLOOKUP(A236,Calculation!$E$6:$J$1004,4,FALSE)</f>
        <v/>
      </c>
      <c r="C236" s="4" t="str">
        <f ca="1">VLOOKUP(A236,Calculation!$E$6:$J$1004,5,FALSE)</f>
        <v/>
      </c>
      <c r="D236" s="4" t="str">
        <f ca="1">VLOOKUP(A236,Calculation!$E$6:$J$1004,6,FALSE)</f>
        <v/>
      </c>
      <c r="E236" s="42" t="str">
        <f t="shared" ca="1" si="0"/>
        <v/>
      </c>
      <c r="G236" s="29" t="str">
        <f ca="1">VLOOKUP(A236,Calculation!$F$6:$J$1004,3,FALSE)</f>
        <v/>
      </c>
      <c r="H236" s="4" t="str">
        <f ca="1">VLOOKUP(A236,Calculation!$F$6:$J$1004,4,FALSE)</f>
        <v/>
      </c>
      <c r="I236" s="4" t="str">
        <f ca="1">VLOOKUP(A236,Calculation!$F$6:$J$1004,5,FALSE)</f>
        <v/>
      </c>
      <c r="J236" s="43" t="str">
        <f t="shared" ca="1" si="1"/>
        <v/>
      </c>
      <c r="L236" s="29" t="str">
        <f ca="1">VLOOKUP(A236,Calculation!$G$6:$S$1004,2,FALSE)</f>
        <v/>
      </c>
      <c r="M236" s="4" t="str">
        <f ca="1">IFERROR(VLOOKUP($L236,Calculation!$H$6:$S$1005,HLOOKUP(M$2,Calculation!$M$4:$S$5,2,FALSE)+5,FALSE),"")</f>
        <v/>
      </c>
      <c r="N236" s="4" t="str">
        <f ca="1">IFERROR(VLOOKUP($L236,Calculation!$H$6:$S$1005,HLOOKUP(N$2,Calculation!$M$4:$S$5,2,FALSE)+5,FALSE),"")</f>
        <v/>
      </c>
      <c r="O236" s="4" t="str">
        <f ca="1">IFERROR(VLOOKUP($L236,Calculation!$H$6:$S$1005,HLOOKUP(O$2,Calculation!$M$4:$S$5,2,FALSE)+5,FALSE),"")</f>
        <v/>
      </c>
      <c r="P236" s="4" t="str">
        <f ca="1">IFERROR(VLOOKUP($L236,Calculation!$H$6:$S$1005,HLOOKUP(P$2,Calculation!$M$4:$S$5,2,FALSE)+5,FALSE),"")</f>
        <v/>
      </c>
      <c r="Q236" s="4" t="str">
        <f ca="1">IFERROR(VLOOKUP($L236,Calculation!$H$6:$S$1005,HLOOKUP(Q$2,Calculation!$M$4:$S$5,2,FALSE)+5,FALSE),"")</f>
        <v/>
      </c>
      <c r="R236" s="27" t="str">
        <f ca="1">IFERROR(VLOOKUP($L236,Calculation!$H$6:$S$1005,HLOOKUP(R$2,Calculation!$M$4:$S$5,2,FALSE)+5,FALSE),"")</f>
        <v/>
      </c>
      <c r="S236" s="4" t="str">
        <f ca="1">IFERROR(VLOOKUP($L236,Calculation!$H$6:$S$1005,HLOOKUP(S$2,Calculation!$M$4:$S$5,2,FALSE)+5,FALSE),"")</f>
        <v/>
      </c>
      <c r="T236" s="29"/>
      <c r="U236" s="43" t="str">
        <f>IFERROR(VLOOKUP(T236,Calculation!$U$6:$V$11,2,FALSE),"")</f>
        <v/>
      </c>
    </row>
    <row r="237" spans="1:21" ht="14.25" customHeight="1" x14ac:dyDescent="0.3">
      <c r="A237" s="26" t="str">
        <f ca="1">IF(Calculation!T240&lt;=Calculation!$H$4,Calculation!T240,"")</f>
        <v/>
      </c>
      <c r="B237" s="4" t="str">
        <f ca="1">VLOOKUP(A237,Calculation!$E$6:$J$1004,4,FALSE)</f>
        <v/>
      </c>
      <c r="C237" s="4" t="str">
        <f ca="1">VLOOKUP(A237,Calculation!$E$6:$J$1004,5,FALSE)</f>
        <v/>
      </c>
      <c r="D237" s="4" t="str">
        <f ca="1">VLOOKUP(A237,Calculation!$E$6:$J$1004,6,FALSE)</f>
        <v/>
      </c>
      <c r="E237" s="42" t="str">
        <f t="shared" ca="1" si="0"/>
        <v/>
      </c>
      <c r="G237" s="29" t="str">
        <f ca="1">VLOOKUP(A237,Calculation!$F$6:$J$1004,3,FALSE)</f>
        <v/>
      </c>
      <c r="H237" s="4" t="str">
        <f ca="1">VLOOKUP(A237,Calculation!$F$6:$J$1004,4,FALSE)</f>
        <v/>
      </c>
      <c r="I237" s="4" t="str">
        <f ca="1">VLOOKUP(A237,Calculation!$F$6:$J$1004,5,FALSE)</f>
        <v/>
      </c>
      <c r="J237" s="43" t="str">
        <f t="shared" ca="1" si="1"/>
        <v/>
      </c>
      <c r="L237" s="29" t="str">
        <f ca="1">VLOOKUP(A237,Calculation!$G$6:$S$1004,2,FALSE)</f>
        <v/>
      </c>
      <c r="M237" s="4" t="str">
        <f ca="1">IFERROR(VLOOKUP($L237,Calculation!$H$6:$S$1005,HLOOKUP(M$2,Calculation!$M$4:$S$5,2,FALSE)+5,FALSE),"")</f>
        <v/>
      </c>
      <c r="N237" s="4" t="str">
        <f ca="1">IFERROR(VLOOKUP($L237,Calculation!$H$6:$S$1005,HLOOKUP(N$2,Calculation!$M$4:$S$5,2,FALSE)+5,FALSE),"")</f>
        <v/>
      </c>
      <c r="O237" s="4" t="str">
        <f ca="1">IFERROR(VLOOKUP($L237,Calculation!$H$6:$S$1005,HLOOKUP(O$2,Calculation!$M$4:$S$5,2,FALSE)+5,FALSE),"")</f>
        <v/>
      </c>
      <c r="P237" s="4" t="str">
        <f ca="1">IFERROR(VLOOKUP($L237,Calculation!$H$6:$S$1005,HLOOKUP(P$2,Calculation!$M$4:$S$5,2,FALSE)+5,FALSE),"")</f>
        <v/>
      </c>
      <c r="Q237" s="4" t="str">
        <f ca="1">IFERROR(VLOOKUP($L237,Calculation!$H$6:$S$1005,HLOOKUP(Q$2,Calculation!$M$4:$S$5,2,FALSE)+5,FALSE),"")</f>
        <v/>
      </c>
      <c r="R237" s="27" t="str">
        <f ca="1">IFERROR(VLOOKUP($L237,Calculation!$H$6:$S$1005,HLOOKUP(R$2,Calculation!$M$4:$S$5,2,FALSE)+5,FALSE),"")</f>
        <v/>
      </c>
      <c r="S237" s="4" t="str">
        <f ca="1">IFERROR(VLOOKUP($L237,Calculation!$H$6:$S$1005,HLOOKUP(S$2,Calculation!$M$4:$S$5,2,FALSE)+5,FALSE),"")</f>
        <v/>
      </c>
      <c r="T237" s="29"/>
      <c r="U237" s="43" t="str">
        <f>IFERROR(VLOOKUP(T237,Calculation!$U$6:$V$11,2,FALSE),"")</f>
        <v/>
      </c>
    </row>
    <row r="238" spans="1:21" ht="14.25" customHeight="1" x14ac:dyDescent="0.3">
      <c r="A238" s="26" t="str">
        <f ca="1">IF(Calculation!T241&lt;=Calculation!$H$4,Calculation!T241,"")</f>
        <v/>
      </c>
      <c r="B238" s="4" t="str">
        <f ca="1">VLOOKUP(A238,Calculation!$E$6:$J$1004,4,FALSE)</f>
        <v/>
      </c>
      <c r="C238" s="4" t="str">
        <f ca="1">VLOOKUP(A238,Calculation!$E$6:$J$1004,5,FALSE)</f>
        <v/>
      </c>
      <c r="D238" s="4" t="str">
        <f ca="1">VLOOKUP(A238,Calculation!$E$6:$J$1004,6,FALSE)</f>
        <v/>
      </c>
      <c r="E238" s="42" t="str">
        <f t="shared" ca="1" si="0"/>
        <v/>
      </c>
      <c r="G238" s="29" t="str">
        <f ca="1">VLOOKUP(A238,Calculation!$F$6:$J$1004,3,FALSE)</f>
        <v/>
      </c>
      <c r="H238" s="4" t="str">
        <f ca="1">VLOOKUP(A238,Calculation!$F$6:$J$1004,4,FALSE)</f>
        <v/>
      </c>
      <c r="I238" s="4" t="str">
        <f ca="1">VLOOKUP(A238,Calculation!$F$6:$J$1004,5,FALSE)</f>
        <v/>
      </c>
      <c r="J238" s="43" t="str">
        <f t="shared" ca="1" si="1"/>
        <v/>
      </c>
      <c r="L238" s="29" t="str">
        <f ca="1">VLOOKUP(A238,Calculation!$G$6:$S$1004,2,FALSE)</f>
        <v/>
      </c>
      <c r="M238" s="4" t="str">
        <f ca="1">IFERROR(VLOOKUP($L238,Calculation!$H$6:$S$1005,HLOOKUP(M$2,Calculation!$M$4:$S$5,2,FALSE)+5,FALSE),"")</f>
        <v/>
      </c>
      <c r="N238" s="4" t="str">
        <f ca="1">IFERROR(VLOOKUP($L238,Calculation!$H$6:$S$1005,HLOOKUP(N$2,Calculation!$M$4:$S$5,2,FALSE)+5,FALSE),"")</f>
        <v/>
      </c>
      <c r="O238" s="4" t="str">
        <f ca="1">IFERROR(VLOOKUP($L238,Calculation!$H$6:$S$1005,HLOOKUP(O$2,Calculation!$M$4:$S$5,2,FALSE)+5,FALSE),"")</f>
        <v/>
      </c>
      <c r="P238" s="4" t="str">
        <f ca="1">IFERROR(VLOOKUP($L238,Calculation!$H$6:$S$1005,HLOOKUP(P$2,Calculation!$M$4:$S$5,2,FALSE)+5,FALSE),"")</f>
        <v/>
      </c>
      <c r="Q238" s="4" t="str">
        <f ca="1">IFERROR(VLOOKUP($L238,Calculation!$H$6:$S$1005,HLOOKUP(Q$2,Calculation!$M$4:$S$5,2,FALSE)+5,FALSE),"")</f>
        <v/>
      </c>
      <c r="R238" s="27" t="str">
        <f ca="1">IFERROR(VLOOKUP($L238,Calculation!$H$6:$S$1005,HLOOKUP(R$2,Calculation!$M$4:$S$5,2,FALSE)+5,FALSE),"")</f>
        <v/>
      </c>
      <c r="S238" s="4" t="str">
        <f ca="1">IFERROR(VLOOKUP($L238,Calculation!$H$6:$S$1005,HLOOKUP(S$2,Calculation!$M$4:$S$5,2,FALSE)+5,FALSE),"")</f>
        <v/>
      </c>
      <c r="T238" s="29"/>
      <c r="U238" s="43" t="str">
        <f>IFERROR(VLOOKUP(T238,Calculation!$U$6:$V$11,2,FALSE),"")</f>
        <v/>
      </c>
    </row>
    <row r="239" spans="1:21" ht="14.25" customHeight="1" x14ac:dyDescent="0.3">
      <c r="A239" s="26" t="str">
        <f ca="1">IF(Calculation!T242&lt;=Calculation!$H$4,Calculation!T242,"")</f>
        <v/>
      </c>
      <c r="B239" s="4" t="str">
        <f ca="1">VLOOKUP(A239,Calculation!$E$6:$J$1004,4,FALSE)</f>
        <v/>
      </c>
      <c r="C239" s="4" t="str">
        <f ca="1">VLOOKUP(A239,Calculation!$E$6:$J$1004,5,FALSE)</f>
        <v/>
      </c>
      <c r="D239" s="4" t="str">
        <f ca="1">VLOOKUP(A239,Calculation!$E$6:$J$1004,6,FALSE)</f>
        <v/>
      </c>
      <c r="E239" s="42" t="str">
        <f t="shared" ca="1" si="0"/>
        <v/>
      </c>
      <c r="G239" s="29" t="str">
        <f ca="1">VLOOKUP(A239,Calculation!$F$6:$J$1004,3,FALSE)</f>
        <v/>
      </c>
      <c r="H239" s="4" t="str">
        <f ca="1">VLOOKUP(A239,Calculation!$F$6:$J$1004,4,FALSE)</f>
        <v/>
      </c>
      <c r="I239" s="4" t="str">
        <f ca="1">VLOOKUP(A239,Calculation!$F$6:$J$1004,5,FALSE)</f>
        <v/>
      </c>
      <c r="J239" s="43" t="str">
        <f t="shared" ca="1" si="1"/>
        <v/>
      </c>
      <c r="L239" s="29" t="str">
        <f ca="1">VLOOKUP(A239,Calculation!$G$6:$S$1004,2,FALSE)</f>
        <v/>
      </c>
      <c r="M239" s="4" t="str">
        <f ca="1">IFERROR(VLOOKUP($L239,Calculation!$H$6:$S$1005,HLOOKUP(M$2,Calculation!$M$4:$S$5,2,FALSE)+5,FALSE),"")</f>
        <v/>
      </c>
      <c r="N239" s="4" t="str">
        <f ca="1">IFERROR(VLOOKUP($L239,Calculation!$H$6:$S$1005,HLOOKUP(N$2,Calculation!$M$4:$S$5,2,FALSE)+5,FALSE),"")</f>
        <v/>
      </c>
      <c r="O239" s="4" t="str">
        <f ca="1">IFERROR(VLOOKUP($L239,Calculation!$H$6:$S$1005,HLOOKUP(O$2,Calculation!$M$4:$S$5,2,FALSE)+5,FALSE),"")</f>
        <v/>
      </c>
      <c r="P239" s="4" t="str">
        <f ca="1">IFERROR(VLOOKUP($L239,Calculation!$H$6:$S$1005,HLOOKUP(P$2,Calculation!$M$4:$S$5,2,FALSE)+5,FALSE),"")</f>
        <v/>
      </c>
      <c r="Q239" s="4" t="str">
        <f ca="1">IFERROR(VLOOKUP($L239,Calculation!$H$6:$S$1005,HLOOKUP(Q$2,Calculation!$M$4:$S$5,2,FALSE)+5,FALSE),"")</f>
        <v/>
      </c>
      <c r="R239" s="27" t="str">
        <f ca="1">IFERROR(VLOOKUP($L239,Calculation!$H$6:$S$1005,HLOOKUP(R$2,Calculation!$M$4:$S$5,2,FALSE)+5,FALSE),"")</f>
        <v/>
      </c>
      <c r="S239" s="4" t="str">
        <f ca="1">IFERROR(VLOOKUP($L239,Calculation!$H$6:$S$1005,HLOOKUP(S$2,Calculation!$M$4:$S$5,2,FALSE)+5,FALSE),"")</f>
        <v/>
      </c>
      <c r="T239" s="29"/>
      <c r="U239" s="43" t="str">
        <f>IFERROR(VLOOKUP(T239,Calculation!$U$6:$V$11,2,FALSE),"")</f>
        <v/>
      </c>
    </row>
    <row r="240" spans="1:21" ht="14.25" customHeight="1" x14ac:dyDescent="0.3">
      <c r="A240" s="26" t="str">
        <f ca="1">IF(Calculation!T243&lt;=Calculation!$H$4,Calculation!T243,"")</f>
        <v/>
      </c>
      <c r="B240" s="4" t="str">
        <f ca="1">VLOOKUP(A240,Calculation!$E$6:$J$1004,4,FALSE)</f>
        <v/>
      </c>
      <c r="C240" s="4" t="str">
        <f ca="1">VLOOKUP(A240,Calculation!$E$6:$J$1004,5,FALSE)</f>
        <v/>
      </c>
      <c r="D240" s="4" t="str">
        <f ca="1">VLOOKUP(A240,Calculation!$E$6:$J$1004,6,FALSE)</f>
        <v/>
      </c>
      <c r="E240" s="42" t="str">
        <f t="shared" ca="1" si="0"/>
        <v/>
      </c>
      <c r="G240" s="29" t="str">
        <f ca="1">VLOOKUP(A240,Calculation!$F$6:$J$1004,3,FALSE)</f>
        <v/>
      </c>
      <c r="H240" s="4" t="str">
        <f ca="1">VLOOKUP(A240,Calculation!$F$6:$J$1004,4,FALSE)</f>
        <v/>
      </c>
      <c r="I240" s="4" t="str">
        <f ca="1">VLOOKUP(A240,Calculation!$F$6:$J$1004,5,FALSE)</f>
        <v/>
      </c>
      <c r="J240" s="43" t="str">
        <f t="shared" ca="1" si="1"/>
        <v/>
      </c>
      <c r="L240" s="29" t="str">
        <f ca="1">VLOOKUP(A240,Calculation!$G$6:$S$1004,2,FALSE)</f>
        <v/>
      </c>
      <c r="M240" s="4" t="str">
        <f ca="1">IFERROR(VLOOKUP($L240,Calculation!$H$6:$S$1005,HLOOKUP(M$2,Calculation!$M$4:$S$5,2,FALSE)+5,FALSE),"")</f>
        <v/>
      </c>
      <c r="N240" s="4" t="str">
        <f ca="1">IFERROR(VLOOKUP($L240,Calculation!$H$6:$S$1005,HLOOKUP(N$2,Calculation!$M$4:$S$5,2,FALSE)+5,FALSE),"")</f>
        <v/>
      </c>
      <c r="O240" s="4" t="str">
        <f ca="1">IFERROR(VLOOKUP($L240,Calculation!$H$6:$S$1005,HLOOKUP(O$2,Calculation!$M$4:$S$5,2,FALSE)+5,FALSE),"")</f>
        <v/>
      </c>
      <c r="P240" s="4" t="str">
        <f ca="1">IFERROR(VLOOKUP($L240,Calculation!$H$6:$S$1005,HLOOKUP(P$2,Calculation!$M$4:$S$5,2,FALSE)+5,FALSE),"")</f>
        <v/>
      </c>
      <c r="Q240" s="4" t="str">
        <f ca="1">IFERROR(VLOOKUP($L240,Calculation!$H$6:$S$1005,HLOOKUP(Q$2,Calculation!$M$4:$S$5,2,FALSE)+5,FALSE),"")</f>
        <v/>
      </c>
      <c r="R240" s="27" t="str">
        <f ca="1">IFERROR(VLOOKUP($L240,Calculation!$H$6:$S$1005,HLOOKUP(R$2,Calculation!$M$4:$S$5,2,FALSE)+5,FALSE),"")</f>
        <v/>
      </c>
      <c r="S240" s="4" t="str">
        <f ca="1">IFERROR(VLOOKUP($L240,Calculation!$H$6:$S$1005,HLOOKUP(S$2,Calculation!$M$4:$S$5,2,FALSE)+5,FALSE),"")</f>
        <v/>
      </c>
      <c r="T240" s="29"/>
      <c r="U240" s="43" t="str">
        <f>IFERROR(VLOOKUP(T240,Calculation!$U$6:$V$11,2,FALSE),"")</f>
        <v/>
      </c>
    </row>
    <row r="241" spans="1:21" ht="14.25" customHeight="1" x14ac:dyDescent="0.3">
      <c r="A241" s="26" t="str">
        <f ca="1">IF(Calculation!T244&lt;=Calculation!$H$4,Calculation!T244,"")</f>
        <v/>
      </c>
      <c r="B241" s="4" t="str">
        <f ca="1">VLOOKUP(A241,Calculation!$E$6:$J$1004,4,FALSE)</f>
        <v/>
      </c>
      <c r="C241" s="4" t="str">
        <f ca="1">VLOOKUP(A241,Calculation!$E$6:$J$1004,5,FALSE)</f>
        <v/>
      </c>
      <c r="D241" s="4" t="str">
        <f ca="1">VLOOKUP(A241,Calculation!$E$6:$J$1004,6,FALSE)</f>
        <v/>
      </c>
      <c r="E241" s="42" t="str">
        <f t="shared" ca="1" si="0"/>
        <v/>
      </c>
      <c r="G241" s="29" t="str">
        <f ca="1">VLOOKUP(A241,Calculation!$F$6:$J$1004,3,FALSE)</f>
        <v/>
      </c>
      <c r="H241" s="4" t="str">
        <f ca="1">VLOOKUP(A241,Calculation!$F$6:$J$1004,4,FALSE)</f>
        <v/>
      </c>
      <c r="I241" s="4" t="str">
        <f ca="1">VLOOKUP(A241,Calculation!$F$6:$J$1004,5,FALSE)</f>
        <v/>
      </c>
      <c r="J241" s="43" t="str">
        <f t="shared" ca="1" si="1"/>
        <v/>
      </c>
      <c r="L241" s="29" t="str">
        <f ca="1">VLOOKUP(A241,Calculation!$G$6:$S$1004,2,FALSE)</f>
        <v/>
      </c>
      <c r="M241" s="4" t="str">
        <f ca="1">IFERROR(VLOOKUP($L241,Calculation!$H$6:$S$1005,HLOOKUP(M$2,Calculation!$M$4:$S$5,2,FALSE)+5,FALSE),"")</f>
        <v/>
      </c>
      <c r="N241" s="4" t="str">
        <f ca="1">IFERROR(VLOOKUP($L241,Calculation!$H$6:$S$1005,HLOOKUP(N$2,Calculation!$M$4:$S$5,2,FALSE)+5,FALSE),"")</f>
        <v/>
      </c>
      <c r="O241" s="4" t="str">
        <f ca="1">IFERROR(VLOOKUP($L241,Calculation!$H$6:$S$1005,HLOOKUP(O$2,Calculation!$M$4:$S$5,2,FALSE)+5,FALSE),"")</f>
        <v/>
      </c>
      <c r="P241" s="4" t="str">
        <f ca="1">IFERROR(VLOOKUP($L241,Calculation!$H$6:$S$1005,HLOOKUP(P$2,Calculation!$M$4:$S$5,2,FALSE)+5,FALSE),"")</f>
        <v/>
      </c>
      <c r="Q241" s="4" t="str">
        <f ca="1">IFERROR(VLOOKUP($L241,Calculation!$H$6:$S$1005,HLOOKUP(Q$2,Calculation!$M$4:$S$5,2,FALSE)+5,FALSE),"")</f>
        <v/>
      </c>
      <c r="R241" s="27" t="str">
        <f ca="1">IFERROR(VLOOKUP($L241,Calculation!$H$6:$S$1005,HLOOKUP(R$2,Calculation!$M$4:$S$5,2,FALSE)+5,FALSE),"")</f>
        <v/>
      </c>
      <c r="S241" s="4" t="str">
        <f ca="1">IFERROR(VLOOKUP($L241,Calculation!$H$6:$S$1005,HLOOKUP(S$2,Calculation!$M$4:$S$5,2,FALSE)+5,FALSE),"")</f>
        <v/>
      </c>
      <c r="T241" s="29"/>
      <c r="U241" s="43" t="str">
        <f>IFERROR(VLOOKUP(T241,Calculation!$U$6:$V$11,2,FALSE),"")</f>
        <v/>
      </c>
    </row>
    <row r="242" spans="1:21" ht="14.25" customHeight="1" x14ac:dyDescent="0.3">
      <c r="A242" s="26" t="str">
        <f ca="1">IF(Calculation!T245&lt;=Calculation!$H$4,Calculation!T245,"")</f>
        <v/>
      </c>
      <c r="B242" s="4" t="str">
        <f ca="1">VLOOKUP(A242,Calculation!$E$6:$J$1004,4,FALSE)</f>
        <v/>
      </c>
      <c r="C242" s="4" t="str">
        <f ca="1">VLOOKUP(A242,Calculation!$E$6:$J$1004,5,FALSE)</f>
        <v/>
      </c>
      <c r="D242" s="4" t="str">
        <f ca="1">VLOOKUP(A242,Calculation!$E$6:$J$1004,6,FALSE)</f>
        <v/>
      </c>
      <c r="E242" s="42" t="str">
        <f t="shared" ca="1" si="0"/>
        <v/>
      </c>
      <c r="G242" s="29" t="str">
        <f ca="1">VLOOKUP(A242,Calculation!$F$6:$J$1004,3,FALSE)</f>
        <v/>
      </c>
      <c r="H242" s="4" t="str">
        <f ca="1">VLOOKUP(A242,Calculation!$F$6:$J$1004,4,FALSE)</f>
        <v/>
      </c>
      <c r="I242" s="4" t="str">
        <f ca="1">VLOOKUP(A242,Calculation!$F$6:$J$1004,5,FALSE)</f>
        <v/>
      </c>
      <c r="J242" s="43" t="str">
        <f t="shared" ca="1" si="1"/>
        <v/>
      </c>
      <c r="L242" s="29" t="str">
        <f ca="1">VLOOKUP(A242,Calculation!$G$6:$S$1004,2,FALSE)</f>
        <v/>
      </c>
      <c r="M242" s="4" t="str">
        <f ca="1">IFERROR(VLOOKUP($L242,Calculation!$H$6:$S$1005,HLOOKUP(M$2,Calculation!$M$4:$S$5,2,FALSE)+5,FALSE),"")</f>
        <v/>
      </c>
      <c r="N242" s="4" t="str">
        <f ca="1">IFERROR(VLOOKUP($L242,Calculation!$H$6:$S$1005,HLOOKUP(N$2,Calculation!$M$4:$S$5,2,FALSE)+5,FALSE),"")</f>
        <v/>
      </c>
      <c r="O242" s="4" t="str">
        <f ca="1">IFERROR(VLOOKUP($L242,Calculation!$H$6:$S$1005,HLOOKUP(O$2,Calculation!$M$4:$S$5,2,FALSE)+5,FALSE),"")</f>
        <v/>
      </c>
      <c r="P242" s="4" t="str">
        <f ca="1">IFERROR(VLOOKUP($L242,Calculation!$H$6:$S$1005,HLOOKUP(P$2,Calculation!$M$4:$S$5,2,FALSE)+5,FALSE),"")</f>
        <v/>
      </c>
      <c r="Q242" s="4" t="str">
        <f ca="1">IFERROR(VLOOKUP($L242,Calculation!$H$6:$S$1005,HLOOKUP(Q$2,Calculation!$M$4:$S$5,2,FALSE)+5,FALSE),"")</f>
        <v/>
      </c>
      <c r="R242" s="27" t="str">
        <f ca="1">IFERROR(VLOOKUP($L242,Calculation!$H$6:$S$1005,HLOOKUP(R$2,Calculation!$M$4:$S$5,2,FALSE)+5,FALSE),"")</f>
        <v/>
      </c>
      <c r="S242" s="4" t="str">
        <f ca="1">IFERROR(VLOOKUP($L242,Calculation!$H$6:$S$1005,HLOOKUP(S$2,Calculation!$M$4:$S$5,2,FALSE)+5,FALSE),"")</f>
        <v/>
      </c>
      <c r="T242" s="29"/>
      <c r="U242" s="43" t="str">
        <f>IFERROR(VLOOKUP(T242,Calculation!$U$6:$V$11,2,FALSE),"")</f>
        <v/>
      </c>
    </row>
    <row r="243" spans="1:21" ht="14.25" customHeight="1" x14ac:dyDescent="0.3">
      <c r="A243" s="26" t="str">
        <f ca="1">IF(Calculation!T246&lt;=Calculation!$H$4,Calculation!T246,"")</f>
        <v/>
      </c>
      <c r="B243" s="4" t="str">
        <f ca="1">VLOOKUP(A243,Calculation!$E$6:$J$1004,4,FALSE)</f>
        <v/>
      </c>
      <c r="C243" s="4" t="str">
        <f ca="1">VLOOKUP(A243,Calculation!$E$6:$J$1004,5,FALSE)</f>
        <v/>
      </c>
      <c r="D243" s="4" t="str">
        <f ca="1">VLOOKUP(A243,Calculation!$E$6:$J$1004,6,FALSE)</f>
        <v/>
      </c>
      <c r="E243" s="42" t="str">
        <f t="shared" ca="1" si="0"/>
        <v/>
      </c>
      <c r="G243" s="29" t="str">
        <f ca="1">VLOOKUP(A243,Calculation!$F$6:$J$1004,3,FALSE)</f>
        <v/>
      </c>
      <c r="H243" s="4" t="str">
        <f ca="1">VLOOKUP(A243,Calculation!$F$6:$J$1004,4,FALSE)</f>
        <v/>
      </c>
      <c r="I243" s="4" t="str">
        <f ca="1">VLOOKUP(A243,Calculation!$F$6:$J$1004,5,FALSE)</f>
        <v/>
      </c>
      <c r="J243" s="43" t="str">
        <f t="shared" ca="1" si="1"/>
        <v/>
      </c>
      <c r="L243" s="29" t="str">
        <f ca="1">VLOOKUP(A243,Calculation!$G$6:$S$1004,2,FALSE)</f>
        <v/>
      </c>
      <c r="M243" s="4" t="str">
        <f ca="1">IFERROR(VLOOKUP($L243,Calculation!$H$6:$S$1005,HLOOKUP(M$2,Calculation!$M$4:$S$5,2,FALSE)+5,FALSE),"")</f>
        <v/>
      </c>
      <c r="N243" s="4" t="str">
        <f ca="1">IFERROR(VLOOKUP($L243,Calculation!$H$6:$S$1005,HLOOKUP(N$2,Calculation!$M$4:$S$5,2,FALSE)+5,FALSE),"")</f>
        <v/>
      </c>
      <c r="O243" s="4" t="str">
        <f ca="1">IFERROR(VLOOKUP($L243,Calculation!$H$6:$S$1005,HLOOKUP(O$2,Calculation!$M$4:$S$5,2,FALSE)+5,FALSE),"")</f>
        <v/>
      </c>
      <c r="P243" s="4" t="str">
        <f ca="1">IFERROR(VLOOKUP($L243,Calculation!$H$6:$S$1005,HLOOKUP(P$2,Calculation!$M$4:$S$5,2,FALSE)+5,FALSE),"")</f>
        <v/>
      </c>
      <c r="Q243" s="4" t="str">
        <f ca="1">IFERROR(VLOOKUP($L243,Calculation!$H$6:$S$1005,HLOOKUP(Q$2,Calculation!$M$4:$S$5,2,FALSE)+5,FALSE),"")</f>
        <v/>
      </c>
      <c r="R243" s="27" t="str">
        <f ca="1">IFERROR(VLOOKUP($L243,Calculation!$H$6:$S$1005,HLOOKUP(R$2,Calculation!$M$4:$S$5,2,FALSE)+5,FALSE),"")</f>
        <v/>
      </c>
      <c r="S243" s="4" t="str">
        <f ca="1">IFERROR(VLOOKUP($L243,Calculation!$H$6:$S$1005,HLOOKUP(S$2,Calculation!$M$4:$S$5,2,FALSE)+5,FALSE),"")</f>
        <v/>
      </c>
      <c r="T243" s="29"/>
      <c r="U243" s="43" t="str">
        <f>IFERROR(VLOOKUP(T243,Calculation!$U$6:$V$11,2,FALSE),"")</f>
        <v/>
      </c>
    </row>
    <row r="244" spans="1:21" ht="14.25" customHeight="1" x14ac:dyDescent="0.3">
      <c r="A244" s="26" t="str">
        <f ca="1">IF(Calculation!T247&lt;=Calculation!$H$4,Calculation!T247,"")</f>
        <v/>
      </c>
      <c r="B244" s="4" t="str">
        <f ca="1">VLOOKUP(A244,Calculation!$E$6:$J$1004,4,FALSE)</f>
        <v/>
      </c>
      <c r="C244" s="4" t="str">
        <f ca="1">VLOOKUP(A244,Calculation!$E$6:$J$1004,5,FALSE)</f>
        <v/>
      </c>
      <c r="D244" s="4" t="str">
        <f ca="1">VLOOKUP(A244,Calculation!$E$6:$J$1004,6,FALSE)</f>
        <v/>
      </c>
      <c r="E244" s="42" t="str">
        <f t="shared" ca="1" si="0"/>
        <v/>
      </c>
      <c r="G244" s="29" t="str">
        <f ca="1">VLOOKUP(A244,Calculation!$F$6:$J$1004,3,FALSE)</f>
        <v/>
      </c>
      <c r="H244" s="4" t="str">
        <f ca="1">VLOOKUP(A244,Calculation!$F$6:$J$1004,4,FALSE)</f>
        <v/>
      </c>
      <c r="I244" s="4" t="str">
        <f ca="1">VLOOKUP(A244,Calculation!$F$6:$J$1004,5,FALSE)</f>
        <v/>
      </c>
      <c r="J244" s="43" t="str">
        <f t="shared" ca="1" si="1"/>
        <v/>
      </c>
      <c r="L244" s="29" t="str">
        <f ca="1">VLOOKUP(A244,Calculation!$G$6:$S$1004,2,FALSE)</f>
        <v/>
      </c>
      <c r="M244" s="4" t="str">
        <f ca="1">IFERROR(VLOOKUP($L244,Calculation!$H$6:$S$1005,HLOOKUP(M$2,Calculation!$M$4:$S$5,2,FALSE)+5,FALSE),"")</f>
        <v/>
      </c>
      <c r="N244" s="4" t="str">
        <f ca="1">IFERROR(VLOOKUP($L244,Calculation!$H$6:$S$1005,HLOOKUP(N$2,Calculation!$M$4:$S$5,2,FALSE)+5,FALSE),"")</f>
        <v/>
      </c>
      <c r="O244" s="4" t="str">
        <f ca="1">IFERROR(VLOOKUP($L244,Calculation!$H$6:$S$1005,HLOOKUP(O$2,Calculation!$M$4:$S$5,2,FALSE)+5,FALSE),"")</f>
        <v/>
      </c>
      <c r="P244" s="4" t="str">
        <f ca="1">IFERROR(VLOOKUP($L244,Calculation!$H$6:$S$1005,HLOOKUP(P$2,Calculation!$M$4:$S$5,2,FALSE)+5,FALSE),"")</f>
        <v/>
      </c>
      <c r="Q244" s="4" t="str">
        <f ca="1">IFERROR(VLOOKUP($L244,Calculation!$H$6:$S$1005,HLOOKUP(Q$2,Calculation!$M$4:$S$5,2,FALSE)+5,FALSE),"")</f>
        <v/>
      </c>
      <c r="R244" s="27" t="str">
        <f ca="1">IFERROR(VLOOKUP($L244,Calculation!$H$6:$S$1005,HLOOKUP(R$2,Calculation!$M$4:$S$5,2,FALSE)+5,FALSE),"")</f>
        <v/>
      </c>
      <c r="S244" s="4" t="str">
        <f ca="1">IFERROR(VLOOKUP($L244,Calculation!$H$6:$S$1005,HLOOKUP(S$2,Calculation!$M$4:$S$5,2,FALSE)+5,FALSE),"")</f>
        <v/>
      </c>
      <c r="T244" s="29"/>
      <c r="U244" s="43" t="str">
        <f>IFERROR(VLOOKUP(T244,Calculation!$U$6:$V$11,2,FALSE),"")</f>
        <v/>
      </c>
    </row>
    <row r="245" spans="1:21" ht="14.25" customHeight="1" x14ac:dyDescent="0.3">
      <c r="A245" s="26" t="str">
        <f ca="1">IF(Calculation!T248&lt;=Calculation!$H$4,Calculation!T248,"")</f>
        <v/>
      </c>
      <c r="B245" s="4" t="str">
        <f ca="1">VLOOKUP(A245,Calculation!$E$6:$J$1004,4,FALSE)</f>
        <v/>
      </c>
      <c r="C245" s="4" t="str">
        <f ca="1">VLOOKUP(A245,Calculation!$E$6:$J$1004,5,FALSE)</f>
        <v/>
      </c>
      <c r="D245" s="4" t="str">
        <f ca="1">VLOOKUP(A245,Calculation!$E$6:$J$1004,6,FALSE)</f>
        <v/>
      </c>
      <c r="E245" s="42" t="str">
        <f t="shared" ca="1" si="0"/>
        <v/>
      </c>
      <c r="G245" s="29" t="str">
        <f ca="1">VLOOKUP(A245,Calculation!$F$6:$J$1004,3,FALSE)</f>
        <v/>
      </c>
      <c r="H245" s="4" t="str">
        <f ca="1">VLOOKUP(A245,Calculation!$F$6:$J$1004,4,FALSE)</f>
        <v/>
      </c>
      <c r="I245" s="4" t="str">
        <f ca="1">VLOOKUP(A245,Calculation!$F$6:$J$1004,5,FALSE)</f>
        <v/>
      </c>
      <c r="J245" s="43" t="str">
        <f t="shared" ca="1" si="1"/>
        <v/>
      </c>
      <c r="L245" s="29" t="str">
        <f ca="1">VLOOKUP(A245,Calculation!$G$6:$S$1004,2,FALSE)</f>
        <v/>
      </c>
      <c r="M245" s="4" t="str">
        <f ca="1">IFERROR(VLOOKUP($L245,Calculation!$H$6:$S$1005,HLOOKUP(M$2,Calculation!$M$4:$S$5,2,FALSE)+5,FALSE),"")</f>
        <v/>
      </c>
      <c r="N245" s="4" t="str">
        <f ca="1">IFERROR(VLOOKUP($L245,Calculation!$H$6:$S$1005,HLOOKUP(N$2,Calculation!$M$4:$S$5,2,FALSE)+5,FALSE),"")</f>
        <v/>
      </c>
      <c r="O245" s="4" t="str">
        <f ca="1">IFERROR(VLOOKUP($L245,Calculation!$H$6:$S$1005,HLOOKUP(O$2,Calculation!$M$4:$S$5,2,FALSE)+5,FALSE),"")</f>
        <v/>
      </c>
      <c r="P245" s="4" t="str">
        <f ca="1">IFERROR(VLOOKUP($L245,Calculation!$H$6:$S$1005,HLOOKUP(P$2,Calculation!$M$4:$S$5,2,FALSE)+5,FALSE),"")</f>
        <v/>
      </c>
      <c r="Q245" s="4" t="str">
        <f ca="1">IFERROR(VLOOKUP($L245,Calculation!$H$6:$S$1005,HLOOKUP(Q$2,Calculation!$M$4:$S$5,2,FALSE)+5,FALSE),"")</f>
        <v/>
      </c>
      <c r="R245" s="27" t="str">
        <f ca="1">IFERROR(VLOOKUP($L245,Calculation!$H$6:$S$1005,HLOOKUP(R$2,Calculation!$M$4:$S$5,2,FALSE)+5,FALSE),"")</f>
        <v/>
      </c>
      <c r="S245" s="4" t="str">
        <f ca="1">IFERROR(VLOOKUP($L245,Calculation!$H$6:$S$1005,HLOOKUP(S$2,Calculation!$M$4:$S$5,2,FALSE)+5,FALSE),"")</f>
        <v/>
      </c>
      <c r="T245" s="29"/>
      <c r="U245" s="43" t="str">
        <f>IFERROR(VLOOKUP(T245,Calculation!$U$6:$V$11,2,FALSE),"")</f>
        <v/>
      </c>
    </row>
    <row r="246" spans="1:21" ht="14.25" customHeight="1" x14ac:dyDescent="0.3">
      <c r="A246" s="26" t="str">
        <f ca="1">IF(Calculation!T249&lt;=Calculation!$H$4,Calculation!T249,"")</f>
        <v/>
      </c>
      <c r="B246" s="4" t="str">
        <f ca="1">VLOOKUP(A246,Calculation!$E$6:$J$1004,4,FALSE)</f>
        <v/>
      </c>
      <c r="C246" s="4" t="str">
        <f ca="1">VLOOKUP(A246,Calculation!$E$6:$J$1004,5,FALSE)</f>
        <v/>
      </c>
      <c r="D246" s="4" t="str">
        <f ca="1">VLOOKUP(A246,Calculation!$E$6:$J$1004,6,FALSE)</f>
        <v/>
      </c>
      <c r="E246" s="42" t="str">
        <f t="shared" ca="1" si="0"/>
        <v/>
      </c>
      <c r="G246" s="29" t="str">
        <f ca="1">VLOOKUP(A246,Calculation!$F$6:$J$1004,3,FALSE)</f>
        <v/>
      </c>
      <c r="H246" s="4" t="str">
        <f ca="1">VLOOKUP(A246,Calculation!$F$6:$J$1004,4,FALSE)</f>
        <v/>
      </c>
      <c r="I246" s="4" t="str">
        <f ca="1">VLOOKUP(A246,Calculation!$F$6:$J$1004,5,FALSE)</f>
        <v/>
      </c>
      <c r="J246" s="43" t="str">
        <f t="shared" ca="1" si="1"/>
        <v/>
      </c>
      <c r="L246" s="29" t="str">
        <f ca="1">VLOOKUP(A246,Calculation!$G$6:$S$1004,2,FALSE)</f>
        <v/>
      </c>
      <c r="M246" s="4" t="str">
        <f ca="1">IFERROR(VLOOKUP($L246,Calculation!$H$6:$S$1005,HLOOKUP(M$2,Calculation!$M$4:$S$5,2,FALSE)+5,FALSE),"")</f>
        <v/>
      </c>
      <c r="N246" s="4" t="str">
        <f ca="1">IFERROR(VLOOKUP($L246,Calculation!$H$6:$S$1005,HLOOKUP(N$2,Calculation!$M$4:$S$5,2,FALSE)+5,FALSE),"")</f>
        <v/>
      </c>
      <c r="O246" s="4" t="str">
        <f ca="1">IFERROR(VLOOKUP($L246,Calculation!$H$6:$S$1005,HLOOKUP(O$2,Calculation!$M$4:$S$5,2,FALSE)+5,FALSE),"")</f>
        <v/>
      </c>
      <c r="P246" s="4" t="str">
        <f ca="1">IFERROR(VLOOKUP($L246,Calculation!$H$6:$S$1005,HLOOKUP(P$2,Calculation!$M$4:$S$5,2,FALSE)+5,FALSE),"")</f>
        <v/>
      </c>
      <c r="Q246" s="4" t="str">
        <f ca="1">IFERROR(VLOOKUP($L246,Calculation!$H$6:$S$1005,HLOOKUP(Q$2,Calculation!$M$4:$S$5,2,FALSE)+5,FALSE),"")</f>
        <v/>
      </c>
      <c r="R246" s="27" t="str">
        <f ca="1">IFERROR(VLOOKUP($L246,Calculation!$H$6:$S$1005,HLOOKUP(R$2,Calculation!$M$4:$S$5,2,FALSE)+5,FALSE),"")</f>
        <v/>
      </c>
      <c r="S246" s="4" t="str">
        <f ca="1">IFERROR(VLOOKUP($L246,Calculation!$H$6:$S$1005,HLOOKUP(S$2,Calculation!$M$4:$S$5,2,FALSE)+5,FALSE),"")</f>
        <v/>
      </c>
      <c r="T246" s="29"/>
      <c r="U246" s="43" t="str">
        <f>IFERROR(VLOOKUP(T246,Calculation!$U$6:$V$11,2,FALSE),"")</f>
        <v/>
      </c>
    </row>
    <row r="247" spans="1:21" ht="14.25" customHeight="1" x14ac:dyDescent="0.3">
      <c r="A247" s="26" t="str">
        <f ca="1">IF(Calculation!T250&lt;=Calculation!$H$4,Calculation!T250,"")</f>
        <v/>
      </c>
      <c r="B247" s="4" t="str">
        <f ca="1">VLOOKUP(A247,Calculation!$E$6:$J$1004,4,FALSE)</f>
        <v/>
      </c>
      <c r="C247" s="4" t="str">
        <f ca="1">VLOOKUP(A247,Calculation!$E$6:$J$1004,5,FALSE)</f>
        <v/>
      </c>
      <c r="D247" s="4" t="str">
        <f ca="1">VLOOKUP(A247,Calculation!$E$6:$J$1004,6,FALSE)</f>
        <v/>
      </c>
      <c r="E247" s="42" t="str">
        <f t="shared" ca="1" si="0"/>
        <v/>
      </c>
      <c r="G247" s="29" t="str">
        <f ca="1">VLOOKUP(A247,Calculation!$F$6:$J$1004,3,FALSE)</f>
        <v/>
      </c>
      <c r="H247" s="4" t="str">
        <f ca="1">VLOOKUP(A247,Calculation!$F$6:$J$1004,4,FALSE)</f>
        <v/>
      </c>
      <c r="I247" s="4" t="str">
        <f ca="1">VLOOKUP(A247,Calculation!$F$6:$J$1004,5,FALSE)</f>
        <v/>
      </c>
      <c r="J247" s="43" t="str">
        <f t="shared" ca="1" si="1"/>
        <v/>
      </c>
      <c r="L247" s="29" t="str">
        <f ca="1">VLOOKUP(A247,Calculation!$G$6:$S$1004,2,FALSE)</f>
        <v/>
      </c>
      <c r="M247" s="4" t="str">
        <f ca="1">IFERROR(VLOOKUP($L247,Calculation!$H$6:$S$1005,HLOOKUP(M$2,Calculation!$M$4:$S$5,2,FALSE)+5,FALSE),"")</f>
        <v/>
      </c>
      <c r="N247" s="4" t="str">
        <f ca="1">IFERROR(VLOOKUP($L247,Calculation!$H$6:$S$1005,HLOOKUP(N$2,Calculation!$M$4:$S$5,2,FALSE)+5,FALSE),"")</f>
        <v/>
      </c>
      <c r="O247" s="4" t="str">
        <f ca="1">IFERROR(VLOOKUP($L247,Calculation!$H$6:$S$1005,HLOOKUP(O$2,Calculation!$M$4:$S$5,2,FALSE)+5,FALSE),"")</f>
        <v/>
      </c>
      <c r="P247" s="4" t="str">
        <f ca="1">IFERROR(VLOOKUP($L247,Calculation!$H$6:$S$1005,HLOOKUP(P$2,Calculation!$M$4:$S$5,2,FALSE)+5,FALSE),"")</f>
        <v/>
      </c>
      <c r="Q247" s="4" t="str">
        <f ca="1">IFERROR(VLOOKUP($L247,Calculation!$H$6:$S$1005,HLOOKUP(Q$2,Calculation!$M$4:$S$5,2,FALSE)+5,FALSE),"")</f>
        <v/>
      </c>
      <c r="R247" s="27" t="str">
        <f ca="1">IFERROR(VLOOKUP($L247,Calculation!$H$6:$S$1005,HLOOKUP(R$2,Calculation!$M$4:$S$5,2,FALSE)+5,FALSE),"")</f>
        <v/>
      </c>
      <c r="S247" s="4" t="str">
        <f ca="1">IFERROR(VLOOKUP($L247,Calculation!$H$6:$S$1005,HLOOKUP(S$2,Calculation!$M$4:$S$5,2,FALSE)+5,FALSE),"")</f>
        <v/>
      </c>
      <c r="T247" s="29"/>
      <c r="U247" s="43" t="str">
        <f>IFERROR(VLOOKUP(T247,Calculation!$U$6:$V$11,2,FALSE),"")</f>
        <v/>
      </c>
    </row>
    <row r="248" spans="1:21" ht="14.25" customHeight="1" x14ac:dyDescent="0.3">
      <c r="A248" s="26" t="str">
        <f ca="1">IF(Calculation!T251&lt;=Calculation!$H$4,Calculation!T251,"")</f>
        <v/>
      </c>
      <c r="B248" s="4" t="str">
        <f ca="1">VLOOKUP(A248,Calculation!$E$6:$J$1004,4,FALSE)</f>
        <v/>
      </c>
      <c r="C248" s="4" t="str">
        <f ca="1">VLOOKUP(A248,Calculation!$E$6:$J$1004,5,FALSE)</f>
        <v/>
      </c>
      <c r="D248" s="4" t="str">
        <f ca="1">VLOOKUP(A248,Calculation!$E$6:$J$1004,6,FALSE)</f>
        <v/>
      </c>
      <c r="E248" s="42" t="str">
        <f t="shared" ca="1" si="0"/>
        <v/>
      </c>
      <c r="G248" s="29" t="str">
        <f ca="1">VLOOKUP(A248,Calculation!$F$6:$J$1004,3,FALSE)</f>
        <v/>
      </c>
      <c r="H248" s="4" t="str">
        <f ca="1">VLOOKUP(A248,Calculation!$F$6:$J$1004,4,FALSE)</f>
        <v/>
      </c>
      <c r="I248" s="4" t="str">
        <f ca="1">VLOOKUP(A248,Calculation!$F$6:$J$1004,5,FALSE)</f>
        <v/>
      </c>
      <c r="J248" s="43" t="str">
        <f t="shared" ca="1" si="1"/>
        <v/>
      </c>
      <c r="L248" s="29" t="str">
        <f ca="1">VLOOKUP(A248,Calculation!$G$6:$S$1004,2,FALSE)</f>
        <v/>
      </c>
      <c r="M248" s="4" t="str">
        <f ca="1">IFERROR(VLOOKUP($L248,Calculation!$H$6:$S$1005,HLOOKUP(M$2,Calculation!$M$4:$S$5,2,FALSE)+5,FALSE),"")</f>
        <v/>
      </c>
      <c r="N248" s="4" t="str">
        <f ca="1">IFERROR(VLOOKUP($L248,Calculation!$H$6:$S$1005,HLOOKUP(N$2,Calculation!$M$4:$S$5,2,FALSE)+5,FALSE),"")</f>
        <v/>
      </c>
      <c r="O248" s="4" t="str">
        <f ca="1">IFERROR(VLOOKUP($L248,Calculation!$H$6:$S$1005,HLOOKUP(O$2,Calculation!$M$4:$S$5,2,FALSE)+5,FALSE),"")</f>
        <v/>
      </c>
      <c r="P248" s="4" t="str">
        <f ca="1">IFERROR(VLOOKUP($L248,Calculation!$H$6:$S$1005,HLOOKUP(P$2,Calculation!$M$4:$S$5,2,FALSE)+5,FALSE),"")</f>
        <v/>
      </c>
      <c r="Q248" s="4" t="str">
        <f ca="1">IFERROR(VLOOKUP($L248,Calculation!$H$6:$S$1005,HLOOKUP(Q$2,Calculation!$M$4:$S$5,2,FALSE)+5,FALSE),"")</f>
        <v/>
      </c>
      <c r="R248" s="27" t="str">
        <f ca="1">IFERROR(VLOOKUP($L248,Calculation!$H$6:$S$1005,HLOOKUP(R$2,Calculation!$M$4:$S$5,2,FALSE)+5,FALSE),"")</f>
        <v/>
      </c>
      <c r="S248" s="4" t="str">
        <f ca="1">IFERROR(VLOOKUP($L248,Calculation!$H$6:$S$1005,HLOOKUP(S$2,Calculation!$M$4:$S$5,2,FALSE)+5,FALSE),"")</f>
        <v/>
      </c>
      <c r="T248" s="29"/>
      <c r="U248" s="43" t="str">
        <f>IFERROR(VLOOKUP(T248,Calculation!$U$6:$V$11,2,FALSE),"")</f>
        <v/>
      </c>
    </row>
    <row r="249" spans="1:21" ht="14.25" customHeight="1" x14ac:dyDescent="0.3">
      <c r="A249" s="26" t="str">
        <f ca="1">IF(Calculation!T252&lt;=Calculation!$H$4,Calculation!T252,"")</f>
        <v/>
      </c>
      <c r="B249" s="4" t="str">
        <f ca="1">VLOOKUP(A249,Calculation!$E$6:$J$1004,4,FALSE)</f>
        <v/>
      </c>
      <c r="C249" s="4" t="str">
        <f ca="1">VLOOKUP(A249,Calculation!$E$6:$J$1004,5,FALSE)</f>
        <v/>
      </c>
      <c r="D249" s="4" t="str">
        <f ca="1">VLOOKUP(A249,Calculation!$E$6:$J$1004,6,FALSE)</f>
        <v/>
      </c>
      <c r="E249" s="42" t="str">
        <f t="shared" ca="1" si="0"/>
        <v/>
      </c>
      <c r="G249" s="29" t="str">
        <f ca="1">VLOOKUP(A249,Calculation!$F$6:$J$1004,3,FALSE)</f>
        <v/>
      </c>
      <c r="H249" s="4" t="str">
        <f ca="1">VLOOKUP(A249,Calculation!$F$6:$J$1004,4,FALSE)</f>
        <v/>
      </c>
      <c r="I249" s="4" t="str">
        <f ca="1">VLOOKUP(A249,Calculation!$F$6:$J$1004,5,FALSE)</f>
        <v/>
      </c>
      <c r="J249" s="43" t="str">
        <f t="shared" ca="1" si="1"/>
        <v/>
      </c>
      <c r="L249" s="29" t="str">
        <f ca="1">VLOOKUP(A249,Calculation!$G$6:$S$1004,2,FALSE)</f>
        <v/>
      </c>
      <c r="M249" s="4" t="str">
        <f ca="1">IFERROR(VLOOKUP($L249,Calculation!$H$6:$S$1005,HLOOKUP(M$2,Calculation!$M$4:$S$5,2,FALSE)+5,FALSE),"")</f>
        <v/>
      </c>
      <c r="N249" s="4" t="str">
        <f ca="1">IFERROR(VLOOKUP($L249,Calculation!$H$6:$S$1005,HLOOKUP(N$2,Calculation!$M$4:$S$5,2,FALSE)+5,FALSE),"")</f>
        <v/>
      </c>
      <c r="O249" s="4" t="str">
        <f ca="1">IFERROR(VLOOKUP($L249,Calculation!$H$6:$S$1005,HLOOKUP(O$2,Calculation!$M$4:$S$5,2,FALSE)+5,FALSE),"")</f>
        <v/>
      </c>
      <c r="P249" s="4" t="str">
        <f ca="1">IFERROR(VLOOKUP($L249,Calculation!$H$6:$S$1005,HLOOKUP(P$2,Calculation!$M$4:$S$5,2,FALSE)+5,FALSE),"")</f>
        <v/>
      </c>
      <c r="Q249" s="4" t="str">
        <f ca="1">IFERROR(VLOOKUP($L249,Calculation!$H$6:$S$1005,HLOOKUP(Q$2,Calculation!$M$4:$S$5,2,FALSE)+5,FALSE),"")</f>
        <v/>
      </c>
      <c r="R249" s="27" t="str">
        <f ca="1">IFERROR(VLOOKUP($L249,Calculation!$H$6:$S$1005,HLOOKUP(R$2,Calculation!$M$4:$S$5,2,FALSE)+5,FALSE),"")</f>
        <v/>
      </c>
      <c r="S249" s="4" t="str">
        <f ca="1">IFERROR(VLOOKUP($L249,Calculation!$H$6:$S$1005,HLOOKUP(S$2,Calculation!$M$4:$S$5,2,FALSE)+5,FALSE),"")</f>
        <v/>
      </c>
      <c r="T249" s="29"/>
      <c r="U249" s="43" t="str">
        <f>IFERROR(VLOOKUP(T249,Calculation!$U$6:$V$11,2,FALSE),"")</f>
        <v/>
      </c>
    </row>
    <row r="250" spans="1:21" ht="14.25" customHeight="1" x14ac:dyDescent="0.3">
      <c r="A250" s="26" t="str">
        <f ca="1">IF(Calculation!T253&lt;=Calculation!$H$4,Calculation!T253,"")</f>
        <v/>
      </c>
      <c r="B250" s="4" t="str">
        <f ca="1">VLOOKUP(A250,Calculation!$E$6:$J$1004,4,FALSE)</f>
        <v/>
      </c>
      <c r="C250" s="4" t="str">
        <f ca="1">VLOOKUP(A250,Calculation!$E$6:$J$1004,5,FALSE)</f>
        <v/>
      </c>
      <c r="D250" s="4" t="str">
        <f ca="1">VLOOKUP(A250,Calculation!$E$6:$J$1004,6,FALSE)</f>
        <v/>
      </c>
      <c r="E250" s="42" t="str">
        <f t="shared" ca="1" si="0"/>
        <v/>
      </c>
      <c r="G250" s="29" t="str">
        <f ca="1">VLOOKUP(A250,Calculation!$F$6:$J$1004,3,FALSE)</f>
        <v/>
      </c>
      <c r="H250" s="4" t="str">
        <f ca="1">VLOOKUP(A250,Calculation!$F$6:$J$1004,4,FALSE)</f>
        <v/>
      </c>
      <c r="I250" s="4" t="str">
        <f ca="1">VLOOKUP(A250,Calculation!$F$6:$J$1004,5,FALSE)</f>
        <v/>
      </c>
      <c r="J250" s="43" t="str">
        <f t="shared" ca="1" si="1"/>
        <v/>
      </c>
      <c r="L250" s="29" t="str">
        <f ca="1">VLOOKUP(A250,Calculation!$G$6:$S$1004,2,FALSE)</f>
        <v/>
      </c>
      <c r="M250" s="4" t="str">
        <f ca="1">IFERROR(VLOOKUP($L250,Calculation!$H$6:$S$1005,HLOOKUP(M$2,Calculation!$M$4:$S$5,2,FALSE)+5,FALSE),"")</f>
        <v/>
      </c>
      <c r="N250" s="4" t="str">
        <f ca="1">IFERROR(VLOOKUP($L250,Calculation!$H$6:$S$1005,HLOOKUP(N$2,Calculation!$M$4:$S$5,2,FALSE)+5,FALSE),"")</f>
        <v/>
      </c>
      <c r="O250" s="4" t="str">
        <f ca="1">IFERROR(VLOOKUP($L250,Calculation!$H$6:$S$1005,HLOOKUP(O$2,Calculation!$M$4:$S$5,2,FALSE)+5,FALSE),"")</f>
        <v/>
      </c>
      <c r="P250" s="4" t="str">
        <f ca="1">IFERROR(VLOOKUP($L250,Calculation!$H$6:$S$1005,HLOOKUP(P$2,Calculation!$M$4:$S$5,2,FALSE)+5,FALSE),"")</f>
        <v/>
      </c>
      <c r="Q250" s="4" t="str">
        <f ca="1">IFERROR(VLOOKUP($L250,Calculation!$H$6:$S$1005,HLOOKUP(Q$2,Calculation!$M$4:$S$5,2,FALSE)+5,FALSE),"")</f>
        <v/>
      </c>
      <c r="R250" s="27" t="str">
        <f ca="1">IFERROR(VLOOKUP($L250,Calculation!$H$6:$S$1005,HLOOKUP(R$2,Calculation!$M$4:$S$5,2,FALSE)+5,FALSE),"")</f>
        <v/>
      </c>
      <c r="S250" s="4" t="str">
        <f ca="1">IFERROR(VLOOKUP($L250,Calculation!$H$6:$S$1005,HLOOKUP(S$2,Calculation!$M$4:$S$5,2,FALSE)+5,FALSE),"")</f>
        <v/>
      </c>
      <c r="T250" s="29"/>
      <c r="U250" s="43" t="str">
        <f>IFERROR(VLOOKUP(T250,Calculation!$U$6:$V$11,2,FALSE),"")</f>
        <v/>
      </c>
    </row>
    <row r="251" spans="1:21" ht="14.25" customHeight="1" x14ac:dyDescent="0.3">
      <c r="A251" s="26" t="str">
        <f ca="1">IF(Calculation!T254&lt;=Calculation!$H$4,Calculation!T254,"")</f>
        <v/>
      </c>
      <c r="B251" s="4" t="str">
        <f ca="1">VLOOKUP(A251,Calculation!$E$6:$J$1004,4,FALSE)</f>
        <v/>
      </c>
      <c r="C251" s="4" t="str">
        <f ca="1">VLOOKUP(A251,Calculation!$E$6:$J$1004,5,FALSE)</f>
        <v/>
      </c>
      <c r="D251" s="4" t="str">
        <f ca="1">VLOOKUP(A251,Calculation!$E$6:$J$1004,6,FALSE)</f>
        <v/>
      </c>
      <c r="E251" s="42" t="str">
        <f t="shared" ca="1" si="0"/>
        <v/>
      </c>
      <c r="G251" s="29" t="str">
        <f ca="1">VLOOKUP(A251,Calculation!$F$6:$J$1004,3,FALSE)</f>
        <v/>
      </c>
      <c r="H251" s="4" t="str">
        <f ca="1">VLOOKUP(A251,Calculation!$F$6:$J$1004,4,FALSE)</f>
        <v/>
      </c>
      <c r="I251" s="4" t="str">
        <f ca="1">VLOOKUP(A251,Calculation!$F$6:$J$1004,5,FALSE)</f>
        <v/>
      </c>
      <c r="J251" s="43" t="str">
        <f t="shared" ca="1" si="1"/>
        <v/>
      </c>
      <c r="L251" s="29" t="str">
        <f ca="1">VLOOKUP(A251,Calculation!$G$6:$S$1004,2,FALSE)</f>
        <v/>
      </c>
      <c r="M251" s="4" t="str">
        <f ca="1">IFERROR(VLOOKUP($L251,Calculation!$H$6:$S$1005,HLOOKUP(M$2,Calculation!$M$4:$S$5,2,FALSE)+5,FALSE),"")</f>
        <v/>
      </c>
      <c r="N251" s="4" t="str">
        <f ca="1">IFERROR(VLOOKUP($L251,Calculation!$H$6:$S$1005,HLOOKUP(N$2,Calculation!$M$4:$S$5,2,FALSE)+5,FALSE),"")</f>
        <v/>
      </c>
      <c r="O251" s="4" t="str">
        <f ca="1">IFERROR(VLOOKUP($L251,Calculation!$H$6:$S$1005,HLOOKUP(O$2,Calculation!$M$4:$S$5,2,FALSE)+5,FALSE),"")</f>
        <v/>
      </c>
      <c r="P251" s="4" t="str">
        <f ca="1">IFERROR(VLOOKUP($L251,Calculation!$H$6:$S$1005,HLOOKUP(P$2,Calculation!$M$4:$S$5,2,FALSE)+5,FALSE),"")</f>
        <v/>
      </c>
      <c r="Q251" s="4" t="str">
        <f ca="1">IFERROR(VLOOKUP($L251,Calculation!$H$6:$S$1005,HLOOKUP(Q$2,Calculation!$M$4:$S$5,2,FALSE)+5,FALSE),"")</f>
        <v/>
      </c>
      <c r="R251" s="27" t="str">
        <f ca="1">IFERROR(VLOOKUP($L251,Calculation!$H$6:$S$1005,HLOOKUP(R$2,Calculation!$M$4:$S$5,2,FALSE)+5,FALSE),"")</f>
        <v/>
      </c>
      <c r="S251" s="4" t="str">
        <f ca="1">IFERROR(VLOOKUP($L251,Calculation!$H$6:$S$1005,HLOOKUP(S$2,Calculation!$M$4:$S$5,2,FALSE)+5,FALSE),"")</f>
        <v/>
      </c>
      <c r="T251" s="29"/>
      <c r="U251" s="43" t="str">
        <f>IFERROR(VLOOKUP(T251,Calculation!$U$6:$V$11,2,FALSE),"")</f>
        <v/>
      </c>
    </row>
    <row r="252" spans="1:21" ht="14.25" customHeight="1" x14ac:dyDescent="0.3">
      <c r="A252" s="26" t="str">
        <f ca="1">IF(Calculation!T255&lt;=Calculation!$H$4,Calculation!T255,"")</f>
        <v/>
      </c>
      <c r="B252" s="4" t="str">
        <f ca="1">VLOOKUP(A252,Calculation!$E$6:$J$1004,4,FALSE)</f>
        <v/>
      </c>
      <c r="C252" s="4" t="str">
        <f ca="1">VLOOKUP(A252,Calculation!$E$6:$J$1004,5,FALSE)</f>
        <v/>
      </c>
      <c r="D252" s="4" t="str">
        <f ca="1">VLOOKUP(A252,Calculation!$E$6:$J$1004,6,FALSE)</f>
        <v/>
      </c>
      <c r="E252" s="42" t="str">
        <f t="shared" ca="1" si="0"/>
        <v/>
      </c>
      <c r="G252" s="29" t="str">
        <f ca="1">VLOOKUP(A252,Calculation!$F$6:$J$1004,3,FALSE)</f>
        <v/>
      </c>
      <c r="H252" s="4" t="str">
        <f ca="1">VLOOKUP(A252,Calculation!$F$6:$J$1004,4,FALSE)</f>
        <v/>
      </c>
      <c r="I252" s="4" t="str">
        <f ca="1">VLOOKUP(A252,Calculation!$F$6:$J$1004,5,FALSE)</f>
        <v/>
      </c>
      <c r="J252" s="43" t="str">
        <f t="shared" ca="1" si="1"/>
        <v/>
      </c>
      <c r="L252" s="29" t="str">
        <f ca="1">VLOOKUP(A252,Calculation!$G$6:$S$1004,2,FALSE)</f>
        <v/>
      </c>
      <c r="M252" s="4" t="str">
        <f ca="1">IFERROR(VLOOKUP($L252,Calculation!$H$6:$S$1005,HLOOKUP(M$2,Calculation!$M$4:$S$5,2,FALSE)+5,FALSE),"")</f>
        <v/>
      </c>
      <c r="N252" s="4" t="str">
        <f ca="1">IFERROR(VLOOKUP($L252,Calculation!$H$6:$S$1005,HLOOKUP(N$2,Calculation!$M$4:$S$5,2,FALSE)+5,FALSE),"")</f>
        <v/>
      </c>
      <c r="O252" s="4" t="str">
        <f ca="1">IFERROR(VLOOKUP($L252,Calculation!$H$6:$S$1005,HLOOKUP(O$2,Calculation!$M$4:$S$5,2,FALSE)+5,FALSE),"")</f>
        <v/>
      </c>
      <c r="P252" s="4" t="str">
        <f ca="1">IFERROR(VLOOKUP($L252,Calculation!$H$6:$S$1005,HLOOKUP(P$2,Calculation!$M$4:$S$5,2,FALSE)+5,FALSE),"")</f>
        <v/>
      </c>
      <c r="Q252" s="4" t="str">
        <f ca="1">IFERROR(VLOOKUP($L252,Calculation!$H$6:$S$1005,HLOOKUP(Q$2,Calculation!$M$4:$S$5,2,FALSE)+5,FALSE),"")</f>
        <v/>
      </c>
      <c r="R252" s="27" t="str">
        <f ca="1">IFERROR(VLOOKUP($L252,Calculation!$H$6:$S$1005,HLOOKUP(R$2,Calculation!$M$4:$S$5,2,FALSE)+5,FALSE),"")</f>
        <v/>
      </c>
      <c r="S252" s="4" t="str">
        <f ca="1">IFERROR(VLOOKUP($L252,Calculation!$H$6:$S$1005,HLOOKUP(S$2,Calculation!$M$4:$S$5,2,FALSE)+5,FALSE),"")</f>
        <v/>
      </c>
      <c r="T252" s="29"/>
      <c r="U252" s="43" t="str">
        <f>IFERROR(VLOOKUP(T252,Calculation!$U$6:$V$11,2,FALSE),"")</f>
        <v/>
      </c>
    </row>
    <row r="253" spans="1:21" ht="14.25" customHeight="1" x14ac:dyDescent="0.3">
      <c r="A253" s="26" t="str">
        <f ca="1">IF(Calculation!T256&lt;=Calculation!$H$4,Calculation!T256,"")</f>
        <v/>
      </c>
      <c r="B253" s="4" t="str">
        <f ca="1">VLOOKUP(A253,Calculation!$E$6:$J$1004,4,FALSE)</f>
        <v/>
      </c>
      <c r="C253" s="4" t="str">
        <f ca="1">VLOOKUP(A253,Calculation!$E$6:$J$1004,5,FALSE)</f>
        <v/>
      </c>
      <c r="D253" s="4" t="str">
        <f ca="1">VLOOKUP(A253,Calculation!$E$6:$J$1004,6,FALSE)</f>
        <v/>
      </c>
      <c r="E253" s="42" t="str">
        <f t="shared" ca="1" si="0"/>
        <v/>
      </c>
      <c r="G253" s="29" t="str">
        <f ca="1">VLOOKUP(A253,Calculation!$F$6:$J$1004,3,FALSE)</f>
        <v/>
      </c>
      <c r="H253" s="4" t="str">
        <f ca="1">VLOOKUP(A253,Calculation!$F$6:$J$1004,4,FALSE)</f>
        <v/>
      </c>
      <c r="I253" s="4" t="str">
        <f ca="1">VLOOKUP(A253,Calculation!$F$6:$J$1004,5,FALSE)</f>
        <v/>
      </c>
      <c r="J253" s="43" t="str">
        <f t="shared" ca="1" si="1"/>
        <v/>
      </c>
      <c r="L253" s="29" t="str">
        <f ca="1">VLOOKUP(A253,Calculation!$G$6:$S$1004,2,FALSE)</f>
        <v/>
      </c>
      <c r="M253" s="4" t="str">
        <f ca="1">IFERROR(VLOOKUP($L253,Calculation!$H$6:$S$1005,HLOOKUP(M$2,Calculation!$M$4:$S$5,2,FALSE)+5,FALSE),"")</f>
        <v/>
      </c>
      <c r="N253" s="4" t="str">
        <f ca="1">IFERROR(VLOOKUP($L253,Calculation!$H$6:$S$1005,HLOOKUP(N$2,Calculation!$M$4:$S$5,2,FALSE)+5,FALSE),"")</f>
        <v/>
      </c>
      <c r="O253" s="4" t="str">
        <f ca="1">IFERROR(VLOOKUP($L253,Calculation!$H$6:$S$1005,HLOOKUP(O$2,Calculation!$M$4:$S$5,2,FALSE)+5,FALSE),"")</f>
        <v/>
      </c>
      <c r="P253" s="4" t="str">
        <f ca="1">IFERROR(VLOOKUP($L253,Calculation!$H$6:$S$1005,HLOOKUP(P$2,Calculation!$M$4:$S$5,2,FALSE)+5,FALSE),"")</f>
        <v/>
      </c>
      <c r="Q253" s="4" t="str">
        <f ca="1">IFERROR(VLOOKUP($L253,Calculation!$H$6:$S$1005,HLOOKUP(Q$2,Calculation!$M$4:$S$5,2,FALSE)+5,FALSE),"")</f>
        <v/>
      </c>
      <c r="R253" s="27" t="str">
        <f ca="1">IFERROR(VLOOKUP($L253,Calculation!$H$6:$S$1005,HLOOKUP(R$2,Calculation!$M$4:$S$5,2,FALSE)+5,FALSE),"")</f>
        <v/>
      </c>
      <c r="S253" s="4" t="str">
        <f ca="1">IFERROR(VLOOKUP($L253,Calculation!$H$6:$S$1005,HLOOKUP(S$2,Calculation!$M$4:$S$5,2,FALSE)+5,FALSE),"")</f>
        <v/>
      </c>
      <c r="T253" s="29"/>
      <c r="U253" s="43" t="str">
        <f>IFERROR(VLOOKUP(T253,Calculation!$U$6:$V$11,2,FALSE),"")</f>
        <v/>
      </c>
    </row>
    <row r="254" spans="1:21" ht="14.25" customHeight="1" x14ac:dyDescent="0.3">
      <c r="A254" s="26" t="str">
        <f ca="1">IF(Calculation!T257&lt;=Calculation!$H$4,Calculation!T257,"")</f>
        <v/>
      </c>
      <c r="B254" s="4" t="str">
        <f ca="1">VLOOKUP(A254,Calculation!$E$6:$J$1004,4,FALSE)</f>
        <v/>
      </c>
      <c r="C254" s="4" t="str">
        <f ca="1">VLOOKUP(A254,Calculation!$E$6:$J$1004,5,FALSE)</f>
        <v/>
      </c>
      <c r="D254" s="4" t="str">
        <f ca="1">VLOOKUP(A254,Calculation!$E$6:$J$1004,6,FALSE)</f>
        <v/>
      </c>
      <c r="E254" s="42" t="str">
        <f t="shared" ca="1" si="0"/>
        <v/>
      </c>
      <c r="G254" s="29" t="str">
        <f ca="1">VLOOKUP(A254,Calculation!$F$6:$J$1004,3,FALSE)</f>
        <v/>
      </c>
      <c r="H254" s="4" t="str">
        <f ca="1">VLOOKUP(A254,Calculation!$F$6:$J$1004,4,FALSE)</f>
        <v/>
      </c>
      <c r="I254" s="4" t="str">
        <f ca="1">VLOOKUP(A254,Calculation!$F$6:$J$1004,5,FALSE)</f>
        <v/>
      </c>
      <c r="J254" s="43" t="str">
        <f t="shared" ca="1" si="1"/>
        <v/>
      </c>
      <c r="L254" s="29" t="str">
        <f ca="1">VLOOKUP(A254,Calculation!$G$6:$S$1004,2,FALSE)</f>
        <v/>
      </c>
      <c r="M254" s="4" t="str">
        <f ca="1">IFERROR(VLOOKUP($L254,Calculation!$H$6:$S$1005,HLOOKUP(M$2,Calculation!$M$4:$S$5,2,FALSE)+5,FALSE),"")</f>
        <v/>
      </c>
      <c r="N254" s="4" t="str">
        <f ca="1">IFERROR(VLOOKUP($L254,Calculation!$H$6:$S$1005,HLOOKUP(N$2,Calculation!$M$4:$S$5,2,FALSE)+5,FALSE),"")</f>
        <v/>
      </c>
      <c r="O254" s="4" t="str">
        <f ca="1">IFERROR(VLOOKUP($L254,Calculation!$H$6:$S$1005,HLOOKUP(O$2,Calculation!$M$4:$S$5,2,FALSE)+5,FALSE),"")</f>
        <v/>
      </c>
      <c r="P254" s="4" t="str">
        <f ca="1">IFERROR(VLOOKUP($L254,Calculation!$H$6:$S$1005,HLOOKUP(P$2,Calculation!$M$4:$S$5,2,FALSE)+5,FALSE),"")</f>
        <v/>
      </c>
      <c r="Q254" s="4" t="str">
        <f ca="1">IFERROR(VLOOKUP($L254,Calculation!$H$6:$S$1005,HLOOKUP(Q$2,Calculation!$M$4:$S$5,2,FALSE)+5,FALSE),"")</f>
        <v/>
      </c>
      <c r="R254" s="27" t="str">
        <f ca="1">IFERROR(VLOOKUP($L254,Calculation!$H$6:$S$1005,HLOOKUP(R$2,Calculation!$M$4:$S$5,2,FALSE)+5,FALSE),"")</f>
        <v/>
      </c>
      <c r="S254" s="4" t="str">
        <f ca="1">IFERROR(VLOOKUP($L254,Calculation!$H$6:$S$1005,HLOOKUP(S$2,Calculation!$M$4:$S$5,2,FALSE)+5,FALSE),"")</f>
        <v/>
      </c>
      <c r="T254" s="29"/>
      <c r="U254" s="43" t="str">
        <f>IFERROR(VLOOKUP(T254,Calculation!$U$6:$V$11,2,FALSE),"")</f>
        <v/>
      </c>
    </row>
    <row r="255" spans="1:21" ht="14.25" customHeight="1" x14ac:dyDescent="0.3">
      <c r="A255" s="26" t="str">
        <f ca="1">IF(Calculation!T258&lt;=Calculation!$H$4,Calculation!T258,"")</f>
        <v/>
      </c>
      <c r="B255" s="4" t="str">
        <f ca="1">VLOOKUP(A255,Calculation!$E$6:$J$1004,4,FALSE)</f>
        <v/>
      </c>
      <c r="C255" s="4" t="str">
        <f ca="1">VLOOKUP(A255,Calculation!$E$6:$J$1004,5,FALSE)</f>
        <v/>
      </c>
      <c r="D255" s="4" t="str">
        <f ca="1">VLOOKUP(A255,Calculation!$E$6:$J$1004,6,FALSE)</f>
        <v/>
      </c>
      <c r="E255" s="42" t="str">
        <f t="shared" ca="1" si="0"/>
        <v/>
      </c>
      <c r="G255" s="29" t="str">
        <f ca="1">VLOOKUP(A255,Calculation!$F$6:$J$1004,3,FALSE)</f>
        <v/>
      </c>
      <c r="H255" s="4" t="str">
        <f ca="1">VLOOKUP(A255,Calculation!$F$6:$J$1004,4,FALSE)</f>
        <v/>
      </c>
      <c r="I255" s="4" t="str">
        <f ca="1">VLOOKUP(A255,Calculation!$F$6:$J$1004,5,FALSE)</f>
        <v/>
      </c>
      <c r="J255" s="43" t="str">
        <f t="shared" ca="1" si="1"/>
        <v/>
      </c>
      <c r="L255" s="29" t="str">
        <f ca="1">VLOOKUP(A255,Calculation!$G$6:$S$1004,2,FALSE)</f>
        <v/>
      </c>
      <c r="M255" s="4" t="str">
        <f ca="1">IFERROR(VLOOKUP($L255,Calculation!$H$6:$S$1005,HLOOKUP(M$2,Calculation!$M$4:$S$5,2,FALSE)+5,FALSE),"")</f>
        <v/>
      </c>
      <c r="N255" s="4" t="str">
        <f ca="1">IFERROR(VLOOKUP($L255,Calculation!$H$6:$S$1005,HLOOKUP(N$2,Calculation!$M$4:$S$5,2,FALSE)+5,FALSE),"")</f>
        <v/>
      </c>
      <c r="O255" s="4" t="str">
        <f ca="1">IFERROR(VLOOKUP($L255,Calculation!$H$6:$S$1005,HLOOKUP(O$2,Calculation!$M$4:$S$5,2,FALSE)+5,FALSE),"")</f>
        <v/>
      </c>
      <c r="P255" s="4" t="str">
        <f ca="1">IFERROR(VLOOKUP($L255,Calculation!$H$6:$S$1005,HLOOKUP(P$2,Calculation!$M$4:$S$5,2,FALSE)+5,FALSE),"")</f>
        <v/>
      </c>
      <c r="Q255" s="4" t="str">
        <f ca="1">IFERROR(VLOOKUP($L255,Calculation!$H$6:$S$1005,HLOOKUP(Q$2,Calculation!$M$4:$S$5,2,FALSE)+5,FALSE),"")</f>
        <v/>
      </c>
      <c r="R255" s="27" t="str">
        <f ca="1">IFERROR(VLOOKUP($L255,Calculation!$H$6:$S$1005,HLOOKUP(R$2,Calculation!$M$4:$S$5,2,FALSE)+5,FALSE),"")</f>
        <v/>
      </c>
      <c r="S255" s="4" t="str">
        <f ca="1">IFERROR(VLOOKUP($L255,Calculation!$H$6:$S$1005,HLOOKUP(S$2,Calculation!$M$4:$S$5,2,FALSE)+5,FALSE),"")</f>
        <v/>
      </c>
      <c r="T255" s="29"/>
      <c r="U255" s="43" t="str">
        <f>IFERROR(VLOOKUP(T255,Calculation!$U$6:$V$11,2,FALSE),"")</f>
        <v/>
      </c>
    </row>
    <row r="256" spans="1:21" ht="14.25" customHeight="1" x14ac:dyDescent="0.3">
      <c r="A256" s="26" t="str">
        <f ca="1">IF(Calculation!T259&lt;=Calculation!$H$4,Calculation!T259,"")</f>
        <v/>
      </c>
      <c r="B256" s="4" t="str">
        <f ca="1">VLOOKUP(A256,Calculation!$E$6:$J$1004,4,FALSE)</f>
        <v/>
      </c>
      <c r="C256" s="4" t="str">
        <f ca="1">VLOOKUP(A256,Calculation!$E$6:$J$1004,5,FALSE)</f>
        <v/>
      </c>
      <c r="D256" s="4" t="str">
        <f ca="1">VLOOKUP(A256,Calculation!$E$6:$J$1004,6,FALSE)</f>
        <v/>
      </c>
      <c r="E256" s="42" t="str">
        <f t="shared" ca="1" si="0"/>
        <v/>
      </c>
      <c r="G256" s="29" t="str">
        <f ca="1">VLOOKUP(A256,Calculation!$F$6:$J$1004,3,FALSE)</f>
        <v/>
      </c>
      <c r="H256" s="4" t="str">
        <f ca="1">VLOOKUP(A256,Calculation!$F$6:$J$1004,4,FALSE)</f>
        <v/>
      </c>
      <c r="I256" s="4" t="str">
        <f ca="1">VLOOKUP(A256,Calculation!$F$6:$J$1004,5,FALSE)</f>
        <v/>
      </c>
      <c r="J256" s="43" t="str">
        <f t="shared" ca="1" si="1"/>
        <v/>
      </c>
      <c r="L256" s="29" t="str">
        <f ca="1">VLOOKUP(A256,Calculation!$G$6:$S$1004,2,FALSE)</f>
        <v/>
      </c>
      <c r="M256" s="4" t="str">
        <f ca="1">IFERROR(VLOOKUP($L256,Calculation!$H$6:$S$1005,HLOOKUP(M$2,Calculation!$M$4:$S$5,2,FALSE)+5,FALSE),"")</f>
        <v/>
      </c>
      <c r="N256" s="4" t="str">
        <f ca="1">IFERROR(VLOOKUP($L256,Calculation!$H$6:$S$1005,HLOOKUP(N$2,Calculation!$M$4:$S$5,2,FALSE)+5,FALSE),"")</f>
        <v/>
      </c>
      <c r="O256" s="4" t="str">
        <f ca="1">IFERROR(VLOOKUP($L256,Calculation!$H$6:$S$1005,HLOOKUP(O$2,Calculation!$M$4:$S$5,2,FALSE)+5,FALSE),"")</f>
        <v/>
      </c>
      <c r="P256" s="4" t="str">
        <f ca="1">IFERROR(VLOOKUP($L256,Calculation!$H$6:$S$1005,HLOOKUP(P$2,Calculation!$M$4:$S$5,2,FALSE)+5,FALSE),"")</f>
        <v/>
      </c>
      <c r="Q256" s="4" t="str">
        <f ca="1">IFERROR(VLOOKUP($L256,Calculation!$H$6:$S$1005,HLOOKUP(Q$2,Calculation!$M$4:$S$5,2,FALSE)+5,FALSE),"")</f>
        <v/>
      </c>
      <c r="R256" s="27" t="str">
        <f ca="1">IFERROR(VLOOKUP($L256,Calculation!$H$6:$S$1005,HLOOKUP(R$2,Calculation!$M$4:$S$5,2,FALSE)+5,FALSE),"")</f>
        <v/>
      </c>
      <c r="S256" s="4" t="str">
        <f ca="1">IFERROR(VLOOKUP($L256,Calculation!$H$6:$S$1005,HLOOKUP(S$2,Calculation!$M$4:$S$5,2,FALSE)+5,FALSE),"")</f>
        <v/>
      </c>
      <c r="T256" s="29"/>
      <c r="U256" s="43" t="str">
        <f>IFERROR(VLOOKUP(T256,Calculation!$U$6:$V$11,2,FALSE),"")</f>
        <v/>
      </c>
    </row>
    <row r="257" spans="1:21" ht="14.25" customHeight="1" x14ac:dyDescent="0.3">
      <c r="A257" s="26" t="str">
        <f ca="1">IF(Calculation!T260&lt;=Calculation!$H$4,Calculation!T260,"")</f>
        <v/>
      </c>
      <c r="B257" s="4" t="str">
        <f ca="1">VLOOKUP(A257,Calculation!$E$6:$J$1004,4,FALSE)</f>
        <v/>
      </c>
      <c r="C257" s="4" t="str">
        <f ca="1">VLOOKUP(A257,Calculation!$E$6:$J$1004,5,FALSE)</f>
        <v/>
      </c>
      <c r="D257" s="4" t="str">
        <f ca="1">VLOOKUP(A257,Calculation!$E$6:$J$1004,6,FALSE)</f>
        <v/>
      </c>
      <c r="E257" s="42" t="str">
        <f t="shared" ca="1" si="0"/>
        <v/>
      </c>
      <c r="G257" s="29" t="str">
        <f ca="1">VLOOKUP(A257,Calculation!$F$6:$J$1004,3,FALSE)</f>
        <v/>
      </c>
      <c r="H257" s="4" t="str">
        <f ca="1">VLOOKUP(A257,Calculation!$F$6:$J$1004,4,FALSE)</f>
        <v/>
      </c>
      <c r="I257" s="4" t="str">
        <f ca="1">VLOOKUP(A257,Calculation!$F$6:$J$1004,5,FALSE)</f>
        <v/>
      </c>
      <c r="J257" s="43" t="str">
        <f t="shared" ca="1" si="1"/>
        <v/>
      </c>
      <c r="L257" s="29" t="str">
        <f ca="1">VLOOKUP(A257,Calculation!$G$6:$S$1004,2,FALSE)</f>
        <v/>
      </c>
      <c r="M257" s="4" t="str">
        <f ca="1">IFERROR(VLOOKUP($L257,Calculation!$H$6:$S$1005,HLOOKUP(M$2,Calculation!$M$4:$S$5,2,FALSE)+5,FALSE),"")</f>
        <v/>
      </c>
      <c r="N257" s="4" t="str">
        <f ca="1">IFERROR(VLOOKUP($L257,Calculation!$H$6:$S$1005,HLOOKUP(N$2,Calculation!$M$4:$S$5,2,FALSE)+5,FALSE),"")</f>
        <v/>
      </c>
      <c r="O257" s="4" t="str">
        <f ca="1">IFERROR(VLOOKUP($L257,Calculation!$H$6:$S$1005,HLOOKUP(O$2,Calculation!$M$4:$S$5,2,FALSE)+5,FALSE),"")</f>
        <v/>
      </c>
      <c r="P257" s="4" t="str">
        <f ca="1">IFERROR(VLOOKUP($L257,Calculation!$H$6:$S$1005,HLOOKUP(P$2,Calculation!$M$4:$S$5,2,FALSE)+5,FALSE),"")</f>
        <v/>
      </c>
      <c r="Q257" s="4" t="str">
        <f ca="1">IFERROR(VLOOKUP($L257,Calculation!$H$6:$S$1005,HLOOKUP(Q$2,Calculation!$M$4:$S$5,2,FALSE)+5,FALSE),"")</f>
        <v/>
      </c>
      <c r="R257" s="27" t="str">
        <f ca="1">IFERROR(VLOOKUP($L257,Calculation!$H$6:$S$1005,HLOOKUP(R$2,Calculation!$M$4:$S$5,2,FALSE)+5,FALSE),"")</f>
        <v/>
      </c>
      <c r="S257" s="4" t="str">
        <f ca="1">IFERROR(VLOOKUP($L257,Calculation!$H$6:$S$1005,HLOOKUP(S$2,Calculation!$M$4:$S$5,2,FALSE)+5,FALSE),"")</f>
        <v/>
      </c>
      <c r="T257" s="29"/>
      <c r="U257" s="43" t="str">
        <f>IFERROR(VLOOKUP(T257,Calculation!$U$6:$V$11,2,FALSE),"")</f>
        <v/>
      </c>
    </row>
    <row r="258" spans="1:21" ht="14.25" customHeight="1" x14ac:dyDescent="0.3">
      <c r="A258" s="26" t="str">
        <f ca="1">IF(Calculation!T261&lt;=Calculation!$H$4,Calculation!T261,"")</f>
        <v/>
      </c>
      <c r="B258" s="4" t="str">
        <f ca="1">VLOOKUP(A258,Calculation!$E$6:$J$1004,4,FALSE)</f>
        <v/>
      </c>
      <c r="C258" s="4" t="str">
        <f ca="1">VLOOKUP(A258,Calculation!$E$6:$J$1004,5,FALSE)</f>
        <v/>
      </c>
      <c r="D258" s="4" t="str">
        <f ca="1">VLOOKUP(A258,Calculation!$E$6:$J$1004,6,FALSE)</f>
        <v/>
      </c>
      <c r="E258" s="42" t="str">
        <f t="shared" ref="E258:E512" ca="1" si="2">IF(C258=0,0.0001,IF($A258="","",$C258/$D258))</f>
        <v/>
      </c>
      <c r="G258" s="29" t="str">
        <f ca="1">VLOOKUP(A258,Calculation!$F$6:$J$1004,3,FALSE)</f>
        <v/>
      </c>
      <c r="H258" s="4" t="str">
        <f ca="1">VLOOKUP(A258,Calculation!$F$6:$J$1004,4,FALSE)</f>
        <v/>
      </c>
      <c r="I258" s="4" t="str">
        <f ca="1">VLOOKUP(A258,Calculation!$F$6:$J$1004,5,FALSE)</f>
        <v/>
      </c>
      <c r="J258" s="43" t="str">
        <f t="shared" ref="J258:J512" ca="1" si="3">IF($A258="","",$I258-$H258)</f>
        <v/>
      </c>
      <c r="L258" s="29" t="str">
        <f ca="1">VLOOKUP(A258,Calculation!$G$6:$S$1004,2,FALSE)</f>
        <v/>
      </c>
      <c r="M258" s="4" t="str">
        <f ca="1">IFERROR(VLOOKUP($L258,Calculation!$H$6:$S$1005,HLOOKUP(M$2,Calculation!$M$4:$S$5,2,FALSE)+5,FALSE),"")</f>
        <v/>
      </c>
      <c r="N258" s="4" t="str">
        <f ca="1">IFERROR(VLOOKUP($L258,Calculation!$H$6:$S$1005,HLOOKUP(N$2,Calculation!$M$4:$S$5,2,FALSE)+5,FALSE),"")</f>
        <v/>
      </c>
      <c r="O258" s="4" t="str">
        <f ca="1">IFERROR(VLOOKUP($L258,Calculation!$H$6:$S$1005,HLOOKUP(O$2,Calculation!$M$4:$S$5,2,FALSE)+5,FALSE),"")</f>
        <v/>
      </c>
      <c r="P258" s="4" t="str">
        <f ca="1">IFERROR(VLOOKUP($L258,Calculation!$H$6:$S$1005,HLOOKUP(P$2,Calculation!$M$4:$S$5,2,FALSE)+5,FALSE),"")</f>
        <v/>
      </c>
      <c r="Q258" s="4" t="str">
        <f ca="1">IFERROR(VLOOKUP($L258,Calculation!$H$6:$S$1005,HLOOKUP(Q$2,Calculation!$M$4:$S$5,2,FALSE)+5,FALSE),"")</f>
        <v/>
      </c>
      <c r="R258" s="27" t="str">
        <f ca="1">IFERROR(VLOOKUP($L258,Calculation!$H$6:$S$1005,HLOOKUP(R$2,Calculation!$M$4:$S$5,2,FALSE)+5,FALSE),"")</f>
        <v/>
      </c>
      <c r="S258" s="4" t="str">
        <f ca="1">IFERROR(VLOOKUP($L258,Calculation!$H$6:$S$1005,HLOOKUP(S$2,Calculation!$M$4:$S$5,2,FALSE)+5,FALSE),"")</f>
        <v/>
      </c>
      <c r="T258" s="29"/>
      <c r="U258" s="43" t="str">
        <f>IFERROR(VLOOKUP(T258,Calculation!$U$6:$V$11,2,FALSE),"")</f>
        <v/>
      </c>
    </row>
    <row r="259" spans="1:21" ht="14.25" customHeight="1" x14ac:dyDescent="0.3">
      <c r="A259" s="26" t="str">
        <f ca="1">IF(Calculation!T262&lt;=Calculation!$H$4,Calculation!T262,"")</f>
        <v/>
      </c>
      <c r="B259" s="4" t="str">
        <f ca="1">VLOOKUP(A259,Calculation!$E$6:$J$1004,4,FALSE)</f>
        <v/>
      </c>
      <c r="C259" s="4" t="str">
        <f ca="1">VLOOKUP(A259,Calculation!$E$6:$J$1004,5,FALSE)</f>
        <v/>
      </c>
      <c r="D259" s="4" t="str">
        <f ca="1">VLOOKUP(A259,Calculation!$E$6:$J$1004,6,FALSE)</f>
        <v/>
      </c>
      <c r="E259" s="42" t="str">
        <f t="shared" ca="1" si="2"/>
        <v/>
      </c>
      <c r="G259" s="29" t="str">
        <f ca="1">VLOOKUP(A259,Calculation!$F$6:$J$1004,3,FALSE)</f>
        <v/>
      </c>
      <c r="H259" s="4" t="str">
        <f ca="1">VLOOKUP(A259,Calculation!$F$6:$J$1004,4,FALSE)</f>
        <v/>
      </c>
      <c r="I259" s="4" t="str">
        <f ca="1">VLOOKUP(A259,Calculation!$F$6:$J$1004,5,FALSE)</f>
        <v/>
      </c>
      <c r="J259" s="43" t="str">
        <f t="shared" ca="1" si="3"/>
        <v/>
      </c>
      <c r="L259" s="29" t="str">
        <f ca="1">VLOOKUP(A259,Calculation!$G$6:$S$1004,2,FALSE)</f>
        <v/>
      </c>
      <c r="M259" s="4" t="str">
        <f ca="1">IFERROR(VLOOKUP($L259,Calculation!$H$6:$S$1005,HLOOKUP(M$2,Calculation!$M$4:$S$5,2,FALSE)+5,FALSE),"")</f>
        <v/>
      </c>
      <c r="N259" s="4" t="str">
        <f ca="1">IFERROR(VLOOKUP($L259,Calculation!$H$6:$S$1005,HLOOKUP(N$2,Calculation!$M$4:$S$5,2,FALSE)+5,FALSE),"")</f>
        <v/>
      </c>
      <c r="O259" s="4" t="str">
        <f ca="1">IFERROR(VLOOKUP($L259,Calculation!$H$6:$S$1005,HLOOKUP(O$2,Calculation!$M$4:$S$5,2,FALSE)+5,FALSE),"")</f>
        <v/>
      </c>
      <c r="P259" s="4" t="str">
        <f ca="1">IFERROR(VLOOKUP($L259,Calculation!$H$6:$S$1005,HLOOKUP(P$2,Calculation!$M$4:$S$5,2,FALSE)+5,FALSE),"")</f>
        <v/>
      </c>
      <c r="Q259" s="4" t="str">
        <f ca="1">IFERROR(VLOOKUP($L259,Calculation!$H$6:$S$1005,HLOOKUP(Q$2,Calculation!$M$4:$S$5,2,FALSE)+5,FALSE),"")</f>
        <v/>
      </c>
      <c r="R259" s="27" t="str">
        <f ca="1">IFERROR(VLOOKUP($L259,Calculation!$H$6:$S$1005,HLOOKUP(R$2,Calculation!$M$4:$S$5,2,FALSE)+5,FALSE),"")</f>
        <v/>
      </c>
      <c r="S259" s="4" t="str">
        <f ca="1">IFERROR(VLOOKUP($L259,Calculation!$H$6:$S$1005,HLOOKUP(S$2,Calculation!$M$4:$S$5,2,FALSE)+5,FALSE),"")</f>
        <v/>
      </c>
      <c r="T259" s="29"/>
      <c r="U259" s="43" t="str">
        <f>IFERROR(VLOOKUP(T259,Calculation!$U$6:$V$11,2,FALSE),"")</f>
        <v/>
      </c>
    </row>
    <row r="260" spans="1:21" ht="14.25" customHeight="1" x14ac:dyDescent="0.3">
      <c r="A260" s="26" t="str">
        <f ca="1">IF(Calculation!T263&lt;=Calculation!$H$4,Calculation!T263,"")</f>
        <v/>
      </c>
      <c r="B260" s="4" t="str">
        <f ca="1">VLOOKUP(A260,Calculation!$E$6:$J$1004,4,FALSE)</f>
        <v/>
      </c>
      <c r="C260" s="4" t="str">
        <f ca="1">VLOOKUP(A260,Calculation!$E$6:$J$1004,5,FALSE)</f>
        <v/>
      </c>
      <c r="D260" s="4" t="str">
        <f ca="1">VLOOKUP(A260,Calculation!$E$6:$J$1004,6,FALSE)</f>
        <v/>
      </c>
      <c r="E260" s="42" t="str">
        <f t="shared" ca="1" si="2"/>
        <v/>
      </c>
      <c r="G260" s="29" t="str">
        <f ca="1">VLOOKUP(A260,Calculation!$F$6:$J$1004,3,FALSE)</f>
        <v/>
      </c>
      <c r="H260" s="4" t="str">
        <f ca="1">VLOOKUP(A260,Calculation!$F$6:$J$1004,4,FALSE)</f>
        <v/>
      </c>
      <c r="I260" s="4" t="str">
        <f ca="1">VLOOKUP(A260,Calculation!$F$6:$J$1004,5,FALSE)</f>
        <v/>
      </c>
      <c r="J260" s="43" t="str">
        <f t="shared" ca="1" si="3"/>
        <v/>
      </c>
      <c r="L260" s="29" t="str">
        <f ca="1">VLOOKUP(A260,Calculation!$G$6:$S$1004,2,FALSE)</f>
        <v/>
      </c>
      <c r="M260" s="4" t="str">
        <f ca="1">IFERROR(VLOOKUP($L260,Calculation!$H$6:$S$1005,HLOOKUP(M$2,Calculation!$M$4:$S$5,2,FALSE)+5,FALSE),"")</f>
        <v/>
      </c>
      <c r="N260" s="4" t="str">
        <f ca="1">IFERROR(VLOOKUP($L260,Calculation!$H$6:$S$1005,HLOOKUP(N$2,Calculation!$M$4:$S$5,2,FALSE)+5,FALSE),"")</f>
        <v/>
      </c>
      <c r="O260" s="4" t="str">
        <f ca="1">IFERROR(VLOOKUP($L260,Calculation!$H$6:$S$1005,HLOOKUP(O$2,Calculation!$M$4:$S$5,2,FALSE)+5,FALSE),"")</f>
        <v/>
      </c>
      <c r="P260" s="4" t="str">
        <f ca="1">IFERROR(VLOOKUP($L260,Calculation!$H$6:$S$1005,HLOOKUP(P$2,Calculation!$M$4:$S$5,2,FALSE)+5,FALSE),"")</f>
        <v/>
      </c>
      <c r="Q260" s="4" t="str">
        <f ca="1">IFERROR(VLOOKUP($L260,Calculation!$H$6:$S$1005,HLOOKUP(Q$2,Calculation!$M$4:$S$5,2,FALSE)+5,FALSE),"")</f>
        <v/>
      </c>
      <c r="R260" s="27" t="str">
        <f ca="1">IFERROR(VLOOKUP($L260,Calculation!$H$6:$S$1005,HLOOKUP(R$2,Calculation!$M$4:$S$5,2,FALSE)+5,FALSE),"")</f>
        <v/>
      </c>
      <c r="S260" s="4" t="str">
        <f ca="1">IFERROR(VLOOKUP($L260,Calculation!$H$6:$S$1005,HLOOKUP(S$2,Calculation!$M$4:$S$5,2,FALSE)+5,FALSE),"")</f>
        <v/>
      </c>
      <c r="T260" s="29"/>
      <c r="U260" s="43" t="str">
        <f>IFERROR(VLOOKUP(T260,Calculation!$U$6:$V$11,2,FALSE),"")</f>
        <v/>
      </c>
    </row>
    <row r="261" spans="1:21" ht="14.25" customHeight="1" x14ac:dyDescent="0.3">
      <c r="A261" s="26" t="str">
        <f ca="1">IF(Calculation!T264&lt;=Calculation!$H$4,Calculation!T264,"")</f>
        <v/>
      </c>
      <c r="B261" s="4" t="str">
        <f ca="1">VLOOKUP(A261,Calculation!$E$6:$J$1004,4,FALSE)</f>
        <v/>
      </c>
      <c r="C261" s="4" t="str">
        <f ca="1">VLOOKUP(A261,Calculation!$E$6:$J$1004,5,FALSE)</f>
        <v/>
      </c>
      <c r="D261" s="4" t="str">
        <f ca="1">VLOOKUP(A261,Calculation!$E$6:$J$1004,6,FALSE)</f>
        <v/>
      </c>
      <c r="E261" s="42" t="str">
        <f t="shared" ca="1" si="2"/>
        <v/>
      </c>
      <c r="G261" s="29" t="str">
        <f ca="1">VLOOKUP(A261,Calculation!$F$6:$J$1004,3,FALSE)</f>
        <v/>
      </c>
      <c r="H261" s="4" t="str">
        <f ca="1">VLOOKUP(A261,Calculation!$F$6:$J$1004,4,FALSE)</f>
        <v/>
      </c>
      <c r="I261" s="4" t="str">
        <f ca="1">VLOOKUP(A261,Calculation!$F$6:$J$1004,5,FALSE)</f>
        <v/>
      </c>
      <c r="J261" s="43" t="str">
        <f t="shared" ca="1" si="3"/>
        <v/>
      </c>
      <c r="L261" s="29" t="str">
        <f ca="1">VLOOKUP(A261,Calculation!$G$6:$S$1004,2,FALSE)</f>
        <v/>
      </c>
      <c r="M261" s="4" t="str">
        <f ca="1">IFERROR(VLOOKUP($L261,Calculation!$H$6:$S$1005,HLOOKUP(M$2,Calculation!$M$4:$S$5,2,FALSE)+5,FALSE),"")</f>
        <v/>
      </c>
      <c r="N261" s="4" t="str">
        <f ca="1">IFERROR(VLOOKUP($L261,Calculation!$H$6:$S$1005,HLOOKUP(N$2,Calculation!$M$4:$S$5,2,FALSE)+5,FALSE),"")</f>
        <v/>
      </c>
      <c r="O261" s="4" t="str">
        <f ca="1">IFERROR(VLOOKUP($L261,Calculation!$H$6:$S$1005,HLOOKUP(O$2,Calculation!$M$4:$S$5,2,FALSE)+5,FALSE),"")</f>
        <v/>
      </c>
      <c r="P261" s="4" t="str">
        <f ca="1">IFERROR(VLOOKUP($L261,Calculation!$H$6:$S$1005,HLOOKUP(P$2,Calculation!$M$4:$S$5,2,FALSE)+5,FALSE),"")</f>
        <v/>
      </c>
      <c r="Q261" s="4" t="str">
        <f ca="1">IFERROR(VLOOKUP($L261,Calculation!$H$6:$S$1005,HLOOKUP(Q$2,Calculation!$M$4:$S$5,2,FALSE)+5,FALSE),"")</f>
        <v/>
      </c>
      <c r="R261" s="27" t="str">
        <f ca="1">IFERROR(VLOOKUP($L261,Calculation!$H$6:$S$1005,HLOOKUP(R$2,Calculation!$M$4:$S$5,2,FALSE)+5,FALSE),"")</f>
        <v/>
      </c>
      <c r="S261" s="4" t="str">
        <f ca="1">IFERROR(VLOOKUP($L261,Calculation!$H$6:$S$1005,HLOOKUP(S$2,Calculation!$M$4:$S$5,2,FALSE)+5,FALSE),"")</f>
        <v/>
      </c>
      <c r="T261" s="29"/>
      <c r="U261" s="43" t="str">
        <f>IFERROR(VLOOKUP(T261,Calculation!$U$6:$V$11,2,FALSE),"")</f>
        <v/>
      </c>
    </row>
    <row r="262" spans="1:21" ht="14.25" customHeight="1" x14ac:dyDescent="0.3">
      <c r="A262" s="26" t="str">
        <f ca="1">IF(Calculation!T265&lt;=Calculation!$H$4,Calculation!T265,"")</f>
        <v/>
      </c>
      <c r="B262" s="4" t="str">
        <f ca="1">VLOOKUP(A262,Calculation!$E$6:$J$1004,4,FALSE)</f>
        <v/>
      </c>
      <c r="C262" s="4" t="str">
        <f ca="1">VLOOKUP(A262,Calculation!$E$6:$J$1004,5,FALSE)</f>
        <v/>
      </c>
      <c r="D262" s="4" t="str">
        <f ca="1">VLOOKUP(A262,Calculation!$E$6:$J$1004,6,FALSE)</f>
        <v/>
      </c>
      <c r="E262" s="42" t="str">
        <f t="shared" ca="1" si="2"/>
        <v/>
      </c>
      <c r="G262" s="29" t="str">
        <f ca="1">VLOOKUP(A262,Calculation!$F$6:$J$1004,3,FALSE)</f>
        <v/>
      </c>
      <c r="H262" s="4" t="str">
        <f ca="1">VLOOKUP(A262,Calculation!$F$6:$J$1004,4,FALSE)</f>
        <v/>
      </c>
      <c r="I262" s="4" t="str">
        <f ca="1">VLOOKUP(A262,Calculation!$F$6:$J$1004,5,FALSE)</f>
        <v/>
      </c>
      <c r="J262" s="43" t="str">
        <f t="shared" ca="1" si="3"/>
        <v/>
      </c>
      <c r="L262" s="29" t="str">
        <f ca="1">VLOOKUP(A262,Calculation!$G$6:$S$1004,2,FALSE)</f>
        <v/>
      </c>
      <c r="M262" s="4" t="str">
        <f ca="1">IFERROR(VLOOKUP($L262,Calculation!$H$6:$S$1005,HLOOKUP(M$2,Calculation!$M$4:$S$5,2,FALSE)+5,FALSE),"")</f>
        <v/>
      </c>
      <c r="N262" s="4" t="str">
        <f ca="1">IFERROR(VLOOKUP($L262,Calculation!$H$6:$S$1005,HLOOKUP(N$2,Calculation!$M$4:$S$5,2,FALSE)+5,FALSE),"")</f>
        <v/>
      </c>
      <c r="O262" s="4" t="str">
        <f ca="1">IFERROR(VLOOKUP($L262,Calculation!$H$6:$S$1005,HLOOKUP(O$2,Calculation!$M$4:$S$5,2,FALSE)+5,FALSE),"")</f>
        <v/>
      </c>
      <c r="P262" s="4" t="str">
        <f ca="1">IFERROR(VLOOKUP($L262,Calculation!$H$6:$S$1005,HLOOKUP(P$2,Calculation!$M$4:$S$5,2,FALSE)+5,FALSE),"")</f>
        <v/>
      </c>
      <c r="Q262" s="4" t="str">
        <f ca="1">IFERROR(VLOOKUP($L262,Calculation!$H$6:$S$1005,HLOOKUP(Q$2,Calculation!$M$4:$S$5,2,FALSE)+5,FALSE),"")</f>
        <v/>
      </c>
      <c r="R262" s="27" t="str">
        <f ca="1">IFERROR(VLOOKUP($L262,Calculation!$H$6:$S$1005,HLOOKUP(R$2,Calculation!$M$4:$S$5,2,FALSE)+5,FALSE),"")</f>
        <v/>
      </c>
      <c r="S262" s="4" t="str">
        <f ca="1">IFERROR(VLOOKUP($L262,Calculation!$H$6:$S$1005,HLOOKUP(S$2,Calculation!$M$4:$S$5,2,FALSE)+5,FALSE),"")</f>
        <v/>
      </c>
      <c r="T262" s="29"/>
      <c r="U262" s="43" t="str">
        <f>IFERROR(VLOOKUP(T262,Calculation!$U$6:$V$11,2,FALSE),"")</f>
        <v/>
      </c>
    </row>
    <row r="263" spans="1:21" ht="14.25" customHeight="1" x14ac:dyDescent="0.3">
      <c r="A263" s="26" t="str">
        <f ca="1">IF(Calculation!T266&lt;=Calculation!$H$4,Calculation!T266,"")</f>
        <v/>
      </c>
      <c r="B263" s="4" t="str">
        <f ca="1">VLOOKUP(A263,Calculation!$E$6:$J$1004,4,FALSE)</f>
        <v/>
      </c>
      <c r="C263" s="4" t="str">
        <f ca="1">VLOOKUP(A263,Calculation!$E$6:$J$1004,5,FALSE)</f>
        <v/>
      </c>
      <c r="D263" s="4" t="str">
        <f ca="1">VLOOKUP(A263,Calculation!$E$6:$J$1004,6,FALSE)</f>
        <v/>
      </c>
      <c r="E263" s="42" t="str">
        <f t="shared" ca="1" si="2"/>
        <v/>
      </c>
      <c r="G263" s="29" t="str">
        <f ca="1">VLOOKUP(A263,Calculation!$F$6:$J$1004,3,FALSE)</f>
        <v/>
      </c>
      <c r="H263" s="4" t="str">
        <f ca="1">VLOOKUP(A263,Calculation!$F$6:$J$1004,4,FALSE)</f>
        <v/>
      </c>
      <c r="I263" s="4" t="str">
        <f ca="1">VLOOKUP(A263,Calculation!$F$6:$J$1004,5,FALSE)</f>
        <v/>
      </c>
      <c r="J263" s="43" t="str">
        <f t="shared" ca="1" si="3"/>
        <v/>
      </c>
      <c r="L263" s="29" t="str">
        <f ca="1">VLOOKUP(A263,Calculation!$G$6:$S$1004,2,FALSE)</f>
        <v/>
      </c>
      <c r="M263" s="4" t="str">
        <f ca="1">IFERROR(VLOOKUP($L263,Calculation!$H$6:$S$1005,HLOOKUP(M$2,Calculation!$M$4:$S$5,2,FALSE)+5,FALSE),"")</f>
        <v/>
      </c>
      <c r="N263" s="4" t="str">
        <f ca="1">IFERROR(VLOOKUP($L263,Calculation!$H$6:$S$1005,HLOOKUP(N$2,Calculation!$M$4:$S$5,2,FALSE)+5,FALSE),"")</f>
        <v/>
      </c>
      <c r="O263" s="4" t="str">
        <f ca="1">IFERROR(VLOOKUP($L263,Calculation!$H$6:$S$1005,HLOOKUP(O$2,Calculation!$M$4:$S$5,2,FALSE)+5,FALSE),"")</f>
        <v/>
      </c>
      <c r="P263" s="4" t="str">
        <f ca="1">IFERROR(VLOOKUP($L263,Calculation!$H$6:$S$1005,HLOOKUP(P$2,Calculation!$M$4:$S$5,2,FALSE)+5,FALSE),"")</f>
        <v/>
      </c>
      <c r="Q263" s="4" t="str">
        <f ca="1">IFERROR(VLOOKUP($L263,Calculation!$H$6:$S$1005,HLOOKUP(Q$2,Calculation!$M$4:$S$5,2,FALSE)+5,FALSE),"")</f>
        <v/>
      </c>
      <c r="R263" s="27" t="str">
        <f ca="1">IFERROR(VLOOKUP($L263,Calculation!$H$6:$S$1005,HLOOKUP(R$2,Calculation!$M$4:$S$5,2,FALSE)+5,FALSE),"")</f>
        <v/>
      </c>
      <c r="S263" s="4" t="str">
        <f ca="1">IFERROR(VLOOKUP($L263,Calculation!$H$6:$S$1005,HLOOKUP(S$2,Calculation!$M$4:$S$5,2,FALSE)+5,FALSE),"")</f>
        <v/>
      </c>
      <c r="T263" s="29"/>
      <c r="U263" s="43" t="str">
        <f>IFERROR(VLOOKUP(T263,Calculation!$U$6:$V$11,2,FALSE),"")</f>
        <v/>
      </c>
    </row>
    <row r="264" spans="1:21" ht="14.25" customHeight="1" x14ac:dyDescent="0.3">
      <c r="A264" s="26" t="str">
        <f ca="1">IF(Calculation!T267&lt;=Calculation!$H$4,Calculation!T267,"")</f>
        <v/>
      </c>
      <c r="B264" s="4" t="str">
        <f ca="1">VLOOKUP(A264,Calculation!$E$6:$J$1004,4,FALSE)</f>
        <v/>
      </c>
      <c r="C264" s="4" t="str">
        <f ca="1">VLOOKUP(A264,Calculation!$E$6:$J$1004,5,FALSE)</f>
        <v/>
      </c>
      <c r="D264" s="4" t="str">
        <f ca="1">VLOOKUP(A264,Calculation!$E$6:$J$1004,6,FALSE)</f>
        <v/>
      </c>
      <c r="E264" s="42" t="str">
        <f t="shared" ca="1" si="2"/>
        <v/>
      </c>
      <c r="G264" s="29" t="str">
        <f ca="1">VLOOKUP(A264,Calculation!$F$6:$J$1004,3,FALSE)</f>
        <v/>
      </c>
      <c r="H264" s="4" t="str">
        <f ca="1">VLOOKUP(A264,Calculation!$F$6:$J$1004,4,FALSE)</f>
        <v/>
      </c>
      <c r="I264" s="4" t="str">
        <f ca="1">VLOOKUP(A264,Calculation!$F$6:$J$1004,5,FALSE)</f>
        <v/>
      </c>
      <c r="J264" s="43" t="str">
        <f t="shared" ca="1" si="3"/>
        <v/>
      </c>
      <c r="L264" s="29" t="str">
        <f ca="1">VLOOKUP(A264,Calculation!$G$6:$S$1004,2,FALSE)</f>
        <v/>
      </c>
      <c r="M264" s="4" t="str">
        <f ca="1">IFERROR(VLOOKUP($L264,Calculation!$H$6:$S$1005,HLOOKUP(M$2,Calculation!$M$4:$S$5,2,FALSE)+5,FALSE),"")</f>
        <v/>
      </c>
      <c r="N264" s="4" t="str">
        <f ca="1">IFERROR(VLOOKUP($L264,Calculation!$H$6:$S$1005,HLOOKUP(N$2,Calculation!$M$4:$S$5,2,FALSE)+5,FALSE),"")</f>
        <v/>
      </c>
      <c r="O264" s="4" t="str">
        <f ca="1">IFERROR(VLOOKUP($L264,Calculation!$H$6:$S$1005,HLOOKUP(O$2,Calculation!$M$4:$S$5,2,FALSE)+5,FALSE),"")</f>
        <v/>
      </c>
      <c r="P264" s="4" t="str">
        <f ca="1">IFERROR(VLOOKUP($L264,Calculation!$H$6:$S$1005,HLOOKUP(P$2,Calculation!$M$4:$S$5,2,FALSE)+5,FALSE),"")</f>
        <v/>
      </c>
      <c r="Q264" s="4" t="str">
        <f ca="1">IFERROR(VLOOKUP($L264,Calculation!$H$6:$S$1005,HLOOKUP(Q$2,Calculation!$M$4:$S$5,2,FALSE)+5,FALSE),"")</f>
        <v/>
      </c>
      <c r="R264" s="27" t="str">
        <f ca="1">IFERROR(VLOOKUP($L264,Calculation!$H$6:$S$1005,HLOOKUP(R$2,Calculation!$M$4:$S$5,2,FALSE)+5,FALSE),"")</f>
        <v/>
      </c>
      <c r="S264" s="4" t="str">
        <f ca="1">IFERROR(VLOOKUP($L264,Calculation!$H$6:$S$1005,HLOOKUP(S$2,Calculation!$M$4:$S$5,2,FALSE)+5,FALSE),"")</f>
        <v/>
      </c>
      <c r="T264" s="29"/>
      <c r="U264" s="43" t="str">
        <f>IFERROR(VLOOKUP(T264,Calculation!$U$6:$V$11,2,FALSE),"")</f>
        <v/>
      </c>
    </row>
    <row r="265" spans="1:21" ht="14.25" customHeight="1" x14ac:dyDescent="0.3">
      <c r="A265" s="26" t="str">
        <f ca="1">IF(Calculation!T268&lt;=Calculation!$H$4,Calculation!T268,"")</f>
        <v/>
      </c>
      <c r="B265" s="4" t="str">
        <f ca="1">VLOOKUP(A265,Calculation!$E$6:$J$1004,4,FALSE)</f>
        <v/>
      </c>
      <c r="C265" s="4" t="str">
        <f ca="1">VLOOKUP(A265,Calculation!$E$6:$J$1004,5,FALSE)</f>
        <v/>
      </c>
      <c r="D265" s="4" t="str">
        <f ca="1">VLOOKUP(A265,Calculation!$E$6:$J$1004,6,FALSE)</f>
        <v/>
      </c>
      <c r="E265" s="42" t="str">
        <f t="shared" ca="1" si="2"/>
        <v/>
      </c>
      <c r="G265" s="29" t="str">
        <f ca="1">VLOOKUP(A265,Calculation!$F$6:$J$1004,3,FALSE)</f>
        <v/>
      </c>
      <c r="H265" s="4" t="str">
        <f ca="1">VLOOKUP(A265,Calculation!$F$6:$J$1004,4,FALSE)</f>
        <v/>
      </c>
      <c r="I265" s="4" t="str">
        <f ca="1">VLOOKUP(A265,Calculation!$F$6:$J$1004,5,FALSE)</f>
        <v/>
      </c>
      <c r="J265" s="43" t="str">
        <f t="shared" ca="1" si="3"/>
        <v/>
      </c>
      <c r="L265" s="29" t="str">
        <f ca="1">VLOOKUP(A265,Calculation!$G$6:$S$1004,2,FALSE)</f>
        <v/>
      </c>
      <c r="M265" s="4" t="str">
        <f ca="1">IFERROR(VLOOKUP($L265,Calculation!$H$6:$S$1005,HLOOKUP(M$2,Calculation!$M$4:$S$5,2,FALSE)+5,FALSE),"")</f>
        <v/>
      </c>
      <c r="N265" s="4" t="str">
        <f ca="1">IFERROR(VLOOKUP($L265,Calculation!$H$6:$S$1005,HLOOKUP(N$2,Calculation!$M$4:$S$5,2,FALSE)+5,FALSE),"")</f>
        <v/>
      </c>
      <c r="O265" s="4" t="str">
        <f ca="1">IFERROR(VLOOKUP($L265,Calculation!$H$6:$S$1005,HLOOKUP(O$2,Calculation!$M$4:$S$5,2,FALSE)+5,FALSE),"")</f>
        <v/>
      </c>
      <c r="P265" s="4" t="str">
        <f ca="1">IFERROR(VLOOKUP($L265,Calculation!$H$6:$S$1005,HLOOKUP(P$2,Calculation!$M$4:$S$5,2,FALSE)+5,FALSE),"")</f>
        <v/>
      </c>
      <c r="Q265" s="4" t="str">
        <f ca="1">IFERROR(VLOOKUP($L265,Calculation!$H$6:$S$1005,HLOOKUP(Q$2,Calculation!$M$4:$S$5,2,FALSE)+5,FALSE),"")</f>
        <v/>
      </c>
      <c r="R265" s="27" t="str">
        <f ca="1">IFERROR(VLOOKUP($L265,Calculation!$H$6:$S$1005,HLOOKUP(R$2,Calculation!$M$4:$S$5,2,FALSE)+5,FALSE),"")</f>
        <v/>
      </c>
      <c r="S265" s="4" t="str">
        <f ca="1">IFERROR(VLOOKUP($L265,Calculation!$H$6:$S$1005,HLOOKUP(S$2,Calculation!$M$4:$S$5,2,FALSE)+5,FALSE),"")</f>
        <v/>
      </c>
      <c r="T265" s="29"/>
      <c r="U265" s="43" t="str">
        <f>IFERROR(VLOOKUP(T265,Calculation!$U$6:$V$11,2,FALSE),"")</f>
        <v/>
      </c>
    </row>
    <row r="266" spans="1:21" ht="14.25" customHeight="1" x14ac:dyDescent="0.3">
      <c r="A266" s="26" t="str">
        <f ca="1">IF(Calculation!T269&lt;=Calculation!$H$4,Calculation!T269,"")</f>
        <v/>
      </c>
      <c r="B266" s="4" t="str">
        <f ca="1">VLOOKUP(A266,Calculation!$E$6:$J$1004,4,FALSE)</f>
        <v/>
      </c>
      <c r="C266" s="4" t="str">
        <f ca="1">VLOOKUP(A266,Calculation!$E$6:$J$1004,5,FALSE)</f>
        <v/>
      </c>
      <c r="D266" s="4" t="str">
        <f ca="1">VLOOKUP(A266,Calculation!$E$6:$J$1004,6,FALSE)</f>
        <v/>
      </c>
      <c r="E266" s="42" t="str">
        <f t="shared" ca="1" si="2"/>
        <v/>
      </c>
      <c r="G266" s="29" t="str">
        <f ca="1">VLOOKUP(A266,Calculation!$F$6:$J$1004,3,FALSE)</f>
        <v/>
      </c>
      <c r="H266" s="4" t="str">
        <f ca="1">VLOOKUP(A266,Calculation!$F$6:$J$1004,4,FALSE)</f>
        <v/>
      </c>
      <c r="I266" s="4" t="str">
        <f ca="1">VLOOKUP(A266,Calculation!$F$6:$J$1004,5,FALSE)</f>
        <v/>
      </c>
      <c r="J266" s="43" t="str">
        <f t="shared" ca="1" si="3"/>
        <v/>
      </c>
      <c r="L266" s="29" t="str">
        <f ca="1">VLOOKUP(A266,Calculation!$G$6:$S$1004,2,FALSE)</f>
        <v/>
      </c>
      <c r="M266" s="4" t="str">
        <f ca="1">IFERROR(VLOOKUP($L266,Calculation!$H$6:$S$1005,HLOOKUP(M$2,Calculation!$M$4:$S$5,2,FALSE)+5,FALSE),"")</f>
        <v/>
      </c>
      <c r="N266" s="4" t="str">
        <f ca="1">IFERROR(VLOOKUP($L266,Calculation!$H$6:$S$1005,HLOOKUP(N$2,Calculation!$M$4:$S$5,2,FALSE)+5,FALSE),"")</f>
        <v/>
      </c>
      <c r="O266" s="4" t="str">
        <f ca="1">IFERROR(VLOOKUP($L266,Calculation!$H$6:$S$1005,HLOOKUP(O$2,Calculation!$M$4:$S$5,2,FALSE)+5,FALSE),"")</f>
        <v/>
      </c>
      <c r="P266" s="4" t="str">
        <f ca="1">IFERROR(VLOOKUP($L266,Calculation!$H$6:$S$1005,HLOOKUP(P$2,Calculation!$M$4:$S$5,2,FALSE)+5,FALSE),"")</f>
        <v/>
      </c>
      <c r="Q266" s="4" t="str">
        <f ca="1">IFERROR(VLOOKUP($L266,Calculation!$H$6:$S$1005,HLOOKUP(Q$2,Calculation!$M$4:$S$5,2,FALSE)+5,FALSE),"")</f>
        <v/>
      </c>
      <c r="R266" s="27" t="str">
        <f ca="1">IFERROR(VLOOKUP($L266,Calculation!$H$6:$S$1005,HLOOKUP(R$2,Calculation!$M$4:$S$5,2,FALSE)+5,FALSE),"")</f>
        <v/>
      </c>
      <c r="S266" s="4" t="str">
        <f ca="1">IFERROR(VLOOKUP($L266,Calculation!$H$6:$S$1005,HLOOKUP(S$2,Calculation!$M$4:$S$5,2,FALSE)+5,FALSE),"")</f>
        <v/>
      </c>
      <c r="T266" s="29"/>
      <c r="U266" s="43" t="str">
        <f>IFERROR(VLOOKUP(T266,Calculation!$U$6:$V$11,2,FALSE),"")</f>
        <v/>
      </c>
    </row>
    <row r="267" spans="1:21" ht="14.25" customHeight="1" x14ac:dyDescent="0.3">
      <c r="A267" s="26" t="str">
        <f ca="1">IF(Calculation!T270&lt;=Calculation!$H$4,Calculation!T270,"")</f>
        <v/>
      </c>
      <c r="B267" s="4" t="str">
        <f ca="1">VLOOKUP(A267,Calculation!$E$6:$J$1004,4,FALSE)</f>
        <v/>
      </c>
      <c r="C267" s="4" t="str">
        <f ca="1">VLOOKUP(A267,Calculation!$E$6:$J$1004,5,FALSE)</f>
        <v/>
      </c>
      <c r="D267" s="4" t="str">
        <f ca="1">VLOOKUP(A267,Calculation!$E$6:$J$1004,6,FALSE)</f>
        <v/>
      </c>
      <c r="E267" s="42" t="str">
        <f t="shared" ca="1" si="2"/>
        <v/>
      </c>
      <c r="G267" s="29" t="str">
        <f ca="1">VLOOKUP(A267,Calculation!$F$6:$J$1004,3,FALSE)</f>
        <v/>
      </c>
      <c r="H267" s="4" t="str">
        <f ca="1">VLOOKUP(A267,Calculation!$F$6:$J$1004,4,FALSE)</f>
        <v/>
      </c>
      <c r="I267" s="4" t="str">
        <f ca="1">VLOOKUP(A267,Calculation!$F$6:$J$1004,5,FALSE)</f>
        <v/>
      </c>
      <c r="J267" s="43" t="str">
        <f t="shared" ca="1" si="3"/>
        <v/>
      </c>
      <c r="L267" s="29" t="str">
        <f ca="1">VLOOKUP(A267,Calculation!$G$6:$S$1004,2,FALSE)</f>
        <v/>
      </c>
      <c r="M267" s="4" t="str">
        <f ca="1">IFERROR(VLOOKUP($L267,Calculation!$H$6:$S$1005,HLOOKUP(M$2,Calculation!$M$4:$S$5,2,FALSE)+5,FALSE),"")</f>
        <v/>
      </c>
      <c r="N267" s="4" t="str">
        <f ca="1">IFERROR(VLOOKUP($L267,Calculation!$H$6:$S$1005,HLOOKUP(N$2,Calculation!$M$4:$S$5,2,FALSE)+5,FALSE),"")</f>
        <v/>
      </c>
      <c r="O267" s="4" t="str">
        <f ca="1">IFERROR(VLOOKUP($L267,Calculation!$H$6:$S$1005,HLOOKUP(O$2,Calculation!$M$4:$S$5,2,FALSE)+5,FALSE),"")</f>
        <v/>
      </c>
      <c r="P267" s="4" t="str">
        <f ca="1">IFERROR(VLOOKUP($L267,Calculation!$H$6:$S$1005,HLOOKUP(P$2,Calculation!$M$4:$S$5,2,FALSE)+5,FALSE),"")</f>
        <v/>
      </c>
      <c r="Q267" s="4" t="str">
        <f ca="1">IFERROR(VLOOKUP($L267,Calculation!$H$6:$S$1005,HLOOKUP(Q$2,Calculation!$M$4:$S$5,2,FALSE)+5,FALSE),"")</f>
        <v/>
      </c>
      <c r="R267" s="27" t="str">
        <f ca="1">IFERROR(VLOOKUP($L267,Calculation!$H$6:$S$1005,HLOOKUP(R$2,Calculation!$M$4:$S$5,2,FALSE)+5,FALSE),"")</f>
        <v/>
      </c>
      <c r="S267" s="4" t="str">
        <f ca="1">IFERROR(VLOOKUP($L267,Calculation!$H$6:$S$1005,HLOOKUP(S$2,Calculation!$M$4:$S$5,2,FALSE)+5,FALSE),"")</f>
        <v/>
      </c>
      <c r="T267" s="29"/>
      <c r="U267" s="43" t="str">
        <f>IFERROR(VLOOKUP(T267,Calculation!$U$6:$V$11,2,FALSE),"")</f>
        <v/>
      </c>
    </row>
    <row r="268" spans="1:21" ht="14.25" customHeight="1" x14ac:dyDescent="0.3">
      <c r="A268" s="26" t="str">
        <f ca="1">IF(Calculation!T271&lt;=Calculation!$H$4,Calculation!T271,"")</f>
        <v/>
      </c>
      <c r="B268" s="4" t="str">
        <f ca="1">VLOOKUP(A268,Calculation!$E$6:$J$1004,4,FALSE)</f>
        <v/>
      </c>
      <c r="C268" s="4" t="str">
        <f ca="1">VLOOKUP(A268,Calculation!$E$6:$J$1004,5,FALSE)</f>
        <v/>
      </c>
      <c r="D268" s="4" t="str">
        <f ca="1">VLOOKUP(A268,Calculation!$E$6:$J$1004,6,FALSE)</f>
        <v/>
      </c>
      <c r="E268" s="42" t="str">
        <f t="shared" ca="1" si="2"/>
        <v/>
      </c>
      <c r="G268" s="29" t="str">
        <f ca="1">VLOOKUP(A268,Calculation!$F$6:$J$1004,3,FALSE)</f>
        <v/>
      </c>
      <c r="H268" s="4" t="str">
        <f ca="1">VLOOKUP(A268,Calculation!$F$6:$J$1004,4,FALSE)</f>
        <v/>
      </c>
      <c r="I268" s="4" t="str">
        <f ca="1">VLOOKUP(A268,Calculation!$F$6:$J$1004,5,FALSE)</f>
        <v/>
      </c>
      <c r="J268" s="43" t="str">
        <f t="shared" ca="1" si="3"/>
        <v/>
      </c>
      <c r="L268" s="29" t="str">
        <f ca="1">VLOOKUP(A268,Calculation!$G$6:$S$1004,2,FALSE)</f>
        <v/>
      </c>
      <c r="M268" s="4" t="str">
        <f ca="1">IFERROR(VLOOKUP($L268,Calculation!$H$6:$S$1005,HLOOKUP(M$2,Calculation!$M$4:$S$5,2,FALSE)+5,FALSE),"")</f>
        <v/>
      </c>
      <c r="N268" s="4" t="str">
        <f ca="1">IFERROR(VLOOKUP($L268,Calculation!$H$6:$S$1005,HLOOKUP(N$2,Calculation!$M$4:$S$5,2,FALSE)+5,FALSE),"")</f>
        <v/>
      </c>
      <c r="O268" s="4" t="str">
        <f ca="1">IFERROR(VLOOKUP($L268,Calculation!$H$6:$S$1005,HLOOKUP(O$2,Calculation!$M$4:$S$5,2,FALSE)+5,FALSE),"")</f>
        <v/>
      </c>
      <c r="P268" s="4" t="str">
        <f ca="1">IFERROR(VLOOKUP($L268,Calculation!$H$6:$S$1005,HLOOKUP(P$2,Calculation!$M$4:$S$5,2,FALSE)+5,FALSE),"")</f>
        <v/>
      </c>
      <c r="Q268" s="4" t="str">
        <f ca="1">IFERROR(VLOOKUP($L268,Calculation!$H$6:$S$1005,HLOOKUP(Q$2,Calculation!$M$4:$S$5,2,FALSE)+5,FALSE),"")</f>
        <v/>
      </c>
      <c r="R268" s="27" t="str">
        <f ca="1">IFERROR(VLOOKUP($L268,Calculation!$H$6:$S$1005,HLOOKUP(R$2,Calculation!$M$4:$S$5,2,FALSE)+5,FALSE),"")</f>
        <v/>
      </c>
      <c r="S268" s="4" t="str">
        <f ca="1">IFERROR(VLOOKUP($L268,Calculation!$H$6:$S$1005,HLOOKUP(S$2,Calculation!$M$4:$S$5,2,FALSE)+5,FALSE),"")</f>
        <v/>
      </c>
      <c r="T268" s="29"/>
      <c r="U268" s="43" t="str">
        <f>IFERROR(VLOOKUP(T268,Calculation!$U$6:$V$11,2,FALSE),"")</f>
        <v/>
      </c>
    </row>
    <row r="269" spans="1:21" ht="14.25" customHeight="1" x14ac:dyDescent="0.3">
      <c r="A269" s="26" t="str">
        <f ca="1">IF(Calculation!T272&lt;=Calculation!$H$4,Calculation!T272,"")</f>
        <v/>
      </c>
      <c r="B269" s="4" t="str">
        <f ca="1">VLOOKUP(A269,Calculation!$E$6:$J$1004,4,FALSE)</f>
        <v/>
      </c>
      <c r="C269" s="4" t="str">
        <f ca="1">VLOOKUP(A269,Calculation!$E$6:$J$1004,5,FALSE)</f>
        <v/>
      </c>
      <c r="D269" s="4" t="str">
        <f ca="1">VLOOKUP(A269,Calculation!$E$6:$J$1004,6,FALSE)</f>
        <v/>
      </c>
      <c r="E269" s="42" t="str">
        <f t="shared" ca="1" si="2"/>
        <v/>
      </c>
      <c r="G269" s="29" t="str">
        <f ca="1">VLOOKUP(A269,Calculation!$F$6:$J$1004,3,FALSE)</f>
        <v/>
      </c>
      <c r="H269" s="4" t="str">
        <f ca="1">VLOOKUP(A269,Calculation!$F$6:$J$1004,4,FALSE)</f>
        <v/>
      </c>
      <c r="I269" s="4" t="str">
        <f ca="1">VLOOKUP(A269,Calculation!$F$6:$J$1004,5,FALSE)</f>
        <v/>
      </c>
      <c r="J269" s="43" t="str">
        <f t="shared" ca="1" si="3"/>
        <v/>
      </c>
      <c r="L269" s="29" t="str">
        <f ca="1">VLOOKUP(A269,Calculation!$G$6:$S$1004,2,FALSE)</f>
        <v/>
      </c>
      <c r="M269" s="4" t="str">
        <f ca="1">IFERROR(VLOOKUP($L269,Calculation!$H$6:$S$1005,HLOOKUP(M$2,Calculation!$M$4:$S$5,2,FALSE)+5,FALSE),"")</f>
        <v/>
      </c>
      <c r="N269" s="4" t="str">
        <f ca="1">IFERROR(VLOOKUP($L269,Calculation!$H$6:$S$1005,HLOOKUP(N$2,Calculation!$M$4:$S$5,2,FALSE)+5,FALSE),"")</f>
        <v/>
      </c>
      <c r="O269" s="4" t="str">
        <f ca="1">IFERROR(VLOOKUP($L269,Calculation!$H$6:$S$1005,HLOOKUP(O$2,Calculation!$M$4:$S$5,2,FALSE)+5,FALSE),"")</f>
        <v/>
      </c>
      <c r="P269" s="4" t="str">
        <f ca="1">IFERROR(VLOOKUP($L269,Calculation!$H$6:$S$1005,HLOOKUP(P$2,Calculation!$M$4:$S$5,2,FALSE)+5,FALSE),"")</f>
        <v/>
      </c>
      <c r="Q269" s="4" t="str">
        <f ca="1">IFERROR(VLOOKUP($L269,Calculation!$H$6:$S$1005,HLOOKUP(Q$2,Calculation!$M$4:$S$5,2,FALSE)+5,FALSE),"")</f>
        <v/>
      </c>
      <c r="R269" s="27" t="str">
        <f ca="1">IFERROR(VLOOKUP($L269,Calculation!$H$6:$S$1005,HLOOKUP(R$2,Calculation!$M$4:$S$5,2,FALSE)+5,FALSE),"")</f>
        <v/>
      </c>
      <c r="S269" s="4" t="str">
        <f ca="1">IFERROR(VLOOKUP($L269,Calculation!$H$6:$S$1005,HLOOKUP(S$2,Calculation!$M$4:$S$5,2,FALSE)+5,FALSE),"")</f>
        <v/>
      </c>
      <c r="T269" s="29"/>
      <c r="U269" s="43" t="str">
        <f>IFERROR(VLOOKUP(T269,Calculation!$U$6:$V$11,2,FALSE),"")</f>
        <v/>
      </c>
    </row>
    <row r="270" spans="1:21" ht="14.25" customHeight="1" x14ac:dyDescent="0.3">
      <c r="A270" s="26" t="str">
        <f ca="1">IF(Calculation!T273&lt;=Calculation!$H$4,Calculation!T273,"")</f>
        <v/>
      </c>
      <c r="B270" s="4" t="str">
        <f ca="1">VLOOKUP(A270,Calculation!$E$6:$J$1004,4,FALSE)</f>
        <v/>
      </c>
      <c r="C270" s="4" t="str">
        <f ca="1">VLOOKUP(A270,Calculation!$E$6:$J$1004,5,FALSE)</f>
        <v/>
      </c>
      <c r="D270" s="4" t="str">
        <f ca="1">VLOOKUP(A270,Calculation!$E$6:$J$1004,6,FALSE)</f>
        <v/>
      </c>
      <c r="E270" s="42" t="str">
        <f t="shared" ca="1" si="2"/>
        <v/>
      </c>
      <c r="G270" s="29" t="str">
        <f ca="1">VLOOKUP(A270,Calculation!$F$6:$J$1004,3,FALSE)</f>
        <v/>
      </c>
      <c r="H270" s="4" t="str">
        <f ca="1">VLOOKUP(A270,Calculation!$F$6:$J$1004,4,FALSE)</f>
        <v/>
      </c>
      <c r="I270" s="4" t="str">
        <f ca="1">VLOOKUP(A270,Calculation!$F$6:$J$1004,5,FALSE)</f>
        <v/>
      </c>
      <c r="J270" s="43" t="str">
        <f t="shared" ca="1" si="3"/>
        <v/>
      </c>
      <c r="L270" s="29" t="str">
        <f ca="1">VLOOKUP(A270,Calculation!$G$6:$S$1004,2,FALSE)</f>
        <v/>
      </c>
      <c r="M270" s="4" t="str">
        <f ca="1">IFERROR(VLOOKUP($L270,Calculation!$H$6:$S$1005,HLOOKUP(M$2,Calculation!$M$4:$S$5,2,FALSE)+5,FALSE),"")</f>
        <v/>
      </c>
      <c r="N270" s="4" t="str">
        <f ca="1">IFERROR(VLOOKUP($L270,Calculation!$H$6:$S$1005,HLOOKUP(N$2,Calculation!$M$4:$S$5,2,FALSE)+5,FALSE),"")</f>
        <v/>
      </c>
      <c r="O270" s="4" t="str">
        <f ca="1">IFERROR(VLOOKUP($L270,Calculation!$H$6:$S$1005,HLOOKUP(O$2,Calculation!$M$4:$S$5,2,FALSE)+5,FALSE),"")</f>
        <v/>
      </c>
      <c r="P270" s="4" t="str">
        <f ca="1">IFERROR(VLOOKUP($L270,Calculation!$H$6:$S$1005,HLOOKUP(P$2,Calculation!$M$4:$S$5,2,FALSE)+5,FALSE),"")</f>
        <v/>
      </c>
      <c r="Q270" s="4" t="str">
        <f ca="1">IFERROR(VLOOKUP($L270,Calculation!$H$6:$S$1005,HLOOKUP(Q$2,Calculation!$M$4:$S$5,2,FALSE)+5,FALSE),"")</f>
        <v/>
      </c>
      <c r="R270" s="27" t="str">
        <f ca="1">IFERROR(VLOOKUP($L270,Calculation!$H$6:$S$1005,HLOOKUP(R$2,Calculation!$M$4:$S$5,2,FALSE)+5,FALSE),"")</f>
        <v/>
      </c>
      <c r="S270" s="4" t="str">
        <f ca="1">IFERROR(VLOOKUP($L270,Calculation!$H$6:$S$1005,HLOOKUP(S$2,Calculation!$M$4:$S$5,2,FALSE)+5,FALSE),"")</f>
        <v/>
      </c>
      <c r="T270" s="29"/>
      <c r="U270" s="43" t="str">
        <f>IFERROR(VLOOKUP(T270,Calculation!$U$6:$V$11,2,FALSE),"")</f>
        <v/>
      </c>
    </row>
    <row r="271" spans="1:21" ht="14.25" customHeight="1" x14ac:dyDescent="0.3">
      <c r="A271" s="26" t="str">
        <f ca="1">IF(Calculation!T274&lt;=Calculation!$H$4,Calculation!T274,"")</f>
        <v/>
      </c>
      <c r="B271" s="4" t="str">
        <f ca="1">VLOOKUP(A271,Calculation!$E$6:$J$1004,4,FALSE)</f>
        <v/>
      </c>
      <c r="C271" s="4" t="str">
        <f ca="1">VLOOKUP(A271,Calculation!$E$6:$J$1004,5,FALSE)</f>
        <v/>
      </c>
      <c r="D271" s="4" t="str">
        <f ca="1">VLOOKUP(A271,Calculation!$E$6:$J$1004,6,FALSE)</f>
        <v/>
      </c>
      <c r="E271" s="42" t="str">
        <f t="shared" ca="1" si="2"/>
        <v/>
      </c>
      <c r="G271" s="29" t="str">
        <f ca="1">VLOOKUP(A271,Calculation!$F$6:$J$1004,3,FALSE)</f>
        <v/>
      </c>
      <c r="H271" s="4" t="str">
        <f ca="1">VLOOKUP(A271,Calculation!$F$6:$J$1004,4,FALSE)</f>
        <v/>
      </c>
      <c r="I271" s="4" t="str">
        <f ca="1">VLOOKUP(A271,Calculation!$F$6:$J$1004,5,FALSE)</f>
        <v/>
      </c>
      <c r="J271" s="43" t="str">
        <f t="shared" ca="1" si="3"/>
        <v/>
      </c>
      <c r="L271" s="29" t="str">
        <f ca="1">VLOOKUP(A271,Calculation!$G$6:$S$1004,2,FALSE)</f>
        <v/>
      </c>
      <c r="M271" s="4" t="str">
        <f ca="1">IFERROR(VLOOKUP($L271,Calculation!$H$6:$S$1005,HLOOKUP(M$2,Calculation!$M$4:$S$5,2,FALSE)+5,FALSE),"")</f>
        <v/>
      </c>
      <c r="N271" s="4" t="str">
        <f ca="1">IFERROR(VLOOKUP($L271,Calculation!$H$6:$S$1005,HLOOKUP(N$2,Calculation!$M$4:$S$5,2,FALSE)+5,FALSE),"")</f>
        <v/>
      </c>
      <c r="O271" s="4" t="str">
        <f ca="1">IFERROR(VLOOKUP($L271,Calculation!$H$6:$S$1005,HLOOKUP(O$2,Calculation!$M$4:$S$5,2,FALSE)+5,FALSE),"")</f>
        <v/>
      </c>
      <c r="P271" s="4" t="str">
        <f ca="1">IFERROR(VLOOKUP($L271,Calculation!$H$6:$S$1005,HLOOKUP(P$2,Calculation!$M$4:$S$5,2,FALSE)+5,FALSE),"")</f>
        <v/>
      </c>
      <c r="Q271" s="4" t="str">
        <f ca="1">IFERROR(VLOOKUP($L271,Calculation!$H$6:$S$1005,HLOOKUP(Q$2,Calculation!$M$4:$S$5,2,FALSE)+5,FALSE),"")</f>
        <v/>
      </c>
      <c r="R271" s="27" t="str">
        <f ca="1">IFERROR(VLOOKUP($L271,Calculation!$H$6:$S$1005,HLOOKUP(R$2,Calculation!$M$4:$S$5,2,FALSE)+5,FALSE),"")</f>
        <v/>
      </c>
      <c r="S271" s="4" t="str">
        <f ca="1">IFERROR(VLOOKUP($L271,Calculation!$H$6:$S$1005,HLOOKUP(S$2,Calculation!$M$4:$S$5,2,FALSE)+5,FALSE),"")</f>
        <v/>
      </c>
      <c r="T271" s="29"/>
      <c r="U271" s="43" t="str">
        <f>IFERROR(VLOOKUP(T271,Calculation!$U$6:$V$11,2,FALSE),"")</f>
        <v/>
      </c>
    </row>
    <row r="272" spans="1:21" ht="14.25" customHeight="1" x14ac:dyDescent="0.3">
      <c r="A272" s="26" t="str">
        <f ca="1">IF(Calculation!T275&lt;=Calculation!$H$4,Calculation!T275,"")</f>
        <v/>
      </c>
      <c r="B272" s="4" t="str">
        <f ca="1">VLOOKUP(A272,Calculation!$E$6:$J$1004,4,FALSE)</f>
        <v/>
      </c>
      <c r="C272" s="4" t="str">
        <f ca="1">VLOOKUP(A272,Calculation!$E$6:$J$1004,5,FALSE)</f>
        <v/>
      </c>
      <c r="D272" s="4" t="str">
        <f ca="1">VLOOKUP(A272,Calculation!$E$6:$J$1004,6,FALSE)</f>
        <v/>
      </c>
      <c r="E272" s="42" t="str">
        <f t="shared" ca="1" si="2"/>
        <v/>
      </c>
      <c r="G272" s="29" t="str">
        <f ca="1">VLOOKUP(A272,Calculation!$F$6:$J$1004,3,FALSE)</f>
        <v/>
      </c>
      <c r="H272" s="4" t="str">
        <f ca="1">VLOOKUP(A272,Calculation!$F$6:$J$1004,4,FALSE)</f>
        <v/>
      </c>
      <c r="I272" s="4" t="str">
        <f ca="1">VLOOKUP(A272,Calculation!$F$6:$J$1004,5,FALSE)</f>
        <v/>
      </c>
      <c r="J272" s="43" t="str">
        <f t="shared" ca="1" si="3"/>
        <v/>
      </c>
      <c r="L272" s="29" t="str">
        <f ca="1">VLOOKUP(A272,Calculation!$G$6:$S$1004,2,FALSE)</f>
        <v/>
      </c>
      <c r="M272" s="4" t="str">
        <f ca="1">IFERROR(VLOOKUP($L272,Calculation!$H$6:$S$1005,HLOOKUP(M$2,Calculation!$M$4:$S$5,2,FALSE)+5,FALSE),"")</f>
        <v/>
      </c>
      <c r="N272" s="4" t="str">
        <f ca="1">IFERROR(VLOOKUP($L272,Calculation!$H$6:$S$1005,HLOOKUP(N$2,Calculation!$M$4:$S$5,2,FALSE)+5,FALSE),"")</f>
        <v/>
      </c>
      <c r="O272" s="4" t="str">
        <f ca="1">IFERROR(VLOOKUP($L272,Calculation!$H$6:$S$1005,HLOOKUP(O$2,Calculation!$M$4:$S$5,2,FALSE)+5,FALSE),"")</f>
        <v/>
      </c>
      <c r="P272" s="4" t="str">
        <f ca="1">IFERROR(VLOOKUP($L272,Calculation!$H$6:$S$1005,HLOOKUP(P$2,Calculation!$M$4:$S$5,2,FALSE)+5,FALSE),"")</f>
        <v/>
      </c>
      <c r="Q272" s="4" t="str">
        <f ca="1">IFERROR(VLOOKUP($L272,Calculation!$H$6:$S$1005,HLOOKUP(Q$2,Calculation!$M$4:$S$5,2,FALSE)+5,FALSE),"")</f>
        <v/>
      </c>
      <c r="R272" s="27" t="str">
        <f ca="1">IFERROR(VLOOKUP($L272,Calculation!$H$6:$S$1005,HLOOKUP(R$2,Calculation!$M$4:$S$5,2,FALSE)+5,FALSE),"")</f>
        <v/>
      </c>
      <c r="S272" s="4" t="str">
        <f ca="1">IFERROR(VLOOKUP($L272,Calculation!$H$6:$S$1005,HLOOKUP(S$2,Calculation!$M$4:$S$5,2,FALSE)+5,FALSE),"")</f>
        <v/>
      </c>
      <c r="T272" s="29"/>
      <c r="U272" s="43" t="str">
        <f>IFERROR(VLOOKUP(T272,Calculation!$U$6:$V$11,2,FALSE),"")</f>
        <v/>
      </c>
    </row>
    <row r="273" spans="1:21" ht="14.25" customHeight="1" x14ac:dyDescent="0.3">
      <c r="A273" s="26" t="str">
        <f ca="1">IF(Calculation!T276&lt;=Calculation!$H$4,Calculation!T276,"")</f>
        <v/>
      </c>
      <c r="B273" s="4" t="str">
        <f ca="1">VLOOKUP(A273,Calculation!$E$6:$J$1004,4,FALSE)</f>
        <v/>
      </c>
      <c r="C273" s="4" t="str">
        <f ca="1">VLOOKUP(A273,Calculation!$E$6:$J$1004,5,FALSE)</f>
        <v/>
      </c>
      <c r="D273" s="4" t="str">
        <f ca="1">VLOOKUP(A273,Calculation!$E$6:$J$1004,6,FALSE)</f>
        <v/>
      </c>
      <c r="E273" s="42" t="str">
        <f t="shared" ca="1" si="2"/>
        <v/>
      </c>
      <c r="G273" s="29" t="str">
        <f ca="1">VLOOKUP(A273,Calculation!$F$6:$J$1004,3,FALSE)</f>
        <v/>
      </c>
      <c r="H273" s="4" t="str">
        <f ca="1">VLOOKUP(A273,Calculation!$F$6:$J$1004,4,FALSE)</f>
        <v/>
      </c>
      <c r="I273" s="4" t="str">
        <f ca="1">VLOOKUP(A273,Calculation!$F$6:$J$1004,5,FALSE)</f>
        <v/>
      </c>
      <c r="J273" s="43" t="str">
        <f t="shared" ca="1" si="3"/>
        <v/>
      </c>
      <c r="L273" s="29" t="str">
        <f ca="1">VLOOKUP(A273,Calculation!$G$6:$S$1004,2,FALSE)</f>
        <v/>
      </c>
      <c r="M273" s="4" t="str">
        <f ca="1">IFERROR(VLOOKUP($L273,Calculation!$H$6:$S$1005,HLOOKUP(M$2,Calculation!$M$4:$S$5,2,FALSE)+5,FALSE),"")</f>
        <v/>
      </c>
      <c r="N273" s="4" t="str">
        <f ca="1">IFERROR(VLOOKUP($L273,Calculation!$H$6:$S$1005,HLOOKUP(N$2,Calculation!$M$4:$S$5,2,FALSE)+5,FALSE),"")</f>
        <v/>
      </c>
      <c r="O273" s="4" t="str">
        <f ca="1">IFERROR(VLOOKUP($L273,Calculation!$H$6:$S$1005,HLOOKUP(O$2,Calculation!$M$4:$S$5,2,FALSE)+5,FALSE),"")</f>
        <v/>
      </c>
      <c r="P273" s="4" t="str">
        <f ca="1">IFERROR(VLOOKUP($L273,Calculation!$H$6:$S$1005,HLOOKUP(P$2,Calculation!$M$4:$S$5,2,FALSE)+5,FALSE),"")</f>
        <v/>
      </c>
      <c r="Q273" s="4" t="str">
        <f ca="1">IFERROR(VLOOKUP($L273,Calculation!$H$6:$S$1005,HLOOKUP(Q$2,Calculation!$M$4:$S$5,2,FALSE)+5,FALSE),"")</f>
        <v/>
      </c>
      <c r="R273" s="27" t="str">
        <f ca="1">IFERROR(VLOOKUP($L273,Calculation!$H$6:$S$1005,HLOOKUP(R$2,Calculation!$M$4:$S$5,2,FALSE)+5,FALSE),"")</f>
        <v/>
      </c>
      <c r="S273" s="4" t="str">
        <f ca="1">IFERROR(VLOOKUP($L273,Calculation!$H$6:$S$1005,HLOOKUP(S$2,Calculation!$M$4:$S$5,2,FALSE)+5,FALSE),"")</f>
        <v/>
      </c>
      <c r="T273" s="29"/>
      <c r="U273" s="43" t="str">
        <f>IFERROR(VLOOKUP(T273,Calculation!$U$6:$V$11,2,FALSE),"")</f>
        <v/>
      </c>
    </row>
    <row r="274" spans="1:21" ht="14.25" customHeight="1" x14ac:dyDescent="0.3">
      <c r="A274" s="26" t="str">
        <f ca="1">IF(Calculation!T277&lt;=Calculation!$H$4,Calculation!T277,"")</f>
        <v/>
      </c>
      <c r="B274" s="4" t="str">
        <f ca="1">VLOOKUP(A274,Calculation!$E$6:$J$1004,4,FALSE)</f>
        <v/>
      </c>
      <c r="C274" s="4" t="str">
        <f ca="1">VLOOKUP(A274,Calculation!$E$6:$J$1004,5,FALSE)</f>
        <v/>
      </c>
      <c r="D274" s="4" t="str">
        <f ca="1">VLOOKUP(A274,Calculation!$E$6:$J$1004,6,FALSE)</f>
        <v/>
      </c>
      <c r="E274" s="42" t="str">
        <f t="shared" ca="1" si="2"/>
        <v/>
      </c>
      <c r="G274" s="29" t="str">
        <f ca="1">VLOOKUP(A274,Calculation!$F$6:$J$1004,3,FALSE)</f>
        <v/>
      </c>
      <c r="H274" s="4" t="str">
        <f ca="1">VLOOKUP(A274,Calculation!$F$6:$J$1004,4,FALSE)</f>
        <v/>
      </c>
      <c r="I274" s="4" t="str">
        <f ca="1">VLOOKUP(A274,Calculation!$F$6:$J$1004,5,FALSE)</f>
        <v/>
      </c>
      <c r="J274" s="43" t="str">
        <f t="shared" ca="1" si="3"/>
        <v/>
      </c>
      <c r="L274" s="29" t="str">
        <f ca="1">VLOOKUP(A274,Calculation!$G$6:$S$1004,2,FALSE)</f>
        <v/>
      </c>
      <c r="M274" s="4" t="str">
        <f ca="1">IFERROR(VLOOKUP($L274,Calculation!$H$6:$S$1005,HLOOKUP(M$2,Calculation!$M$4:$S$5,2,FALSE)+5,FALSE),"")</f>
        <v/>
      </c>
      <c r="N274" s="4" t="str">
        <f ca="1">IFERROR(VLOOKUP($L274,Calculation!$H$6:$S$1005,HLOOKUP(N$2,Calculation!$M$4:$S$5,2,FALSE)+5,FALSE),"")</f>
        <v/>
      </c>
      <c r="O274" s="4" t="str">
        <f ca="1">IFERROR(VLOOKUP($L274,Calculation!$H$6:$S$1005,HLOOKUP(O$2,Calculation!$M$4:$S$5,2,FALSE)+5,FALSE),"")</f>
        <v/>
      </c>
      <c r="P274" s="4" t="str">
        <f ca="1">IFERROR(VLOOKUP($L274,Calculation!$H$6:$S$1005,HLOOKUP(P$2,Calculation!$M$4:$S$5,2,FALSE)+5,FALSE),"")</f>
        <v/>
      </c>
      <c r="Q274" s="4" t="str">
        <f ca="1">IFERROR(VLOOKUP($L274,Calculation!$H$6:$S$1005,HLOOKUP(Q$2,Calculation!$M$4:$S$5,2,FALSE)+5,FALSE),"")</f>
        <v/>
      </c>
      <c r="R274" s="27" t="str">
        <f ca="1">IFERROR(VLOOKUP($L274,Calculation!$H$6:$S$1005,HLOOKUP(R$2,Calculation!$M$4:$S$5,2,FALSE)+5,FALSE),"")</f>
        <v/>
      </c>
      <c r="S274" s="4" t="str">
        <f ca="1">IFERROR(VLOOKUP($L274,Calculation!$H$6:$S$1005,HLOOKUP(S$2,Calculation!$M$4:$S$5,2,FALSE)+5,FALSE),"")</f>
        <v/>
      </c>
      <c r="T274" s="29"/>
      <c r="U274" s="43" t="str">
        <f>IFERROR(VLOOKUP(T274,Calculation!$U$6:$V$11,2,FALSE),"")</f>
        <v/>
      </c>
    </row>
    <row r="275" spans="1:21" ht="14.25" customHeight="1" x14ac:dyDescent="0.3">
      <c r="A275" s="26" t="str">
        <f ca="1">IF(Calculation!T278&lt;=Calculation!$H$4,Calculation!T278,"")</f>
        <v/>
      </c>
      <c r="B275" s="4" t="str">
        <f ca="1">VLOOKUP(A275,Calculation!$E$6:$J$1004,4,FALSE)</f>
        <v/>
      </c>
      <c r="C275" s="4" t="str">
        <f ca="1">VLOOKUP(A275,Calculation!$E$6:$J$1004,5,FALSE)</f>
        <v/>
      </c>
      <c r="D275" s="4" t="str">
        <f ca="1">VLOOKUP(A275,Calculation!$E$6:$J$1004,6,FALSE)</f>
        <v/>
      </c>
      <c r="E275" s="42" t="str">
        <f t="shared" ca="1" si="2"/>
        <v/>
      </c>
      <c r="G275" s="29" t="str">
        <f ca="1">VLOOKUP(A275,Calculation!$F$6:$J$1004,3,FALSE)</f>
        <v/>
      </c>
      <c r="H275" s="4" t="str">
        <f ca="1">VLOOKUP(A275,Calculation!$F$6:$J$1004,4,FALSE)</f>
        <v/>
      </c>
      <c r="I275" s="4" t="str">
        <f ca="1">VLOOKUP(A275,Calculation!$F$6:$J$1004,5,FALSE)</f>
        <v/>
      </c>
      <c r="J275" s="43" t="str">
        <f t="shared" ca="1" si="3"/>
        <v/>
      </c>
      <c r="L275" s="29" t="str">
        <f ca="1">VLOOKUP(A275,Calculation!$G$6:$S$1004,2,FALSE)</f>
        <v/>
      </c>
      <c r="M275" s="4" t="str">
        <f ca="1">IFERROR(VLOOKUP($L275,Calculation!$H$6:$S$1005,HLOOKUP(M$2,Calculation!$M$4:$S$5,2,FALSE)+5,FALSE),"")</f>
        <v/>
      </c>
      <c r="N275" s="4" t="str">
        <f ca="1">IFERROR(VLOOKUP($L275,Calculation!$H$6:$S$1005,HLOOKUP(N$2,Calculation!$M$4:$S$5,2,FALSE)+5,FALSE),"")</f>
        <v/>
      </c>
      <c r="O275" s="4" t="str">
        <f ca="1">IFERROR(VLOOKUP($L275,Calculation!$H$6:$S$1005,HLOOKUP(O$2,Calculation!$M$4:$S$5,2,FALSE)+5,FALSE),"")</f>
        <v/>
      </c>
      <c r="P275" s="4" t="str">
        <f ca="1">IFERROR(VLOOKUP($L275,Calculation!$H$6:$S$1005,HLOOKUP(P$2,Calculation!$M$4:$S$5,2,FALSE)+5,FALSE),"")</f>
        <v/>
      </c>
      <c r="Q275" s="4" t="str">
        <f ca="1">IFERROR(VLOOKUP($L275,Calculation!$H$6:$S$1005,HLOOKUP(Q$2,Calculation!$M$4:$S$5,2,FALSE)+5,FALSE),"")</f>
        <v/>
      </c>
      <c r="R275" s="27" t="str">
        <f ca="1">IFERROR(VLOOKUP($L275,Calculation!$H$6:$S$1005,HLOOKUP(R$2,Calculation!$M$4:$S$5,2,FALSE)+5,FALSE),"")</f>
        <v/>
      </c>
      <c r="S275" s="4" t="str">
        <f ca="1">IFERROR(VLOOKUP($L275,Calculation!$H$6:$S$1005,HLOOKUP(S$2,Calculation!$M$4:$S$5,2,FALSE)+5,FALSE),"")</f>
        <v/>
      </c>
      <c r="T275" s="29"/>
      <c r="U275" s="43" t="str">
        <f>IFERROR(VLOOKUP(T275,Calculation!$U$6:$V$11,2,FALSE),"")</f>
        <v/>
      </c>
    </row>
    <row r="276" spans="1:21" ht="14.25" customHeight="1" x14ac:dyDescent="0.3">
      <c r="A276" s="26" t="str">
        <f ca="1">IF(Calculation!T279&lt;=Calculation!$H$4,Calculation!T279,"")</f>
        <v/>
      </c>
      <c r="B276" s="4" t="str">
        <f ca="1">VLOOKUP(A276,Calculation!$E$6:$J$1004,4,FALSE)</f>
        <v/>
      </c>
      <c r="C276" s="4" t="str">
        <f ca="1">VLOOKUP(A276,Calculation!$E$6:$J$1004,5,FALSE)</f>
        <v/>
      </c>
      <c r="D276" s="4" t="str">
        <f ca="1">VLOOKUP(A276,Calculation!$E$6:$J$1004,6,FALSE)</f>
        <v/>
      </c>
      <c r="E276" s="42" t="str">
        <f t="shared" ca="1" si="2"/>
        <v/>
      </c>
      <c r="G276" s="29" t="str">
        <f ca="1">VLOOKUP(A276,Calculation!$F$6:$J$1004,3,FALSE)</f>
        <v/>
      </c>
      <c r="H276" s="4" t="str">
        <f ca="1">VLOOKUP(A276,Calculation!$F$6:$J$1004,4,FALSE)</f>
        <v/>
      </c>
      <c r="I276" s="4" t="str">
        <f ca="1">VLOOKUP(A276,Calculation!$F$6:$J$1004,5,FALSE)</f>
        <v/>
      </c>
      <c r="J276" s="43" t="str">
        <f t="shared" ca="1" si="3"/>
        <v/>
      </c>
      <c r="L276" s="29" t="str">
        <f ca="1">VLOOKUP(A276,Calculation!$G$6:$S$1004,2,FALSE)</f>
        <v/>
      </c>
      <c r="M276" s="4" t="str">
        <f ca="1">IFERROR(VLOOKUP($L276,Calculation!$H$6:$S$1005,HLOOKUP(M$2,Calculation!$M$4:$S$5,2,FALSE)+5,FALSE),"")</f>
        <v/>
      </c>
      <c r="N276" s="4" t="str">
        <f ca="1">IFERROR(VLOOKUP($L276,Calculation!$H$6:$S$1005,HLOOKUP(N$2,Calculation!$M$4:$S$5,2,FALSE)+5,FALSE),"")</f>
        <v/>
      </c>
      <c r="O276" s="4" t="str">
        <f ca="1">IFERROR(VLOOKUP($L276,Calculation!$H$6:$S$1005,HLOOKUP(O$2,Calculation!$M$4:$S$5,2,FALSE)+5,FALSE),"")</f>
        <v/>
      </c>
      <c r="P276" s="4" t="str">
        <f ca="1">IFERROR(VLOOKUP($L276,Calculation!$H$6:$S$1005,HLOOKUP(P$2,Calculation!$M$4:$S$5,2,FALSE)+5,FALSE),"")</f>
        <v/>
      </c>
      <c r="Q276" s="4" t="str">
        <f ca="1">IFERROR(VLOOKUP($L276,Calculation!$H$6:$S$1005,HLOOKUP(Q$2,Calculation!$M$4:$S$5,2,FALSE)+5,FALSE),"")</f>
        <v/>
      </c>
      <c r="R276" s="27" t="str">
        <f ca="1">IFERROR(VLOOKUP($L276,Calculation!$H$6:$S$1005,HLOOKUP(R$2,Calculation!$M$4:$S$5,2,FALSE)+5,FALSE),"")</f>
        <v/>
      </c>
      <c r="S276" s="4" t="str">
        <f ca="1">IFERROR(VLOOKUP($L276,Calculation!$H$6:$S$1005,HLOOKUP(S$2,Calculation!$M$4:$S$5,2,FALSE)+5,FALSE),"")</f>
        <v/>
      </c>
      <c r="T276" s="29"/>
      <c r="U276" s="43" t="str">
        <f>IFERROR(VLOOKUP(T276,Calculation!$U$6:$V$11,2,FALSE),"")</f>
        <v/>
      </c>
    </row>
    <row r="277" spans="1:21" ht="14.25" customHeight="1" x14ac:dyDescent="0.3">
      <c r="A277" s="26" t="str">
        <f ca="1">IF(Calculation!T280&lt;=Calculation!$H$4,Calculation!T280,"")</f>
        <v/>
      </c>
      <c r="B277" s="4" t="str">
        <f ca="1">VLOOKUP(A277,Calculation!$E$6:$J$1004,4,FALSE)</f>
        <v/>
      </c>
      <c r="C277" s="4" t="str">
        <f ca="1">VLOOKUP(A277,Calculation!$E$6:$J$1004,5,FALSE)</f>
        <v/>
      </c>
      <c r="D277" s="4" t="str">
        <f ca="1">VLOOKUP(A277,Calculation!$E$6:$J$1004,6,FALSE)</f>
        <v/>
      </c>
      <c r="E277" s="42" t="str">
        <f t="shared" ca="1" si="2"/>
        <v/>
      </c>
      <c r="G277" s="29" t="str">
        <f ca="1">VLOOKUP(A277,Calculation!$F$6:$J$1004,3,FALSE)</f>
        <v/>
      </c>
      <c r="H277" s="4" t="str">
        <f ca="1">VLOOKUP(A277,Calculation!$F$6:$J$1004,4,FALSE)</f>
        <v/>
      </c>
      <c r="I277" s="4" t="str">
        <f ca="1">VLOOKUP(A277,Calculation!$F$6:$J$1004,5,FALSE)</f>
        <v/>
      </c>
      <c r="J277" s="43" t="str">
        <f t="shared" ca="1" si="3"/>
        <v/>
      </c>
      <c r="L277" s="29" t="str">
        <f ca="1">VLOOKUP(A277,Calculation!$G$6:$S$1004,2,FALSE)</f>
        <v/>
      </c>
      <c r="M277" s="4" t="str">
        <f ca="1">IFERROR(VLOOKUP($L277,Calculation!$H$6:$S$1005,HLOOKUP(M$2,Calculation!$M$4:$S$5,2,FALSE)+5,FALSE),"")</f>
        <v/>
      </c>
      <c r="N277" s="4" t="str">
        <f ca="1">IFERROR(VLOOKUP($L277,Calculation!$H$6:$S$1005,HLOOKUP(N$2,Calculation!$M$4:$S$5,2,FALSE)+5,FALSE),"")</f>
        <v/>
      </c>
      <c r="O277" s="4" t="str">
        <f ca="1">IFERROR(VLOOKUP($L277,Calculation!$H$6:$S$1005,HLOOKUP(O$2,Calculation!$M$4:$S$5,2,FALSE)+5,FALSE),"")</f>
        <v/>
      </c>
      <c r="P277" s="4" t="str">
        <f ca="1">IFERROR(VLOOKUP($L277,Calculation!$H$6:$S$1005,HLOOKUP(P$2,Calculation!$M$4:$S$5,2,FALSE)+5,FALSE),"")</f>
        <v/>
      </c>
      <c r="Q277" s="4" t="str">
        <f ca="1">IFERROR(VLOOKUP($L277,Calculation!$H$6:$S$1005,HLOOKUP(Q$2,Calculation!$M$4:$S$5,2,FALSE)+5,FALSE),"")</f>
        <v/>
      </c>
      <c r="R277" s="27" t="str">
        <f ca="1">IFERROR(VLOOKUP($L277,Calculation!$H$6:$S$1005,HLOOKUP(R$2,Calculation!$M$4:$S$5,2,FALSE)+5,FALSE),"")</f>
        <v/>
      </c>
      <c r="S277" s="4" t="str">
        <f ca="1">IFERROR(VLOOKUP($L277,Calculation!$H$6:$S$1005,HLOOKUP(S$2,Calculation!$M$4:$S$5,2,FALSE)+5,FALSE),"")</f>
        <v/>
      </c>
      <c r="T277" s="29"/>
      <c r="U277" s="43" t="str">
        <f>IFERROR(VLOOKUP(T277,Calculation!$U$6:$V$11,2,FALSE),"")</f>
        <v/>
      </c>
    </row>
    <row r="278" spans="1:21" ht="14.25" customHeight="1" x14ac:dyDescent="0.3">
      <c r="A278" s="26" t="str">
        <f ca="1">IF(Calculation!T281&lt;=Calculation!$H$4,Calculation!T281,"")</f>
        <v/>
      </c>
      <c r="B278" s="4" t="str">
        <f ca="1">VLOOKUP(A278,Calculation!$E$6:$J$1004,4,FALSE)</f>
        <v/>
      </c>
      <c r="C278" s="4" t="str">
        <f ca="1">VLOOKUP(A278,Calculation!$E$6:$J$1004,5,FALSE)</f>
        <v/>
      </c>
      <c r="D278" s="4" t="str">
        <f ca="1">VLOOKUP(A278,Calculation!$E$6:$J$1004,6,FALSE)</f>
        <v/>
      </c>
      <c r="E278" s="42" t="str">
        <f t="shared" ca="1" si="2"/>
        <v/>
      </c>
      <c r="G278" s="29" t="str">
        <f ca="1">VLOOKUP(A278,Calculation!$F$6:$J$1004,3,FALSE)</f>
        <v/>
      </c>
      <c r="H278" s="4" t="str">
        <f ca="1">VLOOKUP(A278,Calculation!$F$6:$J$1004,4,FALSE)</f>
        <v/>
      </c>
      <c r="I278" s="4" t="str">
        <f ca="1">VLOOKUP(A278,Calculation!$F$6:$J$1004,5,FALSE)</f>
        <v/>
      </c>
      <c r="J278" s="43" t="str">
        <f t="shared" ca="1" si="3"/>
        <v/>
      </c>
      <c r="L278" s="29" t="str">
        <f ca="1">VLOOKUP(A278,Calculation!$G$6:$S$1004,2,FALSE)</f>
        <v/>
      </c>
      <c r="M278" s="4" t="str">
        <f ca="1">IFERROR(VLOOKUP($L278,Calculation!$H$6:$S$1005,HLOOKUP(M$2,Calculation!$M$4:$S$5,2,FALSE)+5,FALSE),"")</f>
        <v/>
      </c>
      <c r="N278" s="4" t="str">
        <f ca="1">IFERROR(VLOOKUP($L278,Calculation!$H$6:$S$1005,HLOOKUP(N$2,Calculation!$M$4:$S$5,2,FALSE)+5,FALSE),"")</f>
        <v/>
      </c>
      <c r="O278" s="4" t="str">
        <f ca="1">IFERROR(VLOOKUP($L278,Calculation!$H$6:$S$1005,HLOOKUP(O$2,Calculation!$M$4:$S$5,2,FALSE)+5,FALSE),"")</f>
        <v/>
      </c>
      <c r="P278" s="4" t="str">
        <f ca="1">IFERROR(VLOOKUP($L278,Calculation!$H$6:$S$1005,HLOOKUP(P$2,Calculation!$M$4:$S$5,2,FALSE)+5,FALSE),"")</f>
        <v/>
      </c>
      <c r="Q278" s="4" t="str">
        <f ca="1">IFERROR(VLOOKUP($L278,Calculation!$H$6:$S$1005,HLOOKUP(Q$2,Calculation!$M$4:$S$5,2,FALSE)+5,FALSE),"")</f>
        <v/>
      </c>
      <c r="R278" s="27" t="str">
        <f ca="1">IFERROR(VLOOKUP($L278,Calculation!$H$6:$S$1005,HLOOKUP(R$2,Calculation!$M$4:$S$5,2,FALSE)+5,FALSE),"")</f>
        <v/>
      </c>
      <c r="S278" s="4" t="str">
        <f ca="1">IFERROR(VLOOKUP($L278,Calculation!$H$6:$S$1005,HLOOKUP(S$2,Calculation!$M$4:$S$5,2,FALSE)+5,FALSE),"")</f>
        <v/>
      </c>
      <c r="T278" s="29"/>
      <c r="U278" s="43" t="str">
        <f>IFERROR(VLOOKUP(T278,Calculation!$U$6:$V$11,2,FALSE),"")</f>
        <v/>
      </c>
    </row>
    <row r="279" spans="1:21" ht="14.25" customHeight="1" x14ac:dyDescent="0.3">
      <c r="A279" s="26" t="str">
        <f ca="1">IF(Calculation!T282&lt;=Calculation!$H$4,Calculation!T282,"")</f>
        <v/>
      </c>
      <c r="B279" s="4" t="str">
        <f ca="1">VLOOKUP(A279,Calculation!$E$6:$J$1004,4,FALSE)</f>
        <v/>
      </c>
      <c r="C279" s="4" t="str">
        <f ca="1">VLOOKUP(A279,Calculation!$E$6:$J$1004,5,FALSE)</f>
        <v/>
      </c>
      <c r="D279" s="4" t="str">
        <f ca="1">VLOOKUP(A279,Calculation!$E$6:$J$1004,6,FALSE)</f>
        <v/>
      </c>
      <c r="E279" s="42" t="str">
        <f t="shared" ca="1" si="2"/>
        <v/>
      </c>
      <c r="G279" s="29" t="str">
        <f ca="1">VLOOKUP(A279,Calculation!$F$6:$J$1004,3,FALSE)</f>
        <v/>
      </c>
      <c r="H279" s="4" t="str">
        <f ca="1">VLOOKUP(A279,Calculation!$F$6:$J$1004,4,FALSE)</f>
        <v/>
      </c>
      <c r="I279" s="4" t="str">
        <f ca="1">VLOOKUP(A279,Calculation!$F$6:$J$1004,5,FALSE)</f>
        <v/>
      </c>
      <c r="J279" s="43" t="str">
        <f t="shared" ca="1" si="3"/>
        <v/>
      </c>
      <c r="L279" s="29" t="str">
        <f ca="1">VLOOKUP(A279,Calculation!$G$6:$S$1004,2,FALSE)</f>
        <v/>
      </c>
      <c r="M279" s="4" t="str">
        <f ca="1">IFERROR(VLOOKUP($L279,Calculation!$H$6:$S$1005,HLOOKUP(M$2,Calculation!$M$4:$S$5,2,FALSE)+5,FALSE),"")</f>
        <v/>
      </c>
      <c r="N279" s="4" t="str">
        <f ca="1">IFERROR(VLOOKUP($L279,Calculation!$H$6:$S$1005,HLOOKUP(N$2,Calculation!$M$4:$S$5,2,FALSE)+5,FALSE),"")</f>
        <v/>
      </c>
      <c r="O279" s="4" t="str">
        <f ca="1">IFERROR(VLOOKUP($L279,Calculation!$H$6:$S$1005,HLOOKUP(O$2,Calculation!$M$4:$S$5,2,FALSE)+5,FALSE),"")</f>
        <v/>
      </c>
      <c r="P279" s="4" t="str">
        <f ca="1">IFERROR(VLOOKUP($L279,Calculation!$H$6:$S$1005,HLOOKUP(P$2,Calculation!$M$4:$S$5,2,FALSE)+5,FALSE),"")</f>
        <v/>
      </c>
      <c r="Q279" s="4" t="str">
        <f ca="1">IFERROR(VLOOKUP($L279,Calculation!$H$6:$S$1005,HLOOKUP(Q$2,Calculation!$M$4:$S$5,2,FALSE)+5,FALSE),"")</f>
        <v/>
      </c>
      <c r="R279" s="27" t="str">
        <f ca="1">IFERROR(VLOOKUP($L279,Calculation!$H$6:$S$1005,HLOOKUP(R$2,Calculation!$M$4:$S$5,2,FALSE)+5,FALSE),"")</f>
        <v/>
      </c>
      <c r="S279" s="4" t="str">
        <f ca="1">IFERROR(VLOOKUP($L279,Calculation!$H$6:$S$1005,HLOOKUP(S$2,Calculation!$M$4:$S$5,2,FALSE)+5,FALSE),"")</f>
        <v/>
      </c>
      <c r="T279" s="29"/>
      <c r="U279" s="43" t="str">
        <f>IFERROR(VLOOKUP(T279,Calculation!$U$6:$V$11,2,FALSE),"")</f>
        <v/>
      </c>
    </row>
    <row r="280" spans="1:21" ht="14.25" customHeight="1" x14ac:dyDescent="0.3">
      <c r="A280" s="26" t="str">
        <f ca="1">IF(Calculation!T283&lt;=Calculation!$H$4,Calculation!T283,"")</f>
        <v/>
      </c>
      <c r="B280" s="4" t="str">
        <f ca="1">VLOOKUP(A280,Calculation!$E$6:$J$1004,4,FALSE)</f>
        <v/>
      </c>
      <c r="C280" s="4" t="str">
        <f ca="1">VLOOKUP(A280,Calculation!$E$6:$J$1004,5,FALSE)</f>
        <v/>
      </c>
      <c r="D280" s="4" t="str">
        <f ca="1">VLOOKUP(A280,Calculation!$E$6:$J$1004,6,FALSE)</f>
        <v/>
      </c>
      <c r="E280" s="42" t="str">
        <f t="shared" ca="1" si="2"/>
        <v/>
      </c>
      <c r="G280" s="29" t="str">
        <f ca="1">VLOOKUP(A280,Calculation!$F$6:$J$1004,3,FALSE)</f>
        <v/>
      </c>
      <c r="H280" s="4" t="str">
        <f ca="1">VLOOKUP(A280,Calculation!$F$6:$J$1004,4,FALSE)</f>
        <v/>
      </c>
      <c r="I280" s="4" t="str">
        <f ca="1">VLOOKUP(A280,Calculation!$F$6:$J$1004,5,FALSE)</f>
        <v/>
      </c>
      <c r="J280" s="43" t="str">
        <f t="shared" ca="1" si="3"/>
        <v/>
      </c>
      <c r="L280" s="29" t="str">
        <f ca="1">VLOOKUP(A280,Calculation!$G$6:$S$1004,2,FALSE)</f>
        <v/>
      </c>
      <c r="M280" s="4" t="str">
        <f ca="1">IFERROR(VLOOKUP($L280,Calculation!$H$6:$S$1005,HLOOKUP(M$2,Calculation!$M$4:$S$5,2,FALSE)+5,FALSE),"")</f>
        <v/>
      </c>
      <c r="N280" s="4" t="str">
        <f ca="1">IFERROR(VLOOKUP($L280,Calculation!$H$6:$S$1005,HLOOKUP(N$2,Calculation!$M$4:$S$5,2,FALSE)+5,FALSE),"")</f>
        <v/>
      </c>
      <c r="O280" s="4" t="str">
        <f ca="1">IFERROR(VLOOKUP($L280,Calculation!$H$6:$S$1005,HLOOKUP(O$2,Calculation!$M$4:$S$5,2,FALSE)+5,FALSE),"")</f>
        <v/>
      </c>
      <c r="P280" s="4" t="str">
        <f ca="1">IFERROR(VLOOKUP($L280,Calculation!$H$6:$S$1005,HLOOKUP(P$2,Calculation!$M$4:$S$5,2,FALSE)+5,FALSE),"")</f>
        <v/>
      </c>
      <c r="Q280" s="4" t="str">
        <f ca="1">IFERROR(VLOOKUP($L280,Calculation!$H$6:$S$1005,HLOOKUP(Q$2,Calculation!$M$4:$S$5,2,FALSE)+5,FALSE),"")</f>
        <v/>
      </c>
      <c r="R280" s="27" t="str">
        <f ca="1">IFERROR(VLOOKUP($L280,Calculation!$H$6:$S$1005,HLOOKUP(R$2,Calculation!$M$4:$S$5,2,FALSE)+5,FALSE),"")</f>
        <v/>
      </c>
      <c r="S280" s="4" t="str">
        <f ca="1">IFERROR(VLOOKUP($L280,Calculation!$H$6:$S$1005,HLOOKUP(S$2,Calculation!$M$4:$S$5,2,FALSE)+5,FALSE),"")</f>
        <v/>
      </c>
      <c r="T280" s="29"/>
      <c r="U280" s="43" t="str">
        <f>IFERROR(VLOOKUP(T280,Calculation!$U$6:$V$11,2,FALSE),"")</f>
        <v/>
      </c>
    </row>
    <row r="281" spans="1:21" ht="14.25" customHeight="1" x14ac:dyDescent="0.3">
      <c r="A281" s="26" t="str">
        <f ca="1">IF(Calculation!T284&lt;=Calculation!$H$4,Calculation!T284,"")</f>
        <v/>
      </c>
      <c r="B281" s="4" t="str">
        <f ca="1">VLOOKUP(A281,Calculation!$E$6:$J$1004,4,FALSE)</f>
        <v/>
      </c>
      <c r="C281" s="4" t="str">
        <f ca="1">VLOOKUP(A281,Calculation!$E$6:$J$1004,5,FALSE)</f>
        <v/>
      </c>
      <c r="D281" s="4" t="str">
        <f ca="1">VLOOKUP(A281,Calculation!$E$6:$J$1004,6,FALSE)</f>
        <v/>
      </c>
      <c r="E281" s="42" t="str">
        <f t="shared" ca="1" si="2"/>
        <v/>
      </c>
      <c r="G281" s="29" t="str">
        <f ca="1">VLOOKUP(A281,Calculation!$F$6:$J$1004,3,FALSE)</f>
        <v/>
      </c>
      <c r="H281" s="4" t="str">
        <f ca="1">VLOOKUP(A281,Calculation!$F$6:$J$1004,4,FALSE)</f>
        <v/>
      </c>
      <c r="I281" s="4" t="str">
        <f ca="1">VLOOKUP(A281,Calculation!$F$6:$J$1004,5,FALSE)</f>
        <v/>
      </c>
      <c r="J281" s="43" t="str">
        <f t="shared" ca="1" si="3"/>
        <v/>
      </c>
      <c r="L281" s="29" t="str">
        <f ca="1">VLOOKUP(A281,Calculation!$G$6:$S$1004,2,FALSE)</f>
        <v/>
      </c>
      <c r="M281" s="4" t="str">
        <f ca="1">IFERROR(VLOOKUP($L281,Calculation!$H$6:$S$1005,HLOOKUP(M$2,Calculation!$M$4:$S$5,2,FALSE)+5,FALSE),"")</f>
        <v/>
      </c>
      <c r="N281" s="4" t="str">
        <f ca="1">IFERROR(VLOOKUP($L281,Calculation!$H$6:$S$1005,HLOOKUP(N$2,Calculation!$M$4:$S$5,2,FALSE)+5,FALSE),"")</f>
        <v/>
      </c>
      <c r="O281" s="4" t="str">
        <f ca="1">IFERROR(VLOOKUP($L281,Calculation!$H$6:$S$1005,HLOOKUP(O$2,Calculation!$M$4:$S$5,2,FALSE)+5,FALSE),"")</f>
        <v/>
      </c>
      <c r="P281" s="4" t="str">
        <f ca="1">IFERROR(VLOOKUP($L281,Calculation!$H$6:$S$1005,HLOOKUP(P$2,Calculation!$M$4:$S$5,2,FALSE)+5,FALSE),"")</f>
        <v/>
      </c>
      <c r="Q281" s="4" t="str">
        <f ca="1">IFERROR(VLOOKUP($L281,Calculation!$H$6:$S$1005,HLOOKUP(Q$2,Calculation!$M$4:$S$5,2,FALSE)+5,FALSE),"")</f>
        <v/>
      </c>
      <c r="R281" s="27" t="str">
        <f ca="1">IFERROR(VLOOKUP($L281,Calculation!$H$6:$S$1005,HLOOKUP(R$2,Calculation!$M$4:$S$5,2,FALSE)+5,FALSE),"")</f>
        <v/>
      </c>
      <c r="S281" s="4" t="str">
        <f ca="1">IFERROR(VLOOKUP($L281,Calculation!$H$6:$S$1005,HLOOKUP(S$2,Calculation!$M$4:$S$5,2,FALSE)+5,FALSE),"")</f>
        <v/>
      </c>
      <c r="T281" s="29"/>
      <c r="U281" s="43" t="str">
        <f>IFERROR(VLOOKUP(T281,Calculation!$U$6:$V$11,2,FALSE),"")</f>
        <v/>
      </c>
    </row>
    <row r="282" spans="1:21" ht="14.25" customHeight="1" x14ac:dyDescent="0.3">
      <c r="A282" s="26" t="str">
        <f ca="1">IF(Calculation!T285&lt;=Calculation!$H$4,Calculation!T285,"")</f>
        <v/>
      </c>
      <c r="B282" s="4" t="str">
        <f ca="1">VLOOKUP(A282,Calculation!$E$6:$J$1004,4,FALSE)</f>
        <v/>
      </c>
      <c r="C282" s="4" t="str">
        <f ca="1">VLOOKUP(A282,Calculation!$E$6:$J$1004,5,FALSE)</f>
        <v/>
      </c>
      <c r="D282" s="4" t="str">
        <f ca="1">VLOOKUP(A282,Calculation!$E$6:$J$1004,6,FALSE)</f>
        <v/>
      </c>
      <c r="E282" s="42" t="str">
        <f t="shared" ca="1" si="2"/>
        <v/>
      </c>
      <c r="G282" s="29" t="str">
        <f ca="1">VLOOKUP(A282,Calculation!$F$6:$J$1004,3,FALSE)</f>
        <v/>
      </c>
      <c r="H282" s="4" t="str">
        <f ca="1">VLOOKUP(A282,Calculation!$F$6:$J$1004,4,FALSE)</f>
        <v/>
      </c>
      <c r="I282" s="4" t="str">
        <f ca="1">VLOOKUP(A282,Calculation!$F$6:$J$1004,5,FALSE)</f>
        <v/>
      </c>
      <c r="J282" s="43" t="str">
        <f t="shared" ca="1" si="3"/>
        <v/>
      </c>
      <c r="L282" s="29" t="str">
        <f ca="1">VLOOKUP(A282,Calculation!$G$6:$S$1004,2,FALSE)</f>
        <v/>
      </c>
      <c r="M282" s="4" t="str">
        <f ca="1">IFERROR(VLOOKUP($L282,Calculation!$H$6:$S$1005,HLOOKUP(M$2,Calculation!$M$4:$S$5,2,FALSE)+5,FALSE),"")</f>
        <v/>
      </c>
      <c r="N282" s="4" t="str">
        <f ca="1">IFERROR(VLOOKUP($L282,Calculation!$H$6:$S$1005,HLOOKUP(N$2,Calculation!$M$4:$S$5,2,FALSE)+5,FALSE),"")</f>
        <v/>
      </c>
      <c r="O282" s="4" t="str">
        <f ca="1">IFERROR(VLOOKUP($L282,Calculation!$H$6:$S$1005,HLOOKUP(O$2,Calculation!$M$4:$S$5,2,FALSE)+5,FALSE),"")</f>
        <v/>
      </c>
      <c r="P282" s="4" t="str">
        <f ca="1">IFERROR(VLOOKUP($L282,Calculation!$H$6:$S$1005,HLOOKUP(P$2,Calculation!$M$4:$S$5,2,FALSE)+5,FALSE),"")</f>
        <v/>
      </c>
      <c r="Q282" s="4" t="str">
        <f ca="1">IFERROR(VLOOKUP($L282,Calculation!$H$6:$S$1005,HLOOKUP(Q$2,Calculation!$M$4:$S$5,2,FALSE)+5,FALSE),"")</f>
        <v/>
      </c>
      <c r="R282" s="27" t="str">
        <f ca="1">IFERROR(VLOOKUP($L282,Calculation!$H$6:$S$1005,HLOOKUP(R$2,Calculation!$M$4:$S$5,2,FALSE)+5,FALSE),"")</f>
        <v/>
      </c>
      <c r="S282" s="4" t="str">
        <f ca="1">IFERROR(VLOOKUP($L282,Calculation!$H$6:$S$1005,HLOOKUP(S$2,Calculation!$M$4:$S$5,2,FALSE)+5,FALSE),"")</f>
        <v/>
      </c>
      <c r="T282" s="29"/>
      <c r="U282" s="43" t="str">
        <f>IFERROR(VLOOKUP(T282,Calculation!$U$6:$V$11,2,FALSE),"")</f>
        <v/>
      </c>
    </row>
    <row r="283" spans="1:21" ht="14.25" customHeight="1" x14ac:dyDescent="0.3">
      <c r="A283" s="26" t="str">
        <f ca="1">IF(Calculation!T286&lt;=Calculation!$H$4,Calculation!T286,"")</f>
        <v/>
      </c>
      <c r="B283" s="4" t="str">
        <f ca="1">VLOOKUP(A283,Calculation!$E$6:$J$1004,4,FALSE)</f>
        <v/>
      </c>
      <c r="C283" s="4" t="str">
        <f ca="1">VLOOKUP(A283,Calculation!$E$6:$J$1004,5,FALSE)</f>
        <v/>
      </c>
      <c r="D283" s="4" t="str">
        <f ca="1">VLOOKUP(A283,Calculation!$E$6:$J$1004,6,FALSE)</f>
        <v/>
      </c>
      <c r="E283" s="42" t="str">
        <f t="shared" ca="1" si="2"/>
        <v/>
      </c>
      <c r="G283" s="29" t="str">
        <f ca="1">VLOOKUP(A283,Calculation!$F$6:$J$1004,3,FALSE)</f>
        <v/>
      </c>
      <c r="H283" s="4" t="str">
        <f ca="1">VLOOKUP(A283,Calculation!$F$6:$J$1004,4,FALSE)</f>
        <v/>
      </c>
      <c r="I283" s="4" t="str">
        <f ca="1">VLOOKUP(A283,Calculation!$F$6:$J$1004,5,FALSE)</f>
        <v/>
      </c>
      <c r="J283" s="43" t="str">
        <f t="shared" ca="1" si="3"/>
        <v/>
      </c>
      <c r="L283" s="29" t="str">
        <f ca="1">VLOOKUP(A283,Calculation!$G$6:$S$1004,2,FALSE)</f>
        <v/>
      </c>
      <c r="M283" s="4" t="str">
        <f ca="1">IFERROR(VLOOKUP($L283,Calculation!$H$6:$S$1005,HLOOKUP(M$2,Calculation!$M$4:$S$5,2,FALSE)+5,FALSE),"")</f>
        <v/>
      </c>
      <c r="N283" s="4" t="str">
        <f ca="1">IFERROR(VLOOKUP($L283,Calculation!$H$6:$S$1005,HLOOKUP(N$2,Calculation!$M$4:$S$5,2,FALSE)+5,FALSE),"")</f>
        <v/>
      </c>
      <c r="O283" s="4" t="str">
        <f ca="1">IFERROR(VLOOKUP($L283,Calculation!$H$6:$S$1005,HLOOKUP(O$2,Calculation!$M$4:$S$5,2,FALSE)+5,FALSE),"")</f>
        <v/>
      </c>
      <c r="P283" s="4" t="str">
        <f ca="1">IFERROR(VLOOKUP($L283,Calculation!$H$6:$S$1005,HLOOKUP(P$2,Calculation!$M$4:$S$5,2,FALSE)+5,FALSE),"")</f>
        <v/>
      </c>
      <c r="Q283" s="4" t="str">
        <f ca="1">IFERROR(VLOOKUP($L283,Calculation!$H$6:$S$1005,HLOOKUP(Q$2,Calculation!$M$4:$S$5,2,FALSE)+5,FALSE),"")</f>
        <v/>
      </c>
      <c r="R283" s="27" t="str">
        <f ca="1">IFERROR(VLOOKUP($L283,Calculation!$H$6:$S$1005,HLOOKUP(R$2,Calculation!$M$4:$S$5,2,FALSE)+5,FALSE),"")</f>
        <v/>
      </c>
      <c r="S283" s="4" t="str">
        <f ca="1">IFERROR(VLOOKUP($L283,Calculation!$H$6:$S$1005,HLOOKUP(S$2,Calculation!$M$4:$S$5,2,FALSE)+5,FALSE),"")</f>
        <v/>
      </c>
      <c r="T283" s="29"/>
      <c r="U283" s="43" t="str">
        <f>IFERROR(VLOOKUP(T283,Calculation!$U$6:$V$11,2,FALSE),"")</f>
        <v/>
      </c>
    </row>
    <row r="284" spans="1:21" ht="14.25" customHeight="1" x14ac:dyDescent="0.3">
      <c r="A284" s="26" t="str">
        <f ca="1">IF(Calculation!T287&lt;=Calculation!$H$4,Calculation!T287,"")</f>
        <v/>
      </c>
      <c r="B284" s="4" t="str">
        <f ca="1">VLOOKUP(A284,Calculation!$E$6:$J$1004,4,FALSE)</f>
        <v/>
      </c>
      <c r="C284" s="4" t="str">
        <f ca="1">VLOOKUP(A284,Calculation!$E$6:$J$1004,5,FALSE)</f>
        <v/>
      </c>
      <c r="D284" s="4" t="str">
        <f ca="1">VLOOKUP(A284,Calculation!$E$6:$J$1004,6,FALSE)</f>
        <v/>
      </c>
      <c r="E284" s="42" t="str">
        <f t="shared" ca="1" si="2"/>
        <v/>
      </c>
      <c r="G284" s="29" t="str">
        <f ca="1">VLOOKUP(A284,Calculation!$F$6:$J$1004,3,FALSE)</f>
        <v/>
      </c>
      <c r="H284" s="4" t="str">
        <f ca="1">VLOOKUP(A284,Calculation!$F$6:$J$1004,4,FALSE)</f>
        <v/>
      </c>
      <c r="I284" s="4" t="str">
        <f ca="1">VLOOKUP(A284,Calculation!$F$6:$J$1004,5,FALSE)</f>
        <v/>
      </c>
      <c r="J284" s="43" t="str">
        <f t="shared" ca="1" si="3"/>
        <v/>
      </c>
      <c r="L284" s="29" t="str">
        <f ca="1">VLOOKUP(A284,Calculation!$G$6:$S$1004,2,FALSE)</f>
        <v/>
      </c>
      <c r="M284" s="4" t="str">
        <f ca="1">IFERROR(VLOOKUP($L284,Calculation!$H$6:$S$1005,HLOOKUP(M$2,Calculation!$M$4:$S$5,2,FALSE)+5,FALSE),"")</f>
        <v/>
      </c>
      <c r="N284" s="4" t="str">
        <f ca="1">IFERROR(VLOOKUP($L284,Calculation!$H$6:$S$1005,HLOOKUP(N$2,Calculation!$M$4:$S$5,2,FALSE)+5,FALSE),"")</f>
        <v/>
      </c>
      <c r="O284" s="4" t="str">
        <f ca="1">IFERROR(VLOOKUP($L284,Calculation!$H$6:$S$1005,HLOOKUP(O$2,Calculation!$M$4:$S$5,2,FALSE)+5,FALSE),"")</f>
        <v/>
      </c>
      <c r="P284" s="4" t="str">
        <f ca="1">IFERROR(VLOOKUP($L284,Calculation!$H$6:$S$1005,HLOOKUP(P$2,Calculation!$M$4:$S$5,2,FALSE)+5,FALSE),"")</f>
        <v/>
      </c>
      <c r="Q284" s="4" t="str">
        <f ca="1">IFERROR(VLOOKUP($L284,Calculation!$H$6:$S$1005,HLOOKUP(Q$2,Calculation!$M$4:$S$5,2,FALSE)+5,FALSE),"")</f>
        <v/>
      </c>
      <c r="R284" s="27" t="str">
        <f ca="1">IFERROR(VLOOKUP($L284,Calculation!$H$6:$S$1005,HLOOKUP(R$2,Calculation!$M$4:$S$5,2,FALSE)+5,FALSE),"")</f>
        <v/>
      </c>
      <c r="S284" s="4" t="str">
        <f ca="1">IFERROR(VLOOKUP($L284,Calculation!$H$6:$S$1005,HLOOKUP(S$2,Calculation!$M$4:$S$5,2,FALSE)+5,FALSE),"")</f>
        <v/>
      </c>
      <c r="T284" s="29"/>
      <c r="U284" s="43" t="str">
        <f>IFERROR(VLOOKUP(T284,Calculation!$U$6:$V$11,2,FALSE),"")</f>
        <v/>
      </c>
    </row>
    <row r="285" spans="1:21" ht="14.25" customHeight="1" x14ac:dyDescent="0.3">
      <c r="A285" s="26" t="str">
        <f ca="1">IF(Calculation!T288&lt;=Calculation!$H$4,Calculation!T288,"")</f>
        <v/>
      </c>
      <c r="B285" s="4" t="str">
        <f ca="1">VLOOKUP(A285,Calculation!$E$6:$J$1004,4,FALSE)</f>
        <v/>
      </c>
      <c r="C285" s="4" t="str">
        <f ca="1">VLOOKUP(A285,Calculation!$E$6:$J$1004,5,FALSE)</f>
        <v/>
      </c>
      <c r="D285" s="4" t="str">
        <f ca="1">VLOOKUP(A285,Calculation!$E$6:$J$1004,6,FALSE)</f>
        <v/>
      </c>
      <c r="E285" s="42" t="str">
        <f t="shared" ca="1" si="2"/>
        <v/>
      </c>
      <c r="G285" s="29" t="str">
        <f ca="1">VLOOKUP(A285,Calculation!$F$6:$J$1004,3,FALSE)</f>
        <v/>
      </c>
      <c r="H285" s="4" t="str">
        <f ca="1">VLOOKUP(A285,Calculation!$F$6:$J$1004,4,FALSE)</f>
        <v/>
      </c>
      <c r="I285" s="4" t="str">
        <f ca="1">VLOOKUP(A285,Calculation!$F$6:$J$1004,5,FALSE)</f>
        <v/>
      </c>
      <c r="J285" s="43" t="str">
        <f t="shared" ca="1" si="3"/>
        <v/>
      </c>
      <c r="L285" s="29" t="str">
        <f ca="1">VLOOKUP(A285,Calculation!$G$6:$S$1004,2,FALSE)</f>
        <v/>
      </c>
      <c r="M285" s="4" t="str">
        <f ca="1">IFERROR(VLOOKUP($L285,Calculation!$H$6:$S$1005,HLOOKUP(M$2,Calculation!$M$4:$S$5,2,FALSE)+5,FALSE),"")</f>
        <v/>
      </c>
      <c r="N285" s="4" t="str">
        <f ca="1">IFERROR(VLOOKUP($L285,Calculation!$H$6:$S$1005,HLOOKUP(N$2,Calculation!$M$4:$S$5,2,FALSE)+5,FALSE),"")</f>
        <v/>
      </c>
      <c r="O285" s="4" t="str">
        <f ca="1">IFERROR(VLOOKUP($L285,Calculation!$H$6:$S$1005,HLOOKUP(O$2,Calculation!$M$4:$S$5,2,FALSE)+5,FALSE),"")</f>
        <v/>
      </c>
      <c r="P285" s="4" t="str">
        <f ca="1">IFERROR(VLOOKUP($L285,Calculation!$H$6:$S$1005,HLOOKUP(P$2,Calculation!$M$4:$S$5,2,FALSE)+5,FALSE),"")</f>
        <v/>
      </c>
      <c r="Q285" s="4" t="str">
        <f ca="1">IFERROR(VLOOKUP($L285,Calculation!$H$6:$S$1005,HLOOKUP(Q$2,Calculation!$M$4:$S$5,2,FALSE)+5,FALSE),"")</f>
        <v/>
      </c>
      <c r="R285" s="27" t="str">
        <f ca="1">IFERROR(VLOOKUP($L285,Calculation!$H$6:$S$1005,HLOOKUP(R$2,Calculation!$M$4:$S$5,2,FALSE)+5,FALSE),"")</f>
        <v/>
      </c>
      <c r="S285" s="4" t="str">
        <f ca="1">IFERROR(VLOOKUP($L285,Calculation!$H$6:$S$1005,HLOOKUP(S$2,Calculation!$M$4:$S$5,2,FALSE)+5,FALSE),"")</f>
        <v/>
      </c>
      <c r="T285" s="29"/>
      <c r="U285" s="43" t="str">
        <f>IFERROR(VLOOKUP(T285,Calculation!$U$6:$V$11,2,FALSE),"")</f>
        <v/>
      </c>
    </row>
    <row r="286" spans="1:21" ht="14.25" customHeight="1" x14ac:dyDescent="0.3">
      <c r="A286" s="26" t="str">
        <f ca="1">IF(Calculation!T289&lt;=Calculation!$H$4,Calculation!T289,"")</f>
        <v/>
      </c>
      <c r="B286" s="4" t="str">
        <f ca="1">VLOOKUP(A286,Calculation!$E$6:$J$1004,4,FALSE)</f>
        <v/>
      </c>
      <c r="C286" s="4" t="str">
        <f ca="1">VLOOKUP(A286,Calculation!$E$6:$J$1004,5,FALSE)</f>
        <v/>
      </c>
      <c r="D286" s="4" t="str">
        <f ca="1">VLOOKUP(A286,Calculation!$E$6:$J$1004,6,FALSE)</f>
        <v/>
      </c>
      <c r="E286" s="42" t="str">
        <f t="shared" ca="1" si="2"/>
        <v/>
      </c>
      <c r="G286" s="29" t="str">
        <f ca="1">VLOOKUP(A286,Calculation!$F$6:$J$1004,3,FALSE)</f>
        <v/>
      </c>
      <c r="H286" s="4" t="str">
        <f ca="1">VLOOKUP(A286,Calculation!$F$6:$J$1004,4,FALSE)</f>
        <v/>
      </c>
      <c r="I286" s="4" t="str">
        <f ca="1">VLOOKUP(A286,Calculation!$F$6:$J$1004,5,FALSE)</f>
        <v/>
      </c>
      <c r="J286" s="43" t="str">
        <f t="shared" ca="1" si="3"/>
        <v/>
      </c>
      <c r="L286" s="29" t="str">
        <f ca="1">VLOOKUP(A286,Calculation!$G$6:$S$1004,2,FALSE)</f>
        <v/>
      </c>
      <c r="M286" s="4" t="str">
        <f ca="1">IFERROR(VLOOKUP($L286,Calculation!$H$6:$S$1005,HLOOKUP(M$2,Calculation!$M$4:$S$5,2,FALSE)+5,FALSE),"")</f>
        <v/>
      </c>
      <c r="N286" s="4" t="str">
        <f ca="1">IFERROR(VLOOKUP($L286,Calculation!$H$6:$S$1005,HLOOKUP(N$2,Calculation!$M$4:$S$5,2,FALSE)+5,FALSE),"")</f>
        <v/>
      </c>
      <c r="O286" s="4" t="str">
        <f ca="1">IFERROR(VLOOKUP($L286,Calculation!$H$6:$S$1005,HLOOKUP(O$2,Calculation!$M$4:$S$5,2,FALSE)+5,FALSE),"")</f>
        <v/>
      </c>
      <c r="P286" s="4" t="str">
        <f ca="1">IFERROR(VLOOKUP($L286,Calculation!$H$6:$S$1005,HLOOKUP(P$2,Calculation!$M$4:$S$5,2,FALSE)+5,FALSE),"")</f>
        <v/>
      </c>
      <c r="Q286" s="4" t="str">
        <f ca="1">IFERROR(VLOOKUP($L286,Calculation!$H$6:$S$1005,HLOOKUP(Q$2,Calculation!$M$4:$S$5,2,FALSE)+5,FALSE),"")</f>
        <v/>
      </c>
      <c r="R286" s="27" t="str">
        <f ca="1">IFERROR(VLOOKUP($L286,Calculation!$H$6:$S$1005,HLOOKUP(R$2,Calculation!$M$4:$S$5,2,FALSE)+5,FALSE),"")</f>
        <v/>
      </c>
      <c r="S286" s="4" t="str">
        <f ca="1">IFERROR(VLOOKUP($L286,Calculation!$H$6:$S$1005,HLOOKUP(S$2,Calculation!$M$4:$S$5,2,FALSE)+5,FALSE),"")</f>
        <v/>
      </c>
      <c r="T286" s="29"/>
      <c r="U286" s="43" t="str">
        <f>IFERROR(VLOOKUP(T286,Calculation!$U$6:$V$11,2,FALSE),"")</f>
        <v/>
      </c>
    </row>
    <row r="287" spans="1:21" ht="14.25" customHeight="1" x14ac:dyDescent="0.3">
      <c r="A287" s="26" t="str">
        <f ca="1">IF(Calculation!T290&lt;=Calculation!$H$4,Calculation!T290,"")</f>
        <v/>
      </c>
      <c r="B287" s="4" t="str">
        <f ca="1">VLOOKUP(A287,Calculation!$E$6:$J$1004,4,FALSE)</f>
        <v/>
      </c>
      <c r="C287" s="4" t="str">
        <f ca="1">VLOOKUP(A287,Calculation!$E$6:$J$1004,5,FALSE)</f>
        <v/>
      </c>
      <c r="D287" s="4" t="str">
        <f ca="1">VLOOKUP(A287,Calculation!$E$6:$J$1004,6,FALSE)</f>
        <v/>
      </c>
      <c r="E287" s="42" t="str">
        <f t="shared" ca="1" si="2"/>
        <v/>
      </c>
      <c r="G287" s="29" t="str">
        <f ca="1">VLOOKUP(A287,Calculation!$F$6:$J$1004,3,FALSE)</f>
        <v/>
      </c>
      <c r="H287" s="4" t="str">
        <f ca="1">VLOOKUP(A287,Calculation!$F$6:$J$1004,4,FALSE)</f>
        <v/>
      </c>
      <c r="I287" s="4" t="str">
        <f ca="1">VLOOKUP(A287,Calculation!$F$6:$J$1004,5,FALSE)</f>
        <v/>
      </c>
      <c r="J287" s="43" t="str">
        <f t="shared" ca="1" si="3"/>
        <v/>
      </c>
      <c r="L287" s="29" t="str">
        <f ca="1">VLOOKUP(A287,Calculation!$G$6:$S$1004,2,FALSE)</f>
        <v/>
      </c>
      <c r="M287" s="4" t="str">
        <f ca="1">IFERROR(VLOOKUP($L287,Calculation!$H$6:$S$1005,HLOOKUP(M$2,Calculation!$M$4:$S$5,2,FALSE)+5,FALSE),"")</f>
        <v/>
      </c>
      <c r="N287" s="4" t="str">
        <f ca="1">IFERROR(VLOOKUP($L287,Calculation!$H$6:$S$1005,HLOOKUP(N$2,Calculation!$M$4:$S$5,2,FALSE)+5,FALSE),"")</f>
        <v/>
      </c>
      <c r="O287" s="4" t="str">
        <f ca="1">IFERROR(VLOOKUP($L287,Calculation!$H$6:$S$1005,HLOOKUP(O$2,Calculation!$M$4:$S$5,2,FALSE)+5,FALSE),"")</f>
        <v/>
      </c>
      <c r="P287" s="4" t="str">
        <f ca="1">IFERROR(VLOOKUP($L287,Calculation!$H$6:$S$1005,HLOOKUP(P$2,Calculation!$M$4:$S$5,2,FALSE)+5,FALSE),"")</f>
        <v/>
      </c>
      <c r="Q287" s="4" t="str">
        <f ca="1">IFERROR(VLOOKUP($L287,Calculation!$H$6:$S$1005,HLOOKUP(Q$2,Calculation!$M$4:$S$5,2,FALSE)+5,FALSE),"")</f>
        <v/>
      </c>
      <c r="R287" s="27" t="str">
        <f ca="1">IFERROR(VLOOKUP($L287,Calculation!$H$6:$S$1005,HLOOKUP(R$2,Calculation!$M$4:$S$5,2,FALSE)+5,FALSE),"")</f>
        <v/>
      </c>
      <c r="S287" s="4" t="str">
        <f ca="1">IFERROR(VLOOKUP($L287,Calculation!$H$6:$S$1005,HLOOKUP(S$2,Calculation!$M$4:$S$5,2,FALSE)+5,FALSE),"")</f>
        <v/>
      </c>
      <c r="T287" s="29"/>
      <c r="U287" s="43" t="str">
        <f>IFERROR(VLOOKUP(T287,Calculation!$U$6:$V$11,2,FALSE),"")</f>
        <v/>
      </c>
    </row>
    <row r="288" spans="1:21" ht="14.25" customHeight="1" x14ac:dyDescent="0.3">
      <c r="A288" s="26" t="str">
        <f ca="1">IF(Calculation!T291&lt;=Calculation!$H$4,Calculation!T291,"")</f>
        <v/>
      </c>
      <c r="B288" s="4" t="str">
        <f ca="1">VLOOKUP(A288,Calculation!$E$6:$J$1004,4,FALSE)</f>
        <v/>
      </c>
      <c r="C288" s="4" t="str">
        <f ca="1">VLOOKUP(A288,Calculation!$E$6:$J$1004,5,FALSE)</f>
        <v/>
      </c>
      <c r="D288" s="4" t="str">
        <f ca="1">VLOOKUP(A288,Calculation!$E$6:$J$1004,6,FALSE)</f>
        <v/>
      </c>
      <c r="E288" s="42" t="str">
        <f t="shared" ca="1" si="2"/>
        <v/>
      </c>
      <c r="G288" s="29" t="str">
        <f ca="1">VLOOKUP(A288,Calculation!$F$6:$J$1004,3,FALSE)</f>
        <v/>
      </c>
      <c r="H288" s="4" t="str">
        <f ca="1">VLOOKUP(A288,Calculation!$F$6:$J$1004,4,FALSE)</f>
        <v/>
      </c>
      <c r="I288" s="4" t="str">
        <f ca="1">VLOOKUP(A288,Calculation!$F$6:$J$1004,5,FALSE)</f>
        <v/>
      </c>
      <c r="J288" s="43" t="str">
        <f t="shared" ca="1" si="3"/>
        <v/>
      </c>
      <c r="L288" s="29" t="str">
        <f ca="1">VLOOKUP(A288,Calculation!$G$6:$S$1004,2,FALSE)</f>
        <v/>
      </c>
      <c r="M288" s="4" t="str">
        <f ca="1">IFERROR(VLOOKUP($L288,Calculation!$H$6:$S$1005,HLOOKUP(M$2,Calculation!$M$4:$S$5,2,FALSE)+5,FALSE),"")</f>
        <v/>
      </c>
      <c r="N288" s="4" t="str">
        <f ca="1">IFERROR(VLOOKUP($L288,Calculation!$H$6:$S$1005,HLOOKUP(N$2,Calculation!$M$4:$S$5,2,FALSE)+5,FALSE),"")</f>
        <v/>
      </c>
      <c r="O288" s="4" t="str">
        <f ca="1">IFERROR(VLOOKUP($L288,Calculation!$H$6:$S$1005,HLOOKUP(O$2,Calculation!$M$4:$S$5,2,FALSE)+5,FALSE),"")</f>
        <v/>
      </c>
      <c r="P288" s="4" t="str">
        <f ca="1">IFERROR(VLOOKUP($L288,Calculation!$H$6:$S$1005,HLOOKUP(P$2,Calculation!$M$4:$S$5,2,FALSE)+5,FALSE),"")</f>
        <v/>
      </c>
      <c r="Q288" s="4" t="str">
        <f ca="1">IFERROR(VLOOKUP($L288,Calculation!$H$6:$S$1005,HLOOKUP(Q$2,Calculation!$M$4:$S$5,2,FALSE)+5,FALSE),"")</f>
        <v/>
      </c>
      <c r="R288" s="27" t="str">
        <f ca="1">IFERROR(VLOOKUP($L288,Calculation!$H$6:$S$1005,HLOOKUP(R$2,Calculation!$M$4:$S$5,2,FALSE)+5,FALSE),"")</f>
        <v/>
      </c>
      <c r="S288" s="4" t="str">
        <f ca="1">IFERROR(VLOOKUP($L288,Calculation!$H$6:$S$1005,HLOOKUP(S$2,Calculation!$M$4:$S$5,2,FALSE)+5,FALSE),"")</f>
        <v/>
      </c>
      <c r="T288" s="29"/>
      <c r="U288" s="43" t="str">
        <f>IFERROR(VLOOKUP(T288,Calculation!$U$6:$V$11,2,FALSE),"")</f>
        <v/>
      </c>
    </row>
    <row r="289" spans="1:21" ht="14.25" customHeight="1" x14ac:dyDescent="0.3">
      <c r="A289" s="26" t="str">
        <f ca="1">IF(Calculation!T292&lt;=Calculation!$H$4,Calculation!T292,"")</f>
        <v/>
      </c>
      <c r="B289" s="4" t="str">
        <f ca="1">VLOOKUP(A289,Calculation!$E$6:$J$1004,4,FALSE)</f>
        <v/>
      </c>
      <c r="C289" s="4" t="str">
        <f ca="1">VLOOKUP(A289,Calculation!$E$6:$J$1004,5,FALSE)</f>
        <v/>
      </c>
      <c r="D289" s="4" t="str">
        <f ca="1">VLOOKUP(A289,Calculation!$E$6:$J$1004,6,FALSE)</f>
        <v/>
      </c>
      <c r="E289" s="42" t="str">
        <f t="shared" ca="1" si="2"/>
        <v/>
      </c>
      <c r="G289" s="29" t="str">
        <f ca="1">VLOOKUP(A289,Calculation!$F$6:$J$1004,3,FALSE)</f>
        <v/>
      </c>
      <c r="H289" s="4" t="str">
        <f ca="1">VLOOKUP(A289,Calculation!$F$6:$J$1004,4,FALSE)</f>
        <v/>
      </c>
      <c r="I289" s="4" t="str">
        <f ca="1">VLOOKUP(A289,Calculation!$F$6:$J$1004,5,FALSE)</f>
        <v/>
      </c>
      <c r="J289" s="43" t="str">
        <f t="shared" ca="1" si="3"/>
        <v/>
      </c>
      <c r="L289" s="29" t="str">
        <f ca="1">VLOOKUP(A289,Calculation!$G$6:$S$1004,2,FALSE)</f>
        <v/>
      </c>
      <c r="M289" s="4" t="str">
        <f ca="1">IFERROR(VLOOKUP($L289,Calculation!$H$6:$S$1005,HLOOKUP(M$2,Calculation!$M$4:$S$5,2,FALSE)+5,FALSE),"")</f>
        <v/>
      </c>
      <c r="N289" s="4" t="str">
        <f ca="1">IFERROR(VLOOKUP($L289,Calculation!$H$6:$S$1005,HLOOKUP(N$2,Calculation!$M$4:$S$5,2,FALSE)+5,FALSE),"")</f>
        <v/>
      </c>
      <c r="O289" s="4" t="str">
        <f ca="1">IFERROR(VLOOKUP($L289,Calculation!$H$6:$S$1005,HLOOKUP(O$2,Calculation!$M$4:$S$5,2,FALSE)+5,FALSE),"")</f>
        <v/>
      </c>
      <c r="P289" s="4" t="str">
        <f ca="1">IFERROR(VLOOKUP($L289,Calculation!$H$6:$S$1005,HLOOKUP(P$2,Calculation!$M$4:$S$5,2,FALSE)+5,FALSE),"")</f>
        <v/>
      </c>
      <c r="Q289" s="4" t="str">
        <f ca="1">IFERROR(VLOOKUP($L289,Calculation!$H$6:$S$1005,HLOOKUP(Q$2,Calculation!$M$4:$S$5,2,FALSE)+5,FALSE),"")</f>
        <v/>
      </c>
      <c r="R289" s="27" t="str">
        <f ca="1">IFERROR(VLOOKUP($L289,Calculation!$H$6:$S$1005,HLOOKUP(R$2,Calculation!$M$4:$S$5,2,FALSE)+5,FALSE),"")</f>
        <v/>
      </c>
      <c r="S289" s="4" t="str">
        <f ca="1">IFERROR(VLOOKUP($L289,Calculation!$H$6:$S$1005,HLOOKUP(S$2,Calculation!$M$4:$S$5,2,FALSE)+5,FALSE),"")</f>
        <v/>
      </c>
      <c r="T289" s="29"/>
      <c r="U289" s="43" t="str">
        <f>IFERROR(VLOOKUP(T289,Calculation!$U$6:$V$11,2,FALSE),"")</f>
        <v/>
      </c>
    </row>
    <row r="290" spans="1:21" ht="14.25" customHeight="1" x14ac:dyDescent="0.3">
      <c r="A290" s="26" t="str">
        <f ca="1">IF(Calculation!T293&lt;=Calculation!$H$4,Calculation!T293,"")</f>
        <v/>
      </c>
      <c r="B290" s="4" t="str">
        <f ca="1">VLOOKUP(A290,Calculation!$E$6:$J$1004,4,FALSE)</f>
        <v/>
      </c>
      <c r="C290" s="4" t="str">
        <f ca="1">VLOOKUP(A290,Calculation!$E$6:$J$1004,5,FALSE)</f>
        <v/>
      </c>
      <c r="D290" s="4" t="str">
        <f ca="1">VLOOKUP(A290,Calculation!$E$6:$J$1004,6,FALSE)</f>
        <v/>
      </c>
      <c r="E290" s="42" t="str">
        <f t="shared" ca="1" si="2"/>
        <v/>
      </c>
      <c r="G290" s="29" t="str">
        <f ca="1">VLOOKUP(A290,Calculation!$F$6:$J$1004,3,FALSE)</f>
        <v/>
      </c>
      <c r="H290" s="4" t="str">
        <f ca="1">VLOOKUP(A290,Calculation!$F$6:$J$1004,4,FALSE)</f>
        <v/>
      </c>
      <c r="I290" s="4" t="str">
        <f ca="1">VLOOKUP(A290,Calculation!$F$6:$J$1004,5,FALSE)</f>
        <v/>
      </c>
      <c r="J290" s="43" t="str">
        <f t="shared" ca="1" si="3"/>
        <v/>
      </c>
      <c r="L290" s="29" t="str">
        <f ca="1">VLOOKUP(A290,Calculation!$G$6:$S$1004,2,FALSE)</f>
        <v/>
      </c>
      <c r="M290" s="4" t="str">
        <f ca="1">IFERROR(VLOOKUP($L290,Calculation!$H$6:$S$1005,HLOOKUP(M$2,Calculation!$M$4:$S$5,2,FALSE)+5,FALSE),"")</f>
        <v/>
      </c>
      <c r="N290" s="4" t="str">
        <f ca="1">IFERROR(VLOOKUP($L290,Calculation!$H$6:$S$1005,HLOOKUP(N$2,Calculation!$M$4:$S$5,2,FALSE)+5,FALSE),"")</f>
        <v/>
      </c>
      <c r="O290" s="4" t="str">
        <f ca="1">IFERROR(VLOOKUP($L290,Calculation!$H$6:$S$1005,HLOOKUP(O$2,Calculation!$M$4:$S$5,2,FALSE)+5,FALSE),"")</f>
        <v/>
      </c>
      <c r="P290" s="4" t="str">
        <f ca="1">IFERROR(VLOOKUP($L290,Calculation!$H$6:$S$1005,HLOOKUP(P$2,Calculation!$M$4:$S$5,2,FALSE)+5,FALSE),"")</f>
        <v/>
      </c>
      <c r="Q290" s="4" t="str">
        <f ca="1">IFERROR(VLOOKUP($L290,Calculation!$H$6:$S$1005,HLOOKUP(Q$2,Calculation!$M$4:$S$5,2,FALSE)+5,FALSE),"")</f>
        <v/>
      </c>
      <c r="R290" s="27" t="str">
        <f ca="1">IFERROR(VLOOKUP($L290,Calculation!$H$6:$S$1005,HLOOKUP(R$2,Calculation!$M$4:$S$5,2,FALSE)+5,FALSE),"")</f>
        <v/>
      </c>
      <c r="S290" s="4" t="str">
        <f ca="1">IFERROR(VLOOKUP($L290,Calculation!$H$6:$S$1005,HLOOKUP(S$2,Calculation!$M$4:$S$5,2,FALSE)+5,FALSE),"")</f>
        <v/>
      </c>
      <c r="T290" s="29"/>
      <c r="U290" s="43" t="str">
        <f>IFERROR(VLOOKUP(T290,Calculation!$U$6:$V$11,2,FALSE),"")</f>
        <v/>
      </c>
    </row>
    <row r="291" spans="1:21" ht="14.25" customHeight="1" x14ac:dyDescent="0.3">
      <c r="A291" s="26" t="str">
        <f ca="1">IF(Calculation!T294&lt;=Calculation!$H$4,Calculation!T294,"")</f>
        <v/>
      </c>
      <c r="B291" s="4" t="str">
        <f ca="1">VLOOKUP(A291,Calculation!$E$6:$J$1004,4,FALSE)</f>
        <v/>
      </c>
      <c r="C291" s="4" t="str">
        <f ca="1">VLOOKUP(A291,Calculation!$E$6:$J$1004,5,FALSE)</f>
        <v/>
      </c>
      <c r="D291" s="4" t="str">
        <f ca="1">VLOOKUP(A291,Calculation!$E$6:$J$1004,6,FALSE)</f>
        <v/>
      </c>
      <c r="E291" s="42" t="str">
        <f t="shared" ca="1" si="2"/>
        <v/>
      </c>
      <c r="G291" s="29" t="str">
        <f ca="1">VLOOKUP(A291,Calculation!$F$6:$J$1004,3,FALSE)</f>
        <v/>
      </c>
      <c r="H291" s="4" t="str">
        <f ca="1">VLOOKUP(A291,Calculation!$F$6:$J$1004,4,FALSE)</f>
        <v/>
      </c>
      <c r="I291" s="4" t="str">
        <f ca="1">VLOOKUP(A291,Calculation!$F$6:$J$1004,5,FALSE)</f>
        <v/>
      </c>
      <c r="J291" s="43" t="str">
        <f t="shared" ca="1" si="3"/>
        <v/>
      </c>
      <c r="L291" s="29" t="str">
        <f ca="1">VLOOKUP(A291,Calculation!$G$6:$S$1004,2,FALSE)</f>
        <v/>
      </c>
      <c r="M291" s="4" t="str">
        <f ca="1">IFERROR(VLOOKUP($L291,Calculation!$H$6:$S$1005,HLOOKUP(M$2,Calculation!$M$4:$S$5,2,FALSE)+5,FALSE),"")</f>
        <v/>
      </c>
      <c r="N291" s="4" t="str">
        <f ca="1">IFERROR(VLOOKUP($L291,Calculation!$H$6:$S$1005,HLOOKUP(N$2,Calculation!$M$4:$S$5,2,FALSE)+5,FALSE),"")</f>
        <v/>
      </c>
      <c r="O291" s="4" t="str">
        <f ca="1">IFERROR(VLOOKUP($L291,Calculation!$H$6:$S$1005,HLOOKUP(O$2,Calculation!$M$4:$S$5,2,FALSE)+5,FALSE),"")</f>
        <v/>
      </c>
      <c r="P291" s="4" t="str">
        <f ca="1">IFERROR(VLOOKUP($L291,Calculation!$H$6:$S$1005,HLOOKUP(P$2,Calculation!$M$4:$S$5,2,FALSE)+5,FALSE),"")</f>
        <v/>
      </c>
      <c r="Q291" s="4" t="str">
        <f ca="1">IFERROR(VLOOKUP($L291,Calculation!$H$6:$S$1005,HLOOKUP(Q$2,Calculation!$M$4:$S$5,2,FALSE)+5,FALSE),"")</f>
        <v/>
      </c>
      <c r="R291" s="27" t="str">
        <f ca="1">IFERROR(VLOOKUP($L291,Calculation!$H$6:$S$1005,HLOOKUP(R$2,Calculation!$M$4:$S$5,2,FALSE)+5,FALSE),"")</f>
        <v/>
      </c>
      <c r="S291" s="4" t="str">
        <f ca="1">IFERROR(VLOOKUP($L291,Calculation!$H$6:$S$1005,HLOOKUP(S$2,Calculation!$M$4:$S$5,2,FALSE)+5,FALSE),"")</f>
        <v/>
      </c>
      <c r="T291" s="29"/>
      <c r="U291" s="43" t="str">
        <f>IFERROR(VLOOKUP(T291,Calculation!$U$6:$V$11,2,FALSE),"")</f>
        <v/>
      </c>
    </row>
    <row r="292" spans="1:21" ht="14.25" customHeight="1" x14ac:dyDescent="0.3">
      <c r="A292" s="26" t="str">
        <f ca="1">IF(Calculation!T295&lt;=Calculation!$H$4,Calculation!T295,"")</f>
        <v/>
      </c>
      <c r="B292" s="4" t="str">
        <f ca="1">VLOOKUP(A292,Calculation!$E$6:$J$1004,4,FALSE)</f>
        <v/>
      </c>
      <c r="C292" s="4" t="str">
        <f ca="1">VLOOKUP(A292,Calculation!$E$6:$J$1004,5,FALSE)</f>
        <v/>
      </c>
      <c r="D292" s="4" t="str">
        <f ca="1">VLOOKUP(A292,Calculation!$E$6:$J$1004,6,FALSE)</f>
        <v/>
      </c>
      <c r="E292" s="42" t="str">
        <f t="shared" ca="1" si="2"/>
        <v/>
      </c>
      <c r="G292" s="29" t="str">
        <f ca="1">VLOOKUP(A292,Calculation!$F$6:$J$1004,3,FALSE)</f>
        <v/>
      </c>
      <c r="H292" s="4" t="str">
        <f ca="1">VLOOKUP(A292,Calculation!$F$6:$J$1004,4,FALSE)</f>
        <v/>
      </c>
      <c r="I292" s="4" t="str">
        <f ca="1">VLOOKUP(A292,Calculation!$F$6:$J$1004,5,FALSE)</f>
        <v/>
      </c>
      <c r="J292" s="43" t="str">
        <f t="shared" ca="1" si="3"/>
        <v/>
      </c>
      <c r="L292" s="29" t="str">
        <f ca="1">VLOOKUP(A292,Calculation!$G$6:$S$1004,2,FALSE)</f>
        <v/>
      </c>
      <c r="M292" s="4" t="str">
        <f ca="1">IFERROR(VLOOKUP($L292,Calculation!$H$6:$S$1005,HLOOKUP(M$2,Calculation!$M$4:$S$5,2,FALSE)+5,FALSE),"")</f>
        <v/>
      </c>
      <c r="N292" s="4" t="str">
        <f ca="1">IFERROR(VLOOKUP($L292,Calculation!$H$6:$S$1005,HLOOKUP(N$2,Calculation!$M$4:$S$5,2,FALSE)+5,FALSE),"")</f>
        <v/>
      </c>
      <c r="O292" s="4" t="str">
        <f ca="1">IFERROR(VLOOKUP($L292,Calculation!$H$6:$S$1005,HLOOKUP(O$2,Calculation!$M$4:$S$5,2,FALSE)+5,FALSE),"")</f>
        <v/>
      </c>
      <c r="P292" s="4" t="str">
        <f ca="1">IFERROR(VLOOKUP($L292,Calculation!$H$6:$S$1005,HLOOKUP(P$2,Calculation!$M$4:$S$5,2,FALSE)+5,FALSE),"")</f>
        <v/>
      </c>
      <c r="Q292" s="4" t="str">
        <f ca="1">IFERROR(VLOOKUP($L292,Calculation!$H$6:$S$1005,HLOOKUP(Q$2,Calculation!$M$4:$S$5,2,FALSE)+5,FALSE),"")</f>
        <v/>
      </c>
      <c r="R292" s="27" t="str">
        <f ca="1">IFERROR(VLOOKUP($L292,Calculation!$H$6:$S$1005,HLOOKUP(R$2,Calculation!$M$4:$S$5,2,FALSE)+5,FALSE),"")</f>
        <v/>
      </c>
      <c r="S292" s="4" t="str">
        <f ca="1">IFERROR(VLOOKUP($L292,Calculation!$H$6:$S$1005,HLOOKUP(S$2,Calculation!$M$4:$S$5,2,FALSE)+5,FALSE),"")</f>
        <v/>
      </c>
      <c r="T292" s="29"/>
      <c r="U292" s="43" t="str">
        <f>IFERROR(VLOOKUP(T292,Calculation!$U$6:$V$11,2,FALSE),"")</f>
        <v/>
      </c>
    </row>
    <row r="293" spans="1:21" ht="14.25" customHeight="1" x14ac:dyDescent="0.3">
      <c r="A293" s="26" t="str">
        <f ca="1">IF(Calculation!T296&lt;=Calculation!$H$4,Calculation!T296,"")</f>
        <v/>
      </c>
      <c r="B293" s="4" t="str">
        <f ca="1">VLOOKUP(A293,Calculation!$E$6:$J$1004,4,FALSE)</f>
        <v/>
      </c>
      <c r="C293" s="4" t="str">
        <f ca="1">VLOOKUP(A293,Calculation!$E$6:$J$1004,5,FALSE)</f>
        <v/>
      </c>
      <c r="D293" s="4" t="str">
        <f ca="1">VLOOKUP(A293,Calculation!$E$6:$J$1004,6,FALSE)</f>
        <v/>
      </c>
      <c r="E293" s="42" t="str">
        <f t="shared" ca="1" si="2"/>
        <v/>
      </c>
      <c r="G293" s="29" t="str">
        <f ca="1">VLOOKUP(A293,Calculation!$F$6:$J$1004,3,FALSE)</f>
        <v/>
      </c>
      <c r="H293" s="4" t="str">
        <f ca="1">VLOOKUP(A293,Calculation!$F$6:$J$1004,4,FALSE)</f>
        <v/>
      </c>
      <c r="I293" s="4" t="str">
        <f ca="1">VLOOKUP(A293,Calculation!$F$6:$J$1004,5,FALSE)</f>
        <v/>
      </c>
      <c r="J293" s="43" t="str">
        <f t="shared" ca="1" si="3"/>
        <v/>
      </c>
      <c r="L293" s="29" t="str">
        <f ca="1">VLOOKUP(A293,Calculation!$G$6:$S$1004,2,FALSE)</f>
        <v/>
      </c>
      <c r="M293" s="4" t="str">
        <f ca="1">IFERROR(VLOOKUP($L293,Calculation!$H$6:$S$1005,HLOOKUP(M$2,Calculation!$M$4:$S$5,2,FALSE)+5,FALSE),"")</f>
        <v/>
      </c>
      <c r="N293" s="4" t="str">
        <f ca="1">IFERROR(VLOOKUP($L293,Calculation!$H$6:$S$1005,HLOOKUP(N$2,Calculation!$M$4:$S$5,2,FALSE)+5,FALSE),"")</f>
        <v/>
      </c>
      <c r="O293" s="4" t="str">
        <f ca="1">IFERROR(VLOOKUP($L293,Calculation!$H$6:$S$1005,HLOOKUP(O$2,Calculation!$M$4:$S$5,2,FALSE)+5,FALSE),"")</f>
        <v/>
      </c>
      <c r="P293" s="4" t="str">
        <f ca="1">IFERROR(VLOOKUP($L293,Calculation!$H$6:$S$1005,HLOOKUP(P$2,Calculation!$M$4:$S$5,2,FALSE)+5,FALSE),"")</f>
        <v/>
      </c>
      <c r="Q293" s="4" t="str">
        <f ca="1">IFERROR(VLOOKUP($L293,Calculation!$H$6:$S$1005,HLOOKUP(Q$2,Calculation!$M$4:$S$5,2,FALSE)+5,FALSE),"")</f>
        <v/>
      </c>
      <c r="R293" s="27" t="str">
        <f ca="1">IFERROR(VLOOKUP($L293,Calculation!$H$6:$S$1005,HLOOKUP(R$2,Calculation!$M$4:$S$5,2,FALSE)+5,FALSE),"")</f>
        <v/>
      </c>
      <c r="S293" s="4" t="str">
        <f ca="1">IFERROR(VLOOKUP($L293,Calculation!$H$6:$S$1005,HLOOKUP(S$2,Calculation!$M$4:$S$5,2,FALSE)+5,FALSE),"")</f>
        <v/>
      </c>
      <c r="T293" s="29"/>
      <c r="U293" s="43" t="str">
        <f>IFERROR(VLOOKUP(T293,Calculation!$U$6:$V$11,2,FALSE),"")</f>
        <v/>
      </c>
    </row>
    <row r="294" spans="1:21" ht="14.25" customHeight="1" x14ac:dyDescent="0.3">
      <c r="A294" s="26" t="str">
        <f ca="1">IF(Calculation!T297&lt;=Calculation!$H$4,Calculation!T297,"")</f>
        <v/>
      </c>
      <c r="B294" s="4" t="str">
        <f ca="1">VLOOKUP(A294,Calculation!$E$6:$J$1004,4,FALSE)</f>
        <v/>
      </c>
      <c r="C294" s="4" t="str">
        <f ca="1">VLOOKUP(A294,Calculation!$E$6:$J$1004,5,FALSE)</f>
        <v/>
      </c>
      <c r="D294" s="4" t="str">
        <f ca="1">VLOOKUP(A294,Calculation!$E$6:$J$1004,6,FALSE)</f>
        <v/>
      </c>
      <c r="E294" s="42" t="str">
        <f t="shared" ca="1" si="2"/>
        <v/>
      </c>
      <c r="G294" s="29" t="str">
        <f ca="1">VLOOKUP(A294,Calculation!$F$6:$J$1004,3,FALSE)</f>
        <v/>
      </c>
      <c r="H294" s="4" t="str">
        <f ca="1">VLOOKUP(A294,Calculation!$F$6:$J$1004,4,FALSE)</f>
        <v/>
      </c>
      <c r="I294" s="4" t="str">
        <f ca="1">VLOOKUP(A294,Calculation!$F$6:$J$1004,5,FALSE)</f>
        <v/>
      </c>
      <c r="J294" s="43" t="str">
        <f t="shared" ca="1" si="3"/>
        <v/>
      </c>
      <c r="L294" s="29" t="str">
        <f ca="1">VLOOKUP(A294,Calculation!$G$6:$S$1004,2,FALSE)</f>
        <v/>
      </c>
      <c r="M294" s="4" t="str">
        <f ca="1">IFERROR(VLOOKUP($L294,Calculation!$H$6:$S$1005,HLOOKUP(M$2,Calculation!$M$4:$S$5,2,FALSE)+5,FALSE),"")</f>
        <v/>
      </c>
      <c r="N294" s="4" t="str">
        <f ca="1">IFERROR(VLOOKUP($L294,Calculation!$H$6:$S$1005,HLOOKUP(N$2,Calculation!$M$4:$S$5,2,FALSE)+5,FALSE),"")</f>
        <v/>
      </c>
      <c r="O294" s="4" t="str">
        <f ca="1">IFERROR(VLOOKUP($L294,Calculation!$H$6:$S$1005,HLOOKUP(O$2,Calculation!$M$4:$S$5,2,FALSE)+5,FALSE),"")</f>
        <v/>
      </c>
      <c r="P294" s="4" t="str">
        <f ca="1">IFERROR(VLOOKUP($L294,Calculation!$H$6:$S$1005,HLOOKUP(P$2,Calculation!$M$4:$S$5,2,FALSE)+5,FALSE),"")</f>
        <v/>
      </c>
      <c r="Q294" s="4" t="str">
        <f ca="1">IFERROR(VLOOKUP($L294,Calculation!$H$6:$S$1005,HLOOKUP(Q$2,Calculation!$M$4:$S$5,2,FALSE)+5,FALSE),"")</f>
        <v/>
      </c>
      <c r="R294" s="27" t="str">
        <f ca="1">IFERROR(VLOOKUP($L294,Calculation!$H$6:$S$1005,HLOOKUP(R$2,Calculation!$M$4:$S$5,2,FALSE)+5,FALSE),"")</f>
        <v/>
      </c>
      <c r="S294" s="4" t="str">
        <f ca="1">IFERROR(VLOOKUP($L294,Calculation!$H$6:$S$1005,HLOOKUP(S$2,Calculation!$M$4:$S$5,2,FALSE)+5,FALSE),"")</f>
        <v/>
      </c>
      <c r="T294" s="29"/>
      <c r="U294" s="43" t="str">
        <f>IFERROR(VLOOKUP(T294,Calculation!$U$6:$V$11,2,FALSE),"")</f>
        <v/>
      </c>
    </row>
    <row r="295" spans="1:21" ht="14.25" customHeight="1" x14ac:dyDescent="0.3">
      <c r="A295" s="26" t="str">
        <f ca="1">IF(Calculation!T298&lt;=Calculation!$H$4,Calculation!T298,"")</f>
        <v/>
      </c>
      <c r="B295" s="4" t="str">
        <f ca="1">VLOOKUP(A295,Calculation!$E$6:$J$1004,4,FALSE)</f>
        <v/>
      </c>
      <c r="C295" s="4" t="str">
        <f ca="1">VLOOKUP(A295,Calculation!$E$6:$J$1004,5,FALSE)</f>
        <v/>
      </c>
      <c r="D295" s="4" t="str">
        <f ca="1">VLOOKUP(A295,Calculation!$E$6:$J$1004,6,FALSE)</f>
        <v/>
      </c>
      <c r="E295" s="42" t="str">
        <f t="shared" ca="1" si="2"/>
        <v/>
      </c>
      <c r="G295" s="29" t="str">
        <f ca="1">VLOOKUP(A295,Calculation!$F$6:$J$1004,3,FALSE)</f>
        <v/>
      </c>
      <c r="H295" s="4" t="str">
        <f ca="1">VLOOKUP(A295,Calculation!$F$6:$J$1004,4,FALSE)</f>
        <v/>
      </c>
      <c r="I295" s="4" t="str">
        <f ca="1">VLOOKUP(A295,Calculation!$F$6:$J$1004,5,FALSE)</f>
        <v/>
      </c>
      <c r="J295" s="43" t="str">
        <f t="shared" ca="1" si="3"/>
        <v/>
      </c>
      <c r="L295" s="29" t="str">
        <f ca="1">VLOOKUP(A295,Calculation!$G$6:$S$1004,2,FALSE)</f>
        <v/>
      </c>
      <c r="M295" s="4" t="str">
        <f ca="1">IFERROR(VLOOKUP($L295,Calculation!$H$6:$S$1005,HLOOKUP(M$2,Calculation!$M$4:$S$5,2,FALSE)+5,FALSE),"")</f>
        <v/>
      </c>
      <c r="N295" s="4" t="str">
        <f ca="1">IFERROR(VLOOKUP($L295,Calculation!$H$6:$S$1005,HLOOKUP(N$2,Calculation!$M$4:$S$5,2,FALSE)+5,FALSE),"")</f>
        <v/>
      </c>
      <c r="O295" s="4" t="str">
        <f ca="1">IFERROR(VLOOKUP($L295,Calculation!$H$6:$S$1005,HLOOKUP(O$2,Calculation!$M$4:$S$5,2,FALSE)+5,FALSE),"")</f>
        <v/>
      </c>
      <c r="P295" s="4" t="str">
        <f ca="1">IFERROR(VLOOKUP($L295,Calculation!$H$6:$S$1005,HLOOKUP(P$2,Calculation!$M$4:$S$5,2,FALSE)+5,FALSE),"")</f>
        <v/>
      </c>
      <c r="Q295" s="4" t="str">
        <f ca="1">IFERROR(VLOOKUP($L295,Calculation!$H$6:$S$1005,HLOOKUP(Q$2,Calculation!$M$4:$S$5,2,FALSE)+5,FALSE),"")</f>
        <v/>
      </c>
      <c r="R295" s="27" t="str">
        <f ca="1">IFERROR(VLOOKUP($L295,Calculation!$H$6:$S$1005,HLOOKUP(R$2,Calculation!$M$4:$S$5,2,FALSE)+5,FALSE),"")</f>
        <v/>
      </c>
      <c r="S295" s="4" t="str">
        <f ca="1">IFERROR(VLOOKUP($L295,Calculation!$H$6:$S$1005,HLOOKUP(S$2,Calculation!$M$4:$S$5,2,FALSE)+5,FALSE),"")</f>
        <v/>
      </c>
      <c r="T295" s="29"/>
      <c r="U295" s="43" t="str">
        <f>IFERROR(VLOOKUP(T295,Calculation!$U$6:$V$11,2,FALSE),"")</f>
        <v/>
      </c>
    </row>
    <row r="296" spans="1:21" ht="14.25" customHeight="1" x14ac:dyDescent="0.3">
      <c r="A296" s="26" t="str">
        <f ca="1">IF(Calculation!T299&lt;=Calculation!$H$4,Calculation!T299,"")</f>
        <v/>
      </c>
      <c r="B296" s="4" t="str">
        <f ca="1">VLOOKUP(A296,Calculation!$E$6:$J$1004,4,FALSE)</f>
        <v/>
      </c>
      <c r="C296" s="4" t="str">
        <f ca="1">VLOOKUP(A296,Calculation!$E$6:$J$1004,5,FALSE)</f>
        <v/>
      </c>
      <c r="D296" s="4" t="str">
        <f ca="1">VLOOKUP(A296,Calculation!$E$6:$J$1004,6,FALSE)</f>
        <v/>
      </c>
      <c r="E296" s="42" t="str">
        <f t="shared" ca="1" si="2"/>
        <v/>
      </c>
      <c r="G296" s="29" t="str">
        <f ca="1">VLOOKUP(A296,Calculation!$F$6:$J$1004,3,FALSE)</f>
        <v/>
      </c>
      <c r="H296" s="4" t="str">
        <f ca="1">VLOOKUP(A296,Calculation!$F$6:$J$1004,4,FALSE)</f>
        <v/>
      </c>
      <c r="I296" s="4" t="str">
        <f ca="1">VLOOKUP(A296,Calculation!$F$6:$J$1004,5,FALSE)</f>
        <v/>
      </c>
      <c r="J296" s="43" t="str">
        <f t="shared" ca="1" si="3"/>
        <v/>
      </c>
      <c r="L296" s="29" t="str">
        <f ca="1">VLOOKUP(A296,Calculation!$G$6:$S$1004,2,FALSE)</f>
        <v/>
      </c>
      <c r="M296" s="4" t="str">
        <f ca="1">IFERROR(VLOOKUP($L296,Calculation!$H$6:$S$1005,HLOOKUP(M$2,Calculation!$M$4:$S$5,2,FALSE)+5,FALSE),"")</f>
        <v/>
      </c>
      <c r="N296" s="4" t="str">
        <f ca="1">IFERROR(VLOOKUP($L296,Calculation!$H$6:$S$1005,HLOOKUP(N$2,Calculation!$M$4:$S$5,2,FALSE)+5,FALSE),"")</f>
        <v/>
      </c>
      <c r="O296" s="4" t="str">
        <f ca="1">IFERROR(VLOOKUP($L296,Calculation!$H$6:$S$1005,HLOOKUP(O$2,Calculation!$M$4:$S$5,2,FALSE)+5,FALSE),"")</f>
        <v/>
      </c>
      <c r="P296" s="4" t="str">
        <f ca="1">IFERROR(VLOOKUP($L296,Calculation!$H$6:$S$1005,HLOOKUP(P$2,Calculation!$M$4:$S$5,2,FALSE)+5,FALSE),"")</f>
        <v/>
      </c>
      <c r="Q296" s="4" t="str">
        <f ca="1">IFERROR(VLOOKUP($L296,Calculation!$H$6:$S$1005,HLOOKUP(Q$2,Calculation!$M$4:$S$5,2,FALSE)+5,FALSE),"")</f>
        <v/>
      </c>
      <c r="R296" s="27" t="str">
        <f ca="1">IFERROR(VLOOKUP($L296,Calculation!$H$6:$S$1005,HLOOKUP(R$2,Calculation!$M$4:$S$5,2,FALSE)+5,FALSE),"")</f>
        <v/>
      </c>
      <c r="S296" s="4" t="str">
        <f ca="1">IFERROR(VLOOKUP($L296,Calculation!$H$6:$S$1005,HLOOKUP(S$2,Calculation!$M$4:$S$5,2,FALSE)+5,FALSE),"")</f>
        <v/>
      </c>
      <c r="T296" s="29"/>
      <c r="U296" s="43" t="str">
        <f>IFERROR(VLOOKUP(T296,Calculation!$U$6:$V$11,2,FALSE),"")</f>
        <v/>
      </c>
    </row>
    <row r="297" spans="1:21" ht="14.25" customHeight="1" x14ac:dyDescent="0.3">
      <c r="A297" s="26" t="str">
        <f ca="1">IF(Calculation!T300&lt;=Calculation!$H$4,Calculation!T300,"")</f>
        <v/>
      </c>
      <c r="B297" s="4" t="str">
        <f ca="1">VLOOKUP(A297,Calculation!$E$6:$J$1004,4,FALSE)</f>
        <v/>
      </c>
      <c r="C297" s="4" t="str">
        <f ca="1">VLOOKUP(A297,Calculation!$E$6:$J$1004,5,FALSE)</f>
        <v/>
      </c>
      <c r="D297" s="4" t="str">
        <f ca="1">VLOOKUP(A297,Calculation!$E$6:$J$1004,6,FALSE)</f>
        <v/>
      </c>
      <c r="E297" s="42" t="str">
        <f t="shared" ca="1" si="2"/>
        <v/>
      </c>
      <c r="G297" s="29" t="str">
        <f ca="1">VLOOKUP(A297,Calculation!$F$6:$J$1004,3,FALSE)</f>
        <v/>
      </c>
      <c r="H297" s="4" t="str">
        <f ca="1">VLOOKUP(A297,Calculation!$F$6:$J$1004,4,FALSE)</f>
        <v/>
      </c>
      <c r="I297" s="4" t="str">
        <f ca="1">VLOOKUP(A297,Calculation!$F$6:$J$1004,5,FALSE)</f>
        <v/>
      </c>
      <c r="J297" s="43" t="str">
        <f t="shared" ca="1" si="3"/>
        <v/>
      </c>
      <c r="L297" s="29" t="str">
        <f ca="1">VLOOKUP(A297,Calculation!$G$6:$S$1004,2,FALSE)</f>
        <v/>
      </c>
      <c r="M297" s="4" t="str">
        <f ca="1">IFERROR(VLOOKUP($L297,Calculation!$H$6:$S$1005,HLOOKUP(M$2,Calculation!$M$4:$S$5,2,FALSE)+5,FALSE),"")</f>
        <v/>
      </c>
      <c r="N297" s="4" t="str">
        <f ca="1">IFERROR(VLOOKUP($L297,Calculation!$H$6:$S$1005,HLOOKUP(N$2,Calculation!$M$4:$S$5,2,FALSE)+5,FALSE),"")</f>
        <v/>
      </c>
      <c r="O297" s="4" t="str">
        <f ca="1">IFERROR(VLOOKUP($L297,Calculation!$H$6:$S$1005,HLOOKUP(O$2,Calculation!$M$4:$S$5,2,FALSE)+5,FALSE),"")</f>
        <v/>
      </c>
      <c r="P297" s="4" t="str">
        <f ca="1">IFERROR(VLOOKUP($L297,Calculation!$H$6:$S$1005,HLOOKUP(P$2,Calculation!$M$4:$S$5,2,FALSE)+5,FALSE),"")</f>
        <v/>
      </c>
      <c r="Q297" s="4" t="str">
        <f ca="1">IFERROR(VLOOKUP($L297,Calculation!$H$6:$S$1005,HLOOKUP(Q$2,Calculation!$M$4:$S$5,2,FALSE)+5,FALSE),"")</f>
        <v/>
      </c>
      <c r="R297" s="27" t="str">
        <f ca="1">IFERROR(VLOOKUP($L297,Calculation!$H$6:$S$1005,HLOOKUP(R$2,Calculation!$M$4:$S$5,2,FALSE)+5,FALSE),"")</f>
        <v/>
      </c>
      <c r="S297" s="4" t="str">
        <f ca="1">IFERROR(VLOOKUP($L297,Calculation!$H$6:$S$1005,HLOOKUP(S$2,Calculation!$M$4:$S$5,2,FALSE)+5,FALSE),"")</f>
        <v/>
      </c>
      <c r="T297" s="29"/>
      <c r="U297" s="43" t="str">
        <f>IFERROR(VLOOKUP(T297,Calculation!$U$6:$V$11,2,FALSE),"")</f>
        <v/>
      </c>
    </row>
    <row r="298" spans="1:21" ht="14.25" customHeight="1" x14ac:dyDescent="0.3">
      <c r="A298" s="26" t="str">
        <f ca="1">IF(Calculation!T301&lt;=Calculation!$H$4,Calculation!T301,"")</f>
        <v/>
      </c>
      <c r="B298" s="4" t="str">
        <f ca="1">VLOOKUP(A298,Calculation!$E$6:$J$1004,4,FALSE)</f>
        <v/>
      </c>
      <c r="C298" s="4" t="str">
        <f ca="1">VLOOKUP(A298,Calculation!$E$6:$J$1004,5,FALSE)</f>
        <v/>
      </c>
      <c r="D298" s="4" t="str">
        <f ca="1">VLOOKUP(A298,Calculation!$E$6:$J$1004,6,FALSE)</f>
        <v/>
      </c>
      <c r="E298" s="42" t="str">
        <f t="shared" ca="1" si="2"/>
        <v/>
      </c>
      <c r="G298" s="29" t="str">
        <f ca="1">VLOOKUP(A298,Calculation!$F$6:$J$1004,3,FALSE)</f>
        <v/>
      </c>
      <c r="H298" s="4" t="str">
        <f ca="1">VLOOKUP(A298,Calculation!$F$6:$J$1004,4,FALSE)</f>
        <v/>
      </c>
      <c r="I298" s="4" t="str">
        <f ca="1">VLOOKUP(A298,Calculation!$F$6:$J$1004,5,FALSE)</f>
        <v/>
      </c>
      <c r="J298" s="43" t="str">
        <f t="shared" ca="1" si="3"/>
        <v/>
      </c>
      <c r="L298" s="29" t="str">
        <f ca="1">VLOOKUP(A298,Calculation!$G$6:$S$1004,2,FALSE)</f>
        <v/>
      </c>
      <c r="M298" s="4" t="str">
        <f ca="1">IFERROR(VLOOKUP($L298,Calculation!$H$6:$S$1005,HLOOKUP(M$2,Calculation!$M$4:$S$5,2,FALSE)+5,FALSE),"")</f>
        <v/>
      </c>
      <c r="N298" s="4" t="str">
        <f ca="1">IFERROR(VLOOKUP($L298,Calculation!$H$6:$S$1005,HLOOKUP(N$2,Calculation!$M$4:$S$5,2,FALSE)+5,FALSE),"")</f>
        <v/>
      </c>
      <c r="O298" s="4" t="str">
        <f ca="1">IFERROR(VLOOKUP($L298,Calculation!$H$6:$S$1005,HLOOKUP(O$2,Calculation!$M$4:$S$5,2,FALSE)+5,FALSE),"")</f>
        <v/>
      </c>
      <c r="P298" s="4" t="str">
        <f ca="1">IFERROR(VLOOKUP($L298,Calculation!$H$6:$S$1005,HLOOKUP(P$2,Calculation!$M$4:$S$5,2,FALSE)+5,FALSE),"")</f>
        <v/>
      </c>
      <c r="Q298" s="4" t="str">
        <f ca="1">IFERROR(VLOOKUP($L298,Calculation!$H$6:$S$1005,HLOOKUP(Q$2,Calculation!$M$4:$S$5,2,FALSE)+5,FALSE),"")</f>
        <v/>
      </c>
      <c r="R298" s="27" t="str">
        <f ca="1">IFERROR(VLOOKUP($L298,Calculation!$H$6:$S$1005,HLOOKUP(R$2,Calculation!$M$4:$S$5,2,FALSE)+5,FALSE),"")</f>
        <v/>
      </c>
      <c r="S298" s="4" t="str">
        <f ca="1">IFERROR(VLOOKUP($L298,Calculation!$H$6:$S$1005,HLOOKUP(S$2,Calculation!$M$4:$S$5,2,FALSE)+5,FALSE),"")</f>
        <v/>
      </c>
      <c r="T298" s="29"/>
      <c r="U298" s="43" t="str">
        <f>IFERROR(VLOOKUP(T298,Calculation!$U$6:$V$11,2,FALSE),"")</f>
        <v/>
      </c>
    </row>
    <row r="299" spans="1:21" ht="14.25" customHeight="1" x14ac:dyDescent="0.3">
      <c r="A299" s="26" t="str">
        <f ca="1">IF(Calculation!T302&lt;=Calculation!$H$4,Calculation!T302,"")</f>
        <v/>
      </c>
      <c r="B299" s="4" t="str">
        <f ca="1">VLOOKUP(A299,Calculation!$E$6:$J$1004,4,FALSE)</f>
        <v/>
      </c>
      <c r="C299" s="4" t="str">
        <f ca="1">VLOOKUP(A299,Calculation!$E$6:$J$1004,5,FALSE)</f>
        <v/>
      </c>
      <c r="D299" s="4" t="str">
        <f ca="1">VLOOKUP(A299,Calculation!$E$6:$J$1004,6,FALSE)</f>
        <v/>
      </c>
      <c r="E299" s="42" t="str">
        <f t="shared" ca="1" si="2"/>
        <v/>
      </c>
      <c r="G299" s="29" t="str">
        <f ca="1">VLOOKUP(A299,Calculation!$F$6:$J$1004,3,FALSE)</f>
        <v/>
      </c>
      <c r="H299" s="4" t="str">
        <f ca="1">VLOOKUP(A299,Calculation!$F$6:$J$1004,4,FALSE)</f>
        <v/>
      </c>
      <c r="I299" s="4" t="str">
        <f ca="1">VLOOKUP(A299,Calculation!$F$6:$J$1004,5,FALSE)</f>
        <v/>
      </c>
      <c r="J299" s="43" t="str">
        <f t="shared" ca="1" si="3"/>
        <v/>
      </c>
      <c r="L299" s="29" t="str">
        <f ca="1">VLOOKUP(A299,Calculation!$G$6:$S$1004,2,FALSE)</f>
        <v/>
      </c>
      <c r="M299" s="4" t="str">
        <f ca="1">IFERROR(VLOOKUP($L299,Calculation!$H$6:$S$1005,HLOOKUP(M$2,Calculation!$M$4:$S$5,2,FALSE)+5,FALSE),"")</f>
        <v/>
      </c>
      <c r="N299" s="4" t="str">
        <f ca="1">IFERROR(VLOOKUP($L299,Calculation!$H$6:$S$1005,HLOOKUP(N$2,Calculation!$M$4:$S$5,2,FALSE)+5,FALSE),"")</f>
        <v/>
      </c>
      <c r="O299" s="4" t="str">
        <f ca="1">IFERROR(VLOOKUP($L299,Calculation!$H$6:$S$1005,HLOOKUP(O$2,Calculation!$M$4:$S$5,2,FALSE)+5,FALSE),"")</f>
        <v/>
      </c>
      <c r="P299" s="4" t="str">
        <f ca="1">IFERROR(VLOOKUP($L299,Calculation!$H$6:$S$1005,HLOOKUP(P$2,Calculation!$M$4:$S$5,2,FALSE)+5,FALSE),"")</f>
        <v/>
      </c>
      <c r="Q299" s="4" t="str">
        <f ca="1">IFERROR(VLOOKUP($L299,Calculation!$H$6:$S$1005,HLOOKUP(Q$2,Calculation!$M$4:$S$5,2,FALSE)+5,FALSE),"")</f>
        <v/>
      </c>
      <c r="R299" s="27" t="str">
        <f ca="1">IFERROR(VLOOKUP($L299,Calculation!$H$6:$S$1005,HLOOKUP(R$2,Calculation!$M$4:$S$5,2,FALSE)+5,FALSE),"")</f>
        <v/>
      </c>
      <c r="S299" s="4" t="str">
        <f ca="1">IFERROR(VLOOKUP($L299,Calculation!$H$6:$S$1005,HLOOKUP(S$2,Calculation!$M$4:$S$5,2,FALSE)+5,FALSE),"")</f>
        <v/>
      </c>
      <c r="T299" s="29"/>
      <c r="U299" s="43" t="str">
        <f>IFERROR(VLOOKUP(T299,Calculation!$U$6:$V$11,2,FALSE),"")</f>
        <v/>
      </c>
    </row>
    <row r="300" spans="1:21" ht="14.25" customHeight="1" x14ac:dyDescent="0.3">
      <c r="A300" s="26" t="str">
        <f ca="1">IF(Calculation!T303&lt;=Calculation!$H$4,Calculation!T303,"")</f>
        <v/>
      </c>
      <c r="B300" s="4" t="str">
        <f ca="1">VLOOKUP(A300,Calculation!$E$6:$J$1004,4,FALSE)</f>
        <v/>
      </c>
      <c r="C300" s="4" t="str">
        <f ca="1">VLOOKUP(A300,Calculation!$E$6:$J$1004,5,FALSE)</f>
        <v/>
      </c>
      <c r="D300" s="4" t="str">
        <f ca="1">VLOOKUP(A300,Calculation!$E$6:$J$1004,6,FALSE)</f>
        <v/>
      </c>
      <c r="E300" s="42" t="str">
        <f t="shared" ca="1" si="2"/>
        <v/>
      </c>
      <c r="G300" s="29" t="str">
        <f ca="1">VLOOKUP(A300,Calculation!$F$6:$J$1004,3,FALSE)</f>
        <v/>
      </c>
      <c r="H300" s="4" t="str">
        <f ca="1">VLOOKUP(A300,Calculation!$F$6:$J$1004,4,FALSE)</f>
        <v/>
      </c>
      <c r="I300" s="4" t="str">
        <f ca="1">VLOOKUP(A300,Calculation!$F$6:$J$1004,5,FALSE)</f>
        <v/>
      </c>
      <c r="J300" s="43" t="str">
        <f t="shared" ca="1" si="3"/>
        <v/>
      </c>
      <c r="L300" s="29" t="str">
        <f ca="1">VLOOKUP(A300,Calculation!$G$6:$S$1004,2,FALSE)</f>
        <v/>
      </c>
      <c r="M300" s="4" t="str">
        <f ca="1">IFERROR(VLOOKUP($L300,Calculation!$H$6:$S$1005,HLOOKUP(M$2,Calculation!$M$4:$S$5,2,FALSE)+5,FALSE),"")</f>
        <v/>
      </c>
      <c r="N300" s="4" t="str">
        <f ca="1">IFERROR(VLOOKUP($L300,Calculation!$H$6:$S$1005,HLOOKUP(N$2,Calculation!$M$4:$S$5,2,FALSE)+5,FALSE),"")</f>
        <v/>
      </c>
      <c r="O300" s="4" t="str">
        <f ca="1">IFERROR(VLOOKUP($L300,Calculation!$H$6:$S$1005,HLOOKUP(O$2,Calculation!$M$4:$S$5,2,FALSE)+5,FALSE),"")</f>
        <v/>
      </c>
      <c r="P300" s="4" t="str">
        <f ca="1">IFERROR(VLOOKUP($L300,Calculation!$H$6:$S$1005,HLOOKUP(P$2,Calculation!$M$4:$S$5,2,FALSE)+5,FALSE),"")</f>
        <v/>
      </c>
      <c r="Q300" s="4" t="str">
        <f ca="1">IFERROR(VLOOKUP($L300,Calculation!$H$6:$S$1005,HLOOKUP(Q$2,Calculation!$M$4:$S$5,2,FALSE)+5,FALSE),"")</f>
        <v/>
      </c>
      <c r="R300" s="27" t="str">
        <f ca="1">IFERROR(VLOOKUP($L300,Calculation!$H$6:$S$1005,HLOOKUP(R$2,Calculation!$M$4:$S$5,2,FALSE)+5,FALSE),"")</f>
        <v/>
      </c>
      <c r="S300" s="4" t="str">
        <f ca="1">IFERROR(VLOOKUP($L300,Calculation!$H$6:$S$1005,HLOOKUP(S$2,Calculation!$M$4:$S$5,2,FALSE)+5,FALSE),"")</f>
        <v/>
      </c>
      <c r="T300" s="29"/>
      <c r="U300" s="43" t="str">
        <f>IFERROR(VLOOKUP(T300,Calculation!$U$6:$V$11,2,FALSE),"")</f>
        <v/>
      </c>
    </row>
    <row r="301" spans="1:21" ht="14.25" customHeight="1" x14ac:dyDescent="0.3">
      <c r="A301" s="26" t="str">
        <f ca="1">IF(Calculation!T304&lt;=Calculation!$H$4,Calculation!T304,"")</f>
        <v/>
      </c>
      <c r="B301" s="4" t="str">
        <f ca="1">VLOOKUP(A301,Calculation!$E$6:$J$1004,4,FALSE)</f>
        <v/>
      </c>
      <c r="C301" s="4" t="str">
        <f ca="1">VLOOKUP(A301,Calculation!$E$6:$J$1004,5,FALSE)</f>
        <v/>
      </c>
      <c r="D301" s="4" t="str">
        <f ca="1">VLOOKUP(A301,Calculation!$E$6:$J$1004,6,FALSE)</f>
        <v/>
      </c>
      <c r="E301" s="42" t="str">
        <f t="shared" ca="1" si="2"/>
        <v/>
      </c>
      <c r="G301" s="29" t="str">
        <f ca="1">VLOOKUP(A301,Calculation!$F$6:$J$1004,3,FALSE)</f>
        <v/>
      </c>
      <c r="H301" s="4" t="str">
        <f ca="1">VLOOKUP(A301,Calculation!$F$6:$J$1004,4,FALSE)</f>
        <v/>
      </c>
      <c r="I301" s="4" t="str">
        <f ca="1">VLOOKUP(A301,Calculation!$F$6:$J$1004,5,FALSE)</f>
        <v/>
      </c>
      <c r="J301" s="43" t="str">
        <f t="shared" ca="1" si="3"/>
        <v/>
      </c>
      <c r="L301" s="29" t="str">
        <f ca="1">VLOOKUP(A301,Calculation!$G$6:$S$1004,2,FALSE)</f>
        <v/>
      </c>
      <c r="M301" s="4" t="str">
        <f ca="1">IFERROR(VLOOKUP($L301,Calculation!$H$6:$S$1005,HLOOKUP(M$2,Calculation!$M$4:$S$5,2,FALSE)+5,FALSE),"")</f>
        <v/>
      </c>
      <c r="N301" s="4" t="str">
        <f ca="1">IFERROR(VLOOKUP($L301,Calculation!$H$6:$S$1005,HLOOKUP(N$2,Calculation!$M$4:$S$5,2,FALSE)+5,FALSE),"")</f>
        <v/>
      </c>
      <c r="O301" s="4" t="str">
        <f ca="1">IFERROR(VLOOKUP($L301,Calculation!$H$6:$S$1005,HLOOKUP(O$2,Calculation!$M$4:$S$5,2,FALSE)+5,FALSE),"")</f>
        <v/>
      </c>
      <c r="P301" s="4" t="str">
        <f ca="1">IFERROR(VLOOKUP($L301,Calculation!$H$6:$S$1005,HLOOKUP(P$2,Calculation!$M$4:$S$5,2,FALSE)+5,FALSE),"")</f>
        <v/>
      </c>
      <c r="Q301" s="4" t="str">
        <f ca="1">IFERROR(VLOOKUP($L301,Calculation!$H$6:$S$1005,HLOOKUP(Q$2,Calculation!$M$4:$S$5,2,FALSE)+5,FALSE),"")</f>
        <v/>
      </c>
      <c r="R301" s="27" t="str">
        <f ca="1">IFERROR(VLOOKUP($L301,Calculation!$H$6:$S$1005,HLOOKUP(R$2,Calculation!$M$4:$S$5,2,FALSE)+5,FALSE),"")</f>
        <v/>
      </c>
      <c r="S301" s="4" t="str">
        <f ca="1">IFERROR(VLOOKUP($L301,Calculation!$H$6:$S$1005,HLOOKUP(S$2,Calculation!$M$4:$S$5,2,FALSE)+5,FALSE),"")</f>
        <v/>
      </c>
      <c r="T301" s="29"/>
      <c r="U301" s="43" t="str">
        <f>IFERROR(VLOOKUP(T301,Calculation!$U$6:$V$11,2,FALSE),"")</f>
        <v/>
      </c>
    </row>
    <row r="302" spans="1:21" ht="14.25" customHeight="1" x14ac:dyDescent="0.3">
      <c r="A302" s="26" t="str">
        <f ca="1">IF(Calculation!T305&lt;=Calculation!$H$4,Calculation!T305,"")</f>
        <v/>
      </c>
      <c r="B302" s="4" t="str">
        <f ca="1">VLOOKUP(A302,Calculation!$E$6:$J$1004,4,FALSE)</f>
        <v/>
      </c>
      <c r="C302" s="4" t="str">
        <f ca="1">VLOOKUP(A302,Calculation!$E$6:$J$1004,5,FALSE)</f>
        <v/>
      </c>
      <c r="D302" s="4" t="str">
        <f ca="1">VLOOKUP(A302,Calculation!$E$6:$J$1004,6,FALSE)</f>
        <v/>
      </c>
      <c r="E302" s="42" t="str">
        <f t="shared" ca="1" si="2"/>
        <v/>
      </c>
      <c r="G302" s="29" t="str">
        <f ca="1">VLOOKUP(A302,Calculation!$F$6:$J$1004,3,FALSE)</f>
        <v/>
      </c>
      <c r="H302" s="4" t="str">
        <f ca="1">VLOOKUP(A302,Calculation!$F$6:$J$1004,4,FALSE)</f>
        <v/>
      </c>
      <c r="I302" s="4" t="str">
        <f ca="1">VLOOKUP(A302,Calculation!$F$6:$J$1004,5,FALSE)</f>
        <v/>
      </c>
      <c r="J302" s="43" t="str">
        <f t="shared" ca="1" si="3"/>
        <v/>
      </c>
      <c r="L302" s="29" t="str">
        <f ca="1">VLOOKUP(A302,Calculation!$G$6:$S$1004,2,FALSE)</f>
        <v/>
      </c>
      <c r="M302" s="4" t="str">
        <f ca="1">IFERROR(VLOOKUP($L302,Calculation!$H$6:$S$1005,HLOOKUP(M$2,Calculation!$M$4:$S$5,2,FALSE)+5,FALSE),"")</f>
        <v/>
      </c>
      <c r="N302" s="4" t="str">
        <f ca="1">IFERROR(VLOOKUP($L302,Calculation!$H$6:$S$1005,HLOOKUP(N$2,Calculation!$M$4:$S$5,2,FALSE)+5,FALSE),"")</f>
        <v/>
      </c>
      <c r="O302" s="4" t="str">
        <f ca="1">IFERROR(VLOOKUP($L302,Calculation!$H$6:$S$1005,HLOOKUP(O$2,Calculation!$M$4:$S$5,2,FALSE)+5,FALSE),"")</f>
        <v/>
      </c>
      <c r="P302" s="4" t="str">
        <f ca="1">IFERROR(VLOOKUP($L302,Calculation!$H$6:$S$1005,HLOOKUP(P$2,Calculation!$M$4:$S$5,2,FALSE)+5,FALSE),"")</f>
        <v/>
      </c>
      <c r="Q302" s="4" t="str">
        <f ca="1">IFERROR(VLOOKUP($L302,Calculation!$H$6:$S$1005,HLOOKUP(Q$2,Calculation!$M$4:$S$5,2,FALSE)+5,FALSE),"")</f>
        <v/>
      </c>
      <c r="R302" s="27" t="str">
        <f ca="1">IFERROR(VLOOKUP($L302,Calculation!$H$6:$S$1005,HLOOKUP(R$2,Calculation!$M$4:$S$5,2,FALSE)+5,FALSE),"")</f>
        <v/>
      </c>
      <c r="S302" s="4" t="str">
        <f ca="1">IFERROR(VLOOKUP($L302,Calculation!$H$6:$S$1005,HLOOKUP(S$2,Calculation!$M$4:$S$5,2,FALSE)+5,FALSE),"")</f>
        <v/>
      </c>
      <c r="T302" s="29"/>
      <c r="U302" s="43" t="str">
        <f>IFERROR(VLOOKUP(T302,Calculation!$U$6:$V$11,2,FALSE),"")</f>
        <v/>
      </c>
    </row>
    <row r="303" spans="1:21" ht="14.25" customHeight="1" x14ac:dyDescent="0.3">
      <c r="A303" s="26" t="str">
        <f ca="1">IF(Calculation!T306&lt;=Calculation!$H$4,Calculation!T306,"")</f>
        <v/>
      </c>
      <c r="B303" s="4" t="str">
        <f ca="1">VLOOKUP(A303,Calculation!$E$6:$J$1004,4,FALSE)</f>
        <v/>
      </c>
      <c r="C303" s="4" t="str">
        <f ca="1">VLOOKUP(A303,Calculation!$E$6:$J$1004,5,FALSE)</f>
        <v/>
      </c>
      <c r="D303" s="4" t="str">
        <f ca="1">VLOOKUP(A303,Calculation!$E$6:$J$1004,6,FALSE)</f>
        <v/>
      </c>
      <c r="E303" s="42" t="str">
        <f t="shared" ca="1" si="2"/>
        <v/>
      </c>
      <c r="G303" s="29" t="str">
        <f ca="1">VLOOKUP(A303,Calculation!$F$6:$J$1004,3,FALSE)</f>
        <v/>
      </c>
      <c r="H303" s="4" t="str">
        <f ca="1">VLOOKUP(A303,Calculation!$F$6:$J$1004,4,FALSE)</f>
        <v/>
      </c>
      <c r="I303" s="4" t="str">
        <f ca="1">VLOOKUP(A303,Calculation!$F$6:$J$1004,5,FALSE)</f>
        <v/>
      </c>
      <c r="J303" s="43" t="str">
        <f t="shared" ca="1" si="3"/>
        <v/>
      </c>
      <c r="L303" s="29" t="str">
        <f ca="1">VLOOKUP(A303,Calculation!$G$6:$S$1004,2,FALSE)</f>
        <v/>
      </c>
      <c r="M303" s="4" t="str">
        <f ca="1">IFERROR(VLOOKUP($L303,Calculation!$H$6:$S$1005,HLOOKUP(M$2,Calculation!$M$4:$S$5,2,FALSE)+5,FALSE),"")</f>
        <v/>
      </c>
      <c r="N303" s="4" t="str">
        <f ca="1">IFERROR(VLOOKUP($L303,Calculation!$H$6:$S$1005,HLOOKUP(N$2,Calculation!$M$4:$S$5,2,FALSE)+5,FALSE),"")</f>
        <v/>
      </c>
      <c r="O303" s="4" t="str">
        <f ca="1">IFERROR(VLOOKUP($L303,Calculation!$H$6:$S$1005,HLOOKUP(O$2,Calculation!$M$4:$S$5,2,FALSE)+5,FALSE),"")</f>
        <v/>
      </c>
      <c r="P303" s="4" t="str">
        <f ca="1">IFERROR(VLOOKUP($L303,Calculation!$H$6:$S$1005,HLOOKUP(P$2,Calculation!$M$4:$S$5,2,FALSE)+5,FALSE),"")</f>
        <v/>
      </c>
      <c r="Q303" s="4" t="str">
        <f ca="1">IFERROR(VLOOKUP($L303,Calculation!$H$6:$S$1005,HLOOKUP(Q$2,Calculation!$M$4:$S$5,2,FALSE)+5,FALSE),"")</f>
        <v/>
      </c>
      <c r="R303" s="27" t="str">
        <f ca="1">IFERROR(VLOOKUP($L303,Calculation!$H$6:$S$1005,HLOOKUP(R$2,Calculation!$M$4:$S$5,2,FALSE)+5,FALSE),"")</f>
        <v/>
      </c>
      <c r="S303" s="4" t="str">
        <f ca="1">IFERROR(VLOOKUP($L303,Calculation!$H$6:$S$1005,HLOOKUP(S$2,Calculation!$M$4:$S$5,2,FALSE)+5,FALSE),"")</f>
        <v/>
      </c>
      <c r="T303" s="29"/>
      <c r="U303" s="43" t="str">
        <f>IFERROR(VLOOKUP(T303,Calculation!$U$6:$V$11,2,FALSE),"")</f>
        <v/>
      </c>
    </row>
    <row r="304" spans="1:21" ht="14.25" customHeight="1" x14ac:dyDescent="0.3">
      <c r="A304" s="26" t="str">
        <f ca="1">IF(Calculation!T307&lt;=Calculation!$H$4,Calculation!T307,"")</f>
        <v/>
      </c>
      <c r="B304" s="4" t="str">
        <f ca="1">VLOOKUP(A304,Calculation!$E$6:$J$1004,4,FALSE)</f>
        <v/>
      </c>
      <c r="C304" s="4" t="str">
        <f ca="1">VLOOKUP(A304,Calculation!$E$6:$J$1004,5,FALSE)</f>
        <v/>
      </c>
      <c r="D304" s="4" t="str">
        <f ca="1">VLOOKUP(A304,Calculation!$E$6:$J$1004,6,FALSE)</f>
        <v/>
      </c>
      <c r="E304" s="42" t="str">
        <f t="shared" ca="1" si="2"/>
        <v/>
      </c>
      <c r="G304" s="29" t="str">
        <f ca="1">VLOOKUP(A304,Calculation!$F$6:$J$1004,3,FALSE)</f>
        <v/>
      </c>
      <c r="H304" s="4" t="str">
        <f ca="1">VLOOKUP(A304,Calculation!$F$6:$J$1004,4,FALSE)</f>
        <v/>
      </c>
      <c r="I304" s="4" t="str">
        <f ca="1">VLOOKUP(A304,Calculation!$F$6:$J$1004,5,FALSE)</f>
        <v/>
      </c>
      <c r="J304" s="43" t="str">
        <f t="shared" ca="1" si="3"/>
        <v/>
      </c>
      <c r="L304" s="29" t="str">
        <f ca="1">VLOOKUP(A304,Calculation!$G$6:$S$1004,2,FALSE)</f>
        <v/>
      </c>
      <c r="M304" s="4" t="str">
        <f ca="1">IFERROR(VLOOKUP($L304,Calculation!$H$6:$S$1005,HLOOKUP(M$2,Calculation!$M$4:$S$5,2,FALSE)+5,FALSE),"")</f>
        <v/>
      </c>
      <c r="N304" s="4" t="str">
        <f ca="1">IFERROR(VLOOKUP($L304,Calculation!$H$6:$S$1005,HLOOKUP(N$2,Calculation!$M$4:$S$5,2,FALSE)+5,FALSE),"")</f>
        <v/>
      </c>
      <c r="O304" s="4" t="str">
        <f ca="1">IFERROR(VLOOKUP($L304,Calculation!$H$6:$S$1005,HLOOKUP(O$2,Calculation!$M$4:$S$5,2,FALSE)+5,FALSE),"")</f>
        <v/>
      </c>
      <c r="P304" s="4" t="str">
        <f ca="1">IFERROR(VLOOKUP($L304,Calculation!$H$6:$S$1005,HLOOKUP(P$2,Calculation!$M$4:$S$5,2,FALSE)+5,FALSE),"")</f>
        <v/>
      </c>
      <c r="Q304" s="4" t="str">
        <f ca="1">IFERROR(VLOOKUP($L304,Calculation!$H$6:$S$1005,HLOOKUP(Q$2,Calculation!$M$4:$S$5,2,FALSE)+5,FALSE),"")</f>
        <v/>
      </c>
      <c r="R304" s="27" t="str">
        <f ca="1">IFERROR(VLOOKUP($L304,Calculation!$H$6:$S$1005,HLOOKUP(R$2,Calculation!$M$4:$S$5,2,FALSE)+5,FALSE),"")</f>
        <v/>
      </c>
      <c r="S304" s="4" t="str">
        <f ca="1">IFERROR(VLOOKUP($L304,Calculation!$H$6:$S$1005,HLOOKUP(S$2,Calculation!$M$4:$S$5,2,FALSE)+5,FALSE),"")</f>
        <v/>
      </c>
      <c r="T304" s="29"/>
      <c r="U304" s="43" t="str">
        <f>IFERROR(VLOOKUP(T304,Calculation!$U$6:$V$11,2,FALSE),"")</f>
        <v/>
      </c>
    </row>
    <row r="305" spans="1:21" ht="14.25" customHeight="1" x14ac:dyDescent="0.3">
      <c r="A305" s="26" t="str">
        <f ca="1">IF(Calculation!T308&lt;=Calculation!$H$4,Calculation!T308,"")</f>
        <v/>
      </c>
      <c r="B305" s="4" t="str">
        <f ca="1">VLOOKUP(A305,Calculation!$E$6:$J$1004,4,FALSE)</f>
        <v/>
      </c>
      <c r="C305" s="4" t="str">
        <f ca="1">VLOOKUP(A305,Calculation!$E$6:$J$1004,5,FALSE)</f>
        <v/>
      </c>
      <c r="D305" s="4" t="str">
        <f ca="1">VLOOKUP(A305,Calculation!$E$6:$J$1004,6,FALSE)</f>
        <v/>
      </c>
      <c r="E305" s="42" t="str">
        <f t="shared" ca="1" si="2"/>
        <v/>
      </c>
      <c r="G305" s="29" t="str">
        <f ca="1">VLOOKUP(A305,Calculation!$F$6:$J$1004,3,FALSE)</f>
        <v/>
      </c>
      <c r="H305" s="4" t="str">
        <f ca="1">VLOOKUP(A305,Calculation!$F$6:$J$1004,4,FALSE)</f>
        <v/>
      </c>
      <c r="I305" s="4" t="str">
        <f ca="1">VLOOKUP(A305,Calculation!$F$6:$J$1004,5,FALSE)</f>
        <v/>
      </c>
      <c r="J305" s="43" t="str">
        <f t="shared" ca="1" si="3"/>
        <v/>
      </c>
      <c r="L305" s="29" t="str">
        <f ca="1">VLOOKUP(A305,Calculation!$G$6:$S$1004,2,FALSE)</f>
        <v/>
      </c>
      <c r="M305" s="4" t="str">
        <f ca="1">IFERROR(VLOOKUP($L305,Calculation!$H$6:$S$1005,HLOOKUP(M$2,Calculation!$M$4:$S$5,2,FALSE)+5,FALSE),"")</f>
        <v/>
      </c>
      <c r="N305" s="4" t="str">
        <f ca="1">IFERROR(VLOOKUP($L305,Calculation!$H$6:$S$1005,HLOOKUP(N$2,Calculation!$M$4:$S$5,2,FALSE)+5,FALSE),"")</f>
        <v/>
      </c>
      <c r="O305" s="4" t="str">
        <f ca="1">IFERROR(VLOOKUP($L305,Calculation!$H$6:$S$1005,HLOOKUP(O$2,Calculation!$M$4:$S$5,2,FALSE)+5,FALSE),"")</f>
        <v/>
      </c>
      <c r="P305" s="4" t="str">
        <f ca="1">IFERROR(VLOOKUP($L305,Calculation!$H$6:$S$1005,HLOOKUP(P$2,Calculation!$M$4:$S$5,2,FALSE)+5,FALSE),"")</f>
        <v/>
      </c>
      <c r="Q305" s="4" t="str">
        <f ca="1">IFERROR(VLOOKUP($L305,Calculation!$H$6:$S$1005,HLOOKUP(Q$2,Calculation!$M$4:$S$5,2,FALSE)+5,FALSE),"")</f>
        <v/>
      </c>
      <c r="R305" s="27" t="str">
        <f ca="1">IFERROR(VLOOKUP($L305,Calculation!$H$6:$S$1005,HLOOKUP(R$2,Calculation!$M$4:$S$5,2,FALSE)+5,FALSE),"")</f>
        <v/>
      </c>
      <c r="S305" s="4" t="str">
        <f ca="1">IFERROR(VLOOKUP($L305,Calculation!$H$6:$S$1005,HLOOKUP(S$2,Calculation!$M$4:$S$5,2,FALSE)+5,FALSE),"")</f>
        <v/>
      </c>
      <c r="T305" s="29"/>
      <c r="U305" s="43" t="str">
        <f>IFERROR(VLOOKUP(T305,Calculation!$U$6:$V$11,2,FALSE),"")</f>
        <v/>
      </c>
    </row>
    <row r="306" spans="1:21" ht="14.25" customHeight="1" x14ac:dyDescent="0.3">
      <c r="A306" s="26" t="str">
        <f ca="1">IF(Calculation!T309&lt;=Calculation!$H$4,Calculation!T309,"")</f>
        <v/>
      </c>
      <c r="B306" s="4" t="str">
        <f ca="1">VLOOKUP(A306,Calculation!$E$6:$J$1004,4,FALSE)</f>
        <v/>
      </c>
      <c r="C306" s="4" t="str">
        <f ca="1">VLOOKUP(A306,Calculation!$E$6:$J$1004,5,FALSE)</f>
        <v/>
      </c>
      <c r="D306" s="4" t="str">
        <f ca="1">VLOOKUP(A306,Calculation!$E$6:$J$1004,6,FALSE)</f>
        <v/>
      </c>
      <c r="E306" s="42" t="str">
        <f t="shared" ca="1" si="2"/>
        <v/>
      </c>
      <c r="G306" s="29" t="str">
        <f ca="1">VLOOKUP(A306,Calculation!$F$6:$J$1004,3,FALSE)</f>
        <v/>
      </c>
      <c r="H306" s="4" t="str">
        <f ca="1">VLOOKUP(A306,Calculation!$F$6:$J$1004,4,FALSE)</f>
        <v/>
      </c>
      <c r="I306" s="4" t="str">
        <f ca="1">VLOOKUP(A306,Calculation!$F$6:$J$1004,5,FALSE)</f>
        <v/>
      </c>
      <c r="J306" s="43" t="str">
        <f t="shared" ca="1" si="3"/>
        <v/>
      </c>
      <c r="L306" s="29" t="str">
        <f ca="1">VLOOKUP(A306,Calculation!$G$6:$S$1004,2,FALSE)</f>
        <v/>
      </c>
      <c r="M306" s="4" t="str">
        <f ca="1">IFERROR(VLOOKUP($L306,Calculation!$H$6:$S$1005,HLOOKUP(M$2,Calculation!$M$4:$S$5,2,FALSE)+5,FALSE),"")</f>
        <v/>
      </c>
      <c r="N306" s="4" t="str">
        <f ca="1">IFERROR(VLOOKUP($L306,Calculation!$H$6:$S$1005,HLOOKUP(N$2,Calculation!$M$4:$S$5,2,FALSE)+5,FALSE),"")</f>
        <v/>
      </c>
      <c r="O306" s="4" t="str">
        <f ca="1">IFERROR(VLOOKUP($L306,Calculation!$H$6:$S$1005,HLOOKUP(O$2,Calculation!$M$4:$S$5,2,FALSE)+5,FALSE),"")</f>
        <v/>
      </c>
      <c r="P306" s="4" t="str">
        <f ca="1">IFERROR(VLOOKUP($L306,Calculation!$H$6:$S$1005,HLOOKUP(P$2,Calculation!$M$4:$S$5,2,FALSE)+5,FALSE),"")</f>
        <v/>
      </c>
      <c r="Q306" s="4" t="str">
        <f ca="1">IFERROR(VLOOKUP($L306,Calculation!$H$6:$S$1005,HLOOKUP(Q$2,Calculation!$M$4:$S$5,2,FALSE)+5,FALSE),"")</f>
        <v/>
      </c>
      <c r="R306" s="27" t="str">
        <f ca="1">IFERROR(VLOOKUP($L306,Calculation!$H$6:$S$1005,HLOOKUP(R$2,Calculation!$M$4:$S$5,2,FALSE)+5,FALSE),"")</f>
        <v/>
      </c>
      <c r="S306" s="4" t="str">
        <f ca="1">IFERROR(VLOOKUP($L306,Calculation!$H$6:$S$1005,HLOOKUP(S$2,Calculation!$M$4:$S$5,2,FALSE)+5,FALSE),"")</f>
        <v/>
      </c>
      <c r="T306" s="29"/>
      <c r="U306" s="43" t="str">
        <f>IFERROR(VLOOKUP(T306,Calculation!$U$6:$V$11,2,FALSE),"")</f>
        <v/>
      </c>
    </row>
    <row r="307" spans="1:21" ht="14.25" customHeight="1" x14ac:dyDescent="0.3">
      <c r="A307" s="26" t="str">
        <f ca="1">IF(Calculation!T310&lt;=Calculation!$H$4,Calculation!T310,"")</f>
        <v/>
      </c>
      <c r="B307" s="4" t="str">
        <f ca="1">VLOOKUP(A307,Calculation!$E$6:$J$1004,4,FALSE)</f>
        <v/>
      </c>
      <c r="C307" s="4" t="str">
        <f ca="1">VLOOKUP(A307,Calculation!$E$6:$J$1004,5,FALSE)</f>
        <v/>
      </c>
      <c r="D307" s="4" t="str">
        <f ca="1">VLOOKUP(A307,Calculation!$E$6:$J$1004,6,FALSE)</f>
        <v/>
      </c>
      <c r="E307" s="42" t="str">
        <f t="shared" ca="1" si="2"/>
        <v/>
      </c>
      <c r="G307" s="29" t="str">
        <f ca="1">VLOOKUP(A307,Calculation!$F$6:$J$1004,3,FALSE)</f>
        <v/>
      </c>
      <c r="H307" s="4" t="str">
        <f ca="1">VLOOKUP(A307,Calculation!$F$6:$J$1004,4,FALSE)</f>
        <v/>
      </c>
      <c r="I307" s="4" t="str">
        <f ca="1">VLOOKUP(A307,Calculation!$F$6:$J$1004,5,FALSE)</f>
        <v/>
      </c>
      <c r="J307" s="43" t="str">
        <f t="shared" ca="1" si="3"/>
        <v/>
      </c>
      <c r="L307" s="29" t="str">
        <f ca="1">VLOOKUP(A307,Calculation!$G$6:$S$1004,2,FALSE)</f>
        <v/>
      </c>
      <c r="M307" s="4" t="str">
        <f ca="1">IFERROR(VLOOKUP($L307,Calculation!$H$6:$S$1005,HLOOKUP(M$2,Calculation!$M$4:$S$5,2,FALSE)+5,FALSE),"")</f>
        <v/>
      </c>
      <c r="N307" s="4" t="str">
        <f ca="1">IFERROR(VLOOKUP($L307,Calculation!$H$6:$S$1005,HLOOKUP(N$2,Calculation!$M$4:$S$5,2,FALSE)+5,FALSE),"")</f>
        <v/>
      </c>
      <c r="O307" s="4" t="str">
        <f ca="1">IFERROR(VLOOKUP($L307,Calculation!$H$6:$S$1005,HLOOKUP(O$2,Calculation!$M$4:$S$5,2,FALSE)+5,FALSE),"")</f>
        <v/>
      </c>
      <c r="P307" s="4" t="str">
        <f ca="1">IFERROR(VLOOKUP($L307,Calculation!$H$6:$S$1005,HLOOKUP(P$2,Calculation!$M$4:$S$5,2,FALSE)+5,FALSE),"")</f>
        <v/>
      </c>
      <c r="Q307" s="4" t="str">
        <f ca="1">IFERROR(VLOOKUP($L307,Calculation!$H$6:$S$1005,HLOOKUP(Q$2,Calculation!$M$4:$S$5,2,FALSE)+5,FALSE),"")</f>
        <v/>
      </c>
      <c r="R307" s="27" t="str">
        <f ca="1">IFERROR(VLOOKUP($L307,Calculation!$H$6:$S$1005,HLOOKUP(R$2,Calculation!$M$4:$S$5,2,FALSE)+5,FALSE),"")</f>
        <v/>
      </c>
      <c r="S307" s="4" t="str">
        <f ca="1">IFERROR(VLOOKUP($L307,Calculation!$H$6:$S$1005,HLOOKUP(S$2,Calculation!$M$4:$S$5,2,FALSE)+5,FALSE),"")</f>
        <v/>
      </c>
      <c r="T307" s="29"/>
      <c r="U307" s="43" t="str">
        <f>IFERROR(VLOOKUP(T307,Calculation!$U$6:$V$11,2,FALSE),"")</f>
        <v/>
      </c>
    </row>
    <row r="308" spans="1:21" ht="14.25" customHeight="1" x14ac:dyDescent="0.3">
      <c r="A308" s="26" t="str">
        <f ca="1">IF(Calculation!T311&lt;=Calculation!$H$4,Calculation!T311,"")</f>
        <v/>
      </c>
      <c r="B308" s="4" t="str">
        <f ca="1">VLOOKUP(A308,Calculation!$E$6:$J$1004,4,FALSE)</f>
        <v/>
      </c>
      <c r="C308" s="4" t="str">
        <f ca="1">VLOOKUP(A308,Calculation!$E$6:$J$1004,5,FALSE)</f>
        <v/>
      </c>
      <c r="D308" s="4" t="str">
        <f ca="1">VLOOKUP(A308,Calculation!$E$6:$J$1004,6,FALSE)</f>
        <v/>
      </c>
      <c r="E308" s="42" t="str">
        <f t="shared" ca="1" si="2"/>
        <v/>
      </c>
      <c r="G308" s="29" t="str">
        <f ca="1">VLOOKUP(A308,Calculation!$F$6:$J$1004,3,FALSE)</f>
        <v/>
      </c>
      <c r="H308" s="4" t="str">
        <f ca="1">VLOOKUP(A308,Calculation!$F$6:$J$1004,4,FALSE)</f>
        <v/>
      </c>
      <c r="I308" s="4" t="str">
        <f ca="1">VLOOKUP(A308,Calculation!$F$6:$J$1004,5,FALSE)</f>
        <v/>
      </c>
      <c r="J308" s="43" t="str">
        <f t="shared" ca="1" si="3"/>
        <v/>
      </c>
      <c r="L308" s="29" t="str">
        <f ca="1">VLOOKUP(A308,Calculation!$G$6:$S$1004,2,FALSE)</f>
        <v/>
      </c>
      <c r="M308" s="4" t="str">
        <f ca="1">IFERROR(VLOOKUP($L308,Calculation!$H$6:$S$1005,HLOOKUP(M$2,Calculation!$M$4:$S$5,2,FALSE)+5,FALSE),"")</f>
        <v/>
      </c>
      <c r="N308" s="4" t="str">
        <f ca="1">IFERROR(VLOOKUP($L308,Calculation!$H$6:$S$1005,HLOOKUP(N$2,Calculation!$M$4:$S$5,2,FALSE)+5,FALSE),"")</f>
        <v/>
      </c>
      <c r="O308" s="4" t="str">
        <f ca="1">IFERROR(VLOOKUP($L308,Calculation!$H$6:$S$1005,HLOOKUP(O$2,Calculation!$M$4:$S$5,2,FALSE)+5,FALSE),"")</f>
        <v/>
      </c>
      <c r="P308" s="4" t="str">
        <f ca="1">IFERROR(VLOOKUP($L308,Calculation!$H$6:$S$1005,HLOOKUP(P$2,Calculation!$M$4:$S$5,2,FALSE)+5,FALSE),"")</f>
        <v/>
      </c>
      <c r="Q308" s="4" t="str">
        <f ca="1">IFERROR(VLOOKUP($L308,Calculation!$H$6:$S$1005,HLOOKUP(Q$2,Calculation!$M$4:$S$5,2,FALSE)+5,FALSE),"")</f>
        <v/>
      </c>
      <c r="R308" s="27" t="str">
        <f ca="1">IFERROR(VLOOKUP($L308,Calculation!$H$6:$S$1005,HLOOKUP(R$2,Calculation!$M$4:$S$5,2,FALSE)+5,FALSE),"")</f>
        <v/>
      </c>
      <c r="S308" s="4" t="str">
        <f ca="1">IFERROR(VLOOKUP($L308,Calculation!$H$6:$S$1005,HLOOKUP(S$2,Calculation!$M$4:$S$5,2,FALSE)+5,FALSE),"")</f>
        <v/>
      </c>
      <c r="T308" s="29"/>
      <c r="U308" s="43" t="str">
        <f>IFERROR(VLOOKUP(T308,Calculation!$U$6:$V$11,2,FALSE),"")</f>
        <v/>
      </c>
    </row>
    <row r="309" spans="1:21" ht="14.25" customHeight="1" x14ac:dyDescent="0.3">
      <c r="A309" s="26" t="str">
        <f ca="1">IF(Calculation!T312&lt;=Calculation!$H$4,Calculation!T312,"")</f>
        <v/>
      </c>
      <c r="B309" s="4" t="str">
        <f ca="1">VLOOKUP(A309,Calculation!$E$6:$J$1004,4,FALSE)</f>
        <v/>
      </c>
      <c r="C309" s="4" t="str">
        <f ca="1">VLOOKUP(A309,Calculation!$E$6:$J$1004,5,FALSE)</f>
        <v/>
      </c>
      <c r="D309" s="4" t="str">
        <f ca="1">VLOOKUP(A309,Calculation!$E$6:$J$1004,6,FALSE)</f>
        <v/>
      </c>
      <c r="E309" s="42" t="str">
        <f t="shared" ca="1" si="2"/>
        <v/>
      </c>
      <c r="G309" s="29" t="str">
        <f ca="1">VLOOKUP(A309,Calculation!$F$6:$J$1004,3,FALSE)</f>
        <v/>
      </c>
      <c r="H309" s="4" t="str">
        <f ca="1">VLOOKUP(A309,Calculation!$F$6:$J$1004,4,FALSE)</f>
        <v/>
      </c>
      <c r="I309" s="4" t="str">
        <f ca="1">VLOOKUP(A309,Calculation!$F$6:$J$1004,5,FALSE)</f>
        <v/>
      </c>
      <c r="J309" s="43" t="str">
        <f t="shared" ca="1" si="3"/>
        <v/>
      </c>
      <c r="L309" s="29" t="str">
        <f ca="1">VLOOKUP(A309,Calculation!$G$6:$S$1004,2,FALSE)</f>
        <v/>
      </c>
      <c r="M309" s="4" t="str">
        <f ca="1">IFERROR(VLOOKUP($L309,Calculation!$H$6:$S$1005,HLOOKUP(M$2,Calculation!$M$4:$S$5,2,FALSE)+5,FALSE),"")</f>
        <v/>
      </c>
      <c r="N309" s="4" t="str">
        <f ca="1">IFERROR(VLOOKUP($L309,Calculation!$H$6:$S$1005,HLOOKUP(N$2,Calculation!$M$4:$S$5,2,FALSE)+5,FALSE),"")</f>
        <v/>
      </c>
      <c r="O309" s="4" t="str">
        <f ca="1">IFERROR(VLOOKUP($L309,Calculation!$H$6:$S$1005,HLOOKUP(O$2,Calculation!$M$4:$S$5,2,FALSE)+5,FALSE),"")</f>
        <v/>
      </c>
      <c r="P309" s="4" t="str">
        <f ca="1">IFERROR(VLOOKUP($L309,Calculation!$H$6:$S$1005,HLOOKUP(P$2,Calculation!$M$4:$S$5,2,FALSE)+5,FALSE),"")</f>
        <v/>
      </c>
      <c r="Q309" s="4" t="str">
        <f ca="1">IFERROR(VLOOKUP($L309,Calculation!$H$6:$S$1005,HLOOKUP(Q$2,Calculation!$M$4:$S$5,2,FALSE)+5,FALSE),"")</f>
        <v/>
      </c>
      <c r="R309" s="27" t="str">
        <f ca="1">IFERROR(VLOOKUP($L309,Calculation!$H$6:$S$1005,HLOOKUP(R$2,Calculation!$M$4:$S$5,2,FALSE)+5,FALSE),"")</f>
        <v/>
      </c>
      <c r="S309" s="4" t="str">
        <f ca="1">IFERROR(VLOOKUP($L309,Calculation!$H$6:$S$1005,HLOOKUP(S$2,Calculation!$M$4:$S$5,2,FALSE)+5,FALSE),"")</f>
        <v/>
      </c>
      <c r="T309" s="29"/>
      <c r="U309" s="43" t="str">
        <f>IFERROR(VLOOKUP(T309,Calculation!$U$6:$V$11,2,FALSE),"")</f>
        <v/>
      </c>
    </row>
    <row r="310" spans="1:21" ht="14.25" customHeight="1" x14ac:dyDescent="0.3">
      <c r="A310" s="26" t="str">
        <f ca="1">IF(Calculation!T313&lt;=Calculation!$H$4,Calculation!T313,"")</f>
        <v/>
      </c>
      <c r="B310" s="4" t="str">
        <f ca="1">VLOOKUP(A310,Calculation!$E$6:$J$1004,4,FALSE)</f>
        <v/>
      </c>
      <c r="C310" s="4" t="str">
        <f ca="1">VLOOKUP(A310,Calculation!$E$6:$J$1004,5,FALSE)</f>
        <v/>
      </c>
      <c r="D310" s="4" t="str">
        <f ca="1">VLOOKUP(A310,Calculation!$E$6:$J$1004,6,FALSE)</f>
        <v/>
      </c>
      <c r="E310" s="42" t="str">
        <f t="shared" ca="1" si="2"/>
        <v/>
      </c>
      <c r="G310" s="29" t="str">
        <f ca="1">VLOOKUP(A310,Calculation!$F$6:$J$1004,3,FALSE)</f>
        <v/>
      </c>
      <c r="H310" s="4" t="str">
        <f ca="1">VLOOKUP(A310,Calculation!$F$6:$J$1004,4,FALSE)</f>
        <v/>
      </c>
      <c r="I310" s="4" t="str">
        <f ca="1">VLOOKUP(A310,Calculation!$F$6:$J$1004,5,FALSE)</f>
        <v/>
      </c>
      <c r="J310" s="43" t="str">
        <f t="shared" ca="1" si="3"/>
        <v/>
      </c>
      <c r="L310" s="29" t="str">
        <f ca="1">VLOOKUP(A310,Calculation!$G$6:$S$1004,2,FALSE)</f>
        <v/>
      </c>
      <c r="M310" s="4" t="str">
        <f ca="1">IFERROR(VLOOKUP($L310,Calculation!$H$6:$S$1005,HLOOKUP(M$2,Calculation!$M$4:$S$5,2,FALSE)+5,FALSE),"")</f>
        <v/>
      </c>
      <c r="N310" s="4" t="str">
        <f ca="1">IFERROR(VLOOKUP($L310,Calculation!$H$6:$S$1005,HLOOKUP(N$2,Calculation!$M$4:$S$5,2,FALSE)+5,FALSE),"")</f>
        <v/>
      </c>
      <c r="O310" s="4" t="str">
        <f ca="1">IFERROR(VLOOKUP($L310,Calculation!$H$6:$S$1005,HLOOKUP(O$2,Calculation!$M$4:$S$5,2,FALSE)+5,FALSE),"")</f>
        <v/>
      </c>
      <c r="P310" s="4" t="str">
        <f ca="1">IFERROR(VLOOKUP($L310,Calculation!$H$6:$S$1005,HLOOKUP(P$2,Calculation!$M$4:$S$5,2,FALSE)+5,FALSE),"")</f>
        <v/>
      </c>
      <c r="Q310" s="4" t="str">
        <f ca="1">IFERROR(VLOOKUP($L310,Calculation!$H$6:$S$1005,HLOOKUP(Q$2,Calculation!$M$4:$S$5,2,FALSE)+5,FALSE),"")</f>
        <v/>
      </c>
      <c r="R310" s="27" t="str">
        <f ca="1">IFERROR(VLOOKUP($L310,Calculation!$H$6:$S$1005,HLOOKUP(R$2,Calculation!$M$4:$S$5,2,FALSE)+5,FALSE),"")</f>
        <v/>
      </c>
      <c r="S310" s="4" t="str">
        <f ca="1">IFERROR(VLOOKUP($L310,Calculation!$H$6:$S$1005,HLOOKUP(S$2,Calculation!$M$4:$S$5,2,FALSE)+5,FALSE),"")</f>
        <v/>
      </c>
      <c r="T310" s="29"/>
      <c r="U310" s="43" t="str">
        <f>IFERROR(VLOOKUP(T310,Calculation!$U$6:$V$11,2,FALSE),"")</f>
        <v/>
      </c>
    </row>
    <row r="311" spans="1:21" ht="14.25" customHeight="1" x14ac:dyDescent="0.3">
      <c r="A311" s="26" t="str">
        <f ca="1">IF(Calculation!T314&lt;=Calculation!$H$4,Calculation!T314,"")</f>
        <v/>
      </c>
      <c r="B311" s="4" t="str">
        <f ca="1">VLOOKUP(A311,Calculation!$E$6:$J$1004,4,FALSE)</f>
        <v/>
      </c>
      <c r="C311" s="4" t="str">
        <f ca="1">VLOOKUP(A311,Calculation!$E$6:$J$1004,5,FALSE)</f>
        <v/>
      </c>
      <c r="D311" s="4" t="str">
        <f ca="1">VLOOKUP(A311,Calculation!$E$6:$J$1004,6,FALSE)</f>
        <v/>
      </c>
      <c r="E311" s="42" t="str">
        <f t="shared" ca="1" si="2"/>
        <v/>
      </c>
      <c r="G311" s="29" t="str">
        <f ca="1">VLOOKUP(A311,Calculation!$F$6:$J$1004,3,FALSE)</f>
        <v/>
      </c>
      <c r="H311" s="4" t="str">
        <f ca="1">VLOOKUP(A311,Calculation!$F$6:$J$1004,4,FALSE)</f>
        <v/>
      </c>
      <c r="I311" s="4" t="str">
        <f ca="1">VLOOKUP(A311,Calculation!$F$6:$J$1004,5,FALSE)</f>
        <v/>
      </c>
      <c r="J311" s="43" t="str">
        <f t="shared" ca="1" si="3"/>
        <v/>
      </c>
      <c r="L311" s="29" t="str">
        <f ca="1">VLOOKUP(A311,Calculation!$G$6:$S$1004,2,FALSE)</f>
        <v/>
      </c>
      <c r="M311" s="4" t="str">
        <f ca="1">IFERROR(VLOOKUP($L311,Calculation!$H$6:$S$1005,HLOOKUP(M$2,Calculation!$M$4:$S$5,2,FALSE)+5,FALSE),"")</f>
        <v/>
      </c>
      <c r="N311" s="4" t="str">
        <f ca="1">IFERROR(VLOOKUP($L311,Calculation!$H$6:$S$1005,HLOOKUP(N$2,Calculation!$M$4:$S$5,2,FALSE)+5,FALSE),"")</f>
        <v/>
      </c>
      <c r="O311" s="4" t="str">
        <f ca="1">IFERROR(VLOOKUP($L311,Calculation!$H$6:$S$1005,HLOOKUP(O$2,Calculation!$M$4:$S$5,2,FALSE)+5,FALSE),"")</f>
        <v/>
      </c>
      <c r="P311" s="4" t="str">
        <f ca="1">IFERROR(VLOOKUP($L311,Calculation!$H$6:$S$1005,HLOOKUP(P$2,Calculation!$M$4:$S$5,2,FALSE)+5,FALSE),"")</f>
        <v/>
      </c>
      <c r="Q311" s="4" t="str">
        <f ca="1">IFERROR(VLOOKUP($L311,Calculation!$H$6:$S$1005,HLOOKUP(Q$2,Calculation!$M$4:$S$5,2,FALSE)+5,FALSE),"")</f>
        <v/>
      </c>
      <c r="R311" s="27" t="str">
        <f ca="1">IFERROR(VLOOKUP($L311,Calculation!$H$6:$S$1005,HLOOKUP(R$2,Calculation!$M$4:$S$5,2,FALSE)+5,FALSE),"")</f>
        <v/>
      </c>
      <c r="S311" s="4" t="str">
        <f ca="1">IFERROR(VLOOKUP($L311,Calculation!$H$6:$S$1005,HLOOKUP(S$2,Calculation!$M$4:$S$5,2,FALSE)+5,FALSE),"")</f>
        <v/>
      </c>
      <c r="T311" s="29"/>
      <c r="U311" s="43" t="str">
        <f>IFERROR(VLOOKUP(T311,Calculation!$U$6:$V$11,2,FALSE),"")</f>
        <v/>
      </c>
    </row>
    <row r="312" spans="1:21" ht="14.25" customHeight="1" x14ac:dyDescent="0.3">
      <c r="A312" s="26" t="str">
        <f ca="1">IF(Calculation!T315&lt;=Calculation!$H$4,Calculation!T315,"")</f>
        <v/>
      </c>
      <c r="B312" s="4" t="str">
        <f ca="1">VLOOKUP(A312,Calculation!$E$6:$J$1004,4,FALSE)</f>
        <v/>
      </c>
      <c r="C312" s="4" t="str">
        <f ca="1">VLOOKUP(A312,Calculation!$E$6:$J$1004,5,FALSE)</f>
        <v/>
      </c>
      <c r="D312" s="4" t="str">
        <f ca="1">VLOOKUP(A312,Calculation!$E$6:$J$1004,6,FALSE)</f>
        <v/>
      </c>
      <c r="E312" s="42" t="str">
        <f t="shared" ca="1" si="2"/>
        <v/>
      </c>
      <c r="G312" s="29" t="str">
        <f ca="1">VLOOKUP(A312,Calculation!$F$6:$J$1004,3,FALSE)</f>
        <v/>
      </c>
      <c r="H312" s="4" t="str">
        <f ca="1">VLOOKUP(A312,Calculation!$F$6:$J$1004,4,FALSE)</f>
        <v/>
      </c>
      <c r="I312" s="4" t="str">
        <f ca="1">VLOOKUP(A312,Calculation!$F$6:$J$1004,5,FALSE)</f>
        <v/>
      </c>
      <c r="J312" s="43" t="str">
        <f t="shared" ca="1" si="3"/>
        <v/>
      </c>
      <c r="L312" s="29" t="str">
        <f ca="1">VLOOKUP(A312,Calculation!$G$6:$S$1004,2,FALSE)</f>
        <v/>
      </c>
      <c r="M312" s="4" t="str">
        <f ca="1">IFERROR(VLOOKUP($L312,Calculation!$H$6:$S$1005,HLOOKUP(M$2,Calculation!$M$4:$S$5,2,FALSE)+5,FALSE),"")</f>
        <v/>
      </c>
      <c r="N312" s="4" t="str">
        <f ca="1">IFERROR(VLOOKUP($L312,Calculation!$H$6:$S$1005,HLOOKUP(N$2,Calculation!$M$4:$S$5,2,FALSE)+5,FALSE),"")</f>
        <v/>
      </c>
      <c r="O312" s="4" t="str">
        <f ca="1">IFERROR(VLOOKUP($L312,Calculation!$H$6:$S$1005,HLOOKUP(O$2,Calculation!$M$4:$S$5,2,FALSE)+5,FALSE),"")</f>
        <v/>
      </c>
      <c r="P312" s="4" t="str">
        <f ca="1">IFERROR(VLOOKUP($L312,Calculation!$H$6:$S$1005,HLOOKUP(P$2,Calculation!$M$4:$S$5,2,FALSE)+5,FALSE),"")</f>
        <v/>
      </c>
      <c r="Q312" s="4" t="str">
        <f ca="1">IFERROR(VLOOKUP($L312,Calculation!$H$6:$S$1005,HLOOKUP(Q$2,Calculation!$M$4:$S$5,2,FALSE)+5,FALSE),"")</f>
        <v/>
      </c>
      <c r="R312" s="27" t="str">
        <f ca="1">IFERROR(VLOOKUP($L312,Calculation!$H$6:$S$1005,HLOOKUP(R$2,Calculation!$M$4:$S$5,2,FALSE)+5,FALSE),"")</f>
        <v/>
      </c>
      <c r="S312" s="4" t="str">
        <f ca="1">IFERROR(VLOOKUP($L312,Calculation!$H$6:$S$1005,HLOOKUP(S$2,Calculation!$M$4:$S$5,2,FALSE)+5,FALSE),"")</f>
        <v/>
      </c>
      <c r="T312" s="29"/>
      <c r="U312" s="43" t="str">
        <f>IFERROR(VLOOKUP(T312,Calculation!$U$6:$V$11,2,FALSE),"")</f>
        <v/>
      </c>
    </row>
    <row r="313" spans="1:21" ht="14.25" customHeight="1" x14ac:dyDescent="0.3">
      <c r="A313" s="26" t="str">
        <f ca="1">IF(Calculation!T316&lt;=Calculation!$H$4,Calculation!T316,"")</f>
        <v/>
      </c>
      <c r="B313" s="4" t="str">
        <f ca="1">VLOOKUP(A313,Calculation!$E$6:$J$1004,4,FALSE)</f>
        <v/>
      </c>
      <c r="C313" s="4" t="str">
        <f ca="1">VLOOKUP(A313,Calculation!$E$6:$J$1004,5,FALSE)</f>
        <v/>
      </c>
      <c r="D313" s="4" t="str">
        <f ca="1">VLOOKUP(A313,Calculation!$E$6:$J$1004,6,FALSE)</f>
        <v/>
      </c>
      <c r="E313" s="42" t="str">
        <f t="shared" ca="1" si="2"/>
        <v/>
      </c>
      <c r="G313" s="29" t="str">
        <f ca="1">VLOOKUP(A313,Calculation!$F$6:$J$1004,3,FALSE)</f>
        <v/>
      </c>
      <c r="H313" s="4" t="str">
        <f ca="1">VLOOKUP(A313,Calculation!$F$6:$J$1004,4,FALSE)</f>
        <v/>
      </c>
      <c r="I313" s="4" t="str">
        <f ca="1">VLOOKUP(A313,Calculation!$F$6:$J$1004,5,FALSE)</f>
        <v/>
      </c>
      <c r="J313" s="43" t="str">
        <f t="shared" ca="1" si="3"/>
        <v/>
      </c>
      <c r="L313" s="29" t="str">
        <f ca="1">VLOOKUP(A313,Calculation!$G$6:$S$1004,2,FALSE)</f>
        <v/>
      </c>
      <c r="M313" s="4" t="str">
        <f ca="1">IFERROR(VLOOKUP($L313,Calculation!$H$6:$S$1005,HLOOKUP(M$2,Calculation!$M$4:$S$5,2,FALSE)+5,FALSE),"")</f>
        <v/>
      </c>
      <c r="N313" s="4" t="str">
        <f ca="1">IFERROR(VLOOKUP($L313,Calculation!$H$6:$S$1005,HLOOKUP(N$2,Calculation!$M$4:$S$5,2,FALSE)+5,FALSE),"")</f>
        <v/>
      </c>
      <c r="O313" s="4" t="str">
        <f ca="1">IFERROR(VLOOKUP($L313,Calculation!$H$6:$S$1005,HLOOKUP(O$2,Calculation!$M$4:$S$5,2,FALSE)+5,FALSE),"")</f>
        <v/>
      </c>
      <c r="P313" s="4" t="str">
        <f ca="1">IFERROR(VLOOKUP($L313,Calculation!$H$6:$S$1005,HLOOKUP(P$2,Calculation!$M$4:$S$5,2,FALSE)+5,FALSE),"")</f>
        <v/>
      </c>
      <c r="Q313" s="4" t="str">
        <f ca="1">IFERROR(VLOOKUP($L313,Calculation!$H$6:$S$1005,HLOOKUP(Q$2,Calculation!$M$4:$S$5,2,FALSE)+5,FALSE),"")</f>
        <v/>
      </c>
      <c r="R313" s="27" t="str">
        <f ca="1">IFERROR(VLOOKUP($L313,Calculation!$H$6:$S$1005,HLOOKUP(R$2,Calculation!$M$4:$S$5,2,FALSE)+5,FALSE),"")</f>
        <v/>
      </c>
      <c r="S313" s="4" t="str">
        <f ca="1">IFERROR(VLOOKUP($L313,Calculation!$H$6:$S$1005,HLOOKUP(S$2,Calculation!$M$4:$S$5,2,FALSE)+5,FALSE),"")</f>
        <v/>
      </c>
      <c r="T313" s="29"/>
      <c r="U313" s="43" t="str">
        <f>IFERROR(VLOOKUP(T313,Calculation!$U$6:$V$11,2,FALSE),"")</f>
        <v/>
      </c>
    </row>
    <row r="314" spans="1:21" ht="14.25" customHeight="1" x14ac:dyDescent="0.3">
      <c r="A314" s="26" t="str">
        <f ca="1">IF(Calculation!T317&lt;=Calculation!$H$4,Calculation!T317,"")</f>
        <v/>
      </c>
      <c r="B314" s="4" t="str">
        <f ca="1">VLOOKUP(A314,Calculation!$E$6:$J$1004,4,FALSE)</f>
        <v/>
      </c>
      <c r="C314" s="4" t="str">
        <f ca="1">VLOOKUP(A314,Calculation!$E$6:$J$1004,5,FALSE)</f>
        <v/>
      </c>
      <c r="D314" s="4" t="str">
        <f ca="1">VLOOKUP(A314,Calculation!$E$6:$J$1004,6,FALSE)</f>
        <v/>
      </c>
      <c r="E314" s="42" t="str">
        <f t="shared" ca="1" si="2"/>
        <v/>
      </c>
      <c r="G314" s="29" t="str">
        <f ca="1">VLOOKUP(A314,Calculation!$F$6:$J$1004,3,FALSE)</f>
        <v/>
      </c>
      <c r="H314" s="4" t="str">
        <f ca="1">VLOOKUP(A314,Calculation!$F$6:$J$1004,4,FALSE)</f>
        <v/>
      </c>
      <c r="I314" s="4" t="str">
        <f ca="1">VLOOKUP(A314,Calculation!$F$6:$J$1004,5,FALSE)</f>
        <v/>
      </c>
      <c r="J314" s="43" t="str">
        <f t="shared" ca="1" si="3"/>
        <v/>
      </c>
      <c r="L314" s="29" t="str">
        <f ca="1">VLOOKUP(A314,Calculation!$G$6:$S$1004,2,FALSE)</f>
        <v/>
      </c>
      <c r="M314" s="4" t="str">
        <f ca="1">IFERROR(VLOOKUP($L314,Calculation!$H$6:$S$1005,HLOOKUP(M$2,Calculation!$M$4:$S$5,2,FALSE)+5,FALSE),"")</f>
        <v/>
      </c>
      <c r="N314" s="4" t="str">
        <f ca="1">IFERROR(VLOOKUP($L314,Calculation!$H$6:$S$1005,HLOOKUP(N$2,Calculation!$M$4:$S$5,2,FALSE)+5,FALSE),"")</f>
        <v/>
      </c>
      <c r="O314" s="4" t="str">
        <f ca="1">IFERROR(VLOOKUP($L314,Calculation!$H$6:$S$1005,HLOOKUP(O$2,Calculation!$M$4:$S$5,2,FALSE)+5,FALSE),"")</f>
        <v/>
      </c>
      <c r="P314" s="4" t="str">
        <f ca="1">IFERROR(VLOOKUP($L314,Calculation!$H$6:$S$1005,HLOOKUP(P$2,Calculation!$M$4:$S$5,2,FALSE)+5,FALSE),"")</f>
        <v/>
      </c>
      <c r="Q314" s="4" t="str">
        <f ca="1">IFERROR(VLOOKUP($L314,Calculation!$H$6:$S$1005,HLOOKUP(Q$2,Calculation!$M$4:$S$5,2,FALSE)+5,FALSE),"")</f>
        <v/>
      </c>
      <c r="R314" s="27" t="str">
        <f ca="1">IFERROR(VLOOKUP($L314,Calculation!$H$6:$S$1005,HLOOKUP(R$2,Calculation!$M$4:$S$5,2,FALSE)+5,FALSE),"")</f>
        <v/>
      </c>
      <c r="S314" s="4" t="str">
        <f ca="1">IFERROR(VLOOKUP($L314,Calculation!$H$6:$S$1005,HLOOKUP(S$2,Calculation!$M$4:$S$5,2,FALSE)+5,FALSE),"")</f>
        <v/>
      </c>
      <c r="T314" s="29"/>
      <c r="U314" s="43" t="str">
        <f>IFERROR(VLOOKUP(T314,Calculation!$U$6:$V$11,2,FALSE),"")</f>
        <v/>
      </c>
    </row>
    <row r="315" spans="1:21" ht="14.25" customHeight="1" x14ac:dyDescent="0.3">
      <c r="A315" s="26" t="str">
        <f ca="1">IF(Calculation!T318&lt;=Calculation!$H$4,Calculation!T318,"")</f>
        <v/>
      </c>
      <c r="B315" s="4" t="str">
        <f ca="1">VLOOKUP(A315,Calculation!$E$6:$J$1004,4,FALSE)</f>
        <v/>
      </c>
      <c r="C315" s="4" t="str">
        <f ca="1">VLOOKUP(A315,Calculation!$E$6:$J$1004,5,FALSE)</f>
        <v/>
      </c>
      <c r="D315" s="4" t="str">
        <f ca="1">VLOOKUP(A315,Calculation!$E$6:$J$1004,6,FALSE)</f>
        <v/>
      </c>
      <c r="E315" s="42" t="str">
        <f t="shared" ca="1" si="2"/>
        <v/>
      </c>
      <c r="G315" s="29" t="str">
        <f ca="1">VLOOKUP(A315,Calculation!$F$6:$J$1004,3,FALSE)</f>
        <v/>
      </c>
      <c r="H315" s="4" t="str">
        <f ca="1">VLOOKUP(A315,Calculation!$F$6:$J$1004,4,FALSE)</f>
        <v/>
      </c>
      <c r="I315" s="4" t="str">
        <f ca="1">VLOOKUP(A315,Calculation!$F$6:$J$1004,5,FALSE)</f>
        <v/>
      </c>
      <c r="J315" s="43" t="str">
        <f t="shared" ca="1" si="3"/>
        <v/>
      </c>
      <c r="L315" s="29" t="str">
        <f ca="1">VLOOKUP(A315,Calculation!$G$6:$S$1004,2,FALSE)</f>
        <v/>
      </c>
      <c r="M315" s="4" t="str">
        <f ca="1">IFERROR(VLOOKUP($L315,Calculation!$H$6:$S$1005,HLOOKUP(M$2,Calculation!$M$4:$S$5,2,FALSE)+5,FALSE),"")</f>
        <v/>
      </c>
      <c r="N315" s="4" t="str">
        <f ca="1">IFERROR(VLOOKUP($L315,Calculation!$H$6:$S$1005,HLOOKUP(N$2,Calculation!$M$4:$S$5,2,FALSE)+5,FALSE),"")</f>
        <v/>
      </c>
      <c r="O315" s="4" t="str">
        <f ca="1">IFERROR(VLOOKUP($L315,Calculation!$H$6:$S$1005,HLOOKUP(O$2,Calculation!$M$4:$S$5,2,FALSE)+5,FALSE),"")</f>
        <v/>
      </c>
      <c r="P315" s="4" t="str">
        <f ca="1">IFERROR(VLOOKUP($L315,Calculation!$H$6:$S$1005,HLOOKUP(P$2,Calculation!$M$4:$S$5,2,FALSE)+5,FALSE),"")</f>
        <v/>
      </c>
      <c r="Q315" s="4" t="str">
        <f ca="1">IFERROR(VLOOKUP($L315,Calculation!$H$6:$S$1005,HLOOKUP(Q$2,Calculation!$M$4:$S$5,2,FALSE)+5,FALSE),"")</f>
        <v/>
      </c>
      <c r="R315" s="27" t="str">
        <f ca="1">IFERROR(VLOOKUP($L315,Calculation!$H$6:$S$1005,HLOOKUP(R$2,Calculation!$M$4:$S$5,2,FALSE)+5,FALSE),"")</f>
        <v/>
      </c>
      <c r="S315" s="4" t="str">
        <f ca="1">IFERROR(VLOOKUP($L315,Calculation!$H$6:$S$1005,HLOOKUP(S$2,Calculation!$M$4:$S$5,2,FALSE)+5,FALSE),"")</f>
        <v/>
      </c>
      <c r="T315" s="29"/>
      <c r="U315" s="43" t="str">
        <f>IFERROR(VLOOKUP(T315,Calculation!$U$6:$V$11,2,FALSE),"")</f>
        <v/>
      </c>
    </row>
    <row r="316" spans="1:21" ht="14.25" customHeight="1" x14ac:dyDescent="0.3">
      <c r="A316" s="26" t="str">
        <f ca="1">IF(Calculation!T319&lt;=Calculation!$H$4,Calculation!T319,"")</f>
        <v/>
      </c>
      <c r="B316" s="4" t="str">
        <f ca="1">VLOOKUP(A316,Calculation!$E$6:$J$1004,4,FALSE)</f>
        <v/>
      </c>
      <c r="C316" s="4" t="str">
        <f ca="1">VLOOKUP(A316,Calculation!$E$6:$J$1004,5,FALSE)</f>
        <v/>
      </c>
      <c r="D316" s="4" t="str">
        <f ca="1">VLOOKUP(A316,Calculation!$E$6:$J$1004,6,FALSE)</f>
        <v/>
      </c>
      <c r="E316" s="42" t="str">
        <f t="shared" ca="1" si="2"/>
        <v/>
      </c>
      <c r="G316" s="29" t="str">
        <f ca="1">VLOOKUP(A316,Calculation!$F$6:$J$1004,3,FALSE)</f>
        <v/>
      </c>
      <c r="H316" s="4" t="str">
        <f ca="1">VLOOKUP(A316,Calculation!$F$6:$J$1004,4,FALSE)</f>
        <v/>
      </c>
      <c r="I316" s="4" t="str">
        <f ca="1">VLOOKUP(A316,Calculation!$F$6:$J$1004,5,FALSE)</f>
        <v/>
      </c>
      <c r="J316" s="43" t="str">
        <f t="shared" ca="1" si="3"/>
        <v/>
      </c>
      <c r="L316" s="29" t="str">
        <f ca="1">VLOOKUP(A316,Calculation!$G$6:$S$1004,2,FALSE)</f>
        <v/>
      </c>
      <c r="M316" s="4" t="str">
        <f ca="1">IFERROR(VLOOKUP($L316,Calculation!$H$6:$S$1005,HLOOKUP(M$2,Calculation!$M$4:$S$5,2,FALSE)+5,FALSE),"")</f>
        <v/>
      </c>
      <c r="N316" s="4" t="str">
        <f ca="1">IFERROR(VLOOKUP($L316,Calculation!$H$6:$S$1005,HLOOKUP(N$2,Calculation!$M$4:$S$5,2,FALSE)+5,FALSE),"")</f>
        <v/>
      </c>
      <c r="O316" s="4" t="str">
        <f ca="1">IFERROR(VLOOKUP($L316,Calculation!$H$6:$S$1005,HLOOKUP(O$2,Calculation!$M$4:$S$5,2,FALSE)+5,FALSE),"")</f>
        <v/>
      </c>
      <c r="P316" s="4" t="str">
        <f ca="1">IFERROR(VLOOKUP($L316,Calculation!$H$6:$S$1005,HLOOKUP(P$2,Calculation!$M$4:$S$5,2,FALSE)+5,FALSE),"")</f>
        <v/>
      </c>
      <c r="Q316" s="4" t="str">
        <f ca="1">IFERROR(VLOOKUP($L316,Calculation!$H$6:$S$1005,HLOOKUP(Q$2,Calculation!$M$4:$S$5,2,FALSE)+5,FALSE),"")</f>
        <v/>
      </c>
      <c r="R316" s="27" t="str">
        <f ca="1">IFERROR(VLOOKUP($L316,Calculation!$H$6:$S$1005,HLOOKUP(R$2,Calculation!$M$4:$S$5,2,FALSE)+5,FALSE),"")</f>
        <v/>
      </c>
      <c r="S316" s="4" t="str">
        <f ca="1">IFERROR(VLOOKUP($L316,Calculation!$H$6:$S$1005,HLOOKUP(S$2,Calculation!$M$4:$S$5,2,FALSE)+5,FALSE),"")</f>
        <v/>
      </c>
      <c r="T316" s="29"/>
      <c r="U316" s="43" t="str">
        <f>IFERROR(VLOOKUP(T316,Calculation!$U$6:$V$11,2,FALSE),"")</f>
        <v/>
      </c>
    </row>
    <row r="317" spans="1:21" ht="14.25" customHeight="1" x14ac:dyDescent="0.3">
      <c r="A317" s="26" t="str">
        <f ca="1">IF(Calculation!T320&lt;=Calculation!$H$4,Calculation!T320,"")</f>
        <v/>
      </c>
      <c r="B317" s="4" t="str">
        <f ca="1">VLOOKUP(A317,Calculation!$E$6:$J$1004,4,FALSE)</f>
        <v/>
      </c>
      <c r="C317" s="4" t="str">
        <f ca="1">VLOOKUP(A317,Calculation!$E$6:$J$1004,5,FALSE)</f>
        <v/>
      </c>
      <c r="D317" s="4" t="str">
        <f ca="1">VLOOKUP(A317,Calculation!$E$6:$J$1004,6,FALSE)</f>
        <v/>
      </c>
      <c r="E317" s="42" t="str">
        <f t="shared" ca="1" si="2"/>
        <v/>
      </c>
      <c r="G317" s="29" t="str">
        <f ca="1">VLOOKUP(A317,Calculation!$F$6:$J$1004,3,FALSE)</f>
        <v/>
      </c>
      <c r="H317" s="4" t="str">
        <f ca="1">VLOOKUP(A317,Calculation!$F$6:$J$1004,4,FALSE)</f>
        <v/>
      </c>
      <c r="I317" s="4" t="str">
        <f ca="1">VLOOKUP(A317,Calculation!$F$6:$J$1004,5,FALSE)</f>
        <v/>
      </c>
      <c r="J317" s="43" t="str">
        <f t="shared" ca="1" si="3"/>
        <v/>
      </c>
      <c r="L317" s="29" t="str">
        <f ca="1">VLOOKUP(A317,Calculation!$G$6:$S$1004,2,FALSE)</f>
        <v/>
      </c>
      <c r="M317" s="4" t="str">
        <f ca="1">IFERROR(VLOOKUP($L317,Calculation!$H$6:$S$1005,HLOOKUP(M$2,Calculation!$M$4:$S$5,2,FALSE)+5,FALSE),"")</f>
        <v/>
      </c>
      <c r="N317" s="4" t="str">
        <f ca="1">IFERROR(VLOOKUP($L317,Calculation!$H$6:$S$1005,HLOOKUP(N$2,Calculation!$M$4:$S$5,2,FALSE)+5,FALSE),"")</f>
        <v/>
      </c>
      <c r="O317" s="4" t="str">
        <f ca="1">IFERROR(VLOOKUP($L317,Calculation!$H$6:$S$1005,HLOOKUP(O$2,Calculation!$M$4:$S$5,2,FALSE)+5,FALSE),"")</f>
        <v/>
      </c>
      <c r="P317" s="4" t="str">
        <f ca="1">IFERROR(VLOOKUP($L317,Calculation!$H$6:$S$1005,HLOOKUP(P$2,Calculation!$M$4:$S$5,2,FALSE)+5,FALSE),"")</f>
        <v/>
      </c>
      <c r="Q317" s="4" t="str">
        <f ca="1">IFERROR(VLOOKUP($L317,Calculation!$H$6:$S$1005,HLOOKUP(Q$2,Calculation!$M$4:$S$5,2,FALSE)+5,FALSE),"")</f>
        <v/>
      </c>
      <c r="R317" s="27" t="str">
        <f ca="1">IFERROR(VLOOKUP($L317,Calculation!$H$6:$S$1005,HLOOKUP(R$2,Calculation!$M$4:$S$5,2,FALSE)+5,FALSE),"")</f>
        <v/>
      </c>
      <c r="S317" s="4" t="str">
        <f ca="1">IFERROR(VLOOKUP($L317,Calculation!$H$6:$S$1005,HLOOKUP(S$2,Calculation!$M$4:$S$5,2,FALSE)+5,FALSE),"")</f>
        <v/>
      </c>
      <c r="T317" s="29"/>
      <c r="U317" s="43" t="str">
        <f>IFERROR(VLOOKUP(T317,Calculation!$U$6:$V$11,2,FALSE),"")</f>
        <v/>
      </c>
    </row>
    <row r="318" spans="1:21" ht="14.25" customHeight="1" x14ac:dyDescent="0.3">
      <c r="A318" s="26" t="str">
        <f ca="1">IF(Calculation!T321&lt;=Calculation!$H$4,Calculation!T321,"")</f>
        <v/>
      </c>
      <c r="B318" s="4" t="str">
        <f ca="1">VLOOKUP(A318,Calculation!$E$6:$J$1004,4,FALSE)</f>
        <v/>
      </c>
      <c r="C318" s="4" t="str">
        <f ca="1">VLOOKUP(A318,Calculation!$E$6:$J$1004,5,FALSE)</f>
        <v/>
      </c>
      <c r="D318" s="4" t="str">
        <f ca="1">VLOOKUP(A318,Calculation!$E$6:$J$1004,6,FALSE)</f>
        <v/>
      </c>
      <c r="E318" s="42" t="str">
        <f t="shared" ca="1" si="2"/>
        <v/>
      </c>
      <c r="G318" s="29" t="str">
        <f ca="1">VLOOKUP(A318,Calculation!$F$6:$J$1004,3,FALSE)</f>
        <v/>
      </c>
      <c r="H318" s="4" t="str">
        <f ca="1">VLOOKUP(A318,Calculation!$F$6:$J$1004,4,FALSE)</f>
        <v/>
      </c>
      <c r="I318" s="4" t="str">
        <f ca="1">VLOOKUP(A318,Calculation!$F$6:$J$1004,5,FALSE)</f>
        <v/>
      </c>
      <c r="J318" s="43" t="str">
        <f t="shared" ca="1" si="3"/>
        <v/>
      </c>
      <c r="L318" s="29" t="str">
        <f ca="1">VLOOKUP(A318,Calculation!$G$6:$S$1004,2,FALSE)</f>
        <v/>
      </c>
      <c r="M318" s="4" t="str">
        <f ca="1">IFERROR(VLOOKUP($L318,Calculation!$H$6:$S$1005,HLOOKUP(M$2,Calculation!$M$4:$S$5,2,FALSE)+5,FALSE),"")</f>
        <v/>
      </c>
      <c r="N318" s="4" t="str">
        <f ca="1">IFERROR(VLOOKUP($L318,Calculation!$H$6:$S$1005,HLOOKUP(N$2,Calculation!$M$4:$S$5,2,FALSE)+5,FALSE),"")</f>
        <v/>
      </c>
      <c r="O318" s="4" t="str">
        <f ca="1">IFERROR(VLOOKUP($L318,Calculation!$H$6:$S$1005,HLOOKUP(O$2,Calculation!$M$4:$S$5,2,FALSE)+5,FALSE),"")</f>
        <v/>
      </c>
      <c r="P318" s="4" t="str">
        <f ca="1">IFERROR(VLOOKUP($L318,Calculation!$H$6:$S$1005,HLOOKUP(P$2,Calculation!$M$4:$S$5,2,FALSE)+5,FALSE),"")</f>
        <v/>
      </c>
      <c r="Q318" s="4" t="str">
        <f ca="1">IFERROR(VLOOKUP($L318,Calculation!$H$6:$S$1005,HLOOKUP(Q$2,Calculation!$M$4:$S$5,2,FALSE)+5,FALSE),"")</f>
        <v/>
      </c>
      <c r="R318" s="27" t="str">
        <f ca="1">IFERROR(VLOOKUP($L318,Calculation!$H$6:$S$1005,HLOOKUP(R$2,Calculation!$M$4:$S$5,2,FALSE)+5,FALSE),"")</f>
        <v/>
      </c>
      <c r="S318" s="4" t="str">
        <f ca="1">IFERROR(VLOOKUP($L318,Calculation!$H$6:$S$1005,HLOOKUP(S$2,Calculation!$M$4:$S$5,2,FALSE)+5,FALSE),"")</f>
        <v/>
      </c>
      <c r="T318" s="29"/>
      <c r="U318" s="43" t="str">
        <f>IFERROR(VLOOKUP(T318,Calculation!$U$6:$V$11,2,FALSE),"")</f>
        <v/>
      </c>
    </row>
    <row r="319" spans="1:21" ht="14.25" customHeight="1" x14ac:dyDescent="0.3">
      <c r="A319" s="26" t="str">
        <f ca="1">IF(Calculation!T322&lt;=Calculation!$H$4,Calculation!T322,"")</f>
        <v/>
      </c>
      <c r="B319" s="4" t="str">
        <f ca="1">VLOOKUP(A319,Calculation!$E$6:$J$1004,4,FALSE)</f>
        <v/>
      </c>
      <c r="C319" s="4" t="str">
        <f ca="1">VLOOKUP(A319,Calculation!$E$6:$J$1004,5,FALSE)</f>
        <v/>
      </c>
      <c r="D319" s="4" t="str">
        <f ca="1">VLOOKUP(A319,Calculation!$E$6:$J$1004,6,FALSE)</f>
        <v/>
      </c>
      <c r="E319" s="42" t="str">
        <f t="shared" ca="1" si="2"/>
        <v/>
      </c>
      <c r="G319" s="29" t="str">
        <f ca="1">VLOOKUP(A319,Calculation!$F$6:$J$1004,3,FALSE)</f>
        <v/>
      </c>
      <c r="H319" s="4" t="str">
        <f ca="1">VLOOKUP(A319,Calculation!$F$6:$J$1004,4,FALSE)</f>
        <v/>
      </c>
      <c r="I319" s="4" t="str">
        <f ca="1">VLOOKUP(A319,Calculation!$F$6:$J$1004,5,FALSE)</f>
        <v/>
      </c>
      <c r="J319" s="43" t="str">
        <f t="shared" ca="1" si="3"/>
        <v/>
      </c>
      <c r="L319" s="29" t="str">
        <f ca="1">VLOOKUP(A319,Calculation!$G$6:$S$1004,2,FALSE)</f>
        <v/>
      </c>
      <c r="M319" s="4" t="str">
        <f ca="1">IFERROR(VLOOKUP($L319,Calculation!$H$6:$S$1005,HLOOKUP(M$2,Calculation!$M$4:$S$5,2,FALSE)+5,FALSE),"")</f>
        <v/>
      </c>
      <c r="N319" s="4" t="str">
        <f ca="1">IFERROR(VLOOKUP($L319,Calculation!$H$6:$S$1005,HLOOKUP(N$2,Calculation!$M$4:$S$5,2,FALSE)+5,FALSE),"")</f>
        <v/>
      </c>
      <c r="O319" s="4" t="str">
        <f ca="1">IFERROR(VLOOKUP($L319,Calculation!$H$6:$S$1005,HLOOKUP(O$2,Calculation!$M$4:$S$5,2,FALSE)+5,FALSE),"")</f>
        <v/>
      </c>
      <c r="P319" s="4" t="str">
        <f ca="1">IFERROR(VLOOKUP($L319,Calculation!$H$6:$S$1005,HLOOKUP(P$2,Calculation!$M$4:$S$5,2,FALSE)+5,FALSE),"")</f>
        <v/>
      </c>
      <c r="Q319" s="4" t="str">
        <f ca="1">IFERROR(VLOOKUP($L319,Calculation!$H$6:$S$1005,HLOOKUP(Q$2,Calculation!$M$4:$S$5,2,FALSE)+5,FALSE),"")</f>
        <v/>
      </c>
      <c r="R319" s="27" t="str">
        <f ca="1">IFERROR(VLOOKUP($L319,Calculation!$H$6:$S$1005,HLOOKUP(R$2,Calculation!$M$4:$S$5,2,FALSE)+5,FALSE),"")</f>
        <v/>
      </c>
      <c r="S319" s="4" t="str">
        <f ca="1">IFERROR(VLOOKUP($L319,Calculation!$H$6:$S$1005,HLOOKUP(S$2,Calculation!$M$4:$S$5,2,FALSE)+5,FALSE),"")</f>
        <v/>
      </c>
      <c r="T319" s="29"/>
      <c r="U319" s="43" t="str">
        <f>IFERROR(VLOOKUP(T319,Calculation!$U$6:$V$11,2,FALSE),"")</f>
        <v/>
      </c>
    </row>
    <row r="320" spans="1:21" ht="14.25" customHeight="1" x14ac:dyDescent="0.3">
      <c r="A320" s="26" t="str">
        <f ca="1">IF(Calculation!T323&lt;=Calculation!$H$4,Calculation!T323,"")</f>
        <v/>
      </c>
      <c r="B320" s="4" t="str">
        <f ca="1">VLOOKUP(A320,Calculation!$E$6:$J$1004,4,FALSE)</f>
        <v/>
      </c>
      <c r="C320" s="4" t="str">
        <f ca="1">VLOOKUP(A320,Calculation!$E$6:$J$1004,5,FALSE)</f>
        <v/>
      </c>
      <c r="D320" s="4" t="str">
        <f ca="1">VLOOKUP(A320,Calculation!$E$6:$J$1004,6,FALSE)</f>
        <v/>
      </c>
      <c r="E320" s="42" t="str">
        <f t="shared" ca="1" si="2"/>
        <v/>
      </c>
      <c r="G320" s="29" t="str">
        <f ca="1">VLOOKUP(A320,Calculation!$F$6:$J$1004,3,FALSE)</f>
        <v/>
      </c>
      <c r="H320" s="4" t="str">
        <f ca="1">VLOOKUP(A320,Calculation!$F$6:$J$1004,4,FALSE)</f>
        <v/>
      </c>
      <c r="I320" s="4" t="str">
        <f ca="1">VLOOKUP(A320,Calculation!$F$6:$J$1004,5,FALSE)</f>
        <v/>
      </c>
      <c r="J320" s="43" t="str">
        <f t="shared" ca="1" si="3"/>
        <v/>
      </c>
      <c r="L320" s="29" t="str">
        <f ca="1">VLOOKUP(A320,Calculation!$G$6:$S$1004,2,FALSE)</f>
        <v/>
      </c>
      <c r="M320" s="4" t="str">
        <f ca="1">IFERROR(VLOOKUP($L320,Calculation!$H$6:$S$1005,HLOOKUP(M$2,Calculation!$M$4:$S$5,2,FALSE)+5,FALSE),"")</f>
        <v/>
      </c>
      <c r="N320" s="4" t="str">
        <f ca="1">IFERROR(VLOOKUP($L320,Calculation!$H$6:$S$1005,HLOOKUP(N$2,Calculation!$M$4:$S$5,2,FALSE)+5,FALSE),"")</f>
        <v/>
      </c>
      <c r="O320" s="4" t="str">
        <f ca="1">IFERROR(VLOOKUP($L320,Calculation!$H$6:$S$1005,HLOOKUP(O$2,Calculation!$M$4:$S$5,2,FALSE)+5,FALSE),"")</f>
        <v/>
      </c>
      <c r="P320" s="4" t="str">
        <f ca="1">IFERROR(VLOOKUP($L320,Calculation!$H$6:$S$1005,HLOOKUP(P$2,Calculation!$M$4:$S$5,2,FALSE)+5,FALSE),"")</f>
        <v/>
      </c>
      <c r="Q320" s="4" t="str">
        <f ca="1">IFERROR(VLOOKUP($L320,Calculation!$H$6:$S$1005,HLOOKUP(Q$2,Calculation!$M$4:$S$5,2,FALSE)+5,FALSE),"")</f>
        <v/>
      </c>
      <c r="R320" s="27" t="str">
        <f ca="1">IFERROR(VLOOKUP($L320,Calculation!$H$6:$S$1005,HLOOKUP(R$2,Calculation!$M$4:$S$5,2,FALSE)+5,FALSE),"")</f>
        <v/>
      </c>
      <c r="S320" s="4" t="str">
        <f ca="1">IFERROR(VLOOKUP($L320,Calculation!$H$6:$S$1005,HLOOKUP(S$2,Calculation!$M$4:$S$5,2,FALSE)+5,FALSE),"")</f>
        <v/>
      </c>
      <c r="T320" s="29"/>
      <c r="U320" s="43" t="str">
        <f>IFERROR(VLOOKUP(T320,Calculation!$U$6:$V$11,2,FALSE),"")</f>
        <v/>
      </c>
    </row>
    <row r="321" spans="1:21" ht="14.25" customHeight="1" x14ac:dyDescent="0.3">
      <c r="A321" s="26" t="str">
        <f ca="1">IF(Calculation!T324&lt;=Calculation!$H$4,Calculation!T324,"")</f>
        <v/>
      </c>
      <c r="B321" s="4" t="str">
        <f ca="1">VLOOKUP(A321,Calculation!$E$6:$J$1004,4,FALSE)</f>
        <v/>
      </c>
      <c r="C321" s="4" t="str">
        <f ca="1">VLOOKUP(A321,Calculation!$E$6:$J$1004,5,FALSE)</f>
        <v/>
      </c>
      <c r="D321" s="4" t="str">
        <f ca="1">VLOOKUP(A321,Calculation!$E$6:$J$1004,6,FALSE)</f>
        <v/>
      </c>
      <c r="E321" s="42" t="str">
        <f t="shared" ca="1" si="2"/>
        <v/>
      </c>
      <c r="G321" s="29" t="str">
        <f ca="1">VLOOKUP(A321,Calculation!$F$6:$J$1004,3,FALSE)</f>
        <v/>
      </c>
      <c r="H321" s="4" t="str">
        <f ca="1">VLOOKUP(A321,Calculation!$F$6:$J$1004,4,FALSE)</f>
        <v/>
      </c>
      <c r="I321" s="4" t="str">
        <f ca="1">VLOOKUP(A321,Calculation!$F$6:$J$1004,5,FALSE)</f>
        <v/>
      </c>
      <c r="J321" s="43" t="str">
        <f t="shared" ca="1" si="3"/>
        <v/>
      </c>
      <c r="L321" s="29" t="str">
        <f ca="1">VLOOKUP(A321,Calculation!$G$6:$S$1004,2,FALSE)</f>
        <v/>
      </c>
      <c r="M321" s="4" t="str">
        <f ca="1">IFERROR(VLOOKUP($L321,Calculation!$H$6:$S$1005,HLOOKUP(M$2,Calculation!$M$4:$S$5,2,FALSE)+5,FALSE),"")</f>
        <v/>
      </c>
      <c r="N321" s="4" t="str">
        <f ca="1">IFERROR(VLOOKUP($L321,Calculation!$H$6:$S$1005,HLOOKUP(N$2,Calculation!$M$4:$S$5,2,FALSE)+5,FALSE),"")</f>
        <v/>
      </c>
      <c r="O321" s="4" t="str">
        <f ca="1">IFERROR(VLOOKUP($L321,Calculation!$H$6:$S$1005,HLOOKUP(O$2,Calculation!$M$4:$S$5,2,FALSE)+5,FALSE),"")</f>
        <v/>
      </c>
      <c r="P321" s="4" t="str">
        <f ca="1">IFERROR(VLOOKUP($L321,Calculation!$H$6:$S$1005,HLOOKUP(P$2,Calculation!$M$4:$S$5,2,FALSE)+5,FALSE),"")</f>
        <v/>
      </c>
      <c r="Q321" s="4" t="str">
        <f ca="1">IFERROR(VLOOKUP($L321,Calculation!$H$6:$S$1005,HLOOKUP(Q$2,Calculation!$M$4:$S$5,2,FALSE)+5,FALSE),"")</f>
        <v/>
      </c>
      <c r="R321" s="27" t="str">
        <f ca="1">IFERROR(VLOOKUP($L321,Calculation!$H$6:$S$1005,HLOOKUP(R$2,Calculation!$M$4:$S$5,2,FALSE)+5,FALSE),"")</f>
        <v/>
      </c>
      <c r="S321" s="4" t="str">
        <f ca="1">IFERROR(VLOOKUP($L321,Calculation!$H$6:$S$1005,HLOOKUP(S$2,Calculation!$M$4:$S$5,2,FALSE)+5,FALSE),"")</f>
        <v/>
      </c>
      <c r="T321" s="29"/>
      <c r="U321" s="43" t="str">
        <f>IFERROR(VLOOKUP(T321,Calculation!$U$6:$V$11,2,FALSE),"")</f>
        <v/>
      </c>
    </row>
    <row r="322" spans="1:21" ht="14.25" customHeight="1" x14ac:dyDescent="0.3">
      <c r="A322" s="26" t="str">
        <f ca="1">IF(Calculation!T325&lt;=Calculation!$H$4,Calculation!T325,"")</f>
        <v/>
      </c>
      <c r="B322" s="4" t="str">
        <f ca="1">VLOOKUP(A322,Calculation!$E$6:$J$1004,4,FALSE)</f>
        <v/>
      </c>
      <c r="C322" s="4" t="str">
        <f ca="1">VLOOKUP(A322,Calculation!$E$6:$J$1004,5,FALSE)</f>
        <v/>
      </c>
      <c r="D322" s="4" t="str">
        <f ca="1">VLOOKUP(A322,Calculation!$E$6:$J$1004,6,FALSE)</f>
        <v/>
      </c>
      <c r="E322" s="42" t="str">
        <f t="shared" ca="1" si="2"/>
        <v/>
      </c>
      <c r="G322" s="29" t="str">
        <f ca="1">VLOOKUP(A322,Calculation!$F$6:$J$1004,3,FALSE)</f>
        <v/>
      </c>
      <c r="H322" s="4" t="str">
        <f ca="1">VLOOKUP(A322,Calculation!$F$6:$J$1004,4,FALSE)</f>
        <v/>
      </c>
      <c r="I322" s="4" t="str">
        <f ca="1">VLOOKUP(A322,Calculation!$F$6:$J$1004,5,FALSE)</f>
        <v/>
      </c>
      <c r="J322" s="43" t="str">
        <f t="shared" ca="1" si="3"/>
        <v/>
      </c>
      <c r="L322" s="29" t="str">
        <f ca="1">VLOOKUP(A322,Calculation!$G$6:$S$1004,2,FALSE)</f>
        <v/>
      </c>
      <c r="M322" s="4" t="str">
        <f ca="1">IFERROR(VLOOKUP($L322,Calculation!$H$6:$S$1005,HLOOKUP(M$2,Calculation!$M$4:$S$5,2,FALSE)+5,FALSE),"")</f>
        <v/>
      </c>
      <c r="N322" s="4" t="str">
        <f ca="1">IFERROR(VLOOKUP($L322,Calculation!$H$6:$S$1005,HLOOKUP(N$2,Calculation!$M$4:$S$5,2,FALSE)+5,FALSE),"")</f>
        <v/>
      </c>
      <c r="O322" s="4" t="str">
        <f ca="1">IFERROR(VLOOKUP($L322,Calculation!$H$6:$S$1005,HLOOKUP(O$2,Calculation!$M$4:$S$5,2,FALSE)+5,FALSE),"")</f>
        <v/>
      </c>
      <c r="P322" s="4" t="str">
        <f ca="1">IFERROR(VLOOKUP($L322,Calculation!$H$6:$S$1005,HLOOKUP(P$2,Calculation!$M$4:$S$5,2,FALSE)+5,FALSE),"")</f>
        <v/>
      </c>
      <c r="Q322" s="4" t="str">
        <f ca="1">IFERROR(VLOOKUP($L322,Calculation!$H$6:$S$1005,HLOOKUP(Q$2,Calculation!$M$4:$S$5,2,FALSE)+5,FALSE),"")</f>
        <v/>
      </c>
      <c r="R322" s="27" t="str">
        <f ca="1">IFERROR(VLOOKUP($L322,Calculation!$H$6:$S$1005,HLOOKUP(R$2,Calculation!$M$4:$S$5,2,FALSE)+5,FALSE),"")</f>
        <v/>
      </c>
      <c r="S322" s="4" t="str">
        <f ca="1">IFERROR(VLOOKUP($L322,Calculation!$H$6:$S$1005,HLOOKUP(S$2,Calculation!$M$4:$S$5,2,FALSE)+5,FALSE),"")</f>
        <v/>
      </c>
      <c r="T322" s="29"/>
      <c r="U322" s="43" t="str">
        <f>IFERROR(VLOOKUP(T322,Calculation!$U$6:$V$11,2,FALSE),"")</f>
        <v/>
      </c>
    </row>
    <row r="323" spans="1:21" ht="14.25" customHeight="1" x14ac:dyDescent="0.3">
      <c r="A323" s="26" t="str">
        <f ca="1">IF(Calculation!T326&lt;=Calculation!$H$4,Calculation!T326,"")</f>
        <v/>
      </c>
      <c r="B323" s="4" t="str">
        <f ca="1">VLOOKUP(A323,Calculation!$E$6:$J$1004,4,FALSE)</f>
        <v/>
      </c>
      <c r="C323" s="4" t="str">
        <f ca="1">VLOOKUP(A323,Calculation!$E$6:$J$1004,5,FALSE)</f>
        <v/>
      </c>
      <c r="D323" s="4" t="str">
        <f ca="1">VLOOKUP(A323,Calculation!$E$6:$J$1004,6,FALSE)</f>
        <v/>
      </c>
      <c r="E323" s="42" t="str">
        <f t="shared" ca="1" si="2"/>
        <v/>
      </c>
      <c r="G323" s="29" t="str">
        <f ca="1">VLOOKUP(A323,Calculation!$F$6:$J$1004,3,FALSE)</f>
        <v/>
      </c>
      <c r="H323" s="4" t="str">
        <f ca="1">VLOOKUP(A323,Calculation!$F$6:$J$1004,4,FALSE)</f>
        <v/>
      </c>
      <c r="I323" s="4" t="str">
        <f ca="1">VLOOKUP(A323,Calculation!$F$6:$J$1004,5,FALSE)</f>
        <v/>
      </c>
      <c r="J323" s="43" t="str">
        <f t="shared" ca="1" si="3"/>
        <v/>
      </c>
      <c r="L323" s="29" t="str">
        <f ca="1">VLOOKUP(A323,Calculation!$G$6:$S$1004,2,FALSE)</f>
        <v/>
      </c>
      <c r="M323" s="4" t="str">
        <f ca="1">IFERROR(VLOOKUP($L323,Calculation!$H$6:$S$1005,HLOOKUP(M$2,Calculation!$M$4:$S$5,2,FALSE)+5,FALSE),"")</f>
        <v/>
      </c>
      <c r="N323" s="4" t="str">
        <f ca="1">IFERROR(VLOOKUP($L323,Calculation!$H$6:$S$1005,HLOOKUP(N$2,Calculation!$M$4:$S$5,2,FALSE)+5,FALSE),"")</f>
        <v/>
      </c>
      <c r="O323" s="4" t="str">
        <f ca="1">IFERROR(VLOOKUP($L323,Calculation!$H$6:$S$1005,HLOOKUP(O$2,Calculation!$M$4:$S$5,2,FALSE)+5,FALSE),"")</f>
        <v/>
      </c>
      <c r="P323" s="4" t="str">
        <f ca="1">IFERROR(VLOOKUP($L323,Calculation!$H$6:$S$1005,HLOOKUP(P$2,Calculation!$M$4:$S$5,2,FALSE)+5,FALSE),"")</f>
        <v/>
      </c>
      <c r="Q323" s="4" t="str">
        <f ca="1">IFERROR(VLOOKUP($L323,Calculation!$H$6:$S$1005,HLOOKUP(Q$2,Calculation!$M$4:$S$5,2,FALSE)+5,FALSE),"")</f>
        <v/>
      </c>
      <c r="R323" s="27" t="str">
        <f ca="1">IFERROR(VLOOKUP($L323,Calculation!$H$6:$S$1005,HLOOKUP(R$2,Calculation!$M$4:$S$5,2,FALSE)+5,FALSE),"")</f>
        <v/>
      </c>
      <c r="S323" s="4" t="str">
        <f ca="1">IFERROR(VLOOKUP($L323,Calculation!$H$6:$S$1005,HLOOKUP(S$2,Calculation!$M$4:$S$5,2,FALSE)+5,FALSE),"")</f>
        <v/>
      </c>
      <c r="T323" s="29"/>
      <c r="U323" s="43" t="str">
        <f>IFERROR(VLOOKUP(T323,Calculation!$U$6:$V$11,2,FALSE),"")</f>
        <v/>
      </c>
    </row>
    <row r="324" spans="1:21" ht="14.25" customHeight="1" x14ac:dyDescent="0.3">
      <c r="A324" s="26" t="str">
        <f ca="1">IF(Calculation!T327&lt;=Calculation!$H$4,Calculation!T327,"")</f>
        <v/>
      </c>
      <c r="B324" s="4" t="str">
        <f ca="1">VLOOKUP(A324,Calculation!$E$6:$J$1004,4,FALSE)</f>
        <v/>
      </c>
      <c r="C324" s="4" t="str">
        <f ca="1">VLOOKUP(A324,Calculation!$E$6:$J$1004,5,FALSE)</f>
        <v/>
      </c>
      <c r="D324" s="4" t="str">
        <f ca="1">VLOOKUP(A324,Calculation!$E$6:$J$1004,6,FALSE)</f>
        <v/>
      </c>
      <c r="E324" s="42" t="str">
        <f t="shared" ca="1" si="2"/>
        <v/>
      </c>
      <c r="G324" s="29" t="str">
        <f ca="1">VLOOKUP(A324,Calculation!$F$6:$J$1004,3,FALSE)</f>
        <v/>
      </c>
      <c r="H324" s="4" t="str">
        <f ca="1">VLOOKUP(A324,Calculation!$F$6:$J$1004,4,FALSE)</f>
        <v/>
      </c>
      <c r="I324" s="4" t="str">
        <f ca="1">VLOOKUP(A324,Calculation!$F$6:$J$1004,5,FALSE)</f>
        <v/>
      </c>
      <c r="J324" s="43" t="str">
        <f t="shared" ca="1" si="3"/>
        <v/>
      </c>
      <c r="L324" s="29" t="str">
        <f ca="1">VLOOKUP(A324,Calculation!$G$6:$S$1004,2,FALSE)</f>
        <v/>
      </c>
      <c r="M324" s="4" t="str">
        <f ca="1">IFERROR(VLOOKUP($L324,Calculation!$H$6:$S$1005,HLOOKUP(M$2,Calculation!$M$4:$S$5,2,FALSE)+5,FALSE),"")</f>
        <v/>
      </c>
      <c r="N324" s="4" t="str">
        <f ca="1">IFERROR(VLOOKUP($L324,Calculation!$H$6:$S$1005,HLOOKUP(N$2,Calculation!$M$4:$S$5,2,FALSE)+5,FALSE),"")</f>
        <v/>
      </c>
      <c r="O324" s="4" t="str">
        <f ca="1">IFERROR(VLOOKUP($L324,Calculation!$H$6:$S$1005,HLOOKUP(O$2,Calculation!$M$4:$S$5,2,FALSE)+5,FALSE),"")</f>
        <v/>
      </c>
      <c r="P324" s="4" t="str">
        <f ca="1">IFERROR(VLOOKUP($L324,Calculation!$H$6:$S$1005,HLOOKUP(P$2,Calculation!$M$4:$S$5,2,FALSE)+5,FALSE),"")</f>
        <v/>
      </c>
      <c r="Q324" s="4" t="str">
        <f ca="1">IFERROR(VLOOKUP($L324,Calculation!$H$6:$S$1005,HLOOKUP(Q$2,Calculation!$M$4:$S$5,2,FALSE)+5,FALSE),"")</f>
        <v/>
      </c>
      <c r="R324" s="27" t="str">
        <f ca="1">IFERROR(VLOOKUP($L324,Calculation!$H$6:$S$1005,HLOOKUP(R$2,Calculation!$M$4:$S$5,2,FALSE)+5,FALSE),"")</f>
        <v/>
      </c>
      <c r="S324" s="4" t="str">
        <f ca="1">IFERROR(VLOOKUP($L324,Calculation!$H$6:$S$1005,HLOOKUP(S$2,Calculation!$M$4:$S$5,2,FALSE)+5,FALSE),"")</f>
        <v/>
      </c>
      <c r="T324" s="29"/>
      <c r="U324" s="43" t="str">
        <f>IFERROR(VLOOKUP(T324,Calculation!$U$6:$V$11,2,FALSE),"")</f>
        <v/>
      </c>
    </row>
    <row r="325" spans="1:21" ht="14.25" customHeight="1" x14ac:dyDescent="0.3">
      <c r="A325" s="26" t="str">
        <f ca="1">IF(Calculation!T328&lt;=Calculation!$H$4,Calculation!T328,"")</f>
        <v/>
      </c>
      <c r="B325" s="4" t="str">
        <f ca="1">VLOOKUP(A325,Calculation!$E$6:$J$1004,4,FALSE)</f>
        <v/>
      </c>
      <c r="C325" s="4" t="str">
        <f ca="1">VLOOKUP(A325,Calculation!$E$6:$J$1004,5,FALSE)</f>
        <v/>
      </c>
      <c r="D325" s="4" t="str">
        <f ca="1">VLOOKUP(A325,Calculation!$E$6:$J$1004,6,FALSE)</f>
        <v/>
      </c>
      <c r="E325" s="42" t="str">
        <f t="shared" ca="1" si="2"/>
        <v/>
      </c>
      <c r="G325" s="29" t="str">
        <f ca="1">VLOOKUP(A325,Calculation!$F$6:$J$1004,3,FALSE)</f>
        <v/>
      </c>
      <c r="H325" s="4" t="str">
        <f ca="1">VLOOKUP(A325,Calculation!$F$6:$J$1004,4,FALSE)</f>
        <v/>
      </c>
      <c r="I325" s="4" t="str">
        <f ca="1">VLOOKUP(A325,Calculation!$F$6:$J$1004,5,FALSE)</f>
        <v/>
      </c>
      <c r="J325" s="43" t="str">
        <f t="shared" ca="1" si="3"/>
        <v/>
      </c>
      <c r="L325" s="29" t="str">
        <f ca="1">VLOOKUP(A325,Calculation!$G$6:$S$1004,2,FALSE)</f>
        <v/>
      </c>
      <c r="M325" s="4" t="str">
        <f ca="1">IFERROR(VLOOKUP($L325,Calculation!$H$6:$S$1005,HLOOKUP(M$2,Calculation!$M$4:$S$5,2,FALSE)+5,FALSE),"")</f>
        <v/>
      </c>
      <c r="N325" s="4" t="str">
        <f ca="1">IFERROR(VLOOKUP($L325,Calculation!$H$6:$S$1005,HLOOKUP(N$2,Calculation!$M$4:$S$5,2,FALSE)+5,FALSE),"")</f>
        <v/>
      </c>
      <c r="O325" s="4" t="str">
        <f ca="1">IFERROR(VLOOKUP($L325,Calculation!$H$6:$S$1005,HLOOKUP(O$2,Calculation!$M$4:$S$5,2,FALSE)+5,FALSE),"")</f>
        <v/>
      </c>
      <c r="P325" s="4" t="str">
        <f ca="1">IFERROR(VLOOKUP($L325,Calculation!$H$6:$S$1005,HLOOKUP(P$2,Calculation!$M$4:$S$5,2,FALSE)+5,FALSE),"")</f>
        <v/>
      </c>
      <c r="Q325" s="4" t="str">
        <f ca="1">IFERROR(VLOOKUP($L325,Calculation!$H$6:$S$1005,HLOOKUP(Q$2,Calculation!$M$4:$S$5,2,FALSE)+5,FALSE),"")</f>
        <v/>
      </c>
      <c r="R325" s="27" t="str">
        <f ca="1">IFERROR(VLOOKUP($L325,Calculation!$H$6:$S$1005,HLOOKUP(R$2,Calculation!$M$4:$S$5,2,FALSE)+5,FALSE),"")</f>
        <v/>
      </c>
      <c r="S325" s="4" t="str">
        <f ca="1">IFERROR(VLOOKUP($L325,Calculation!$H$6:$S$1005,HLOOKUP(S$2,Calculation!$M$4:$S$5,2,FALSE)+5,FALSE),"")</f>
        <v/>
      </c>
      <c r="T325" s="29"/>
      <c r="U325" s="43" t="str">
        <f>IFERROR(VLOOKUP(T325,Calculation!$U$6:$V$11,2,FALSE),"")</f>
        <v/>
      </c>
    </row>
    <row r="326" spans="1:21" ht="14.25" customHeight="1" x14ac:dyDescent="0.3">
      <c r="A326" s="26" t="str">
        <f ca="1">IF(Calculation!T329&lt;=Calculation!$H$4,Calculation!T329,"")</f>
        <v/>
      </c>
      <c r="B326" s="4" t="str">
        <f ca="1">VLOOKUP(A326,Calculation!$E$6:$J$1004,4,FALSE)</f>
        <v/>
      </c>
      <c r="C326" s="4" t="str">
        <f ca="1">VLOOKUP(A326,Calculation!$E$6:$J$1004,5,FALSE)</f>
        <v/>
      </c>
      <c r="D326" s="4" t="str">
        <f ca="1">VLOOKUP(A326,Calculation!$E$6:$J$1004,6,FALSE)</f>
        <v/>
      </c>
      <c r="E326" s="42" t="str">
        <f t="shared" ca="1" si="2"/>
        <v/>
      </c>
      <c r="G326" s="29" t="str">
        <f ca="1">VLOOKUP(A326,Calculation!$F$6:$J$1004,3,FALSE)</f>
        <v/>
      </c>
      <c r="H326" s="4" t="str">
        <f ca="1">VLOOKUP(A326,Calculation!$F$6:$J$1004,4,FALSE)</f>
        <v/>
      </c>
      <c r="I326" s="4" t="str">
        <f ca="1">VLOOKUP(A326,Calculation!$F$6:$J$1004,5,FALSE)</f>
        <v/>
      </c>
      <c r="J326" s="43" t="str">
        <f t="shared" ca="1" si="3"/>
        <v/>
      </c>
      <c r="L326" s="29" t="str">
        <f ca="1">VLOOKUP(A326,Calculation!$G$6:$S$1004,2,FALSE)</f>
        <v/>
      </c>
      <c r="M326" s="4" t="str">
        <f ca="1">IFERROR(VLOOKUP($L326,Calculation!$H$6:$S$1005,HLOOKUP(M$2,Calculation!$M$4:$S$5,2,FALSE)+5,FALSE),"")</f>
        <v/>
      </c>
      <c r="N326" s="4" t="str">
        <f ca="1">IFERROR(VLOOKUP($L326,Calculation!$H$6:$S$1005,HLOOKUP(N$2,Calculation!$M$4:$S$5,2,FALSE)+5,FALSE),"")</f>
        <v/>
      </c>
      <c r="O326" s="4" t="str">
        <f ca="1">IFERROR(VLOOKUP($L326,Calculation!$H$6:$S$1005,HLOOKUP(O$2,Calculation!$M$4:$S$5,2,FALSE)+5,FALSE),"")</f>
        <v/>
      </c>
      <c r="P326" s="4" t="str">
        <f ca="1">IFERROR(VLOOKUP($L326,Calculation!$H$6:$S$1005,HLOOKUP(P$2,Calculation!$M$4:$S$5,2,FALSE)+5,FALSE),"")</f>
        <v/>
      </c>
      <c r="Q326" s="4" t="str">
        <f ca="1">IFERROR(VLOOKUP($L326,Calculation!$H$6:$S$1005,HLOOKUP(Q$2,Calculation!$M$4:$S$5,2,FALSE)+5,FALSE),"")</f>
        <v/>
      </c>
      <c r="R326" s="27" t="str">
        <f ca="1">IFERROR(VLOOKUP($L326,Calculation!$H$6:$S$1005,HLOOKUP(R$2,Calculation!$M$4:$S$5,2,FALSE)+5,FALSE),"")</f>
        <v/>
      </c>
      <c r="S326" s="4" t="str">
        <f ca="1">IFERROR(VLOOKUP($L326,Calculation!$H$6:$S$1005,HLOOKUP(S$2,Calculation!$M$4:$S$5,2,FALSE)+5,FALSE),"")</f>
        <v/>
      </c>
      <c r="T326" s="29"/>
      <c r="U326" s="43" t="str">
        <f>IFERROR(VLOOKUP(T326,Calculation!$U$6:$V$11,2,FALSE),"")</f>
        <v/>
      </c>
    </row>
    <row r="327" spans="1:21" ht="14.25" customHeight="1" x14ac:dyDescent="0.3">
      <c r="A327" s="26" t="str">
        <f ca="1">IF(Calculation!T330&lt;=Calculation!$H$4,Calculation!T330,"")</f>
        <v/>
      </c>
      <c r="B327" s="4" t="str">
        <f ca="1">VLOOKUP(A327,Calculation!$E$6:$J$1004,4,FALSE)</f>
        <v/>
      </c>
      <c r="C327" s="4" t="str">
        <f ca="1">VLOOKUP(A327,Calculation!$E$6:$J$1004,5,FALSE)</f>
        <v/>
      </c>
      <c r="D327" s="4" t="str">
        <f ca="1">VLOOKUP(A327,Calculation!$E$6:$J$1004,6,FALSE)</f>
        <v/>
      </c>
      <c r="E327" s="42" t="str">
        <f t="shared" ca="1" si="2"/>
        <v/>
      </c>
      <c r="G327" s="29" t="str">
        <f ca="1">VLOOKUP(A327,Calculation!$F$6:$J$1004,3,FALSE)</f>
        <v/>
      </c>
      <c r="H327" s="4" t="str">
        <f ca="1">VLOOKUP(A327,Calculation!$F$6:$J$1004,4,FALSE)</f>
        <v/>
      </c>
      <c r="I327" s="4" t="str">
        <f ca="1">VLOOKUP(A327,Calculation!$F$6:$J$1004,5,FALSE)</f>
        <v/>
      </c>
      <c r="J327" s="43" t="str">
        <f t="shared" ca="1" si="3"/>
        <v/>
      </c>
      <c r="L327" s="29" t="str">
        <f ca="1">VLOOKUP(A327,Calculation!$G$6:$S$1004,2,FALSE)</f>
        <v/>
      </c>
      <c r="M327" s="4" t="str">
        <f ca="1">IFERROR(VLOOKUP($L327,Calculation!$H$6:$S$1005,HLOOKUP(M$2,Calculation!$M$4:$S$5,2,FALSE)+5,FALSE),"")</f>
        <v/>
      </c>
      <c r="N327" s="4" t="str">
        <f ca="1">IFERROR(VLOOKUP($L327,Calculation!$H$6:$S$1005,HLOOKUP(N$2,Calculation!$M$4:$S$5,2,FALSE)+5,FALSE),"")</f>
        <v/>
      </c>
      <c r="O327" s="4" t="str">
        <f ca="1">IFERROR(VLOOKUP($L327,Calculation!$H$6:$S$1005,HLOOKUP(O$2,Calculation!$M$4:$S$5,2,FALSE)+5,FALSE),"")</f>
        <v/>
      </c>
      <c r="P327" s="4" t="str">
        <f ca="1">IFERROR(VLOOKUP($L327,Calculation!$H$6:$S$1005,HLOOKUP(P$2,Calculation!$M$4:$S$5,2,FALSE)+5,FALSE),"")</f>
        <v/>
      </c>
      <c r="Q327" s="4" t="str">
        <f ca="1">IFERROR(VLOOKUP($L327,Calculation!$H$6:$S$1005,HLOOKUP(Q$2,Calculation!$M$4:$S$5,2,FALSE)+5,FALSE),"")</f>
        <v/>
      </c>
      <c r="R327" s="27" t="str">
        <f ca="1">IFERROR(VLOOKUP($L327,Calculation!$H$6:$S$1005,HLOOKUP(R$2,Calculation!$M$4:$S$5,2,FALSE)+5,FALSE),"")</f>
        <v/>
      </c>
      <c r="S327" s="4" t="str">
        <f ca="1">IFERROR(VLOOKUP($L327,Calculation!$H$6:$S$1005,HLOOKUP(S$2,Calculation!$M$4:$S$5,2,FALSE)+5,FALSE),"")</f>
        <v/>
      </c>
      <c r="T327" s="29"/>
      <c r="U327" s="43" t="str">
        <f>IFERROR(VLOOKUP(T327,Calculation!$U$6:$V$11,2,FALSE),"")</f>
        <v/>
      </c>
    </row>
    <row r="328" spans="1:21" ht="14.25" customHeight="1" x14ac:dyDescent="0.3">
      <c r="A328" s="26" t="str">
        <f ca="1">IF(Calculation!T331&lt;=Calculation!$H$4,Calculation!T331,"")</f>
        <v/>
      </c>
      <c r="B328" s="4" t="str">
        <f ca="1">VLOOKUP(A328,Calculation!$E$6:$J$1004,4,FALSE)</f>
        <v/>
      </c>
      <c r="C328" s="4" t="str">
        <f ca="1">VLOOKUP(A328,Calculation!$E$6:$J$1004,5,FALSE)</f>
        <v/>
      </c>
      <c r="D328" s="4" t="str">
        <f ca="1">VLOOKUP(A328,Calculation!$E$6:$J$1004,6,FALSE)</f>
        <v/>
      </c>
      <c r="E328" s="42" t="str">
        <f t="shared" ca="1" si="2"/>
        <v/>
      </c>
      <c r="G328" s="29" t="str">
        <f ca="1">VLOOKUP(A328,Calculation!$F$6:$J$1004,3,FALSE)</f>
        <v/>
      </c>
      <c r="H328" s="4" t="str">
        <f ca="1">VLOOKUP(A328,Calculation!$F$6:$J$1004,4,FALSE)</f>
        <v/>
      </c>
      <c r="I328" s="4" t="str">
        <f ca="1">VLOOKUP(A328,Calculation!$F$6:$J$1004,5,FALSE)</f>
        <v/>
      </c>
      <c r="J328" s="43" t="str">
        <f t="shared" ca="1" si="3"/>
        <v/>
      </c>
      <c r="L328" s="29" t="str">
        <f ca="1">VLOOKUP(A328,Calculation!$G$6:$S$1004,2,FALSE)</f>
        <v/>
      </c>
      <c r="M328" s="4" t="str">
        <f ca="1">IFERROR(VLOOKUP($L328,Calculation!$H$6:$S$1005,HLOOKUP(M$2,Calculation!$M$4:$S$5,2,FALSE)+5,FALSE),"")</f>
        <v/>
      </c>
      <c r="N328" s="4" t="str">
        <f ca="1">IFERROR(VLOOKUP($L328,Calculation!$H$6:$S$1005,HLOOKUP(N$2,Calculation!$M$4:$S$5,2,FALSE)+5,FALSE),"")</f>
        <v/>
      </c>
      <c r="O328" s="4" t="str">
        <f ca="1">IFERROR(VLOOKUP($L328,Calculation!$H$6:$S$1005,HLOOKUP(O$2,Calculation!$M$4:$S$5,2,FALSE)+5,FALSE),"")</f>
        <v/>
      </c>
      <c r="P328" s="4" t="str">
        <f ca="1">IFERROR(VLOOKUP($L328,Calculation!$H$6:$S$1005,HLOOKUP(P$2,Calculation!$M$4:$S$5,2,FALSE)+5,FALSE),"")</f>
        <v/>
      </c>
      <c r="Q328" s="4" t="str">
        <f ca="1">IFERROR(VLOOKUP($L328,Calculation!$H$6:$S$1005,HLOOKUP(Q$2,Calculation!$M$4:$S$5,2,FALSE)+5,FALSE),"")</f>
        <v/>
      </c>
      <c r="R328" s="27" t="str">
        <f ca="1">IFERROR(VLOOKUP($L328,Calculation!$H$6:$S$1005,HLOOKUP(R$2,Calculation!$M$4:$S$5,2,FALSE)+5,FALSE),"")</f>
        <v/>
      </c>
      <c r="S328" s="4" t="str">
        <f ca="1">IFERROR(VLOOKUP($L328,Calculation!$H$6:$S$1005,HLOOKUP(S$2,Calculation!$M$4:$S$5,2,FALSE)+5,FALSE),"")</f>
        <v/>
      </c>
      <c r="T328" s="29"/>
      <c r="U328" s="43" t="str">
        <f>IFERROR(VLOOKUP(T328,Calculation!$U$6:$V$11,2,FALSE),"")</f>
        <v/>
      </c>
    </row>
    <row r="329" spans="1:21" ht="14.25" customHeight="1" x14ac:dyDescent="0.3">
      <c r="A329" s="26" t="str">
        <f ca="1">IF(Calculation!T332&lt;=Calculation!$H$4,Calculation!T332,"")</f>
        <v/>
      </c>
      <c r="B329" s="4" t="str">
        <f ca="1">VLOOKUP(A329,Calculation!$E$6:$J$1004,4,FALSE)</f>
        <v/>
      </c>
      <c r="C329" s="4" t="str">
        <f ca="1">VLOOKUP(A329,Calculation!$E$6:$J$1004,5,FALSE)</f>
        <v/>
      </c>
      <c r="D329" s="4" t="str">
        <f ca="1">VLOOKUP(A329,Calculation!$E$6:$J$1004,6,FALSE)</f>
        <v/>
      </c>
      <c r="E329" s="42" t="str">
        <f t="shared" ca="1" si="2"/>
        <v/>
      </c>
      <c r="G329" s="29" t="str">
        <f ca="1">VLOOKUP(A329,Calculation!$F$6:$J$1004,3,FALSE)</f>
        <v/>
      </c>
      <c r="H329" s="4" t="str">
        <f ca="1">VLOOKUP(A329,Calculation!$F$6:$J$1004,4,FALSE)</f>
        <v/>
      </c>
      <c r="I329" s="4" t="str">
        <f ca="1">VLOOKUP(A329,Calculation!$F$6:$J$1004,5,FALSE)</f>
        <v/>
      </c>
      <c r="J329" s="43" t="str">
        <f t="shared" ca="1" si="3"/>
        <v/>
      </c>
      <c r="L329" s="29" t="str">
        <f ca="1">VLOOKUP(A329,Calculation!$G$6:$S$1004,2,FALSE)</f>
        <v/>
      </c>
      <c r="M329" s="4" t="str">
        <f ca="1">IFERROR(VLOOKUP($L329,Calculation!$H$6:$S$1005,HLOOKUP(M$2,Calculation!$M$4:$S$5,2,FALSE)+5,FALSE),"")</f>
        <v/>
      </c>
      <c r="N329" s="4" t="str">
        <f ca="1">IFERROR(VLOOKUP($L329,Calculation!$H$6:$S$1005,HLOOKUP(N$2,Calculation!$M$4:$S$5,2,FALSE)+5,FALSE),"")</f>
        <v/>
      </c>
      <c r="O329" s="4" t="str">
        <f ca="1">IFERROR(VLOOKUP($L329,Calculation!$H$6:$S$1005,HLOOKUP(O$2,Calculation!$M$4:$S$5,2,FALSE)+5,FALSE),"")</f>
        <v/>
      </c>
      <c r="P329" s="4" t="str">
        <f ca="1">IFERROR(VLOOKUP($L329,Calculation!$H$6:$S$1005,HLOOKUP(P$2,Calculation!$M$4:$S$5,2,FALSE)+5,FALSE),"")</f>
        <v/>
      </c>
      <c r="Q329" s="4" t="str">
        <f ca="1">IFERROR(VLOOKUP($L329,Calculation!$H$6:$S$1005,HLOOKUP(Q$2,Calculation!$M$4:$S$5,2,FALSE)+5,FALSE),"")</f>
        <v/>
      </c>
      <c r="R329" s="27" t="str">
        <f ca="1">IFERROR(VLOOKUP($L329,Calculation!$H$6:$S$1005,HLOOKUP(R$2,Calculation!$M$4:$S$5,2,FALSE)+5,FALSE),"")</f>
        <v/>
      </c>
      <c r="S329" s="4" t="str">
        <f ca="1">IFERROR(VLOOKUP($L329,Calculation!$H$6:$S$1005,HLOOKUP(S$2,Calculation!$M$4:$S$5,2,FALSE)+5,FALSE),"")</f>
        <v/>
      </c>
      <c r="T329" s="29"/>
      <c r="U329" s="43" t="str">
        <f>IFERROR(VLOOKUP(T329,Calculation!$U$6:$V$11,2,FALSE),"")</f>
        <v/>
      </c>
    </row>
    <row r="330" spans="1:21" ht="14.25" customHeight="1" x14ac:dyDescent="0.3">
      <c r="A330" s="26" t="str">
        <f ca="1">IF(Calculation!T333&lt;=Calculation!$H$4,Calculation!T333,"")</f>
        <v/>
      </c>
      <c r="B330" s="4" t="str">
        <f ca="1">VLOOKUP(A330,Calculation!$E$6:$J$1004,4,FALSE)</f>
        <v/>
      </c>
      <c r="C330" s="4" t="str">
        <f ca="1">VLOOKUP(A330,Calculation!$E$6:$J$1004,5,FALSE)</f>
        <v/>
      </c>
      <c r="D330" s="4" t="str">
        <f ca="1">VLOOKUP(A330,Calculation!$E$6:$J$1004,6,FALSE)</f>
        <v/>
      </c>
      <c r="E330" s="42" t="str">
        <f t="shared" ca="1" si="2"/>
        <v/>
      </c>
      <c r="G330" s="29" t="str">
        <f ca="1">VLOOKUP(A330,Calculation!$F$6:$J$1004,3,FALSE)</f>
        <v/>
      </c>
      <c r="H330" s="4" t="str">
        <f ca="1">VLOOKUP(A330,Calculation!$F$6:$J$1004,4,FALSE)</f>
        <v/>
      </c>
      <c r="I330" s="4" t="str">
        <f ca="1">VLOOKUP(A330,Calculation!$F$6:$J$1004,5,FALSE)</f>
        <v/>
      </c>
      <c r="J330" s="43" t="str">
        <f t="shared" ca="1" si="3"/>
        <v/>
      </c>
      <c r="L330" s="29" t="str">
        <f ca="1">VLOOKUP(A330,Calculation!$G$6:$S$1004,2,FALSE)</f>
        <v/>
      </c>
      <c r="M330" s="4" t="str">
        <f ca="1">IFERROR(VLOOKUP($L330,Calculation!$H$6:$S$1005,HLOOKUP(M$2,Calculation!$M$4:$S$5,2,FALSE)+5,FALSE),"")</f>
        <v/>
      </c>
      <c r="N330" s="4" t="str">
        <f ca="1">IFERROR(VLOOKUP($L330,Calculation!$H$6:$S$1005,HLOOKUP(N$2,Calculation!$M$4:$S$5,2,FALSE)+5,FALSE),"")</f>
        <v/>
      </c>
      <c r="O330" s="4" t="str">
        <f ca="1">IFERROR(VLOOKUP($L330,Calculation!$H$6:$S$1005,HLOOKUP(O$2,Calculation!$M$4:$S$5,2,FALSE)+5,FALSE),"")</f>
        <v/>
      </c>
      <c r="P330" s="4" t="str">
        <f ca="1">IFERROR(VLOOKUP($L330,Calculation!$H$6:$S$1005,HLOOKUP(P$2,Calculation!$M$4:$S$5,2,FALSE)+5,FALSE),"")</f>
        <v/>
      </c>
      <c r="Q330" s="4" t="str">
        <f ca="1">IFERROR(VLOOKUP($L330,Calculation!$H$6:$S$1005,HLOOKUP(Q$2,Calculation!$M$4:$S$5,2,FALSE)+5,FALSE),"")</f>
        <v/>
      </c>
      <c r="R330" s="27" t="str">
        <f ca="1">IFERROR(VLOOKUP($L330,Calculation!$H$6:$S$1005,HLOOKUP(R$2,Calculation!$M$4:$S$5,2,FALSE)+5,FALSE),"")</f>
        <v/>
      </c>
      <c r="S330" s="4" t="str">
        <f ca="1">IFERROR(VLOOKUP($L330,Calculation!$H$6:$S$1005,HLOOKUP(S$2,Calculation!$M$4:$S$5,2,FALSE)+5,FALSE),"")</f>
        <v/>
      </c>
      <c r="T330" s="29"/>
      <c r="U330" s="43" t="str">
        <f>IFERROR(VLOOKUP(T330,Calculation!$U$6:$V$11,2,FALSE),"")</f>
        <v/>
      </c>
    </row>
    <row r="331" spans="1:21" ht="14.25" customHeight="1" x14ac:dyDescent="0.3">
      <c r="A331" s="26" t="str">
        <f ca="1">IF(Calculation!T334&lt;=Calculation!$H$4,Calculation!T334,"")</f>
        <v/>
      </c>
      <c r="B331" s="4" t="str">
        <f ca="1">VLOOKUP(A331,Calculation!$E$6:$J$1004,4,FALSE)</f>
        <v/>
      </c>
      <c r="C331" s="4" t="str">
        <f ca="1">VLOOKUP(A331,Calculation!$E$6:$J$1004,5,FALSE)</f>
        <v/>
      </c>
      <c r="D331" s="4" t="str">
        <f ca="1">VLOOKUP(A331,Calculation!$E$6:$J$1004,6,FALSE)</f>
        <v/>
      </c>
      <c r="E331" s="42" t="str">
        <f t="shared" ca="1" si="2"/>
        <v/>
      </c>
      <c r="G331" s="29" t="str">
        <f ca="1">VLOOKUP(A331,Calculation!$F$6:$J$1004,3,FALSE)</f>
        <v/>
      </c>
      <c r="H331" s="4" t="str">
        <f ca="1">VLOOKUP(A331,Calculation!$F$6:$J$1004,4,FALSE)</f>
        <v/>
      </c>
      <c r="I331" s="4" t="str">
        <f ca="1">VLOOKUP(A331,Calculation!$F$6:$J$1004,5,FALSE)</f>
        <v/>
      </c>
      <c r="J331" s="43" t="str">
        <f t="shared" ca="1" si="3"/>
        <v/>
      </c>
      <c r="L331" s="29" t="str">
        <f ca="1">VLOOKUP(A331,Calculation!$G$6:$S$1004,2,FALSE)</f>
        <v/>
      </c>
      <c r="M331" s="4" t="str">
        <f ca="1">IFERROR(VLOOKUP($L331,Calculation!$H$6:$S$1005,HLOOKUP(M$2,Calculation!$M$4:$S$5,2,FALSE)+5,FALSE),"")</f>
        <v/>
      </c>
      <c r="N331" s="4" t="str">
        <f ca="1">IFERROR(VLOOKUP($L331,Calculation!$H$6:$S$1005,HLOOKUP(N$2,Calculation!$M$4:$S$5,2,FALSE)+5,FALSE),"")</f>
        <v/>
      </c>
      <c r="O331" s="4" t="str">
        <f ca="1">IFERROR(VLOOKUP($L331,Calculation!$H$6:$S$1005,HLOOKUP(O$2,Calculation!$M$4:$S$5,2,FALSE)+5,FALSE),"")</f>
        <v/>
      </c>
      <c r="P331" s="4" t="str">
        <f ca="1">IFERROR(VLOOKUP($L331,Calculation!$H$6:$S$1005,HLOOKUP(P$2,Calculation!$M$4:$S$5,2,FALSE)+5,FALSE),"")</f>
        <v/>
      </c>
      <c r="Q331" s="4" t="str">
        <f ca="1">IFERROR(VLOOKUP($L331,Calculation!$H$6:$S$1005,HLOOKUP(Q$2,Calculation!$M$4:$S$5,2,FALSE)+5,FALSE),"")</f>
        <v/>
      </c>
      <c r="R331" s="27" t="str">
        <f ca="1">IFERROR(VLOOKUP($L331,Calculation!$H$6:$S$1005,HLOOKUP(R$2,Calculation!$M$4:$S$5,2,FALSE)+5,FALSE),"")</f>
        <v/>
      </c>
      <c r="S331" s="4" t="str">
        <f ca="1">IFERROR(VLOOKUP($L331,Calculation!$H$6:$S$1005,HLOOKUP(S$2,Calculation!$M$4:$S$5,2,FALSE)+5,FALSE),"")</f>
        <v/>
      </c>
      <c r="T331" s="29"/>
      <c r="U331" s="43" t="str">
        <f>IFERROR(VLOOKUP(T331,Calculation!$U$6:$V$11,2,FALSE),"")</f>
        <v/>
      </c>
    </row>
    <row r="332" spans="1:21" ht="14.25" customHeight="1" x14ac:dyDescent="0.3">
      <c r="A332" s="26" t="str">
        <f ca="1">IF(Calculation!T335&lt;=Calculation!$H$4,Calculation!T335,"")</f>
        <v/>
      </c>
      <c r="B332" s="4" t="str">
        <f ca="1">VLOOKUP(A332,Calculation!$E$6:$J$1004,4,FALSE)</f>
        <v/>
      </c>
      <c r="C332" s="4" t="str">
        <f ca="1">VLOOKUP(A332,Calculation!$E$6:$J$1004,5,FALSE)</f>
        <v/>
      </c>
      <c r="D332" s="4" t="str">
        <f ca="1">VLOOKUP(A332,Calculation!$E$6:$J$1004,6,FALSE)</f>
        <v/>
      </c>
      <c r="E332" s="42" t="str">
        <f t="shared" ca="1" si="2"/>
        <v/>
      </c>
      <c r="G332" s="29" t="str">
        <f ca="1">VLOOKUP(A332,Calculation!$F$6:$J$1004,3,FALSE)</f>
        <v/>
      </c>
      <c r="H332" s="4" t="str">
        <f ca="1">VLOOKUP(A332,Calculation!$F$6:$J$1004,4,FALSE)</f>
        <v/>
      </c>
      <c r="I332" s="4" t="str">
        <f ca="1">VLOOKUP(A332,Calculation!$F$6:$J$1004,5,FALSE)</f>
        <v/>
      </c>
      <c r="J332" s="43" t="str">
        <f t="shared" ca="1" si="3"/>
        <v/>
      </c>
      <c r="L332" s="29" t="str">
        <f ca="1">VLOOKUP(A332,Calculation!$G$6:$S$1004,2,FALSE)</f>
        <v/>
      </c>
      <c r="M332" s="4" t="str">
        <f ca="1">IFERROR(VLOOKUP($L332,Calculation!$H$6:$S$1005,HLOOKUP(M$2,Calculation!$M$4:$S$5,2,FALSE)+5,FALSE),"")</f>
        <v/>
      </c>
      <c r="N332" s="4" t="str">
        <f ca="1">IFERROR(VLOOKUP($L332,Calculation!$H$6:$S$1005,HLOOKUP(N$2,Calculation!$M$4:$S$5,2,FALSE)+5,FALSE),"")</f>
        <v/>
      </c>
      <c r="O332" s="4" t="str">
        <f ca="1">IFERROR(VLOOKUP($L332,Calculation!$H$6:$S$1005,HLOOKUP(O$2,Calculation!$M$4:$S$5,2,FALSE)+5,FALSE),"")</f>
        <v/>
      </c>
      <c r="P332" s="4" t="str">
        <f ca="1">IFERROR(VLOOKUP($L332,Calculation!$H$6:$S$1005,HLOOKUP(P$2,Calculation!$M$4:$S$5,2,FALSE)+5,FALSE),"")</f>
        <v/>
      </c>
      <c r="Q332" s="4" t="str">
        <f ca="1">IFERROR(VLOOKUP($L332,Calculation!$H$6:$S$1005,HLOOKUP(Q$2,Calculation!$M$4:$S$5,2,FALSE)+5,FALSE),"")</f>
        <v/>
      </c>
      <c r="R332" s="27" t="str">
        <f ca="1">IFERROR(VLOOKUP($L332,Calculation!$H$6:$S$1005,HLOOKUP(R$2,Calculation!$M$4:$S$5,2,FALSE)+5,FALSE),"")</f>
        <v/>
      </c>
      <c r="S332" s="4" t="str">
        <f ca="1">IFERROR(VLOOKUP($L332,Calculation!$H$6:$S$1005,HLOOKUP(S$2,Calculation!$M$4:$S$5,2,FALSE)+5,FALSE),"")</f>
        <v/>
      </c>
      <c r="T332" s="29"/>
      <c r="U332" s="43" t="str">
        <f>IFERROR(VLOOKUP(T332,Calculation!$U$6:$V$11,2,FALSE),"")</f>
        <v/>
      </c>
    </row>
    <row r="333" spans="1:21" ht="14.25" customHeight="1" x14ac:dyDescent="0.3">
      <c r="A333" s="26" t="str">
        <f ca="1">IF(Calculation!T336&lt;=Calculation!$H$4,Calculation!T336,"")</f>
        <v/>
      </c>
      <c r="B333" s="4" t="str">
        <f ca="1">VLOOKUP(A333,Calculation!$E$6:$J$1004,4,FALSE)</f>
        <v/>
      </c>
      <c r="C333" s="4" t="str">
        <f ca="1">VLOOKUP(A333,Calculation!$E$6:$J$1004,5,FALSE)</f>
        <v/>
      </c>
      <c r="D333" s="4" t="str">
        <f ca="1">VLOOKUP(A333,Calculation!$E$6:$J$1004,6,FALSE)</f>
        <v/>
      </c>
      <c r="E333" s="42" t="str">
        <f t="shared" ca="1" si="2"/>
        <v/>
      </c>
      <c r="G333" s="29" t="str">
        <f ca="1">VLOOKUP(A333,Calculation!$F$6:$J$1004,3,FALSE)</f>
        <v/>
      </c>
      <c r="H333" s="4" t="str">
        <f ca="1">VLOOKUP(A333,Calculation!$F$6:$J$1004,4,FALSE)</f>
        <v/>
      </c>
      <c r="I333" s="4" t="str">
        <f ca="1">VLOOKUP(A333,Calculation!$F$6:$J$1004,5,FALSE)</f>
        <v/>
      </c>
      <c r="J333" s="43" t="str">
        <f t="shared" ca="1" si="3"/>
        <v/>
      </c>
      <c r="L333" s="29" t="str">
        <f ca="1">VLOOKUP(A333,Calculation!$G$6:$S$1004,2,FALSE)</f>
        <v/>
      </c>
      <c r="M333" s="4" t="str">
        <f ca="1">IFERROR(VLOOKUP($L333,Calculation!$H$6:$S$1005,HLOOKUP(M$2,Calculation!$M$4:$S$5,2,FALSE)+5,FALSE),"")</f>
        <v/>
      </c>
      <c r="N333" s="4" t="str">
        <f ca="1">IFERROR(VLOOKUP($L333,Calculation!$H$6:$S$1005,HLOOKUP(N$2,Calculation!$M$4:$S$5,2,FALSE)+5,FALSE),"")</f>
        <v/>
      </c>
      <c r="O333" s="4" t="str">
        <f ca="1">IFERROR(VLOOKUP($L333,Calculation!$H$6:$S$1005,HLOOKUP(O$2,Calculation!$M$4:$S$5,2,FALSE)+5,FALSE),"")</f>
        <v/>
      </c>
      <c r="P333" s="4" t="str">
        <f ca="1">IFERROR(VLOOKUP($L333,Calculation!$H$6:$S$1005,HLOOKUP(P$2,Calculation!$M$4:$S$5,2,FALSE)+5,FALSE),"")</f>
        <v/>
      </c>
      <c r="Q333" s="4" t="str">
        <f ca="1">IFERROR(VLOOKUP($L333,Calculation!$H$6:$S$1005,HLOOKUP(Q$2,Calculation!$M$4:$S$5,2,FALSE)+5,FALSE),"")</f>
        <v/>
      </c>
      <c r="R333" s="27" t="str">
        <f ca="1">IFERROR(VLOOKUP($L333,Calculation!$H$6:$S$1005,HLOOKUP(R$2,Calculation!$M$4:$S$5,2,FALSE)+5,FALSE),"")</f>
        <v/>
      </c>
      <c r="S333" s="4" t="str">
        <f ca="1">IFERROR(VLOOKUP($L333,Calculation!$H$6:$S$1005,HLOOKUP(S$2,Calculation!$M$4:$S$5,2,FALSE)+5,FALSE),"")</f>
        <v/>
      </c>
      <c r="T333" s="29"/>
      <c r="U333" s="43" t="str">
        <f>IFERROR(VLOOKUP(T333,Calculation!$U$6:$V$11,2,FALSE),"")</f>
        <v/>
      </c>
    </row>
    <row r="334" spans="1:21" ht="14.25" customHeight="1" x14ac:dyDescent="0.3">
      <c r="A334" s="26" t="str">
        <f ca="1">IF(Calculation!T337&lt;=Calculation!$H$4,Calculation!T337,"")</f>
        <v/>
      </c>
      <c r="B334" s="4" t="str">
        <f ca="1">VLOOKUP(A334,Calculation!$E$6:$J$1004,4,FALSE)</f>
        <v/>
      </c>
      <c r="C334" s="4" t="str">
        <f ca="1">VLOOKUP(A334,Calculation!$E$6:$J$1004,5,FALSE)</f>
        <v/>
      </c>
      <c r="D334" s="4" t="str">
        <f ca="1">VLOOKUP(A334,Calculation!$E$6:$J$1004,6,FALSE)</f>
        <v/>
      </c>
      <c r="E334" s="42" t="str">
        <f t="shared" ca="1" si="2"/>
        <v/>
      </c>
      <c r="G334" s="29" t="str">
        <f ca="1">VLOOKUP(A334,Calculation!$F$6:$J$1004,3,FALSE)</f>
        <v/>
      </c>
      <c r="H334" s="4" t="str">
        <f ca="1">VLOOKUP(A334,Calculation!$F$6:$J$1004,4,FALSE)</f>
        <v/>
      </c>
      <c r="I334" s="4" t="str">
        <f ca="1">VLOOKUP(A334,Calculation!$F$6:$J$1004,5,FALSE)</f>
        <v/>
      </c>
      <c r="J334" s="43" t="str">
        <f t="shared" ca="1" si="3"/>
        <v/>
      </c>
      <c r="L334" s="29" t="str">
        <f ca="1">VLOOKUP(A334,Calculation!$G$6:$S$1004,2,FALSE)</f>
        <v/>
      </c>
      <c r="M334" s="4" t="str">
        <f ca="1">IFERROR(VLOOKUP($L334,Calculation!$H$6:$S$1005,HLOOKUP(M$2,Calculation!$M$4:$S$5,2,FALSE)+5,FALSE),"")</f>
        <v/>
      </c>
      <c r="N334" s="4" t="str">
        <f ca="1">IFERROR(VLOOKUP($L334,Calculation!$H$6:$S$1005,HLOOKUP(N$2,Calculation!$M$4:$S$5,2,FALSE)+5,FALSE),"")</f>
        <v/>
      </c>
      <c r="O334" s="4" t="str">
        <f ca="1">IFERROR(VLOOKUP($L334,Calculation!$H$6:$S$1005,HLOOKUP(O$2,Calculation!$M$4:$S$5,2,FALSE)+5,FALSE),"")</f>
        <v/>
      </c>
      <c r="P334" s="4" t="str">
        <f ca="1">IFERROR(VLOOKUP($L334,Calculation!$H$6:$S$1005,HLOOKUP(P$2,Calculation!$M$4:$S$5,2,FALSE)+5,FALSE),"")</f>
        <v/>
      </c>
      <c r="Q334" s="4" t="str">
        <f ca="1">IFERROR(VLOOKUP($L334,Calculation!$H$6:$S$1005,HLOOKUP(Q$2,Calculation!$M$4:$S$5,2,FALSE)+5,FALSE),"")</f>
        <v/>
      </c>
      <c r="R334" s="27" t="str">
        <f ca="1">IFERROR(VLOOKUP($L334,Calculation!$H$6:$S$1005,HLOOKUP(R$2,Calculation!$M$4:$S$5,2,FALSE)+5,FALSE),"")</f>
        <v/>
      </c>
      <c r="S334" s="4" t="str">
        <f ca="1">IFERROR(VLOOKUP($L334,Calculation!$H$6:$S$1005,HLOOKUP(S$2,Calculation!$M$4:$S$5,2,FALSE)+5,FALSE),"")</f>
        <v/>
      </c>
      <c r="T334" s="29"/>
      <c r="U334" s="43" t="str">
        <f>IFERROR(VLOOKUP(T334,Calculation!$U$6:$V$11,2,FALSE),"")</f>
        <v/>
      </c>
    </row>
    <row r="335" spans="1:21" ht="14.25" customHeight="1" x14ac:dyDescent="0.3">
      <c r="A335" s="26" t="str">
        <f ca="1">IF(Calculation!T338&lt;=Calculation!$H$4,Calculation!T338,"")</f>
        <v/>
      </c>
      <c r="B335" s="4" t="str">
        <f ca="1">VLOOKUP(A335,Calculation!$E$6:$J$1004,4,FALSE)</f>
        <v/>
      </c>
      <c r="C335" s="4" t="str">
        <f ca="1">VLOOKUP(A335,Calculation!$E$6:$J$1004,5,FALSE)</f>
        <v/>
      </c>
      <c r="D335" s="4" t="str">
        <f ca="1">VLOOKUP(A335,Calculation!$E$6:$J$1004,6,FALSE)</f>
        <v/>
      </c>
      <c r="E335" s="42" t="str">
        <f t="shared" ca="1" si="2"/>
        <v/>
      </c>
      <c r="G335" s="29" t="str">
        <f ca="1">VLOOKUP(A335,Calculation!$F$6:$J$1004,3,FALSE)</f>
        <v/>
      </c>
      <c r="H335" s="4" t="str">
        <f ca="1">VLOOKUP(A335,Calculation!$F$6:$J$1004,4,FALSE)</f>
        <v/>
      </c>
      <c r="I335" s="4" t="str">
        <f ca="1">VLOOKUP(A335,Calculation!$F$6:$J$1004,5,FALSE)</f>
        <v/>
      </c>
      <c r="J335" s="43" t="str">
        <f t="shared" ca="1" si="3"/>
        <v/>
      </c>
      <c r="L335" s="29" t="str">
        <f ca="1">VLOOKUP(A335,Calculation!$G$6:$S$1004,2,FALSE)</f>
        <v/>
      </c>
      <c r="M335" s="4" t="str">
        <f ca="1">IFERROR(VLOOKUP($L335,Calculation!$H$6:$S$1005,HLOOKUP(M$2,Calculation!$M$4:$S$5,2,FALSE)+5,FALSE),"")</f>
        <v/>
      </c>
      <c r="N335" s="4" t="str">
        <f ca="1">IFERROR(VLOOKUP($L335,Calculation!$H$6:$S$1005,HLOOKUP(N$2,Calculation!$M$4:$S$5,2,FALSE)+5,FALSE),"")</f>
        <v/>
      </c>
      <c r="O335" s="4" t="str">
        <f ca="1">IFERROR(VLOOKUP($L335,Calculation!$H$6:$S$1005,HLOOKUP(O$2,Calculation!$M$4:$S$5,2,FALSE)+5,FALSE),"")</f>
        <v/>
      </c>
      <c r="P335" s="4" t="str">
        <f ca="1">IFERROR(VLOOKUP($L335,Calculation!$H$6:$S$1005,HLOOKUP(P$2,Calculation!$M$4:$S$5,2,FALSE)+5,FALSE),"")</f>
        <v/>
      </c>
      <c r="Q335" s="4" t="str">
        <f ca="1">IFERROR(VLOOKUP($L335,Calculation!$H$6:$S$1005,HLOOKUP(Q$2,Calculation!$M$4:$S$5,2,FALSE)+5,FALSE),"")</f>
        <v/>
      </c>
      <c r="R335" s="27" t="str">
        <f ca="1">IFERROR(VLOOKUP($L335,Calculation!$H$6:$S$1005,HLOOKUP(R$2,Calculation!$M$4:$S$5,2,FALSE)+5,FALSE),"")</f>
        <v/>
      </c>
      <c r="S335" s="4" t="str">
        <f ca="1">IFERROR(VLOOKUP($L335,Calculation!$H$6:$S$1005,HLOOKUP(S$2,Calculation!$M$4:$S$5,2,FALSE)+5,FALSE),"")</f>
        <v/>
      </c>
      <c r="T335" s="29"/>
      <c r="U335" s="43" t="str">
        <f>IFERROR(VLOOKUP(T335,Calculation!$U$6:$V$11,2,FALSE),"")</f>
        <v/>
      </c>
    </row>
    <row r="336" spans="1:21" ht="14.25" customHeight="1" x14ac:dyDescent="0.3">
      <c r="A336" s="26" t="str">
        <f ca="1">IF(Calculation!T339&lt;=Calculation!$H$4,Calculation!T339,"")</f>
        <v/>
      </c>
      <c r="B336" s="4" t="str">
        <f ca="1">VLOOKUP(A336,Calculation!$E$6:$J$1004,4,FALSE)</f>
        <v/>
      </c>
      <c r="C336" s="4" t="str">
        <f ca="1">VLOOKUP(A336,Calculation!$E$6:$J$1004,5,FALSE)</f>
        <v/>
      </c>
      <c r="D336" s="4" t="str">
        <f ca="1">VLOOKUP(A336,Calculation!$E$6:$J$1004,6,FALSE)</f>
        <v/>
      </c>
      <c r="E336" s="42" t="str">
        <f t="shared" ca="1" si="2"/>
        <v/>
      </c>
      <c r="G336" s="29" t="str">
        <f ca="1">VLOOKUP(A336,Calculation!$F$6:$J$1004,3,FALSE)</f>
        <v/>
      </c>
      <c r="H336" s="4" t="str">
        <f ca="1">VLOOKUP(A336,Calculation!$F$6:$J$1004,4,FALSE)</f>
        <v/>
      </c>
      <c r="I336" s="4" t="str">
        <f ca="1">VLOOKUP(A336,Calculation!$F$6:$J$1004,5,FALSE)</f>
        <v/>
      </c>
      <c r="J336" s="43" t="str">
        <f t="shared" ca="1" si="3"/>
        <v/>
      </c>
      <c r="L336" s="29" t="str">
        <f ca="1">VLOOKUP(A336,Calculation!$G$6:$S$1004,2,FALSE)</f>
        <v/>
      </c>
      <c r="M336" s="4" t="str">
        <f ca="1">IFERROR(VLOOKUP($L336,Calculation!$H$6:$S$1005,HLOOKUP(M$2,Calculation!$M$4:$S$5,2,FALSE)+5,FALSE),"")</f>
        <v/>
      </c>
      <c r="N336" s="4" t="str">
        <f ca="1">IFERROR(VLOOKUP($L336,Calculation!$H$6:$S$1005,HLOOKUP(N$2,Calculation!$M$4:$S$5,2,FALSE)+5,FALSE),"")</f>
        <v/>
      </c>
      <c r="O336" s="4" t="str">
        <f ca="1">IFERROR(VLOOKUP($L336,Calculation!$H$6:$S$1005,HLOOKUP(O$2,Calculation!$M$4:$S$5,2,FALSE)+5,FALSE),"")</f>
        <v/>
      </c>
      <c r="P336" s="4" t="str">
        <f ca="1">IFERROR(VLOOKUP($L336,Calculation!$H$6:$S$1005,HLOOKUP(P$2,Calculation!$M$4:$S$5,2,FALSE)+5,FALSE),"")</f>
        <v/>
      </c>
      <c r="Q336" s="4" t="str">
        <f ca="1">IFERROR(VLOOKUP($L336,Calculation!$H$6:$S$1005,HLOOKUP(Q$2,Calculation!$M$4:$S$5,2,FALSE)+5,FALSE),"")</f>
        <v/>
      </c>
      <c r="R336" s="27" t="str">
        <f ca="1">IFERROR(VLOOKUP($L336,Calculation!$H$6:$S$1005,HLOOKUP(R$2,Calculation!$M$4:$S$5,2,FALSE)+5,FALSE),"")</f>
        <v/>
      </c>
      <c r="S336" s="4" t="str">
        <f ca="1">IFERROR(VLOOKUP($L336,Calculation!$H$6:$S$1005,HLOOKUP(S$2,Calculation!$M$4:$S$5,2,FALSE)+5,FALSE),"")</f>
        <v/>
      </c>
      <c r="T336" s="29"/>
      <c r="U336" s="43" t="str">
        <f>IFERROR(VLOOKUP(T336,Calculation!$U$6:$V$11,2,FALSE),"")</f>
        <v/>
      </c>
    </row>
    <row r="337" spans="1:21" ht="14.25" customHeight="1" x14ac:dyDescent="0.3">
      <c r="A337" s="26" t="str">
        <f ca="1">IF(Calculation!T340&lt;=Calculation!$H$4,Calculation!T340,"")</f>
        <v/>
      </c>
      <c r="B337" s="4" t="str">
        <f ca="1">VLOOKUP(A337,Calculation!$E$6:$J$1004,4,FALSE)</f>
        <v/>
      </c>
      <c r="C337" s="4" t="str">
        <f ca="1">VLOOKUP(A337,Calculation!$E$6:$J$1004,5,FALSE)</f>
        <v/>
      </c>
      <c r="D337" s="4" t="str">
        <f ca="1">VLOOKUP(A337,Calculation!$E$6:$J$1004,6,FALSE)</f>
        <v/>
      </c>
      <c r="E337" s="42" t="str">
        <f t="shared" ca="1" si="2"/>
        <v/>
      </c>
      <c r="G337" s="29" t="str">
        <f ca="1">VLOOKUP(A337,Calculation!$F$6:$J$1004,3,FALSE)</f>
        <v/>
      </c>
      <c r="H337" s="4" t="str">
        <f ca="1">VLOOKUP(A337,Calculation!$F$6:$J$1004,4,FALSE)</f>
        <v/>
      </c>
      <c r="I337" s="4" t="str">
        <f ca="1">VLOOKUP(A337,Calculation!$F$6:$J$1004,5,FALSE)</f>
        <v/>
      </c>
      <c r="J337" s="43" t="str">
        <f t="shared" ca="1" si="3"/>
        <v/>
      </c>
      <c r="L337" s="29" t="str">
        <f ca="1">VLOOKUP(A337,Calculation!$G$6:$S$1004,2,FALSE)</f>
        <v/>
      </c>
      <c r="M337" s="4" t="str">
        <f ca="1">IFERROR(VLOOKUP($L337,Calculation!$H$6:$S$1005,HLOOKUP(M$2,Calculation!$M$4:$S$5,2,FALSE)+5,FALSE),"")</f>
        <v/>
      </c>
      <c r="N337" s="4" t="str">
        <f ca="1">IFERROR(VLOOKUP($L337,Calculation!$H$6:$S$1005,HLOOKUP(N$2,Calculation!$M$4:$S$5,2,FALSE)+5,FALSE),"")</f>
        <v/>
      </c>
      <c r="O337" s="4" t="str">
        <f ca="1">IFERROR(VLOOKUP($L337,Calculation!$H$6:$S$1005,HLOOKUP(O$2,Calculation!$M$4:$S$5,2,FALSE)+5,FALSE),"")</f>
        <v/>
      </c>
      <c r="P337" s="4" t="str">
        <f ca="1">IFERROR(VLOOKUP($L337,Calculation!$H$6:$S$1005,HLOOKUP(P$2,Calculation!$M$4:$S$5,2,FALSE)+5,FALSE),"")</f>
        <v/>
      </c>
      <c r="Q337" s="4" t="str">
        <f ca="1">IFERROR(VLOOKUP($L337,Calculation!$H$6:$S$1005,HLOOKUP(Q$2,Calculation!$M$4:$S$5,2,FALSE)+5,FALSE),"")</f>
        <v/>
      </c>
      <c r="R337" s="27" t="str">
        <f ca="1">IFERROR(VLOOKUP($L337,Calculation!$H$6:$S$1005,HLOOKUP(R$2,Calculation!$M$4:$S$5,2,FALSE)+5,FALSE),"")</f>
        <v/>
      </c>
      <c r="S337" s="4" t="str">
        <f ca="1">IFERROR(VLOOKUP($L337,Calculation!$H$6:$S$1005,HLOOKUP(S$2,Calculation!$M$4:$S$5,2,FALSE)+5,FALSE),"")</f>
        <v/>
      </c>
      <c r="T337" s="29"/>
      <c r="U337" s="43" t="str">
        <f>IFERROR(VLOOKUP(T337,Calculation!$U$6:$V$11,2,FALSE),"")</f>
        <v/>
      </c>
    </row>
    <row r="338" spans="1:21" ht="14.25" customHeight="1" x14ac:dyDescent="0.3">
      <c r="A338" s="26" t="str">
        <f ca="1">IF(Calculation!T341&lt;=Calculation!$H$4,Calculation!T341,"")</f>
        <v/>
      </c>
      <c r="B338" s="4" t="str">
        <f ca="1">VLOOKUP(A338,Calculation!$E$6:$J$1004,4,FALSE)</f>
        <v/>
      </c>
      <c r="C338" s="4" t="str">
        <f ca="1">VLOOKUP(A338,Calculation!$E$6:$J$1004,5,FALSE)</f>
        <v/>
      </c>
      <c r="D338" s="4" t="str">
        <f ca="1">VLOOKUP(A338,Calculation!$E$6:$J$1004,6,FALSE)</f>
        <v/>
      </c>
      <c r="E338" s="42" t="str">
        <f t="shared" ca="1" si="2"/>
        <v/>
      </c>
      <c r="G338" s="29" t="str">
        <f ca="1">VLOOKUP(A338,Calculation!$F$6:$J$1004,3,FALSE)</f>
        <v/>
      </c>
      <c r="H338" s="4" t="str">
        <f ca="1">VLOOKUP(A338,Calculation!$F$6:$J$1004,4,FALSE)</f>
        <v/>
      </c>
      <c r="I338" s="4" t="str">
        <f ca="1">VLOOKUP(A338,Calculation!$F$6:$J$1004,5,FALSE)</f>
        <v/>
      </c>
      <c r="J338" s="43" t="str">
        <f t="shared" ca="1" si="3"/>
        <v/>
      </c>
      <c r="L338" s="29" t="str">
        <f ca="1">VLOOKUP(A338,Calculation!$G$6:$S$1004,2,FALSE)</f>
        <v/>
      </c>
      <c r="M338" s="4" t="str">
        <f ca="1">IFERROR(VLOOKUP($L338,Calculation!$H$6:$S$1005,HLOOKUP(M$2,Calculation!$M$4:$S$5,2,FALSE)+5,FALSE),"")</f>
        <v/>
      </c>
      <c r="N338" s="4" t="str">
        <f ca="1">IFERROR(VLOOKUP($L338,Calculation!$H$6:$S$1005,HLOOKUP(N$2,Calculation!$M$4:$S$5,2,FALSE)+5,FALSE),"")</f>
        <v/>
      </c>
      <c r="O338" s="4" t="str">
        <f ca="1">IFERROR(VLOOKUP($L338,Calculation!$H$6:$S$1005,HLOOKUP(O$2,Calculation!$M$4:$S$5,2,FALSE)+5,FALSE),"")</f>
        <v/>
      </c>
      <c r="P338" s="4" t="str">
        <f ca="1">IFERROR(VLOOKUP($L338,Calculation!$H$6:$S$1005,HLOOKUP(P$2,Calculation!$M$4:$S$5,2,FALSE)+5,FALSE),"")</f>
        <v/>
      </c>
      <c r="Q338" s="4" t="str">
        <f ca="1">IFERROR(VLOOKUP($L338,Calculation!$H$6:$S$1005,HLOOKUP(Q$2,Calculation!$M$4:$S$5,2,FALSE)+5,FALSE),"")</f>
        <v/>
      </c>
      <c r="R338" s="27" t="str">
        <f ca="1">IFERROR(VLOOKUP($L338,Calculation!$H$6:$S$1005,HLOOKUP(R$2,Calculation!$M$4:$S$5,2,FALSE)+5,FALSE),"")</f>
        <v/>
      </c>
      <c r="S338" s="4" t="str">
        <f ca="1">IFERROR(VLOOKUP($L338,Calculation!$H$6:$S$1005,HLOOKUP(S$2,Calculation!$M$4:$S$5,2,FALSE)+5,FALSE),"")</f>
        <v/>
      </c>
      <c r="T338" s="29"/>
      <c r="U338" s="43" t="str">
        <f>IFERROR(VLOOKUP(T338,Calculation!$U$6:$V$11,2,FALSE),"")</f>
        <v/>
      </c>
    </row>
    <row r="339" spans="1:21" ht="14.25" customHeight="1" x14ac:dyDescent="0.3">
      <c r="A339" s="26" t="str">
        <f ca="1">IF(Calculation!T342&lt;=Calculation!$H$4,Calculation!T342,"")</f>
        <v/>
      </c>
      <c r="B339" s="4" t="str">
        <f ca="1">VLOOKUP(A339,Calculation!$E$6:$J$1004,4,FALSE)</f>
        <v/>
      </c>
      <c r="C339" s="4" t="str">
        <f ca="1">VLOOKUP(A339,Calculation!$E$6:$J$1004,5,FALSE)</f>
        <v/>
      </c>
      <c r="D339" s="4" t="str">
        <f ca="1">VLOOKUP(A339,Calculation!$E$6:$J$1004,6,FALSE)</f>
        <v/>
      </c>
      <c r="E339" s="42" t="str">
        <f t="shared" ca="1" si="2"/>
        <v/>
      </c>
      <c r="G339" s="29" t="str">
        <f ca="1">VLOOKUP(A339,Calculation!$F$6:$J$1004,3,FALSE)</f>
        <v/>
      </c>
      <c r="H339" s="4" t="str">
        <f ca="1">VLOOKUP(A339,Calculation!$F$6:$J$1004,4,FALSE)</f>
        <v/>
      </c>
      <c r="I339" s="4" t="str">
        <f ca="1">VLOOKUP(A339,Calculation!$F$6:$J$1004,5,FALSE)</f>
        <v/>
      </c>
      <c r="J339" s="43" t="str">
        <f t="shared" ca="1" si="3"/>
        <v/>
      </c>
      <c r="L339" s="29" t="str">
        <f ca="1">VLOOKUP(A339,Calculation!$G$6:$S$1004,2,FALSE)</f>
        <v/>
      </c>
      <c r="M339" s="4" t="str">
        <f ca="1">IFERROR(VLOOKUP($L339,Calculation!$H$6:$S$1005,HLOOKUP(M$2,Calculation!$M$4:$S$5,2,FALSE)+5,FALSE),"")</f>
        <v/>
      </c>
      <c r="N339" s="4" t="str">
        <f ca="1">IFERROR(VLOOKUP($L339,Calculation!$H$6:$S$1005,HLOOKUP(N$2,Calculation!$M$4:$S$5,2,FALSE)+5,FALSE),"")</f>
        <v/>
      </c>
      <c r="O339" s="4" t="str">
        <f ca="1">IFERROR(VLOOKUP($L339,Calculation!$H$6:$S$1005,HLOOKUP(O$2,Calculation!$M$4:$S$5,2,FALSE)+5,FALSE),"")</f>
        <v/>
      </c>
      <c r="P339" s="4" t="str">
        <f ca="1">IFERROR(VLOOKUP($L339,Calculation!$H$6:$S$1005,HLOOKUP(P$2,Calculation!$M$4:$S$5,2,FALSE)+5,FALSE),"")</f>
        <v/>
      </c>
      <c r="Q339" s="4" t="str">
        <f ca="1">IFERROR(VLOOKUP($L339,Calculation!$H$6:$S$1005,HLOOKUP(Q$2,Calculation!$M$4:$S$5,2,FALSE)+5,FALSE),"")</f>
        <v/>
      </c>
      <c r="R339" s="27" t="str">
        <f ca="1">IFERROR(VLOOKUP($L339,Calculation!$H$6:$S$1005,HLOOKUP(R$2,Calculation!$M$4:$S$5,2,FALSE)+5,FALSE),"")</f>
        <v/>
      </c>
      <c r="S339" s="4" t="str">
        <f ca="1">IFERROR(VLOOKUP($L339,Calculation!$H$6:$S$1005,HLOOKUP(S$2,Calculation!$M$4:$S$5,2,FALSE)+5,FALSE),"")</f>
        <v/>
      </c>
      <c r="T339" s="29"/>
      <c r="U339" s="43" t="str">
        <f>IFERROR(VLOOKUP(T339,Calculation!$U$6:$V$11,2,FALSE),"")</f>
        <v/>
      </c>
    </row>
    <row r="340" spans="1:21" ht="14.25" customHeight="1" x14ac:dyDescent="0.3">
      <c r="A340" s="26" t="str">
        <f ca="1">IF(Calculation!T343&lt;=Calculation!$H$4,Calculation!T343,"")</f>
        <v/>
      </c>
      <c r="B340" s="4" t="str">
        <f ca="1">VLOOKUP(A340,Calculation!$E$6:$J$1004,4,FALSE)</f>
        <v/>
      </c>
      <c r="C340" s="4" t="str">
        <f ca="1">VLOOKUP(A340,Calculation!$E$6:$J$1004,5,FALSE)</f>
        <v/>
      </c>
      <c r="D340" s="4" t="str">
        <f ca="1">VLOOKUP(A340,Calculation!$E$6:$J$1004,6,FALSE)</f>
        <v/>
      </c>
      <c r="E340" s="42" t="str">
        <f t="shared" ca="1" si="2"/>
        <v/>
      </c>
      <c r="G340" s="29" t="str">
        <f ca="1">VLOOKUP(A340,Calculation!$F$6:$J$1004,3,FALSE)</f>
        <v/>
      </c>
      <c r="H340" s="4" t="str">
        <f ca="1">VLOOKUP(A340,Calculation!$F$6:$J$1004,4,FALSE)</f>
        <v/>
      </c>
      <c r="I340" s="4" t="str">
        <f ca="1">VLOOKUP(A340,Calculation!$F$6:$J$1004,5,FALSE)</f>
        <v/>
      </c>
      <c r="J340" s="43" t="str">
        <f t="shared" ca="1" si="3"/>
        <v/>
      </c>
      <c r="L340" s="29" t="str">
        <f ca="1">VLOOKUP(A340,Calculation!$G$6:$S$1004,2,FALSE)</f>
        <v/>
      </c>
      <c r="M340" s="4" t="str">
        <f ca="1">IFERROR(VLOOKUP($L340,Calculation!$H$6:$S$1005,HLOOKUP(M$2,Calculation!$M$4:$S$5,2,FALSE)+5,FALSE),"")</f>
        <v/>
      </c>
      <c r="N340" s="4" t="str">
        <f ca="1">IFERROR(VLOOKUP($L340,Calculation!$H$6:$S$1005,HLOOKUP(N$2,Calculation!$M$4:$S$5,2,FALSE)+5,FALSE),"")</f>
        <v/>
      </c>
      <c r="O340" s="4" t="str">
        <f ca="1">IFERROR(VLOOKUP($L340,Calculation!$H$6:$S$1005,HLOOKUP(O$2,Calculation!$M$4:$S$5,2,FALSE)+5,FALSE),"")</f>
        <v/>
      </c>
      <c r="P340" s="4" t="str">
        <f ca="1">IFERROR(VLOOKUP($L340,Calculation!$H$6:$S$1005,HLOOKUP(P$2,Calculation!$M$4:$S$5,2,FALSE)+5,FALSE),"")</f>
        <v/>
      </c>
      <c r="Q340" s="4" t="str">
        <f ca="1">IFERROR(VLOOKUP($L340,Calculation!$H$6:$S$1005,HLOOKUP(Q$2,Calculation!$M$4:$S$5,2,FALSE)+5,FALSE),"")</f>
        <v/>
      </c>
      <c r="R340" s="27" t="str">
        <f ca="1">IFERROR(VLOOKUP($L340,Calculation!$H$6:$S$1005,HLOOKUP(R$2,Calculation!$M$4:$S$5,2,FALSE)+5,FALSE),"")</f>
        <v/>
      </c>
      <c r="S340" s="4" t="str">
        <f ca="1">IFERROR(VLOOKUP($L340,Calculation!$H$6:$S$1005,HLOOKUP(S$2,Calculation!$M$4:$S$5,2,FALSE)+5,FALSE),"")</f>
        <v/>
      </c>
      <c r="T340" s="29"/>
      <c r="U340" s="43" t="str">
        <f>IFERROR(VLOOKUP(T340,Calculation!$U$6:$V$11,2,FALSE),"")</f>
        <v/>
      </c>
    </row>
    <row r="341" spans="1:21" ht="14.25" customHeight="1" x14ac:dyDescent="0.3">
      <c r="A341" s="26" t="str">
        <f ca="1">IF(Calculation!T344&lt;=Calculation!$H$4,Calculation!T344,"")</f>
        <v/>
      </c>
      <c r="B341" s="4" t="str">
        <f ca="1">VLOOKUP(A341,Calculation!$E$6:$J$1004,4,FALSE)</f>
        <v/>
      </c>
      <c r="C341" s="4" t="str">
        <f ca="1">VLOOKUP(A341,Calculation!$E$6:$J$1004,5,FALSE)</f>
        <v/>
      </c>
      <c r="D341" s="4" t="str">
        <f ca="1">VLOOKUP(A341,Calculation!$E$6:$J$1004,6,FALSE)</f>
        <v/>
      </c>
      <c r="E341" s="42" t="str">
        <f t="shared" ca="1" si="2"/>
        <v/>
      </c>
      <c r="G341" s="29" t="str">
        <f ca="1">VLOOKUP(A341,Calculation!$F$6:$J$1004,3,FALSE)</f>
        <v/>
      </c>
      <c r="H341" s="4" t="str">
        <f ca="1">VLOOKUP(A341,Calculation!$F$6:$J$1004,4,FALSE)</f>
        <v/>
      </c>
      <c r="I341" s="4" t="str">
        <f ca="1">VLOOKUP(A341,Calculation!$F$6:$J$1004,5,FALSE)</f>
        <v/>
      </c>
      <c r="J341" s="43" t="str">
        <f t="shared" ca="1" si="3"/>
        <v/>
      </c>
      <c r="L341" s="29" t="str">
        <f ca="1">VLOOKUP(A341,Calculation!$G$6:$S$1004,2,FALSE)</f>
        <v/>
      </c>
      <c r="M341" s="4" t="str">
        <f ca="1">IFERROR(VLOOKUP($L341,Calculation!$H$6:$S$1005,HLOOKUP(M$2,Calculation!$M$4:$S$5,2,FALSE)+5,FALSE),"")</f>
        <v/>
      </c>
      <c r="N341" s="4" t="str">
        <f ca="1">IFERROR(VLOOKUP($L341,Calculation!$H$6:$S$1005,HLOOKUP(N$2,Calculation!$M$4:$S$5,2,FALSE)+5,FALSE),"")</f>
        <v/>
      </c>
      <c r="O341" s="4" t="str">
        <f ca="1">IFERROR(VLOOKUP($L341,Calculation!$H$6:$S$1005,HLOOKUP(O$2,Calculation!$M$4:$S$5,2,FALSE)+5,FALSE),"")</f>
        <v/>
      </c>
      <c r="P341" s="4" t="str">
        <f ca="1">IFERROR(VLOOKUP($L341,Calculation!$H$6:$S$1005,HLOOKUP(P$2,Calculation!$M$4:$S$5,2,FALSE)+5,FALSE),"")</f>
        <v/>
      </c>
      <c r="Q341" s="4" t="str">
        <f ca="1">IFERROR(VLOOKUP($L341,Calculation!$H$6:$S$1005,HLOOKUP(Q$2,Calculation!$M$4:$S$5,2,FALSE)+5,FALSE),"")</f>
        <v/>
      </c>
      <c r="R341" s="27" t="str">
        <f ca="1">IFERROR(VLOOKUP($L341,Calculation!$H$6:$S$1005,HLOOKUP(R$2,Calculation!$M$4:$S$5,2,FALSE)+5,FALSE),"")</f>
        <v/>
      </c>
      <c r="S341" s="4" t="str">
        <f ca="1">IFERROR(VLOOKUP($L341,Calculation!$H$6:$S$1005,HLOOKUP(S$2,Calculation!$M$4:$S$5,2,FALSE)+5,FALSE),"")</f>
        <v/>
      </c>
      <c r="T341" s="29"/>
      <c r="U341" s="43" t="str">
        <f>IFERROR(VLOOKUP(T341,Calculation!$U$6:$V$11,2,FALSE),"")</f>
        <v/>
      </c>
    </row>
    <row r="342" spans="1:21" ht="14.25" customHeight="1" x14ac:dyDescent="0.3">
      <c r="A342" s="26" t="str">
        <f ca="1">IF(Calculation!T345&lt;=Calculation!$H$4,Calculation!T345,"")</f>
        <v/>
      </c>
      <c r="B342" s="4" t="str">
        <f ca="1">VLOOKUP(A342,Calculation!$E$6:$J$1004,4,FALSE)</f>
        <v/>
      </c>
      <c r="C342" s="4" t="str">
        <f ca="1">VLOOKUP(A342,Calculation!$E$6:$J$1004,5,FALSE)</f>
        <v/>
      </c>
      <c r="D342" s="4" t="str">
        <f ca="1">VLOOKUP(A342,Calculation!$E$6:$J$1004,6,FALSE)</f>
        <v/>
      </c>
      <c r="E342" s="42" t="str">
        <f t="shared" ca="1" si="2"/>
        <v/>
      </c>
      <c r="G342" s="29" t="str">
        <f ca="1">VLOOKUP(A342,Calculation!$F$6:$J$1004,3,FALSE)</f>
        <v/>
      </c>
      <c r="H342" s="4" t="str">
        <f ca="1">VLOOKUP(A342,Calculation!$F$6:$J$1004,4,FALSE)</f>
        <v/>
      </c>
      <c r="I342" s="4" t="str">
        <f ca="1">VLOOKUP(A342,Calculation!$F$6:$J$1004,5,FALSE)</f>
        <v/>
      </c>
      <c r="J342" s="43" t="str">
        <f t="shared" ca="1" si="3"/>
        <v/>
      </c>
      <c r="L342" s="29" t="str">
        <f ca="1">VLOOKUP(A342,Calculation!$G$6:$S$1004,2,FALSE)</f>
        <v/>
      </c>
      <c r="M342" s="4" t="str">
        <f ca="1">IFERROR(VLOOKUP($L342,Calculation!$H$6:$S$1005,HLOOKUP(M$2,Calculation!$M$4:$S$5,2,FALSE)+5,FALSE),"")</f>
        <v/>
      </c>
      <c r="N342" s="4" t="str">
        <f ca="1">IFERROR(VLOOKUP($L342,Calculation!$H$6:$S$1005,HLOOKUP(N$2,Calculation!$M$4:$S$5,2,FALSE)+5,FALSE),"")</f>
        <v/>
      </c>
      <c r="O342" s="4" t="str">
        <f ca="1">IFERROR(VLOOKUP($L342,Calculation!$H$6:$S$1005,HLOOKUP(O$2,Calculation!$M$4:$S$5,2,FALSE)+5,FALSE),"")</f>
        <v/>
      </c>
      <c r="P342" s="4" t="str">
        <f ca="1">IFERROR(VLOOKUP($L342,Calculation!$H$6:$S$1005,HLOOKUP(P$2,Calculation!$M$4:$S$5,2,FALSE)+5,FALSE),"")</f>
        <v/>
      </c>
      <c r="Q342" s="4" t="str">
        <f ca="1">IFERROR(VLOOKUP($L342,Calculation!$H$6:$S$1005,HLOOKUP(Q$2,Calculation!$M$4:$S$5,2,FALSE)+5,FALSE),"")</f>
        <v/>
      </c>
      <c r="R342" s="27" t="str">
        <f ca="1">IFERROR(VLOOKUP($L342,Calculation!$H$6:$S$1005,HLOOKUP(R$2,Calculation!$M$4:$S$5,2,FALSE)+5,FALSE),"")</f>
        <v/>
      </c>
      <c r="S342" s="4" t="str">
        <f ca="1">IFERROR(VLOOKUP($L342,Calculation!$H$6:$S$1005,HLOOKUP(S$2,Calculation!$M$4:$S$5,2,FALSE)+5,FALSE),"")</f>
        <v/>
      </c>
      <c r="T342" s="29"/>
      <c r="U342" s="43" t="str">
        <f>IFERROR(VLOOKUP(T342,Calculation!$U$6:$V$11,2,FALSE),"")</f>
        <v/>
      </c>
    </row>
    <row r="343" spans="1:21" ht="14.25" customHeight="1" x14ac:dyDescent="0.3">
      <c r="A343" s="26" t="str">
        <f ca="1">IF(Calculation!T346&lt;=Calculation!$H$4,Calculation!T346,"")</f>
        <v/>
      </c>
      <c r="B343" s="4" t="str">
        <f ca="1">VLOOKUP(A343,Calculation!$E$6:$J$1004,4,FALSE)</f>
        <v/>
      </c>
      <c r="C343" s="4" t="str">
        <f ca="1">VLOOKUP(A343,Calculation!$E$6:$J$1004,5,FALSE)</f>
        <v/>
      </c>
      <c r="D343" s="4" t="str">
        <f ca="1">VLOOKUP(A343,Calculation!$E$6:$J$1004,6,FALSE)</f>
        <v/>
      </c>
      <c r="E343" s="42" t="str">
        <f t="shared" ca="1" si="2"/>
        <v/>
      </c>
      <c r="G343" s="29" t="str">
        <f ca="1">VLOOKUP(A343,Calculation!$F$6:$J$1004,3,FALSE)</f>
        <v/>
      </c>
      <c r="H343" s="4" t="str">
        <f ca="1">VLOOKUP(A343,Calculation!$F$6:$J$1004,4,FALSE)</f>
        <v/>
      </c>
      <c r="I343" s="4" t="str">
        <f ca="1">VLOOKUP(A343,Calculation!$F$6:$J$1004,5,FALSE)</f>
        <v/>
      </c>
      <c r="J343" s="43" t="str">
        <f t="shared" ca="1" si="3"/>
        <v/>
      </c>
      <c r="L343" s="29" t="str">
        <f ca="1">VLOOKUP(A343,Calculation!$G$6:$S$1004,2,FALSE)</f>
        <v/>
      </c>
      <c r="M343" s="4" t="str">
        <f ca="1">IFERROR(VLOOKUP($L343,Calculation!$H$6:$S$1005,HLOOKUP(M$2,Calculation!$M$4:$S$5,2,FALSE)+5,FALSE),"")</f>
        <v/>
      </c>
      <c r="N343" s="4" t="str">
        <f ca="1">IFERROR(VLOOKUP($L343,Calculation!$H$6:$S$1005,HLOOKUP(N$2,Calculation!$M$4:$S$5,2,FALSE)+5,FALSE),"")</f>
        <v/>
      </c>
      <c r="O343" s="4" t="str">
        <f ca="1">IFERROR(VLOOKUP($L343,Calculation!$H$6:$S$1005,HLOOKUP(O$2,Calculation!$M$4:$S$5,2,FALSE)+5,FALSE),"")</f>
        <v/>
      </c>
      <c r="P343" s="4" t="str">
        <f ca="1">IFERROR(VLOOKUP($L343,Calculation!$H$6:$S$1005,HLOOKUP(P$2,Calculation!$M$4:$S$5,2,FALSE)+5,FALSE),"")</f>
        <v/>
      </c>
      <c r="Q343" s="4" t="str">
        <f ca="1">IFERROR(VLOOKUP($L343,Calculation!$H$6:$S$1005,HLOOKUP(Q$2,Calculation!$M$4:$S$5,2,FALSE)+5,FALSE),"")</f>
        <v/>
      </c>
      <c r="R343" s="27" t="str">
        <f ca="1">IFERROR(VLOOKUP($L343,Calculation!$H$6:$S$1005,HLOOKUP(R$2,Calculation!$M$4:$S$5,2,FALSE)+5,FALSE),"")</f>
        <v/>
      </c>
      <c r="S343" s="4" t="str">
        <f ca="1">IFERROR(VLOOKUP($L343,Calculation!$H$6:$S$1005,HLOOKUP(S$2,Calculation!$M$4:$S$5,2,FALSE)+5,FALSE),"")</f>
        <v/>
      </c>
      <c r="T343" s="29"/>
      <c r="U343" s="43" t="str">
        <f>IFERROR(VLOOKUP(T343,Calculation!$U$6:$V$11,2,FALSE),"")</f>
        <v/>
      </c>
    </row>
    <row r="344" spans="1:21" ht="14.25" customHeight="1" x14ac:dyDescent="0.3">
      <c r="A344" s="26" t="str">
        <f ca="1">IF(Calculation!T347&lt;=Calculation!$H$4,Calculation!T347,"")</f>
        <v/>
      </c>
      <c r="B344" s="4" t="str">
        <f ca="1">VLOOKUP(A344,Calculation!$E$6:$J$1004,4,FALSE)</f>
        <v/>
      </c>
      <c r="C344" s="4" t="str">
        <f ca="1">VLOOKUP(A344,Calculation!$E$6:$J$1004,5,FALSE)</f>
        <v/>
      </c>
      <c r="D344" s="4" t="str">
        <f ca="1">VLOOKUP(A344,Calculation!$E$6:$J$1004,6,FALSE)</f>
        <v/>
      </c>
      <c r="E344" s="42" t="str">
        <f t="shared" ca="1" si="2"/>
        <v/>
      </c>
      <c r="G344" s="29" t="str">
        <f ca="1">VLOOKUP(A344,Calculation!$F$6:$J$1004,3,FALSE)</f>
        <v/>
      </c>
      <c r="H344" s="4" t="str">
        <f ca="1">VLOOKUP(A344,Calculation!$F$6:$J$1004,4,FALSE)</f>
        <v/>
      </c>
      <c r="I344" s="4" t="str">
        <f ca="1">VLOOKUP(A344,Calculation!$F$6:$J$1004,5,FALSE)</f>
        <v/>
      </c>
      <c r="J344" s="43" t="str">
        <f t="shared" ca="1" si="3"/>
        <v/>
      </c>
      <c r="L344" s="29" t="str">
        <f ca="1">VLOOKUP(A344,Calculation!$G$6:$S$1004,2,FALSE)</f>
        <v/>
      </c>
      <c r="M344" s="4" t="str">
        <f ca="1">IFERROR(VLOOKUP($L344,Calculation!$H$6:$S$1005,HLOOKUP(M$2,Calculation!$M$4:$S$5,2,FALSE)+5,FALSE),"")</f>
        <v/>
      </c>
      <c r="N344" s="4" t="str">
        <f ca="1">IFERROR(VLOOKUP($L344,Calculation!$H$6:$S$1005,HLOOKUP(N$2,Calculation!$M$4:$S$5,2,FALSE)+5,FALSE),"")</f>
        <v/>
      </c>
      <c r="O344" s="4" t="str">
        <f ca="1">IFERROR(VLOOKUP($L344,Calculation!$H$6:$S$1005,HLOOKUP(O$2,Calculation!$M$4:$S$5,2,FALSE)+5,FALSE),"")</f>
        <v/>
      </c>
      <c r="P344" s="4" t="str">
        <f ca="1">IFERROR(VLOOKUP($L344,Calculation!$H$6:$S$1005,HLOOKUP(P$2,Calculation!$M$4:$S$5,2,FALSE)+5,FALSE),"")</f>
        <v/>
      </c>
      <c r="Q344" s="4" t="str">
        <f ca="1">IFERROR(VLOOKUP($L344,Calculation!$H$6:$S$1005,HLOOKUP(Q$2,Calculation!$M$4:$S$5,2,FALSE)+5,FALSE),"")</f>
        <v/>
      </c>
      <c r="R344" s="27" t="str">
        <f ca="1">IFERROR(VLOOKUP($L344,Calculation!$H$6:$S$1005,HLOOKUP(R$2,Calculation!$M$4:$S$5,2,FALSE)+5,FALSE),"")</f>
        <v/>
      </c>
      <c r="S344" s="4" t="str">
        <f ca="1">IFERROR(VLOOKUP($L344,Calculation!$H$6:$S$1005,HLOOKUP(S$2,Calculation!$M$4:$S$5,2,FALSE)+5,FALSE),"")</f>
        <v/>
      </c>
      <c r="T344" s="29"/>
      <c r="U344" s="43" t="str">
        <f>IFERROR(VLOOKUP(T344,Calculation!$U$6:$V$11,2,FALSE),"")</f>
        <v/>
      </c>
    </row>
    <row r="345" spans="1:21" ht="14.25" customHeight="1" x14ac:dyDescent="0.3">
      <c r="A345" s="26" t="str">
        <f ca="1">IF(Calculation!T348&lt;=Calculation!$H$4,Calculation!T348,"")</f>
        <v/>
      </c>
      <c r="B345" s="4" t="str">
        <f ca="1">VLOOKUP(A345,Calculation!$E$6:$J$1004,4,FALSE)</f>
        <v/>
      </c>
      <c r="C345" s="4" t="str">
        <f ca="1">VLOOKUP(A345,Calculation!$E$6:$J$1004,5,FALSE)</f>
        <v/>
      </c>
      <c r="D345" s="4" t="str">
        <f ca="1">VLOOKUP(A345,Calculation!$E$6:$J$1004,6,FALSE)</f>
        <v/>
      </c>
      <c r="E345" s="42" t="str">
        <f t="shared" ca="1" si="2"/>
        <v/>
      </c>
      <c r="G345" s="29" t="str">
        <f ca="1">VLOOKUP(A345,Calculation!$F$6:$J$1004,3,FALSE)</f>
        <v/>
      </c>
      <c r="H345" s="4" t="str">
        <f ca="1">VLOOKUP(A345,Calculation!$F$6:$J$1004,4,FALSE)</f>
        <v/>
      </c>
      <c r="I345" s="4" t="str">
        <f ca="1">VLOOKUP(A345,Calculation!$F$6:$J$1004,5,FALSE)</f>
        <v/>
      </c>
      <c r="J345" s="43" t="str">
        <f t="shared" ca="1" si="3"/>
        <v/>
      </c>
      <c r="L345" s="29" t="str">
        <f ca="1">VLOOKUP(A345,Calculation!$G$6:$S$1004,2,FALSE)</f>
        <v/>
      </c>
      <c r="M345" s="4" t="str">
        <f ca="1">IFERROR(VLOOKUP($L345,Calculation!$H$6:$S$1005,HLOOKUP(M$2,Calculation!$M$4:$S$5,2,FALSE)+5,FALSE),"")</f>
        <v/>
      </c>
      <c r="N345" s="4" t="str">
        <f ca="1">IFERROR(VLOOKUP($L345,Calculation!$H$6:$S$1005,HLOOKUP(N$2,Calculation!$M$4:$S$5,2,FALSE)+5,FALSE),"")</f>
        <v/>
      </c>
      <c r="O345" s="4" t="str">
        <f ca="1">IFERROR(VLOOKUP($L345,Calculation!$H$6:$S$1005,HLOOKUP(O$2,Calculation!$M$4:$S$5,2,FALSE)+5,FALSE),"")</f>
        <v/>
      </c>
      <c r="P345" s="4" t="str">
        <f ca="1">IFERROR(VLOOKUP($L345,Calculation!$H$6:$S$1005,HLOOKUP(P$2,Calculation!$M$4:$S$5,2,FALSE)+5,FALSE),"")</f>
        <v/>
      </c>
      <c r="Q345" s="4" t="str">
        <f ca="1">IFERROR(VLOOKUP($L345,Calculation!$H$6:$S$1005,HLOOKUP(Q$2,Calculation!$M$4:$S$5,2,FALSE)+5,FALSE),"")</f>
        <v/>
      </c>
      <c r="R345" s="27" t="str">
        <f ca="1">IFERROR(VLOOKUP($L345,Calculation!$H$6:$S$1005,HLOOKUP(R$2,Calculation!$M$4:$S$5,2,FALSE)+5,FALSE),"")</f>
        <v/>
      </c>
      <c r="S345" s="4" t="str">
        <f ca="1">IFERROR(VLOOKUP($L345,Calculation!$H$6:$S$1005,HLOOKUP(S$2,Calculation!$M$4:$S$5,2,FALSE)+5,FALSE),"")</f>
        <v/>
      </c>
      <c r="T345" s="29"/>
      <c r="U345" s="43" t="str">
        <f>IFERROR(VLOOKUP(T345,Calculation!$U$6:$V$11,2,FALSE),"")</f>
        <v/>
      </c>
    </row>
    <row r="346" spans="1:21" ht="14.25" customHeight="1" x14ac:dyDescent="0.3">
      <c r="A346" s="26" t="str">
        <f ca="1">IF(Calculation!T349&lt;=Calculation!$H$4,Calculation!T349,"")</f>
        <v/>
      </c>
      <c r="B346" s="4" t="str">
        <f ca="1">VLOOKUP(A346,Calculation!$E$6:$J$1004,4,FALSE)</f>
        <v/>
      </c>
      <c r="C346" s="4" t="str">
        <f ca="1">VLOOKUP(A346,Calculation!$E$6:$J$1004,5,FALSE)</f>
        <v/>
      </c>
      <c r="D346" s="4" t="str">
        <f ca="1">VLOOKUP(A346,Calculation!$E$6:$J$1004,6,FALSE)</f>
        <v/>
      </c>
      <c r="E346" s="42" t="str">
        <f t="shared" ca="1" si="2"/>
        <v/>
      </c>
      <c r="G346" s="29" t="str">
        <f ca="1">VLOOKUP(A346,Calculation!$F$6:$J$1004,3,FALSE)</f>
        <v/>
      </c>
      <c r="H346" s="4" t="str">
        <f ca="1">VLOOKUP(A346,Calculation!$F$6:$J$1004,4,FALSE)</f>
        <v/>
      </c>
      <c r="I346" s="4" t="str">
        <f ca="1">VLOOKUP(A346,Calculation!$F$6:$J$1004,5,FALSE)</f>
        <v/>
      </c>
      <c r="J346" s="43" t="str">
        <f t="shared" ca="1" si="3"/>
        <v/>
      </c>
      <c r="L346" s="29" t="str">
        <f ca="1">VLOOKUP(A346,Calculation!$G$6:$S$1004,2,FALSE)</f>
        <v/>
      </c>
      <c r="M346" s="4" t="str">
        <f ca="1">IFERROR(VLOOKUP($L346,Calculation!$H$6:$S$1005,HLOOKUP(M$2,Calculation!$M$4:$S$5,2,FALSE)+5,FALSE),"")</f>
        <v/>
      </c>
      <c r="N346" s="4" t="str">
        <f ca="1">IFERROR(VLOOKUP($L346,Calculation!$H$6:$S$1005,HLOOKUP(N$2,Calculation!$M$4:$S$5,2,FALSE)+5,FALSE),"")</f>
        <v/>
      </c>
      <c r="O346" s="4" t="str">
        <f ca="1">IFERROR(VLOOKUP($L346,Calculation!$H$6:$S$1005,HLOOKUP(O$2,Calculation!$M$4:$S$5,2,FALSE)+5,FALSE),"")</f>
        <v/>
      </c>
      <c r="P346" s="4" t="str">
        <f ca="1">IFERROR(VLOOKUP($L346,Calculation!$H$6:$S$1005,HLOOKUP(P$2,Calculation!$M$4:$S$5,2,FALSE)+5,FALSE),"")</f>
        <v/>
      </c>
      <c r="Q346" s="4" t="str">
        <f ca="1">IFERROR(VLOOKUP($L346,Calculation!$H$6:$S$1005,HLOOKUP(Q$2,Calculation!$M$4:$S$5,2,FALSE)+5,FALSE),"")</f>
        <v/>
      </c>
      <c r="R346" s="27" t="str">
        <f ca="1">IFERROR(VLOOKUP($L346,Calculation!$H$6:$S$1005,HLOOKUP(R$2,Calculation!$M$4:$S$5,2,FALSE)+5,FALSE),"")</f>
        <v/>
      </c>
      <c r="S346" s="4" t="str">
        <f ca="1">IFERROR(VLOOKUP($L346,Calculation!$H$6:$S$1005,HLOOKUP(S$2,Calculation!$M$4:$S$5,2,FALSE)+5,FALSE),"")</f>
        <v/>
      </c>
      <c r="T346" s="29"/>
      <c r="U346" s="43" t="str">
        <f>IFERROR(VLOOKUP(T346,Calculation!$U$6:$V$11,2,FALSE),"")</f>
        <v/>
      </c>
    </row>
    <row r="347" spans="1:21" ht="14.25" customHeight="1" x14ac:dyDescent="0.3">
      <c r="A347" s="26" t="str">
        <f ca="1">IF(Calculation!T350&lt;=Calculation!$H$4,Calculation!T350,"")</f>
        <v/>
      </c>
      <c r="B347" s="4" t="str">
        <f ca="1">VLOOKUP(A347,Calculation!$E$6:$J$1004,4,FALSE)</f>
        <v/>
      </c>
      <c r="C347" s="4" t="str">
        <f ca="1">VLOOKUP(A347,Calculation!$E$6:$J$1004,5,FALSE)</f>
        <v/>
      </c>
      <c r="D347" s="4" t="str">
        <f ca="1">VLOOKUP(A347,Calculation!$E$6:$J$1004,6,FALSE)</f>
        <v/>
      </c>
      <c r="E347" s="42" t="str">
        <f t="shared" ca="1" si="2"/>
        <v/>
      </c>
      <c r="G347" s="29" t="str">
        <f ca="1">VLOOKUP(A347,Calculation!$F$6:$J$1004,3,FALSE)</f>
        <v/>
      </c>
      <c r="H347" s="4" t="str">
        <f ca="1">VLOOKUP(A347,Calculation!$F$6:$J$1004,4,FALSE)</f>
        <v/>
      </c>
      <c r="I347" s="4" t="str">
        <f ca="1">VLOOKUP(A347,Calculation!$F$6:$J$1004,5,FALSE)</f>
        <v/>
      </c>
      <c r="J347" s="43" t="str">
        <f t="shared" ca="1" si="3"/>
        <v/>
      </c>
      <c r="L347" s="29" t="str">
        <f ca="1">VLOOKUP(A347,Calculation!$G$6:$S$1004,2,FALSE)</f>
        <v/>
      </c>
      <c r="M347" s="4" t="str">
        <f ca="1">IFERROR(VLOOKUP($L347,Calculation!$H$6:$S$1005,HLOOKUP(M$2,Calculation!$M$4:$S$5,2,FALSE)+5,FALSE),"")</f>
        <v/>
      </c>
      <c r="N347" s="4" t="str">
        <f ca="1">IFERROR(VLOOKUP($L347,Calculation!$H$6:$S$1005,HLOOKUP(N$2,Calculation!$M$4:$S$5,2,FALSE)+5,FALSE),"")</f>
        <v/>
      </c>
      <c r="O347" s="4" t="str">
        <f ca="1">IFERROR(VLOOKUP($L347,Calculation!$H$6:$S$1005,HLOOKUP(O$2,Calculation!$M$4:$S$5,2,FALSE)+5,FALSE),"")</f>
        <v/>
      </c>
      <c r="P347" s="4" t="str">
        <f ca="1">IFERROR(VLOOKUP($L347,Calculation!$H$6:$S$1005,HLOOKUP(P$2,Calculation!$M$4:$S$5,2,FALSE)+5,FALSE),"")</f>
        <v/>
      </c>
      <c r="Q347" s="4" t="str">
        <f ca="1">IFERROR(VLOOKUP($L347,Calculation!$H$6:$S$1005,HLOOKUP(Q$2,Calculation!$M$4:$S$5,2,FALSE)+5,FALSE),"")</f>
        <v/>
      </c>
      <c r="R347" s="27" t="str">
        <f ca="1">IFERROR(VLOOKUP($L347,Calculation!$H$6:$S$1005,HLOOKUP(R$2,Calculation!$M$4:$S$5,2,FALSE)+5,FALSE),"")</f>
        <v/>
      </c>
      <c r="S347" s="4" t="str">
        <f ca="1">IFERROR(VLOOKUP($L347,Calculation!$H$6:$S$1005,HLOOKUP(S$2,Calculation!$M$4:$S$5,2,FALSE)+5,FALSE),"")</f>
        <v/>
      </c>
      <c r="T347" s="29"/>
      <c r="U347" s="43" t="str">
        <f>IFERROR(VLOOKUP(T347,Calculation!$U$6:$V$11,2,FALSE),"")</f>
        <v/>
      </c>
    </row>
    <row r="348" spans="1:21" ht="14.25" customHeight="1" x14ac:dyDescent="0.3">
      <c r="A348" s="26" t="str">
        <f ca="1">IF(Calculation!T351&lt;=Calculation!$H$4,Calculation!T351,"")</f>
        <v/>
      </c>
      <c r="B348" s="4" t="str">
        <f ca="1">VLOOKUP(A348,Calculation!$E$6:$J$1004,4,FALSE)</f>
        <v/>
      </c>
      <c r="C348" s="4" t="str">
        <f ca="1">VLOOKUP(A348,Calculation!$E$6:$J$1004,5,FALSE)</f>
        <v/>
      </c>
      <c r="D348" s="4" t="str">
        <f ca="1">VLOOKUP(A348,Calculation!$E$6:$J$1004,6,FALSE)</f>
        <v/>
      </c>
      <c r="E348" s="42" t="str">
        <f t="shared" ca="1" si="2"/>
        <v/>
      </c>
      <c r="G348" s="29" t="str">
        <f ca="1">VLOOKUP(A348,Calculation!$F$6:$J$1004,3,FALSE)</f>
        <v/>
      </c>
      <c r="H348" s="4" t="str">
        <f ca="1">VLOOKUP(A348,Calculation!$F$6:$J$1004,4,FALSE)</f>
        <v/>
      </c>
      <c r="I348" s="4" t="str">
        <f ca="1">VLOOKUP(A348,Calculation!$F$6:$J$1004,5,FALSE)</f>
        <v/>
      </c>
      <c r="J348" s="43" t="str">
        <f t="shared" ca="1" si="3"/>
        <v/>
      </c>
      <c r="L348" s="29" t="str">
        <f ca="1">VLOOKUP(A348,Calculation!$G$6:$S$1004,2,FALSE)</f>
        <v/>
      </c>
      <c r="M348" s="4" t="str">
        <f ca="1">IFERROR(VLOOKUP($L348,Calculation!$H$6:$S$1005,HLOOKUP(M$2,Calculation!$M$4:$S$5,2,FALSE)+5,FALSE),"")</f>
        <v/>
      </c>
      <c r="N348" s="4" t="str">
        <f ca="1">IFERROR(VLOOKUP($L348,Calculation!$H$6:$S$1005,HLOOKUP(N$2,Calculation!$M$4:$S$5,2,FALSE)+5,FALSE),"")</f>
        <v/>
      </c>
      <c r="O348" s="4" t="str">
        <f ca="1">IFERROR(VLOOKUP($L348,Calculation!$H$6:$S$1005,HLOOKUP(O$2,Calculation!$M$4:$S$5,2,FALSE)+5,FALSE),"")</f>
        <v/>
      </c>
      <c r="P348" s="4" t="str">
        <f ca="1">IFERROR(VLOOKUP($L348,Calculation!$H$6:$S$1005,HLOOKUP(P$2,Calculation!$M$4:$S$5,2,FALSE)+5,FALSE),"")</f>
        <v/>
      </c>
      <c r="Q348" s="4" t="str">
        <f ca="1">IFERROR(VLOOKUP($L348,Calculation!$H$6:$S$1005,HLOOKUP(Q$2,Calculation!$M$4:$S$5,2,FALSE)+5,FALSE),"")</f>
        <v/>
      </c>
      <c r="R348" s="27" t="str">
        <f ca="1">IFERROR(VLOOKUP($L348,Calculation!$H$6:$S$1005,HLOOKUP(R$2,Calculation!$M$4:$S$5,2,FALSE)+5,FALSE),"")</f>
        <v/>
      </c>
      <c r="S348" s="4" t="str">
        <f ca="1">IFERROR(VLOOKUP($L348,Calculation!$H$6:$S$1005,HLOOKUP(S$2,Calculation!$M$4:$S$5,2,FALSE)+5,FALSE),"")</f>
        <v/>
      </c>
      <c r="T348" s="29"/>
      <c r="U348" s="43" t="str">
        <f>IFERROR(VLOOKUP(T348,Calculation!$U$6:$V$11,2,FALSE),"")</f>
        <v/>
      </c>
    </row>
    <row r="349" spans="1:21" ht="14.25" customHeight="1" x14ac:dyDescent="0.3">
      <c r="A349" s="26" t="str">
        <f ca="1">IF(Calculation!T352&lt;=Calculation!$H$4,Calculation!T352,"")</f>
        <v/>
      </c>
      <c r="B349" s="4" t="str">
        <f ca="1">VLOOKUP(A349,Calculation!$E$6:$J$1004,4,FALSE)</f>
        <v/>
      </c>
      <c r="C349" s="4" t="str">
        <f ca="1">VLOOKUP(A349,Calculation!$E$6:$J$1004,5,FALSE)</f>
        <v/>
      </c>
      <c r="D349" s="4" t="str">
        <f ca="1">VLOOKUP(A349,Calculation!$E$6:$J$1004,6,FALSE)</f>
        <v/>
      </c>
      <c r="E349" s="42" t="str">
        <f t="shared" ca="1" si="2"/>
        <v/>
      </c>
      <c r="G349" s="29" t="str">
        <f ca="1">VLOOKUP(A349,Calculation!$F$6:$J$1004,3,FALSE)</f>
        <v/>
      </c>
      <c r="H349" s="4" t="str">
        <f ca="1">VLOOKUP(A349,Calculation!$F$6:$J$1004,4,FALSE)</f>
        <v/>
      </c>
      <c r="I349" s="4" t="str">
        <f ca="1">VLOOKUP(A349,Calculation!$F$6:$J$1004,5,FALSE)</f>
        <v/>
      </c>
      <c r="J349" s="43" t="str">
        <f t="shared" ca="1" si="3"/>
        <v/>
      </c>
      <c r="L349" s="29" t="str">
        <f ca="1">VLOOKUP(A349,Calculation!$G$6:$S$1004,2,FALSE)</f>
        <v/>
      </c>
      <c r="M349" s="4" t="str">
        <f ca="1">IFERROR(VLOOKUP($L349,Calculation!$H$6:$S$1005,HLOOKUP(M$2,Calculation!$M$4:$S$5,2,FALSE)+5,FALSE),"")</f>
        <v/>
      </c>
      <c r="N349" s="4" t="str">
        <f ca="1">IFERROR(VLOOKUP($L349,Calculation!$H$6:$S$1005,HLOOKUP(N$2,Calculation!$M$4:$S$5,2,FALSE)+5,FALSE),"")</f>
        <v/>
      </c>
      <c r="O349" s="4" t="str">
        <f ca="1">IFERROR(VLOOKUP($L349,Calculation!$H$6:$S$1005,HLOOKUP(O$2,Calculation!$M$4:$S$5,2,FALSE)+5,FALSE),"")</f>
        <v/>
      </c>
      <c r="P349" s="4" t="str">
        <f ca="1">IFERROR(VLOOKUP($L349,Calculation!$H$6:$S$1005,HLOOKUP(P$2,Calculation!$M$4:$S$5,2,FALSE)+5,FALSE),"")</f>
        <v/>
      </c>
      <c r="Q349" s="4" t="str">
        <f ca="1">IFERROR(VLOOKUP($L349,Calculation!$H$6:$S$1005,HLOOKUP(Q$2,Calculation!$M$4:$S$5,2,FALSE)+5,FALSE),"")</f>
        <v/>
      </c>
      <c r="R349" s="27" t="str">
        <f ca="1">IFERROR(VLOOKUP($L349,Calculation!$H$6:$S$1005,HLOOKUP(R$2,Calculation!$M$4:$S$5,2,FALSE)+5,FALSE),"")</f>
        <v/>
      </c>
      <c r="S349" s="4" t="str">
        <f ca="1">IFERROR(VLOOKUP($L349,Calculation!$H$6:$S$1005,HLOOKUP(S$2,Calculation!$M$4:$S$5,2,FALSE)+5,FALSE),"")</f>
        <v/>
      </c>
      <c r="T349" s="29"/>
      <c r="U349" s="43" t="str">
        <f>IFERROR(VLOOKUP(T349,Calculation!$U$6:$V$11,2,FALSE),"")</f>
        <v/>
      </c>
    </row>
    <row r="350" spans="1:21" ht="14.25" customHeight="1" x14ac:dyDescent="0.3">
      <c r="A350" s="26" t="str">
        <f ca="1">IF(Calculation!T353&lt;=Calculation!$H$4,Calculation!T353,"")</f>
        <v/>
      </c>
      <c r="B350" s="4" t="str">
        <f ca="1">VLOOKUP(A350,Calculation!$E$6:$J$1004,4,FALSE)</f>
        <v/>
      </c>
      <c r="C350" s="4" t="str">
        <f ca="1">VLOOKUP(A350,Calculation!$E$6:$J$1004,5,FALSE)</f>
        <v/>
      </c>
      <c r="D350" s="4" t="str">
        <f ca="1">VLOOKUP(A350,Calculation!$E$6:$J$1004,6,FALSE)</f>
        <v/>
      </c>
      <c r="E350" s="42" t="str">
        <f t="shared" ca="1" si="2"/>
        <v/>
      </c>
      <c r="G350" s="29" t="str">
        <f ca="1">VLOOKUP(A350,Calculation!$F$6:$J$1004,3,FALSE)</f>
        <v/>
      </c>
      <c r="H350" s="4" t="str">
        <f ca="1">VLOOKUP(A350,Calculation!$F$6:$J$1004,4,FALSE)</f>
        <v/>
      </c>
      <c r="I350" s="4" t="str">
        <f ca="1">VLOOKUP(A350,Calculation!$F$6:$J$1004,5,FALSE)</f>
        <v/>
      </c>
      <c r="J350" s="43" t="str">
        <f t="shared" ca="1" si="3"/>
        <v/>
      </c>
      <c r="L350" s="29" t="str">
        <f ca="1">VLOOKUP(A350,Calculation!$G$6:$S$1004,2,FALSE)</f>
        <v/>
      </c>
      <c r="M350" s="4" t="str">
        <f ca="1">IFERROR(VLOOKUP($L350,Calculation!$H$6:$S$1005,HLOOKUP(M$2,Calculation!$M$4:$S$5,2,FALSE)+5,FALSE),"")</f>
        <v/>
      </c>
      <c r="N350" s="4" t="str">
        <f ca="1">IFERROR(VLOOKUP($L350,Calculation!$H$6:$S$1005,HLOOKUP(N$2,Calculation!$M$4:$S$5,2,FALSE)+5,FALSE),"")</f>
        <v/>
      </c>
      <c r="O350" s="4" t="str">
        <f ca="1">IFERROR(VLOOKUP($L350,Calculation!$H$6:$S$1005,HLOOKUP(O$2,Calculation!$M$4:$S$5,2,FALSE)+5,FALSE),"")</f>
        <v/>
      </c>
      <c r="P350" s="4" t="str">
        <f ca="1">IFERROR(VLOOKUP($L350,Calculation!$H$6:$S$1005,HLOOKUP(P$2,Calculation!$M$4:$S$5,2,FALSE)+5,FALSE),"")</f>
        <v/>
      </c>
      <c r="Q350" s="4" t="str">
        <f ca="1">IFERROR(VLOOKUP($L350,Calculation!$H$6:$S$1005,HLOOKUP(Q$2,Calculation!$M$4:$S$5,2,FALSE)+5,FALSE),"")</f>
        <v/>
      </c>
      <c r="R350" s="27" t="str">
        <f ca="1">IFERROR(VLOOKUP($L350,Calculation!$H$6:$S$1005,HLOOKUP(R$2,Calculation!$M$4:$S$5,2,FALSE)+5,FALSE),"")</f>
        <v/>
      </c>
      <c r="S350" s="4" t="str">
        <f ca="1">IFERROR(VLOOKUP($L350,Calculation!$H$6:$S$1005,HLOOKUP(S$2,Calculation!$M$4:$S$5,2,FALSE)+5,FALSE),"")</f>
        <v/>
      </c>
      <c r="T350" s="29"/>
      <c r="U350" s="43" t="str">
        <f>IFERROR(VLOOKUP(T350,Calculation!$U$6:$V$11,2,FALSE),"")</f>
        <v/>
      </c>
    </row>
    <row r="351" spans="1:21" ht="14.25" customHeight="1" x14ac:dyDescent="0.3">
      <c r="A351" s="26" t="str">
        <f ca="1">IF(Calculation!T354&lt;=Calculation!$H$4,Calculation!T354,"")</f>
        <v/>
      </c>
      <c r="B351" s="4" t="str">
        <f ca="1">VLOOKUP(A351,Calculation!$E$6:$J$1004,4,FALSE)</f>
        <v/>
      </c>
      <c r="C351" s="4" t="str">
        <f ca="1">VLOOKUP(A351,Calculation!$E$6:$J$1004,5,FALSE)</f>
        <v/>
      </c>
      <c r="D351" s="4" t="str">
        <f ca="1">VLOOKUP(A351,Calculation!$E$6:$J$1004,6,FALSE)</f>
        <v/>
      </c>
      <c r="E351" s="42" t="str">
        <f t="shared" ca="1" si="2"/>
        <v/>
      </c>
      <c r="G351" s="29" t="str">
        <f ca="1">VLOOKUP(A351,Calculation!$F$6:$J$1004,3,FALSE)</f>
        <v/>
      </c>
      <c r="H351" s="4" t="str">
        <f ca="1">VLOOKUP(A351,Calculation!$F$6:$J$1004,4,FALSE)</f>
        <v/>
      </c>
      <c r="I351" s="4" t="str">
        <f ca="1">VLOOKUP(A351,Calculation!$F$6:$J$1004,5,FALSE)</f>
        <v/>
      </c>
      <c r="J351" s="43" t="str">
        <f t="shared" ca="1" si="3"/>
        <v/>
      </c>
      <c r="L351" s="29" t="str">
        <f ca="1">VLOOKUP(A351,Calculation!$G$6:$S$1004,2,FALSE)</f>
        <v/>
      </c>
      <c r="M351" s="4" t="str">
        <f ca="1">IFERROR(VLOOKUP($L351,Calculation!$H$6:$S$1005,HLOOKUP(M$2,Calculation!$M$4:$S$5,2,FALSE)+5,FALSE),"")</f>
        <v/>
      </c>
      <c r="N351" s="4" t="str">
        <f ca="1">IFERROR(VLOOKUP($L351,Calculation!$H$6:$S$1005,HLOOKUP(N$2,Calculation!$M$4:$S$5,2,FALSE)+5,FALSE),"")</f>
        <v/>
      </c>
      <c r="O351" s="4" t="str">
        <f ca="1">IFERROR(VLOOKUP($L351,Calculation!$H$6:$S$1005,HLOOKUP(O$2,Calculation!$M$4:$S$5,2,FALSE)+5,FALSE),"")</f>
        <v/>
      </c>
      <c r="P351" s="4" t="str">
        <f ca="1">IFERROR(VLOOKUP($L351,Calculation!$H$6:$S$1005,HLOOKUP(P$2,Calculation!$M$4:$S$5,2,FALSE)+5,FALSE),"")</f>
        <v/>
      </c>
      <c r="Q351" s="4" t="str">
        <f ca="1">IFERROR(VLOOKUP($L351,Calculation!$H$6:$S$1005,HLOOKUP(Q$2,Calculation!$M$4:$S$5,2,FALSE)+5,FALSE),"")</f>
        <v/>
      </c>
      <c r="R351" s="27" t="str">
        <f ca="1">IFERROR(VLOOKUP($L351,Calculation!$H$6:$S$1005,HLOOKUP(R$2,Calculation!$M$4:$S$5,2,FALSE)+5,FALSE),"")</f>
        <v/>
      </c>
      <c r="S351" s="4" t="str">
        <f ca="1">IFERROR(VLOOKUP($L351,Calculation!$H$6:$S$1005,HLOOKUP(S$2,Calculation!$M$4:$S$5,2,FALSE)+5,FALSE),"")</f>
        <v/>
      </c>
      <c r="T351" s="29"/>
      <c r="U351" s="43" t="str">
        <f>IFERROR(VLOOKUP(T351,Calculation!$U$6:$V$11,2,FALSE),"")</f>
        <v/>
      </c>
    </row>
    <row r="352" spans="1:21" ht="14.25" customHeight="1" x14ac:dyDescent="0.3">
      <c r="A352" s="26" t="str">
        <f ca="1">IF(Calculation!T355&lt;=Calculation!$H$4,Calculation!T355,"")</f>
        <v/>
      </c>
      <c r="B352" s="4" t="str">
        <f ca="1">VLOOKUP(A352,Calculation!$E$6:$J$1004,4,FALSE)</f>
        <v/>
      </c>
      <c r="C352" s="4" t="str">
        <f ca="1">VLOOKUP(A352,Calculation!$E$6:$J$1004,5,FALSE)</f>
        <v/>
      </c>
      <c r="D352" s="4" t="str">
        <f ca="1">VLOOKUP(A352,Calculation!$E$6:$J$1004,6,FALSE)</f>
        <v/>
      </c>
      <c r="E352" s="42" t="str">
        <f t="shared" ca="1" si="2"/>
        <v/>
      </c>
      <c r="G352" s="29" t="str">
        <f ca="1">VLOOKUP(A352,Calculation!$F$6:$J$1004,3,FALSE)</f>
        <v/>
      </c>
      <c r="H352" s="4" t="str">
        <f ca="1">VLOOKUP(A352,Calculation!$F$6:$J$1004,4,FALSE)</f>
        <v/>
      </c>
      <c r="I352" s="4" t="str">
        <f ca="1">VLOOKUP(A352,Calculation!$F$6:$J$1004,5,FALSE)</f>
        <v/>
      </c>
      <c r="J352" s="43" t="str">
        <f t="shared" ca="1" si="3"/>
        <v/>
      </c>
      <c r="L352" s="29" t="str">
        <f ca="1">VLOOKUP(A352,Calculation!$G$6:$S$1004,2,FALSE)</f>
        <v/>
      </c>
      <c r="M352" s="4" t="str">
        <f ca="1">IFERROR(VLOOKUP($L352,Calculation!$H$6:$S$1005,HLOOKUP(M$2,Calculation!$M$4:$S$5,2,FALSE)+5,FALSE),"")</f>
        <v/>
      </c>
      <c r="N352" s="4" t="str">
        <f ca="1">IFERROR(VLOOKUP($L352,Calculation!$H$6:$S$1005,HLOOKUP(N$2,Calculation!$M$4:$S$5,2,FALSE)+5,FALSE),"")</f>
        <v/>
      </c>
      <c r="O352" s="4" t="str">
        <f ca="1">IFERROR(VLOOKUP($L352,Calculation!$H$6:$S$1005,HLOOKUP(O$2,Calculation!$M$4:$S$5,2,FALSE)+5,FALSE),"")</f>
        <v/>
      </c>
      <c r="P352" s="4" t="str">
        <f ca="1">IFERROR(VLOOKUP($L352,Calculation!$H$6:$S$1005,HLOOKUP(P$2,Calculation!$M$4:$S$5,2,FALSE)+5,FALSE),"")</f>
        <v/>
      </c>
      <c r="Q352" s="4" t="str">
        <f ca="1">IFERROR(VLOOKUP($L352,Calculation!$H$6:$S$1005,HLOOKUP(Q$2,Calculation!$M$4:$S$5,2,FALSE)+5,FALSE),"")</f>
        <v/>
      </c>
      <c r="R352" s="27" t="str">
        <f ca="1">IFERROR(VLOOKUP($L352,Calculation!$H$6:$S$1005,HLOOKUP(R$2,Calculation!$M$4:$S$5,2,FALSE)+5,FALSE),"")</f>
        <v/>
      </c>
      <c r="S352" s="4" t="str">
        <f ca="1">IFERROR(VLOOKUP($L352,Calculation!$H$6:$S$1005,HLOOKUP(S$2,Calculation!$M$4:$S$5,2,FALSE)+5,FALSE),"")</f>
        <v/>
      </c>
      <c r="T352" s="29"/>
      <c r="U352" s="43" t="str">
        <f>IFERROR(VLOOKUP(T352,Calculation!$U$6:$V$11,2,FALSE),"")</f>
        <v/>
      </c>
    </row>
    <row r="353" spans="1:21" ht="14.25" customHeight="1" x14ac:dyDescent="0.3">
      <c r="A353" s="26" t="str">
        <f ca="1">IF(Calculation!T356&lt;=Calculation!$H$4,Calculation!T356,"")</f>
        <v/>
      </c>
      <c r="B353" s="4" t="str">
        <f ca="1">VLOOKUP(A353,Calculation!$E$6:$J$1004,4,FALSE)</f>
        <v/>
      </c>
      <c r="C353" s="4" t="str">
        <f ca="1">VLOOKUP(A353,Calculation!$E$6:$J$1004,5,FALSE)</f>
        <v/>
      </c>
      <c r="D353" s="4" t="str">
        <f ca="1">VLOOKUP(A353,Calculation!$E$6:$J$1004,6,FALSE)</f>
        <v/>
      </c>
      <c r="E353" s="42" t="str">
        <f t="shared" ca="1" si="2"/>
        <v/>
      </c>
      <c r="G353" s="29" t="str">
        <f ca="1">VLOOKUP(A353,Calculation!$F$6:$J$1004,3,FALSE)</f>
        <v/>
      </c>
      <c r="H353" s="4" t="str">
        <f ca="1">VLOOKUP(A353,Calculation!$F$6:$J$1004,4,FALSE)</f>
        <v/>
      </c>
      <c r="I353" s="4" t="str">
        <f ca="1">VLOOKUP(A353,Calculation!$F$6:$J$1004,5,FALSE)</f>
        <v/>
      </c>
      <c r="J353" s="43" t="str">
        <f t="shared" ca="1" si="3"/>
        <v/>
      </c>
      <c r="L353" s="29" t="str">
        <f ca="1">VLOOKUP(A353,Calculation!$G$6:$S$1004,2,FALSE)</f>
        <v/>
      </c>
      <c r="M353" s="4" t="str">
        <f ca="1">IFERROR(VLOOKUP($L353,Calculation!$H$6:$S$1005,HLOOKUP(M$2,Calculation!$M$4:$S$5,2,FALSE)+5,FALSE),"")</f>
        <v/>
      </c>
      <c r="N353" s="4" t="str">
        <f ca="1">IFERROR(VLOOKUP($L353,Calculation!$H$6:$S$1005,HLOOKUP(N$2,Calculation!$M$4:$S$5,2,FALSE)+5,FALSE),"")</f>
        <v/>
      </c>
      <c r="O353" s="4" t="str">
        <f ca="1">IFERROR(VLOOKUP($L353,Calculation!$H$6:$S$1005,HLOOKUP(O$2,Calculation!$M$4:$S$5,2,FALSE)+5,FALSE),"")</f>
        <v/>
      </c>
      <c r="P353" s="4" t="str">
        <f ca="1">IFERROR(VLOOKUP($L353,Calculation!$H$6:$S$1005,HLOOKUP(P$2,Calculation!$M$4:$S$5,2,FALSE)+5,FALSE),"")</f>
        <v/>
      </c>
      <c r="Q353" s="4" t="str">
        <f ca="1">IFERROR(VLOOKUP($L353,Calculation!$H$6:$S$1005,HLOOKUP(Q$2,Calculation!$M$4:$S$5,2,FALSE)+5,FALSE),"")</f>
        <v/>
      </c>
      <c r="R353" s="27" t="str">
        <f ca="1">IFERROR(VLOOKUP($L353,Calculation!$H$6:$S$1005,HLOOKUP(R$2,Calculation!$M$4:$S$5,2,FALSE)+5,FALSE),"")</f>
        <v/>
      </c>
      <c r="S353" s="4" t="str">
        <f ca="1">IFERROR(VLOOKUP($L353,Calculation!$H$6:$S$1005,HLOOKUP(S$2,Calculation!$M$4:$S$5,2,FALSE)+5,FALSE),"")</f>
        <v/>
      </c>
      <c r="T353" s="29"/>
      <c r="U353" s="43" t="str">
        <f>IFERROR(VLOOKUP(T353,Calculation!$U$6:$V$11,2,FALSE),"")</f>
        <v/>
      </c>
    </row>
    <row r="354" spans="1:21" ht="14.25" customHeight="1" x14ac:dyDescent="0.3">
      <c r="A354" s="26" t="str">
        <f ca="1">IF(Calculation!T357&lt;=Calculation!$H$4,Calculation!T357,"")</f>
        <v/>
      </c>
      <c r="B354" s="4" t="str">
        <f ca="1">VLOOKUP(A354,Calculation!$E$6:$J$1004,4,FALSE)</f>
        <v/>
      </c>
      <c r="C354" s="4" t="str">
        <f ca="1">VLOOKUP(A354,Calculation!$E$6:$J$1004,5,FALSE)</f>
        <v/>
      </c>
      <c r="D354" s="4" t="str">
        <f ca="1">VLOOKUP(A354,Calculation!$E$6:$J$1004,6,FALSE)</f>
        <v/>
      </c>
      <c r="E354" s="42" t="str">
        <f t="shared" ca="1" si="2"/>
        <v/>
      </c>
      <c r="G354" s="29" t="str">
        <f ca="1">VLOOKUP(A354,Calculation!$F$6:$J$1004,3,FALSE)</f>
        <v/>
      </c>
      <c r="H354" s="4" t="str">
        <f ca="1">VLOOKUP(A354,Calculation!$F$6:$J$1004,4,FALSE)</f>
        <v/>
      </c>
      <c r="I354" s="4" t="str">
        <f ca="1">VLOOKUP(A354,Calculation!$F$6:$J$1004,5,FALSE)</f>
        <v/>
      </c>
      <c r="J354" s="43" t="str">
        <f t="shared" ca="1" si="3"/>
        <v/>
      </c>
      <c r="L354" s="29" t="str">
        <f ca="1">VLOOKUP(A354,Calculation!$G$6:$S$1004,2,FALSE)</f>
        <v/>
      </c>
      <c r="M354" s="4" t="str">
        <f ca="1">IFERROR(VLOOKUP($L354,Calculation!$H$6:$S$1005,HLOOKUP(M$2,Calculation!$M$4:$S$5,2,FALSE)+5,FALSE),"")</f>
        <v/>
      </c>
      <c r="N354" s="4" t="str">
        <f ca="1">IFERROR(VLOOKUP($L354,Calculation!$H$6:$S$1005,HLOOKUP(N$2,Calculation!$M$4:$S$5,2,FALSE)+5,FALSE),"")</f>
        <v/>
      </c>
      <c r="O354" s="4" t="str">
        <f ca="1">IFERROR(VLOOKUP($L354,Calculation!$H$6:$S$1005,HLOOKUP(O$2,Calculation!$M$4:$S$5,2,FALSE)+5,FALSE),"")</f>
        <v/>
      </c>
      <c r="P354" s="4" t="str">
        <f ca="1">IFERROR(VLOOKUP($L354,Calculation!$H$6:$S$1005,HLOOKUP(P$2,Calculation!$M$4:$S$5,2,FALSE)+5,FALSE),"")</f>
        <v/>
      </c>
      <c r="Q354" s="4" t="str">
        <f ca="1">IFERROR(VLOOKUP($L354,Calculation!$H$6:$S$1005,HLOOKUP(Q$2,Calculation!$M$4:$S$5,2,FALSE)+5,FALSE),"")</f>
        <v/>
      </c>
      <c r="R354" s="27" t="str">
        <f ca="1">IFERROR(VLOOKUP($L354,Calculation!$H$6:$S$1005,HLOOKUP(R$2,Calculation!$M$4:$S$5,2,FALSE)+5,FALSE),"")</f>
        <v/>
      </c>
      <c r="S354" s="4" t="str">
        <f ca="1">IFERROR(VLOOKUP($L354,Calculation!$H$6:$S$1005,HLOOKUP(S$2,Calculation!$M$4:$S$5,2,FALSE)+5,FALSE),"")</f>
        <v/>
      </c>
      <c r="T354" s="29"/>
      <c r="U354" s="43" t="str">
        <f>IFERROR(VLOOKUP(T354,Calculation!$U$6:$V$11,2,FALSE),"")</f>
        <v/>
      </c>
    </row>
    <row r="355" spans="1:21" ht="14.25" customHeight="1" x14ac:dyDescent="0.3">
      <c r="A355" s="26" t="str">
        <f ca="1">IF(Calculation!T358&lt;=Calculation!$H$4,Calculation!T358,"")</f>
        <v/>
      </c>
      <c r="B355" s="4" t="str">
        <f ca="1">VLOOKUP(A355,Calculation!$E$6:$J$1004,4,FALSE)</f>
        <v/>
      </c>
      <c r="C355" s="4" t="str">
        <f ca="1">VLOOKUP(A355,Calculation!$E$6:$J$1004,5,FALSE)</f>
        <v/>
      </c>
      <c r="D355" s="4" t="str">
        <f ca="1">VLOOKUP(A355,Calculation!$E$6:$J$1004,6,FALSE)</f>
        <v/>
      </c>
      <c r="E355" s="42" t="str">
        <f t="shared" ca="1" si="2"/>
        <v/>
      </c>
      <c r="G355" s="29" t="str">
        <f ca="1">VLOOKUP(A355,Calculation!$F$6:$J$1004,3,FALSE)</f>
        <v/>
      </c>
      <c r="H355" s="4" t="str">
        <f ca="1">VLOOKUP(A355,Calculation!$F$6:$J$1004,4,FALSE)</f>
        <v/>
      </c>
      <c r="I355" s="4" t="str">
        <f ca="1">VLOOKUP(A355,Calculation!$F$6:$J$1004,5,FALSE)</f>
        <v/>
      </c>
      <c r="J355" s="43" t="str">
        <f t="shared" ca="1" si="3"/>
        <v/>
      </c>
      <c r="L355" s="29" t="str">
        <f ca="1">VLOOKUP(A355,Calculation!$G$6:$S$1004,2,FALSE)</f>
        <v/>
      </c>
      <c r="M355" s="4" t="str">
        <f ca="1">IFERROR(VLOOKUP($L355,Calculation!$H$6:$S$1005,HLOOKUP(M$2,Calculation!$M$4:$S$5,2,FALSE)+5,FALSE),"")</f>
        <v/>
      </c>
      <c r="N355" s="4" t="str">
        <f ca="1">IFERROR(VLOOKUP($L355,Calculation!$H$6:$S$1005,HLOOKUP(N$2,Calculation!$M$4:$S$5,2,FALSE)+5,FALSE),"")</f>
        <v/>
      </c>
      <c r="O355" s="4" t="str">
        <f ca="1">IFERROR(VLOOKUP($L355,Calculation!$H$6:$S$1005,HLOOKUP(O$2,Calculation!$M$4:$S$5,2,FALSE)+5,FALSE),"")</f>
        <v/>
      </c>
      <c r="P355" s="4" t="str">
        <f ca="1">IFERROR(VLOOKUP($L355,Calculation!$H$6:$S$1005,HLOOKUP(P$2,Calculation!$M$4:$S$5,2,FALSE)+5,FALSE),"")</f>
        <v/>
      </c>
      <c r="Q355" s="4" t="str">
        <f ca="1">IFERROR(VLOOKUP($L355,Calculation!$H$6:$S$1005,HLOOKUP(Q$2,Calculation!$M$4:$S$5,2,FALSE)+5,FALSE),"")</f>
        <v/>
      </c>
      <c r="R355" s="27" t="str">
        <f ca="1">IFERROR(VLOOKUP($L355,Calculation!$H$6:$S$1005,HLOOKUP(R$2,Calculation!$M$4:$S$5,2,FALSE)+5,FALSE),"")</f>
        <v/>
      </c>
      <c r="S355" s="4" t="str">
        <f ca="1">IFERROR(VLOOKUP($L355,Calculation!$H$6:$S$1005,HLOOKUP(S$2,Calculation!$M$4:$S$5,2,FALSE)+5,FALSE),"")</f>
        <v/>
      </c>
      <c r="T355" s="29"/>
      <c r="U355" s="43" t="str">
        <f>IFERROR(VLOOKUP(T355,Calculation!$U$6:$V$11,2,FALSE),"")</f>
        <v/>
      </c>
    </row>
    <row r="356" spans="1:21" ht="14.25" customHeight="1" x14ac:dyDescent="0.3">
      <c r="A356" s="26" t="str">
        <f ca="1">IF(Calculation!T359&lt;=Calculation!$H$4,Calculation!T359,"")</f>
        <v/>
      </c>
      <c r="B356" s="4" t="str">
        <f ca="1">VLOOKUP(A356,Calculation!$E$6:$J$1004,4,FALSE)</f>
        <v/>
      </c>
      <c r="C356" s="4" t="str">
        <f ca="1">VLOOKUP(A356,Calculation!$E$6:$J$1004,5,FALSE)</f>
        <v/>
      </c>
      <c r="D356" s="4" t="str">
        <f ca="1">VLOOKUP(A356,Calculation!$E$6:$J$1004,6,FALSE)</f>
        <v/>
      </c>
      <c r="E356" s="42" t="str">
        <f t="shared" ca="1" si="2"/>
        <v/>
      </c>
      <c r="G356" s="29" t="str">
        <f ca="1">VLOOKUP(A356,Calculation!$F$6:$J$1004,3,FALSE)</f>
        <v/>
      </c>
      <c r="H356" s="4" t="str">
        <f ca="1">VLOOKUP(A356,Calculation!$F$6:$J$1004,4,FALSE)</f>
        <v/>
      </c>
      <c r="I356" s="4" t="str">
        <f ca="1">VLOOKUP(A356,Calculation!$F$6:$J$1004,5,FALSE)</f>
        <v/>
      </c>
      <c r="J356" s="43" t="str">
        <f t="shared" ca="1" si="3"/>
        <v/>
      </c>
      <c r="L356" s="29" t="str">
        <f ca="1">VLOOKUP(A356,Calculation!$G$6:$S$1004,2,FALSE)</f>
        <v/>
      </c>
      <c r="M356" s="4" t="str">
        <f ca="1">IFERROR(VLOOKUP($L356,Calculation!$H$6:$S$1005,HLOOKUP(M$2,Calculation!$M$4:$S$5,2,FALSE)+5,FALSE),"")</f>
        <v/>
      </c>
      <c r="N356" s="4" t="str">
        <f ca="1">IFERROR(VLOOKUP($L356,Calculation!$H$6:$S$1005,HLOOKUP(N$2,Calculation!$M$4:$S$5,2,FALSE)+5,FALSE),"")</f>
        <v/>
      </c>
      <c r="O356" s="4" t="str">
        <f ca="1">IFERROR(VLOOKUP($L356,Calculation!$H$6:$S$1005,HLOOKUP(O$2,Calculation!$M$4:$S$5,2,FALSE)+5,FALSE),"")</f>
        <v/>
      </c>
      <c r="P356" s="4" t="str">
        <f ca="1">IFERROR(VLOOKUP($L356,Calculation!$H$6:$S$1005,HLOOKUP(P$2,Calculation!$M$4:$S$5,2,FALSE)+5,FALSE),"")</f>
        <v/>
      </c>
      <c r="Q356" s="4" t="str">
        <f ca="1">IFERROR(VLOOKUP($L356,Calculation!$H$6:$S$1005,HLOOKUP(Q$2,Calculation!$M$4:$S$5,2,FALSE)+5,FALSE),"")</f>
        <v/>
      </c>
      <c r="R356" s="27" t="str">
        <f ca="1">IFERROR(VLOOKUP($L356,Calculation!$H$6:$S$1005,HLOOKUP(R$2,Calculation!$M$4:$S$5,2,FALSE)+5,FALSE),"")</f>
        <v/>
      </c>
      <c r="S356" s="4" t="str">
        <f ca="1">IFERROR(VLOOKUP($L356,Calculation!$H$6:$S$1005,HLOOKUP(S$2,Calculation!$M$4:$S$5,2,FALSE)+5,FALSE),"")</f>
        <v/>
      </c>
      <c r="T356" s="29"/>
      <c r="U356" s="43" t="str">
        <f>IFERROR(VLOOKUP(T356,Calculation!$U$6:$V$11,2,FALSE),"")</f>
        <v/>
      </c>
    </row>
    <row r="357" spans="1:21" ht="14.25" customHeight="1" x14ac:dyDescent="0.3">
      <c r="A357" s="26" t="str">
        <f ca="1">IF(Calculation!T360&lt;=Calculation!$H$4,Calculation!T360,"")</f>
        <v/>
      </c>
      <c r="B357" s="4" t="str">
        <f ca="1">VLOOKUP(A357,Calculation!$E$6:$J$1004,4,FALSE)</f>
        <v/>
      </c>
      <c r="C357" s="4" t="str">
        <f ca="1">VLOOKUP(A357,Calculation!$E$6:$J$1004,5,FALSE)</f>
        <v/>
      </c>
      <c r="D357" s="4" t="str">
        <f ca="1">VLOOKUP(A357,Calculation!$E$6:$J$1004,6,FALSE)</f>
        <v/>
      </c>
      <c r="E357" s="42" t="str">
        <f t="shared" ca="1" si="2"/>
        <v/>
      </c>
      <c r="G357" s="29" t="str">
        <f ca="1">VLOOKUP(A357,Calculation!$F$6:$J$1004,3,FALSE)</f>
        <v/>
      </c>
      <c r="H357" s="4" t="str">
        <f ca="1">VLOOKUP(A357,Calculation!$F$6:$J$1004,4,FALSE)</f>
        <v/>
      </c>
      <c r="I357" s="4" t="str">
        <f ca="1">VLOOKUP(A357,Calculation!$F$6:$J$1004,5,FALSE)</f>
        <v/>
      </c>
      <c r="J357" s="43" t="str">
        <f t="shared" ca="1" si="3"/>
        <v/>
      </c>
      <c r="L357" s="29" t="str">
        <f ca="1">VLOOKUP(A357,Calculation!$G$6:$S$1004,2,FALSE)</f>
        <v/>
      </c>
      <c r="M357" s="4" t="str">
        <f ca="1">IFERROR(VLOOKUP($L357,Calculation!$H$6:$S$1005,HLOOKUP(M$2,Calculation!$M$4:$S$5,2,FALSE)+5,FALSE),"")</f>
        <v/>
      </c>
      <c r="N357" s="4" t="str">
        <f ca="1">IFERROR(VLOOKUP($L357,Calculation!$H$6:$S$1005,HLOOKUP(N$2,Calculation!$M$4:$S$5,2,FALSE)+5,FALSE),"")</f>
        <v/>
      </c>
      <c r="O357" s="4" t="str">
        <f ca="1">IFERROR(VLOOKUP($L357,Calculation!$H$6:$S$1005,HLOOKUP(O$2,Calculation!$M$4:$S$5,2,FALSE)+5,FALSE),"")</f>
        <v/>
      </c>
      <c r="P357" s="4" t="str">
        <f ca="1">IFERROR(VLOOKUP($L357,Calculation!$H$6:$S$1005,HLOOKUP(P$2,Calculation!$M$4:$S$5,2,FALSE)+5,FALSE),"")</f>
        <v/>
      </c>
      <c r="Q357" s="4" t="str">
        <f ca="1">IFERROR(VLOOKUP($L357,Calculation!$H$6:$S$1005,HLOOKUP(Q$2,Calculation!$M$4:$S$5,2,FALSE)+5,FALSE),"")</f>
        <v/>
      </c>
      <c r="R357" s="27" t="str">
        <f ca="1">IFERROR(VLOOKUP($L357,Calculation!$H$6:$S$1005,HLOOKUP(R$2,Calculation!$M$4:$S$5,2,FALSE)+5,FALSE),"")</f>
        <v/>
      </c>
      <c r="S357" s="4" t="str">
        <f ca="1">IFERROR(VLOOKUP($L357,Calculation!$H$6:$S$1005,HLOOKUP(S$2,Calculation!$M$4:$S$5,2,FALSE)+5,FALSE),"")</f>
        <v/>
      </c>
      <c r="T357" s="29"/>
      <c r="U357" s="43" t="str">
        <f>IFERROR(VLOOKUP(T357,Calculation!$U$6:$V$11,2,FALSE),"")</f>
        <v/>
      </c>
    </row>
    <row r="358" spans="1:21" ht="14.25" customHeight="1" x14ac:dyDescent="0.3">
      <c r="A358" s="26" t="str">
        <f ca="1">IF(Calculation!T361&lt;=Calculation!$H$4,Calculation!T361,"")</f>
        <v/>
      </c>
      <c r="B358" s="4" t="str">
        <f ca="1">VLOOKUP(A358,Calculation!$E$6:$J$1004,4,FALSE)</f>
        <v/>
      </c>
      <c r="C358" s="4" t="str">
        <f ca="1">VLOOKUP(A358,Calculation!$E$6:$J$1004,5,FALSE)</f>
        <v/>
      </c>
      <c r="D358" s="4" t="str">
        <f ca="1">VLOOKUP(A358,Calculation!$E$6:$J$1004,6,FALSE)</f>
        <v/>
      </c>
      <c r="E358" s="42" t="str">
        <f t="shared" ca="1" si="2"/>
        <v/>
      </c>
      <c r="G358" s="29" t="str">
        <f ca="1">VLOOKUP(A358,Calculation!$F$6:$J$1004,3,FALSE)</f>
        <v/>
      </c>
      <c r="H358" s="4" t="str">
        <f ca="1">VLOOKUP(A358,Calculation!$F$6:$J$1004,4,FALSE)</f>
        <v/>
      </c>
      <c r="I358" s="4" t="str">
        <f ca="1">VLOOKUP(A358,Calculation!$F$6:$J$1004,5,FALSE)</f>
        <v/>
      </c>
      <c r="J358" s="43" t="str">
        <f t="shared" ca="1" si="3"/>
        <v/>
      </c>
      <c r="L358" s="29" t="str">
        <f ca="1">VLOOKUP(A358,Calculation!$G$6:$S$1004,2,FALSE)</f>
        <v/>
      </c>
      <c r="M358" s="4" t="str">
        <f ca="1">IFERROR(VLOOKUP($L358,Calculation!$H$6:$S$1005,HLOOKUP(M$2,Calculation!$M$4:$S$5,2,FALSE)+5,FALSE),"")</f>
        <v/>
      </c>
      <c r="N358" s="4" t="str">
        <f ca="1">IFERROR(VLOOKUP($L358,Calculation!$H$6:$S$1005,HLOOKUP(N$2,Calculation!$M$4:$S$5,2,FALSE)+5,FALSE),"")</f>
        <v/>
      </c>
      <c r="O358" s="4" t="str">
        <f ca="1">IFERROR(VLOOKUP($L358,Calculation!$H$6:$S$1005,HLOOKUP(O$2,Calculation!$M$4:$S$5,2,FALSE)+5,FALSE),"")</f>
        <v/>
      </c>
      <c r="P358" s="4" t="str">
        <f ca="1">IFERROR(VLOOKUP($L358,Calculation!$H$6:$S$1005,HLOOKUP(P$2,Calculation!$M$4:$S$5,2,FALSE)+5,FALSE),"")</f>
        <v/>
      </c>
      <c r="Q358" s="4" t="str">
        <f ca="1">IFERROR(VLOOKUP($L358,Calculation!$H$6:$S$1005,HLOOKUP(Q$2,Calculation!$M$4:$S$5,2,FALSE)+5,FALSE),"")</f>
        <v/>
      </c>
      <c r="R358" s="27" t="str">
        <f ca="1">IFERROR(VLOOKUP($L358,Calculation!$H$6:$S$1005,HLOOKUP(R$2,Calculation!$M$4:$S$5,2,FALSE)+5,FALSE),"")</f>
        <v/>
      </c>
      <c r="S358" s="4" t="str">
        <f ca="1">IFERROR(VLOOKUP($L358,Calculation!$H$6:$S$1005,HLOOKUP(S$2,Calculation!$M$4:$S$5,2,FALSE)+5,FALSE),"")</f>
        <v/>
      </c>
      <c r="T358" s="29"/>
      <c r="U358" s="43" t="str">
        <f>IFERROR(VLOOKUP(T358,Calculation!$U$6:$V$11,2,FALSE),"")</f>
        <v/>
      </c>
    </row>
    <row r="359" spans="1:21" ht="14.25" customHeight="1" x14ac:dyDescent="0.3">
      <c r="A359" s="26" t="str">
        <f ca="1">IF(Calculation!T362&lt;=Calculation!$H$4,Calculation!T362,"")</f>
        <v/>
      </c>
      <c r="B359" s="4" t="str">
        <f ca="1">VLOOKUP(A359,Calculation!$E$6:$J$1004,4,FALSE)</f>
        <v/>
      </c>
      <c r="C359" s="4" t="str">
        <f ca="1">VLOOKUP(A359,Calculation!$E$6:$J$1004,5,FALSE)</f>
        <v/>
      </c>
      <c r="D359" s="4" t="str">
        <f ca="1">VLOOKUP(A359,Calculation!$E$6:$J$1004,6,FALSE)</f>
        <v/>
      </c>
      <c r="E359" s="42" t="str">
        <f t="shared" ca="1" si="2"/>
        <v/>
      </c>
      <c r="G359" s="29" t="str">
        <f ca="1">VLOOKUP(A359,Calculation!$F$6:$J$1004,3,FALSE)</f>
        <v/>
      </c>
      <c r="H359" s="4" t="str">
        <f ca="1">VLOOKUP(A359,Calculation!$F$6:$J$1004,4,FALSE)</f>
        <v/>
      </c>
      <c r="I359" s="4" t="str">
        <f ca="1">VLOOKUP(A359,Calculation!$F$6:$J$1004,5,FALSE)</f>
        <v/>
      </c>
      <c r="J359" s="43" t="str">
        <f t="shared" ca="1" si="3"/>
        <v/>
      </c>
      <c r="L359" s="29" t="str">
        <f ca="1">VLOOKUP(A359,Calculation!$G$6:$S$1004,2,FALSE)</f>
        <v/>
      </c>
      <c r="M359" s="4" t="str">
        <f ca="1">IFERROR(VLOOKUP($L359,Calculation!$H$6:$S$1005,HLOOKUP(M$2,Calculation!$M$4:$S$5,2,FALSE)+5,FALSE),"")</f>
        <v/>
      </c>
      <c r="N359" s="4" t="str">
        <f ca="1">IFERROR(VLOOKUP($L359,Calculation!$H$6:$S$1005,HLOOKUP(N$2,Calculation!$M$4:$S$5,2,FALSE)+5,FALSE),"")</f>
        <v/>
      </c>
      <c r="O359" s="4" t="str">
        <f ca="1">IFERROR(VLOOKUP($L359,Calculation!$H$6:$S$1005,HLOOKUP(O$2,Calculation!$M$4:$S$5,2,FALSE)+5,FALSE),"")</f>
        <v/>
      </c>
      <c r="P359" s="4" t="str">
        <f ca="1">IFERROR(VLOOKUP($L359,Calculation!$H$6:$S$1005,HLOOKUP(P$2,Calculation!$M$4:$S$5,2,FALSE)+5,FALSE),"")</f>
        <v/>
      </c>
      <c r="Q359" s="4" t="str">
        <f ca="1">IFERROR(VLOOKUP($L359,Calculation!$H$6:$S$1005,HLOOKUP(Q$2,Calculation!$M$4:$S$5,2,FALSE)+5,FALSE),"")</f>
        <v/>
      </c>
      <c r="R359" s="27" t="str">
        <f ca="1">IFERROR(VLOOKUP($L359,Calculation!$H$6:$S$1005,HLOOKUP(R$2,Calculation!$M$4:$S$5,2,FALSE)+5,FALSE),"")</f>
        <v/>
      </c>
      <c r="S359" s="4" t="str">
        <f ca="1">IFERROR(VLOOKUP($L359,Calculation!$H$6:$S$1005,HLOOKUP(S$2,Calculation!$M$4:$S$5,2,FALSE)+5,FALSE),"")</f>
        <v/>
      </c>
      <c r="T359" s="29"/>
      <c r="U359" s="43" t="str">
        <f>IFERROR(VLOOKUP(T359,Calculation!$U$6:$V$11,2,FALSE),"")</f>
        <v/>
      </c>
    </row>
    <row r="360" spans="1:21" ht="14.25" customHeight="1" x14ac:dyDescent="0.3">
      <c r="A360" s="26" t="str">
        <f ca="1">IF(Calculation!T363&lt;=Calculation!$H$4,Calculation!T363,"")</f>
        <v/>
      </c>
      <c r="B360" s="4" t="str">
        <f ca="1">VLOOKUP(A360,Calculation!$E$6:$J$1004,4,FALSE)</f>
        <v/>
      </c>
      <c r="C360" s="4" t="str">
        <f ca="1">VLOOKUP(A360,Calculation!$E$6:$J$1004,5,FALSE)</f>
        <v/>
      </c>
      <c r="D360" s="4" t="str">
        <f ca="1">VLOOKUP(A360,Calculation!$E$6:$J$1004,6,FALSE)</f>
        <v/>
      </c>
      <c r="E360" s="42" t="str">
        <f t="shared" ca="1" si="2"/>
        <v/>
      </c>
      <c r="G360" s="29" t="str">
        <f ca="1">VLOOKUP(A360,Calculation!$F$6:$J$1004,3,FALSE)</f>
        <v/>
      </c>
      <c r="H360" s="4" t="str">
        <f ca="1">VLOOKUP(A360,Calculation!$F$6:$J$1004,4,FALSE)</f>
        <v/>
      </c>
      <c r="I360" s="4" t="str">
        <f ca="1">VLOOKUP(A360,Calculation!$F$6:$J$1004,5,FALSE)</f>
        <v/>
      </c>
      <c r="J360" s="43" t="str">
        <f t="shared" ca="1" si="3"/>
        <v/>
      </c>
      <c r="L360" s="29" t="str">
        <f ca="1">VLOOKUP(A360,Calculation!$G$6:$S$1004,2,FALSE)</f>
        <v/>
      </c>
      <c r="M360" s="4" t="str">
        <f ca="1">IFERROR(VLOOKUP($L360,Calculation!$H$6:$S$1005,HLOOKUP(M$2,Calculation!$M$4:$S$5,2,FALSE)+5,FALSE),"")</f>
        <v/>
      </c>
      <c r="N360" s="4" t="str">
        <f ca="1">IFERROR(VLOOKUP($L360,Calculation!$H$6:$S$1005,HLOOKUP(N$2,Calculation!$M$4:$S$5,2,FALSE)+5,FALSE),"")</f>
        <v/>
      </c>
      <c r="O360" s="4" t="str">
        <f ca="1">IFERROR(VLOOKUP($L360,Calculation!$H$6:$S$1005,HLOOKUP(O$2,Calculation!$M$4:$S$5,2,FALSE)+5,FALSE),"")</f>
        <v/>
      </c>
      <c r="P360" s="4" t="str">
        <f ca="1">IFERROR(VLOOKUP($L360,Calculation!$H$6:$S$1005,HLOOKUP(P$2,Calculation!$M$4:$S$5,2,FALSE)+5,FALSE),"")</f>
        <v/>
      </c>
      <c r="Q360" s="4" t="str">
        <f ca="1">IFERROR(VLOOKUP($L360,Calculation!$H$6:$S$1005,HLOOKUP(Q$2,Calculation!$M$4:$S$5,2,FALSE)+5,FALSE),"")</f>
        <v/>
      </c>
      <c r="R360" s="27" t="str">
        <f ca="1">IFERROR(VLOOKUP($L360,Calculation!$H$6:$S$1005,HLOOKUP(R$2,Calculation!$M$4:$S$5,2,FALSE)+5,FALSE),"")</f>
        <v/>
      </c>
      <c r="S360" s="4" t="str">
        <f ca="1">IFERROR(VLOOKUP($L360,Calculation!$H$6:$S$1005,HLOOKUP(S$2,Calculation!$M$4:$S$5,2,FALSE)+5,FALSE),"")</f>
        <v/>
      </c>
      <c r="T360" s="29"/>
      <c r="U360" s="43" t="str">
        <f>IFERROR(VLOOKUP(T360,Calculation!$U$6:$V$11,2,FALSE),"")</f>
        <v/>
      </c>
    </row>
    <row r="361" spans="1:21" ht="14.25" customHeight="1" x14ac:dyDescent="0.3">
      <c r="A361" s="26" t="str">
        <f ca="1">IF(Calculation!T364&lt;=Calculation!$H$4,Calculation!T364,"")</f>
        <v/>
      </c>
      <c r="B361" s="4" t="str">
        <f ca="1">VLOOKUP(A361,Calculation!$E$6:$J$1004,4,FALSE)</f>
        <v/>
      </c>
      <c r="C361" s="4" t="str">
        <f ca="1">VLOOKUP(A361,Calculation!$E$6:$J$1004,5,FALSE)</f>
        <v/>
      </c>
      <c r="D361" s="4" t="str">
        <f ca="1">VLOOKUP(A361,Calculation!$E$6:$J$1004,6,FALSE)</f>
        <v/>
      </c>
      <c r="E361" s="42" t="str">
        <f t="shared" ca="1" si="2"/>
        <v/>
      </c>
      <c r="G361" s="29" t="str">
        <f ca="1">VLOOKUP(A361,Calculation!$F$6:$J$1004,3,FALSE)</f>
        <v/>
      </c>
      <c r="H361" s="4" t="str">
        <f ca="1">VLOOKUP(A361,Calculation!$F$6:$J$1004,4,FALSE)</f>
        <v/>
      </c>
      <c r="I361" s="4" t="str">
        <f ca="1">VLOOKUP(A361,Calculation!$F$6:$J$1004,5,FALSE)</f>
        <v/>
      </c>
      <c r="J361" s="43" t="str">
        <f t="shared" ca="1" si="3"/>
        <v/>
      </c>
      <c r="L361" s="29" t="str">
        <f ca="1">VLOOKUP(A361,Calculation!$G$6:$S$1004,2,FALSE)</f>
        <v/>
      </c>
      <c r="M361" s="4" t="str">
        <f ca="1">IFERROR(VLOOKUP($L361,Calculation!$H$6:$S$1005,HLOOKUP(M$2,Calculation!$M$4:$S$5,2,FALSE)+5,FALSE),"")</f>
        <v/>
      </c>
      <c r="N361" s="4" t="str">
        <f ca="1">IFERROR(VLOOKUP($L361,Calculation!$H$6:$S$1005,HLOOKUP(N$2,Calculation!$M$4:$S$5,2,FALSE)+5,FALSE),"")</f>
        <v/>
      </c>
      <c r="O361" s="4" t="str">
        <f ca="1">IFERROR(VLOOKUP($L361,Calculation!$H$6:$S$1005,HLOOKUP(O$2,Calculation!$M$4:$S$5,2,FALSE)+5,FALSE),"")</f>
        <v/>
      </c>
      <c r="P361" s="4" t="str">
        <f ca="1">IFERROR(VLOOKUP($L361,Calculation!$H$6:$S$1005,HLOOKUP(P$2,Calculation!$M$4:$S$5,2,FALSE)+5,FALSE),"")</f>
        <v/>
      </c>
      <c r="Q361" s="4" t="str">
        <f ca="1">IFERROR(VLOOKUP($L361,Calculation!$H$6:$S$1005,HLOOKUP(Q$2,Calculation!$M$4:$S$5,2,FALSE)+5,FALSE),"")</f>
        <v/>
      </c>
      <c r="R361" s="27" t="str">
        <f ca="1">IFERROR(VLOOKUP($L361,Calculation!$H$6:$S$1005,HLOOKUP(R$2,Calculation!$M$4:$S$5,2,FALSE)+5,FALSE),"")</f>
        <v/>
      </c>
      <c r="S361" s="4" t="str">
        <f ca="1">IFERROR(VLOOKUP($L361,Calculation!$H$6:$S$1005,HLOOKUP(S$2,Calculation!$M$4:$S$5,2,FALSE)+5,FALSE),"")</f>
        <v/>
      </c>
      <c r="T361" s="29"/>
      <c r="U361" s="43" t="str">
        <f>IFERROR(VLOOKUP(T361,Calculation!$U$6:$V$11,2,FALSE),"")</f>
        <v/>
      </c>
    </row>
    <row r="362" spans="1:21" ht="14.25" customHeight="1" x14ac:dyDescent="0.3">
      <c r="A362" s="26" t="str">
        <f ca="1">IF(Calculation!T365&lt;=Calculation!$H$4,Calculation!T365,"")</f>
        <v/>
      </c>
      <c r="B362" s="4" t="str">
        <f ca="1">VLOOKUP(A362,Calculation!$E$6:$J$1004,4,FALSE)</f>
        <v/>
      </c>
      <c r="C362" s="4" t="str">
        <f ca="1">VLOOKUP(A362,Calculation!$E$6:$J$1004,5,FALSE)</f>
        <v/>
      </c>
      <c r="D362" s="4" t="str">
        <f ca="1">VLOOKUP(A362,Calculation!$E$6:$J$1004,6,FALSE)</f>
        <v/>
      </c>
      <c r="E362" s="42" t="str">
        <f t="shared" ca="1" si="2"/>
        <v/>
      </c>
      <c r="G362" s="29" t="str">
        <f ca="1">VLOOKUP(A362,Calculation!$F$6:$J$1004,3,FALSE)</f>
        <v/>
      </c>
      <c r="H362" s="4" t="str">
        <f ca="1">VLOOKUP(A362,Calculation!$F$6:$J$1004,4,FALSE)</f>
        <v/>
      </c>
      <c r="I362" s="4" t="str">
        <f ca="1">VLOOKUP(A362,Calculation!$F$6:$J$1004,5,FALSE)</f>
        <v/>
      </c>
      <c r="J362" s="43" t="str">
        <f t="shared" ca="1" si="3"/>
        <v/>
      </c>
      <c r="L362" s="29" t="str">
        <f ca="1">VLOOKUP(A362,Calculation!$G$6:$S$1004,2,FALSE)</f>
        <v/>
      </c>
      <c r="M362" s="4" t="str">
        <f ca="1">IFERROR(VLOOKUP($L362,Calculation!$H$6:$S$1005,HLOOKUP(M$2,Calculation!$M$4:$S$5,2,FALSE)+5,FALSE),"")</f>
        <v/>
      </c>
      <c r="N362" s="4" t="str">
        <f ca="1">IFERROR(VLOOKUP($L362,Calculation!$H$6:$S$1005,HLOOKUP(N$2,Calculation!$M$4:$S$5,2,FALSE)+5,FALSE),"")</f>
        <v/>
      </c>
      <c r="O362" s="4" t="str">
        <f ca="1">IFERROR(VLOOKUP($L362,Calculation!$H$6:$S$1005,HLOOKUP(O$2,Calculation!$M$4:$S$5,2,FALSE)+5,FALSE),"")</f>
        <v/>
      </c>
      <c r="P362" s="4" t="str">
        <f ca="1">IFERROR(VLOOKUP($L362,Calculation!$H$6:$S$1005,HLOOKUP(P$2,Calculation!$M$4:$S$5,2,FALSE)+5,FALSE),"")</f>
        <v/>
      </c>
      <c r="Q362" s="4" t="str">
        <f ca="1">IFERROR(VLOOKUP($L362,Calculation!$H$6:$S$1005,HLOOKUP(Q$2,Calculation!$M$4:$S$5,2,FALSE)+5,FALSE),"")</f>
        <v/>
      </c>
      <c r="R362" s="27" t="str">
        <f ca="1">IFERROR(VLOOKUP($L362,Calculation!$H$6:$S$1005,HLOOKUP(R$2,Calculation!$M$4:$S$5,2,FALSE)+5,FALSE),"")</f>
        <v/>
      </c>
      <c r="S362" s="4" t="str">
        <f ca="1">IFERROR(VLOOKUP($L362,Calculation!$H$6:$S$1005,HLOOKUP(S$2,Calculation!$M$4:$S$5,2,FALSE)+5,FALSE),"")</f>
        <v/>
      </c>
      <c r="T362" s="29"/>
      <c r="U362" s="43" t="str">
        <f>IFERROR(VLOOKUP(T362,Calculation!$U$6:$V$11,2,FALSE),"")</f>
        <v/>
      </c>
    </row>
    <row r="363" spans="1:21" ht="14.25" customHeight="1" x14ac:dyDescent="0.3">
      <c r="A363" s="26" t="str">
        <f ca="1">IF(Calculation!T366&lt;=Calculation!$H$4,Calculation!T366,"")</f>
        <v/>
      </c>
      <c r="B363" s="4" t="str">
        <f ca="1">VLOOKUP(A363,Calculation!$E$6:$J$1004,4,FALSE)</f>
        <v/>
      </c>
      <c r="C363" s="4" t="str">
        <f ca="1">VLOOKUP(A363,Calculation!$E$6:$J$1004,5,FALSE)</f>
        <v/>
      </c>
      <c r="D363" s="4" t="str">
        <f ca="1">VLOOKUP(A363,Calculation!$E$6:$J$1004,6,FALSE)</f>
        <v/>
      </c>
      <c r="E363" s="42" t="str">
        <f t="shared" ca="1" si="2"/>
        <v/>
      </c>
      <c r="G363" s="29" t="str">
        <f ca="1">VLOOKUP(A363,Calculation!$F$6:$J$1004,3,FALSE)</f>
        <v/>
      </c>
      <c r="H363" s="4" t="str">
        <f ca="1">VLOOKUP(A363,Calculation!$F$6:$J$1004,4,FALSE)</f>
        <v/>
      </c>
      <c r="I363" s="4" t="str">
        <f ca="1">VLOOKUP(A363,Calculation!$F$6:$J$1004,5,FALSE)</f>
        <v/>
      </c>
      <c r="J363" s="43" t="str">
        <f t="shared" ca="1" si="3"/>
        <v/>
      </c>
      <c r="L363" s="29" t="str">
        <f ca="1">VLOOKUP(A363,Calculation!$G$6:$S$1004,2,FALSE)</f>
        <v/>
      </c>
      <c r="M363" s="4" t="str">
        <f ca="1">IFERROR(VLOOKUP($L363,Calculation!$H$6:$S$1005,HLOOKUP(M$2,Calculation!$M$4:$S$5,2,FALSE)+5,FALSE),"")</f>
        <v/>
      </c>
      <c r="N363" s="4" t="str">
        <f ca="1">IFERROR(VLOOKUP($L363,Calculation!$H$6:$S$1005,HLOOKUP(N$2,Calculation!$M$4:$S$5,2,FALSE)+5,FALSE),"")</f>
        <v/>
      </c>
      <c r="O363" s="4" t="str">
        <f ca="1">IFERROR(VLOOKUP($L363,Calculation!$H$6:$S$1005,HLOOKUP(O$2,Calculation!$M$4:$S$5,2,FALSE)+5,FALSE),"")</f>
        <v/>
      </c>
      <c r="P363" s="4" t="str">
        <f ca="1">IFERROR(VLOOKUP($L363,Calculation!$H$6:$S$1005,HLOOKUP(P$2,Calculation!$M$4:$S$5,2,FALSE)+5,FALSE),"")</f>
        <v/>
      </c>
      <c r="Q363" s="4" t="str">
        <f ca="1">IFERROR(VLOOKUP($L363,Calculation!$H$6:$S$1005,HLOOKUP(Q$2,Calculation!$M$4:$S$5,2,FALSE)+5,FALSE),"")</f>
        <v/>
      </c>
      <c r="R363" s="27" t="str">
        <f ca="1">IFERROR(VLOOKUP($L363,Calculation!$H$6:$S$1005,HLOOKUP(R$2,Calculation!$M$4:$S$5,2,FALSE)+5,FALSE),"")</f>
        <v/>
      </c>
      <c r="S363" s="4" t="str">
        <f ca="1">IFERROR(VLOOKUP($L363,Calculation!$H$6:$S$1005,HLOOKUP(S$2,Calculation!$M$4:$S$5,2,FALSE)+5,FALSE),"")</f>
        <v/>
      </c>
      <c r="T363" s="29"/>
      <c r="U363" s="43" t="str">
        <f>IFERROR(VLOOKUP(T363,Calculation!$U$6:$V$11,2,FALSE),"")</f>
        <v/>
      </c>
    </row>
    <row r="364" spans="1:21" ht="14.25" customHeight="1" x14ac:dyDescent="0.3">
      <c r="A364" s="26" t="str">
        <f ca="1">IF(Calculation!T367&lt;=Calculation!$H$4,Calculation!T367,"")</f>
        <v/>
      </c>
      <c r="B364" s="4" t="str">
        <f ca="1">VLOOKUP(A364,Calculation!$E$6:$J$1004,4,FALSE)</f>
        <v/>
      </c>
      <c r="C364" s="4" t="str">
        <f ca="1">VLOOKUP(A364,Calculation!$E$6:$J$1004,5,FALSE)</f>
        <v/>
      </c>
      <c r="D364" s="4" t="str">
        <f ca="1">VLOOKUP(A364,Calculation!$E$6:$J$1004,6,FALSE)</f>
        <v/>
      </c>
      <c r="E364" s="42" t="str">
        <f t="shared" ca="1" si="2"/>
        <v/>
      </c>
      <c r="G364" s="29" t="str">
        <f ca="1">VLOOKUP(A364,Calculation!$F$6:$J$1004,3,FALSE)</f>
        <v/>
      </c>
      <c r="H364" s="4" t="str">
        <f ca="1">VLOOKUP(A364,Calculation!$F$6:$J$1004,4,FALSE)</f>
        <v/>
      </c>
      <c r="I364" s="4" t="str">
        <f ca="1">VLOOKUP(A364,Calculation!$F$6:$J$1004,5,FALSE)</f>
        <v/>
      </c>
      <c r="J364" s="43" t="str">
        <f t="shared" ca="1" si="3"/>
        <v/>
      </c>
      <c r="L364" s="29" t="str">
        <f ca="1">VLOOKUP(A364,Calculation!$G$6:$S$1004,2,FALSE)</f>
        <v/>
      </c>
      <c r="M364" s="4" t="str">
        <f ca="1">IFERROR(VLOOKUP($L364,Calculation!$H$6:$S$1005,HLOOKUP(M$2,Calculation!$M$4:$S$5,2,FALSE)+5,FALSE),"")</f>
        <v/>
      </c>
      <c r="N364" s="4" t="str">
        <f ca="1">IFERROR(VLOOKUP($L364,Calculation!$H$6:$S$1005,HLOOKUP(N$2,Calculation!$M$4:$S$5,2,FALSE)+5,FALSE),"")</f>
        <v/>
      </c>
      <c r="O364" s="4" t="str">
        <f ca="1">IFERROR(VLOOKUP($L364,Calculation!$H$6:$S$1005,HLOOKUP(O$2,Calculation!$M$4:$S$5,2,FALSE)+5,FALSE),"")</f>
        <v/>
      </c>
      <c r="P364" s="4" t="str">
        <f ca="1">IFERROR(VLOOKUP($L364,Calculation!$H$6:$S$1005,HLOOKUP(P$2,Calculation!$M$4:$S$5,2,FALSE)+5,FALSE),"")</f>
        <v/>
      </c>
      <c r="Q364" s="4" t="str">
        <f ca="1">IFERROR(VLOOKUP($L364,Calculation!$H$6:$S$1005,HLOOKUP(Q$2,Calculation!$M$4:$S$5,2,FALSE)+5,FALSE),"")</f>
        <v/>
      </c>
      <c r="R364" s="27" t="str">
        <f ca="1">IFERROR(VLOOKUP($L364,Calculation!$H$6:$S$1005,HLOOKUP(R$2,Calculation!$M$4:$S$5,2,FALSE)+5,FALSE),"")</f>
        <v/>
      </c>
      <c r="S364" s="4" t="str">
        <f ca="1">IFERROR(VLOOKUP($L364,Calculation!$H$6:$S$1005,HLOOKUP(S$2,Calculation!$M$4:$S$5,2,FALSE)+5,FALSE),"")</f>
        <v/>
      </c>
      <c r="T364" s="29"/>
      <c r="U364" s="43" t="str">
        <f>IFERROR(VLOOKUP(T364,Calculation!$U$6:$V$11,2,FALSE),"")</f>
        <v/>
      </c>
    </row>
    <row r="365" spans="1:21" ht="14.25" customHeight="1" x14ac:dyDescent="0.3">
      <c r="A365" s="26" t="str">
        <f ca="1">IF(Calculation!T368&lt;=Calculation!$H$4,Calculation!T368,"")</f>
        <v/>
      </c>
      <c r="B365" s="4" t="str">
        <f ca="1">VLOOKUP(A365,Calculation!$E$6:$J$1004,4,FALSE)</f>
        <v/>
      </c>
      <c r="C365" s="4" t="str">
        <f ca="1">VLOOKUP(A365,Calculation!$E$6:$J$1004,5,FALSE)</f>
        <v/>
      </c>
      <c r="D365" s="4" t="str">
        <f ca="1">VLOOKUP(A365,Calculation!$E$6:$J$1004,6,FALSE)</f>
        <v/>
      </c>
      <c r="E365" s="42" t="str">
        <f t="shared" ca="1" si="2"/>
        <v/>
      </c>
      <c r="G365" s="29" t="str">
        <f ca="1">VLOOKUP(A365,Calculation!$F$6:$J$1004,3,FALSE)</f>
        <v/>
      </c>
      <c r="H365" s="4" t="str">
        <f ca="1">VLOOKUP(A365,Calculation!$F$6:$J$1004,4,FALSE)</f>
        <v/>
      </c>
      <c r="I365" s="4" t="str">
        <f ca="1">VLOOKUP(A365,Calculation!$F$6:$J$1004,5,FALSE)</f>
        <v/>
      </c>
      <c r="J365" s="43" t="str">
        <f t="shared" ca="1" si="3"/>
        <v/>
      </c>
      <c r="L365" s="29" t="str">
        <f ca="1">VLOOKUP(A365,Calculation!$G$6:$S$1004,2,FALSE)</f>
        <v/>
      </c>
      <c r="M365" s="4" t="str">
        <f ca="1">IFERROR(VLOOKUP($L365,Calculation!$H$6:$S$1005,HLOOKUP(M$2,Calculation!$M$4:$S$5,2,FALSE)+5,FALSE),"")</f>
        <v/>
      </c>
      <c r="N365" s="4" t="str">
        <f ca="1">IFERROR(VLOOKUP($L365,Calculation!$H$6:$S$1005,HLOOKUP(N$2,Calculation!$M$4:$S$5,2,FALSE)+5,FALSE),"")</f>
        <v/>
      </c>
      <c r="O365" s="4" t="str">
        <f ca="1">IFERROR(VLOOKUP($L365,Calculation!$H$6:$S$1005,HLOOKUP(O$2,Calculation!$M$4:$S$5,2,FALSE)+5,FALSE),"")</f>
        <v/>
      </c>
      <c r="P365" s="4" t="str">
        <f ca="1">IFERROR(VLOOKUP($L365,Calculation!$H$6:$S$1005,HLOOKUP(P$2,Calculation!$M$4:$S$5,2,FALSE)+5,FALSE),"")</f>
        <v/>
      </c>
      <c r="Q365" s="4" t="str">
        <f ca="1">IFERROR(VLOOKUP($L365,Calculation!$H$6:$S$1005,HLOOKUP(Q$2,Calculation!$M$4:$S$5,2,FALSE)+5,FALSE),"")</f>
        <v/>
      </c>
      <c r="R365" s="27" t="str">
        <f ca="1">IFERROR(VLOOKUP($L365,Calculation!$H$6:$S$1005,HLOOKUP(R$2,Calculation!$M$4:$S$5,2,FALSE)+5,FALSE),"")</f>
        <v/>
      </c>
      <c r="S365" s="4" t="str">
        <f ca="1">IFERROR(VLOOKUP($L365,Calculation!$H$6:$S$1005,HLOOKUP(S$2,Calculation!$M$4:$S$5,2,FALSE)+5,FALSE),"")</f>
        <v/>
      </c>
      <c r="T365" s="29"/>
      <c r="U365" s="43" t="str">
        <f>IFERROR(VLOOKUP(T365,Calculation!$U$6:$V$11,2,FALSE),"")</f>
        <v/>
      </c>
    </row>
    <row r="366" spans="1:21" ht="14.25" customHeight="1" x14ac:dyDescent="0.3">
      <c r="A366" s="26" t="str">
        <f ca="1">IF(Calculation!T369&lt;=Calculation!$H$4,Calculation!T369,"")</f>
        <v/>
      </c>
      <c r="B366" s="4" t="str">
        <f ca="1">VLOOKUP(A366,Calculation!$E$6:$J$1004,4,FALSE)</f>
        <v/>
      </c>
      <c r="C366" s="4" t="str">
        <f ca="1">VLOOKUP(A366,Calculation!$E$6:$J$1004,5,FALSE)</f>
        <v/>
      </c>
      <c r="D366" s="4" t="str">
        <f ca="1">VLOOKUP(A366,Calculation!$E$6:$J$1004,6,FALSE)</f>
        <v/>
      </c>
      <c r="E366" s="42" t="str">
        <f t="shared" ca="1" si="2"/>
        <v/>
      </c>
      <c r="G366" s="29" t="str">
        <f ca="1">VLOOKUP(A366,Calculation!$F$6:$J$1004,3,FALSE)</f>
        <v/>
      </c>
      <c r="H366" s="4" t="str">
        <f ca="1">VLOOKUP(A366,Calculation!$F$6:$J$1004,4,FALSE)</f>
        <v/>
      </c>
      <c r="I366" s="4" t="str">
        <f ca="1">VLOOKUP(A366,Calculation!$F$6:$J$1004,5,FALSE)</f>
        <v/>
      </c>
      <c r="J366" s="43" t="str">
        <f t="shared" ca="1" si="3"/>
        <v/>
      </c>
      <c r="L366" s="29" t="str">
        <f ca="1">VLOOKUP(A366,Calculation!$G$6:$S$1004,2,FALSE)</f>
        <v/>
      </c>
      <c r="M366" s="4" t="str">
        <f ca="1">IFERROR(VLOOKUP($L366,Calculation!$H$6:$S$1005,HLOOKUP(M$2,Calculation!$M$4:$S$5,2,FALSE)+5,FALSE),"")</f>
        <v/>
      </c>
      <c r="N366" s="4" t="str">
        <f ca="1">IFERROR(VLOOKUP($L366,Calculation!$H$6:$S$1005,HLOOKUP(N$2,Calculation!$M$4:$S$5,2,FALSE)+5,FALSE),"")</f>
        <v/>
      </c>
      <c r="O366" s="4" t="str">
        <f ca="1">IFERROR(VLOOKUP($L366,Calculation!$H$6:$S$1005,HLOOKUP(O$2,Calculation!$M$4:$S$5,2,FALSE)+5,FALSE),"")</f>
        <v/>
      </c>
      <c r="P366" s="4" t="str">
        <f ca="1">IFERROR(VLOOKUP($L366,Calculation!$H$6:$S$1005,HLOOKUP(P$2,Calculation!$M$4:$S$5,2,FALSE)+5,FALSE),"")</f>
        <v/>
      </c>
      <c r="Q366" s="4" t="str">
        <f ca="1">IFERROR(VLOOKUP($L366,Calculation!$H$6:$S$1005,HLOOKUP(Q$2,Calculation!$M$4:$S$5,2,FALSE)+5,FALSE),"")</f>
        <v/>
      </c>
      <c r="R366" s="27" t="str">
        <f ca="1">IFERROR(VLOOKUP($L366,Calculation!$H$6:$S$1005,HLOOKUP(R$2,Calculation!$M$4:$S$5,2,FALSE)+5,FALSE),"")</f>
        <v/>
      </c>
      <c r="S366" s="4" t="str">
        <f ca="1">IFERROR(VLOOKUP($L366,Calculation!$H$6:$S$1005,HLOOKUP(S$2,Calculation!$M$4:$S$5,2,FALSE)+5,FALSE),"")</f>
        <v/>
      </c>
      <c r="T366" s="29"/>
      <c r="U366" s="43" t="str">
        <f>IFERROR(VLOOKUP(T366,Calculation!$U$6:$V$11,2,FALSE),"")</f>
        <v/>
      </c>
    </row>
    <row r="367" spans="1:21" ht="14.25" customHeight="1" x14ac:dyDescent="0.3">
      <c r="A367" s="26" t="str">
        <f ca="1">IF(Calculation!T370&lt;=Calculation!$H$4,Calculation!T370,"")</f>
        <v/>
      </c>
      <c r="B367" s="4" t="str">
        <f ca="1">VLOOKUP(A367,Calculation!$E$6:$J$1004,4,FALSE)</f>
        <v/>
      </c>
      <c r="C367" s="4" t="str">
        <f ca="1">VLOOKUP(A367,Calculation!$E$6:$J$1004,5,FALSE)</f>
        <v/>
      </c>
      <c r="D367" s="4" t="str">
        <f ca="1">VLOOKUP(A367,Calculation!$E$6:$J$1004,6,FALSE)</f>
        <v/>
      </c>
      <c r="E367" s="42" t="str">
        <f t="shared" ca="1" si="2"/>
        <v/>
      </c>
      <c r="G367" s="29" t="str">
        <f ca="1">VLOOKUP(A367,Calculation!$F$6:$J$1004,3,FALSE)</f>
        <v/>
      </c>
      <c r="H367" s="4" t="str">
        <f ca="1">VLOOKUP(A367,Calculation!$F$6:$J$1004,4,FALSE)</f>
        <v/>
      </c>
      <c r="I367" s="4" t="str">
        <f ca="1">VLOOKUP(A367,Calculation!$F$6:$J$1004,5,FALSE)</f>
        <v/>
      </c>
      <c r="J367" s="43" t="str">
        <f t="shared" ca="1" si="3"/>
        <v/>
      </c>
      <c r="L367" s="29" t="str">
        <f ca="1">VLOOKUP(A367,Calculation!$G$6:$S$1004,2,FALSE)</f>
        <v/>
      </c>
      <c r="M367" s="4" t="str">
        <f ca="1">IFERROR(VLOOKUP($L367,Calculation!$H$6:$S$1005,HLOOKUP(M$2,Calculation!$M$4:$S$5,2,FALSE)+5,FALSE),"")</f>
        <v/>
      </c>
      <c r="N367" s="4" t="str">
        <f ca="1">IFERROR(VLOOKUP($L367,Calculation!$H$6:$S$1005,HLOOKUP(N$2,Calculation!$M$4:$S$5,2,FALSE)+5,FALSE),"")</f>
        <v/>
      </c>
      <c r="O367" s="4" t="str">
        <f ca="1">IFERROR(VLOOKUP($L367,Calculation!$H$6:$S$1005,HLOOKUP(O$2,Calculation!$M$4:$S$5,2,FALSE)+5,FALSE),"")</f>
        <v/>
      </c>
      <c r="P367" s="4" t="str">
        <f ca="1">IFERROR(VLOOKUP($L367,Calculation!$H$6:$S$1005,HLOOKUP(P$2,Calculation!$M$4:$S$5,2,FALSE)+5,FALSE),"")</f>
        <v/>
      </c>
      <c r="Q367" s="4" t="str">
        <f ca="1">IFERROR(VLOOKUP($L367,Calculation!$H$6:$S$1005,HLOOKUP(Q$2,Calculation!$M$4:$S$5,2,FALSE)+5,FALSE),"")</f>
        <v/>
      </c>
      <c r="R367" s="27" t="str">
        <f ca="1">IFERROR(VLOOKUP($L367,Calculation!$H$6:$S$1005,HLOOKUP(R$2,Calculation!$M$4:$S$5,2,FALSE)+5,FALSE),"")</f>
        <v/>
      </c>
      <c r="S367" s="4" t="str">
        <f ca="1">IFERROR(VLOOKUP($L367,Calculation!$H$6:$S$1005,HLOOKUP(S$2,Calculation!$M$4:$S$5,2,FALSE)+5,FALSE),"")</f>
        <v/>
      </c>
      <c r="T367" s="29"/>
      <c r="U367" s="43" t="str">
        <f>IFERROR(VLOOKUP(T367,Calculation!$U$6:$V$11,2,FALSE),"")</f>
        <v/>
      </c>
    </row>
    <row r="368" spans="1:21" ht="14.25" customHeight="1" x14ac:dyDescent="0.3">
      <c r="A368" s="26" t="str">
        <f ca="1">IF(Calculation!T371&lt;=Calculation!$H$4,Calculation!T371,"")</f>
        <v/>
      </c>
      <c r="B368" s="4" t="str">
        <f ca="1">VLOOKUP(A368,Calculation!$E$6:$J$1004,4,FALSE)</f>
        <v/>
      </c>
      <c r="C368" s="4" t="str">
        <f ca="1">VLOOKUP(A368,Calculation!$E$6:$J$1004,5,FALSE)</f>
        <v/>
      </c>
      <c r="D368" s="4" t="str">
        <f ca="1">VLOOKUP(A368,Calculation!$E$6:$J$1004,6,FALSE)</f>
        <v/>
      </c>
      <c r="E368" s="42" t="str">
        <f t="shared" ca="1" si="2"/>
        <v/>
      </c>
      <c r="G368" s="29" t="str">
        <f ca="1">VLOOKUP(A368,Calculation!$F$6:$J$1004,3,FALSE)</f>
        <v/>
      </c>
      <c r="H368" s="4" t="str">
        <f ca="1">VLOOKUP(A368,Calculation!$F$6:$J$1004,4,FALSE)</f>
        <v/>
      </c>
      <c r="I368" s="4" t="str">
        <f ca="1">VLOOKUP(A368,Calculation!$F$6:$J$1004,5,FALSE)</f>
        <v/>
      </c>
      <c r="J368" s="43" t="str">
        <f t="shared" ca="1" si="3"/>
        <v/>
      </c>
      <c r="L368" s="29" t="str">
        <f ca="1">VLOOKUP(A368,Calculation!$G$6:$S$1004,2,FALSE)</f>
        <v/>
      </c>
      <c r="M368" s="4" t="str">
        <f ca="1">IFERROR(VLOOKUP($L368,Calculation!$H$6:$S$1005,HLOOKUP(M$2,Calculation!$M$4:$S$5,2,FALSE)+5,FALSE),"")</f>
        <v/>
      </c>
      <c r="N368" s="4" t="str">
        <f ca="1">IFERROR(VLOOKUP($L368,Calculation!$H$6:$S$1005,HLOOKUP(N$2,Calculation!$M$4:$S$5,2,FALSE)+5,FALSE),"")</f>
        <v/>
      </c>
      <c r="O368" s="4" t="str">
        <f ca="1">IFERROR(VLOOKUP($L368,Calculation!$H$6:$S$1005,HLOOKUP(O$2,Calculation!$M$4:$S$5,2,FALSE)+5,FALSE),"")</f>
        <v/>
      </c>
      <c r="P368" s="4" t="str">
        <f ca="1">IFERROR(VLOOKUP($L368,Calculation!$H$6:$S$1005,HLOOKUP(P$2,Calculation!$M$4:$S$5,2,FALSE)+5,FALSE),"")</f>
        <v/>
      </c>
      <c r="Q368" s="4" t="str">
        <f ca="1">IFERROR(VLOOKUP($L368,Calculation!$H$6:$S$1005,HLOOKUP(Q$2,Calculation!$M$4:$S$5,2,FALSE)+5,FALSE),"")</f>
        <v/>
      </c>
      <c r="R368" s="27" t="str">
        <f ca="1">IFERROR(VLOOKUP($L368,Calculation!$H$6:$S$1005,HLOOKUP(R$2,Calculation!$M$4:$S$5,2,FALSE)+5,FALSE),"")</f>
        <v/>
      </c>
      <c r="S368" s="4" t="str">
        <f ca="1">IFERROR(VLOOKUP($L368,Calculation!$H$6:$S$1005,HLOOKUP(S$2,Calculation!$M$4:$S$5,2,FALSE)+5,FALSE),"")</f>
        <v/>
      </c>
      <c r="T368" s="29"/>
      <c r="U368" s="43" t="str">
        <f>IFERROR(VLOOKUP(T368,Calculation!$U$6:$V$11,2,FALSE),"")</f>
        <v/>
      </c>
    </row>
    <row r="369" spans="1:21" ht="14.25" customHeight="1" x14ac:dyDescent="0.3">
      <c r="A369" s="26" t="str">
        <f ca="1">IF(Calculation!T372&lt;=Calculation!$H$4,Calculation!T372,"")</f>
        <v/>
      </c>
      <c r="B369" s="4" t="str">
        <f ca="1">VLOOKUP(A369,Calculation!$E$6:$J$1004,4,FALSE)</f>
        <v/>
      </c>
      <c r="C369" s="4" t="str">
        <f ca="1">VLOOKUP(A369,Calculation!$E$6:$J$1004,5,FALSE)</f>
        <v/>
      </c>
      <c r="D369" s="4" t="str">
        <f ca="1">VLOOKUP(A369,Calculation!$E$6:$J$1004,6,FALSE)</f>
        <v/>
      </c>
      <c r="E369" s="42" t="str">
        <f t="shared" ca="1" si="2"/>
        <v/>
      </c>
      <c r="G369" s="29" t="str">
        <f ca="1">VLOOKUP(A369,Calculation!$F$6:$J$1004,3,FALSE)</f>
        <v/>
      </c>
      <c r="H369" s="4" t="str">
        <f ca="1">VLOOKUP(A369,Calculation!$F$6:$J$1004,4,FALSE)</f>
        <v/>
      </c>
      <c r="I369" s="4" t="str">
        <f ca="1">VLOOKUP(A369,Calculation!$F$6:$J$1004,5,FALSE)</f>
        <v/>
      </c>
      <c r="J369" s="43" t="str">
        <f t="shared" ca="1" si="3"/>
        <v/>
      </c>
      <c r="L369" s="29" t="str">
        <f ca="1">VLOOKUP(A369,Calculation!$G$6:$S$1004,2,FALSE)</f>
        <v/>
      </c>
      <c r="M369" s="4" t="str">
        <f ca="1">IFERROR(VLOOKUP($L369,Calculation!$H$6:$S$1005,HLOOKUP(M$2,Calculation!$M$4:$S$5,2,FALSE)+5,FALSE),"")</f>
        <v/>
      </c>
      <c r="N369" s="4" t="str">
        <f ca="1">IFERROR(VLOOKUP($L369,Calculation!$H$6:$S$1005,HLOOKUP(N$2,Calculation!$M$4:$S$5,2,FALSE)+5,FALSE),"")</f>
        <v/>
      </c>
      <c r="O369" s="4" t="str">
        <f ca="1">IFERROR(VLOOKUP($L369,Calculation!$H$6:$S$1005,HLOOKUP(O$2,Calculation!$M$4:$S$5,2,FALSE)+5,FALSE),"")</f>
        <v/>
      </c>
      <c r="P369" s="4" t="str">
        <f ca="1">IFERROR(VLOOKUP($L369,Calculation!$H$6:$S$1005,HLOOKUP(P$2,Calculation!$M$4:$S$5,2,FALSE)+5,FALSE),"")</f>
        <v/>
      </c>
      <c r="Q369" s="4" t="str">
        <f ca="1">IFERROR(VLOOKUP($L369,Calculation!$H$6:$S$1005,HLOOKUP(Q$2,Calculation!$M$4:$S$5,2,FALSE)+5,FALSE),"")</f>
        <v/>
      </c>
      <c r="R369" s="27" t="str">
        <f ca="1">IFERROR(VLOOKUP($L369,Calculation!$H$6:$S$1005,HLOOKUP(R$2,Calculation!$M$4:$S$5,2,FALSE)+5,FALSE),"")</f>
        <v/>
      </c>
      <c r="S369" s="4" t="str">
        <f ca="1">IFERROR(VLOOKUP($L369,Calculation!$H$6:$S$1005,HLOOKUP(S$2,Calculation!$M$4:$S$5,2,FALSE)+5,FALSE),"")</f>
        <v/>
      </c>
      <c r="T369" s="29"/>
      <c r="U369" s="43" t="str">
        <f>IFERROR(VLOOKUP(T369,Calculation!$U$6:$V$11,2,FALSE),"")</f>
        <v/>
      </c>
    </row>
    <row r="370" spans="1:21" ht="14.25" customHeight="1" x14ac:dyDescent="0.3">
      <c r="A370" s="26" t="str">
        <f ca="1">IF(Calculation!T373&lt;=Calculation!$H$4,Calculation!T373,"")</f>
        <v/>
      </c>
      <c r="B370" s="4" t="str">
        <f ca="1">VLOOKUP(A370,Calculation!$E$6:$J$1004,4,FALSE)</f>
        <v/>
      </c>
      <c r="C370" s="4" t="str">
        <f ca="1">VLOOKUP(A370,Calculation!$E$6:$J$1004,5,FALSE)</f>
        <v/>
      </c>
      <c r="D370" s="4" t="str">
        <f ca="1">VLOOKUP(A370,Calculation!$E$6:$J$1004,6,FALSE)</f>
        <v/>
      </c>
      <c r="E370" s="42" t="str">
        <f t="shared" ca="1" si="2"/>
        <v/>
      </c>
      <c r="G370" s="29" t="str">
        <f ca="1">VLOOKUP(A370,Calculation!$F$6:$J$1004,3,FALSE)</f>
        <v/>
      </c>
      <c r="H370" s="4" t="str">
        <f ca="1">VLOOKUP(A370,Calculation!$F$6:$J$1004,4,FALSE)</f>
        <v/>
      </c>
      <c r="I370" s="4" t="str">
        <f ca="1">VLOOKUP(A370,Calculation!$F$6:$J$1004,5,FALSE)</f>
        <v/>
      </c>
      <c r="J370" s="43" t="str">
        <f t="shared" ca="1" si="3"/>
        <v/>
      </c>
      <c r="L370" s="29" t="str">
        <f ca="1">VLOOKUP(A370,Calculation!$G$6:$S$1004,2,FALSE)</f>
        <v/>
      </c>
      <c r="M370" s="4" t="str">
        <f ca="1">IFERROR(VLOOKUP($L370,Calculation!$H$6:$S$1005,HLOOKUP(M$2,Calculation!$M$4:$S$5,2,FALSE)+5,FALSE),"")</f>
        <v/>
      </c>
      <c r="N370" s="4" t="str">
        <f ca="1">IFERROR(VLOOKUP($L370,Calculation!$H$6:$S$1005,HLOOKUP(N$2,Calculation!$M$4:$S$5,2,FALSE)+5,FALSE),"")</f>
        <v/>
      </c>
      <c r="O370" s="4" t="str">
        <f ca="1">IFERROR(VLOOKUP($L370,Calculation!$H$6:$S$1005,HLOOKUP(O$2,Calculation!$M$4:$S$5,2,FALSE)+5,FALSE),"")</f>
        <v/>
      </c>
      <c r="P370" s="4" t="str">
        <f ca="1">IFERROR(VLOOKUP($L370,Calculation!$H$6:$S$1005,HLOOKUP(P$2,Calculation!$M$4:$S$5,2,FALSE)+5,FALSE),"")</f>
        <v/>
      </c>
      <c r="Q370" s="4" t="str">
        <f ca="1">IFERROR(VLOOKUP($L370,Calculation!$H$6:$S$1005,HLOOKUP(Q$2,Calculation!$M$4:$S$5,2,FALSE)+5,FALSE),"")</f>
        <v/>
      </c>
      <c r="R370" s="27" t="str">
        <f ca="1">IFERROR(VLOOKUP($L370,Calculation!$H$6:$S$1005,HLOOKUP(R$2,Calculation!$M$4:$S$5,2,FALSE)+5,FALSE),"")</f>
        <v/>
      </c>
      <c r="S370" s="4" t="str">
        <f ca="1">IFERROR(VLOOKUP($L370,Calculation!$H$6:$S$1005,HLOOKUP(S$2,Calculation!$M$4:$S$5,2,FALSE)+5,FALSE),"")</f>
        <v/>
      </c>
      <c r="T370" s="29"/>
      <c r="U370" s="43" t="str">
        <f>IFERROR(VLOOKUP(T370,Calculation!$U$6:$V$11,2,FALSE),"")</f>
        <v/>
      </c>
    </row>
    <row r="371" spans="1:21" ht="14.25" customHeight="1" x14ac:dyDescent="0.3">
      <c r="A371" s="26" t="str">
        <f ca="1">IF(Calculation!T374&lt;=Calculation!$H$4,Calculation!T374,"")</f>
        <v/>
      </c>
      <c r="B371" s="4" t="str">
        <f ca="1">VLOOKUP(A371,Calculation!$E$6:$J$1004,4,FALSE)</f>
        <v/>
      </c>
      <c r="C371" s="4" t="str">
        <f ca="1">VLOOKUP(A371,Calculation!$E$6:$J$1004,5,FALSE)</f>
        <v/>
      </c>
      <c r="D371" s="4" t="str">
        <f ca="1">VLOOKUP(A371,Calculation!$E$6:$J$1004,6,FALSE)</f>
        <v/>
      </c>
      <c r="E371" s="42" t="str">
        <f t="shared" ca="1" si="2"/>
        <v/>
      </c>
      <c r="G371" s="29" t="str">
        <f ca="1">VLOOKUP(A371,Calculation!$F$6:$J$1004,3,FALSE)</f>
        <v/>
      </c>
      <c r="H371" s="4" t="str">
        <f ca="1">VLOOKUP(A371,Calculation!$F$6:$J$1004,4,FALSE)</f>
        <v/>
      </c>
      <c r="I371" s="4" t="str">
        <f ca="1">VLOOKUP(A371,Calculation!$F$6:$J$1004,5,FALSE)</f>
        <v/>
      </c>
      <c r="J371" s="43" t="str">
        <f t="shared" ca="1" si="3"/>
        <v/>
      </c>
      <c r="L371" s="29" t="str">
        <f ca="1">VLOOKUP(A371,Calculation!$G$6:$S$1004,2,FALSE)</f>
        <v/>
      </c>
      <c r="M371" s="4" t="str">
        <f ca="1">IFERROR(VLOOKUP($L371,Calculation!$H$6:$S$1005,HLOOKUP(M$2,Calculation!$M$4:$S$5,2,FALSE)+5,FALSE),"")</f>
        <v/>
      </c>
      <c r="N371" s="4" t="str">
        <f ca="1">IFERROR(VLOOKUP($L371,Calculation!$H$6:$S$1005,HLOOKUP(N$2,Calculation!$M$4:$S$5,2,FALSE)+5,FALSE),"")</f>
        <v/>
      </c>
      <c r="O371" s="4" t="str">
        <f ca="1">IFERROR(VLOOKUP($L371,Calculation!$H$6:$S$1005,HLOOKUP(O$2,Calculation!$M$4:$S$5,2,FALSE)+5,FALSE),"")</f>
        <v/>
      </c>
      <c r="P371" s="4" t="str">
        <f ca="1">IFERROR(VLOOKUP($L371,Calculation!$H$6:$S$1005,HLOOKUP(P$2,Calculation!$M$4:$S$5,2,FALSE)+5,FALSE),"")</f>
        <v/>
      </c>
      <c r="Q371" s="4" t="str">
        <f ca="1">IFERROR(VLOOKUP($L371,Calculation!$H$6:$S$1005,HLOOKUP(Q$2,Calculation!$M$4:$S$5,2,FALSE)+5,FALSE),"")</f>
        <v/>
      </c>
      <c r="R371" s="27" t="str">
        <f ca="1">IFERROR(VLOOKUP($L371,Calculation!$H$6:$S$1005,HLOOKUP(R$2,Calculation!$M$4:$S$5,2,FALSE)+5,FALSE),"")</f>
        <v/>
      </c>
      <c r="S371" s="4" t="str">
        <f ca="1">IFERROR(VLOOKUP($L371,Calculation!$H$6:$S$1005,HLOOKUP(S$2,Calculation!$M$4:$S$5,2,FALSE)+5,FALSE),"")</f>
        <v/>
      </c>
      <c r="T371" s="29"/>
      <c r="U371" s="43" t="str">
        <f>IFERROR(VLOOKUP(T371,Calculation!$U$6:$V$11,2,FALSE),"")</f>
        <v/>
      </c>
    </row>
    <row r="372" spans="1:21" ht="14.25" customHeight="1" x14ac:dyDescent="0.3">
      <c r="A372" s="26" t="str">
        <f ca="1">IF(Calculation!T375&lt;=Calculation!$H$4,Calculation!T375,"")</f>
        <v/>
      </c>
      <c r="B372" s="4" t="str">
        <f ca="1">VLOOKUP(A372,Calculation!$E$6:$J$1004,4,FALSE)</f>
        <v/>
      </c>
      <c r="C372" s="4" t="str">
        <f ca="1">VLOOKUP(A372,Calculation!$E$6:$J$1004,5,FALSE)</f>
        <v/>
      </c>
      <c r="D372" s="4" t="str">
        <f ca="1">VLOOKUP(A372,Calculation!$E$6:$J$1004,6,FALSE)</f>
        <v/>
      </c>
      <c r="E372" s="42" t="str">
        <f t="shared" ca="1" si="2"/>
        <v/>
      </c>
      <c r="G372" s="29" t="str">
        <f ca="1">VLOOKUP(A372,Calculation!$F$6:$J$1004,3,FALSE)</f>
        <v/>
      </c>
      <c r="H372" s="4" t="str">
        <f ca="1">VLOOKUP(A372,Calculation!$F$6:$J$1004,4,FALSE)</f>
        <v/>
      </c>
      <c r="I372" s="4" t="str">
        <f ca="1">VLOOKUP(A372,Calculation!$F$6:$J$1004,5,FALSE)</f>
        <v/>
      </c>
      <c r="J372" s="43" t="str">
        <f t="shared" ca="1" si="3"/>
        <v/>
      </c>
      <c r="L372" s="29" t="str">
        <f ca="1">VLOOKUP(A372,Calculation!$G$6:$S$1004,2,FALSE)</f>
        <v/>
      </c>
      <c r="M372" s="4" t="str">
        <f ca="1">IFERROR(VLOOKUP($L372,Calculation!$H$6:$S$1005,HLOOKUP(M$2,Calculation!$M$4:$S$5,2,FALSE)+5,FALSE),"")</f>
        <v/>
      </c>
      <c r="N372" s="4" t="str">
        <f ca="1">IFERROR(VLOOKUP($L372,Calculation!$H$6:$S$1005,HLOOKUP(N$2,Calculation!$M$4:$S$5,2,FALSE)+5,FALSE),"")</f>
        <v/>
      </c>
      <c r="O372" s="4" t="str">
        <f ca="1">IFERROR(VLOOKUP($L372,Calculation!$H$6:$S$1005,HLOOKUP(O$2,Calculation!$M$4:$S$5,2,FALSE)+5,FALSE),"")</f>
        <v/>
      </c>
      <c r="P372" s="4" t="str">
        <f ca="1">IFERROR(VLOOKUP($L372,Calculation!$H$6:$S$1005,HLOOKUP(P$2,Calculation!$M$4:$S$5,2,FALSE)+5,FALSE),"")</f>
        <v/>
      </c>
      <c r="Q372" s="4" t="str">
        <f ca="1">IFERROR(VLOOKUP($L372,Calculation!$H$6:$S$1005,HLOOKUP(Q$2,Calculation!$M$4:$S$5,2,FALSE)+5,FALSE),"")</f>
        <v/>
      </c>
      <c r="R372" s="27" t="str">
        <f ca="1">IFERROR(VLOOKUP($L372,Calculation!$H$6:$S$1005,HLOOKUP(R$2,Calculation!$M$4:$S$5,2,FALSE)+5,FALSE),"")</f>
        <v/>
      </c>
      <c r="S372" s="4" t="str">
        <f ca="1">IFERROR(VLOOKUP($L372,Calculation!$H$6:$S$1005,HLOOKUP(S$2,Calculation!$M$4:$S$5,2,FALSE)+5,FALSE),"")</f>
        <v/>
      </c>
      <c r="T372" s="29"/>
      <c r="U372" s="43" t="str">
        <f>IFERROR(VLOOKUP(T372,Calculation!$U$6:$V$11,2,FALSE),"")</f>
        <v/>
      </c>
    </row>
    <row r="373" spans="1:21" ht="14.25" customHeight="1" x14ac:dyDescent="0.3">
      <c r="A373" s="26" t="str">
        <f ca="1">IF(Calculation!T376&lt;=Calculation!$H$4,Calculation!T376,"")</f>
        <v/>
      </c>
      <c r="B373" s="4" t="str">
        <f ca="1">VLOOKUP(A373,Calculation!$E$6:$J$1004,4,FALSE)</f>
        <v/>
      </c>
      <c r="C373" s="4" t="str">
        <f ca="1">VLOOKUP(A373,Calculation!$E$6:$J$1004,5,FALSE)</f>
        <v/>
      </c>
      <c r="D373" s="4" t="str">
        <f ca="1">VLOOKUP(A373,Calculation!$E$6:$J$1004,6,FALSE)</f>
        <v/>
      </c>
      <c r="E373" s="42" t="str">
        <f t="shared" ca="1" si="2"/>
        <v/>
      </c>
      <c r="G373" s="29" t="str">
        <f ca="1">VLOOKUP(A373,Calculation!$F$6:$J$1004,3,FALSE)</f>
        <v/>
      </c>
      <c r="H373" s="4" t="str">
        <f ca="1">VLOOKUP(A373,Calculation!$F$6:$J$1004,4,FALSE)</f>
        <v/>
      </c>
      <c r="I373" s="4" t="str">
        <f ca="1">VLOOKUP(A373,Calculation!$F$6:$J$1004,5,FALSE)</f>
        <v/>
      </c>
      <c r="J373" s="43" t="str">
        <f t="shared" ca="1" si="3"/>
        <v/>
      </c>
      <c r="L373" s="29" t="str">
        <f ca="1">VLOOKUP(A373,Calculation!$G$6:$S$1004,2,FALSE)</f>
        <v/>
      </c>
      <c r="M373" s="4" t="str">
        <f ca="1">IFERROR(VLOOKUP($L373,Calculation!$H$6:$S$1005,HLOOKUP(M$2,Calculation!$M$4:$S$5,2,FALSE)+5,FALSE),"")</f>
        <v/>
      </c>
      <c r="N373" s="4" t="str">
        <f ca="1">IFERROR(VLOOKUP($L373,Calculation!$H$6:$S$1005,HLOOKUP(N$2,Calculation!$M$4:$S$5,2,FALSE)+5,FALSE),"")</f>
        <v/>
      </c>
      <c r="O373" s="4" t="str">
        <f ca="1">IFERROR(VLOOKUP($L373,Calculation!$H$6:$S$1005,HLOOKUP(O$2,Calculation!$M$4:$S$5,2,FALSE)+5,FALSE),"")</f>
        <v/>
      </c>
      <c r="P373" s="4" t="str">
        <f ca="1">IFERROR(VLOOKUP($L373,Calculation!$H$6:$S$1005,HLOOKUP(P$2,Calculation!$M$4:$S$5,2,FALSE)+5,FALSE),"")</f>
        <v/>
      </c>
      <c r="Q373" s="4" t="str">
        <f ca="1">IFERROR(VLOOKUP($L373,Calculation!$H$6:$S$1005,HLOOKUP(Q$2,Calculation!$M$4:$S$5,2,FALSE)+5,FALSE),"")</f>
        <v/>
      </c>
      <c r="R373" s="27" t="str">
        <f ca="1">IFERROR(VLOOKUP($L373,Calculation!$H$6:$S$1005,HLOOKUP(R$2,Calculation!$M$4:$S$5,2,FALSE)+5,FALSE),"")</f>
        <v/>
      </c>
      <c r="S373" s="4" t="str">
        <f ca="1">IFERROR(VLOOKUP($L373,Calculation!$H$6:$S$1005,HLOOKUP(S$2,Calculation!$M$4:$S$5,2,FALSE)+5,FALSE),"")</f>
        <v/>
      </c>
      <c r="T373" s="29"/>
      <c r="U373" s="43" t="str">
        <f>IFERROR(VLOOKUP(T373,Calculation!$U$6:$V$11,2,FALSE),"")</f>
        <v/>
      </c>
    </row>
    <row r="374" spans="1:21" ht="14.25" customHeight="1" x14ac:dyDescent="0.3">
      <c r="A374" s="26" t="str">
        <f ca="1">IF(Calculation!T377&lt;=Calculation!$H$4,Calculation!T377,"")</f>
        <v/>
      </c>
      <c r="B374" s="4" t="str">
        <f ca="1">VLOOKUP(A374,Calculation!$E$6:$J$1004,4,FALSE)</f>
        <v/>
      </c>
      <c r="C374" s="4" t="str">
        <f ca="1">VLOOKUP(A374,Calculation!$E$6:$J$1004,5,FALSE)</f>
        <v/>
      </c>
      <c r="D374" s="4" t="str">
        <f ca="1">VLOOKUP(A374,Calculation!$E$6:$J$1004,6,FALSE)</f>
        <v/>
      </c>
      <c r="E374" s="42" t="str">
        <f t="shared" ca="1" si="2"/>
        <v/>
      </c>
      <c r="G374" s="29" t="str">
        <f ca="1">VLOOKUP(A374,Calculation!$F$6:$J$1004,3,FALSE)</f>
        <v/>
      </c>
      <c r="H374" s="4" t="str">
        <f ca="1">VLOOKUP(A374,Calculation!$F$6:$J$1004,4,FALSE)</f>
        <v/>
      </c>
      <c r="I374" s="4" t="str">
        <f ca="1">VLOOKUP(A374,Calculation!$F$6:$J$1004,5,FALSE)</f>
        <v/>
      </c>
      <c r="J374" s="43" t="str">
        <f t="shared" ca="1" si="3"/>
        <v/>
      </c>
      <c r="L374" s="29" t="str">
        <f ca="1">VLOOKUP(A374,Calculation!$G$6:$S$1004,2,FALSE)</f>
        <v/>
      </c>
      <c r="M374" s="4" t="str">
        <f ca="1">IFERROR(VLOOKUP($L374,Calculation!$H$6:$S$1005,HLOOKUP(M$2,Calculation!$M$4:$S$5,2,FALSE)+5,FALSE),"")</f>
        <v/>
      </c>
      <c r="N374" s="4" t="str">
        <f ca="1">IFERROR(VLOOKUP($L374,Calculation!$H$6:$S$1005,HLOOKUP(N$2,Calculation!$M$4:$S$5,2,FALSE)+5,FALSE),"")</f>
        <v/>
      </c>
      <c r="O374" s="4" t="str">
        <f ca="1">IFERROR(VLOOKUP($L374,Calculation!$H$6:$S$1005,HLOOKUP(O$2,Calculation!$M$4:$S$5,2,FALSE)+5,FALSE),"")</f>
        <v/>
      </c>
      <c r="P374" s="4" t="str">
        <f ca="1">IFERROR(VLOOKUP($L374,Calculation!$H$6:$S$1005,HLOOKUP(P$2,Calculation!$M$4:$S$5,2,FALSE)+5,FALSE),"")</f>
        <v/>
      </c>
      <c r="Q374" s="4" t="str">
        <f ca="1">IFERROR(VLOOKUP($L374,Calculation!$H$6:$S$1005,HLOOKUP(Q$2,Calculation!$M$4:$S$5,2,FALSE)+5,FALSE),"")</f>
        <v/>
      </c>
      <c r="R374" s="27" t="str">
        <f ca="1">IFERROR(VLOOKUP($L374,Calculation!$H$6:$S$1005,HLOOKUP(R$2,Calculation!$M$4:$S$5,2,FALSE)+5,FALSE),"")</f>
        <v/>
      </c>
      <c r="S374" s="4" t="str">
        <f ca="1">IFERROR(VLOOKUP($L374,Calculation!$H$6:$S$1005,HLOOKUP(S$2,Calculation!$M$4:$S$5,2,FALSE)+5,FALSE),"")</f>
        <v/>
      </c>
      <c r="T374" s="29"/>
      <c r="U374" s="43" t="str">
        <f>IFERROR(VLOOKUP(T374,Calculation!$U$6:$V$11,2,FALSE),"")</f>
        <v/>
      </c>
    </row>
    <row r="375" spans="1:21" ht="14.25" customHeight="1" x14ac:dyDescent="0.3">
      <c r="A375" s="26" t="str">
        <f ca="1">IF(Calculation!T378&lt;=Calculation!$H$4,Calculation!T378,"")</f>
        <v/>
      </c>
      <c r="B375" s="4" t="str">
        <f ca="1">VLOOKUP(A375,Calculation!$E$6:$J$1004,4,FALSE)</f>
        <v/>
      </c>
      <c r="C375" s="4" t="str">
        <f ca="1">VLOOKUP(A375,Calculation!$E$6:$J$1004,5,FALSE)</f>
        <v/>
      </c>
      <c r="D375" s="4" t="str">
        <f ca="1">VLOOKUP(A375,Calculation!$E$6:$J$1004,6,FALSE)</f>
        <v/>
      </c>
      <c r="E375" s="42" t="str">
        <f t="shared" ca="1" si="2"/>
        <v/>
      </c>
      <c r="G375" s="29" t="str">
        <f ca="1">VLOOKUP(A375,Calculation!$F$6:$J$1004,3,FALSE)</f>
        <v/>
      </c>
      <c r="H375" s="4" t="str">
        <f ca="1">VLOOKUP(A375,Calculation!$F$6:$J$1004,4,FALSE)</f>
        <v/>
      </c>
      <c r="I375" s="4" t="str">
        <f ca="1">VLOOKUP(A375,Calculation!$F$6:$J$1004,5,FALSE)</f>
        <v/>
      </c>
      <c r="J375" s="43" t="str">
        <f t="shared" ca="1" si="3"/>
        <v/>
      </c>
      <c r="L375" s="29" t="str">
        <f ca="1">VLOOKUP(A375,Calculation!$G$6:$S$1004,2,FALSE)</f>
        <v/>
      </c>
      <c r="M375" s="4" t="str">
        <f ca="1">IFERROR(VLOOKUP($L375,Calculation!$H$6:$S$1005,HLOOKUP(M$2,Calculation!$M$4:$S$5,2,FALSE)+5,FALSE),"")</f>
        <v/>
      </c>
      <c r="N375" s="4" t="str">
        <f ca="1">IFERROR(VLOOKUP($L375,Calculation!$H$6:$S$1005,HLOOKUP(N$2,Calculation!$M$4:$S$5,2,FALSE)+5,FALSE),"")</f>
        <v/>
      </c>
      <c r="O375" s="4" t="str">
        <f ca="1">IFERROR(VLOOKUP($L375,Calculation!$H$6:$S$1005,HLOOKUP(O$2,Calculation!$M$4:$S$5,2,FALSE)+5,FALSE),"")</f>
        <v/>
      </c>
      <c r="P375" s="4" t="str">
        <f ca="1">IFERROR(VLOOKUP($L375,Calculation!$H$6:$S$1005,HLOOKUP(P$2,Calculation!$M$4:$S$5,2,FALSE)+5,FALSE),"")</f>
        <v/>
      </c>
      <c r="Q375" s="4" t="str">
        <f ca="1">IFERROR(VLOOKUP($L375,Calculation!$H$6:$S$1005,HLOOKUP(Q$2,Calculation!$M$4:$S$5,2,FALSE)+5,FALSE),"")</f>
        <v/>
      </c>
      <c r="R375" s="27" t="str">
        <f ca="1">IFERROR(VLOOKUP($L375,Calculation!$H$6:$S$1005,HLOOKUP(R$2,Calculation!$M$4:$S$5,2,FALSE)+5,FALSE),"")</f>
        <v/>
      </c>
      <c r="S375" s="4" t="str">
        <f ca="1">IFERROR(VLOOKUP($L375,Calculation!$H$6:$S$1005,HLOOKUP(S$2,Calculation!$M$4:$S$5,2,FALSE)+5,FALSE),"")</f>
        <v/>
      </c>
      <c r="T375" s="29"/>
      <c r="U375" s="43" t="str">
        <f>IFERROR(VLOOKUP(T375,Calculation!$U$6:$V$11,2,FALSE),"")</f>
        <v/>
      </c>
    </row>
    <row r="376" spans="1:21" ht="14.25" customHeight="1" x14ac:dyDescent="0.3">
      <c r="A376" s="26" t="str">
        <f ca="1">IF(Calculation!T379&lt;=Calculation!$H$4,Calculation!T379,"")</f>
        <v/>
      </c>
      <c r="B376" s="4" t="str">
        <f ca="1">VLOOKUP(A376,Calculation!$E$6:$J$1004,4,FALSE)</f>
        <v/>
      </c>
      <c r="C376" s="4" t="str">
        <f ca="1">VLOOKUP(A376,Calculation!$E$6:$J$1004,5,FALSE)</f>
        <v/>
      </c>
      <c r="D376" s="4" t="str">
        <f ca="1">VLOOKUP(A376,Calculation!$E$6:$J$1004,6,FALSE)</f>
        <v/>
      </c>
      <c r="E376" s="42" t="str">
        <f t="shared" ca="1" si="2"/>
        <v/>
      </c>
      <c r="G376" s="29" t="str">
        <f ca="1">VLOOKUP(A376,Calculation!$F$6:$J$1004,3,FALSE)</f>
        <v/>
      </c>
      <c r="H376" s="4" t="str">
        <f ca="1">VLOOKUP(A376,Calculation!$F$6:$J$1004,4,FALSE)</f>
        <v/>
      </c>
      <c r="I376" s="4" t="str">
        <f ca="1">VLOOKUP(A376,Calculation!$F$6:$J$1004,5,FALSE)</f>
        <v/>
      </c>
      <c r="J376" s="43" t="str">
        <f t="shared" ca="1" si="3"/>
        <v/>
      </c>
      <c r="L376" s="29" t="str">
        <f ca="1">VLOOKUP(A376,Calculation!$G$6:$S$1004,2,FALSE)</f>
        <v/>
      </c>
      <c r="M376" s="4" t="str">
        <f ca="1">IFERROR(VLOOKUP($L376,Calculation!$H$6:$S$1005,HLOOKUP(M$2,Calculation!$M$4:$S$5,2,FALSE)+5,FALSE),"")</f>
        <v/>
      </c>
      <c r="N376" s="4" t="str">
        <f ca="1">IFERROR(VLOOKUP($L376,Calculation!$H$6:$S$1005,HLOOKUP(N$2,Calculation!$M$4:$S$5,2,FALSE)+5,FALSE),"")</f>
        <v/>
      </c>
      <c r="O376" s="4" t="str">
        <f ca="1">IFERROR(VLOOKUP($L376,Calculation!$H$6:$S$1005,HLOOKUP(O$2,Calculation!$M$4:$S$5,2,FALSE)+5,FALSE),"")</f>
        <v/>
      </c>
      <c r="P376" s="4" t="str">
        <f ca="1">IFERROR(VLOOKUP($L376,Calculation!$H$6:$S$1005,HLOOKUP(P$2,Calculation!$M$4:$S$5,2,FALSE)+5,FALSE),"")</f>
        <v/>
      </c>
      <c r="Q376" s="4" t="str">
        <f ca="1">IFERROR(VLOOKUP($L376,Calculation!$H$6:$S$1005,HLOOKUP(Q$2,Calculation!$M$4:$S$5,2,FALSE)+5,FALSE),"")</f>
        <v/>
      </c>
      <c r="R376" s="27" t="str">
        <f ca="1">IFERROR(VLOOKUP($L376,Calculation!$H$6:$S$1005,HLOOKUP(R$2,Calculation!$M$4:$S$5,2,FALSE)+5,FALSE),"")</f>
        <v/>
      </c>
      <c r="S376" s="4" t="str">
        <f ca="1">IFERROR(VLOOKUP($L376,Calculation!$H$6:$S$1005,HLOOKUP(S$2,Calculation!$M$4:$S$5,2,FALSE)+5,FALSE),"")</f>
        <v/>
      </c>
      <c r="T376" s="29"/>
      <c r="U376" s="43" t="str">
        <f>IFERROR(VLOOKUP(T376,Calculation!$U$6:$V$11,2,FALSE),"")</f>
        <v/>
      </c>
    </row>
    <row r="377" spans="1:21" ht="14.25" customHeight="1" x14ac:dyDescent="0.3">
      <c r="A377" s="26" t="str">
        <f ca="1">IF(Calculation!T380&lt;=Calculation!$H$4,Calculation!T380,"")</f>
        <v/>
      </c>
      <c r="B377" s="4" t="str">
        <f ca="1">VLOOKUP(A377,Calculation!$E$6:$J$1004,4,FALSE)</f>
        <v/>
      </c>
      <c r="C377" s="4" t="str">
        <f ca="1">VLOOKUP(A377,Calculation!$E$6:$J$1004,5,FALSE)</f>
        <v/>
      </c>
      <c r="D377" s="4" t="str">
        <f ca="1">VLOOKUP(A377,Calculation!$E$6:$J$1004,6,FALSE)</f>
        <v/>
      </c>
      <c r="E377" s="42" t="str">
        <f t="shared" ca="1" si="2"/>
        <v/>
      </c>
      <c r="G377" s="29" t="str">
        <f ca="1">VLOOKUP(A377,Calculation!$F$6:$J$1004,3,FALSE)</f>
        <v/>
      </c>
      <c r="H377" s="4" t="str">
        <f ca="1">VLOOKUP(A377,Calculation!$F$6:$J$1004,4,FALSE)</f>
        <v/>
      </c>
      <c r="I377" s="4" t="str">
        <f ca="1">VLOOKUP(A377,Calculation!$F$6:$J$1004,5,FALSE)</f>
        <v/>
      </c>
      <c r="J377" s="43" t="str">
        <f t="shared" ca="1" si="3"/>
        <v/>
      </c>
      <c r="L377" s="29" t="str">
        <f ca="1">VLOOKUP(A377,Calculation!$G$6:$S$1004,2,FALSE)</f>
        <v/>
      </c>
      <c r="M377" s="4" t="str">
        <f ca="1">IFERROR(VLOOKUP($L377,Calculation!$H$6:$S$1005,HLOOKUP(M$2,Calculation!$M$4:$S$5,2,FALSE)+5,FALSE),"")</f>
        <v/>
      </c>
      <c r="N377" s="4" t="str">
        <f ca="1">IFERROR(VLOOKUP($L377,Calculation!$H$6:$S$1005,HLOOKUP(N$2,Calculation!$M$4:$S$5,2,FALSE)+5,FALSE),"")</f>
        <v/>
      </c>
      <c r="O377" s="4" t="str">
        <f ca="1">IFERROR(VLOOKUP($L377,Calculation!$H$6:$S$1005,HLOOKUP(O$2,Calculation!$M$4:$S$5,2,FALSE)+5,FALSE),"")</f>
        <v/>
      </c>
      <c r="P377" s="4" t="str">
        <f ca="1">IFERROR(VLOOKUP($L377,Calculation!$H$6:$S$1005,HLOOKUP(P$2,Calculation!$M$4:$S$5,2,FALSE)+5,FALSE),"")</f>
        <v/>
      </c>
      <c r="Q377" s="4" t="str">
        <f ca="1">IFERROR(VLOOKUP($L377,Calculation!$H$6:$S$1005,HLOOKUP(Q$2,Calculation!$M$4:$S$5,2,FALSE)+5,FALSE),"")</f>
        <v/>
      </c>
      <c r="R377" s="27" t="str">
        <f ca="1">IFERROR(VLOOKUP($L377,Calculation!$H$6:$S$1005,HLOOKUP(R$2,Calculation!$M$4:$S$5,2,FALSE)+5,FALSE),"")</f>
        <v/>
      </c>
      <c r="S377" s="4" t="str">
        <f ca="1">IFERROR(VLOOKUP($L377,Calculation!$H$6:$S$1005,HLOOKUP(S$2,Calculation!$M$4:$S$5,2,FALSE)+5,FALSE),"")</f>
        <v/>
      </c>
      <c r="T377" s="29"/>
      <c r="U377" s="43" t="str">
        <f>IFERROR(VLOOKUP(T377,Calculation!$U$6:$V$11,2,FALSE),"")</f>
        <v/>
      </c>
    </row>
    <row r="378" spans="1:21" ht="14.25" customHeight="1" x14ac:dyDescent="0.3">
      <c r="A378" s="26" t="str">
        <f ca="1">IF(Calculation!T381&lt;=Calculation!$H$4,Calculation!T381,"")</f>
        <v/>
      </c>
      <c r="B378" s="4" t="str">
        <f ca="1">VLOOKUP(A378,Calculation!$E$6:$J$1004,4,FALSE)</f>
        <v/>
      </c>
      <c r="C378" s="4" t="str">
        <f ca="1">VLOOKUP(A378,Calculation!$E$6:$J$1004,5,FALSE)</f>
        <v/>
      </c>
      <c r="D378" s="4" t="str">
        <f ca="1">VLOOKUP(A378,Calculation!$E$6:$J$1004,6,FALSE)</f>
        <v/>
      </c>
      <c r="E378" s="42" t="str">
        <f t="shared" ca="1" si="2"/>
        <v/>
      </c>
      <c r="G378" s="29" t="str">
        <f ca="1">VLOOKUP(A378,Calculation!$F$6:$J$1004,3,FALSE)</f>
        <v/>
      </c>
      <c r="H378" s="4" t="str">
        <f ca="1">VLOOKUP(A378,Calculation!$F$6:$J$1004,4,FALSE)</f>
        <v/>
      </c>
      <c r="I378" s="4" t="str">
        <f ca="1">VLOOKUP(A378,Calculation!$F$6:$J$1004,5,FALSE)</f>
        <v/>
      </c>
      <c r="J378" s="43" t="str">
        <f t="shared" ca="1" si="3"/>
        <v/>
      </c>
      <c r="L378" s="29" t="str">
        <f ca="1">VLOOKUP(A378,Calculation!$G$6:$S$1004,2,FALSE)</f>
        <v/>
      </c>
      <c r="M378" s="4" t="str">
        <f ca="1">IFERROR(VLOOKUP($L378,Calculation!$H$6:$S$1005,HLOOKUP(M$2,Calculation!$M$4:$S$5,2,FALSE)+5,FALSE),"")</f>
        <v/>
      </c>
      <c r="N378" s="4" t="str">
        <f ca="1">IFERROR(VLOOKUP($L378,Calculation!$H$6:$S$1005,HLOOKUP(N$2,Calculation!$M$4:$S$5,2,FALSE)+5,FALSE),"")</f>
        <v/>
      </c>
      <c r="O378" s="4" t="str">
        <f ca="1">IFERROR(VLOOKUP($L378,Calculation!$H$6:$S$1005,HLOOKUP(O$2,Calculation!$M$4:$S$5,2,FALSE)+5,FALSE),"")</f>
        <v/>
      </c>
      <c r="P378" s="4" t="str">
        <f ca="1">IFERROR(VLOOKUP($L378,Calculation!$H$6:$S$1005,HLOOKUP(P$2,Calculation!$M$4:$S$5,2,FALSE)+5,FALSE),"")</f>
        <v/>
      </c>
      <c r="Q378" s="4" t="str">
        <f ca="1">IFERROR(VLOOKUP($L378,Calculation!$H$6:$S$1005,HLOOKUP(Q$2,Calculation!$M$4:$S$5,2,FALSE)+5,FALSE),"")</f>
        <v/>
      </c>
      <c r="R378" s="27" t="str">
        <f ca="1">IFERROR(VLOOKUP($L378,Calculation!$H$6:$S$1005,HLOOKUP(R$2,Calculation!$M$4:$S$5,2,FALSE)+5,FALSE),"")</f>
        <v/>
      </c>
      <c r="S378" s="4" t="str">
        <f ca="1">IFERROR(VLOOKUP($L378,Calculation!$H$6:$S$1005,HLOOKUP(S$2,Calculation!$M$4:$S$5,2,FALSE)+5,FALSE),"")</f>
        <v/>
      </c>
      <c r="T378" s="29"/>
      <c r="U378" s="43" t="str">
        <f>IFERROR(VLOOKUP(T378,Calculation!$U$6:$V$11,2,FALSE),"")</f>
        <v/>
      </c>
    </row>
    <row r="379" spans="1:21" ht="14.25" customHeight="1" x14ac:dyDescent="0.3">
      <c r="A379" s="26" t="str">
        <f ca="1">IF(Calculation!T382&lt;=Calculation!$H$4,Calculation!T382,"")</f>
        <v/>
      </c>
      <c r="B379" s="4" t="str">
        <f ca="1">VLOOKUP(A379,Calculation!$E$6:$J$1004,4,FALSE)</f>
        <v/>
      </c>
      <c r="C379" s="4" t="str">
        <f ca="1">VLOOKUP(A379,Calculation!$E$6:$J$1004,5,FALSE)</f>
        <v/>
      </c>
      <c r="D379" s="4" t="str">
        <f ca="1">VLOOKUP(A379,Calculation!$E$6:$J$1004,6,FALSE)</f>
        <v/>
      </c>
      <c r="E379" s="42" t="str">
        <f t="shared" ca="1" si="2"/>
        <v/>
      </c>
      <c r="G379" s="29" t="str">
        <f ca="1">VLOOKUP(A379,Calculation!$F$6:$J$1004,3,FALSE)</f>
        <v/>
      </c>
      <c r="H379" s="4" t="str">
        <f ca="1">VLOOKUP(A379,Calculation!$F$6:$J$1004,4,FALSE)</f>
        <v/>
      </c>
      <c r="I379" s="4" t="str">
        <f ca="1">VLOOKUP(A379,Calculation!$F$6:$J$1004,5,FALSE)</f>
        <v/>
      </c>
      <c r="J379" s="43" t="str">
        <f t="shared" ca="1" si="3"/>
        <v/>
      </c>
      <c r="L379" s="29" t="str">
        <f ca="1">VLOOKUP(A379,Calculation!$G$6:$S$1004,2,FALSE)</f>
        <v/>
      </c>
      <c r="M379" s="4" t="str">
        <f ca="1">IFERROR(VLOOKUP($L379,Calculation!$H$6:$S$1005,HLOOKUP(M$2,Calculation!$M$4:$S$5,2,FALSE)+5,FALSE),"")</f>
        <v/>
      </c>
      <c r="N379" s="4" t="str">
        <f ca="1">IFERROR(VLOOKUP($L379,Calculation!$H$6:$S$1005,HLOOKUP(N$2,Calculation!$M$4:$S$5,2,FALSE)+5,FALSE),"")</f>
        <v/>
      </c>
      <c r="O379" s="4" t="str">
        <f ca="1">IFERROR(VLOOKUP($L379,Calculation!$H$6:$S$1005,HLOOKUP(O$2,Calculation!$M$4:$S$5,2,FALSE)+5,FALSE),"")</f>
        <v/>
      </c>
      <c r="P379" s="4" t="str">
        <f ca="1">IFERROR(VLOOKUP($L379,Calculation!$H$6:$S$1005,HLOOKUP(P$2,Calculation!$M$4:$S$5,2,FALSE)+5,FALSE),"")</f>
        <v/>
      </c>
      <c r="Q379" s="4" t="str">
        <f ca="1">IFERROR(VLOOKUP($L379,Calculation!$H$6:$S$1005,HLOOKUP(Q$2,Calculation!$M$4:$S$5,2,FALSE)+5,FALSE),"")</f>
        <v/>
      </c>
      <c r="R379" s="27" t="str">
        <f ca="1">IFERROR(VLOOKUP($L379,Calculation!$H$6:$S$1005,HLOOKUP(R$2,Calculation!$M$4:$S$5,2,FALSE)+5,FALSE),"")</f>
        <v/>
      </c>
      <c r="S379" s="4" t="str">
        <f ca="1">IFERROR(VLOOKUP($L379,Calculation!$H$6:$S$1005,HLOOKUP(S$2,Calculation!$M$4:$S$5,2,FALSE)+5,FALSE),"")</f>
        <v/>
      </c>
      <c r="T379" s="29"/>
      <c r="U379" s="43" t="str">
        <f>IFERROR(VLOOKUP(T379,Calculation!$U$6:$V$11,2,FALSE),"")</f>
        <v/>
      </c>
    </row>
    <row r="380" spans="1:21" ht="14.25" customHeight="1" x14ac:dyDescent="0.3">
      <c r="A380" s="26" t="str">
        <f ca="1">IF(Calculation!T383&lt;=Calculation!$H$4,Calculation!T383,"")</f>
        <v/>
      </c>
      <c r="B380" s="4" t="str">
        <f ca="1">VLOOKUP(A380,Calculation!$E$6:$J$1004,4,FALSE)</f>
        <v/>
      </c>
      <c r="C380" s="4" t="str">
        <f ca="1">VLOOKUP(A380,Calculation!$E$6:$J$1004,5,FALSE)</f>
        <v/>
      </c>
      <c r="D380" s="4" t="str">
        <f ca="1">VLOOKUP(A380,Calculation!$E$6:$J$1004,6,FALSE)</f>
        <v/>
      </c>
      <c r="E380" s="42" t="str">
        <f t="shared" ca="1" si="2"/>
        <v/>
      </c>
      <c r="G380" s="29" t="str">
        <f ca="1">VLOOKUP(A380,Calculation!$F$6:$J$1004,3,FALSE)</f>
        <v/>
      </c>
      <c r="H380" s="4" t="str">
        <f ca="1">VLOOKUP(A380,Calculation!$F$6:$J$1004,4,FALSE)</f>
        <v/>
      </c>
      <c r="I380" s="4" t="str">
        <f ca="1">VLOOKUP(A380,Calculation!$F$6:$J$1004,5,FALSE)</f>
        <v/>
      </c>
      <c r="J380" s="43" t="str">
        <f t="shared" ca="1" si="3"/>
        <v/>
      </c>
      <c r="L380" s="29" t="str">
        <f ca="1">VLOOKUP(A380,Calculation!$G$6:$S$1004,2,FALSE)</f>
        <v/>
      </c>
      <c r="M380" s="4" t="str">
        <f ca="1">IFERROR(VLOOKUP($L380,Calculation!$H$6:$S$1005,HLOOKUP(M$2,Calculation!$M$4:$S$5,2,FALSE)+5,FALSE),"")</f>
        <v/>
      </c>
      <c r="N380" s="4" t="str">
        <f ca="1">IFERROR(VLOOKUP($L380,Calculation!$H$6:$S$1005,HLOOKUP(N$2,Calculation!$M$4:$S$5,2,FALSE)+5,FALSE),"")</f>
        <v/>
      </c>
      <c r="O380" s="4" t="str">
        <f ca="1">IFERROR(VLOOKUP($L380,Calculation!$H$6:$S$1005,HLOOKUP(O$2,Calculation!$M$4:$S$5,2,FALSE)+5,FALSE),"")</f>
        <v/>
      </c>
      <c r="P380" s="4" t="str">
        <f ca="1">IFERROR(VLOOKUP($L380,Calculation!$H$6:$S$1005,HLOOKUP(P$2,Calculation!$M$4:$S$5,2,FALSE)+5,FALSE),"")</f>
        <v/>
      </c>
      <c r="Q380" s="4" t="str">
        <f ca="1">IFERROR(VLOOKUP($L380,Calculation!$H$6:$S$1005,HLOOKUP(Q$2,Calculation!$M$4:$S$5,2,FALSE)+5,FALSE),"")</f>
        <v/>
      </c>
      <c r="R380" s="27" t="str">
        <f ca="1">IFERROR(VLOOKUP($L380,Calculation!$H$6:$S$1005,HLOOKUP(R$2,Calculation!$M$4:$S$5,2,FALSE)+5,FALSE),"")</f>
        <v/>
      </c>
      <c r="S380" s="4" t="str">
        <f ca="1">IFERROR(VLOOKUP($L380,Calculation!$H$6:$S$1005,HLOOKUP(S$2,Calculation!$M$4:$S$5,2,FALSE)+5,FALSE),"")</f>
        <v/>
      </c>
      <c r="T380" s="29"/>
      <c r="U380" s="43" t="str">
        <f>IFERROR(VLOOKUP(T380,Calculation!$U$6:$V$11,2,FALSE),"")</f>
        <v/>
      </c>
    </row>
    <row r="381" spans="1:21" ht="14.25" customHeight="1" x14ac:dyDescent="0.3">
      <c r="A381" s="26" t="str">
        <f ca="1">IF(Calculation!T384&lt;=Calculation!$H$4,Calculation!T384,"")</f>
        <v/>
      </c>
      <c r="B381" s="4" t="str">
        <f ca="1">VLOOKUP(A381,Calculation!$E$6:$J$1004,4,FALSE)</f>
        <v/>
      </c>
      <c r="C381" s="4" t="str">
        <f ca="1">VLOOKUP(A381,Calculation!$E$6:$J$1004,5,FALSE)</f>
        <v/>
      </c>
      <c r="D381" s="4" t="str">
        <f ca="1">VLOOKUP(A381,Calculation!$E$6:$J$1004,6,FALSE)</f>
        <v/>
      </c>
      <c r="E381" s="42" t="str">
        <f t="shared" ca="1" si="2"/>
        <v/>
      </c>
      <c r="G381" s="29" t="str">
        <f ca="1">VLOOKUP(A381,Calculation!$F$6:$J$1004,3,FALSE)</f>
        <v/>
      </c>
      <c r="H381" s="4" t="str">
        <f ca="1">VLOOKUP(A381,Calculation!$F$6:$J$1004,4,FALSE)</f>
        <v/>
      </c>
      <c r="I381" s="4" t="str">
        <f ca="1">VLOOKUP(A381,Calculation!$F$6:$J$1004,5,FALSE)</f>
        <v/>
      </c>
      <c r="J381" s="43" t="str">
        <f t="shared" ca="1" si="3"/>
        <v/>
      </c>
      <c r="L381" s="29" t="str">
        <f ca="1">VLOOKUP(A381,Calculation!$G$6:$S$1004,2,FALSE)</f>
        <v/>
      </c>
      <c r="M381" s="4" t="str">
        <f ca="1">IFERROR(VLOOKUP($L381,Calculation!$H$6:$S$1005,HLOOKUP(M$2,Calculation!$M$4:$S$5,2,FALSE)+5,FALSE),"")</f>
        <v/>
      </c>
      <c r="N381" s="4" t="str">
        <f ca="1">IFERROR(VLOOKUP($L381,Calculation!$H$6:$S$1005,HLOOKUP(N$2,Calculation!$M$4:$S$5,2,FALSE)+5,FALSE),"")</f>
        <v/>
      </c>
      <c r="O381" s="4" t="str">
        <f ca="1">IFERROR(VLOOKUP($L381,Calculation!$H$6:$S$1005,HLOOKUP(O$2,Calculation!$M$4:$S$5,2,FALSE)+5,FALSE),"")</f>
        <v/>
      </c>
      <c r="P381" s="4" t="str">
        <f ca="1">IFERROR(VLOOKUP($L381,Calculation!$H$6:$S$1005,HLOOKUP(P$2,Calculation!$M$4:$S$5,2,FALSE)+5,FALSE),"")</f>
        <v/>
      </c>
      <c r="Q381" s="4" t="str">
        <f ca="1">IFERROR(VLOOKUP($L381,Calculation!$H$6:$S$1005,HLOOKUP(Q$2,Calculation!$M$4:$S$5,2,FALSE)+5,FALSE),"")</f>
        <v/>
      </c>
      <c r="R381" s="27" t="str">
        <f ca="1">IFERROR(VLOOKUP($L381,Calculation!$H$6:$S$1005,HLOOKUP(R$2,Calculation!$M$4:$S$5,2,FALSE)+5,FALSE),"")</f>
        <v/>
      </c>
      <c r="S381" s="4" t="str">
        <f ca="1">IFERROR(VLOOKUP($L381,Calculation!$H$6:$S$1005,HLOOKUP(S$2,Calculation!$M$4:$S$5,2,FALSE)+5,FALSE),"")</f>
        <v/>
      </c>
      <c r="T381" s="29"/>
      <c r="U381" s="43" t="str">
        <f>IFERROR(VLOOKUP(T381,Calculation!$U$6:$V$11,2,FALSE),"")</f>
        <v/>
      </c>
    </row>
    <row r="382" spans="1:21" ht="14.25" customHeight="1" x14ac:dyDescent="0.3">
      <c r="A382" s="26" t="str">
        <f ca="1">IF(Calculation!T385&lt;=Calculation!$H$4,Calculation!T385,"")</f>
        <v/>
      </c>
      <c r="B382" s="4" t="str">
        <f ca="1">VLOOKUP(A382,Calculation!$E$6:$J$1004,4,FALSE)</f>
        <v/>
      </c>
      <c r="C382" s="4" t="str">
        <f ca="1">VLOOKUP(A382,Calculation!$E$6:$J$1004,5,FALSE)</f>
        <v/>
      </c>
      <c r="D382" s="4" t="str">
        <f ca="1">VLOOKUP(A382,Calculation!$E$6:$J$1004,6,FALSE)</f>
        <v/>
      </c>
      <c r="E382" s="42" t="str">
        <f t="shared" ca="1" si="2"/>
        <v/>
      </c>
      <c r="G382" s="29" t="str">
        <f ca="1">VLOOKUP(A382,Calculation!$F$6:$J$1004,3,FALSE)</f>
        <v/>
      </c>
      <c r="H382" s="4" t="str">
        <f ca="1">VLOOKUP(A382,Calculation!$F$6:$J$1004,4,FALSE)</f>
        <v/>
      </c>
      <c r="I382" s="4" t="str">
        <f ca="1">VLOOKUP(A382,Calculation!$F$6:$J$1004,5,FALSE)</f>
        <v/>
      </c>
      <c r="J382" s="43" t="str">
        <f t="shared" ca="1" si="3"/>
        <v/>
      </c>
      <c r="L382" s="29" t="str">
        <f ca="1">VLOOKUP(A382,Calculation!$G$6:$S$1004,2,FALSE)</f>
        <v/>
      </c>
      <c r="M382" s="4" t="str">
        <f ca="1">IFERROR(VLOOKUP($L382,Calculation!$H$6:$S$1005,HLOOKUP(M$2,Calculation!$M$4:$S$5,2,FALSE)+5,FALSE),"")</f>
        <v/>
      </c>
      <c r="N382" s="4" t="str">
        <f ca="1">IFERROR(VLOOKUP($L382,Calculation!$H$6:$S$1005,HLOOKUP(N$2,Calculation!$M$4:$S$5,2,FALSE)+5,FALSE),"")</f>
        <v/>
      </c>
      <c r="O382" s="4" t="str">
        <f ca="1">IFERROR(VLOOKUP($L382,Calculation!$H$6:$S$1005,HLOOKUP(O$2,Calculation!$M$4:$S$5,2,FALSE)+5,FALSE),"")</f>
        <v/>
      </c>
      <c r="P382" s="4" t="str">
        <f ca="1">IFERROR(VLOOKUP($L382,Calculation!$H$6:$S$1005,HLOOKUP(P$2,Calculation!$M$4:$S$5,2,FALSE)+5,FALSE),"")</f>
        <v/>
      </c>
      <c r="Q382" s="4" t="str">
        <f ca="1">IFERROR(VLOOKUP($L382,Calculation!$H$6:$S$1005,HLOOKUP(Q$2,Calculation!$M$4:$S$5,2,FALSE)+5,FALSE),"")</f>
        <v/>
      </c>
      <c r="R382" s="27" t="str">
        <f ca="1">IFERROR(VLOOKUP($L382,Calculation!$H$6:$S$1005,HLOOKUP(R$2,Calculation!$M$4:$S$5,2,FALSE)+5,FALSE),"")</f>
        <v/>
      </c>
      <c r="S382" s="4" t="str">
        <f ca="1">IFERROR(VLOOKUP($L382,Calculation!$H$6:$S$1005,HLOOKUP(S$2,Calculation!$M$4:$S$5,2,FALSE)+5,FALSE),"")</f>
        <v/>
      </c>
      <c r="T382" s="29"/>
      <c r="U382" s="43" t="str">
        <f>IFERROR(VLOOKUP(T382,Calculation!$U$6:$V$11,2,FALSE),"")</f>
        <v/>
      </c>
    </row>
    <row r="383" spans="1:21" ht="14.25" customHeight="1" x14ac:dyDescent="0.3">
      <c r="A383" s="26" t="str">
        <f ca="1">IF(Calculation!T386&lt;=Calculation!$H$4,Calculation!T386,"")</f>
        <v/>
      </c>
      <c r="B383" s="4" t="str">
        <f ca="1">VLOOKUP(A383,Calculation!$E$6:$J$1004,4,FALSE)</f>
        <v/>
      </c>
      <c r="C383" s="4" t="str">
        <f ca="1">VLOOKUP(A383,Calculation!$E$6:$J$1004,5,FALSE)</f>
        <v/>
      </c>
      <c r="D383" s="4" t="str">
        <f ca="1">VLOOKUP(A383,Calculation!$E$6:$J$1004,6,FALSE)</f>
        <v/>
      </c>
      <c r="E383" s="42" t="str">
        <f t="shared" ca="1" si="2"/>
        <v/>
      </c>
      <c r="G383" s="29" t="str">
        <f ca="1">VLOOKUP(A383,Calculation!$F$6:$J$1004,3,FALSE)</f>
        <v/>
      </c>
      <c r="H383" s="4" t="str">
        <f ca="1">VLOOKUP(A383,Calculation!$F$6:$J$1004,4,FALSE)</f>
        <v/>
      </c>
      <c r="I383" s="4" t="str">
        <f ca="1">VLOOKUP(A383,Calculation!$F$6:$J$1004,5,FALSE)</f>
        <v/>
      </c>
      <c r="J383" s="43" t="str">
        <f t="shared" ca="1" si="3"/>
        <v/>
      </c>
      <c r="L383" s="29" t="str">
        <f ca="1">VLOOKUP(A383,Calculation!$G$6:$S$1004,2,FALSE)</f>
        <v/>
      </c>
      <c r="M383" s="4" t="str">
        <f ca="1">IFERROR(VLOOKUP($L383,Calculation!$H$6:$S$1005,HLOOKUP(M$2,Calculation!$M$4:$S$5,2,FALSE)+5,FALSE),"")</f>
        <v/>
      </c>
      <c r="N383" s="4" t="str">
        <f ca="1">IFERROR(VLOOKUP($L383,Calculation!$H$6:$S$1005,HLOOKUP(N$2,Calculation!$M$4:$S$5,2,FALSE)+5,FALSE),"")</f>
        <v/>
      </c>
      <c r="O383" s="4" t="str">
        <f ca="1">IFERROR(VLOOKUP($L383,Calculation!$H$6:$S$1005,HLOOKUP(O$2,Calculation!$M$4:$S$5,2,FALSE)+5,FALSE),"")</f>
        <v/>
      </c>
      <c r="P383" s="4" t="str">
        <f ca="1">IFERROR(VLOOKUP($L383,Calculation!$H$6:$S$1005,HLOOKUP(P$2,Calculation!$M$4:$S$5,2,FALSE)+5,FALSE),"")</f>
        <v/>
      </c>
      <c r="Q383" s="4" t="str">
        <f ca="1">IFERROR(VLOOKUP($L383,Calculation!$H$6:$S$1005,HLOOKUP(Q$2,Calculation!$M$4:$S$5,2,FALSE)+5,FALSE),"")</f>
        <v/>
      </c>
      <c r="R383" s="27" t="str">
        <f ca="1">IFERROR(VLOOKUP($L383,Calculation!$H$6:$S$1005,HLOOKUP(R$2,Calculation!$M$4:$S$5,2,FALSE)+5,FALSE),"")</f>
        <v/>
      </c>
      <c r="S383" s="4" t="str">
        <f ca="1">IFERROR(VLOOKUP($L383,Calculation!$H$6:$S$1005,HLOOKUP(S$2,Calculation!$M$4:$S$5,2,FALSE)+5,FALSE),"")</f>
        <v/>
      </c>
      <c r="T383" s="29"/>
      <c r="U383" s="43" t="str">
        <f>IFERROR(VLOOKUP(T383,Calculation!$U$6:$V$11,2,FALSE),"")</f>
        <v/>
      </c>
    </row>
    <row r="384" spans="1:21" ht="14.25" customHeight="1" x14ac:dyDescent="0.3">
      <c r="A384" s="26" t="str">
        <f ca="1">IF(Calculation!T387&lt;=Calculation!$H$4,Calculation!T387,"")</f>
        <v/>
      </c>
      <c r="B384" s="4" t="str">
        <f ca="1">VLOOKUP(A384,Calculation!$E$6:$J$1004,4,FALSE)</f>
        <v/>
      </c>
      <c r="C384" s="4" t="str">
        <f ca="1">VLOOKUP(A384,Calculation!$E$6:$J$1004,5,FALSE)</f>
        <v/>
      </c>
      <c r="D384" s="4" t="str">
        <f ca="1">VLOOKUP(A384,Calculation!$E$6:$J$1004,6,FALSE)</f>
        <v/>
      </c>
      <c r="E384" s="42" t="str">
        <f t="shared" ca="1" si="2"/>
        <v/>
      </c>
      <c r="G384" s="29" t="str">
        <f ca="1">VLOOKUP(A384,Calculation!$F$6:$J$1004,3,FALSE)</f>
        <v/>
      </c>
      <c r="H384" s="4" t="str">
        <f ca="1">VLOOKUP(A384,Calculation!$F$6:$J$1004,4,FALSE)</f>
        <v/>
      </c>
      <c r="I384" s="4" t="str">
        <f ca="1">VLOOKUP(A384,Calculation!$F$6:$J$1004,5,FALSE)</f>
        <v/>
      </c>
      <c r="J384" s="43" t="str">
        <f t="shared" ca="1" si="3"/>
        <v/>
      </c>
      <c r="L384" s="29" t="str">
        <f ca="1">VLOOKUP(A384,Calculation!$G$6:$S$1004,2,FALSE)</f>
        <v/>
      </c>
      <c r="M384" s="4" t="str">
        <f ca="1">IFERROR(VLOOKUP($L384,Calculation!$H$6:$S$1005,HLOOKUP(M$2,Calculation!$M$4:$S$5,2,FALSE)+5,FALSE),"")</f>
        <v/>
      </c>
      <c r="N384" s="4" t="str">
        <f ca="1">IFERROR(VLOOKUP($L384,Calculation!$H$6:$S$1005,HLOOKUP(N$2,Calculation!$M$4:$S$5,2,FALSE)+5,FALSE),"")</f>
        <v/>
      </c>
      <c r="O384" s="4" t="str">
        <f ca="1">IFERROR(VLOOKUP($L384,Calculation!$H$6:$S$1005,HLOOKUP(O$2,Calculation!$M$4:$S$5,2,FALSE)+5,FALSE),"")</f>
        <v/>
      </c>
      <c r="P384" s="4" t="str">
        <f ca="1">IFERROR(VLOOKUP($L384,Calculation!$H$6:$S$1005,HLOOKUP(P$2,Calculation!$M$4:$S$5,2,FALSE)+5,FALSE),"")</f>
        <v/>
      </c>
      <c r="Q384" s="4" t="str">
        <f ca="1">IFERROR(VLOOKUP($L384,Calculation!$H$6:$S$1005,HLOOKUP(Q$2,Calculation!$M$4:$S$5,2,FALSE)+5,FALSE),"")</f>
        <v/>
      </c>
      <c r="R384" s="27" t="str">
        <f ca="1">IFERROR(VLOOKUP($L384,Calculation!$H$6:$S$1005,HLOOKUP(R$2,Calculation!$M$4:$S$5,2,FALSE)+5,FALSE),"")</f>
        <v/>
      </c>
      <c r="S384" s="4" t="str">
        <f ca="1">IFERROR(VLOOKUP($L384,Calculation!$H$6:$S$1005,HLOOKUP(S$2,Calculation!$M$4:$S$5,2,FALSE)+5,FALSE),"")</f>
        <v/>
      </c>
      <c r="T384" s="29"/>
      <c r="U384" s="43" t="str">
        <f>IFERROR(VLOOKUP(T384,Calculation!$U$6:$V$11,2,FALSE),"")</f>
        <v/>
      </c>
    </row>
    <row r="385" spans="1:21" ht="14.25" customHeight="1" x14ac:dyDescent="0.3">
      <c r="A385" s="26" t="str">
        <f ca="1">IF(Calculation!T388&lt;=Calculation!$H$4,Calculation!T388,"")</f>
        <v/>
      </c>
      <c r="B385" s="4" t="str">
        <f ca="1">VLOOKUP(A385,Calculation!$E$6:$J$1004,4,FALSE)</f>
        <v/>
      </c>
      <c r="C385" s="4" t="str">
        <f ca="1">VLOOKUP(A385,Calculation!$E$6:$J$1004,5,FALSE)</f>
        <v/>
      </c>
      <c r="D385" s="4" t="str">
        <f ca="1">VLOOKUP(A385,Calculation!$E$6:$J$1004,6,FALSE)</f>
        <v/>
      </c>
      <c r="E385" s="42" t="str">
        <f t="shared" ca="1" si="2"/>
        <v/>
      </c>
      <c r="G385" s="29" t="str">
        <f ca="1">VLOOKUP(A385,Calculation!$F$6:$J$1004,3,FALSE)</f>
        <v/>
      </c>
      <c r="H385" s="4" t="str">
        <f ca="1">VLOOKUP(A385,Calculation!$F$6:$J$1004,4,FALSE)</f>
        <v/>
      </c>
      <c r="I385" s="4" t="str">
        <f ca="1">VLOOKUP(A385,Calculation!$F$6:$J$1004,5,FALSE)</f>
        <v/>
      </c>
      <c r="J385" s="43" t="str">
        <f t="shared" ca="1" si="3"/>
        <v/>
      </c>
      <c r="L385" s="29" t="str">
        <f ca="1">VLOOKUP(A385,Calculation!$G$6:$S$1004,2,FALSE)</f>
        <v/>
      </c>
      <c r="M385" s="4" t="str">
        <f ca="1">IFERROR(VLOOKUP($L385,Calculation!$H$6:$S$1005,HLOOKUP(M$2,Calculation!$M$4:$S$5,2,FALSE)+5,FALSE),"")</f>
        <v/>
      </c>
      <c r="N385" s="4" t="str">
        <f ca="1">IFERROR(VLOOKUP($L385,Calculation!$H$6:$S$1005,HLOOKUP(N$2,Calculation!$M$4:$S$5,2,FALSE)+5,FALSE),"")</f>
        <v/>
      </c>
      <c r="O385" s="4" t="str">
        <f ca="1">IFERROR(VLOOKUP($L385,Calculation!$H$6:$S$1005,HLOOKUP(O$2,Calculation!$M$4:$S$5,2,FALSE)+5,FALSE),"")</f>
        <v/>
      </c>
      <c r="P385" s="4" t="str">
        <f ca="1">IFERROR(VLOOKUP($L385,Calculation!$H$6:$S$1005,HLOOKUP(P$2,Calculation!$M$4:$S$5,2,FALSE)+5,FALSE),"")</f>
        <v/>
      </c>
      <c r="Q385" s="4" t="str">
        <f ca="1">IFERROR(VLOOKUP($L385,Calculation!$H$6:$S$1005,HLOOKUP(Q$2,Calculation!$M$4:$S$5,2,FALSE)+5,FALSE),"")</f>
        <v/>
      </c>
      <c r="R385" s="27" t="str">
        <f ca="1">IFERROR(VLOOKUP($L385,Calculation!$H$6:$S$1005,HLOOKUP(R$2,Calculation!$M$4:$S$5,2,FALSE)+5,FALSE),"")</f>
        <v/>
      </c>
      <c r="S385" s="4" t="str">
        <f ca="1">IFERROR(VLOOKUP($L385,Calculation!$H$6:$S$1005,HLOOKUP(S$2,Calculation!$M$4:$S$5,2,FALSE)+5,FALSE),"")</f>
        <v/>
      </c>
      <c r="T385" s="29"/>
      <c r="U385" s="43" t="str">
        <f>IFERROR(VLOOKUP(T385,Calculation!$U$6:$V$11,2,FALSE),"")</f>
        <v/>
      </c>
    </row>
    <row r="386" spans="1:21" ht="14.25" customHeight="1" x14ac:dyDescent="0.3">
      <c r="A386" s="26" t="str">
        <f ca="1">IF(Calculation!T389&lt;=Calculation!$H$4,Calculation!T389,"")</f>
        <v/>
      </c>
      <c r="B386" s="4" t="str">
        <f ca="1">VLOOKUP(A386,Calculation!$E$6:$J$1004,4,FALSE)</f>
        <v/>
      </c>
      <c r="C386" s="4" t="str">
        <f ca="1">VLOOKUP(A386,Calculation!$E$6:$J$1004,5,FALSE)</f>
        <v/>
      </c>
      <c r="D386" s="4" t="str">
        <f ca="1">VLOOKUP(A386,Calculation!$E$6:$J$1004,6,FALSE)</f>
        <v/>
      </c>
      <c r="E386" s="42" t="str">
        <f t="shared" ca="1" si="2"/>
        <v/>
      </c>
      <c r="G386" s="29" t="str">
        <f ca="1">VLOOKUP(A386,Calculation!$F$6:$J$1004,3,FALSE)</f>
        <v/>
      </c>
      <c r="H386" s="4" t="str">
        <f ca="1">VLOOKUP(A386,Calculation!$F$6:$J$1004,4,FALSE)</f>
        <v/>
      </c>
      <c r="I386" s="4" t="str">
        <f ca="1">VLOOKUP(A386,Calculation!$F$6:$J$1004,5,FALSE)</f>
        <v/>
      </c>
      <c r="J386" s="43" t="str">
        <f t="shared" ca="1" si="3"/>
        <v/>
      </c>
      <c r="L386" s="29" t="str">
        <f ca="1">VLOOKUP(A386,Calculation!$G$6:$S$1004,2,FALSE)</f>
        <v/>
      </c>
      <c r="M386" s="4" t="str">
        <f ca="1">IFERROR(VLOOKUP($L386,Calculation!$H$6:$S$1005,HLOOKUP(M$2,Calculation!$M$4:$S$5,2,FALSE)+5,FALSE),"")</f>
        <v/>
      </c>
      <c r="N386" s="4" t="str">
        <f ca="1">IFERROR(VLOOKUP($L386,Calculation!$H$6:$S$1005,HLOOKUP(N$2,Calculation!$M$4:$S$5,2,FALSE)+5,FALSE),"")</f>
        <v/>
      </c>
      <c r="O386" s="4" t="str">
        <f ca="1">IFERROR(VLOOKUP($L386,Calculation!$H$6:$S$1005,HLOOKUP(O$2,Calculation!$M$4:$S$5,2,FALSE)+5,FALSE),"")</f>
        <v/>
      </c>
      <c r="P386" s="4" t="str">
        <f ca="1">IFERROR(VLOOKUP($L386,Calculation!$H$6:$S$1005,HLOOKUP(P$2,Calculation!$M$4:$S$5,2,FALSE)+5,FALSE),"")</f>
        <v/>
      </c>
      <c r="Q386" s="4" t="str">
        <f ca="1">IFERROR(VLOOKUP($L386,Calculation!$H$6:$S$1005,HLOOKUP(Q$2,Calculation!$M$4:$S$5,2,FALSE)+5,FALSE),"")</f>
        <v/>
      </c>
      <c r="R386" s="27" t="str">
        <f ca="1">IFERROR(VLOOKUP($L386,Calculation!$H$6:$S$1005,HLOOKUP(R$2,Calculation!$M$4:$S$5,2,FALSE)+5,FALSE),"")</f>
        <v/>
      </c>
      <c r="S386" s="4" t="str">
        <f ca="1">IFERROR(VLOOKUP($L386,Calculation!$H$6:$S$1005,HLOOKUP(S$2,Calculation!$M$4:$S$5,2,FALSE)+5,FALSE),"")</f>
        <v/>
      </c>
      <c r="T386" s="29"/>
      <c r="U386" s="43" t="str">
        <f>IFERROR(VLOOKUP(T386,Calculation!$U$6:$V$11,2,FALSE),"")</f>
        <v/>
      </c>
    </row>
    <row r="387" spans="1:21" ht="14.25" customHeight="1" x14ac:dyDescent="0.3">
      <c r="A387" s="26" t="str">
        <f ca="1">IF(Calculation!T390&lt;=Calculation!$H$4,Calculation!T390,"")</f>
        <v/>
      </c>
      <c r="B387" s="4" t="str">
        <f ca="1">VLOOKUP(A387,Calculation!$E$6:$J$1004,4,FALSE)</f>
        <v/>
      </c>
      <c r="C387" s="4" t="str">
        <f ca="1">VLOOKUP(A387,Calculation!$E$6:$J$1004,5,FALSE)</f>
        <v/>
      </c>
      <c r="D387" s="4" t="str">
        <f ca="1">VLOOKUP(A387,Calculation!$E$6:$J$1004,6,FALSE)</f>
        <v/>
      </c>
      <c r="E387" s="42" t="str">
        <f t="shared" ca="1" si="2"/>
        <v/>
      </c>
      <c r="G387" s="29" t="str">
        <f ca="1">VLOOKUP(A387,Calculation!$F$6:$J$1004,3,FALSE)</f>
        <v/>
      </c>
      <c r="H387" s="4" t="str">
        <f ca="1">VLOOKUP(A387,Calculation!$F$6:$J$1004,4,FALSE)</f>
        <v/>
      </c>
      <c r="I387" s="4" t="str">
        <f ca="1">VLOOKUP(A387,Calculation!$F$6:$J$1004,5,FALSE)</f>
        <v/>
      </c>
      <c r="J387" s="43" t="str">
        <f t="shared" ca="1" si="3"/>
        <v/>
      </c>
      <c r="L387" s="29" t="str">
        <f ca="1">VLOOKUP(A387,Calculation!$G$6:$S$1004,2,FALSE)</f>
        <v/>
      </c>
      <c r="M387" s="4" t="str">
        <f ca="1">IFERROR(VLOOKUP($L387,Calculation!$H$6:$S$1005,HLOOKUP(M$2,Calculation!$M$4:$S$5,2,FALSE)+5,FALSE),"")</f>
        <v/>
      </c>
      <c r="N387" s="4" t="str">
        <f ca="1">IFERROR(VLOOKUP($L387,Calculation!$H$6:$S$1005,HLOOKUP(N$2,Calculation!$M$4:$S$5,2,FALSE)+5,FALSE),"")</f>
        <v/>
      </c>
      <c r="O387" s="4" t="str">
        <f ca="1">IFERROR(VLOOKUP($L387,Calculation!$H$6:$S$1005,HLOOKUP(O$2,Calculation!$M$4:$S$5,2,FALSE)+5,FALSE),"")</f>
        <v/>
      </c>
      <c r="P387" s="4" t="str">
        <f ca="1">IFERROR(VLOOKUP($L387,Calculation!$H$6:$S$1005,HLOOKUP(P$2,Calculation!$M$4:$S$5,2,FALSE)+5,FALSE),"")</f>
        <v/>
      </c>
      <c r="Q387" s="4" t="str">
        <f ca="1">IFERROR(VLOOKUP($L387,Calculation!$H$6:$S$1005,HLOOKUP(Q$2,Calculation!$M$4:$S$5,2,FALSE)+5,FALSE),"")</f>
        <v/>
      </c>
      <c r="R387" s="27" t="str">
        <f ca="1">IFERROR(VLOOKUP($L387,Calculation!$H$6:$S$1005,HLOOKUP(R$2,Calculation!$M$4:$S$5,2,FALSE)+5,FALSE),"")</f>
        <v/>
      </c>
      <c r="S387" s="4" t="str">
        <f ca="1">IFERROR(VLOOKUP($L387,Calculation!$H$6:$S$1005,HLOOKUP(S$2,Calculation!$M$4:$S$5,2,FALSE)+5,FALSE),"")</f>
        <v/>
      </c>
      <c r="T387" s="29"/>
      <c r="U387" s="43" t="str">
        <f>IFERROR(VLOOKUP(T387,Calculation!$U$6:$V$11,2,FALSE),"")</f>
        <v/>
      </c>
    </row>
    <row r="388" spans="1:21" ht="14.25" customHeight="1" x14ac:dyDescent="0.3">
      <c r="A388" s="26" t="str">
        <f ca="1">IF(Calculation!T391&lt;=Calculation!$H$4,Calculation!T391,"")</f>
        <v/>
      </c>
      <c r="B388" s="4" t="str">
        <f ca="1">VLOOKUP(A388,Calculation!$E$6:$J$1004,4,FALSE)</f>
        <v/>
      </c>
      <c r="C388" s="4" t="str">
        <f ca="1">VLOOKUP(A388,Calculation!$E$6:$J$1004,5,FALSE)</f>
        <v/>
      </c>
      <c r="D388" s="4" t="str">
        <f ca="1">VLOOKUP(A388,Calculation!$E$6:$J$1004,6,FALSE)</f>
        <v/>
      </c>
      <c r="E388" s="42" t="str">
        <f t="shared" ca="1" si="2"/>
        <v/>
      </c>
      <c r="G388" s="29" t="str">
        <f ca="1">VLOOKUP(A388,Calculation!$F$6:$J$1004,3,FALSE)</f>
        <v/>
      </c>
      <c r="H388" s="4" t="str">
        <f ca="1">VLOOKUP(A388,Calculation!$F$6:$J$1004,4,FALSE)</f>
        <v/>
      </c>
      <c r="I388" s="4" t="str">
        <f ca="1">VLOOKUP(A388,Calculation!$F$6:$J$1004,5,FALSE)</f>
        <v/>
      </c>
      <c r="J388" s="43" t="str">
        <f t="shared" ca="1" si="3"/>
        <v/>
      </c>
      <c r="L388" s="29" t="str">
        <f ca="1">VLOOKUP(A388,Calculation!$G$6:$S$1004,2,FALSE)</f>
        <v/>
      </c>
      <c r="M388" s="4" t="str">
        <f ca="1">IFERROR(VLOOKUP($L388,Calculation!$H$6:$S$1005,HLOOKUP(M$2,Calculation!$M$4:$S$5,2,FALSE)+5,FALSE),"")</f>
        <v/>
      </c>
      <c r="N388" s="4" t="str">
        <f ca="1">IFERROR(VLOOKUP($L388,Calculation!$H$6:$S$1005,HLOOKUP(N$2,Calculation!$M$4:$S$5,2,FALSE)+5,FALSE),"")</f>
        <v/>
      </c>
      <c r="O388" s="4" t="str">
        <f ca="1">IFERROR(VLOOKUP($L388,Calculation!$H$6:$S$1005,HLOOKUP(O$2,Calculation!$M$4:$S$5,2,FALSE)+5,FALSE),"")</f>
        <v/>
      </c>
      <c r="P388" s="4" t="str">
        <f ca="1">IFERROR(VLOOKUP($L388,Calculation!$H$6:$S$1005,HLOOKUP(P$2,Calculation!$M$4:$S$5,2,FALSE)+5,FALSE),"")</f>
        <v/>
      </c>
      <c r="Q388" s="4" t="str">
        <f ca="1">IFERROR(VLOOKUP($L388,Calculation!$H$6:$S$1005,HLOOKUP(Q$2,Calculation!$M$4:$S$5,2,FALSE)+5,FALSE),"")</f>
        <v/>
      </c>
      <c r="R388" s="27" t="str">
        <f ca="1">IFERROR(VLOOKUP($L388,Calculation!$H$6:$S$1005,HLOOKUP(R$2,Calculation!$M$4:$S$5,2,FALSE)+5,FALSE),"")</f>
        <v/>
      </c>
      <c r="S388" s="4" t="str">
        <f ca="1">IFERROR(VLOOKUP($L388,Calculation!$H$6:$S$1005,HLOOKUP(S$2,Calculation!$M$4:$S$5,2,FALSE)+5,FALSE),"")</f>
        <v/>
      </c>
      <c r="T388" s="29"/>
      <c r="U388" s="43" t="str">
        <f>IFERROR(VLOOKUP(T388,Calculation!$U$6:$V$11,2,FALSE),"")</f>
        <v/>
      </c>
    </row>
    <row r="389" spans="1:21" ht="14.25" customHeight="1" x14ac:dyDescent="0.3">
      <c r="A389" s="26" t="str">
        <f ca="1">IF(Calculation!T392&lt;=Calculation!$H$4,Calculation!T392,"")</f>
        <v/>
      </c>
      <c r="B389" s="4" t="str">
        <f ca="1">VLOOKUP(A389,Calculation!$E$6:$J$1004,4,FALSE)</f>
        <v/>
      </c>
      <c r="C389" s="4" t="str">
        <f ca="1">VLOOKUP(A389,Calculation!$E$6:$J$1004,5,FALSE)</f>
        <v/>
      </c>
      <c r="D389" s="4" t="str">
        <f ca="1">VLOOKUP(A389,Calculation!$E$6:$J$1004,6,FALSE)</f>
        <v/>
      </c>
      <c r="E389" s="42" t="str">
        <f t="shared" ca="1" si="2"/>
        <v/>
      </c>
      <c r="G389" s="29" t="str">
        <f ca="1">VLOOKUP(A389,Calculation!$F$6:$J$1004,3,FALSE)</f>
        <v/>
      </c>
      <c r="H389" s="4" t="str">
        <f ca="1">VLOOKUP(A389,Calculation!$F$6:$J$1004,4,FALSE)</f>
        <v/>
      </c>
      <c r="I389" s="4" t="str">
        <f ca="1">VLOOKUP(A389,Calculation!$F$6:$J$1004,5,FALSE)</f>
        <v/>
      </c>
      <c r="J389" s="43" t="str">
        <f t="shared" ca="1" si="3"/>
        <v/>
      </c>
      <c r="L389" s="29" t="str">
        <f ca="1">VLOOKUP(A389,Calculation!$G$6:$S$1004,2,FALSE)</f>
        <v/>
      </c>
      <c r="M389" s="4" t="str">
        <f ca="1">IFERROR(VLOOKUP($L389,Calculation!$H$6:$S$1005,HLOOKUP(M$2,Calculation!$M$4:$S$5,2,FALSE)+5,FALSE),"")</f>
        <v/>
      </c>
      <c r="N389" s="4" t="str">
        <f ca="1">IFERROR(VLOOKUP($L389,Calculation!$H$6:$S$1005,HLOOKUP(N$2,Calculation!$M$4:$S$5,2,FALSE)+5,FALSE),"")</f>
        <v/>
      </c>
      <c r="O389" s="4" t="str">
        <f ca="1">IFERROR(VLOOKUP($L389,Calculation!$H$6:$S$1005,HLOOKUP(O$2,Calculation!$M$4:$S$5,2,FALSE)+5,FALSE),"")</f>
        <v/>
      </c>
      <c r="P389" s="4" t="str">
        <f ca="1">IFERROR(VLOOKUP($L389,Calculation!$H$6:$S$1005,HLOOKUP(P$2,Calculation!$M$4:$S$5,2,FALSE)+5,FALSE),"")</f>
        <v/>
      </c>
      <c r="Q389" s="4" t="str">
        <f ca="1">IFERROR(VLOOKUP($L389,Calculation!$H$6:$S$1005,HLOOKUP(Q$2,Calculation!$M$4:$S$5,2,FALSE)+5,FALSE),"")</f>
        <v/>
      </c>
      <c r="R389" s="27" t="str">
        <f ca="1">IFERROR(VLOOKUP($L389,Calculation!$H$6:$S$1005,HLOOKUP(R$2,Calculation!$M$4:$S$5,2,FALSE)+5,FALSE),"")</f>
        <v/>
      </c>
      <c r="S389" s="4" t="str">
        <f ca="1">IFERROR(VLOOKUP($L389,Calculation!$H$6:$S$1005,HLOOKUP(S$2,Calculation!$M$4:$S$5,2,FALSE)+5,FALSE),"")</f>
        <v/>
      </c>
      <c r="T389" s="29"/>
      <c r="U389" s="43" t="str">
        <f>IFERROR(VLOOKUP(T389,Calculation!$U$6:$V$11,2,FALSE),"")</f>
        <v/>
      </c>
    </row>
    <row r="390" spans="1:21" ht="14.25" customHeight="1" x14ac:dyDescent="0.3">
      <c r="A390" s="26" t="str">
        <f ca="1">IF(Calculation!T393&lt;=Calculation!$H$4,Calculation!T393,"")</f>
        <v/>
      </c>
      <c r="B390" s="4" t="str">
        <f ca="1">VLOOKUP(A390,Calculation!$E$6:$J$1004,4,FALSE)</f>
        <v/>
      </c>
      <c r="C390" s="4" t="str">
        <f ca="1">VLOOKUP(A390,Calculation!$E$6:$J$1004,5,FALSE)</f>
        <v/>
      </c>
      <c r="D390" s="4" t="str">
        <f ca="1">VLOOKUP(A390,Calculation!$E$6:$J$1004,6,FALSE)</f>
        <v/>
      </c>
      <c r="E390" s="42" t="str">
        <f t="shared" ca="1" si="2"/>
        <v/>
      </c>
      <c r="G390" s="29" t="str">
        <f ca="1">VLOOKUP(A390,Calculation!$F$6:$J$1004,3,FALSE)</f>
        <v/>
      </c>
      <c r="H390" s="4" t="str">
        <f ca="1">VLOOKUP(A390,Calculation!$F$6:$J$1004,4,FALSE)</f>
        <v/>
      </c>
      <c r="I390" s="4" t="str">
        <f ca="1">VLOOKUP(A390,Calculation!$F$6:$J$1004,5,FALSE)</f>
        <v/>
      </c>
      <c r="J390" s="43" t="str">
        <f t="shared" ca="1" si="3"/>
        <v/>
      </c>
      <c r="L390" s="29" t="str">
        <f ca="1">VLOOKUP(A390,Calculation!$G$6:$S$1004,2,FALSE)</f>
        <v/>
      </c>
      <c r="M390" s="4" t="str">
        <f ca="1">IFERROR(VLOOKUP($L390,Calculation!$H$6:$S$1005,HLOOKUP(M$2,Calculation!$M$4:$S$5,2,FALSE)+5,FALSE),"")</f>
        <v/>
      </c>
      <c r="N390" s="4" t="str">
        <f ca="1">IFERROR(VLOOKUP($L390,Calculation!$H$6:$S$1005,HLOOKUP(N$2,Calculation!$M$4:$S$5,2,FALSE)+5,FALSE),"")</f>
        <v/>
      </c>
      <c r="O390" s="4" t="str">
        <f ca="1">IFERROR(VLOOKUP($L390,Calculation!$H$6:$S$1005,HLOOKUP(O$2,Calculation!$M$4:$S$5,2,FALSE)+5,FALSE),"")</f>
        <v/>
      </c>
      <c r="P390" s="4" t="str">
        <f ca="1">IFERROR(VLOOKUP($L390,Calculation!$H$6:$S$1005,HLOOKUP(P$2,Calculation!$M$4:$S$5,2,FALSE)+5,FALSE),"")</f>
        <v/>
      </c>
      <c r="Q390" s="4" t="str">
        <f ca="1">IFERROR(VLOOKUP($L390,Calculation!$H$6:$S$1005,HLOOKUP(Q$2,Calculation!$M$4:$S$5,2,FALSE)+5,FALSE),"")</f>
        <v/>
      </c>
      <c r="R390" s="27" t="str">
        <f ca="1">IFERROR(VLOOKUP($L390,Calculation!$H$6:$S$1005,HLOOKUP(R$2,Calculation!$M$4:$S$5,2,FALSE)+5,FALSE),"")</f>
        <v/>
      </c>
      <c r="S390" s="4" t="str">
        <f ca="1">IFERROR(VLOOKUP($L390,Calculation!$H$6:$S$1005,HLOOKUP(S$2,Calculation!$M$4:$S$5,2,FALSE)+5,FALSE),"")</f>
        <v/>
      </c>
      <c r="T390" s="29"/>
      <c r="U390" s="43" t="str">
        <f>IFERROR(VLOOKUP(T390,Calculation!$U$6:$V$11,2,FALSE),"")</f>
        <v/>
      </c>
    </row>
    <row r="391" spans="1:21" ht="14.25" customHeight="1" x14ac:dyDescent="0.3">
      <c r="A391" s="26" t="str">
        <f ca="1">IF(Calculation!T394&lt;=Calculation!$H$4,Calculation!T394,"")</f>
        <v/>
      </c>
      <c r="B391" s="4" t="str">
        <f ca="1">VLOOKUP(A391,Calculation!$E$6:$J$1004,4,FALSE)</f>
        <v/>
      </c>
      <c r="C391" s="4" t="str">
        <f ca="1">VLOOKUP(A391,Calculation!$E$6:$J$1004,5,FALSE)</f>
        <v/>
      </c>
      <c r="D391" s="4" t="str">
        <f ca="1">VLOOKUP(A391,Calculation!$E$6:$J$1004,6,FALSE)</f>
        <v/>
      </c>
      <c r="E391" s="42" t="str">
        <f t="shared" ca="1" si="2"/>
        <v/>
      </c>
      <c r="G391" s="29" t="str">
        <f ca="1">VLOOKUP(A391,Calculation!$F$6:$J$1004,3,FALSE)</f>
        <v/>
      </c>
      <c r="H391" s="4" t="str">
        <f ca="1">VLOOKUP(A391,Calculation!$F$6:$J$1004,4,FALSE)</f>
        <v/>
      </c>
      <c r="I391" s="4" t="str">
        <f ca="1">VLOOKUP(A391,Calculation!$F$6:$J$1004,5,FALSE)</f>
        <v/>
      </c>
      <c r="J391" s="43" t="str">
        <f t="shared" ca="1" si="3"/>
        <v/>
      </c>
      <c r="L391" s="29" t="str">
        <f ca="1">VLOOKUP(A391,Calculation!$G$6:$S$1004,2,FALSE)</f>
        <v/>
      </c>
      <c r="M391" s="4" t="str">
        <f ca="1">IFERROR(VLOOKUP($L391,Calculation!$H$6:$S$1005,HLOOKUP(M$2,Calculation!$M$4:$S$5,2,FALSE)+5,FALSE),"")</f>
        <v/>
      </c>
      <c r="N391" s="4" t="str">
        <f ca="1">IFERROR(VLOOKUP($L391,Calculation!$H$6:$S$1005,HLOOKUP(N$2,Calculation!$M$4:$S$5,2,FALSE)+5,FALSE),"")</f>
        <v/>
      </c>
      <c r="O391" s="4" t="str">
        <f ca="1">IFERROR(VLOOKUP($L391,Calculation!$H$6:$S$1005,HLOOKUP(O$2,Calculation!$M$4:$S$5,2,FALSE)+5,FALSE),"")</f>
        <v/>
      </c>
      <c r="P391" s="4" t="str">
        <f ca="1">IFERROR(VLOOKUP($L391,Calculation!$H$6:$S$1005,HLOOKUP(P$2,Calculation!$M$4:$S$5,2,FALSE)+5,FALSE),"")</f>
        <v/>
      </c>
      <c r="Q391" s="4" t="str">
        <f ca="1">IFERROR(VLOOKUP($L391,Calculation!$H$6:$S$1005,HLOOKUP(Q$2,Calculation!$M$4:$S$5,2,FALSE)+5,FALSE),"")</f>
        <v/>
      </c>
      <c r="R391" s="27" t="str">
        <f ca="1">IFERROR(VLOOKUP($L391,Calculation!$H$6:$S$1005,HLOOKUP(R$2,Calculation!$M$4:$S$5,2,FALSE)+5,FALSE),"")</f>
        <v/>
      </c>
      <c r="S391" s="4" t="str">
        <f ca="1">IFERROR(VLOOKUP($L391,Calculation!$H$6:$S$1005,HLOOKUP(S$2,Calculation!$M$4:$S$5,2,FALSE)+5,FALSE),"")</f>
        <v/>
      </c>
      <c r="T391" s="29"/>
      <c r="U391" s="43" t="str">
        <f>IFERROR(VLOOKUP(T391,Calculation!$U$6:$V$11,2,FALSE),"")</f>
        <v/>
      </c>
    </row>
    <row r="392" spans="1:21" ht="14.25" customHeight="1" x14ac:dyDescent="0.3">
      <c r="A392" s="26" t="str">
        <f ca="1">IF(Calculation!T395&lt;=Calculation!$H$4,Calculation!T395,"")</f>
        <v/>
      </c>
      <c r="B392" s="4" t="str">
        <f ca="1">VLOOKUP(A392,Calculation!$E$6:$J$1004,4,FALSE)</f>
        <v/>
      </c>
      <c r="C392" s="4" t="str">
        <f ca="1">VLOOKUP(A392,Calculation!$E$6:$J$1004,5,FALSE)</f>
        <v/>
      </c>
      <c r="D392" s="4" t="str">
        <f ca="1">VLOOKUP(A392,Calculation!$E$6:$J$1004,6,FALSE)</f>
        <v/>
      </c>
      <c r="E392" s="42" t="str">
        <f t="shared" ca="1" si="2"/>
        <v/>
      </c>
      <c r="G392" s="29" t="str">
        <f ca="1">VLOOKUP(A392,Calculation!$F$6:$J$1004,3,FALSE)</f>
        <v/>
      </c>
      <c r="H392" s="4" t="str">
        <f ca="1">VLOOKUP(A392,Calculation!$F$6:$J$1004,4,FALSE)</f>
        <v/>
      </c>
      <c r="I392" s="4" t="str">
        <f ca="1">VLOOKUP(A392,Calculation!$F$6:$J$1004,5,FALSE)</f>
        <v/>
      </c>
      <c r="J392" s="43" t="str">
        <f t="shared" ca="1" si="3"/>
        <v/>
      </c>
      <c r="L392" s="29" t="str">
        <f ca="1">VLOOKUP(A392,Calculation!$G$6:$S$1004,2,FALSE)</f>
        <v/>
      </c>
      <c r="M392" s="4" t="str">
        <f ca="1">IFERROR(VLOOKUP($L392,Calculation!$H$6:$S$1005,HLOOKUP(M$2,Calculation!$M$4:$S$5,2,FALSE)+5,FALSE),"")</f>
        <v/>
      </c>
      <c r="N392" s="4" t="str">
        <f ca="1">IFERROR(VLOOKUP($L392,Calculation!$H$6:$S$1005,HLOOKUP(N$2,Calculation!$M$4:$S$5,2,FALSE)+5,FALSE),"")</f>
        <v/>
      </c>
      <c r="O392" s="4" t="str">
        <f ca="1">IFERROR(VLOOKUP($L392,Calculation!$H$6:$S$1005,HLOOKUP(O$2,Calculation!$M$4:$S$5,2,FALSE)+5,FALSE),"")</f>
        <v/>
      </c>
      <c r="P392" s="4" t="str">
        <f ca="1">IFERROR(VLOOKUP($L392,Calculation!$H$6:$S$1005,HLOOKUP(P$2,Calculation!$M$4:$S$5,2,FALSE)+5,FALSE),"")</f>
        <v/>
      </c>
      <c r="Q392" s="4" t="str">
        <f ca="1">IFERROR(VLOOKUP($L392,Calculation!$H$6:$S$1005,HLOOKUP(Q$2,Calculation!$M$4:$S$5,2,FALSE)+5,FALSE),"")</f>
        <v/>
      </c>
      <c r="R392" s="27" t="str">
        <f ca="1">IFERROR(VLOOKUP($L392,Calculation!$H$6:$S$1005,HLOOKUP(R$2,Calculation!$M$4:$S$5,2,FALSE)+5,FALSE),"")</f>
        <v/>
      </c>
      <c r="S392" s="4" t="str">
        <f ca="1">IFERROR(VLOOKUP($L392,Calculation!$H$6:$S$1005,HLOOKUP(S$2,Calculation!$M$4:$S$5,2,FALSE)+5,FALSE),"")</f>
        <v/>
      </c>
      <c r="T392" s="29"/>
      <c r="U392" s="43" t="str">
        <f>IFERROR(VLOOKUP(T392,Calculation!$U$6:$V$11,2,FALSE),"")</f>
        <v/>
      </c>
    </row>
    <row r="393" spans="1:21" ht="14.25" customHeight="1" x14ac:dyDescent="0.3">
      <c r="A393" s="26" t="str">
        <f ca="1">IF(Calculation!T396&lt;=Calculation!$H$4,Calculation!T396,"")</f>
        <v/>
      </c>
      <c r="B393" s="4" t="str">
        <f ca="1">VLOOKUP(A393,Calculation!$E$6:$J$1004,4,FALSE)</f>
        <v/>
      </c>
      <c r="C393" s="4" t="str">
        <f ca="1">VLOOKUP(A393,Calculation!$E$6:$J$1004,5,FALSE)</f>
        <v/>
      </c>
      <c r="D393" s="4" t="str">
        <f ca="1">VLOOKUP(A393,Calculation!$E$6:$J$1004,6,FALSE)</f>
        <v/>
      </c>
      <c r="E393" s="42" t="str">
        <f t="shared" ca="1" si="2"/>
        <v/>
      </c>
      <c r="G393" s="29" t="str">
        <f ca="1">VLOOKUP(A393,Calculation!$F$6:$J$1004,3,FALSE)</f>
        <v/>
      </c>
      <c r="H393" s="4" t="str">
        <f ca="1">VLOOKUP(A393,Calculation!$F$6:$J$1004,4,FALSE)</f>
        <v/>
      </c>
      <c r="I393" s="4" t="str">
        <f ca="1">VLOOKUP(A393,Calculation!$F$6:$J$1004,5,FALSE)</f>
        <v/>
      </c>
      <c r="J393" s="43" t="str">
        <f t="shared" ca="1" si="3"/>
        <v/>
      </c>
      <c r="L393" s="29" t="str">
        <f ca="1">VLOOKUP(A393,Calculation!$G$6:$S$1004,2,FALSE)</f>
        <v/>
      </c>
      <c r="M393" s="4" t="str">
        <f ca="1">IFERROR(VLOOKUP($L393,Calculation!$H$6:$S$1005,HLOOKUP(M$2,Calculation!$M$4:$S$5,2,FALSE)+5,FALSE),"")</f>
        <v/>
      </c>
      <c r="N393" s="4" t="str">
        <f ca="1">IFERROR(VLOOKUP($L393,Calculation!$H$6:$S$1005,HLOOKUP(N$2,Calculation!$M$4:$S$5,2,FALSE)+5,FALSE),"")</f>
        <v/>
      </c>
      <c r="O393" s="4" t="str">
        <f ca="1">IFERROR(VLOOKUP($L393,Calculation!$H$6:$S$1005,HLOOKUP(O$2,Calculation!$M$4:$S$5,2,FALSE)+5,FALSE),"")</f>
        <v/>
      </c>
      <c r="P393" s="4" t="str">
        <f ca="1">IFERROR(VLOOKUP($L393,Calculation!$H$6:$S$1005,HLOOKUP(P$2,Calculation!$M$4:$S$5,2,FALSE)+5,FALSE),"")</f>
        <v/>
      </c>
      <c r="Q393" s="4" t="str">
        <f ca="1">IFERROR(VLOOKUP($L393,Calculation!$H$6:$S$1005,HLOOKUP(Q$2,Calculation!$M$4:$S$5,2,FALSE)+5,FALSE),"")</f>
        <v/>
      </c>
      <c r="R393" s="27" t="str">
        <f ca="1">IFERROR(VLOOKUP($L393,Calculation!$H$6:$S$1005,HLOOKUP(R$2,Calculation!$M$4:$S$5,2,FALSE)+5,FALSE),"")</f>
        <v/>
      </c>
      <c r="S393" s="4" t="str">
        <f ca="1">IFERROR(VLOOKUP($L393,Calculation!$H$6:$S$1005,HLOOKUP(S$2,Calculation!$M$4:$S$5,2,FALSE)+5,FALSE),"")</f>
        <v/>
      </c>
      <c r="T393" s="29"/>
      <c r="U393" s="43" t="str">
        <f>IFERROR(VLOOKUP(T393,Calculation!$U$6:$V$11,2,FALSE),"")</f>
        <v/>
      </c>
    </row>
    <row r="394" spans="1:21" ht="14.25" customHeight="1" x14ac:dyDescent="0.3">
      <c r="A394" s="26" t="str">
        <f ca="1">IF(Calculation!T397&lt;=Calculation!$H$4,Calculation!T397,"")</f>
        <v/>
      </c>
      <c r="B394" s="4" t="str">
        <f ca="1">VLOOKUP(A394,Calculation!$E$6:$J$1004,4,FALSE)</f>
        <v/>
      </c>
      <c r="C394" s="4" t="str">
        <f ca="1">VLOOKUP(A394,Calculation!$E$6:$J$1004,5,FALSE)</f>
        <v/>
      </c>
      <c r="D394" s="4" t="str">
        <f ca="1">VLOOKUP(A394,Calculation!$E$6:$J$1004,6,FALSE)</f>
        <v/>
      </c>
      <c r="E394" s="42" t="str">
        <f t="shared" ca="1" si="2"/>
        <v/>
      </c>
      <c r="G394" s="29" t="str">
        <f ca="1">VLOOKUP(A394,Calculation!$F$6:$J$1004,3,FALSE)</f>
        <v/>
      </c>
      <c r="H394" s="4" t="str">
        <f ca="1">VLOOKUP(A394,Calculation!$F$6:$J$1004,4,FALSE)</f>
        <v/>
      </c>
      <c r="I394" s="4" t="str">
        <f ca="1">VLOOKUP(A394,Calculation!$F$6:$J$1004,5,FALSE)</f>
        <v/>
      </c>
      <c r="J394" s="43" t="str">
        <f t="shared" ca="1" si="3"/>
        <v/>
      </c>
      <c r="L394" s="29" t="str">
        <f ca="1">VLOOKUP(A394,Calculation!$G$6:$S$1004,2,FALSE)</f>
        <v/>
      </c>
      <c r="M394" s="4" t="str">
        <f ca="1">IFERROR(VLOOKUP($L394,Calculation!$H$6:$S$1005,HLOOKUP(M$2,Calculation!$M$4:$S$5,2,FALSE)+5,FALSE),"")</f>
        <v/>
      </c>
      <c r="N394" s="4" t="str">
        <f ca="1">IFERROR(VLOOKUP($L394,Calculation!$H$6:$S$1005,HLOOKUP(N$2,Calculation!$M$4:$S$5,2,FALSE)+5,FALSE),"")</f>
        <v/>
      </c>
      <c r="O394" s="4" t="str">
        <f ca="1">IFERROR(VLOOKUP($L394,Calculation!$H$6:$S$1005,HLOOKUP(O$2,Calculation!$M$4:$S$5,2,FALSE)+5,FALSE),"")</f>
        <v/>
      </c>
      <c r="P394" s="4" t="str">
        <f ca="1">IFERROR(VLOOKUP($L394,Calculation!$H$6:$S$1005,HLOOKUP(P$2,Calculation!$M$4:$S$5,2,FALSE)+5,FALSE),"")</f>
        <v/>
      </c>
      <c r="Q394" s="4" t="str">
        <f ca="1">IFERROR(VLOOKUP($L394,Calculation!$H$6:$S$1005,HLOOKUP(Q$2,Calculation!$M$4:$S$5,2,FALSE)+5,FALSE),"")</f>
        <v/>
      </c>
      <c r="R394" s="27" t="str">
        <f ca="1">IFERROR(VLOOKUP($L394,Calculation!$H$6:$S$1005,HLOOKUP(R$2,Calculation!$M$4:$S$5,2,FALSE)+5,FALSE),"")</f>
        <v/>
      </c>
      <c r="S394" s="4" t="str">
        <f ca="1">IFERROR(VLOOKUP($L394,Calculation!$H$6:$S$1005,HLOOKUP(S$2,Calculation!$M$4:$S$5,2,FALSE)+5,FALSE),"")</f>
        <v/>
      </c>
      <c r="T394" s="29"/>
      <c r="U394" s="43" t="str">
        <f>IFERROR(VLOOKUP(T394,Calculation!$U$6:$V$11,2,FALSE),"")</f>
        <v/>
      </c>
    </row>
    <row r="395" spans="1:21" ht="14.25" customHeight="1" x14ac:dyDescent="0.3">
      <c r="A395" s="26" t="str">
        <f ca="1">IF(Calculation!T398&lt;=Calculation!$H$4,Calculation!T398,"")</f>
        <v/>
      </c>
      <c r="B395" s="4" t="str">
        <f ca="1">VLOOKUP(A395,Calculation!$E$6:$J$1004,4,FALSE)</f>
        <v/>
      </c>
      <c r="C395" s="4" t="str">
        <f ca="1">VLOOKUP(A395,Calculation!$E$6:$J$1004,5,FALSE)</f>
        <v/>
      </c>
      <c r="D395" s="4" t="str">
        <f ca="1">VLOOKUP(A395,Calculation!$E$6:$J$1004,6,FALSE)</f>
        <v/>
      </c>
      <c r="E395" s="42" t="str">
        <f t="shared" ca="1" si="2"/>
        <v/>
      </c>
      <c r="G395" s="29" t="str">
        <f ca="1">VLOOKUP(A395,Calculation!$F$6:$J$1004,3,FALSE)</f>
        <v/>
      </c>
      <c r="H395" s="4" t="str">
        <f ca="1">VLOOKUP(A395,Calculation!$F$6:$J$1004,4,FALSE)</f>
        <v/>
      </c>
      <c r="I395" s="4" t="str">
        <f ca="1">VLOOKUP(A395,Calculation!$F$6:$J$1004,5,FALSE)</f>
        <v/>
      </c>
      <c r="J395" s="43" t="str">
        <f t="shared" ca="1" si="3"/>
        <v/>
      </c>
      <c r="L395" s="29" t="str">
        <f ca="1">VLOOKUP(A395,Calculation!$G$6:$S$1004,2,FALSE)</f>
        <v/>
      </c>
      <c r="M395" s="4" t="str">
        <f ca="1">IFERROR(VLOOKUP($L395,Calculation!$H$6:$S$1005,HLOOKUP(M$2,Calculation!$M$4:$S$5,2,FALSE)+5,FALSE),"")</f>
        <v/>
      </c>
      <c r="N395" s="4" t="str">
        <f ca="1">IFERROR(VLOOKUP($L395,Calculation!$H$6:$S$1005,HLOOKUP(N$2,Calculation!$M$4:$S$5,2,FALSE)+5,FALSE),"")</f>
        <v/>
      </c>
      <c r="O395" s="4" t="str">
        <f ca="1">IFERROR(VLOOKUP($L395,Calculation!$H$6:$S$1005,HLOOKUP(O$2,Calculation!$M$4:$S$5,2,FALSE)+5,FALSE),"")</f>
        <v/>
      </c>
      <c r="P395" s="4" t="str">
        <f ca="1">IFERROR(VLOOKUP($L395,Calculation!$H$6:$S$1005,HLOOKUP(P$2,Calculation!$M$4:$S$5,2,FALSE)+5,FALSE),"")</f>
        <v/>
      </c>
      <c r="Q395" s="4" t="str">
        <f ca="1">IFERROR(VLOOKUP($L395,Calculation!$H$6:$S$1005,HLOOKUP(Q$2,Calculation!$M$4:$S$5,2,FALSE)+5,FALSE),"")</f>
        <v/>
      </c>
      <c r="R395" s="27" t="str">
        <f ca="1">IFERROR(VLOOKUP($L395,Calculation!$H$6:$S$1005,HLOOKUP(R$2,Calculation!$M$4:$S$5,2,FALSE)+5,FALSE),"")</f>
        <v/>
      </c>
      <c r="S395" s="4" t="str">
        <f ca="1">IFERROR(VLOOKUP($L395,Calculation!$H$6:$S$1005,HLOOKUP(S$2,Calculation!$M$4:$S$5,2,FALSE)+5,FALSE),"")</f>
        <v/>
      </c>
      <c r="T395" s="29"/>
      <c r="U395" s="43" t="str">
        <f>IFERROR(VLOOKUP(T395,Calculation!$U$6:$V$11,2,FALSE),"")</f>
        <v/>
      </c>
    </row>
    <row r="396" spans="1:21" ht="14.25" customHeight="1" x14ac:dyDescent="0.3">
      <c r="A396" s="26" t="str">
        <f ca="1">IF(Calculation!T399&lt;=Calculation!$H$4,Calculation!T399,"")</f>
        <v/>
      </c>
      <c r="B396" s="4" t="str">
        <f ca="1">VLOOKUP(A396,Calculation!$E$6:$J$1004,4,FALSE)</f>
        <v/>
      </c>
      <c r="C396" s="4" t="str">
        <f ca="1">VLOOKUP(A396,Calculation!$E$6:$J$1004,5,FALSE)</f>
        <v/>
      </c>
      <c r="D396" s="4" t="str">
        <f ca="1">VLOOKUP(A396,Calculation!$E$6:$J$1004,6,FALSE)</f>
        <v/>
      </c>
      <c r="E396" s="42" t="str">
        <f t="shared" ca="1" si="2"/>
        <v/>
      </c>
      <c r="G396" s="29" t="str">
        <f ca="1">VLOOKUP(A396,Calculation!$F$6:$J$1004,3,FALSE)</f>
        <v/>
      </c>
      <c r="H396" s="4" t="str">
        <f ca="1">VLOOKUP(A396,Calculation!$F$6:$J$1004,4,FALSE)</f>
        <v/>
      </c>
      <c r="I396" s="4" t="str">
        <f ca="1">VLOOKUP(A396,Calculation!$F$6:$J$1004,5,FALSE)</f>
        <v/>
      </c>
      <c r="J396" s="43" t="str">
        <f t="shared" ca="1" si="3"/>
        <v/>
      </c>
      <c r="L396" s="29" t="str">
        <f ca="1">VLOOKUP(A396,Calculation!$G$6:$S$1004,2,FALSE)</f>
        <v/>
      </c>
      <c r="M396" s="4" t="str">
        <f ca="1">IFERROR(VLOOKUP($L396,Calculation!$H$6:$S$1005,HLOOKUP(M$2,Calculation!$M$4:$S$5,2,FALSE)+5,FALSE),"")</f>
        <v/>
      </c>
      <c r="N396" s="4" t="str">
        <f ca="1">IFERROR(VLOOKUP($L396,Calculation!$H$6:$S$1005,HLOOKUP(N$2,Calculation!$M$4:$S$5,2,FALSE)+5,FALSE),"")</f>
        <v/>
      </c>
      <c r="O396" s="4" t="str">
        <f ca="1">IFERROR(VLOOKUP($L396,Calculation!$H$6:$S$1005,HLOOKUP(O$2,Calculation!$M$4:$S$5,2,FALSE)+5,FALSE),"")</f>
        <v/>
      </c>
      <c r="P396" s="4" t="str">
        <f ca="1">IFERROR(VLOOKUP($L396,Calculation!$H$6:$S$1005,HLOOKUP(P$2,Calculation!$M$4:$S$5,2,FALSE)+5,FALSE),"")</f>
        <v/>
      </c>
      <c r="Q396" s="4" t="str">
        <f ca="1">IFERROR(VLOOKUP($L396,Calculation!$H$6:$S$1005,HLOOKUP(Q$2,Calculation!$M$4:$S$5,2,FALSE)+5,FALSE),"")</f>
        <v/>
      </c>
      <c r="R396" s="27" t="str">
        <f ca="1">IFERROR(VLOOKUP($L396,Calculation!$H$6:$S$1005,HLOOKUP(R$2,Calculation!$M$4:$S$5,2,FALSE)+5,FALSE),"")</f>
        <v/>
      </c>
      <c r="S396" s="4" t="str">
        <f ca="1">IFERROR(VLOOKUP($L396,Calculation!$H$6:$S$1005,HLOOKUP(S$2,Calculation!$M$4:$S$5,2,FALSE)+5,FALSE),"")</f>
        <v/>
      </c>
      <c r="T396" s="29"/>
      <c r="U396" s="43" t="str">
        <f>IFERROR(VLOOKUP(T396,Calculation!$U$6:$V$11,2,FALSE),"")</f>
        <v/>
      </c>
    </row>
    <row r="397" spans="1:21" ht="14.25" customHeight="1" x14ac:dyDescent="0.3">
      <c r="A397" s="26" t="str">
        <f ca="1">IF(Calculation!T400&lt;=Calculation!$H$4,Calculation!T400,"")</f>
        <v/>
      </c>
      <c r="B397" s="4" t="str">
        <f ca="1">VLOOKUP(A397,Calculation!$E$6:$J$1004,4,FALSE)</f>
        <v/>
      </c>
      <c r="C397" s="4" t="str">
        <f ca="1">VLOOKUP(A397,Calculation!$E$6:$J$1004,5,FALSE)</f>
        <v/>
      </c>
      <c r="D397" s="4" t="str">
        <f ca="1">VLOOKUP(A397,Calculation!$E$6:$J$1004,6,FALSE)</f>
        <v/>
      </c>
      <c r="E397" s="42" t="str">
        <f t="shared" ca="1" si="2"/>
        <v/>
      </c>
      <c r="G397" s="29" t="str">
        <f ca="1">VLOOKUP(A397,Calculation!$F$6:$J$1004,3,FALSE)</f>
        <v/>
      </c>
      <c r="H397" s="4" t="str">
        <f ca="1">VLOOKUP(A397,Calculation!$F$6:$J$1004,4,FALSE)</f>
        <v/>
      </c>
      <c r="I397" s="4" t="str">
        <f ca="1">VLOOKUP(A397,Calculation!$F$6:$J$1004,5,FALSE)</f>
        <v/>
      </c>
      <c r="J397" s="43" t="str">
        <f t="shared" ca="1" si="3"/>
        <v/>
      </c>
      <c r="L397" s="29" t="str">
        <f ca="1">VLOOKUP(A397,Calculation!$G$6:$S$1004,2,FALSE)</f>
        <v/>
      </c>
      <c r="M397" s="4" t="str">
        <f ca="1">IFERROR(VLOOKUP($L397,Calculation!$H$6:$S$1005,HLOOKUP(M$2,Calculation!$M$4:$S$5,2,FALSE)+5,FALSE),"")</f>
        <v/>
      </c>
      <c r="N397" s="4" t="str">
        <f ca="1">IFERROR(VLOOKUP($L397,Calculation!$H$6:$S$1005,HLOOKUP(N$2,Calculation!$M$4:$S$5,2,FALSE)+5,FALSE),"")</f>
        <v/>
      </c>
      <c r="O397" s="4" t="str">
        <f ca="1">IFERROR(VLOOKUP($L397,Calculation!$H$6:$S$1005,HLOOKUP(O$2,Calculation!$M$4:$S$5,2,FALSE)+5,FALSE),"")</f>
        <v/>
      </c>
      <c r="P397" s="4" t="str">
        <f ca="1">IFERROR(VLOOKUP($L397,Calculation!$H$6:$S$1005,HLOOKUP(P$2,Calculation!$M$4:$S$5,2,FALSE)+5,FALSE),"")</f>
        <v/>
      </c>
      <c r="Q397" s="4" t="str">
        <f ca="1">IFERROR(VLOOKUP($L397,Calculation!$H$6:$S$1005,HLOOKUP(Q$2,Calculation!$M$4:$S$5,2,FALSE)+5,FALSE),"")</f>
        <v/>
      </c>
      <c r="R397" s="27" t="str">
        <f ca="1">IFERROR(VLOOKUP($L397,Calculation!$H$6:$S$1005,HLOOKUP(R$2,Calculation!$M$4:$S$5,2,FALSE)+5,FALSE),"")</f>
        <v/>
      </c>
      <c r="S397" s="4" t="str">
        <f ca="1">IFERROR(VLOOKUP($L397,Calculation!$H$6:$S$1005,HLOOKUP(S$2,Calculation!$M$4:$S$5,2,FALSE)+5,FALSE),"")</f>
        <v/>
      </c>
      <c r="T397" s="29"/>
      <c r="U397" s="43" t="str">
        <f>IFERROR(VLOOKUP(T397,Calculation!$U$6:$V$11,2,FALSE),"")</f>
        <v/>
      </c>
    </row>
    <row r="398" spans="1:21" ht="14.25" customHeight="1" x14ac:dyDescent="0.3">
      <c r="A398" s="26" t="str">
        <f ca="1">IF(Calculation!T401&lt;=Calculation!$H$4,Calculation!T401,"")</f>
        <v/>
      </c>
      <c r="B398" s="4" t="str">
        <f ca="1">VLOOKUP(A398,Calculation!$E$6:$J$1004,4,FALSE)</f>
        <v/>
      </c>
      <c r="C398" s="4" t="str">
        <f ca="1">VLOOKUP(A398,Calculation!$E$6:$J$1004,5,FALSE)</f>
        <v/>
      </c>
      <c r="D398" s="4" t="str">
        <f ca="1">VLOOKUP(A398,Calculation!$E$6:$J$1004,6,FALSE)</f>
        <v/>
      </c>
      <c r="E398" s="42" t="str">
        <f t="shared" ca="1" si="2"/>
        <v/>
      </c>
      <c r="G398" s="29" t="str">
        <f ca="1">VLOOKUP(A398,Calculation!$F$6:$J$1004,3,FALSE)</f>
        <v/>
      </c>
      <c r="H398" s="4" t="str">
        <f ca="1">VLOOKUP(A398,Calculation!$F$6:$J$1004,4,FALSE)</f>
        <v/>
      </c>
      <c r="I398" s="4" t="str">
        <f ca="1">VLOOKUP(A398,Calculation!$F$6:$J$1004,5,FALSE)</f>
        <v/>
      </c>
      <c r="J398" s="43" t="str">
        <f t="shared" ca="1" si="3"/>
        <v/>
      </c>
      <c r="L398" s="29" t="str">
        <f ca="1">VLOOKUP(A398,Calculation!$G$6:$S$1004,2,FALSE)</f>
        <v/>
      </c>
      <c r="M398" s="4" t="str">
        <f ca="1">IFERROR(VLOOKUP($L398,Calculation!$H$6:$S$1005,HLOOKUP(M$2,Calculation!$M$4:$S$5,2,FALSE)+5,FALSE),"")</f>
        <v/>
      </c>
      <c r="N398" s="4" t="str">
        <f ca="1">IFERROR(VLOOKUP($L398,Calculation!$H$6:$S$1005,HLOOKUP(N$2,Calculation!$M$4:$S$5,2,FALSE)+5,FALSE),"")</f>
        <v/>
      </c>
      <c r="O398" s="4" t="str">
        <f ca="1">IFERROR(VLOOKUP($L398,Calculation!$H$6:$S$1005,HLOOKUP(O$2,Calculation!$M$4:$S$5,2,FALSE)+5,FALSE),"")</f>
        <v/>
      </c>
      <c r="P398" s="4" t="str">
        <f ca="1">IFERROR(VLOOKUP($L398,Calculation!$H$6:$S$1005,HLOOKUP(P$2,Calculation!$M$4:$S$5,2,FALSE)+5,FALSE),"")</f>
        <v/>
      </c>
      <c r="Q398" s="4" t="str">
        <f ca="1">IFERROR(VLOOKUP($L398,Calculation!$H$6:$S$1005,HLOOKUP(Q$2,Calculation!$M$4:$S$5,2,FALSE)+5,FALSE),"")</f>
        <v/>
      </c>
      <c r="R398" s="27" t="str">
        <f ca="1">IFERROR(VLOOKUP($L398,Calculation!$H$6:$S$1005,HLOOKUP(R$2,Calculation!$M$4:$S$5,2,FALSE)+5,FALSE),"")</f>
        <v/>
      </c>
      <c r="S398" s="4" t="str">
        <f ca="1">IFERROR(VLOOKUP($L398,Calculation!$H$6:$S$1005,HLOOKUP(S$2,Calculation!$M$4:$S$5,2,FALSE)+5,FALSE),"")</f>
        <v/>
      </c>
      <c r="T398" s="29"/>
      <c r="U398" s="43" t="str">
        <f>IFERROR(VLOOKUP(T398,Calculation!$U$6:$V$11,2,FALSE),"")</f>
        <v/>
      </c>
    </row>
    <row r="399" spans="1:21" ht="14.25" customHeight="1" x14ac:dyDescent="0.3">
      <c r="A399" s="26" t="str">
        <f ca="1">IF(Calculation!T402&lt;=Calculation!$H$4,Calculation!T402,"")</f>
        <v/>
      </c>
      <c r="B399" s="4" t="str">
        <f ca="1">VLOOKUP(A399,Calculation!$E$6:$J$1004,4,FALSE)</f>
        <v/>
      </c>
      <c r="C399" s="4" t="str">
        <f ca="1">VLOOKUP(A399,Calculation!$E$6:$J$1004,5,FALSE)</f>
        <v/>
      </c>
      <c r="D399" s="4" t="str">
        <f ca="1">VLOOKUP(A399,Calculation!$E$6:$J$1004,6,FALSE)</f>
        <v/>
      </c>
      <c r="E399" s="42" t="str">
        <f t="shared" ca="1" si="2"/>
        <v/>
      </c>
      <c r="G399" s="29" t="str">
        <f ca="1">VLOOKUP(A399,Calculation!$F$6:$J$1004,3,FALSE)</f>
        <v/>
      </c>
      <c r="H399" s="4" t="str">
        <f ca="1">VLOOKUP(A399,Calculation!$F$6:$J$1004,4,FALSE)</f>
        <v/>
      </c>
      <c r="I399" s="4" t="str">
        <f ca="1">VLOOKUP(A399,Calculation!$F$6:$J$1004,5,FALSE)</f>
        <v/>
      </c>
      <c r="J399" s="43" t="str">
        <f t="shared" ca="1" si="3"/>
        <v/>
      </c>
      <c r="L399" s="29" t="str">
        <f ca="1">VLOOKUP(A399,Calculation!$G$6:$S$1004,2,FALSE)</f>
        <v/>
      </c>
      <c r="M399" s="4" t="str">
        <f ca="1">IFERROR(VLOOKUP($L399,Calculation!$H$6:$S$1005,HLOOKUP(M$2,Calculation!$M$4:$S$5,2,FALSE)+5,FALSE),"")</f>
        <v/>
      </c>
      <c r="N399" s="4" t="str">
        <f ca="1">IFERROR(VLOOKUP($L399,Calculation!$H$6:$S$1005,HLOOKUP(N$2,Calculation!$M$4:$S$5,2,FALSE)+5,FALSE),"")</f>
        <v/>
      </c>
      <c r="O399" s="4" t="str">
        <f ca="1">IFERROR(VLOOKUP($L399,Calculation!$H$6:$S$1005,HLOOKUP(O$2,Calculation!$M$4:$S$5,2,FALSE)+5,FALSE),"")</f>
        <v/>
      </c>
      <c r="P399" s="4" t="str">
        <f ca="1">IFERROR(VLOOKUP($L399,Calculation!$H$6:$S$1005,HLOOKUP(P$2,Calculation!$M$4:$S$5,2,FALSE)+5,FALSE),"")</f>
        <v/>
      </c>
      <c r="Q399" s="4" t="str">
        <f ca="1">IFERROR(VLOOKUP($L399,Calculation!$H$6:$S$1005,HLOOKUP(Q$2,Calculation!$M$4:$S$5,2,FALSE)+5,FALSE),"")</f>
        <v/>
      </c>
      <c r="R399" s="27" t="str">
        <f ca="1">IFERROR(VLOOKUP($L399,Calculation!$H$6:$S$1005,HLOOKUP(R$2,Calculation!$M$4:$S$5,2,FALSE)+5,FALSE),"")</f>
        <v/>
      </c>
      <c r="S399" s="4" t="str">
        <f ca="1">IFERROR(VLOOKUP($L399,Calculation!$H$6:$S$1005,HLOOKUP(S$2,Calculation!$M$4:$S$5,2,FALSE)+5,FALSE),"")</f>
        <v/>
      </c>
      <c r="T399" s="29"/>
      <c r="U399" s="43" t="str">
        <f>IFERROR(VLOOKUP(T399,Calculation!$U$6:$V$11,2,FALSE),"")</f>
        <v/>
      </c>
    </row>
    <row r="400" spans="1:21" ht="14.25" customHeight="1" x14ac:dyDescent="0.3">
      <c r="A400" s="26" t="str">
        <f ca="1">IF(Calculation!T403&lt;=Calculation!$H$4,Calculation!T403,"")</f>
        <v/>
      </c>
      <c r="B400" s="4" t="str">
        <f ca="1">VLOOKUP(A400,Calculation!$E$6:$J$1004,4,FALSE)</f>
        <v/>
      </c>
      <c r="C400" s="4" t="str">
        <f ca="1">VLOOKUP(A400,Calculation!$E$6:$J$1004,5,FALSE)</f>
        <v/>
      </c>
      <c r="D400" s="4" t="str">
        <f ca="1">VLOOKUP(A400,Calculation!$E$6:$J$1004,6,FALSE)</f>
        <v/>
      </c>
      <c r="E400" s="42" t="str">
        <f t="shared" ca="1" si="2"/>
        <v/>
      </c>
      <c r="G400" s="29" t="str">
        <f ca="1">VLOOKUP(A400,Calculation!$F$6:$J$1004,3,FALSE)</f>
        <v/>
      </c>
      <c r="H400" s="4" t="str">
        <f ca="1">VLOOKUP(A400,Calculation!$F$6:$J$1004,4,FALSE)</f>
        <v/>
      </c>
      <c r="I400" s="4" t="str">
        <f ca="1">VLOOKUP(A400,Calculation!$F$6:$J$1004,5,FALSE)</f>
        <v/>
      </c>
      <c r="J400" s="43" t="str">
        <f t="shared" ca="1" si="3"/>
        <v/>
      </c>
      <c r="L400" s="29" t="str">
        <f ca="1">VLOOKUP(A400,Calculation!$G$6:$S$1004,2,FALSE)</f>
        <v/>
      </c>
      <c r="M400" s="4" t="str">
        <f ca="1">IFERROR(VLOOKUP($L400,Calculation!$H$6:$S$1005,HLOOKUP(M$2,Calculation!$M$4:$S$5,2,FALSE)+5,FALSE),"")</f>
        <v/>
      </c>
      <c r="N400" s="4" t="str">
        <f ca="1">IFERROR(VLOOKUP($L400,Calculation!$H$6:$S$1005,HLOOKUP(N$2,Calculation!$M$4:$S$5,2,FALSE)+5,FALSE),"")</f>
        <v/>
      </c>
      <c r="O400" s="4" t="str">
        <f ca="1">IFERROR(VLOOKUP($L400,Calculation!$H$6:$S$1005,HLOOKUP(O$2,Calculation!$M$4:$S$5,2,FALSE)+5,FALSE),"")</f>
        <v/>
      </c>
      <c r="P400" s="4" t="str">
        <f ca="1">IFERROR(VLOOKUP($L400,Calculation!$H$6:$S$1005,HLOOKUP(P$2,Calculation!$M$4:$S$5,2,FALSE)+5,FALSE),"")</f>
        <v/>
      </c>
      <c r="Q400" s="4" t="str">
        <f ca="1">IFERROR(VLOOKUP($L400,Calculation!$H$6:$S$1005,HLOOKUP(Q$2,Calculation!$M$4:$S$5,2,FALSE)+5,FALSE),"")</f>
        <v/>
      </c>
      <c r="R400" s="27" t="str">
        <f ca="1">IFERROR(VLOOKUP($L400,Calculation!$H$6:$S$1005,HLOOKUP(R$2,Calculation!$M$4:$S$5,2,FALSE)+5,FALSE),"")</f>
        <v/>
      </c>
      <c r="S400" s="4" t="str">
        <f ca="1">IFERROR(VLOOKUP($L400,Calculation!$H$6:$S$1005,HLOOKUP(S$2,Calculation!$M$4:$S$5,2,FALSE)+5,FALSE),"")</f>
        <v/>
      </c>
      <c r="T400" s="29"/>
      <c r="U400" s="43" t="str">
        <f>IFERROR(VLOOKUP(T400,Calculation!$U$6:$V$11,2,FALSE),"")</f>
        <v/>
      </c>
    </row>
    <row r="401" spans="1:21" ht="14.25" customHeight="1" x14ac:dyDescent="0.3">
      <c r="A401" s="26" t="str">
        <f ca="1">IF(Calculation!T404&lt;=Calculation!$H$4,Calculation!T404,"")</f>
        <v/>
      </c>
      <c r="B401" s="4" t="str">
        <f ca="1">VLOOKUP(A401,Calculation!$E$6:$J$1004,4,FALSE)</f>
        <v/>
      </c>
      <c r="C401" s="4" t="str">
        <f ca="1">VLOOKUP(A401,Calculation!$E$6:$J$1004,5,FALSE)</f>
        <v/>
      </c>
      <c r="D401" s="4" t="str">
        <f ca="1">VLOOKUP(A401,Calculation!$E$6:$J$1004,6,FALSE)</f>
        <v/>
      </c>
      <c r="E401" s="42" t="str">
        <f t="shared" ca="1" si="2"/>
        <v/>
      </c>
      <c r="G401" s="29" t="str">
        <f ca="1">VLOOKUP(A401,Calculation!$F$6:$J$1004,3,FALSE)</f>
        <v/>
      </c>
      <c r="H401" s="4" t="str">
        <f ca="1">VLOOKUP(A401,Calculation!$F$6:$J$1004,4,FALSE)</f>
        <v/>
      </c>
      <c r="I401" s="4" t="str">
        <f ca="1">VLOOKUP(A401,Calculation!$F$6:$J$1004,5,FALSE)</f>
        <v/>
      </c>
      <c r="J401" s="43" t="str">
        <f t="shared" ca="1" si="3"/>
        <v/>
      </c>
      <c r="L401" s="29" t="str">
        <f ca="1">VLOOKUP(A401,Calculation!$G$6:$S$1004,2,FALSE)</f>
        <v/>
      </c>
      <c r="M401" s="4" t="str">
        <f ca="1">IFERROR(VLOOKUP($L401,Calculation!$H$6:$S$1005,HLOOKUP(M$2,Calculation!$M$4:$S$5,2,FALSE)+5,FALSE),"")</f>
        <v/>
      </c>
      <c r="N401" s="4" t="str">
        <f ca="1">IFERROR(VLOOKUP($L401,Calculation!$H$6:$S$1005,HLOOKUP(N$2,Calculation!$M$4:$S$5,2,FALSE)+5,FALSE),"")</f>
        <v/>
      </c>
      <c r="O401" s="4" t="str">
        <f ca="1">IFERROR(VLOOKUP($L401,Calculation!$H$6:$S$1005,HLOOKUP(O$2,Calculation!$M$4:$S$5,2,FALSE)+5,FALSE),"")</f>
        <v/>
      </c>
      <c r="P401" s="4" t="str">
        <f ca="1">IFERROR(VLOOKUP($L401,Calculation!$H$6:$S$1005,HLOOKUP(P$2,Calculation!$M$4:$S$5,2,FALSE)+5,FALSE),"")</f>
        <v/>
      </c>
      <c r="Q401" s="4" t="str">
        <f ca="1">IFERROR(VLOOKUP($L401,Calculation!$H$6:$S$1005,HLOOKUP(Q$2,Calculation!$M$4:$S$5,2,FALSE)+5,FALSE),"")</f>
        <v/>
      </c>
      <c r="R401" s="27" t="str">
        <f ca="1">IFERROR(VLOOKUP($L401,Calculation!$H$6:$S$1005,HLOOKUP(R$2,Calculation!$M$4:$S$5,2,FALSE)+5,FALSE),"")</f>
        <v/>
      </c>
      <c r="S401" s="4" t="str">
        <f ca="1">IFERROR(VLOOKUP($L401,Calculation!$H$6:$S$1005,HLOOKUP(S$2,Calculation!$M$4:$S$5,2,FALSE)+5,FALSE),"")</f>
        <v/>
      </c>
      <c r="T401" s="29"/>
      <c r="U401" s="43" t="str">
        <f>IFERROR(VLOOKUP(T401,Calculation!$U$6:$V$11,2,FALSE),"")</f>
        <v/>
      </c>
    </row>
    <row r="402" spans="1:21" ht="14.25" customHeight="1" x14ac:dyDescent="0.3">
      <c r="A402" s="26" t="str">
        <f ca="1">IF(Calculation!T405&lt;=Calculation!$H$4,Calculation!T405,"")</f>
        <v/>
      </c>
      <c r="B402" s="4" t="str">
        <f ca="1">VLOOKUP(A402,Calculation!$E$6:$J$1004,4,FALSE)</f>
        <v/>
      </c>
      <c r="C402" s="4" t="str">
        <f ca="1">VLOOKUP(A402,Calculation!$E$6:$J$1004,5,FALSE)</f>
        <v/>
      </c>
      <c r="D402" s="4" t="str">
        <f ca="1">VLOOKUP(A402,Calculation!$E$6:$J$1004,6,FALSE)</f>
        <v/>
      </c>
      <c r="E402" s="42" t="str">
        <f t="shared" ca="1" si="2"/>
        <v/>
      </c>
      <c r="G402" s="29" t="str">
        <f ca="1">VLOOKUP(A402,Calculation!$F$6:$J$1004,3,FALSE)</f>
        <v/>
      </c>
      <c r="H402" s="4" t="str">
        <f ca="1">VLOOKUP(A402,Calculation!$F$6:$J$1004,4,FALSE)</f>
        <v/>
      </c>
      <c r="I402" s="4" t="str">
        <f ca="1">VLOOKUP(A402,Calculation!$F$6:$J$1004,5,FALSE)</f>
        <v/>
      </c>
      <c r="J402" s="43" t="str">
        <f t="shared" ca="1" si="3"/>
        <v/>
      </c>
      <c r="L402" s="29" t="str">
        <f ca="1">VLOOKUP(A402,Calculation!$G$6:$S$1004,2,FALSE)</f>
        <v/>
      </c>
      <c r="M402" s="4" t="str">
        <f ca="1">IFERROR(VLOOKUP($L402,Calculation!$H$6:$S$1005,HLOOKUP(M$2,Calculation!$M$4:$S$5,2,FALSE)+5,FALSE),"")</f>
        <v/>
      </c>
      <c r="N402" s="4" t="str">
        <f ca="1">IFERROR(VLOOKUP($L402,Calculation!$H$6:$S$1005,HLOOKUP(N$2,Calculation!$M$4:$S$5,2,FALSE)+5,FALSE),"")</f>
        <v/>
      </c>
      <c r="O402" s="4" t="str">
        <f ca="1">IFERROR(VLOOKUP($L402,Calculation!$H$6:$S$1005,HLOOKUP(O$2,Calculation!$M$4:$S$5,2,FALSE)+5,FALSE),"")</f>
        <v/>
      </c>
      <c r="P402" s="4" t="str">
        <f ca="1">IFERROR(VLOOKUP($L402,Calculation!$H$6:$S$1005,HLOOKUP(P$2,Calculation!$M$4:$S$5,2,FALSE)+5,FALSE),"")</f>
        <v/>
      </c>
      <c r="Q402" s="4" t="str">
        <f ca="1">IFERROR(VLOOKUP($L402,Calculation!$H$6:$S$1005,HLOOKUP(Q$2,Calculation!$M$4:$S$5,2,FALSE)+5,FALSE),"")</f>
        <v/>
      </c>
      <c r="R402" s="27" t="str">
        <f ca="1">IFERROR(VLOOKUP($L402,Calculation!$H$6:$S$1005,HLOOKUP(R$2,Calculation!$M$4:$S$5,2,FALSE)+5,FALSE),"")</f>
        <v/>
      </c>
      <c r="S402" s="4" t="str">
        <f ca="1">IFERROR(VLOOKUP($L402,Calculation!$H$6:$S$1005,HLOOKUP(S$2,Calculation!$M$4:$S$5,2,FALSE)+5,FALSE),"")</f>
        <v/>
      </c>
      <c r="T402" s="29"/>
      <c r="U402" s="43" t="str">
        <f>IFERROR(VLOOKUP(T402,Calculation!$U$6:$V$11,2,FALSE),"")</f>
        <v/>
      </c>
    </row>
    <row r="403" spans="1:21" ht="14.25" customHeight="1" x14ac:dyDescent="0.3">
      <c r="A403" s="26" t="str">
        <f ca="1">IF(Calculation!T406&lt;=Calculation!$H$4,Calculation!T406,"")</f>
        <v/>
      </c>
      <c r="B403" s="4" t="str">
        <f ca="1">VLOOKUP(A403,Calculation!$E$6:$J$1004,4,FALSE)</f>
        <v/>
      </c>
      <c r="C403" s="4" t="str">
        <f ca="1">VLOOKUP(A403,Calculation!$E$6:$J$1004,5,FALSE)</f>
        <v/>
      </c>
      <c r="D403" s="4" t="str">
        <f ca="1">VLOOKUP(A403,Calculation!$E$6:$J$1004,6,FALSE)</f>
        <v/>
      </c>
      <c r="E403" s="42" t="str">
        <f t="shared" ca="1" si="2"/>
        <v/>
      </c>
      <c r="G403" s="29" t="str">
        <f ca="1">VLOOKUP(A403,Calculation!$F$6:$J$1004,3,FALSE)</f>
        <v/>
      </c>
      <c r="H403" s="4" t="str">
        <f ca="1">VLOOKUP(A403,Calculation!$F$6:$J$1004,4,FALSE)</f>
        <v/>
      </c>
      <c r="I403" s="4" t="str">
        <f ca="1">VLOOKUP(A403,Calculation!$F$6:$J$1004,5,FALSE)</f>
        <v/>
      </c>
      <c r="J403" s="43" t="str">
        <f t="shared" ca="1" si="3"/>
        <v/>
      </c>
      <c r="L403" s="29" t="str">
        <f ca="1">VLOOKUP(A403,Calculation!$G$6:$S$1004,2,FALSE)</f>
        <v/>
      </c>
      <c r="M403" s="4" t="str">
        <f ca="1">IFERROR(VLOOKUP($L403,Calculation!$H$6:$S$1005,HLOOKUP(M$2,Calculation!$M$4:$S$5,2,FALSE)+5,FALSE),"")</f>
        <v/>
      </c>
      <c r="N403" s="4" t="str">
        <f ca="1">IFERROR(VLOOKUP($L403,Calculation!$H$6:$S$1005,HLOOKUP(N$2,Calculation!$M$4:$S$5,2,FALSE)+5,FALSE),"")</f>
        <v/>
      </c>
      <c r="O403" s="4" t="str">
        <f ca="1">IFERROR(VLOOKUP($L403,Calculation!$H$6:$S$1005,HLOOKUP(O$2,Calculation!$M$4:$S$5,2,FALSE)+5,FALSE),"")</f>
        <v/>
      </c>
      <c r="P403" s="4" t="str">
        <f ca="1">IFERROR(VLOOKUP($L403,Calculation!$H$6:$S$1005,HLOOKUP(P$2,Calculation!$M$4:$S$5,2,FALSE)+5,FALSE),"")</f>
        <v/>
      </c>
      <c r="Q403" s="4" t="str">
        <f ca="1">IFERROR(VLOOKUP($L403,Calculation!$H$6:$S$1005,HLOOKUP(Q$2,Calculation!$M$4:$S$5,2,FALSE)+5,FALSE),"")</f>
        <v/>
      </c>
      <c r="R403" s="27" t="str">
        <f ca="1">IFERROR(VLOOKUP($L403,Calculation!$H$6:$S$1005,HLOOKUP(R$2,Calculation!$M$4:$S$5,2,FALSE)+5,FALSE),"")</f>
        <v/>
      </c>
      <c r="S403" s="4" t="str">
        <f ca="1">IFERROR(VLOOKUP($L403,Calculation!$H$6:$S$1005,HLOOKUP(S$2,Calculation!$M$4:$S$5,2,FALSE)+5,FALSE),"")</f>
        <v/>
      </c>
      <c r="T403" s="29"/>
      <c r="U403" s="43" t="str">
        <f>IFERROR(VLOOKUP(T403,Calculation!$U$6:$V$11,2,FALSE),"")</f>
        <v/>
      </c>
    </row>
    <row r="404" spans="1:21" ht="14.25" customHeight="1" x14ac:dyDescent="0.3">
      <c r="A404" s="26" t="str">
        <f ca="1">IF(Calculation!T407&lt;=Calculation!$H$4,Calculation!T407,"")</f>
        <v/>
      </c>
      <c r="B404" s="4" t="str">
        <f ca="1">VLOOKUP(A404,Calculation!$E$6:$J$1004,4,FALSE)</f>
        <v/>
      </c>
      <c r="C404" s="4" t="str">
        <f ca="1">VLOOKUP(A404,Calculation!$E$6:$J$1004,5,FALSE)</f>
        <v/>
      </c>
      <c r="D404" s="4" t="str">
        <f ca="1">VLOOKUP(A404,Calculation!$E$6:$J$1004,6,FALSE)</f>
        <v/>
      </c>
      <c r="E404" s="42" t="str">
        <f t="shared" ca="1" si="2"/>
        <v/>
      </c>
      <c r="G404" s="29" t="str">
        <f ca="1">VLOOKUP(A404,Calculation!$F$6:$J$1004,3,FALSE)</f>
        <v/>
      </c>
      <c r="H404" s="4" t="str">
        <f ca="1">VLOOKUP(A404,Calculation!$F$6:$J$1004,4,FALSE)</f>
        <v/>
      </c>
      <c r="I404" s="4" t="str">
        <f ca="1">VLOOKUP(A404,Calculation!$F$6:$J$1004,5,FALSE)</f>
        <v/>
      </c>
      <c r="J404" s="43" t="str">
        <f t="shared" ca="1" si="3"/>
        <v/>
      </c>
      <c r="L404" s="29" t="str">
        <f ca="1">VLOOKUP(A404,Calculation!$G$6:$S$1004,2,FALSE)</f>
        <v/>
      </c>
      <c r="M404" s="4" t="str">
        <f ca="1">IFERROR(VLOOKUP($L404,Calculation!$H$6:$S$1005,HLOOKUP(M$2,Calculation!$M$4:$S$5,2,FALSE)+5,FALSE),"")</f>
        <v/>
      </c>
      <c r="N404" s="4" t="str">
        <f ca="1">IFERROR(VLOOKUP($L404,Calculation!$H$6:$S$1005,HLOOKUP(N$2,Calculation!$M$4:$S$5,2,FALSE)+5,FALSE),"")</f>
        <v/>
      </c>
      <c r="O404" s="4" t="str">
        <f ca="1">IFERROR(VLOOKUP($L404,Calculation!$H$6:$S$1005,HLOOKUP(O$2,Calculation!$M$4:$S$5,2,FALSE)+5,FALSE),"")</f>
        <v/>
      </c>
      <c r="P404" s="4" t="str">
        <f ca="1">IFERROR(VLOOKUP($L404,Calculation!$H$6:$S$1005,HLOOKUP(P$2,Calculation!$M$4:$S$5,2,FALSE)+5,FALSE),"")</f>
        <v/>
      </c>
      <c r="Q404" s="4" t="str">
        <f ca="1">IFERROR(VLOOKUP($L404,Calculation!$H$6:$S$1005,HLOOKUP(Q$2,Calculation!$M$4:$S$5,2,FALSE)+5,FALSE),"")</f>
        <v/>
      </c>
      <c r="R404" s="27" t="str">
        <f ca="1">IFERROR(VLOOKUP($L404,Calculation!$H$6:$S$1005,HLOOKUP(R$2,Calculation!$M$4:$S$5,2,FALSE)+5,FALSE),"")</f>
        <v/>
      </c>
      <c r="S404" s="4" t="str">
        <f ca="1">IFERROR(VLOOKUP($L404,Calculation!$H$6:$S$1005,HLOOKUP(S$2,Calculation!$M$4:$S$5,2,FALSE)+5,FALSE),"")</f>
        <v/>
      </c>
      <c r="T404" s="29"/>
      <c r="U404" s="43" t="str">
        <f>IFERROR(VLOOKUP(T404,Calculation!$U$6:$V$11,2,FALSE),"")</f>
        <v/>
      </c>
    </row>
    <row r="405" spans="1:21" ht="14.25" customHeight="1" x14ac:dyDescent="0.3">
      <c r="A405" s="26" t="str">
        <f ca="1">IF(Calculation!T408&lt;=Calculation!$H$4,Calculation!T408,"")</f>
        <v/>
      </c>
      <c r="B405" s="4" t="str">
        <f ca="1">VLOOKUP(A405,Calculation!$E$6:$J$1004,4,FALSE)</f>
        <v/>
      </c>
      <c r="C405" s="4" t="str">
        <f ca="1">VLOOKUP(A405,Calculation!$E$6:$J$1004,5,FALSE)</f>
        <v/>
      </c>
      <c r="D405" s="4" t="str">
        <f ca="1">VLOOKUP(A405,Calculation!$E$6:$J$1004,6,FALSE)</f>
        <v/>
      </c>
      <c r="E405" s="42" t="str">
        <f t="shared" ca="1" si="2"/>
        <v/>
      </c>
      <c r="G405" s="29" t="str">
        <f ca="1">VLOOKUP(A405,Calculation!$F$6:$J$1004,3,FALSE)</f>
        <v/>
      </c>
      <c r="H405" s="4" t="str">
        <f ca="1">VLOOKUP(A405,Calculation!$F$6:$J$1004,4,FALSE)</f>
        <v/>
      </c>
      <c r="I405" s="4" t="str">
        <f ca="1">VLOOKUP(A405,Calculation!$F$6:$J$1004,5,FALSE)</f>
        <v/>
      </c>
      <c r="J405" s="43" t="str">
        <f t="shared" ca="1" si="3"/>
        <v/>
      </c>
      <c r="L405" s="29" t="str">
        <f ca="1">VLOOKUP(A405,Calculation!$G$6:$S$1004,2,FALSE)</f>
        <v/>
      </c>
      <c r="M405" s="4" t="str">
        <f ca="1">IFERROR(VLOOKUP($L405,Calculation!$H$6:$S$1005,HLOOKUP(M$2,Calculation!$M$4:$S$5,2,FALSE)+5,FALSE),"")</f>
        <v/>
      </c>
      <c r="N405" s="4" t="str">
        <f ca="1">IFERROR(VLOOKUP($L405,Calculation!$H$6:$S$1005,HLOOKUP(N$2,Calculation!$M$4:$S$5,2,FALSE)+5,FALSE),"")</f>
        <v/>
      </c>
      <c r="O405" s="4" t="str">
        <f ca="1">IFERROR(VLOOKUP($L405,Calculation!$H$6:$S$1005,HLOOKUP(O$2,Calculation!$M$4:$S$5,2,FALSE)+5,FALSE),"")</f>
        <v/>
      </c>
      <c r="P405" s="4" t="str">
        <f ca="1">IFERROR(VLOOKUP($L405,Calculation!$H$6:$S$1005,HLOOKUP(P$2,Calculation!$M$4:$S$5,2,FALSE)+5,FALSE),"")</f>
        <v/>
      </c>
      <c r="Q405" s="4" t="str">
        <f ca="1">IFERROR(VLOOKUP($L405,Calculation!$H$6:$S$1005,HLOOKUP(Q$2,Calculation!$M$4:$S$5,2,FALSE)+5,FALSE),"")</f>
        <v/>
      </c>
      <c r="R405" s="27" t="str">
        <f ca="1">IFERROR(VLOOKUP($L405,Calculation!$H$6:$S$1005,HLOOKUP(R$2,Calculation!$M$4:$S$5,2,FALSE)+5,FALSE),"")</f>
        <v/>
      </c>
      <c r="S405" s="4" t="str">
        <f ca="1">IFERROR(VLOOKUP($L405,Calculation!$H$6:$S$1005,HLOOKUP(S$2,Calculation!$M$4:$S$5,2,FALSE)+5,FALSE),"")</f>
        <v/>
      </c>
      <c r="T405" s="29"/>
      <c r="U405" s="43" t="str">
        <f>IFERROR(VLOOKUP(T405,Calculation!$U$6:$V$11,2,FALSE),"")</f>
        <v/>
      </c>
    </row>
    <row r="406" spans="1:21" ht="14.25" customHeight="1" x14ac:dyDescent="0.3">
      <c r="A406" s="26" t="str">
        <f ca="1">IF(Calculation!T409&lt;=Calculation!$H$4,Calculation!T409,"")</f>
        <v/>
      </c>
      <c r="B406" s="4" t="str">
        <f ca="1">VLOOKUP(A406,Calculation!$E$6:$J$1004,4,FALSE)</f>
        <v/>
      </c>
      <c r="C406" s="4" t="str">
        <f ca="1">VLOOKUP(A406,Calculation!$E$6:$J$1004,5,FALSE)</f>
        <v/>
      </c>
      <c r="D406" s="4" t="str">
        <f ca="1">VLOOKUP(A406,Calculation!$E$6:$J$1004,6,FALSE)</f>
        <v/>
      </c>
      <c r="E406" s="42" t="str">
        <f t="shared" ca="1" si="2"/>
        <v/>
      </c>
      <c r="G406" s="29" t="str">
        <f ca="1">VLOOKUP(A406,Calculation!$F$6:$J$1004,3,FALSE)</f>
        <v/>
      </c>
      <c r="H406" s="4" t="str">
        <f ca="1">VLOOKUP(A406,Calculation!$F$6:$J$1004,4,FALSE)</f>
        <v/>
      </c>
      <c r="I406" s="4" t="str">
        <f ca="1">VLOOKUP(A406,Calculation!$F$6:$J$1004,5,FALSE)</f>
        <v/>
      </c>
      <c r="J406" s="43" t="str">
        <f t="shared" ca="1" si="3"/>
        <v/>
      </c>
      <c r="L406" s="29" t="str">
        <f ca="1">VLOOKUP(A406,Calculation!$G$6:$S$1004,2,FALSE)</f>
        <v/>
      </c>
      <c r="M406" s="4" t="str">
        <f ca="1">IFERROR(VLOOKUP($L406,Calculation!$H$6:$S$1005,HLOOKUP(M$2,Calculation!$M$4:$S$5,2,FALSE)+5,FALSE),"")</f>
        <v/>
      </c>
      <c r="N406" s="4" t="str">
        <f ca="1">IFERROR(VLOOKUP($L406,Calculation!$H$6:$S$1005,HLOOKUP(N$2,Calculation!$M$4:$S$5,2,FALSE)+5,FALSE),"")</f>
        <v/>
      </c>
      <c r="O406" s="4" t="str">
        <f ca="1">IFERROR(VLOOKUP($L406,Calculation!$H$6:$S$1005,HLOOKUP(O$2,Calculation!$M$4:$S$5,2,FALSE)+5,FALSE),"")</f>
        <v/>
      </c>
      <c r="P406" s="4" t="str">
        <f ca="1">IFERROR(VLOOKUP($L406,Calculation!$H$6:$S$1005,HLOOKUP(P$2,Calculation!$M$4:$S$5,2,FALSE)+5,FALSE),"")</f>
        <v/>
      </c>
      <c r="Q406" s="4" t="str">
        <f ca="1">IFERROR(VLOOKUP($L406,Calculation!$H$6:$S$1005,HLOOKUP(Q$2,Calculation!$M$4:$S$5,2,FALSE)+5,FALSE),"")</f>
        <v/>
      </c>
      <c r="R406" s="27" t="str">
        <f ca="1">IFERROR(VLOOKUP($L406,Calculation!$H$6:$S$1005,HLOOKUP(R$2,Calculation!$M$4:$S$5,2,FALSE)+5,FALSE),"")</f>
        <v/>
      </c>
      <c r="S406" s="4" t="str">
        <f ca="1">IFERROR(VLOOKUP($L406,Calculation!$H$6:$S$1005,HLOOKUP(S$2,Calculation!$M$4:$S$5,2,FALSE)+5,FALSE),"")</f>
        <v/>
      </c>
      <c r="T406" s="29"/>
      <c r="U406" s="43" t="str">
        <f>IFERROR(VLOOKUP(T406,Calculation!$U$6:$V$11,2,FALSE),"")</f>
        <v/>
      </c>
    </row>
    <row r="407" spans="1:21" ht="14.25" customHeight="1" x14ac:dyDescent="0.3">
      <c r="A407" s="26" t="str">
        <f ca="1">IF(Calculation!T410&lt;=Calculation!$H$4,Calculation!T410,"")</f>
        <v/>
      </c>
      <c r="B407" s="4" t="str">
        <f ca="1">VLOOKUP(A407,Calculation!$E$6:$J$1004,4,FALSE)</f>
        <v/>
      </c>
      <c r="C407" s="4" t="str">
        <f ca="1">VLOOKUP(A407,Calculation!$E$6:$J$1004,5,FALSE)</f>
        <v/>
      </c>
      <c r="D407" s="4" t="str">
        <f ca="1">VLOOKUP(A407,Calculation!$E$6:$J$1004,6,FALSE)</f>
        <v/>
      </c>
      <c r="E407" s="42" t="str">
        <f t="shared" ca="1" si="2"/>
        <v/>
      </c>
      <c r="G407" s="29" t="str">
        <f ca="1">VLOOKUP(A407,Calculation!$F$6:$J$1004,3,FALSE)</f>
        <v/>
      </c>
      <c r="H407" s="4" t="str">
        <f ca="1">VLOOKUP(A407,Calculation!$F$6:$J$1004,4,FALSE)</f>
        <v/>
      </c>
      <c r="I407" s="4" t="str">
        <f ca="1">VLOOKUP(A407,Calculation!$F$6:$J$1004,5,FALSE)</f>
        <v/>
      </c>
      <c r="J407" s="43" t="str">
        <f t="shared" ca="1" si="3"/>
        <v/>
      </c>
      <c r="L407" s="29" t="str">
        <f ca="1">VLOOKUP(A407,Calculation!$G$6:$S$1004,2,FALSE)</f>
        <v/>
      </c>
      <c r="M407" s="4" t="str">
        <f ca="1">IFERROR(VLOOKUP($L407,Calculation!$H$6:$S$1005,HLOOKUP(M$2,Calculation!$M$4:$S$5,2,FALSE)+5,FALSE),"")</f>
        <v/>
      </c>
      <c r="N407" s="4" t="str">
        <f ca="1">IFERROR(VLOOKUP($L407,Calculation!$H$6:$S$1005,HLOOKUP(N$2,Calculation!$M$4:$S$5,2,FALSE)+5,FALSE),"")</f>
        <v/>
      </c>
      <c r="O407" s="4" t="str">
        <f ca="1">IFERROR(VLOOKUP($L407,Calculation!$H$6:$S$1005,HLOOKUP(O$2,Calculation!$M$4:$S$5,2,FALSE)+5,FALSE),"")</f>
        <v/>
      </c>
      <c r="P407" s="4" t="str">
        <f ca="1">IFERROR(VLOOKUP($L407,Calculation!$H$6:$S$1005,HLOOKUP(P$2,Calculation!$M$4:$S$5,2,FALSE)+5,FALSE),"")</f>
        <v/>
      </c>
      <c r="Q407" s="4" t="str">
        <f ca="1">IFERROR(VLOOKUP($L407,Calculation!$H$6:$S$1005,HLOOKUP(Q$2,Calculation!$M$4:$S$5,2,FALSE)+5,FALSE),"")</f>
        <v/>
      </c>
      <c r="R407" s="27" t="str">
        <f ca="1">IFERROR(VLOOKUP($L407,Calculation!$H$6:$S$1005,HLOOKUP(R$2,Calculation!$M$4:$S$5,2,FALSE)+5,FALSE),"")</f>
        <v/>
      </c>
      <c r="S407" s="4" t="str">
        <f ca="1">IFERROR(VLOOKUP($L407,Calculation!$H$6:$S$1005,HLOOKUP(S$2,Calculation!$M$4:$S$5,2,FALSE)+5,FALSE),"")</f>
        <v/>
      </c>
      <c r="T407" s="29"/>
      <c r="U407" s="43" t="str">
        <f>IFERROR(VLOOKUP(T407,Calculation!$U$6:$V$11,2,FALSE),"")</f>
        <v/>
      </c>
    </row>
    <row r="408" spans="1:21" ht="14.25" customHeight="1" x14ac:dyDescent="0.3">
      <c r="A408" s="26" t="str">
        <f ca="1">IF(Calculation!T411&lt;=Calculation!$H$4,Calculation!T411,"")</f>
        <v/>
      </c>
      <c r="B408" s="4" t="str">
        <f ca="1">VLOOKUP(A408,Calculation!$E$6:$J$1004,4,FALSE)</f>
        <v/>
      </c>
      <c r="C408" s="4" t="str">
        <f ca="1">VLOOKUP(A408,Calculation!$E$6:$J$1004,5,FALSE)</f>
        <v/>
      </c>
      <c r="D408" s="4" t="str">
        <f ca="1">VLOOKUP(A408,Calculation!$E$6:$J$1004,6,FALSE)</f>
        <v/>
      </c>
      <c r="E408" s="42" t="str">
        <f t="shared" ca="1" si="2"/>
        <v/>
      </c>
      <c r="G408" s="29" t="str">
        <f ca="1">VLOOKUP(A408,Calculation!$F$6:$J$1004,3,FALSE)</f>
        <v/>
      </c>
      <c r="H408" s="4" t="str">
        <f ca="1">VLOOKUP(A408,Calculation!$F$6:$J$1004,4,FALSE)</f>
        <v/>
      </c>
      <c r="I408" s="4" t="str">
        <f ca="1">VLOOKUP(A408,Calculation!$F$6:$J$1004,5,FALSE)</f>
        <v/>
      </c>
      <c r="J408" s="43" t="str">
        <f t="shared" ca="1" si="3"/>
        <v/>
      </c>
      <c r="L408" s="29" t="str">
        <f ca="1">VLOOKUP(A408,Calculation!$G$6:$S$1004,2,FALSE)</f>
        <v/>
      </c>
      <c r="M408" s="4" t="str">
        <f ca="1">IFERROR(VLOOKUP($L408,Calculation!$H$6:$S$1005,HLOOKUP(M$2,Calculation!$M$4:$S$5,2,FALSE)+5,FALSE),"")</f>
        <v/>
      </c>
      <c r="N408" s="4" t="str">
        <f ca="1">IFERROR(VLOOKUP($L408,Calculation!$H$6:$S$1005,HLOOKUP(N$2,Calculation!$M$4:$S$5,2,FALSE)+5,FALSE),"")</f>
        <v/>
      </c>
      <c r="O408" s="4" t="str">
        <f ca="1">IFERROR(VLOOKUP($L408,Calculation!$H$6:$S$1005,HLOOKUP(O$2,Calculation!$M$4:$S$5,2,FALSE)+5,FALSE),"")</f>
        <v/>
      </c>
      <c r="P408" s="4" t="str">
        <f ca="1">IFERROR(VLOOKUP($L408,Calculation!$H$6:$S$1005,HLOOKUP(P$2,Calculation!$M$4:$S$5,2,FALSE)+5,FALSE),"")</f>
        <v/>
      </c>
      <c r="Q408" s="4" t="str">
        <f ca="1">IFERROR(VLOOKUP($L408,Calculation!$H$6:$S$1005,HLOOKUP(Q$2,Calculation!$M$4:$S$5,2,FALSE)+5,FALSE),"")</f>
        <v/>
      </c>
      <c r="R408" s="27" t="str">
        <f ca="1">IFERROR(VLOOKUP($L408,Calculation!$H$6:$S$1005,HLOOKUP(R$2,Calculation!$M$4:$S$5,2,FALSE)+5,FALSE),"")</f>
        <v/>
      </c>
      <c r="S408" s="4" t="str">
        <f ca="1">IFERROR(VLOOKUP($L408,Calculation!$H$6:$S$1005,HLOOKUP(S$2,Calculation!$M$4:$S$5,2,FALSE)+5,FALSE),"")</f>
        <v/>
      </c>
      <c r="T408" s="29"/>
      <c r="U408" s="43" t="str">
        <f>IFERROR(VLOOKUP(T408,Calculation!$U$6:$V$11,2,FALSE),"")</f>
        <v/>
      </c>
    </row>
    <row r="409" spans="1:21" ht="14.25" customHeight="1" x14ac:dyDescent="0.3">
      <c r="A409" s="26" t="str">
        <f ca="1">IF(Calculation!T412&lt;=Calculation!$H$4,Calculation!T412,"")</f>
        <v/>
      </c>
      <c r="B409" s="4" t="str">
        <f ca="1">VLOOKUP(A409,Calculation!$E$6:$J$1004,4,FALSE)</f>
        <v/>
      </c>
      <c r="C409" s="4" t="str">
        <f ca="1">VLOOKUP(A409,Calculation!$E$6:$J$1004,5,FALSE)</f>
        <v/>
      </c>
      <c r="D409" s="4" t="str">
        <f ca="1">VLOOKUP(A409,Calculation!$E$6:$J$1004,6,FALSE)</f>
        <v/>
      </c>
      <c r="E409" s="42" t="str">
        <f t="shared" ca="1" si="2"/>
        <v/>
      </c>
      <c r="G409" s="29" t="str">
        <f ca="1">VLOOKUP(A409,Calculation!$F$6:$J$1004,3,FALSE)</f>
        <v/>
      </c>
      <c r="H409" s="4" t="str">
        <f ca="1">VLOOKUP(A409,Calculation!$F$6:$J$1004,4,FALSE)</f>
        <v/>
      </c>
      <c r="I409" s="4" t="str">
        <f ca="1">VLOOKUP(A409,Calculation!$F$6:$J$1004,5,FALSE)</f>
        <v/>
      </c>
      <c r="J409" s="43" t="str">
        <f t="shared" ca="1" si="3"/>
        <v/>
      </c>
      <c r="L409" s="29" t="str">
        <f ca="1">VLOOKUP(A409,Calculation!$G$6:$S$1004,2,FALSE)</f>
        <v/>
      </c>
      <c r="M409" s="4" t="str">
        <f ca="1">IFERROR(VLOOKUP($L409,Calculation!$H$6:$S$1005,HLOOKUP(M$2,Calculation!$M$4:$S$5,2,FALSE)+5,FALSE),"")</f>
        <v/>
      </c>
      <c r="N409" s="4" t="str">
        <f ca="1">IFERROR(VLOOKUP($L409,Calculation!$H$6:$S$1005,HLOOKUP(N$2,Calculation!$M$4:$S$5,2,FALSE)+5,FALSE),"")</f>
        <v/>
      </c>
      <c r="O409" s="4" t="str">
        <f ca="1">IFERROR(VLOOKUP($L409,Calculation!$H$6:$S$1005,HLOOKUP(O$2,Calculation!$M$4:$S$5,2,FALSE)+5,FALSE),"")</f>
        <v/>
      </c>
      <c r="P409" s="4" t="str">
        <f ca="1">IFERROR(VLOOKUP($L409,Calculation!$H$6:$S$1005,HLOOKUP(P$2,Calculation!$M$4:$S$5,2,FALSE)+5,FALSE),"")</f>
        <v/>
      </c>
      <c r="Q409" s="4" t="str">
        <f ca="1">IFERROR(VLOOKUP($L409,Calculation!$H$6:$S$1005,HLOOKUP(Q$2,Calculation!$M$4:$S$5,2,FALSE)+5,FALSE),"")</f>
        <v/>
      </c>
      <c r="R409" s="27" t="str">
        <f ca="1">IFERROR(VLOOKUP($L409,Calculation!$H$6:$S$1005,HLOOKUP(R$2,Calculation!$M$4:$S$5,2,FALSE)+5,FALSE),"")</f>
        <v/>
      </c>
      <c r="S409" s="4" t="str">
        <f ca="1">IFERROR(VLOOKUP($L409,Calculation!$H$6:$S$1005,HLOOKUP(S$2,Calculation!$M$4:$S$5,2,FALSE)+5,FALSE),"")</f>
        <v/>
      </c>
      <c r="T409" s="29"/>
      <c r="U409" s="43" t="str">
        <f>IFERROR(VLOOKUP(T409,Calculation!$U$6:$V$11,2,FALSE),"")</f>
        <v/>
      </c>
    </row>
    <row r="410" spans="1:21" ht="14.25" customHeight="1" x14ac:dyDescent="0.3">
      <c r="A410" s="26" t="str">
        <f ca="1">IF(Calculation!T413&lt;=Calculation!$H$4,Calculation!T413,"")</f>
        <v/>
      </c>
      <c r="B410" s="4" t="str">
        <f ca="1">VLOOKUP(A410,Calculation!$E$6:$J$1004,4,FALSE)</f>
        <v/>
      </c>
      <c r="C410" s="4" t="str">
        <f ca="1">VLOOKUP(A410,Calculation!$E$6:$J$1004,5,FALSE)</f>
        <v/>
      </c>
      <c r="D410" s="4" t="str">
        <f ca="1">VLOOKUP(A410,Calculation!$E$6:$J$1004,6,FALSE)</f>
        <v/>
      </c>
      <c r="E410" s="42" t="str">
        <f t="shared" ca="1" si="2"/>
        <v/>
      </c>
      <c r="G410" s="29" t="str">
        <f ca="1">VLOOKUP(A410,Calculation!$F$6:$J$1004,3,FALSE)</f>
        <v/>
      </c>
      <c r="H410" s="4" t="str">
        <f ca="1">VLOOKUP(A410,Calculation!$F$6:$J$1004,4,FALSE)</f>
        <v/>
      </c>
      <c r="I410" s="4" t="str">
        <f ca="1">VLOOKUP(A410,Calculation!$F$6:$J$1004,5,FALSE)</f>
        <v/>
      </c>
      <c r="J410" s="43" t="str">
        <f t="shared" ca="1" si="3"/>
        <v/>
      </c>
      <c r="L410" s="29" t="str">
        <f ca="1">VLOOKUP(A410,Calculation!$G$6:$S$1004,2,FALSE)</f>
        <v/>
      </c>
      <c r="M410" s="4" t="str">
        <f ca="1">IFERROR(VLOOKUP($L410,Calculation!$H$6:$S$1005,HLOOKUP(M$2,Calculation!$M$4:$S$5,2,FALSE)+5,FALSE),"")</f>
        <v/>
      </c>
      <c r="N410" s="4" t="str">
        <f ca="1">IFERROR(VLOOKUP($L410,Calculation!$H$6:$S$1005,HLOOKUP(N$2,Calculation!$M$4:$S$5,2,FALSE)+5,FALSE),"")</f>
        <v/>
      </c>
      <c r="O410" s="4" t="str">
        <f ca="1">IFERROR(VLOOKUP($L410,Calculation!$H$6:$S$1005,HLOOKUP(O$2,Calculation!$M$4:$S$5,2,FALSE)+5,FALSE),"")</f>
        <v/>
      </c>
      <c r="P410" s="4" t="str">
        <f ca="1">IFERROR(VLOOKUP($L410,Calculation!$H$6:$S$1005,HLOOKUP(P$2,Calculation!$M$4:$S$5,2,FALSE)+5,FALSE),"")</f>
        <v/>
      </c>
      <c r="Q410" s="4" t="str">
        <f ca="1">IFERROR(VLOOKUP($L410,Calculation!$H$6:$S$1005,HLOOKUP(Q$2,Calculation!$M$4:$S$5,2,FALSE)+5,FALSE),"")</f>
        <v/>
      </c>
      <c r="R410" s="27" t="str">
        <f ca="1">IFERROR(VLOOKUP($L410,Calculation!$H$6:$S$1005,HLOOKUP(R$2,Calculation!$M$4:$S$5,2,FALSE)+5,FALSE),"")</f>
        <v/>
      </c>
      <c r="S410" s="4" t="str">
        <f ca="1">IFERROR(VLOOKUP($L410,Calculation!$H$6:$S$1005,HLOOKUP(S$2,Calculation!$M$4:$S$5,2,FALSE)+5,FALSE),"")</f>
        <v/>
      </c>
      <c r="T410" s="29"/>
      <c r="U410" s="43" t="str">
        <f>IFERROR(VLOOKUP(T410,Calculation!$U$6:$V$11,2,FALSE),"")</f>
        <v/>
      </c>
    </row>
    <row r="411" spans="1:21" ht="14.25" customHeight="1" x14ac:dyDescent="0.3">
      <c r="A411" s="26" t="str">
        <f ca="1">IF(Calculation!T414&lt;=Calculation!$H$4,Calculation!T414,"")</f>
        <v/>
      </c>
      <c r="B411" s="4" t="str">
        <f ca="1">VLOOKUP(A411,Calculation!$E$6:$J$1004,4,FALSE)</f>
        <v/>
      </c>
      <c r="C411" s="4" t="str">
        <f ca="1">VLOOKUP(A411,Calculation!$E$6:$J$1004,5,FALSE)</f>
        <v/>
      </c>
      <c r="D411" s="4" t="str">
        <f ca="1">VLOOKUP(A411,Calculation!$E$6:$J$1004,6,FALSE)</f>
        <v/>
      </c>
      <c r="E411" s="42" t="str">
        <f t="shared" ca="1" si="2"/>
        <v/>
      </c>
      <c r="G411" s="29" t="str">
        <f ca="1">VLOOKUP(A411,Calculation!$F$6:$J$1004,3,FALSE)</f>
        <v/>
      </c>
      <c r="H411" s="4" t="str">
        <f ca="1">VLOOKUP(A411,Calculation!$F$6:$J$1004,4,FALSE)</f>
        <v/>
      </c>
      <c r="I411" s="4" t="str">
        <f ca="1">VLOOKUP(A411,Calculation!$F$6:$J$1004,5,FALSE)</f>
        <v/>
      </c>
      <c r="J411" s="43" t="str">
        <f t="shared" ca="1" si="3"/>
        <v/>
      </c>
      <c r="L411" s="29" t="str">
        <f ca="1">VLOOKUP(A411,Calculation!$G$6:$S$1004,2,FALSE)</f>
        <v/>
      </c>
      <c r="M411" s="4" t="str">
        <f ca="1">IFERROR(VLOOKUP($L411,Calculation!$H$6:$S$1005,HLOOKUP(M$2,Calculation!$M$4:$S$5,2,FALSE)+5,FALSE),"")</f>
        <v/>
      </c>
      <c r="N411" s="4" t="str">
        <f ca="1">IFERROR(VLOOKUP($L411,Calculation!$H$6:$S$1005,HLOOKUP(N$2,Calculation!$M$4:$S$5,2,FALSE)+5,FALSE),"")</f>
        <v/>
      </c>
      <c r="O411" s="4" t="str">
        <f ca="1">IFERROR(VLOOKUP($L411,Calculation!$H$6:$S$1005,HLOOKUP(O$2,Calculation!$M$4:$S$5,2,FALSE)+5,FALSE),"")</f>
        <v/>
      </c>
      <c r="P411" s="4" t="str">
        <f ca="1">IFERROR(VLOOKUP($L411,Calculation!$H$6:$S$1005,HLOOKUP(P$2,Calculation!$M$4:$S$5,2,FALSE)+5,FALSE),"")</f>
        <v/>
      </c>
      <c r="Q411" s="4" t="str">
        <f ca="1">IFERROR(VLOOKUP($L411,Calculation!$H$6:$S$1005,HLOOKUP(Q$2,Calculation!$M$4:$S$5,2,FALSE)+5,FALSE),"")</f>
        <v/>
      </c>
      <c r="R411" s="27" t="str">
        <f ca="1">IFERROR(VLOOKUP($L411,Calculation!$H$6:$S$1005,HLOOKUP(R$2,Calculation!$M$4:$S$5,2,FALSE)+5,FALSE),"")</f>
        <v/>
      </c>
      <c r="S411" s="4" t="str">
        <f ca="1">IFERROR(VLOOKUP($L411,Calculation!$H$6:$S$1005,HLOOKUP(S$2,Calculation!$M$4:$S$5,2,FALSE)+5,FALSE),"")</f>
        <v/>
      </c>
      <c r="T411" s="29"/>
      <c r="U411" s="43" t="str">
        <f>IFERROR(VLOOKUP(T411,Calculation!$U$6:$V$11,2,FALSE),"")</f>
        <v/>
      </c>
    </row>
    <row r="412" spans="1:21" ht="14.25" customHeight="1" x14ac:dyDescent="0.3">
      <c r="A412" s="26" t="str">
        <f ca="1">IF(Calculation!T415&lt;=Calculation!$H$4,Calculation!T415,"")</f>
        <v/>
      </c>
      <c r="B412" s="4" t="str">
        <f ca="1">VLOOKUP(A412,Calculation!$E$6:$J$1004,4,FALSE)</f>
        <v/>
      </c>
      <c r="C412" s="4" t="str">
        <f ca="1">VLOOKUP(A412,Calculation!$E$6:$J$1004,5,FALSE)</f>
        <v/>
      </c>
      <c r="D412" s="4" t="str">
        <f ca="1">VLOOKUP(A412,Calculation!$E$6:$J$1004,6,FALSE)</f>
        <v/>
      </c>
      <c r="E412" s="42" t="str">
        <f t="shared" ca="1" si="2"/>
        <v/>
      </c>
      <c r="G412" s="29" t="str">
        <f ca="1">VLOOKUP(A412,Calculation!$F$6:$J$1004,3,FALSE)</f>
        <v/>
      </c>
      <c r="H412" s="4" t="str">
        <f ca="1">VLOOKUP(A412,Calculation!$F$6:$J$1004,4,FALSE)</f>
        <v/>
      </c>
      <c r="I412" s="4" t="str">
        <f ca="1">VLOOKUP(A412,Calculation!$F$6:$J$1004,5,FALSE)</f>
        <v/>
      </c>
      <c r="J412" s="43" t="str">
        <f t="shared" ca="1" si="3"/>
        <v/>
      </c>
      <c r="L412" s="29" t="str">
        <f ca="1">VLOOKUP(A412,Calculation!$G$6:$S$1004,2,FALSE)</f>
        <v/>
      </c>
      <c r="M412" s="4" t="str">
        <f ca="1">IFERROR(VLOOKUP($L412,Calculation!$H$6:$S$1005,HLOOKUP(M$2,Calculation!$M$4:$S$5,2,FALSE)+5,FALSE),"")</f>
        <v/>
      </c>
      <c r="N412" s="4" t="str">
        <f ca="1">IFERROR(VLOOKUP($L412,Calculation!$H$6:$S$1005,HLOOKUP(N$2,Calculation!$M$4:$S$5,2,FALSE)+5,FALSE),"")</f>
        <v/>
      </c>
      <c r="O412" s="4" t="str">
        <f ca="1">IFERROR(VLOOKUP($L412,Calculation!$H$6:$S$1005,HLOOKUP(O$2,Calculation!$M$4:$S$5,2,FALSE)+5,FALSE),"")</f>
        <v/>
      </c>
      <c r="P412" s="4" t="str">
        <f ca="1">IFERROR(VLOOKUP($L412,Calculation!$H$6:$S$1005,HLOOKUP(P$2,Calculation!$M$4:$S$5,2,FALSE)+5,FALSE),"")</f>
        <v/>
      </c>
      <c r="Q412" s="4" t="str">
        <f ca="1">IFERROR(VLOOKUP($L412,Calculation!$H$6:$S$1005,HLOOKUP(Q$2,Calculation!$M$4:$S$5,2,FALSE)+5,FALSE),"")</f>
        <v/>
      </c>
      <c r="R412" s="27" t="str">
        <f ca="1">IFERROR(VLOOKUP($L412,Calculation!$H$6:$S$1005,HLOOKUP(R$2,Calculation!$M$4:$S$5,2,FALSE)+5,FALSE),"")</f>
        <v/>
      </c>
      <c r="S412" s="4" t="str">
        <f ca="1">IFERROR(VLOOKUP($L412,Calculation!$H$6:$S$1005,HLOOKUP(S$2,Calculation!$M$4:$S$5,2,FALSE)+5,FALSE),"")</f>
        <v/>
      </c>
      <c r="T412" s="29"/>
      <c r="U412" s="43" t="str">
        <f>IFERROR(VLOOKUP(T412,Calculation!$U$6:$V$11,2,FALSE),"")</f>
        <v/>
      </c>
    </row>
    <row r="413" spans="1:21" ht="14.25" customHeight="1" x14ac:dyDescent="0.3">
      <c r="A413" s="26" t="str">
        <f ca="1">IF(Calculation!T416&lt;=Calculation!$H$4,Calculation!T416,"")</f>
        <v/>
      </c>
      <c r="B413" s="4" t="str">
        <f ca="1">VLOOKUP(A413,Calculation!$E$6:$J$1004,4,FALSE)</f>
        <v/>
      </c>
      <c r="C413" s="4" t="str">
        <f ca="1">VLOOKUP(A413,Calculation!$E$6:$J$1004,5,FALSE)</f>
        <v/>
      </c>
      <c r="D413" s="4" t="str">
        <f ca="1">VLOOKUP(A413,Calculation!$E$6:$J$1004,6,FALSE)</f>
        <v/>
      </c>
      <c r="E413" s="42" t="str">
        <f t="shared" ca="1" si="2"/>
        <v/>
      </c>
      <c r="G413" s="29" t="str">
        <f ca="1">VLOOKUP(A413,Calculation!$F$6:$J$1004,3,FALSE)</f>
        <v/>
      </c>
      <c r="H413" s="4" t="str">
        <f ca="1">VLOOKUP(A413,Calculation!$F$6:$J$1004,4,FALSE)</f>
        <v/>
      </c>
      <c r="I413" s="4" t="str">
        <f ca="1">VLOOKUP(A413,Calculation!$F$6:$J$1004,5,FALSE)</f>
        <v/>
      </c>
      <c r="J413" s="43" t="str">
        <f t="shared" ca="1" si="3"/>
        <v/>
      </c>
      <c r="L413" s="29" t="str">
        <f ca="1">VLOOKUP(A413,Calculation!$G$6:$S$1004,2,FALSE)</f>
        <v/>
      </c>
      <c r="M413" s="4" t="str">
        <f ca="1">IFERROR(VLOOKUP($L413,Calculation!$H$6:$S$1005,HLOOKUP(M$2,Calculation!$M$4:$S$5,2,FALSE)+5,FALSE),"")</f>
        <v/>
      </c>
      <c r="N413" s="4" t="str">
        <f ca="1">IFERROR(VLOOKUP($L413,Calculation!$H$6:$S$1005,HLOOKUP(N$2,Calculation!$M$4:$S$5,2,FALSE)+5,FALSE),"")</f>
        <v/>
      </c>
      <c r="O413" s="4" t="str">
        <f ca="1">IFERROR(VLOOKUP($L413,Calculation!$H$6:$S$1005,HLOOKUP(O$2,Calculation!$M$4:$S$5,2,FALSE)+5,FALSE),"")</f>
        <v/>
      </c>
      <c r="P413" s="4" t="str">
        <f ca="1">IFERROR(VLOOKUP($L413,Calculation!$H$6:$S$1005,HLOOKUP(P$2,Calculation!$M$4:$S$5,2,FALSE)+5,FALSE),"")</f>
        <v/>
      </c>
      <c r="Q413" s="4" t="str">
        <f ca="1">IFERROR(VLOOKUP($L413,Calculation!$H$6:$S$1005,HLOOKUP(Q$2,Calculation!$M$4:$S$5,2,FALSE)+5,FALSE),"")</f>
        <v/>
      </c>
      <c r="R413" s="27" t="str">
        <f ca="1">IFERROR(VLOOKUP($L413,Calculation!$H$6:$S$1005,HLOOKUP(R$2,Calculation!$M$4:$S$5,2,FALSE)+5,FALSE),"")</f>
        <v/>
      </c>
      <c r="S413" s="4" t="str">
        <f ca="1">IFERROR(VLOOKUP($L413,Calculation!$H$6:$S$1005,HLOOKUP(S$2,Calculation!$M$4:$S$5,2,FALSE)+5,FALSE),"")</f>
        <v/>
      </c>
      <c r="T413" s="29"/>
      <c r="U413" s="43" t="str">
        <f>IFERROR(VLOOKUP(T413,Calculation!$U$6:$V$11,2,FALSE),"")</f>
        <v/>
      </c>
    </row>
    <row r="414" spans="1:21" ht="14.25" customHeight="1" x14ac:dyDescent="0.3">
      <c r="A414" s="26" t="str">
        <f ca="1">IF(Calculation!T417&lt;=Calculation!$H$4,Calculation!T417,"")</f>
        <v/>
      </c>
      <c r="B414" s="4" t="str">
        <f ca="1">VLOOKUP(A414,Calculation!$E$6:$J$1004,4,FALSE)</f>
        <v/>
      </c>
      <c r="C414" s="4" t="str">
        <f ca="1">VLOOKUP(A414,Calculation!$E$6:$J$1004,5,FALSE)</f>
        <v/>
      </c>
      <c r="D414" s="4" t="str">
        <f ca="1">VLOOKUP(A414,Calculation!$E$6:$J$1004,6,FALSE)</f>
        <v/>
      </c>
      <c r="E414" s="42" t="str">
        <f t="shared" ca="1" si="2"/>
        <v/>
      </c>
      <c r="G414" s="29" t="str">
        <f ca="1">VLOOKUP(A414,Calculation!$F$6:$J$1004,3,FALSE)</f>
        <v/>
      </c>
      <c r="H414" s="4" t="str">
        <f ca="1">VLOOKUP(A414,Calculation!$F$6:$J$1004,4,FALSE)</f>
        <v/>
      </c>
      <c r="I414" s="4" t="str">
        <f ca="1">VLOOKUP(A414,Calculation!$F$6:$J$1004,5,FALSE)</f>
        <v/>
      </c>
      <c r="J414" s="43" t="str">
        <f t="shared" ca="1" si="3"/>
        <v/>
      </c>
      <c r="L414" s="29" t="str">
        <f ca="1">VLOOKUP(A414,Calculation!$G$6:$S$1004,2,FALSE)</f>
        <v/>
      </c>
      <c r="M414" s="4" t="str">
        <f ca="1">IFERROR(VLOOKUP($L414,Calculation!$H$6:$S$1005,HLOOKUP(M$2,Calculation!$M$4:$S$5,2,FALSE)+5,FALSE),"")</f>
        <v/>
      </c>
      <c r="N414" s="4" t="str">
        <f ca="1">IFERROR(VLOOKUP($L414,Calculation!$H$6:$S$1005,HLOOKUP(N$2,Calculation!$M$4:$S$5,2,FALSE)+5,FALSE),"")</f>
        <v/>
      </c>
      <c r="O414" s="4" t="str">
        <f ca="1">IFERROR(VLOOKUP($L414,Calculation!$H$6:$S$1005,HLOOKUP(O$2,Calculation!$M$4:$S$5,2,FALSE)+5,FALSE),"")</f>
        <v/>
      </c>
      <c r="P414" s="4" t="str">
        <f ca="1">IFERROR(VLOOKUP($L414,Calculation!$H$6:$S$1005,HLOOKUP(P$2,Calculation!$M$4:$S$5,2,FALSE)+5,FALSE),"")</f>
        <v/>
      </c>
      <c r="Q414" s="4" t="str">
        <f ca="1">IFERROR(VLOOKUP($L414,Calculation!$H$6:$S$1005,HLOOKUP(Q$2,Calculation!$M$4:$S$5,2,FALSE)+5,FALSE),"")</f>
        <v/>
      </c>
      <c r="R414" s="27" t="str">
        <f ca="1">IFERROR(VLOOKUP($L414,Calculation!$H$6:$S$1005,HLOOKUP(R$2,Calculation!$M$4:$S$5,2,FALSE)+5,FALSE),"")</f>
        <v/>
      </c>
      <c r="S414" s="4" t="str">
        <f ca="1">IFERROR(VLOOKUP($L414,Calculation!$H$6:$S$1005,HLOOKUP(S$2,Calculation!$M$4:$S$5,2,FALSE)+5,FALSE),"")</f>
        <v/>
      </c>
      <c r="T414" s="29"/>
      <c r="U414" s="43" t="str">
        <f>IFERROR(VLOOKUP(T414,Calculation!$U$6:$V$11,2,FALSE),"")</f>
        <v/>
      </c>
    </row>
    <row r="415" spans="1:21" ht="14.25" customHeight="1" x14ac:dyDescent="0.3">
      <c r="A415" s="26" t="str">
        <f ca="1">IF(Calculation!T418&lt;=Calculation!$H$4,Calculation!T418,"")</f>
        <v/>
      </c>
      <c r="B415" s="4" t="str">
        <f ca="1">VLOOKUP(A415,Calculation!$E$6:$J$1004,4,FALSE)</f>
        <v/>
      </c>
      <c r="C415" s="4" t="str">
        <f ca="1">VLOOKUP(A415,Calculation!$E$6:$J$1004,5,FALSE)</f>
        <v/>
      </c>
      <c r="D415" s="4" t="str">
        <f ca="1">VLOOKUP(A415,Calculation!$E$6:$J$1004,6,FALSE)</f>
        <v/>
      </c>
      <c r="E415" s="42" t="str">
        <f t="shared" ca="1" si="2"/>
        <v/>
      </c>
      <c r="G415" s="29" t="str">
        <f ca="1">VLOOKUP(A415,Calculation!$F$6:$J$1004,3,FALSE)</f>
        <v/>
      </c>
      <c r="H415" s="4" t="str">
        <f ca="1">VLOOKUP(A415,Calculation!$F$6:$J$1004,4,FALSE)</f>
        <v/>
      </c>
      <c r="I415" s="4" t="str">
        <f ca="1">VLOOKUP(A415,Calculation!$F$6:$J$1004,5,FALSE)</f>
        <v/>
      </c>
      <c r="J415" s="43" t="str">
        <f t="shared" ca="1" si="3"/>
        <v/>
      </c>
      <c r="L415" s="29" t="str">
        <f ca="1">VLOOKUP(A415,Calculation!$G$6:$S$1004,2,FALSE)</f>
        <v/>
      </c>
      <c r="M415" s="4" t="str">
        <f ca="1">IFERROR(VLOOKUP($L415,Calculation!$H$6:$S$1005,HLOOKUP(M$2,Calculation!$M$4:$S$5,2,FALSE)+5,FALSE),"")</f>
        <v/>
      </c>
      <c r="N415" s="4" t="str">
        <f ca="1">IFERROR(VLOOKUP($L415,Calculation!$H$6:$S$1005,HLOOKUP(N$2,Calculation!$M$4:$S$5,2,FALSE)+5,FALSE),"")</f>
        <v/>
      </c>
      <c r="O415" s="4" t="str">
        <f ca="1">IFERROR(VLOOKUP($L415,Calculation!$H$6:$S$1005,HLOOKUP(O$2,Calculation!$M$4:$S$5,2,FALSE)+5,FALSE),"")</f>
        <v/>
      </c>
      <c r="P415" s="4" t="str">
        <f ca="1">IFERROR(VLOOKUP($L415,Calculation!$H$6:$S$1005,HLOOKUP(P$2,Calculation!$M$4:$S$5,2,FALSE)+5,FALSE),"")</f>
        <v/>
      </c>
      <c r="Q415" s="4" t="str">
        <f ca="1">IFERROR(VLOOKUP($L415,Calculation!$H$6:$S$1005,HLOOKUP(Q$2,Calculation!$M$4:$S$5,2,FALSE)+5,FALSE),"")</f>
        <v/>
      </c>
      <c r="R415" s="27" t="str">
        <f ca="1">IFERROR(VLOOKUP($L415,Calculation!$H$6:$S$1005,HLOOKUP(R$2,Calculation!$M$4:$S$5,2,FALSE)+5,FALSE),"")</f>
        <v/>
      </c>
      <c r="S415" s="4" t="str">
        <f ca="1">IFERROR(VLOOKUP($L415,Calculation!$H$6:$S$1005,HLOOKUP(S$2,Calculation!$M$4:$S$5,2,FALSE)+5,FALSE),"")</f>
        <v/>
      </c>
      <c r="T415" s="29"/>
      <c r="U415" s="43" t="str">
        <f>IFERROR(VLOOKUP(T415,Calculation!$U$6:$V$11,2,FALSE),"")</f>
        <v/>
      </c>
    </row>
    <row r="416" spans="1:21" ht="14.25" customHeight="1" x14ac:dyDescent="0.3">
      <c r="A416" s="26" t="str">
        <f ca="1">IF(Calculation!T419&lt;=Calculation!$H$4,Calculation!T419,"")</f>
        <v/>
      </c>
      <c r="B416" s="4" t="str">
        <f ca="1">VLOOKUP(A416,Calculation!$E$6:$J$1004,4,FALSE)</f>
        <v/>
      </c>
      <c r="C416" s="4" t="str">
        <f ca="1">VLOOKUP(A416,Calculation!$E$6:$J$1004,5,FALSE)</f>
        <v/>
      </c>
      <c r="D416" s="4" t="str">
        <f ca="1">VLOOKUP(A416,Calculation!$E$6:$J$1004,6,FALSE)</f>
        <v/>
      </c>
      <c r="E416" s="42" t="str">
        <f t="shared" ca="1" si="2"/>
        <v/>
      </c>
      <c r="G416" s="29" t="str">
        <f ca="1">VLOOKUP(A416,Calculation!$F$6:$J$1004,3,FALSE)</f>
        <v/>
      </c>
      <c r="H416" s="4" t="str">
        <f ca="1">VLOOKUP(A416,Calculation!$F$6:$J$1004,4,FALSE)</f>
        <v/>
      </c>
      <c r="I416" s="4" t="str">
        <f ca="1">VLOOKUP(A416,Calculation!$F$6:$J$1004,5,FALSE)</f>
        <v/>
      </c>
      <c r="J416" s="43" t="str">
        <f t="shared" ca="1" si="3"/>
        <v/>
      </c>
      <c r="L416" s="29" t="str">
        <f ca="1">VLOOKUP(A416,Calculation!$G$6:$S$1004,2,FALSE)</f>
        <v/>
      </c>
      <c r="M416" s="4" t="str">
        <f ca="1">IFERROR(VLOOKUP($L416,Calculation!$H$6:$S$1005,HLOOKUP(M$2,Calculation!$M$4:$S$5,2,FALSE)+5,FALSE),"")</f>
        <v/>
      </c>
      <c r="N416" s="4" t="str">
        <f ca="1">IFERROR(VLOOKUP($L416,Calculation!$H$6:$S$1005,HLOOKUP(N$2,Calculation!$M$4:$S$5,2,FALSE)+5,FALSE),"")</f>
        <v/>
      </c>
      <c r="O416" s="4" t="str">
        <f ca="1">IFERROR(VLOOKUP($L416,Calculation!$H$6:$S$1005,HLOOKUP(O$2,Calculation!$M$4:$S$5,2,FALSE)+5,FALSE),"")</f>
        <v/>
      </c>
      <c r="P416" s="4" t="str">
        <f ca="1">IFERROR(VLOOKUP($L416,Calculation!$H$6:$S$1005,HLOOKUP(P$2,Calculation!$M$4:$S$5,2,FALSE)+5,FALSE),"")</f>
        <v/>
      </c>
      <c r="Q416" s="4" t="str">
        <f ca="1">IFERROR(VLOOKUP($L416,Calculation!$H$6:$S$1005,HLOOKUP(Q$2,Calculation!$M$4:$S$5,2,FALSE)+5,FALSE),"")</f>
        <v/>
      </c>
      <c r="R416" s="27" t="str">
        <f ca="1">IFERROR(VLOOKUP($L416,Calculation!$H$6:$S$1005,HLOOKUP(R$2,Calculation!$M$4:$S$5,2,FALSE)+5,FALSE),"")</f>
        <v/>
      </c>
      <c r="S416" s="4" t="str">
        <f ca="1">IFERROR(VLOOKUP($L416,Calculation!$H$6:$S$1005,HLOOKUP(S$2,Calculation!$M$4:$S$5,2,FALSE)+5,FALSE),"")</f>
        <v/>
      </c>
      <c r="T416" s="29"/>
      <c r="U416" s="43" t="str">
        <f>IFERROR(VLOOKUP(T416,Calculation!$U$6:$V$11,2,FALSE),"")</f>
        <v/>
      </c>
    </row>
    <row r="417" spans="1:21" ht="14.25" customHeight="1" x14ac:dyDescent="0.3">
      <c r="A417" s="26" t="str">
        <f ca="1">IF(Calculation!T420&lt;=Calculation!$H$4,Calculation!T420,"")</f>
        <v/>
      </c>
      <c r="B417" s="4" t="str">
        <f ca="1">VLOOKUP(A417,Calculation!$E$6:$J$1004,4,FALSE)</f>
        <v/>
      </c>
      <c r="C417" s="4" t="str">
        <f ca="1">VLOOKUP(A417,Calculation!$E$6:$J$1004,5,FALSE)</f>
        <v/>
      </c>
      <c r="D417" s="4" t="str">
        <f ca="1">VLOOKUP(A417,Calculation!$E$6:$J$1004,6,FALSE)</f>
        <v/>
      </c>
      <c r="E417" s="42" t="str">
        <f t="shared" ca="1" si="2"/>
        <v/>
      </c>
      <c r="G417" s="29" t="str">
        <f ca="1">VLOOKUP(A417,Calculation!$F$6:$J$1004,3,FALSE)</f>
        <v/>
      </c>
      <c r="H417" s="4" t="str">
        <f ca="1">VLOOKUP(A417,Calculation!$F$6:$J$1004,4,FALSE)</f>
        <v/>
      </c>
      <c r="I417" s="4" t="str">
        <f ca="1">VLOOKUP(A417,Calculation!$F$6:$J$1004,5,FALSE)</f>
        <v/>
      </c>
      <c r="J417" s="43" t="str">
        <f t="shared" ca="1" si="3"/>
        <v/>
      </c>
      <c r="L417" s="29" t="str">
        <f ca="1">VLOOKUP(A417,Calculation!$G$6:$S$1004,2,FALSE)</f>
        <v/>
      </c>
      <c r="M417" s="4" t="str">
        <f ca="1">IFERROR(VLOOKUP($L417,Calculation!$H$6:$S$1005,HLOOKUP(M$2,Calculation!$M$4:$S$5,2,FALSE)+5,FALSE),"")</f>
        <v/>
      </c>
      <c r="N417" s="4" t="str">
        <f ca="1">IFERROR(VLOOKUP($L417,Calculation!$H$6:$S$1005,HLOOKUP(N$2,Calculation!$M$4:$S$5,2,FALSE)+5,FALSE),"")</f>
        <v/>
      </c>
      <c r="O417" s="4" t="str">
        <f ca="1">IFERROR(VLOOKUP($L417,Calculation!$H$6:$S$1005,HLOOKUP(O$2,Calculation!$M$4:$S$5,2,FALSE)+5,FALSE),"")</f>
        <v/>
      </c>
      <c r="P417" s="4" t="str">
        <f ca="1">IFERROR(VLOOKUP($L417,Calculation!$H$6:$S$1005,HLOOKUP(P$2,Calculation!$M$4:$S$5,2,FALSE)+5,FALSE),"")</f>
        <v/>
      </c>
      <c r="Q417" s="4" t="str">
        <f ca="1">IFERROR(VLOOKUP($L417,Calculation!$H$6:$S$1005,HLOOKUP(Q$2,Calculation!$M$4:$S$5,2,FALSE)+5,FALSE),"")</f>
        <v/>
      </c>
      <c r="R417" s="27" t="str">
        <f ca="1">IFERROR(VLOOKUP($L417,Calculation!$H$6:$S$1005,HLOOKUP(R$2,Calculation!$M$4:$S$5,2,FALSE)+5,FALSE),"")</f>
        <v/>
      </c>
      <c r="S417" s="4" t="str">
        <f ca="1">IFERROR(VLOOKUP($L417,Calculation!$H$6:$S$1005,HLOOKUP(S$2,Calculation!$M$4:$S$5,2,FALSE)+5,FALSE),"")</f>
        <v/>
      </c>
      <c r="T417" s="29"/>
      <c r="U417" s="43" t="str">
        <f>IFERROR(VLOOKUP(T417,Calculation!$U$6:$V$11,2,FALSE),"")</f>
        <v/>
      </c>
    </row>
    <row r="418" spans="1:21" ht="14.25" customHeight="1" x14ac:dyDescent="0.3">
      <c r="A418" s="26" t="str">
        <f ca="1">IF(Calculation!T421&lt;=Calculation!$H$4,Calculation!T421,"")</f>
        <v/>
      </c>
      <c r="B418" s="4" t="str">
        <f ca="1">VLOOKUP(A418,Calculation!$E$6:$J$1004,4,FALSE)</f>
        <v/>
      </c>
      <c r="C418" s="4" t="str">
        <f ca="1">VLOOKUP(A418,Calculation!$E$6:$J$1004,5,FALSE)</f>
        <v/>
      </c>
      <c r="D418" s="4" t="str">
        <f ca="1">VLOOKUP(A418,Calculation!$E$6:$J$1004,6,FALSE)</f>
        <v/>
      </c>
      <c r="E418" s="42" t="str">
        <f t="shared" ca="1" si="2"/>
        <v/>
      </c>
      <c r="G418" s="29" t="str">
        <f ca="1">VLOOKUP(A418,Calculation!$F$6:$J$1004,3,FALSE)</f>
        <v/>
      </c>
      <c r="H418" s="4" t="str">
        <f ca="1">VLOOKUP(A418,Calculation!$F$6:$J$1004,4,FALSE)</f>
        <v/>
      </c>
      <c r="I418" s="4" t="str">
        <f ca="1">VLOOKUP(A418,Calculation!$F$6:$J$1004,5,FALSE)</f>
        <v/>
      </c>
      <c r="J418" s="43" t="str">
        <f t="shared" ca="1" si="3"/>
        <v/>
      </c>
      <c r="L418" s="29" t="str">
        <f ca="1">VLOOKUP(A418,Calculation!$G$6:$S$1004,2,FALSE)</f>
        <v/>
      </c>
      <c r="M418" s="4" t="str">
        <f ca="1">IFERROR(VLOOKUP($L418,Calculation!$H$6:$S$1005,HLOOKUP(M$2,Calculation!$M$4:$S$5,2,FALSE)+5,FALSE),"")</f>
        <v/>
      </c>
      <c r="N418" s="4" t="str">
        <f ca="1">IFERROR(VLOOKUP($L418,Calculation!$H$6:$S$1005,HLOOKUP(N$2,Calculation!$M$4:$S$5,2,FALSE)+5,FALSE),"")</f>
        <v/>
      </c>
      <c r="O418" s="4" t="str">
        <f ca="1">IFERROR(VLOOKUP($L418,Calculation!$H$6:$S$1005,HLOOKUP(O$2,Calculation!$M$4:$S$5,2,FALSE)+5,FALSE),"")</f>
        <v/>
      </c>
      <c r="P418" s="4" t="str">
        <f ca="1">IFERROR(VLOOKUP($L418,Calculation!$H$6:$S$1005,HLOOKUP(P$2,Calculation!$M$4:$S$5,2,FALSE)+5,FALSE),"")</f>
        <v/>
      </c>
      <c r="Q418" s="4" t="str">
        <f ca="1">IFERROR(VLOOKUP($L418,Calculation!$H$6:$S$1005,HLOOKUP(Q$2,Calculation!$M$4:$S$5,2,FALSE)+5,FALSE),"")</f>
        <v/>
      </c>
      <c r="R418" s="27" t="str">
        <f ca="1">IFERROR(VLOOKUP($L418,Calculation!$H$6:$S$1005,HLOOKUP(R$2,Calculation!$M$4:$S$5,2,FALSE)+5,FALSE),"")</f>
        <v/>
      </c>
      <c r="S418" s="4" t="str">
        <f ca="1">IFERROR(VLOOKUP($L418,Calculation!$H$6:$S$1005,HLOOKUP(S$2,Calculation!$M$4:$S$5,2,FALSE)+5,FALSE),"")</f>
        <v/>
      </c>
      <c r="T418" s="29"/>
      <c r="U418" s="43" t="str">
        <f>IFERROR(VLOOKUP(T418,Calculation!$U$6:$V$11,2,FALSE),"")</f>
        <v/>
      </c>
    </row>
    <row r="419" spans="1:21" ht="14.25" customHeight="1" x14ac:dyDescent="0.3">
      <c r="A419" s="26" t="str">
        <f ca="1">IF(Calculation!T422&lt;=Calculation!$H$4,Calculation!T422,"")</f>
        <v/>
      </c>
      <c r="B419" s="4" t="str">
        <f ca="1">VLOOKUP(A419,Calculation!$E$6:$J$1004,4,FALSE)</f>
        <v/>
      </c>
      <c r="C419" s="4" t="str">
        <f ca="1">VLOOKUP(A419,Calculation!$E$6:$J$1004,5,FALSE)</f>
        <v/>
      </c>
      <c r="D419" s="4" t="str">
        <f ca="1">VLOOKUP(A419,Calculation!$E$6:$J$1004,6,FALSE)</f>
        <v/>
      </c>
      <c r="E419" s="42" t="str">
        <f t="shared" ca="1" si="2"/>
        <v/>
      </c>
      <c r="G419" s="29" t="str">
        <f ca="1">VLOOKUP(A419,Calculation!$F$6:$J$1004,3,FALSE)</f>
        <v/>
      </c>
      <c r="H419" s="4" t="str">
        <f ca="1">VLOOKUP(A419,Calculation!$F$6:$J$1004,4,FALSE)</f>
        <v/>
      </c>
      <c r="I419" s="4" t="str">
        <f ca="1">VLOOKUP(A419,Calculation!$F$6:$J$1004,5,FALSE)</f>
        <v/>
      </c>
      <c r="J419" s="43" t="str">
        <f t="shared" ca="1" si="3"/>
        <v/>
      </c>
      <c r="L419" s="29" t="str">
        <f ca="1">VLOOKUP(A419,Calculation!$G$6:$S$1004,2,FALSE)</f>
        <v/>
      </c>
      <c r="M419" s="4" t="str">
        <f ca="1">IFERROR(VLOOKUP($L419,Calculation!$H$6:$S$1005,HLOOKUP(M$2,Calculation!$M$4:$S$5,2,FALSE)+5,FALSE),"")</f>
        <v/>
      </c>
      <c r="N419" s="4" t="str">
        <f ca="1">IFERROR(VLOOKUP($L419,Calculation!$H$6:$S$1005,HLOOKUP(N$2,Calculation!$M$4:$S$5,2,FALSE)+5,FALSE),"")</f>
        <v/>
      </c>
      <c r="O419" s="4" t="str">
        <f ca="1">IFERROR(VLOOKUP($L419,Calculation!$H$6:$S$1005,HLOOKUP(O$2,Calculation!$M$4:$S$5,2,FALSE)+5,FALSE),"")</f>
        <v/>
      </c>
      <c r="P419" s="4" t="str">
        <f ca="1">IFERROR(VLOOKUP($L419,Calculation!$H$6:$S$1005,HLOOKUP(P$2,Calculation!$M$4:$S$5,2,FALSE)+5,FALSE),"")</f>
        <v/>
      </c>
      <c r="Q419" s="4" t="str">
        <f ca="1">IFERROR(VLOOKUP($L419,Calculation!$H$6:$S$1005,HLOOKUP(Q$2,Calculation!$M$4:$S$5,2,FALSE)+5,FALSE),"")</f>
        <v/>
      </c>
      <c r="R419" s="27" t="str">
        <f ca="1">IFERROR(VLOOKUP($L419,Calculation!$H$6:$S$1005,HLOOKUP(R$2,Calculation!$M$4:$S$5,2,FALSE)+5,FALSE),"")</f>
        <v/>
      </c>
      <c r="S419" s="4" t="str">
        <f ca="1">IFERROR(VLOOKUP($L419,Calculation!$H$6:$S$1005,HLOOKUP(S$2,Calculation!$M$4:$S$5,2,FALSE)+5,FALSE),"")</f>
        <v/>
      </c>
      <c r="T419" s="29"/>
      <c r="U419" s="43" t="str">
        <f>IFERROR(VLOOKUP(T419,Calculation!$U$6:$V$11,2,FALSE),"")</f>
        <v/>
      </c>
    </row>
    <row r="420" spans="1:21" ht="14.25" customHeight="1" x14ac:dyDescent="0.3">
      <c r="A420" s="26" t="str">
        <f ca="1">IF(Calculation!T423&lt;=Calculation!$H$4,Calculation!T423,"")</f>
        <v/>
      </c>
      <c r="B420" s="4" t="str">
        <f ca="1">VLOOKUP(A420,Calculation!$E$6:$J$1004,4,FALSE)</f>
        <v/>
      </c>
      <c r="C420" s="4" t="str">
        <f ca="1">VLOOKUP(A420,Calculation!$E$6:$J$1004,5,FALSE)</f>
        <v/>
      </c>
      <c r="D420" s="4" t="str">
        <f ca="1">VLOOKUP(A420,Calculation!$E$6:$J$1004,6,FALSE)</f>
        <v/>
      </c>
      <c r="E420" s="42" t="str">
        <f t="shared" ca="1" si="2"/>
        <v/>
      </c>
      <c r="G420" s="29" t="str">
        <f ca="1">VLOOKUP(A420,Calculation!$F$6:$J$1004,3,FALSE)</f>
        <v/>
      </c>
      <c r="H420" s="4" t="str">
        <f ca="1">VLOOKUP(A420,Calculation!$F$6:$J$1004,4,FALSE)</f>
        <v/>
      </c>
      <c r="I420" s="4" t="str">
        <f ca="1">VLOOKUP(A420,Calculation!$F$6:$J$1004,5,FALSE)</f>
        <v/>
      </c>
      <c r="J420" s="43" t="str">
        <f t="shared" ca="1" si="3"/>
        <v/>
      </c>
      <c r="L420" s="29" t="str">
        <f ca="1">VLOOKUP(A420,Calculation!$G$6:$S$1004,2,FALSE)</f>
        <v/>
      </c>
      <c r="M420" s="4" t="str">
        <f ca="1">IFERROR(VLOOKUP($L420,Calculation!$H$6:$S$1005,HLOOKUP(M$2,Calculation!$M$4:$S$5,2,FALSE)+5,FALSE),"")</f>
        <v/>
      </c>
      <c r="N420" s="4" t="str">
        <f ca="1">IFERROR(VLOOKUP($L420,Calculation!$H$6:$S$1005,HLOOKUP(N$2,Calculation!$M$4:$S$5,2,FALSE)+5,FALSE),"")</f>
        <v/>
      </c>
      <c r="O420" s="4" t="str">
        <f ca="1">IFERROR(VLOOKUP($L420,Calculation!$H$6:$S$1005,HLOOKUP(O$2,Calculation!$M$4:$S$5,2,FALSE)+5,FALSE),"")</f>
        <v/>
      </c>
      <c r="P420" s="4" t="str">
        <f ca="1">IFERROR(VLOOKUP($L420,Calculation!$H$6:$S$1005,HLOOKUP(P$2,Calculation!$M$4:$S$5,2,FALSE)+5,FALSE),"")</f>
        <v/>
      </c>
      <c r="Q420" s="4" t="str">
        <f ca="1">IFERROR(VLOOKUP($L420,Calculation!$H$6:$S$1005,HLOOKUP(Q$2,Calculation!$M$4:$S$5,2,FALSE)+5,FALSE),"")</f>
        <v/>
      </c>
      <c r="R420" s="27" t="str">
        <f ca="1">IFERROR(VLOOKUP($L420,Calculation!$H$6:$S$1005,HLOOKUP(R$2,Calculation!$M$4:$S$5,2,FALSE)+5,FALSE),"")</f>
        <v/>
      </c>
      <c r="S420" s="4" t="str">
        <f ca="1">IFERROR(VLOOKUP($L420,Calculation!$H$6:$S$1005,HLOOKUP(S$2,Calculation!$M$4:$S$5,2,FALSE)+5,FALSE),"")</f>
        <v/>
      </c>
      <c r="T420" s="29"/>
      <c r="U420" s="43" t="str">
        <f>IFERROR(VLOOKUP(T420,Calculation!$U$6:$V$11,2,FALSE),"")</f>
        <v/>
      </c>
    </row>
    <row r="421" spans="1:21" ht="14.25" customHeight="1" x14ac:dyDescent="0.3">
      <c r="A421" s="26" t="str">
        <f ca="1">IF(Calculation!T424&lt;=Calculation!$H$4,Calculation!T424,"")</f>
        <v/>
      </c>
      <c r="B421" s="4" t="str">
        <f ca="1">VLOOKUP(A421,Calculation!$E$6:$J$1004,4,FALSE)</f>
        <v/>
      </c>
      <c r="C421" s="4" t="str">
        <f ca="1">VLOOKUP(A421,Calculation!$E$6:$J$1004,5,FALSE)</f>
        <v/>
      </c>
      <c r="D421" s="4" t="str">
        <f ca="1">VLOOKUP(A421,Calculation!$E$6:$J$1004,6,FALSE)</f>
        <v/>
      </c>
      <c r="E421" s="42" t="str">
        <f t="shared" ca="1" si="2"/>
        <v/>
      </c>
      <c r="G421" s="29" t="str">
        <f ca="1">VLOOKUP(A421,Calculation!$F$6:$J$1004,3,FALSE)</f>
        <v/>
      </c>
      <c r="H421" s="4" t="str">
        <f ca="1">VLOOKUP(A421,Calculation!$F$6:$J$1004,4,FALSE)</f>
        <v/>
      </c>
      <c r="I421" s="4" t="str">
        <f ca="1">VLOOKUP(A421,Calculation!$F$6:$J$1004,5,FALSE)</f>
        <v/>
      </c>
      <c r="J421" s="43" t="str">
        <f t="shared" ca="1" si="3"/>
        <v/>
      </c>
      <c r="L421" s="29" t="str">
        <f ca="1">VLOOKUP(A421,Calculation!$G$6:$S$1004,2,FALSE)</f>
        <v/>
      </c>
      <c r="M421" s="4" t="str">
        <f ca="1">IFERROR(VLOOKUP($L421,Calculation!$H$6:$S$1005,HLOOKUP(M$2,Calculation!$M$4:$S$5,2,FALSE)+5,FALSE),"")</f>
        <v/>
      </c>
      <c r="N421" s="4" t="str">
        <f ca="1">IFERROR(VLOOKUP($L421,Calculation!$H$6:$S$1005,HLOOKUP(N$2,Calculation!$M$4:$S$5,2,FALSE)+5,FALSE),"")</f>
        <v/>
      </c>
      <c r="O421" s="4" t="str">
        <f ca="1">IFERROR(VLOOKUP($L421,Calculation!$H$6:$S$1005,HLOOKUP(O$2,Calculation!$M$4:$S$5,2,FALSE)+5,FALSE),"")</f>
        <v/>
      </c>
      <c r="P421" s="4" t="str">
        <f ca="1">IFERROR(VLOOKUP($L421,Calculation!$H$6:$S$1005,HLOOKUP(P$2,Calculation!$M$4:$S$5,2,FALSE)+5,FALSE),"")</f>
        <v/>
      </c>
      <c r="Q421" s="4" t="str">
        <f ca="1">IFERROR(VLOOKUP($L421,Calculation!$H$6:$S$1005,HLOOKUP(Q$2,Calculation!$M$4:$S$5,2,FALSE)+5,FALSE),"")</f>
        <v/>
      </c>
      <c r="R421" s="27" t="str">
        <f ca="1">IFERROR(VLOOKUP($L421,Calculation!$H$6:$S$1005,HLOOKUP(R$2,Calculation!$M$4:$S$5,2,FALSE)+5,FALSE),"")</f>
        <v/>
      </c>
      <c r="S421" s="4" t="str">
        <f ca="1">IFERROR(VLOOKUP($L421,Calculation!$H$6:$S$1005,HLOOKUP(S$2,Calculation!$M$4:$S$5,2,FALSE)+5,FALSE),"")</f>
        <v/>
      </c>
      <c r="T421" s="29"/>
      <c r="U421" s="43" t="str">
        <f>IFERROR(VLOOKUP(T421,Calculation!$U$6:$V$11,2,FALSE),"")</f>
        <v/>
      </c>
    </row>
    <row r="422" spans="1:21" ht="14.25" customHeight="1" x14ac:dyDescent="0.3">
      <c r="A422" s="26" t="str">
        <f ca="1">IF(Calculation!T425&lt;=Calculation!$H$4,Calculation!T425,"")</f>
        <v/>
      </c>
      <c r="B422" s="4" t="str">
        <f ca="1">VLOOKUP(A422,Calculation!$E$6:$J$1004,4,FALSE)</f>
        <v/>
      </c>
      <c r="C422" s="4" t="str">
        <f ca="1">VLOOKUP(A422,Calculation!$E$6:$J$1004,5,FALSE)</f>
        <v/>
      </c>
      <c r="D422" s="4" t="str">
        <f ca="1">VLOOKUP(A422,Calculation!$E$6:$J$1004,6,FALSE)</f>
        <v/>
      </c>
      <c r="E422" s="42" t="str">
        <f t="shared" ca="1" si="2"/>
        <v/>
      </c>
      <c r="G422" s="29" t="str">
        <f ca="1">VLOOKUP(A422,Calculation!$F$6:$J$1004,3,FALSE)</f>
        <v/>
      </c>
      <c r="H422" s="4" t="str">
        <f ca="1">VLOOKUP(A422,Calculation!$F$6:$J$1004,4,FALSE)</f>
        <v/>
      </c>
      <c r="I422" s="4" t="str">
        <f ca="1">VLOOKUP(A422,Calculation!$F$6:$J$1004,5,FALSE)</f>
        <v/>
      </c>
      <c r="J422" s="43" t="str">
        <f t="shared" ca="1" si="3"/>
        <v/>
      </c>
      <c r="L422" s="29" t="str">
        <f ca="1">VLOOKUP(A422,Calculation!$G$6:$S$1004,2,FALSE)</f>
        <v/>
      </c>
      <c r="M422" s="4" t="str">
        <f ca="1">IFERROR(VLOOKUP($L422,Calculation!$H$6:$S$1005,HLOOKUP(M$2,Calculation!$M$4:$S$5,2,FALSE)+5,FALSE),"")</f>
        <v/>
      </c>
      <c r="N422" s="4" t="str">
        <f ca="1">IFERROR(VLOOKUP($L422,Calculation!$H$6:$S$1005,HLOOKUP(N$2,Calculation!$M$4:$S$5,2,FALSE)+5,FALSE),"")</f>
        <v/>
      </c>
      <c r="O422" s="4" t="str">
        <f ca="1">IFERROR(VLOOKUP($L422,Calculation!$H$6:$S$1005,HLOOKUP(O$2,Calculation!$M$4:$S$5,2,FALSE)+5,FALSE),"")</f>
        <v/>
      </c>
      <c r="P422" s="4" t="str">
        <f ca="1">IFERROR(VLOOKUP($L422,Calculation!$H$6:$S$1005,HLOOKUP(P$2,Calculation!$M$4:$S$5,2,FALSE)+5,FALSE),"")</f>
        <v/>
      </c>
      <c r="Q422" s="4" t="str">
        <f ca="1">IFERROR(VLOOKUP($L422,Calculation!$H$6:$S$1005,HLOOKUP(Q$2,Calculation!$M$4:$S$5,2,FALSE)+5,FALSE),"")</f>
        <v/>
      </c>
      <c r="R422" s="27" t="str">
        <f ca="1">IFERROR(VLOOKUP($L422,Calculation!$H$6:$S$1005,HLOOKUP(R$2,Calculation!$M$4:$S$5,2,FALSE)+5,FALSE),"")</f>
        <v/>
      </c>
      <c r="S422" s="4" t="str">
        <f ca="1">IFERROR(VLOOKUP($L422,Calculation!$H$6:$S$1005,HLOOKUP(S$2,Calculation!$M$4:$S$5,2,FALSE)+5,FALSE),"")</f>
        <v/>
      </c>
      <c r="T422" s="29"/>
      <c r="U422" s="43" t="str">
        <f>IFERROR(VLOOKUP(T422,Calculation!$U$6:$V$11,2,FALSE),"")</f>
        <v/>
      </c>
    </row>
    <row r="423" spans="1:21" ht="14.25" customHeight="1" x14ac:dyDescent="0.3">
      <c r="A423" s="26" t="str">
        <f ca="1">IF(Calculation!T426&lt;=Calculation!$H$4,Calculation!T426,"")</f>
        <v/>
      </c>
      <c r="B423" s="4" t="str">
        <f ca="1">VLOOKUP(A423,Calculation!$E$6:$J$1004,4,FALSE)</f>
        <v/>
      </c>
      <c r="C423" s="4" t="str">
        <f ca="1">VLOOKUP(A423,Calculation!$E$6:$J$1004,5,FALSE)</f>
        <v/>
      </c>
      <c r="D423" s="4" t="str">
        <f ca="1">VLOOKUP(A423,Calculation!$E$6:$J$1004,6,FALSE)</f>
        <v/>
      </c>
      <c r="E423" s="42" t="str">
        <f t="shared" ca="1" si="2"/>
        <v/>
      </c>
      <c r="G423" s="29" t="str">
        <f ca="1">VLOOKUP(A423,Calculation!$F$6:$J$1004,3,FALSE)</f>
        <v/>
      </c>
      <c r="H423" s="4" t="str">
        <f ca="1">VLOOKUP(A423,Calculation!$F$6:$J$1004,4,FALSE)</f>
        <v/>
      </c>
      <c r="I423" s="4" t="str">
        <f ca="1">VLOOKUP(A423,Calculation!$F$6:$J$1004,5,FALSE)</f>
        <v/>
      </c>
      <c r="J423" s="43" t="str">
        <f t="shared" ca="1" si="3"/>
        <v/>
      </c>
      <c r="L423" s="29" t="str">
        <f ca="1">VLOOKUP(A423,Calculation!$G$6:$S$1004,2,FALSE)</f>
        <v/>
      </c>
      <c r="M423" s="4" t="str">
        <f ca="1">IFERROR(VLOOKUP($L423,Calculation!$H$6:$S$1005,HLOOKUP(M$2,Calculation!$M$4:$S$5,2,FALSE)+5,FALSE),"")</f>
        <v/>
      </c>
      <c r="N423" s="4" t="str">
        <f ca="1">IFERROR(VLOOKUP($L423,Calculation!$H$6:$S$1005,HLOOKUP(N$2,Calculation!$M$4:$S$5,2,FALSE)+5,FALSE),"")</f>
        <v/>
      </c>
      <c r="O423" s="4" t="str">
        <f ca="1">IFERROR(VLOOKUP($L423,Calculation!$H$6:$S$1005,HLOOKUP(O$2,Calculation!$M$4:$S$5,2,FALSE)+5,FALSE),"")</f>
        <v/>
      </c>
      <c r="P423" s="4" t="str">
        <f ca="1">IFERROR(VLOOKUP($L423,Calculation!$H$6:$S$1005,HLOOKUP(P$2,Calculation!$M$4:$S$5,2,FALSE)+5,FALSE),"")</f>
        <v/>
      </c>
      <c r="Q423" s="4" t="str">
        <f ca="1">IFERROR(VLOOKUP($L423,Calculation!$H$6:$S$1005,HLOOKUP(Q$2,Calculation!$M$4:$S$5,2,FALSE)+5,FALSE),"")</f>
        <v/>
      </c>
      <c r="R423" s="27" t="str">
        <f ca="1">IFERROR(VLOOKUP($L423,Calculation!$H$6:$S$1005,HLOOKUP(R$2,Calculation!$M$4:$S$5,2,FALSE)+5,FALSE),"")</f>
        <v/>
      </c>
      <c r="S423" s="4" t="str">
        <f ca="1">IFERROR(VLOOKUP($L423,Calculation!$H$6:$S$1005,HLOOKUP(S$2,Calculation!$M$4:$S$5,2,FALSE)+5,FALSE),"")</f>
        <v/>
      </c>
      <c r="T423" s="29"/>
      <c r="U423" s="43" t="str">
        <f>IFERROR(VLOOKUP(T423,Calculation!$U$6:$V$11,2,FALSE),"")</f>
        <v/>
      </c>
    </row>
    <row r="424" spans="1:21" ht="14.25" customHeight="1" x14ac:dyDescent="0.3">
      <c r="A424" s="26" t="str">
        <f ca="1">IF(Calculation!T427&lt;=Calculation!$H$4,Calculation!T427,"")</f>
        <v/>
      </c>
      <c r="B424" s="4" t="str">
        <f ca="1">VLOOKUP(A424,Calculation!$E$6:$J$1004,4,FALSE)</f>
        <v/>
      </c>
      <c r="C424" s="4" t="str">
        <f ca="1">VLOOKUP(A424,Calculation!$E$6:$J$1004,5,FALSE)</f>
        <v/>
      </c>
      <c r="D424" s="4" t="str">
        <f ca="1">VLOOKUP(A424,Calculation!$E$6:$J$1004,6,FALSE)</f>
        <v/>
      </c>
      <c r="E424" s="42" t="str">
        <f t="shared" ca="1" si="2"/>
        <v/>
      </c>
      <c r="G424" s="29" t="str">
        <f ca="1">VLOOKUP(A424,Calculation!$F$6:$J$1004,3,FALSE)</f>
        <v/>
      </c>
      <c r="H424" s="4" t="str">
        <f ca="1">VLOOKUP(A424,Calculation!$F$6:$J$1004,4,FALSE)</f>
        <v/>
      </c>
      <c r="I424" s="4" t="str">
        <f ca="1">VLOOKUP(A424,Calculation!$F$6:$J$1004,5,FALSE)</f>
        <v/>
      </c>
      <c r="J424" s="43" t="str">
        <f t="shared" ca="1" si="3"/>
        <v/>
      </c>
      <c r="L424" s="29" t="str">
        <f ca="1">VLOOKUP(A424,Calculation!$G$6:$S$1004,2,FALSE)</f>
        <v/>
      </c>
      <c r="M424" s="4" t="str">
        <f ca="1">IFERROR(VLOOKUP($L424,Calculation!$H$6:$S$1005,HLOOKUP(M$2,Calculation!$M$4:$S$5,2,FALSE)+5,FALSE),"")</f>
        <v/>
      </c>
      <c r="N424" s="4" t="str">
        <f ca="1">IFERROR(VLOOKUP($L424,Calculation!$H$6:$S$1005,HLOOKUP(N$2,Calculation!$M$4:$S$5,2,FALSE)+5,FALSE),"")</f>
        <v/>
      </c>
      <c r="O424" s="4" t="str">
        <f ca="1">IFERROR(VLOOKUP($L424,Calculation!$H$6:$S$1005,HLOOKUP(O$2,Calculation!$M$4:$S$5,2,FALSE)+5,FALSE),"")</f>
        <v/>
      </c>
      <c r="P424" s="4" t="str">
        <f ca="1">IFERROR(VLOOKUP($L424,Calculation!$H$6:$S$1005,HLOOKUP(P$2,Calculation!$M$4:$S$5,2,FALSE)+5,FALSE),"")</f>
        <v/>
      </c>
      <c r="Q424" s="4" t="str">
        <f ca="1">IFERROR(VLOOKUP($L424,Calculation!$H$6:$S$1005,HLOOKUP(Q$2,Calculation!$M$4:$S$5,2,FALSE)+5,FALSE),"")</f>
        <v/>
      </c>
      <c r="R424" s="27" t="str">
        <f ca="1">IFERROR(VLOOKUP($L424,Calculation!$H$6:$S$1005,HLOOKUP(R$2,Calculation!$M$4:$S$5,2,FALSE)+5,FALSE),"")</f>
        <v/>
      </c>
      <c r="S424" s="4" t="str">
        <f ca="1">IFERROR(VLOOKUP($L424,Calculation!$H$6:$S$1005,HLOOKUP(S$2,Calculation!$M$4:$S$5,2,FALSE)+5,FALSE),"")</f>
        <v/>
      </c>
      <c r="T424" s="29"/>
      <c r="U424" s="43" t="str">
        <f>IFERROR(VLOOKUP(T424,Calculation!$U$6:$V$11,2,FALSE),"")</f>
        <v/>
      </c>
    </row>
    <row r="425" spans="1:21" ht="14.25" customHeight="1" x14ac:dyDescent="0.3">
      <c r="A425" s="26" t="str">
        <f ca="1">IF(Calculation!T428&lt;=Calculation!$H$4,Calculation!T428,"")</f>
        <v/>
      </c>
      <c r="B425" s="4" t="str">
        <f ca="1">VLOOKUP(A425,Calculation!$E$6:$J$1004,4,FALSE)</f>
        <v/>
      </c>
      <c r="C425" s="4" t="str">
        <f ca="1">VLOOKUP(A425,Calculation!$E$6:$J$1004,5,FALSE)</f>
        <v/>
      </c>
      <c r="D425" s="4" t="str">
        <f ca="1">VLOOKUP(A425,Calculation!$E$6:$J$1004,6,FALSE)</f>
        <v/>
      </c>
      <c r="E425" s="42" t="str">
        <f t="shared" ca="1" si="2"/>
        <v/>
      </c>
      <c r="G425" s="29" t="str">
        <f ca="1">VLOOKUP(A425,Calculation!$F$6:$J$1004,3,FALSE)</f>
        <v/>
      </c>
      <c r="H425" s="4" t="str">
        <f ca="1">VLOOKUP(A425,Calculation!$F$6:$J$1004,4,FALSE)</f>
        <v/>
      </c>
      <c r="I425" s="4" t="str">
        <f ca="1">VLOOKUP(A425,Calculation!$F$6:$J$1004,5,FALSE)</f>
        <v/>
      </c>
      <c r="J425" s="43" t="str">
        <f t="shared" ca="1" si="3"/>
        <v/>
      </c>
      <c r="L425" s="29" t="str">
        <f ca="1">VLOOKUP(A425,Calculation!$G$6:$S$1004,2,FALSE)</f>
        <v/>
      </c>
      <c r="M425" s="4" t="str">
        <f ca="1">IFERROR(VLOOKUP($L425,Calculation!$H$6:$S$1005,HLOOKUP(M$2,Calculation!$M$4:$S$5,2,FALSE)+5,FALSE),"")</f>
        <v/>
      </c>
      <c r="N425" s="4" t="str">
        <f ca="1">IFERROR(VLOOKUP($L425,Calculation!$H$6:$S$1005,HLOOKUP(N$2,Calculation!$M$4:$S$5,2,FALSE)+5,FALSE),"")</f>
        <v/>
      </c>
      <c r="O425" s="4" t="str">
        <f ca="1">IFERROR(VLOOKUP($L425,Calculation!$H$6:$S$1005,HLOOKUP(O$2,Calculation!$M$4:$S$5,2,FALSE)+5,FALSE),"")</f>
        <v/>
      </c>
      <c r="P425" s="4" t="str">
        <f ca="1">IFERROR(VLOOKUP($L425,Calculation!$H$6:$S$1005,HLOOKUP(P$2,Calculation!$M$4:$S$5,2,FALSE)+5,FALSE),"")</f>
        <v/>
      </c>
      <c r="Q425" s="4" t="str">
        <f ca="1">IFERROR(VLOOKUP($L425,Calculation!$H$6:$S$1005,HLOOKUP(Q$2,Calculation!$M$4:$S$5,2,FALSE)+5,FALSE),"")</f>
        <v/>
      </c>
      <c r="R425" s="27" t="str">
        <f ca="1">IFERROR(VLOOKUP($L425,Calculation!$H$6:$S$1005,HLOOKUP(R$2,Calculation!$M$4:$S$5,2,FALSE)+5,FALSE),"")</f>
        <v/>
      </c>
      <c r="S425" s="4" t="str">
        <f ca="1">IFERROR(VLOOKUP($L425,Calculation!$H$6:$S$1005,HLOOKUP(S$2,Calculation!$M$4:$S$5,2,FALSE)+5,FALSE),"")</f>
        <v/>
      </c>
      <c r="T425" s="29"/>
      <c r="U425" s="43" t="str">
        <f>IFERROR(VLOOKUP(T425,Calculation!$U$6:$V$11,2,FALSE),"")</f>
        <v/>
      </c>
    </row>
    <row r="426" spans="1:21" ht="14.25" customHeight="1" x14ac:dyDescent="0.3">
      <c r="A426" s="26" t="str">
        <f ca="1">IF(Calculation!T429&lt;=Calculation!$H$4,Calculation!T429,"")</f>
        <v/>
      </c>
      <c r="B426" s="4" t="str">
        <f ca="1">VLOOKUP(A426,Calculation!$E$6:$J$1004,4,FALSE)</f>
        <v/>
      </c>
      <c r="C426" s="4" t="str">
        <f ca="1">VLOOKUP(A426,Calculation!$E$6:$J$1004,5,FALSE)</f>
        <v/>
      </c>
      <c r="D426" s="4" t="str">
        <f ca="1">VLOOKUP(A426,Calculation!$E$6:$J$1004,6,FALSE)</f>
        <v/>
      </c>
      <c r="E426" s="42" t="str">
        <f t="shared" ca="1" si="2"/>
        <v/>
      </c>
      <c r="G426" s="29" t="str">
        <f ca="1">VLOOKUP(A426,Calculation!$F$6:$J$1004,3,FALSE)</f>
        <v/>
      </c>
      <c r="H426" s="4" t="str">
        <f ca="1">VLOOKUP(A426,Calculation!$F$6:$J$1004,4,FALSE)</f>
        <v/>
      </c>
      <c r="I426" s="4" t="str">
        <f ca="1">VLOOKUP(A426,Calculation!$F$6:$J$1004,5,FALSE)</f>
        <v/>
      </c>
      <c r="J426" s="43" t="str">
        <f t="shared" ca="1" si="3"/>
        <v/>
      </c>
      <c r="L426" s="29" t="str">
        <f ca="1">VLOOKUP(A426,Calculation!$G$6:$S$1004,2,FALSE)</f>
        <v/>
      </c>
      <c r="M426" s="4" t="str">
        <f ca="1">IFERROR(VLOOKUP($L426,Calculation!$H$6:$S$1005,HLOOKUP(M$2,Calculation!$M$4:$S$5,2,FALSE)+5,FALSE),"")</f>
        <v/>
      </c>
      <c r="N426" s="4" t="str">
        <f ca="1">IFERROR(VLOOKUP($L426,Calculation!$H$6:$S$1005,HLOOKUP(N$2,Calculation!$M$4:$S$5,2,FALSE)+5,FALSE),"")</f>
        <v/>
      </c>
      <c r="O426" s="4" t="str">
        <f ca="1">IFERROR(VLOOKUP($L426,Calculation!$H$6:$S$1005,HLOOKUP(O$2,Calculation!$M$4:$S$5,2,FALSE)+5,FALSE),"")</f>
        <v/>
      </c>
      <c r="P426" s="4" t="str">
        <f ca="1">IFERROR(VLOOKUP($L426,Calculation!$H$6:$S$1005,HLOOKUP(P$2,Calculation!$M$4:$S$5,2,FALSE)+5,FALSE),"")</f>
        <v/>
      </c>
      <c r="Q426" s="4" t="str">
        <f ca="1">IFERROR(VLOOKUP($L426,Calculation!$H$6:$S$1005,HLOOKUP(Q$2,Calculation!$M$4:$S$5,2,FALSE)+5,FALSE),"")</f>
        <v/>
      </c>
      <c r="R426" s="27" t="str">
        <f ca="1">IFERROR(VLOOKUP($L426,Calculation!$H$6:$S$1005,HLOOKUP(R$2,Calculation!$M$4:$S$5,2,FALSE)+5,FALSE),"")</f>
        <v/>
      </c>
      <c r="S426" s="4" t="str">
        <f ca="1">IFERROR(VLOOKUP($L426,Calculation!$H$6:$S$1005,HLOOKUP(S$2,Calculation!$M$4:$S$5,2,FALSE)+5,FALSE),"")</f>
        <v/>
      </c>
      <c r="T426" s="29"/>
      <c r="U426" s="43" t="str">
        <f>IFERROR(VLOOKUP(T426,Calculation!$U$6:$V$11,2,FALSE),"")</f>
        <v/>
      </c>
    </row>
    <row r="427" spans="1:21" ht="14.25" customHeight="1" x14ac:dyDescent="0.3">
      <c r="A427" s="26" t="str">
        <f ca="1">IF(Calculation!T430&lt;=Calculation!$H$4,Calculation!T430,"")</f>
        <v/>
      </c>
      <c r="B427" s="4" t="str">
        <f ca="1">VLOOKUP(A427,Calculation!$E$6:$J$1004,4,FALSE)</f>
        <v/>
      </c>
      <c r="C427" s="4" t="str">
        <f ca="1">VLOOKUP(A427,Calculation!$E$6:$J$1004,5,FALSE)</f>
        <v/>
      </c>
      <c r="D427" s="4" t="str">
        <f ca="1">VLOOKUP(A427,Calculation!$E$6:$J$1004,6,FALSE)</f>
        <v/>
      </c>
      <c r="E427" s="42" t="str">
        <f t="shared" ca="1" si="2"/>
        <v/>
      </c>
      <c r="G427" s="29" t="str">
        <f ca="1">VLOOKUP(A427,Calculation!$F$6:$J$1004,3,FALSE)</f>
        <v/>
      </c>
      <c r="H427" s="4" t="str">
        <f ca="1">VLOOKUP(A427,Calculation!$F$6:$J$1004,4,FALSE)</f>
        <v/>
      </c>
      <c r="I427" s="4" t="str">
        <f ca="1">VLOOKUP(A427,Calculation!$F$6:$J$1004,5,FALSE)</f>
        <v/>
      </c>
      <c r="J427" s="43" t="str">
        <f t="shared" ca="1" si="3"/>
        <v/>
      </c>
      <c r="L427" s="29" t="str">
        <f ca="1">VLOOKUP(A427,Calculation!$G$6:$S$1004,2,FALSE)</f>
        <v/>
      </c>
      <c r="M427" s="4" t="str">
        <f ca="1">IFERROR(VLOOKUP($L427,Calculation!$H$6:$S$1005,HLOOKUP(M$2,Calculation!$M$4:$S$5,2,FALSE)+5,FALSE),"")</f>
        <v/>
      </c>
      <c r="N427" s="4" t="str">
        <f ca="1">IFERROR(VLOOKUP($L427,Calculation!$H$6:$S$1005,HLOOKUP(N$2,Calculation!$M$4:$S$5,2,FALSE)+5,FALSE),"")</f>
        <v/>
      </c>
      <c r="O427" s="4" t="str">
        <f ca="1">IFERROR(VLOOKUP($L427,Calculation!$H$6:$S$1005,HLOOKUP(O$2,Calculation!$M$4:$S$5,2,FALSE)+5,FALSE),"")</f>
        <v/>
      </c>
      <c r="P427" s="4" t="str">
        <f ca="1">IFERROR(VLOOKUP($L427,Calculation!$H$6:$S$1005,HLOOKUP(P$2,Calculation!$M$4:$S$5,2,FALSE)+5,FALSE),"")</f>
        <v/>
      </c>
      <c r="Q427" s="4" t="str">
        <f ca="1">IFERROR(VLOOKUP($L427,Calculation!$H$6:$S$1005,HLOOKUP(Q$2,Calculation!$M$4:$S$5,2,FALSE)+5,FALSE),"")</f>
        <v/>
      </c>
      <c r="R427" s="27" t="str">
        <f ca="1">IFERROR(VLOOKUP($L427,Calculation!$H$6:$S$1005,HLOOKUP(R$2,Calculation!$M$4:$S$5,2,FALSE)+5,FALSE),"")</f>
        <v/>
      </c>
      <c r="S427" s="4" t="str">
        <f ca="1">IFERROR(VLOOKUP($L427,Calculation!$H$6:$S$1005,HLOOKUP(S$2,Calculation!$M$4:$S$5,2,FALSE)+5,FALSE),"")</f>
        <v/>
      </c>
      <c r="T427" s="29"/>
      <c r="U427" s="43" t="str">
        <f>IFERROR(VLOOKUP(T427,Calculation!$U$6:$V$11,2,FALSE),"")</f>
        <v/>
      </c>
    </row>
    <row r="428" spans="1:21" ht="14.25" customHeight="1" x14ac:dyDescent="0.3">
      <c r="A428" s="26" t="str">
        <f ca="1">IF(Calculation!T431&lt;=Calculation!$H$4,Calculation!T431,"")</f>
        <v/>
      </c>
      <c r="B428" s="4" t="str">
        <f ca="1">VLOOKUP(A428,Calculation!$E$6:$J$1004,4,FALSE)</f>
        <v/>
      </c>
      <c r="C428" s="4" t="str">
        <f ca="1">VLOOKUP(A428,Calculation!$E$6:$J$1004,5,FALSE)</f>
        <v/>
      </c>
      <c r="D428" s="4" t="str">
        <f ca="1">VLOOKUP(A428,Calculation!$E$6:$J$1004,6,FALSE)</f>
        <v/>
      </c>
      <c r="E428" s="42" t="str">
        <f t="shared" ca="1" si="2"/>
        <v/>
      </c>
      <c r="G428" s="29" t="str">
        <f ca="1">VLOOKUP(A428,Calculation!$F$6:$J$1004,3,FALSE)</f>
        <v/>
      </c>
      <c r="H428" s="4" t="str">
        <f ca="1">VLOOKUP(A428,Calculation!$F$6:$J$1004,4,FALSE)</f>
        <v/>
      </c>
      <c r="I428" s="4" t="str">
        <f ca="1">VLOOKUP(A428,Calculation!$F$6:$J$1004,5,FALSE)</f>
        <v/>
      </c>
      <c r="J428" s="43" t="str">
        <f t="shared" ca="1" si="3"/>
        <v/>
      </c>
      <c r="L428" s="29" t="str">
        <f ca="1">VLOOKUP(A428,Calculation!$G$6:$S$1004,2,FALSE)</f>
        <v/>
      </c>
      <c r="M428" s="4" t="str">
        <f ca="1">IFERROR(VLOOKUP($L428,Calculation!$H$6:$S$1005,HLOOKUP(M$2,Calculation!$M$4:$S$5,2,FALSE)+5,FALSE),"")</f>
        <v/>
      </c>
      <c r="N428" s="4" t="str">
        <f ca="1">IFERROR(VLOOKUP($L428,Calculation!$H$6:$S$1005,HLOOKUP(N$2,Calculation!$M$4:$S$5,2,FALSE)+5,FALSE),"")</f>
        <v/>
      </c>
      <c r="O428" s="4" t="str">
        <f ca="1">IFERROR(VLOOKUP($L428,Calculation!$H$6:$S$1005,HLOOKUP(O$2,Calculation!$M$4:$S$5,2,FALSE)+5,FALSE),"")</f>
        <v/>
      </c>
      <c r="P428" s="4" t="str">
        <f ca="1">IFERROR(VLOOKUP($L428,Calculation!$H$6:$S$1005,HLOOKUP(P$2,Calculation!$M$4:$S$5,2,FALSE)+5,FALSE),"")</f>
        <v/>
      </c>
      <c r="Q428" s="4" t="str">
        <f ca="1">IFERROR(VLOOKUP($L428,Calculation!$H$6:$S$1005,HLOOKUP(Q$2,Calculation!$M$4:$S$5,2,FALSE)+5,FALSE),"")</f>
        <v/>
      </c>
      <c r="R428" s="27" t="str">
        <f ca="1">IFERROR(VLOOKUP($L428,Calculation!$H$6:$S$1005,HLOOKUP(R$2,Calculation!$M$4:$S$5,2,FALSE)+5,FALSE),"")</f>
        <v/>
      </c>
      <c r="S428" s="4" t="str">
        <f ca="1">IFERROR(VLOOKUP($L428,Calculation!$H$6:$S$1005,HLOOKUP(S$2,Calculation!$M$4:$S$5,2,FALSE)+5,FALSE),"")</f>
        <v/>
      </c>
      <c r="T428" s="29"/>
      <c r="U428" s="43" t="str">
        <f>IFERROR(VLOOKUP(T428,Calculation!$U$6:$V$11,2,FALSE),"")</f>
        <v/>
      </c>
    </row>
    <row r="429" spans="1:21" ht="14.25" customHeight="1" x14ac:dyDescent="0.3">
      <c r="A429" s="26" t="str">
        <f ca="1">IF(Calculation!T432&lt;=Calculation!$H$4,Calculation!T432,"")</f>
        <v/>
      </c>
      <c r="B429" s="4" t="str">
        <f ca="1">VLOOKUP(A429,Calculation!$E$6:$J$1004,4,FALSE)</f>
        <v/>
      </c>
      <c r="C429" s="4" t="str">
        <f ca="1">VLOOKUP(A429,Calculation!$E$6:$J$1004,5,FALSE)</f>
        <v/>
      </c>
      <c r="D429" s="4" t="str">
        <f ca="1">VLOOKUP(A429,Calculation!$E$6:$J$1004,6,FALSE)</f>
        <v/>
      </c>
      <c r="E429" s="42" t="str">
        <f t="shared" ca="1" si="2"/>
        <v/>
      </c>
      <c r="G429" s="29" t="str">
        <f ca="1">VLOOKUP(A429,Calculation!$F$6:$J$1004,3,FALSE)</f>
        <v/>
      </c>
      <c r="H429" s="4" t="str">
        <f ca="1">VLOOKUP(A429,Calculation!$F$6:$J$1004,4,FALSE)</f>
        <v/>
      </c>
      <c r="I429" s="4" t="str">
        <f ca="1">VLOOKUP(A429,Calculation!$F$6:$J$1004,5,FALSE)</f>
        <v/>
      </c>
      <c r="J429" s="43" t="str">
        <f t="shared" ca="1" si="3"/>
        <v/>
      </c>
      <c r="L429" s="29" t="str">
        <f ca="1">VLOOKUP(A429,Calculation!$G$6:$S$1004,2,FALSE)</f>
        <v/>
      </c>
      <c r="M429" s="4" t="str">
        <f ca="1">IFERROR(VLOOKUP($L429,Calculation!$H$6:$S$1005,HLOOKUP(M$2,Calculation!$M$4:$S$5,2,FALSE)+5,FALSE),"")</f>
        <v/>
      </c>
      <c r="N429" s="4" t="str">
        <f ca="1">IFERROR(VLOOKUP($L429,Calculation!$H$6:$S$1005,HLOOKUP(N$2,Calculation!$M$4:$S$5,2,FALSE)+5,FALSE),"")</f>
        <v/>
      </c>
      <c r="O429" s="4" t="str">
        <f ca="1">IFERROR(VLOOKUP($L429,Calculation!$H$6:$S$1005,HLOOKUP(O$2,Calculation!$M$4:$S$5,2,FALSE)+5,FALSE),"")</f>
        <v/>
      </c>
      <c r="P429" s="4" t="str">
        <f ca="1">IFERROR(VLOOKUP($L429,Calculation!$H$6:$S$1005,HLOOKUP(P$2,Calculation!$M$4:$S$5,2,FALSE)+5,FALSE),"")</f>
        <v/>
      </c>
      <c r="Q429" s="4" t="str">
        <f ca="1">IFERROR(VLOOKUP($L429,Calculation!$H$6:$S$1005,HLOOKUP(Q$2,Calculation!$M$4:$S$5,2,FALSE)+5,FALSE),"")</f>
        <v/>
      </c>
      <c r="R429" s="27" t="str">
        <f ca="1">IFERROR(VLOOKUP($L429,Calculation!$H$6:$S$1005,HLOOKUP(R$2,Calculation!$M$4:$S$5,2,FALSE)+5,FALSE),"")</f>
        <v/>
      </c>
      <c r="S429" s="4" t="str">
        <f ca="1">IFERROR(VLOOKUP($L429,Calculation!$H$6:$S$1005,HLOOKUP(S$2,Calculation!$M$4:$S$5,2,FALSE)+5,FALSE),"")</f>
        <v/>
      </c>
      <c r="T429" s="29"/>
      <c r="U429" s="43" t="str">
        <f>IFERROR(VLOOKUP(T429,Calculation!$U$6:$V$11,2,FALSE),"")</f>
        <v/>
      </c>
    </row>
    <row r="430" spans="1:21" ht="14.25" customHeight="1" x14ac:dyDescent="0.3">
      <c r="A430" s="26" t="str">
        <f ca="1">IF(Calculation!T433&lt;=Calculation!$H$4,Calculation!T433,"")</f>
        <v/>
      </c>
      <c r="B430" s="4" t="str">
        <f ca="1">VLOOKUP(A430,Calculation!$E$6:$J$1004,4,FALSE)</f>
        <v/>
      </c>
      <c r="C430" s="4" t="str">
        <f ca="1">VLOOKUP(A430,Calculation!$E$6:$J$1004,5,FALSE)</f>
        <v/>
      </c>
      <c r="D430" s="4" t="str">
        <f ca="1">VLOOKUP(A430,Calculation!$E$6:$J$1004,6,FALSE)</f>
        <v/>
      </c>
      <c r="E430" s="42" t="str">
        <f t="shared" ca="1" si="2"/>
        <v/>
      </c>
      <c r="G430" s="29" t="str">
        <f ca="1">VLOOKUP(A430,Calculation!$F$6:$J$1004,3,FALSE)</f>
        <v/>
      </c>
      <c r="H430" s="4" t="str">
        <f ca="1">VLOOKUP(A430,Calculation!$F$6:$J$1004,4,FALSE)</f>
        <v/>
      </c>
      <c r="I430" s="4" t="str">
        <f ca="1">VLOOKUP(A430,Calculation!$F$6:$J$1004,5,FALSE)</f>
        <v/>
      </c>
      <c r="J430" s="43" t="str">
        <f t="shared" ca="1" si="3"/>
        <v/>
      </c>
      <c r="L430" s="29" t="str">
        <f ca="1">VLOOKUP(A430,Calculation!$G$6:$S$1004,2,FALSE)</f>
        <v/>
      </c>
      <c r="M430" s="4" t="str">
        <f ca="1">IFERROR(VLOOKUP($L430,Calculation!$H$6:$S$1005,HLOOKUP(M$2,Calculation!$M$4:$S$5,2,FALSE)+5,FALSE),"")</f>
        <v/>
      </c>
      <c r="N430" s="4" t="str">
        <f ca="1">IFERROR(VLOOKUP($L430,Calculation!$H$6:$S$1005,HLOOKUP(N$2,Calculation!$M$4:$S$5,2,FALSE)+5,FALSE),"")</f>
        <v/>
      </c>
      <c r="O430" s="4" t="str">
        <f ca="1">IFERROR(VLOOKUP($L430,Calculation!$H$6:$S$1005,HLOOKUP(O$2,Calculation!$M$4:$S$5,2,FALSE)+5,FALSE),"")</f>
        <v/>
      </c>
      <c r="P430" s="4" t="str">
        <f ca="1">IFERROR(VLOOKUP($L430,Calculation!$H$6:$S$1005,HLOOKUP(P$2,Calculation!$M$4:$S$5,2,FALSE)+5,FALSE),"")</f>
        <v/>
      </c>
      <c r="Q430" s="4" t="str">
        <f ca="1">IFERROR(VLOOKUP($L430,Calculation!$H$6:$S$1005,HLOOKUP(Q$2,Calculation!$M$4:$S$5,2,FALSE)+5,FALSE),"")</f>
        <v/>
      </c>
      <c r="R430" s="27" t="str">
        <f ca="1">IFERROR(VLOOKUP($L430,Calculation!$H$6:$S$1005,HLOOKUP(R$2,Calculation!$M$4:$S$5,2,FALSE)+5,FALSE),"")</f>
        <v/>
      </c>
      <c r="S430" s="4" t="str">
        <f ca="1">IFERROR(VLOOKUP($L430,Calculation!$H$6:$S$1005,HLOOKUP(S$2,Calculation!$M$4:$S$5,2,FALSE)+5,FALSE),"")</f>
        <v/>
      </c>
      <c r="T430" s="29"/>
      <c r="U430" s="43" t="str">
        <f>IFERROR(VLOOKUP(T430,Calculation!$U$6:$V$11,2,FALSE),"")</f>
        <v/>
      </c>
    </row>
    <row r="431" spans="1:21" ht="14.25" customHeight="1" x14ac:dyDescent="0.3">
      <c r="A431" s="26" t="str">
        <f ca="1">IF(Calculation!T434&lt;=Calculation!$H$4,Calculation!T434,"")</f>
        <v/>
      </c>
      <c r="B431" s="4" t="str">
        <f ca="1">VLOOKUP(A431,Calculation!$E$6:$J$1004,4,FALSE)</f>
        <v/>
      </c>
      <c r="C431" s="4" t="str">
        <f ca="1">VLOOKUP(A431,Calculation!$E$6:$J$1004,5,FALSE)</f>
        <v/>
      </c>
      <c r="D431" s="4" t="str">
        <f ca="1">VLOOKUP(A431,Calculation!$E$6:$J$1004,6,FALSE)</f>
        <v/>
      </c>
      <c r="E431" s="42" t="str">
        <f t="shared" ca="1" si="2"/>
        <v/>
      </c>
      <c r="G431" s="29" t="str">
        <f ca="1">VLOOKUP(A431,Calculation!$F$6:$J$1004,3,FALSE)</f>
        <v/>
      </c>
      <c r="H431" s="4" t="str">
        <f ca="1">VLOOKUP(A431,Calculation!$F$6:$J$1004,4,FALSE)</f>
        <v/>
      </c>
      <c r="I431" s="4" t="str">
        <f ca="1">VLOOKUP(A431,Calculation!$F$6:$J$1004,5,FALSE)</f>
        <v/>
      </c>
      <c r="J431" s="43" t="str">
        <f t="shared" ca="1" si="3"/>
        <v/>
      </c>
      <c r="L431" s="29" t="str">
        <f ca="1">VLOOKUP(A431,Calculation!$G$6:$S$1004,2,FALSE)</f>
        <v/>
      </c>
      <c r="M431" s="4" t="str">
        <f ca="1">IFERROR(VLOOKUP($L431,Calculation!$H$6:$S$1005,HLOOKUP(M$2,Calculation!$M$4:$S$5,2,FALSE)+5,FALSE),"")</f>
        <v/>
      </c>
      <c r="N431" s="4" t="str">
        <f ca="1">IFERROR(VLOOKUP($L431,Calculation!$H$6:$S$1005,HLOOKUP(N$2,Calculation!$M$4:$S$5,2,FALSE)+5,FALSE),"")</f>
        <v/>
      </c>
      <c r="O431" s="4" t="str">
        <f ca="1">IFERROR(VLOOKUP($L431,Calculation!$H$6:$S$1005,HLOOKUP(O$2,Calculation!$M$4:$S$5,2,FALSE)+5,FALSE),"")</f>
        <v/>
      </c>
      <c r="P431" s="4" t="str">
        <f ca="1">IFERROR(VLOOKUP($L431,Calculation!$H$6:$S$1005,HLOOKUP(P$2,Calculation!$M$4:$S$5,2,FALSE)+5,FALSE),"")</f>
        <v/>
      </c>
      <c r="Q431" s="4" t="str">
        <f ca="1">IFERROR(VLOOKUP($L431,Calculation!$H$6:$S$1005,HLOOKUP(Q$2,Calculation!$M$4:$S$5,2,FALSE)+5,FALSE),"")</f>
        <v/>
      </c>
      <c r="R431" s="27" t="str">
        <f ca="1">IFERROR(VLOOKUP($L431,Calculation!$H$6:$S$1005,HLOOKUP(R$2,Calculation!$M$4:$S$5,2,FALSE)+5,FALSE),"")</f>
        <v/>
      </c>
      <c r="S431" s="4" t="str">
        <f ca="1">IFERROR(VLOOKUP($L431,Calculation!$H$6:$S$1005,HLOOKUP(S$2,Calculation!$M$4:$S$5,2,FALSE)+5,FALSE),"")</f>
        <v/>
      </c>
      <c r="T431" s="29"/>
      <c r="U431" s="43" t="str">
        <f>IFERROR(VLOOKUP(T431,Calculation!$U$6:$V$11,2,FALSE),"")</f>
        <v/>
      </c>
    </row>
    <row r="432" spans="1:21" ht="14.25" customHeight="1" x14ac:dyDescent="0.3">
      <c r="A432" s="26" t="str">
        <f ca="1">IF(Calculation!T435&lt;=Calculation!$H$4,Calculation!T435,"")</f>
        <v/>
      </c>
      <c r="B432" s="4" t="str">
        <f ca="1">VLOOKUP(A432,Calculation!$E$6:$J$1004,4,FALSE)</f>
        <v/>
      </c>
      <c r="C432" s="4" t="str">
        <f ca="1">VLOOKUP(A432,Calculation!$E$6:$J$1004,5,FALSE)</f>
        <v/>
      </c>
      <c r="D432" s="4" t="str">
        <f ca="1">VLOOKUP(A432,Calculation!$E$6:$J$1004,6,FALSE)</f>
        <v/>
      </c>
      <c r="E432" s="42" t="str">
        <f t="shared" ca="1" si="2"/>
        <v/>
      </c>
      <c r="G432" s="29" t="str">
        <f ca="1">VLOOKUP(A432,Calculation!$F$6:$J$1004,3,FALSE)</f>
        <v/>
      </c>
      <c r="H432" s="4" t="str">
        <f ca="1">VLOOKUP(A432,Calculation!$F$6:$J$1004,4,FALSE)</f>
        <v/>
      </c>
      <c r="I432" s="4" t="str">
        <f ca="1">VLOOKUP(A432,Calculation!$F$6:$J$1004,5,FALSE)</f>
        <v/>
      </c>
      <c r="J432" s="43" t="str">
        <f t="shared" ca="1" si="3"/>
        <v/>
      </c>
      <c r="L432" s="29" t="str">
        <f ca="1">VLOOKUP(A432,Calculation!$G$6:$S$1004,2,FALSE)</f>
        <v/>
      </c>
      <c r="M432" s="4" t="str">
        <f ca="1">IFERROR(VLOOKUP($L432,Calculation!$H$6:$S$1005,HLOOKUP(M$2,Calculation!$M$4:$S$5,2,FALSE)+5,FALSE),"")</f>
        <v/>
      </c>
      <c r="N432" s="4" t="str">
        <f ca="1">IFERROR(VLOOKUP($L432,Calculation!$H$6:$S$1005,HLOOKUP(N$2,Calculation!$M$4:$S$5,2,FALSE)+5,FALSE),"")</f>
        <v/>
      </c>
      <c r="O432" s="4" t="str">
        <f ca="1">IFERROR(VLOOKUP($L432,Calculation!$H$6:$S$1005,HLOOKUP(O$2,Calculation!$M$4:$S$5,2,FALSE)+5,FALSE),"")</f>
        <v/>
      </c>
      <c r="P432" s="4" t="str">
        <f ca="1">IFERROR(VLOOKUP($L432,Calculation!$H$6:$S$1005,HLOOKUP(P$2,Calculation!$M$4:$S$5,2,FALSE)+5,FALSE),"")</f>
        <v/>
      </c>
      <c r="Q432" s="4" t="str">
        <f ca="1">IFERROR(VLOOKUP($L432,Calculation!$H$6:$S$1005,HLOOKUP(Q$2,Calculation!$M$4:$S$5,2,FALSE)+5,FALSE),"")</f>
        <v/>
      </c>
      <c r="R432" s="27" t="str">
        <f ca="1">IFERROR(VLOOKUP($L432,Calculation!$H$6:$S$1005,HLOOKUP(R$2,Calculation!$M$4:$S$5,2,FALSE)+5,FALSE),"")</f>
        <v/>
      </c>
      <c r="S432" s="4" t="str">
        <f ca="1">IFERROR(VLOOKUP($L432,Calculation!$H$6:$S$1005,HLOOKUP(S$2,Calculation!$M$4:$S$5,2,FALSE)+5,FALSE),"")</f>
        <v/>
      </c>
      <c r="T432" s="29"/>
      <c r="U432" s="43" t="str">
        <f>IFERROR(VLOOKUP(T432,Calculation!$U$6:$V$11,2,FALSE),"")</f>
        <v/>
      </c>
    </row>
    <row r="433" spans="1:21" ht="14.25" customHeight="1" x14ac:dyDescent="0.3">
      <c r="A433" s="26" t="str">
        <f ca="1">IF(Calculation!T436&lt;=Calculation!$H$4,Calculation!T436,"")</f>
        <v/>
      </c>
      <c r="B433" s="4" t="str">
        <f ca="1">VLOOKUP(A433,Calculation!$E$6:$J$1004,4,FALSE)</f>
        <v/>
      </c>
      <c r="C433" s="4" t="str">
        <f ca="1">VLOOKUP(A433,Calculation!$E$6:$J$1004,5,FALSE)</f>
        <v/>
      </c>
      <c r="D433" s="4" t="str">
        <f ca="1">VLOOKUP(A433,Calculation!$E$6:$J$1004,6,FALSE)</f>
        <v/>
      </c>
      <c r="E433" s="42" t="str">
        <f t="shared" ca="1" si="2"/>
        <v/>
      </c>
      <c r="G433" s="29" t="str">
        <f ca="1">VLOOKUP(A433,Calculation!$F$6:$J$1004,3,FALSE)</f>
        <v/>
      </c>
      <c r="H433" s="4" t="str">
        <f ca="1">VLOOKUP(A433,Calculation!$F$6:$J$1004,4,FALSE)</f>
        <v/>
      </c>
      <c r="I433" s="4" t="str">
        <f ca="1">VLOOKUP(A433,Calculation!$F$6:$J$1004,5,FALSE)</f>
        <v/>
      </c>
      <c r="J433" s="43" t="str">
        <f t="shared" ca="1" si="3"/>
        <v/>
      </c>
      <c r="L433" s="29" t="str">
        <f ca="1">VLOOKUP(A433,Calculation!$G$6:$S$1004,2,FALSE)</f>
        <v/>
      </c>
      <c r="M433" s="4" t="str">
        <f ca="1">IFERROR(VLOOKUP($L433,Calculation!$H$6:$S$1005,HLOOKUP(M$2,Calculation!$M$4:$S$5,2,FALSE)+5,FALSE),"")</f>
        <v/>
      </c>
      <c r="N433" s="4" t="str">
        <f ca="1">IFERROR(VLOOKUP($L433,Calculation!$H$6:$S$1005,HLOOKUP(N$2,Calculation!$M$4:$S$5,2,FALSE)+5,FALSE),"")</f>
        <v/>
      </c>
      <c r="O433" s="4" t="str">
        <f ca="1">IFERROR(VLOOKUP($L433,Calculation!$H$6:$S$1005,HLOOKUP(O$2,Calculation!$M$4:$S$5,2,FALSE)+5,FALSE),"")</f>
        <v/>
      </c>
      <c r="P433" s="4" t="str">
        <f ca="1">IFERROR(VLOOKUP($L433,Calculation!$H$6:$S$1005,HLOOKUP(P$2,Calculation!$M$4:$S$5,2,FALSE)+5,FALSE),"")</f>
        <v/>
      </c>
      <c r="Q433" s="4" t="str">
        <f ca="1">IFERROR(VLOOKUP($L433,Calculation!$H$6:$S$1005,HLOOKUP(Q$2,Calculation!$M$4:$S$5,2,FALSE)+5,FALSE),"")</f>
        <v/>
      </c>
      <c r="R433" s="27" t="str">
        <f ca="1">IFERROR(VLOOKUP($L433,Calculation!$H$6:$S$1005,HLOOKUP(R$2,Calculation!$M$4:$S$5,2,FALSE)+5,FALSE),"")</f>
        <v/>
      </c>
      <c r="S433" s="4" t="str">
        <f ca="1">IFERROR(VLOOKUP($L433,Calculation!$H$6:$S$1005,HLOOKUP(S$2,Calculation!$M$4:$S$5,2,FALSE)+5,FALSE),"")</f>
        <v/>
      </c>
      <c r="T433" s="29"/>
      <c r="U433" s="43" t="str">
        <f>IFERROR(VLOOKUP(T433,Calculation!$U$6:$V$11,2,FALSE),"")</f>
        <v/>
      </c>
    </row>
    <row r="434" spans="1:21" ht="14.25" customHeight="1" x14ac:dyDescent="0.3">
      <c r="A434" s="26" t="str">
        <f ca="1">IF(Calculation!T437&lt;=Calculation!$H$4,Calculation!T437,"")</f>
        <v/>
      </c>
      <c r="B434" s="4" t="str">
        <f ca="1">VLOOKUP(A434,Calculation!$E$6:$J$1004,4,FALSE)</f>
        <v/>
      </c>
      <c r="C434" s="4" t="str">
        <f ca="1">VLOOKUP(A434,Calculation!$E$6:$J$1004,5,FALSE)</f>
        <v/>
      </c>
      <c r="D434" s="4" t="str">
        <f ca="1">VLOOKUP(A434,Calculation!$E$6:$J$1004,6,FALSE)</f>
        <v/>
      </c>
      <c r="E434" s="42" t="str">
        <f t="shared" ca="1" si="2"/>
        <v/>
      </c>
      <c r="G434" s="29" t="str">
        <f ca="1">VLOOKUP(A434,Calculation!$F$6:$J$1004,3,FALSE)</f>
        <v/>
      </c>
      <c r="H434" s="4" t="str">
        <f ca="1">VLOOKUP(A434,Calculation!$F$6:$J$1004,4,FALSE)</f>
        <v/>
      </c>
      <c r="I434" s="4" t="str">
        <f ca="1">VLOOKUP(A434,Calculation!$F$6:$J$1004,5,FALSE)</f>
        <v/>
      </c>
      <c r="J434" s="43" t="str">
        <f t="shared" ca="1" si="3"/>
        <v/>
      </c>
      <c r="L434" s="29" t="str">
        <f ca="1">VLOOKUP(A434,Calculation!$G$6:$S$1004,2,FALSE)</f>
        <v/>
      </c>
      <c r="M434" s="4" t="str">
        <f ca="1">IFERROR(VLOOKUP($L434,Calculation!$H$6:$S$1005,HLOOKUP(M$2,Calculation!$M$4:$S$5,2,FALSE)+5,FALSE),"")</f>
        <v/>
      </c>
      <c r="N434" s="4" t="str">
        <f ca="1">IFERROR(VLOOKUP($L434,Calculation!$H$6:$S$1005,HLOOKUP(N$2,Calculation!$M$4:$S$5,2,FALSE)+5,FALSE),"")</f>
        <v/>
      </c>
      <c r="O434" s="4" t="str">
        <f ca="1">IFERROR(VLOOKUP($L434,Calculation!$H$6:$S$1005,HLOOKUP(O$2,Calculation!$M$4:$S$5,2,FALSE)+5,FALSE),"")</f>
        <v/>
      </c>
      <c r="P434" s="4" t="str">
        <f ca="1">IFERROR(VLOOKUP($L434,Calculation!$H$6:$S$1005,HLOOKUP(P$2,Calculation!$M$4:$S$5,2,FALSE)+5,FALSE),"")</f>
        <v/>
      </c>
      <c r="Q434" s="4" t="str">
        <f ca="1">IFERROR(VLOOKUP($L434,Calculation!$H$6:$S$1005,HLOOKUP(Q$2,Calculation!$M$4:$S$5,2,FALSE)+5,FALSE),"")</f>
        <v/>
      </c>
      <c r="R434" s="27" t="str">
        <f ca="1">IFERROR(VLOOKUP($L434,Calculation!$H$6:$S$1005,HLOOKUP(R$2,Calculation!$M$4:$S$5,2,FALSE)+5,FALSE),"")</f>
        <v/>
      </c>
      <c r="S434" s="4" t="str">
        <f ca="1">IFERROR(VLOOKUP($L434,Calculation!$H$6:$S$1005,HLOOKUP(S$2,Calculation!$M$4:$S$5,2,FALSE)+5,FALSE),"")</f>
        <v/>
      </c>
      <c r="T434" s="29"/>
      <c r="U434" s="43" t="str">
        <f>IFERROR(VLOOKUP(T434,Calculation!$U$6:$V$11,2,FALSE),"")</f>
        <v/>
      </c>
    </row>
    <row r="435" spans="1:21" ht="14.25" customHeight="1" x14ac:dyDescent="0.3">
      <c r="A435" s="26" t="str">
        <f ca="1">IF(Calculation!T438&lt;=Calculation!$H$4,Calculation!T438,"")</f>
        <v/>
      </c>
      <c r="B435" s="4" t="str">
        <f ca="1">VLOOKUP(A435,Calculation!$E$6:$J$1004,4,FALSE)</f>
        <v/>
      </c>
      <c r="C435" s="4" t="str">
        <f ca="1">VLOOKUP(A435,Calculation!$E$6:$J$1004,5,FALSE)</f>
        <v/>
      </c>
      <c r="D435" s="4" t="str">
        <f ca="1">VLOOKUP(A435,Calculation!$E$6:$J$1004,6,FALSE)</f>
        <v/>
      </c>
      <c r="E435" s="42" t="str">
        <f t="shared" ca="1" si="2"/>
        <v/>
      </c>
      <c r="G435" s="29" t="str">
        <f ca="1">VLOOKUP(A435,Calculation!$F$6:$J$1004,3,FALSE)</f>
        <v/>
      </c>
      <c r="H435" s="4" t="str">
        <f ca="1">VLOOKUP(A435,Calculation!$F$6:$J$1004,4,FALSE)</f>
        <v/>
      </c>
      <c r="I435" s="4" t="str">
        <f ca="1">VLOOKUP(A435,Calculation!$F$6:$J$1004,5,FALSE)</f>
        <v/>
      </c>
      <c r="J435" s="43" t="str">
        <f t="shared" ca="1" si="3"/>
        <v/>
      </c>
      <c r="L435" s="29" t="str">
        <f ca="1">VLOOKUP(A435,Calculation!$G$6:$S$1004,2,FALSE)</f>
        <v/>
      </c>
      <c r="M435" s="4" t="str">
        <f ca="1">IFERROR(VLOOKUP($L435,Calculation!$H$6:$S$1005,HLOOKUP(M$2,Calculation!$M$4:$S$5,2,FALSE)+5,FALSE),"")</f>
        <v/>
      </c>
      <c r="N435" s="4" t="str">
        <f ca="1">IFERROR(VLOOKUP($L435,Calculation!$H$6:$S$1005,HLOOKUP(N$2,Calculation!$M$4:$S$5,2,FALSE)+5,FALSE),"")</f>
        <v/>
      </c>
      <c r="O435" s="4" t="str">
        <f ca="1">IFERROR(VLOOKUP($L435,Calculation!$H$6:$S$1005,HLOOKUP(O$2,Calculation!$M$4:$S$5,2,FALSE)+5,FALSE),"")</f>
        <v/>
      </c>
      <c r="P435" s="4" t="str">
        <f ca="1">IFERROR(VLOOKUP($L435,Calculation!$H$6:$S$1005,HLOOKUP(P$2,Calculation!$M$4:$S$5,2,FALSE)+5,FALSE),"")</f>
        <v/>
      </c>
      <c r="Q435" s="4" t="str">
        <f ca="1">IFERROR(VLOOKUP($L435,Calculation!$H$6:$S$1005,HLOOKUP(Q$2,Calculation!$M$4:$S$5,2,FALSE)+5,FALSE),"")</f>
        <v/>
      </c>
      <c r="R435" s="27" t="str">
        <f ca="1">IFERROR(VLOOKUP($L435,Calculation!$H$6:$S$1005,HLOOKUP(R$2,Calculation!$M$4:$S$5,2,FALSE)+5,FALSE),"")</f>
        <v/>
      </c>
      <c r="S435" s="4" t="str">
        <f ca="1">IFERROR(VLOOKUP($L435,Calculation!$H$6:$S$1005,HLOOKUP(S$2,Calculation!$M$4:$S$5,2,FALSE)+5,FALSE),"")</f>
        <v/>
      </c>
      <c r="T435" s="29"/>
      <c r="U435" s="43" t="str">
        <f>IFERROR(VLOOKUP(T435,Calculation!$U$6:$V$11,2,FALSE),"")</f>
        <v/>
      </c>
    </row>
    <row r="436" spans="1:21" ht="14.25" customHeight="1" x14ac:dyDescent="0.3">
      <c r="A436" s="26" t="str">
        <f ca="1">IF(Calculation!T439&lt;=Calculation!$H$4,Calculation!T439,"")</f>
        <v/>
      </c>
      <c r="B436" s="4" t="str">
        <f ca="1">VLOOKUP(A436,Calculation!$E$6:$J$1004,4,FALSE)</f>
        <v/>
      </c>
      <c r="C436" s="4" t="str">
        <f ca="1">VLOOKUP(A436,Calculation!$E$6:$J$1004,5,FALSE)</f>
        <v/>
      </c>
      <c r="D436" s="4" t="str">
        <f ca="1">VLOOKUP(A436,Calculation!$E$6:$J$1004,6,FALSE)</f>
        <v/>
      </c>
      <c r="E436" s="42" t="str">
        <f t="shared" ca="1" si="2"/>
        <v/>
      </c>
      <c r="G436" s="29" t="str">
        <f ca="1">VLOOKUP(A436,Calculation!$F$6:$J$1004,3,FALSE)</f>
        <v/>
      </c>
      <c r="H436" s="4" t="str">
        <f ca="1">VLOOKUP(A436,Calculation!$F$6:$J$1004,4,FALSE)</f>
        <v/>
      </c>
      <c r="I436" s="4" t="str">
        <f ca="1">VLOOKUP(A436,Calculation!$F$6:$J$1004,5,FALSE)</f>
        <v/>
      </c>
      <c r="J436" s="43" t="str">
        <f t="shared" ca="1" si="3"/>
        <v/>
      </c>
      <c r="L436" s="29" t="str">
        <f ca="1">VLOOKUP(A436,Calculation!$G$6:$S$1004,2,FALSE)</f>
        <v/>
      </c>
      <c r="M436" s="4" t="str">
        <f ca="1">IFERROR(VLOOKUP($L436,Calculation!$H$6:$S$1005,HLOOKUP(M$2,Calculation!$M$4:$S$5,2,FALSE)+5,FALSE),"")</f>
        <v/>
      </c>
      <c r="N436" s="4" t="str">
        <f ca="1">IFERROR(VLOOKUP($L436,Calculation!$H$6:$S$1005,HLOOKUP(N$2,Calculation!$M$4:$S$5,2,FALSE)+5,FALSE),"")</f>
        <v/>
      </c>
      <c r="O436" s="4" t="str">
        <f ca="1">IFERROR(VLOOKUP($L436,Calculation!$H$6:$S$1005,HLOOKUP(O$2,Calculation!$M$4:$S$5,2,FALSE)+5,FALSE),"")</f>
        <v/>
      </c>
      <c r="P436" s="4" t="str">
        <f ca="1">IFERROR(VLOOKUP($L436,Calculation!$H$6:$S$1005,HLOOKUP(P$2,Calculation!$M$4:$S$5,2,FALSE)+5,FALSE),"")</f>
        <v/>
      </c>
      <c r="Q436" s="4" t="str">
        <f ca="1">IFERROR(VLOOKUP($L436,Calculation!$H$6:$S$1005,HLOOKUP(Q$2,Calculation!$M$4:$S$5,2,FALSE)+5,FALSE),"")</f>
        <v/>
      </c>
      <c r="R436" s="27" t="str">
        <f ca="1">IFERROR(VLOOKUP($L436,Calculation!$H$6:$S$1005,HLOOKUP(R$2,Calculation!$M$4:$S$5,2,FALSE)+5,FALSE),"")</f>
        <v/>
      </c>
      <c r="S436" s="4" t="str">
        <f ca="1">IFERROR(VLOOKUP($L436,Calculation!$H$6:$S$1005,HLOOKUP(S$2,Calculation!$M$4:$S$5,2,FALSE)+5,FALSE),"")</f>
        <v/>
      </c>
      <c r="T436" s="29"/>
      <c r="U436" s="43" t="str">
        <f>IFERROR(VLOOKUP(T436,Calculation!$U$6:$V$11,2,FALSE),"")</f>
        <v/>
      </c>
    </row>
    <row r="437" spans="1:21" ht="14.25" customHeight="1" x14ac:dyDescent="0.3">
      <c r="A437" s="26" t="str">
        <f ca="1">IF(Calculation!T440&lt;=Calculation!$H$4,Calculation!T440,"")</f>
        <v/>
      </c>
      <c r="B437" s="4" t="str">
        <f ca="1">VLOOKUP(A437,Calculation!$E$6:$J$1004,4,FALSE)</f>
        <v/>
      </c>
      <c r="C437" s="4" t="str">
        <f ca="1">VLOOKUP(A437,Calculation!$E$6:$J$1004,5,FALSE)</f>
        <v/>
      </c>
      <c r="D437" s="4" t="str">
        <f ca="1">VLOOKUP(A437,Calculation!$E$6:$J$1004,6,FALSE)</f>
        <v/>
      </c>
      <c r="E437" s="42" t="str">
        <f t="shared" ca="1" si="2"/>
        <v/>
      </c>
      <c r="G437" s="29" t="str">
        <f ca="1">VLOOKUP(A437,Calculation!$F$6:$J$1004,3,FALSE)</f>
        <v/>
      </c>
      <c r="H437" s="4" t="str">
        <f ca="1">VLOOKUP(A437,Calculation!$F$6:$J$1004,4,FALSE)</f>
        <v/>
      </c>
      <c r="I437" s="4" t="str">
        <f ca="1">VLOOKUP(A437,Calculation!$F$6:$J$1004,5,FALSE)</f>
        <v/>
      </c>
      <c r="J437" s="43" t="str">
        <f t="shared" ca="1" si="3"/>
        <v/>
      </c>
      <c r="L437" s="29" t="str">
        <f ca="1">VLOOKUP(A437,Calculation!$G$6:$S$1004,2,FALSE)</f>
        <v/>
      </c>
      <c r="M437" s="4" t="str">
        <f ca="1">IFERROR(VLOOKUP($L437,Calculation!$H$6:$S$1005,HLOOKUP(M$2,Calculation!$M$4:$S$5,2,FALSE)+5,FALSE),"")</f>
        <v/>
      </c>
      <c r="N437" s="4" t="str">
        <f ca="1">IFERROR(VLOOKUP($L437,Calculation!$H$6:$S$1005,HLOOKUP(N$2,Calculation!$M$4:$S$5,2,FALSE)+5,FALSE),"")</f>
        <v/>
      </c>
      <c r="O437" s="4" t="str">
        <f ca="1">IFERROR(VLOOKUP($L437,Calculation!$H$6:$S$1005,HLOOKUP(O$2,Calculation!$M$4:$S$5,2,FALSE)+5,FALSE),"")</f>
        <v/>
      </c>
      <c r="P437" s="4" t="str">
        <f ca="1">IFERROR(VLOOKUP($L437,Calculation!$H$6:$S$1005,HLOOKUP(P$2,Calculation!$M$4:$S$5,2,FALSE)+5,FALSE),"")</f>
        <v/>
      </c>
      <c r="Q437" s="4" t="str">
        <f ca="1">IFERROR(VLOOKUP($L437,Calculation!$H$6:$S$1005,HLOOKUP(Q$2,Calculation!$M$4:$S$5,2,FALSE)+5,FALSE),"")</f>
        <v/>
      </c>
      <c r="R437" s="27" t="str">
        <f ca="1">IFERROR(VLOOKUP($L437,Calculation!$H$6:$S$1005,HLOOKUP(R$2,Calculation!$M$4:$S$5,2,FALSE)+5,FALSE),"")</f>
        <v/>
      </c>
      <c r="S437" s="4" t="str">
        <f ca="1">IFERROR(VLOOKUP($L437,Calculation!$H$6:$S$1005,HLOOKUP(S$2,Calculation!$M$4:$S$5,2,FALSE)+5,FALSE),"")</f>
        <v/>
      </c>
      <c r="T437" s="29"/>
      <c r="U437" s="43" t="str">
        <f>IFERROR(VLOOKUP(T437,Calculation!$U$6:$V$11,2,FALSE),"")</f>
        <v/>
      </c>
    </row>
    <row r="438" spans="1:21" ht="14.25" customHeight="1" x14ac:dyDescent="0.3">
      <c r="A438" s="26" t="str">
        <f ca="1">IF(Calculation!T441&lt;=Calculation!$H$4,Calculation!T441,"")</f>
        <v/>
      </c>
      <c r="B438" s="4" t="str">
        <f ca="1">VLOOKUP(A438,Calculation!$E$6:$J$1004,4,FALSE)</f>
        <v/>
      </c>
      <c r="C438" s="4" t="str">
        <f ca="1">VLOOKUP(A438,Calculation!$E$6:$J$1004,5,FALSE)</f>
        <v/>
      </c>
      <c r="D438" s="4" t="str">
        <f ca="1">VLOOKUP(A438,Calculation!$E$6:$J$1004,6,FALSE)</f>
        <v/>
      </c>
      <c r="E438" s="42" t="str">
        <f t="shared" ca="1" si="2"/>
        <v/>
      </c>
      <c r="G438" s="29" t="str">
        <f ca="1">VLOOKUP(A438,Calculation!$F$6:$J$1004,3,FALSE)</f>
        <v/>
      </c>
      <c r="H438" s="4" t="str">
        <f ca="1">VLOOKUP(A438,Calculation!$F$6:$J$1004,4,FALSE)</f>
        <v/>
      </c>
      <c r="I438" s="4" t="str">
        <f ca="1">VLOOKUP(A438,Calculation!$F$6:$J$1004,5,FALSE)</f>
        <v/>
      </c>
      <c r="J438" s="43" t="str">
        <f t="shared" ca="1" si="3"/>
        <v/>
      </c>
      <c r="L438" s="29" t="str">
        <f ca="1">VLOOKUP(A438,Calculation!$G$6:$S$1004,2,FALSE)</f>
        <v/>
      </c>
      <c r="M438" s="4" t="str">
        <f ca="1">IFERROR(VLOOKUP($L438,Calculation!$H$6:$S$1005,HLOOKUP(M$2,Calculation!$M$4:$S$5,2,FALSE)+5,FALSE),"")</f>
        <v/>
      </c>
      <c r="N438" s="4" t="str">
        <f ca="1">IFERROR(VLOOKUP($L438,Calculation!$H$6:$S$1005,HLOOKUP(N$2,Calculation!$M$4:$S$5,2,FALSE)+5,FALSE),"")</f>
        <v/>
      </c>
      <c r="O438" s="4" t="str">
        <f ca="1">IFERROR(VLOOKUP($L438,Calculation!$H$6:$S$1005,HLOOKUP(O$2,Calculation!$M$4:$S$5,2,FALSE)+5,FALSE),"")</f>
        <v/>
      </c>
      <c r="P438" s="4" t="str">
        <f ca="1">IFERROR(VLOOKUP($L438,Calculation!$H$6:$S$1005,HLOOKUP(P$2,Calculation!$M$4:$S$5,2,FALSE)+5,FALSE),"")</f>
        <v/>
      </c>
      <c r="Q438" s="4" t="str">
        <f ca="1">IFERROR(VLOOKUP($L438,Calculation!$H$6:$S$1005,HLOOKUP(Q$2,Calculation!$M$4:$S$5,2,FALSE)+5,FALSE),"")</f>
        <v/>
      </c>
      <c r="R438" s="27" t="str">
        <f ca="1">IFERROR(VLOOKUP($L438,Calculation!$H$6:$S$1005,HLOOKUP(R$2,Calculation!$M$4:$S$5,2,FALSE)+5,FALSE),"")</f>
        <v/>
      </c>
      <c r="S438" s="4" t="str">
        <f ca="1">IFERROR(VLOOKUP($L438,Calculation!$H$6:$S$1005,HLOOKUP(S$2,Calculation!$M$4:$S$5,2,FALSE)+5,FALSE),"")</f>
        <v/>
      </c>
      <c r="T438" s="29"/>
      <c r="U438" s="43" t="str">
        <f>IFERROR(VLOOKUP(T438,Calculation!$U$6:$V$11,2,FALSE),"")</f>
        <v/>
      </c>
    </row>
    <row r="439" spans="1:21" ht="14.25" customHeight="1" x14ac:dyDescent="0.3">
      <c r="A439" s="26" t="str">
        <f ca="1">IF(Calculation!T442&lt;=Calculation!$H$4,Calculation!T442,"")</f>
        <v/>
      </c>
      <c r="B439" s="4" t="str">
        <f ca="1">VLOOKUP(A439,Calculation!$E$6:$J$1004,4,FALSE)</f>
        <v/>
      </c>
      <c r="C439" s="4" t="str">
        <f ca="1">VLOOKUP(A439,Calculation!$E$6:$J$1004,5,FALSE)</f>
        <v/>
      </c>
      <c r="D439" s="4" t="str">
        <f ca="1">VLOOKUP(A439,Calculation!$E$6:$J$1004,6,FALSE)</f>
        <v/>
      </c>
      <c r="E439" s="42" t="str">
        <f t="shared" ca="1" si="2"/>
        <v/>
      </c>
      <c r="G439" s="29" t="str">
        <f ca="1">VLOOKUP(A439,Calculation!$F$6:$J$1004,3,FALSE)</f>
        <v/>
      </c>
      <c r="H439" s="4" t="str">
        <f ca="1">VLOOKUP(A439,Calculation!$F$6:$J$1004,4,FALSE)</f>
        <v/>
      </c>
      <c r="I439" s="4" t="str">
        <f ca="1">VLOOKUP(A439,Calculation!$F$6:$J$1004,5,FALSE)</f>
        <v/>
      </c>
      <c r="J439" s="43" t="str">
        <f t="shared" ca="1" si="3"/>
        <v/>
      </c>
      <c r="L439" s="29" t="str">
        <f ca="1">VLOOKUP(A439,Calculation!$G$6:$S$1004,2,FALSE)</f>
        <v/>
      </c>
      <c r="M439" s="4" t="str">
        <f ca="1">IFERROR(VLOOKUP($L439,Calculation!$H$6:$S$1005,HLOOKUP(M$2,Calculation!$M$4:$S$5,2,FALSE)+5,FALSE),"")</f>
        <v/>
      </c>
      <c r="N439" s="4" t="str">
        <f ca="1">IFERROR(VLOOKUP($L439,Calculation!$H$6:$S$1005,HLOOKUP(N$2,Calculation!$M$4:$S$5,2,FALSE)+5,FALSE),"")</f>
        <v/>
      </c>
      <c r="O439" s="4" t="str">
        <f ca="1">IFERROR(VLOOKUP($L439,Calculation!$H$6:$S$1005,HLOOKUP(O$2,Calculation!$M$4:$S$5,2,FALSE)+5,FALSE),"")</f>
        <v/>
      </c>
      <c r="P439" s="4" t="str">
        <f ca="1">IFERROR(VLOOKUP($L439,Calculation!$H$6:$S$1005,HLOOKUP(P$2,Calculation!$M$4:$S$5,2,FALSE)+5,FALSE),"")</f>
        <v/>
      </c>
      <c r="Q439" s="4" t="str">
        <f ca="1">IFERROR(VLOOKUP($L439,Calculation!$H$6:$S$1005,HLOOKUP(Q$2,Calculation!$M$4:$S$5,2,FALSE)+5,FALSE),"")</f>
        <v/>
      </c>
      <c r="R439" s="27" t="str">
        <f ca="1">IFERROR(VLOOKUP($L439,Calculation!$H$6:$S$1005,HLOOKUP(R$2,Calculation!$M$4:$S$5,2,FALSE)+5,FALSE),"")</f>
        <v/>
      </c>
      <c r="S439" s="4" t="str">
        <f ca="1">IFERROR(VLOOKUP($L439,Calculation!$H$6:$S$1005,HLOOKUP(S$2,Calculation!$M$4:$S$5,2,FALSE)+5,FALSE),"")</f>
        <v/>
      </c>
      <c r="T439" s="29"/>
      <c r="U439" s="43" t="str">
        <f>IFERROR(VLOOKUP(T439,Calculation!$U$6:$V$11,2,FALSE),"")</f>
        <v/>
      </c>
    </row>
    <row r="440" spans="1:21" ht="14.25" customHeight="1" x14ac:dyDescent="0.3">
      <c r="A440" s="26" t="str">
        <f ca="1">IF(Calculation!T443&lt;=Calculation!$H$4,Calculation!T443,"")</f>
        <v/>
      </c>
      <c r="B440" s="4" t="str">
        <f ca="1">VLOOKUP(A440,Calculation!$E$6:$J$1004,4,FALSE)</f>
        <v/>
      </c>
      <c r="C440" s="4" t="str">
        <f ca="1">VLOOKUP(A440,Calculation!$E$6:$J$1004,5,FALSE)</f>
        <v/>
      </c>
      <c r="D440" s="4" t="str">
        <f ca="1">VLOOKUP(A440,Calculation!$E$6:$J$1004,6,FALSE)</f>
        <v/>
      </c>
      <c r="E440" s="42" t="str">
        <f t="shared" ca="1" si="2"/>
        <v/>
      </c>
      <c r="G440" s="29" t="str">
        <f ca="1">VLOOKUP(A440,Calculation!$F$6:$J$1004,3,FALSE)</f>
        <v/>
      </c>
      <c r="H440" s="4" t="str">
        <f ca="1">VLOOKUP(A440,Calculation!$F$6:$J$1004,4,FALSE)</f>
        <v/>
      </c>
      <c r="I440" s="4" t="str">
        <f ca="1">VLOOKUP(A440,Calculation!$F$6:$J$1004,5,FALSE)</f>
        <v/>
      </c>
      <c r="J440" s="43" t="str">
        <f t="shared" ca="1" si="3"/>
        <v/>
      </c>
      <c r="L440" s="29" t="str">
        <f ca="1">VLOOKUP(A440,Calculation!$G$6:$S$1004,2,FALSE)</f>
        <v/>
      </c>
      <c r="M440" s="4" t="str">
        <f ca="1">IFERROR(VLOOKUP($L440,Calculation!$H$6:$S$1005,HLOOKUP(M$2,Calculation!$M$4:$S$5,2,FALSE)+5,FALSE),"")</f>
        <v/>
      </c>
      <c r="N440" s="4" t="str">
        <f ca="1">IFERROR(VLOOKUP($L440,Calculation!$H$6:$S$1005,HLOOKUP(N$2,Calculation!$M$4:$S$5,2,FALSE)+5,FALSE),"")</f>
        <v/>
      </c>
      <c r="O440" s="4" t="str">
        <f ca="1">IFERROR(VLOOKUP($L440,Calculation!$H$6:$S$1005,HLOOKUP(O$2,Calculation!$M$4:$S$5,2,FALSE)+5,FALSE),"")</f>
        <v/>
      </c>
      <c r="P440" s="4" t="str">
        <f ca="1">IFERROR(VLOOKUP($L440,Calculation!$H$6:$S$1005,HLOOKUP(P$2,Calculation!$M$4:$S$5,2,FALSE)+5,FALSE),"")</f>
        <v/>
      </c>
      <c r="Q440" s="4" t="str">
        <f ca="1">IFERROR(VLOOKUP($L440,Calculation!$H$6:$S$1005,HLOOKUP(Q$2,Calculation!$M$4:$S$5,2,FALSE)+5,FALSE),"")</f>
        <v/>
      </c>
      <c r="R440" s="27" t="str">
        <f ca="1">IFERROR(VLOOKUP($L440,Calculation!$H$6:$S$1005,HLOOKUP(R$2,Calculation!$M$4:$S$5,2,FALSE)+5,FALSE),"")</f>
        <v/>
      </c>
      <c r="S440" s="4" t="str">
        <f ca="1">IFERROR(VLOOKUP($L440,Calculation!$H$6:$S$1005,HLOOKUP(S$2,Calculation!$M$4:$S$5,2,FALSE)+5,FALSE),"")</f>
        <v/>
      </c>
      <c r="T440" s="29"/>
      <c r="U440" s="43" t="str">
        <f>IFERROR(VLOOKUP(T440,Calculation!$U$6:$V$11,2,FALSE),"")</f>
        <v/>
      </c>
    </row>
    <row r="441" spans="1:21" ht="14.25" customHeight="1" x14ac:dyDescent="0.3">
      <c r="A441" s="26" t="str">
        <f ca="1">IF(Calculation!T444&lt;=Calculation!$H$4,Calculation!T444,"")</f>
        <v/>
      </c>
      <c r="B441" s="4" t="str">
        <f ca="1">VLOOKUP(A441,Calculation!$E$6:$J$1004,4,FALSE)</f>
        <v/>
      </c>
      <c r="C441" s="4" t="str">
        <f ca="1">VLOOKUP(A441,Calculation!$E$6:$J$1004,5,FALSE)</f>
        <v/>
      </c>
      <c r="D441" s="4" t="str">
        <f ca="1">VLOOKUP(A441,Calculation!$E$6:$J$1004,6,FALSE)</f>
        <v/>
      </c>
      <c r="E441" s="42" t="str">
        <f t="shared" ca="1" si="2"/>
        <v/>
      </c>
      <c r="G441" s="29" t="str">
        <f ca="1">VLOOKUP(A441,Calculation!$F$6:$J$1004,3,FALSE)</f>
        <v/>
      </c>
      <c r="H441" s="4" t="str">
        <f ca="1">VLOOKUP(A441,Calculation!$F$6:$J$1004,4,FALSE)</f>
        <v/>
      </c>
      <c r="I441" s="4" t="str">
        <f ca="1">VLOOKUP(A441,Calculation!$F$6:$J$1004,5,FALSE)</f>
        <v/>
      </c>
      <c r="J441" s="43" t="str">
        <f t="shared" ca="1" si="3"/>
        <v/>
      </c>
      <c r="L441" s="29" t="str">
        <f ca="1">VLOOKUP(A441,Calculation!$G$6:$S$1004,2,FALSE)</f>
        <v/>
      </c>
      <c r="M441" s="4" t="str">
        <f ca="1">IFERROR(VLOOKUP($L441,Calculation!$H$6:$S$1005,HLOOKUP(M$2,Calculation!$M$4:$S$5,2,FALSE)+5,FALSE),"")</f>
        <v/>
      </c>
      <c r="N441" s="4" t="str">
        <f ca="1">IFERROR(VLOOKUP($L441,Calculation!$H$6:$S$1005,HLOOKUP(N$2,Calculation!$M$4:$S$5,2,FALSE)+5,FALSE),"")</f>
        <v/>
      </c>
      <c r="O441" s="4" t="str">
        <f ca="1">IFERROR(VLOOKUP($L441,Calculation!$H$6:$S$1005,HLOOKUP(O$2,Calculation!$M$4:$S$5,2,FALSE)+5,FALSE),"")</f>
        <v/>
      </c>
      <c r="P441" s="4" t="str">
        <f ca="1">IFERROR(VLOOKUP($L441,Calculation!$H$6:$S$1005,HLOOKUP(P$2,Calculation!$M$4:$S$5,2,FALSE)+5,FALSE),"")</f>
        <v/>
      </c>
      <c r="Q441" s="4" t="str">
        <f ca="1">IFERROR(VLOOKUP($L441,Calculation!$H$6:$S$1005,HLOOKUP(Q$2,Calculation!$M$4:$S$5,2,FALSE)+5,FALSE),"")</f>
        <v/>
      </c>
      <c r="R441" s="27" t="str">
        <f ca="1">IFERROR(VLOOKUP($L441,Calculation!$H$6:$S$1005,HLOOKUP(R$2,Calculation!$M$4:$S$5,2,FALSE)+5,FALSE),"")</f>
        <v/>
      </c>
      <c r="S441" s="4" t="str">
        <f ca="1">IFERROR(VLOOKUP($L441,Calculation!$H$6:$S$1005,HLOOKUP(S$2,Calculation!$M$4:$S$5,2,FALSE)+5,FALSE),"")</f>
        <v/>
      </c>
      <c r="T441" s="29"/>
      <c r="U441" s="43" t="str">
        <f>IFERROR(VLOOKUP(T441,Calculation!$U$6:$V$11,2,FALSE),"")</f>
        <v/>
      </c>
    </row>
    <row r="442" spans="1:21" ht="14.25" customHeight="1" x14ac:dyDescent="0.3">
      <c r="A442" s="26" t="str">
        <f ca="1">IF(Calculation!T445&lt;=Calculation!$H$4,Calculation!T445,"")</f>
        <v/>
      </c>
      <c r="B442" s="4" t="str">
        <f ca="1">VLOOKUP(A442,Calculation!$E$6:$J$1004,4,FALSE)</f>
        <v/>
      </c>
      <c r="C442" s="4" t="str">
        <f ca="1">VLOOKUP(A442,Calculation!$E$6:$J$1004,5,FALSE)</f>
        <v/>
      </c>
      <c r="D442" s="4" t="str">
        <f ca="1">VLOOKUP(A442,Calculation!$E$6:$J$1004,6,FALSE)</f>
        <v/>
      </c>
      <c r="E442" s="42" t="str">
        <f t="shared" ca="1" si="2"/>
        <v/>
      </c>
      <c r="G442" s="29" t="str">
        <f ca="1">VLOOKUP(A442,Calculation!$F$6:$J$1004,3,FALSE)</f>
        <v/>
      </c>
      <c r="H442" s="4" t="str">
        <f ca="1">VLOOKUP(A442,Calculation!$F$6:$J$1004,4,FALSE)</f>
        <v/>
      </c>
      <c r="I442" s="4" t="str">
        <f ca="1">VLOOKUP(A442,Calculation!$F$6:$J$1004,5,FALSE)</f>
        <v/>
      </c>
      <c r="J442" s="43" t="str">
        <f t="shared" ca="1" si="3"/>
        <v/>
      </c>
      <c r="L442" s="29" t="str">
        <f ca="1">VLOOKUP(A442,Calculation!$G$6:$S$1004,2,FALSE)</f>
        <v/>
      </c>
      <c r="M442" s="4" t="str">
        <f ca="1">IFERROR(VLOOKUP($L442,Calculation!$H$6:$S$1005,HLOOKUP(M$2,Calculation!$M$4:$S$5,2,FALSE)+5,FALSE),"")</f>
        <v/>
      </c>
      <c r="N442" s="4" t="str">
        <f ca="1">IFERROR(VLOOKUP($L442,Calculation!$H$6:$S$1005,HLOOKUP(N$2,Calculation!$M$4:$S$5,2,FALSE)+5,FALSE),"")</f>
        <v/>
      </c>
      <c r="O442" s="4" t="str">
        <f ca="1">IFERROR(VLOOKUP($L442,Calculation!$H$6:$S$1005,HLOOKUP(O$2,Calculation!$M$4:$S$5,2,FALSE)+5,FALSE),"")</f>
        <v/>
      </c>
      <c r="P442" s="4" t="str">
        <f ca="1">IFERROR(VLOOKUP($L442,Calculation!$H$6:$S$1005,HLOOKUP(P$2,Calculation!$M$4:$S$5,2,FALSE)+5,FALSE),"")</f>
        <v/>
      </c>
      <c r="Q442" s="4" t="str">
        <f ca="1">IFERROR(VLOOKUP($L442,Calculation!$H$6:$S$1005,HLOOKUP(Q$2,Calculation!$M$4:$S$5,2,FALSE)+5,FALSE),"")</f>
        <v/>
      </c>
      <c r="R442" s="27" t="str">
        <f ca="1">IFERROR(VLOOKUP($L442,Calculation!$H$6:$S$1005,HLOOKUP(R$2,Calculation!$M$4:$S$5,2,FALSE)+5,FALSE),"")</f>
        <v/>
      </c>
      <c r="S442" s="4" t="str">
        <f ca="1">IFERROR(VLOOKUP($L442,Calculation!$H$6:$S$1005,HLOOKUP(S$2,Calculation!$M$4:$S$5,2,FALSE)+5,FALSE),"")</f>
        <v/>
      </c>
      <c r="T442" s="29"/>
      <c r="U442" s="43" t="str">
        <f>IFERROR(VLOOKUP(T442,Calculation!$U$6:$V$11,2,FALSE),"")</f>
        <v/>
      </c>
    </row>
    <row r="443" spans="1:21" ht="14.25" customHeight="1" x14ac:dyDescent="0.3">
      <c r="A443" s="26" t="str">
        <f ca="1">IF(Calculation!T446&lt;=Calculation!$H$4,Calculation!T446,"")</f>
        <v/>
      </c>
      <c r="B443" s="4" t="str">
        <f ca="1">VLOOKUP(A443,Calculation!$E$6:$J$1004,4,FALSE)</f>
        <v/>
      </c>
      <c r="C443" s="4" t="str">
        <f ca="1">VLOOKUP(A443,Calculation!$E$6:$J$1004,5,FALSE)</f>
        <v/>
      </c>
      <c r="D443" s="4" t="str">
        <f ca="1">VLOOKUP(A443,Calculation!$E$6:$J$1004,6,FALSE)</f>
        <v/>
      </c>
      <c r="E443" s="42" t="str">
        <f t="shared" ca="1" si="2"/>
        <v/>
      </c>
      <c r="G443" s="29" t="str">
        <f ca="1">VLOOKUP(A443,Calculation!$F$6:$J$1004,3,FALSE)</f>
        <v/>
      </c>
      <c r="H443" s="4" t="str">
        <f ca="1">VLOOKUP(A443,Calculation!$F$6:$J$1004,4,FALSE)</f>
        <v/>
      </c>
      <c r="I443" s="4" t="str">
        <f ca="1">VLOOKUP(A443,Calculation!$F$6:$J$1004,5,FALSE)</f>
        <v/>
      </c>
      <c r="J443" s="43" t="str">
        <f t="shared" ca="1" si="3"/>
        <v/>
      </c>
      <c r="L443" s="29" t="str">
        <f ca="1">VLOOKUP(A443,Calculation!$G$6:$S$1004,2,FALSE)</f>
        <v/>
      </c>
      <c r="M443" s="4" t="str">
        <f ca="1">IFERROR(VLOOKUP($L443,Calculation!$H$6:$S$1005,HLOOKUP(M$2,Calculation!$M$4:$S$5,2,FALSE)+5,FALSE),"")</f>
        <v/>
      </c>
      <c r="N443" s="4" t="str">
        <f ca="1">IFERROR(VLOOKUP($L443,Calculation!$H$6:$S$1005,HLOOKUP(N$2,Calculation!$M$4:$S$5,2,FALSE)+5,FALSE),"")</f>
        <v/>
      </c>
      <c r="O443" s="4" t="str">
        <f ca="1">IFERROR(VLOOKUP($L443,Calculation!$H$6:$S$1005,HLOOKUP(O$2,Calculation!$M$4:$S$5,2,FALSE)+5,FALSE),"")</f>
        <v/>
      </c>
      <c r="P443" s="4" t="str">
        <f ca="1">IFERROR(VLOOKUP($L443,Calculation!$H$6:$S$1005,HLOOKUP(P$2,Calculation!$M$4:$S$5,2,FALSE)+5,FALSE),"")</f>
        <v/>
      </c>
      <c r="Q443" s="4" t="str">
        <f ca="1">IFERROR(VLOOKUP($L443,Calculation!$H$6:$S$1005,HLOOKUP(Q$2,Calculation!$M$4:$S$5,2,FALSE)+5,FALSE),"")</f>
        <v/>
      </c>
      <c r="R443" s="27" t="str">
        <f ca="1">IFERROR(VLOOKUP($L443,Calculation!$H$6:$S$1005,HLOOKUP(R$2,Calculation!$M$4:$S$5,2,FALSE)+5,FALSE),"")</f>
        <v/>
      </c>
      <c r="S443" s="4" t="str">
        <f ca="1">IFERROR(VLOOKUP($L443,Calculation!$H$6:$S$1005,HLOOKUP(S$2,Calculation!$M$4:$S$5,2,FALSE)+5,FALSE),"")</f>
        <v/>
      </c>
      <c r="T443" s="29"/>
      <c r="U443" s="43" t="str">
        <f>IFERROR(VLOOKUP(T443,Calculation!$U$6:$V$11,2,FALSE),"")</f>
        <v/>
      </c>
    </row>
    <row r="444" spans="1:21" ht="14.25" customHeight="1" x14ac:dyDescent="0.3">
      <c r="A444" s="26" t="str">
        <f ca="1">IF(Calculation!T447&lt;=Calculation!$H$4,Calculation!T447,"")</f>
        <v/>
      </c>
      <c r="B444" s="4" t="str">
        <f ca="1">VLOOKUP(A444,Calculation!$E$6:$J$1004,4,FALSE)</f>
        <v/>
      </c>
      <c r="C444" s="4" t="str">
        <f ca="1">VLOOKUP(A444,Calculation!$E$6:$J$1004,5,FALSE)</f>
        <v/>
      </c>
      <c r="D444" s="4" t="str">
        <f ca="1">VLOOKUP(A444,Calculation!$E$6:$J$1004,6,FALSE)</f>
        <v/>
      </c>
      <c r="E444" s="42" t="str">
        <f t="shared" ca="1" si="2"/>
        <v/>
      </c>
      <c r="G444" s="29" t="str">
        <f ca="1">VLOOKUP(A444,Calculation!$F$6:$J$1004,3,FALSE)</f>
        <v/>
      </c>
      <c r="H444" s="4" t="str">
        <f ca="1">VLOOKUP(A444,Calculation!$F$6:$J$1004,4,FALSE)</f>
        <v/>
      </c>
      <c r="I444" s="4" t="str">
        <f ca="1">VLOOKUP(A444,Calculation!$F$6:$J$1004,5,FALSE)</f>
        <v/>
      </c>
      <c r="J444" s="43" t="str">
        <f t="shared" ca="1" si="3"/>
        <v/>
      </c>
      <c r="L444" s="29" t="str">
        <f ca="1">VLOOKUP(A444,Calculation!$G$6:$S$1004,2,FALSE)</f>
        <v/>
      </c>
      <c r="M444" s="4" t="str">
        <f ca="1">IFERROR(VLOOKUP($L444,Calculation!$H$6:$S$1005,HLOOKUP(M$2,Calculation!$M$4:$S$5,2,FALSE)+5,FALSE),"")</f>
        <v/>
      </c>
      <c r="N444" s="4" t="str">
        <f ca="1">IFERROR(VLOOKUP($L444,Calculation!$H$6:$S$1005,HLOOKUP(N$2,Calculation!$M$4:$S$5,2,FALSE)+5,FALSE),"")</f>
        <v/>
      </c>
      <c r="O444" s="4" t="str">
        <f ca="1">IFERROR(VLOOKUP($L444,Calculation!$H$6:$S$1005,HLOOKUP(O$2,Calculation!$M$4:$S$5,2,FALSE)+5,FALSE),"")</f>
        <v/>
      </c>
      <c r="P444" s="4" t="str">
        <f ca="1">IFERROR(VLOOKUP($L444,Calculation!$H$6:$S$1005,HLOOKUP(P$2,Calculation!$M$4:$S$5,2,FALSE)+5,FALSE),"")</f>
        <v/>
      </c>
      <c r="Q444" s="4" t="str">
        <f ca="1">IFERROR(VLOOKUP($L444,Calculation!$H$6:$S$1005,HLOOKUP(Q$2,Calculation!$M$4:$S$5,2,FALSE)+5,FALSE),"")</f>
        <v/>
      </c>
      <c r="R444" s="27" t="str">
        <f ca="1">IFERROR(VLOOKUP($L444,Calculation!$H$6:$S$1005,HLOOKUP(R$2,Calculation!$M$4:$S$5,2,FALSE)+5,FALSE),"")</f>
        <v/>
      </c>
      <c r="S444" s="4" t="str">
        <f ca="1">IFERROR(VLOOKUP($L444,Calculation!$H$6:$S$1005,HLOOKUP(S$2,Calculation!$M$4:$S$5,2,FALSE)+5,FALSE),"")</f>
        <v/>
      </c>
      <c r="T444" s="29"/>
      <c r="U444" s="43" t="str">
        <f>IFERROR(VLOOKUP(T444,Calculation!$U$6:$V$11,2,FALSE),"")</f>
        <v/>
      </c>
    </row>
    <row r="445" spans="1:21" ht="14.25" customHeight="1" x14ac:dyDescent="0.3">
      <c r="A445" s="26" t="str">
        <f ca="1">IF(Calculation!T448&lt;=Calculation!$H$4,Calculation!T448,"")</f>
        <v/>
      </c>
      <c r="B445" s="4" t="str">
        <f ca="1">VLOOKUP(A445,Calculation!$E$6:$J$1004,4,FALSE)</f>
        <v/>
      </c>
      <c r="C445" s="4" t="str">
        <f ca="1">VLOOKUP(A445,Calculation!$E$6:$J$1004,5,FALSE)</f>
        <v/>
      </c>
      <c r="D445" s="4" t="str">
        <f ca="1">VLOOKUP(A445,Calculation!$E$6:$J$1004,6,FALSE)</f>
        <v/>
      </c>
      <c r="E445" s="42" t="str">
        <f t="shared" ca="1" si="2"/>
        <v/>
      </c>
      <c r="G445" s="29" t="str">
        <f ca="1">VLOOKUP(A445,Calculation!$F$6:$J$1004,3,FALSE)</f>
        <v/>
      </c>
      <c r="H445" s="4" t="str">
        <f ca="1">VLOOKUP(A445,Calculation!$F$6:$J$1004,4,FALSE)</f>
        <v/>
      </c>
      <c r="I445" s="4" t="str">
        <f ca="1">VLOOKUP(A445,Calculation!$F$6:$J$1004,5,FALSE)</f>
        <v/>
      </c>
      <c r="J445" s="43" t="str">
        <f t="shared" ca="1" si="3"/>
        <v/>
      </c>
      <c r="L445" s="29" t="str">
        <f ca="1">VLOOKUP(A445,Calculation!$G$6:$S$1004,2,FALSE)</f>
        <v/>
      </c>
      <c r="M445" s="4" t="str">
        <f ca="1">IFERROR(VLOOKUP($L445,Calculation!$H$6:$S$1005,HLOOKUP(M$2,Calculation!$M$4:$S$5,2,FALSE)+5,FALSE),"")</f>
        <v/>
      </c>
      <c r="N445" s="4" t="str">
        <f ca="1">IFERROR(VLOOKUP($L445,Calculation!$H$6:$S$1005,HLOOKUP(N$2,Calculation!$M$4:$S$5,2,FALSE)+5,FALSE),"")</f>
        <v/>
      </c>
      <c r="O445" s="4" t="str">
        <f ca="1">IFERROR(VLOOKUP($L445,Calculation!$H$6:$S$1005,HLOOKUP(O$2,Calculation!$M$4:$S$5,2,FALSE)+5,FALSE),"")</f>
        <v/>
      </c>
      <c r="P445" s="4" t="str">
        <f ca="1">IFERROR(VLOOKUP($L445,Calculation!$H$6:$S$1005,HLOOKUP(P$2,Calculation!$M$4:$S$5,2,FALSE)+5,FALSE),"")</f>
        <v/>
      </c>
      <c r="Q445" s="4" t="str">
        <f ca="1">IFERROR(VLOOKUP($L445,Calculation!$H$6:$S$1005,HLOOKUP(Q$2,Calculation!$M$4:$S$5,2,FALSE)+5,FALSE),"")</f>
        <v/>
      </c>
      <c r="R445" s="27" t="str">
        <f ca="1">IFERROR(VLOOKUP($L445,Calculation!$H$6:$S$1005,HLOOKUP(R$2,Calculation!$M$4:$S$5,2,FALSE)+5,FALSE),"")</f>
        <v/>
      </c>
      <c r="S445" s="4" t="str">
        <f ca="1">IFERROR(VLOOKUP($L445,Calculation!$H$6:$S$1005,HLOOKUP(S$2,Calculation!$M$4:$S$5,2,FALSE)+5,FALSE),"")</f>
        <v/>
      </c>
      <c r="T445" s="29"/>
      <c r="U445" s="43" t="str">
        <f>IFERROR(VLOOKUP(T445,Calculation!$U$6:$V$11,2,FALSE),"")</f>
        <v/>
      </c>
    </row>
    <row r="446" spans="1:21" ht="14.25" customHeight="1" x14ac:dyDescent="0.3">
      <c r="A446" s="26" t="str">
        <f ca="1">IF(Calculation!T449&lt;=Calculation!$H$4,Calculation!T449,"")</f>
        <v/>
      </c>
      <c r="B446" s="4" t="str">
        <f ca="1">VLOOKUP(A446,Calculation!$E$6:$J$1004,4,FALSE)</f>
        <v/>
      </c>
      <c r="C446" s="4" t="str">
        <f ca="1">VLOOKUP(A446,Calculation!$E$6:$J$1004,5,FALSE)</f>
        <v/>
      </c>
      <c r="D446" s="4" t="str">
        <f ca="1">VLOOKUP(A446,Calculation!$E$6:$J$1004,6,FALSE)</f>
        <v/>
      </c>
      <c r="E446" s="42" t="str">
        <f t="shared" ca="1" si="2"/>
        <v/>
      </c>
      <c r="G446" s="29" t="str">
        <f ca="1">VLOOKUP(A446,Calculation!$F$6:$J$1004,3,FALSE)</f>
        <v/>
      </c>
      <c r="H446" s="4" t="str">
        <f ca="1">VLOOKUP(A446,Calculation!$F$6:$J$1004,4,FALSE)</f>
        <v/>
      </c>
      <c r="I446" s="4" t="str">
        <f ca="1">VLOOKUP(A446,Calculation!$F$6:$J$1004,5,FALSE)</f>
        <v/>
      </c>
      <c r="J446" s="43" t="str">
        <f t="shared" ca="1" si="3"/>
        <v/>
      </c>
      <c r="L446" s="29" t="str">
        <f ca="1">VLOOKUP(A446,Calculation!$G$6:$S$1004,2,FALSE)</f>
        <v/>
      </c>
      <c r="M446" s="4" t="str">
        <f ca="1">IFERROR(VLOOKUP($L446,Calculation!$H$6:$S$1005,HLOOKUP(M$2,Calculation!$M$4:$S$5,2,FALSE)+5,FALSE),"")</f>
        <v/>
      </c>
      <c r="N446" s="4" t="str">
        <f ca="1">IFERROR(VLOOKUP($L446,Calculation!$H$6:$S$1005,HLOOKUP(N$2,Calculation!$M$4:$S$5,2,FALSE)+5,FALSE),"")</f>
        <v/>
      </c>
      <c r="O446" s="4" t="str">
        <f ca="1">IFERROR(VLOOKUP($L446,Calculation!$H$6:$S$1005,HLOOKUP(O$2,Calculation!$M$4:$S$5,2,FALSE)+5,FALSE),"")</f>
        <v/>
      </c>
      <c r="P446" s="4" t="str">
        <f ca="1">IFERROR(VLOOKUP($L446,Calculation!$H$6:$S$1005,HLOOKUP(P$2,Calculation!$M$4:$S$5,2,FALSE)+5,FALSE),"")</f>
        <v/>
      </c>
      <c r="Q446" s="4" t="str">
        <f ca="1">IFERROR(VLOOKUP($L446,Calculation!$H$6:$S$1005,HLOOKUP(Q$2,Calculation!$M$4:$S$5,2,FALSE)+5,FALSE),"")</f>
        <v/>
      </c>
      <c r="R446" s="27" t="str">
        <f ca="1">IFERROR(VLOOKUP($L446,Calculation!$H$6:$S$1005,HLOOKUP(R$2,Calculation!$M$4:$S$5,2,FALSE)+5,FALSE),"")</f>
        <v/>
      </c>
      <c r="S446" s="4" t="str">
        <f ca="1">IFERROR(VLOOKUP($L446,Calculation!$H$6:$S$1005,HLOOKUP(S$2,Calculation!$M$4:$S$5,2,FALSE)+5,FALSE),"")</f>
        <v/>
      </c>
      <c r="T446" s="29"/>
      <c r="U446" s="43" t="str">
        <f>IFERROR(VLOOKUP(T446,Calculation!$U$6:$V$11,2,FALSE),"")</f>
        <v/>
      </c>
    </row>
    <row r="447" spans="1:21" ht="14.25" customHeight="1" x14ac:dyDescent="0.3">
      <c r="A447" s="26" t="str">
        <f ca="1">IF(Calculation!T450&lt;=Calculation!$H$4,Calculation!T450,"")</f>
        <v/>
      </c>
      <c r="B447" s="4" t="str">
        <f ca="1">VLOOKUP(A447,Calculation!$E$6:$J$1004,4,FALSE)</f>
        <v/>
      </c>
      <c r="C447" s="4" t="str">
        <f ca="1">VLOOKUP(A447,Calculation!$E$6:$J$1004,5,FALSE)</f>
        <v/>
      </c>
      <c r="D447" s="4" t="str">
        <f ca="1">VLOOKUP(A447,Calculation!$E$6:$J$1004,6,FALSE)</f>
        <v/>
      </c>
      <c r="E447" s="42" t="str">
        <f t="shared" ca="1" si="2"/>
        <v/>
      </c>
      <c r="G447" s="29" t="str">
        <f ca="1">VLOOKUP(A447,Calculation!$F$6:$J$1004,3,FALSE)</f>
        <v/>
      </c>
      <c r="H447" s="4" t="str">
        <f ca="1">VLOOKUP(A447,Calculation!$F$6:$J$1004,4,FALSE)</f>
        <v/>
      </c>
      <c r="I447" s="4" t="str">
        <f ca="1">VLOOKUP(A447,Calculation!$F$6:$J$1004,5,FALSE)</f>
        <v/>
      </c>
      <c r="J447" s="43" t="str">
        <f t="shared" ca="1" si="3"/>
        <v/>
      </c>
      <c r="L447" s="29" t="str">
        <f ca="1">VLOOKUP(A447,Calculation!$G$6:$S$1004,2,FALSE)</f>
        <v/>
      </c>
      <c r="M447" s="4" t="str">
        <f ca="1">IFERROR(VLOOKUP($L447,Calculation!$H$6:$S$1005,HLOOKUP(M$2,Calculation!$M$4:$S$5,2,FALSE)+5,FALSE),"")</f>
        <v/>
      </c>
      <c r="N447" s="4" t="str">
        <f ca="1">IFERROR(VLOOKUP($L447,Calculation!$H$6:$S$1005,HLOOKUP(N$2,Calculation!$M$4:$S$5,2,FALSE)+5,FALSE),"")</f>
        <v/>
      </c>
      <c r="O447" s="4" t="str">
        <f ca="1">IFERROR(VLOOKUP($L447,Calculation!$H$6:$S$1005,HLOOKUP(O$2,Calculation!$M$4:$S$5,2,FALSE)+5,FALSE),"")</f>
        <v/>
      </c>
      <c r="P447" s="4" t="str">
        <f ca="1">IFERROR(VLOOKUP($L447,Calculation!$H$6:$S$1005,HLOOKUP(P$2,Calculation!$M$4:$S$5,2,FALSE)+5,FALSE),"")</f>
        <v/>
      </c>
      <c r="Q447" s="4" t="str">
        <f ca="1">IFERROR(VLOOKUP($L447,Calculation!$H$6:$S$1005,HLOOKUP(Q$2,Calculation!$M$4:$S$5,2,FALSE)+5,FALSE),"")</f>
        <v/>
      </c>
      <c r="R447" s="27" t="str">
        <f ca="1">IFERROR(VLOOKUP($L447,Calculation!$H$6:$S$1005,HLOOKUP(R$2,Calculation!$M$4:$S$5,2,FALSE)+5,FALSE),"")</f>
        <v/>
      </c>
      <c r="S447" s="4" t="str">
        <f ca="1">IFERROR(VLOOKUP($L447,Calculation!$H$6:$S$1005,HLOOKUP(S$2,Calculation!$M$4:$S$5,2,FALSE)+5,FALSE),"")</f>
        <v/>
      </c>
      <c r="T447" s="29"/>
      <c r="U447" s="43" t="str">
        <f>IFERROR(VLOOKUP(T447,Calculation!$U$6:$V$11,2,FALSE),"")</f>
        <v/>
      </c>
    </row>
    <row r="448" spans="1:21" ht="14.25" customHeight="1" x14ac:dyDescent="0.3">
      <c r="A448" s="26" t="str">
        <f ca="1">IF(Calculation!T451&lt;=Calculation!$H$4,Calculation!T451,"")</f>
        <v/>
      </c>
      <c r="B448" s="4" t="str">
        <f ca="1">VLOOKUP(A448,Calculation!$E$6:$J$1004,4,FALSE)</f>
        <v/>
      </c>
      <c r="C448" s="4" t="str">
        <f ca="1">VLOOKUP(A448,Calculation!$E$6:$J$1004,5,FALSE)</f>
        <v/>
      </c>
      <c r="D448" s="4" t="str">
        <f ca="1">VLOOKUP(A448,Calculation!$E$6:$J$1004,6,FALSE)</f>
        <v/>
      </c>
      <c r="E448" s="42" t="str">
        <f t="shared" ca="1" si="2"/>
        <v/>
      </c>
      <c r="G448" s="29" t="str">
        <f ca="1">VLOOKUP(A448,Calculation!$F$6:$J$1004,3,FALSE)</f>
        <v/>
      </c>
      <c r="H448" s="4" t="str">
        <f ca="1">VLOOKUP(A448,Calculation!$F$6:$J$1004,4,FALSE)</f>
        <v/>
      </c>
      <c r="I448" s="4" t="str">
        <f ca="1">VLOOKUP(A448,Calculation!$F$6:$J$1004,5,FALSE)</f>
        <v/>
      </c>
      <c r="J448" s="43" t="str">
        <f t="shared" ca="1" si="3"/>
        <v/>
      </c>
      <c r="L448" s="29" t="str">
        <f ca="1">VLOOKUP(A448,Calculation!$G$6:$S$1004,2,FALSE)</f>
        <v/>
      </c>
      <c r="M448" s="4" t="str">
        <f ca="1">IFERROR(VLOOKUP($L448,Calculation!$H$6:$S$1005,HLOOKUP(M$2,Calculation!$M$4:$S$5,2,FALSE)+5,FALSE),"")</f>
        <v/>
      </c>
      <c r="N448" s="4" t="str">
        <f ca="1">IFERROR(VLOOKUP($L448,Calculation!$H$6:$S$1005,HLOOKUP(N$2,Calculation!$M$4:$S$5,2,FALSE)+5,FALSE),"")</f>
        <v/>
      </c>
      <c r="O448" s="4" t="str">
        <f ca="1">IFERROR(VLOOKUP($L448,Calculation!$H$6:$S$1005,HLOOKUP(O$2,Calculation!$M$4:$S$5,2,FALSE)+5,FALSE),"")</f>
        <v/>
      </c>
      <c r="P448" s="4" t="str">
        <f ca="1">IFERROR(VLOOKUP($L448,Calculation!$H$6:$S$1005,HLOOKUP(P$2,Calculation!$M$4:$S$5,2,FALSE)+5,FALSE),"")</f>
        <v/>
      </c>
      <c r="Q448" s="4" t="str">
        <f ca="1">IFERROR(VLOOKUP($L448,Calculation!$H$6:$S$1005,HLOOKUP(Q$2,Calculation!$M$4:$S$5,2,FALSE)+5,FALSE),"")</f>
        <v/>
      </c>
      <c r="R448" s="27" t="str">
        <f ca="1">IFERROR(VLOOKUP($L448,Calculation!$H$6:$S$1005,HLOOKUP(R$2,Calculation!$M$4:$S$5,2,FALSE)+5,FALSE),"")</f>
        <v/>
      </c>
      <c r="S448" s="4" t="str">
        <f ca="1">IFERROR(VLOOKUP($L448,Calculation!$H$6:$S$1005,HLOOKUP(S$2,Calculation!$M$4:$S$5,2,FALSE)+5,FALSE),"")</f>
        <v/>
      </c>
      <c r="T448" s="29"/>
      <c r="U448" s="43" t="str">
        <f>IFERROR(VLOOKUP(T448,Calculation!$U$6:$V$11,2,FALSE),"")</f>
        <v/>
      </c>
    </row>
    <row r="449" spans="1:21" ht="14.25" customHeight="1" x14ac:dyDescent="0.3">
      <c r="A449" s="26" t="str">
        <f ca="1">IF(Calculation!T452&lt;=Calculation!$H$4,Calculation!T452,"")</f>
        <v/>
      </c>
      <c r="B449" s="4" t="str">
        <f ca="1">VLOOKUP(A449,Calculation!$E$6:$J$1004,4,FALSE)</f>
        <v/>
      </c>
      <c r="C449" s="4" t="str">
        <f ca="1">VLOOKUP(A449,Calculation!$E$6:$J$1004,5,FALSE)</f>
        <v/>
      </c>
      <c r="D449" s="4" t="str">
        <f ca="1">VLOOKUP(A449,Calculation!$E$6:$J$1004,6,FALSE)</f>
        <v/>
      </c>
      <c r="E449" s="42" t="str">
        <f t="shared" ca="1" si="2"/>
        <v/>
      </c>
      <c r="G449" s="29" t="str">
        <f ca="1">VLOOKUP(A449,Calculation!$F$6:$J$1004,3,FALSE)</f>
        <v/>
      </c>
      <c r="H449" s="4" t="str">
        <f ca="1">VLOOKUP(A449,Calculation!$F$6:$J$1004,4,FALSE)</f>
        <v/>
      </c>
      <c r="I449" s="4" t="str">
        <f ca="1">VLOOKUP(A449,Calculation!$F$6:$J$1004,5,FALSE)</f>
        <v/>
      </c>
      <c r="J449" s="43" t="str">
        <f t="shared" ca="1" si="3"/>
        <v/>
      </c>
      <c r="L449" s="29" t="str">
        <f ca="1">VLOOKUP(A449,Calculation!$G$6:$S$1004,2,FALSE)</f>
        <v/>
      </c>
      <c r="M449" s="4" t="str">
        <f ca="1">IFERROR(VLOOKUP($L449,Calculation!$H$6:$S$1005,HLOOKUP(M$2,Calculation!$M$4:$S$5,2,FALSE)+5,FALSE),"")</f>
        <v/>
      </c>
      <c r="N449" s="4" t="str">
        <f ca="1">IFERROR(VLOOKUP($L449,Calculation!$H$6:$S$1005,HLOOKUP(N$2,Calculation!$M$4:$S$5,2,FALSE)+5,FALSE),"")</f>
        <v/>
      </c>
      <c r="O449" s="4" t="str">
        <f ca="1">IFERROR(VLOOKUP($L449,Calculation!$H$6:$S$1005,HLOOKUP(O$2,Calculation!$M$4:$S$5,2,FALSE)+5,FALSE),"")</f>
        <v/>
      </c>
      <c r="P449" s="4" t="str">
        <f ca="1">IFERROR(VLOOKUP($L449,Calculation!$H$6:$S$1005,HLOOKUP(P$2,Calculation!$M$4:$S$5,2,FALSE)+5,FALSE),"")</f>
        <v/>
      </c>
      <c r="Q449" s="4" t="str">
        <f ca="1">IFERROR(VLOOKUP($L449,Calculation!$H$6:$S$1005,HLOOKUP(Q$2,Calculation!$M$4:$S$5,2,FALSE)+5,FALSE),"")</f>
        <v/>
      </c>
      <c r="R449" s="27" t="str">
        <f ca="1">IFERROR(VLOOKUP($L449,Calculation!$H$6:$S$1005,HLOOKUP(R$2,Calculation!$M$4:$S$5,2,FALSE)+5,FALSE),"")</f>
        <v/>
      </c>
      <c r="S449" s="4" t="str">
        <f ca="1">IFERROR(VLOOKUP($L449,Calculation!$H$6:$S$1005,HLOOKUP(S$2,Calculation!$M$4:$S$5,2,FALSE)+5,FALSE),"")</f>
        <v/>
      </c>
      <c r="T449" s="29"/>
      <c r="U449" s="43" t="str">
        <f>IFERROR(VLOOKUP(T449,Calculation!$U$6:$V$11,2,FALSE),"")</f>
        <v/>
      </c>
    </row>
    <row r="450" spans="1:21" ht="14.25" customHeight="1" x14ac:dyDescent="0.3">
      <c r="A450" s="26" t="str">
        <f ca="1">IF(Calculation!T453&lt;=Calculation!$H$4,Calculation!T453,"")</f>
        <v/>
      </c>
      <c r="B450" s="4" t="str">
        <f ca="1">VLOOKUP(A450,Calculation!$E$6:$J$1004,4,FALSE)</f>
        <v/>
      </c>
      <c r="C450" s="4" t="str">
        <f ca="1">VLOOKUP(A450,Calculation!$E$6:$J$1004,5,FALSE)</f>
        <v/>
      </c>
      <c r="D450" s="4" t="str">
        <f ca="1">VLOOKUP(A450,Calculation!$E$6:$J$1004,6,FALSE)</f>
        <v/>
      </c>
      <c r="E450" s="42" t="str">
        <f t="shared" ca="1" si="2"/>
        <v/>
      </c>
      <c r="G450" s="29" t="str">
        <f ca="1">VLOOKUP(A450,Calculation!$F$6:$J$1004,3,FALSE)</f>
        <v/>
      </c>
      <c r="H450" s="4" t="str">
        <f ca="1">VLOOKUP(A450,Calculation!$F$6:$J$1004,4,FALSE)</f>
        <v/>
      </c>
      <c r="I450" s="4" t="str">
        <f ca="1">VLOOKUP(A450,Calculation!$F$6:$J$1004,5,FALSE)</f>
        <v/>
      </c>
      <c r="J450" s="43" t="str">
        <f t="shared" ca="1" si="3"/>
        <v/>
      </c>
      <c r="L450" s="29" t="str">
        <f ca="1">VLOOKUP(A450,Calculation!$G$6:$S$1004,2,FALSE)</f>
        <v/>
      </c>
      <c r="M450" s="4" t="str">
        <f ca="1">IFERROR(VLOOKUP($L450,Calculation!$H$6:$S$1005,HLOOKUP(M$2,Calculation!$M$4:$S$5,2,FALSE)+5,FALSE),"")</f>
        <v/>
      </c>
      <c r="N450" s="4" t="str">
        <f ca="1">IFERROR(VLOOKUP($L450,Calculation!$H$6:$S$1005,HLOOKUP(N$2,Calculation!$M$4:$S$5,2,FALSE)+5,FALSE),"")</f>
        <v/>
      </c>
      <c r="O450" s="4" t="str">
        <f ca="1">IFERROR(VLOOKUP($L450,Calculation!$H$6:$S$1005,HLOOKUP(O$2,Calculation!$M$4:$S$5,2,FALSE)+5,FALSE),"")</f>
        <v/>
      </c>
      <c r="P450" s="4" t="str">
        <f ca="1">IFERROR(VLOOKUP($L450,Calculation!$H$6:$S$1005,HLOOKUP(P$2,Calculation!$M$4:$S$5,2,FALSE)+5,FALSE),"")</f>
        <v/>
      </c>
      <c r="Q450" s="4" t="str">
        <f ca="1">IFERROR(VLOOKUP($L450,Calculation!$H$6:$S$1005,HLOOKUP(Q$2,Calculation!$M$4:$S$5,2,FALSE)+5,FALSE),"")</f>
        <v/>
      </c>
      <c r="R450" s="27" t="str">
        <f ca="1">IFERROR(VLOOKUP($L450,Calculation!$H$6:$S$1005,HLOOKUP(R$2,Calculation!$M$4:$S$5,2,FALSE)+5,FALSE),"")</f>
        <v/>
      </c>
      <c r="S450" s="4" t="str">
        <f ca="1">IFERROR(VLOOKUP($L450,Calculation!$H$6:$S$1005,HLOOKUP(S$2,Calculation!$M$4:$S$5,2,FALSE)+5,FALSE),"")</f>
        <v/>
      </c>
      <c r="T450" s="29"/>
      <c r="U450" s="43" t="str">
        <f>IFERROR(VLOOKUP(T450,Calculation!$U$6:$V$11,2,FALSE),"")</f>
        <v/>
      </c>
    </row>
    <row r="451" spans="1:21" ht="14.25" customHeight="1" x14ac:dyDescent="0.3">
      <c r="A451" s="26" t="str">
        <f ca="1">IF(Calculation!T454&lt;=Calculation!$H$4,Calculation!T454,"")</f>
        <v/>
      </c>
      <c r="B451" s="4" t="str">
        <f ca="1">VLOOKUP(A451,Calculation!$E$6:$J$1004,4,FALSE)</f>
        <v/>
      </c>
      <c r="C451" s="4" t="str">
        <f ca="1">VLOOKUP(A451,Calculation!$E$6:$J$1004,5,FALSE)</f>
        <v/>
      </c>
      <c r="D451" s="4" t="str">
        <f ca="1">VLOOKUP(A451,Calculation!$E$6:$J$1004,6,FALSE)</f>
        <v/>
      </c>
      <c r="E451" s="42" t="str">
        <f t="shared" ca="1" si="2"/>
        <v/>
      </c>
      <c r="G451" s="29" t="str">
        <f ca="1">VLOOKUP(A451,Calculation!$F$6:$J$1004,3,FALSE)</f>
        <v/>
      </c>
      <c r="H451" s="4" t="str">
        <f ca="1">VLOOKUP(A451,Calculation!$F$6:$J$1004,4,FALSE)</f>
        <v/>
      </c>
      <c r="I451" s="4" t="str">
        <f ca="1">VLOOKUP(A451,Calculation!$F$6:$J$1004,5,FALSE)</f>
        <v/>
      </c>
      <c r="J451" s="43" t="str">
        <f t="shared" ca="1" si="3"/>
        <v/>
      </c>
      <c r="L451" s="29" t="str">
        <f ca="1">VLOOKUP(A451,Calculation!$G$6:$S$1004,2,FALSE)</f>
        <v/>
      </c>
      <c r="M451" s="4" t="str">
        <f ca="1">IFERROR(VLOOKUP($L451,Calculation!$H$6:$S$1005,HLOOKUP(M$2,Calculation!$M$4:$S$5,2,FALSE)+5,FALSE),"")</f>
        <v/>
      </c>
      <c r="N451" s="4" t="str">
        <f ca="1">IFERROR(VLOOKUP($L451,Calculation!$H$6:$S$1005,HLOOKUP(N$2,Calculation!$M$4:$S$5,2,FALSE)+5,FALSE),"")</f>
        <v/>
      </c>
      <c r="O451" s="4" t="str">
        <f ca="1">IFERROR(VLOOKUP($L451,Calculation!$H$6:$S$1005,HLOOKUP(O$2,Calculation!$M$4:$S$5,2,FALSE)+5,FALSE),"")</f>
        <v/>
      </c>
      <c r="P451" s="4" t="str">
        <f ca="1">IFERROR(VLOOKUP($L451,Calculation!$H$6:$S$1005,HLOOKUP(P$2,Calculation!$M$4:$S$5,2,FALSE)+5,FALSE),"")</f>
        <v/>
      </c>
      <c r="Q451" s="4" t="str">
        <f ca="1">IFERROR(VLOOKUP($L451,Calculation!$H$6:$S$1005,HLOOKUP(Q$2,Calculation!$M$4:$S$5,2,FALSE)+5,FALSE),"")</f>
        <v/>
      </c>
      <c r="R451" s="27" t="str">
        <f ca="1">IFERROR(VLOOKUP($L451,Calculation!$H$6:$S$1005,HLOOKUP(R$2,Calculation!$M$4:$S$5,2,FALSE)+5,FALSE),"")</f>
        <v/>
      </c>
      <c r="S451" s="4" t="str">
        <f ca="1">IFERROR(VLOOKUP($L451,Calculation!$H$6:$S$1005,HLOOKUP(S$2,Calculation!$M$4:$S$5,2,FALSE)+5,FALSE),"")</f>
        <v/>
      </c>
      <c r="T451" s="29"/>
      <c r="U451" s="43" t="str">
        <f>IFERROR(VLOOKUP(T451,Calculation!$U$6:$V$11,2,FALSE),"")</f>
        <v/>
      </c>
    </row>
    <row r="452" spans="1:21" ht="14.25" customHeight="1" x14ac:dyDescent="0.3">
      <c r="A452" s="26" t="str">
        <f ca="1">IF(Calculation!T455&lt;=Calculation!$H$4,Calculation!T455,"")</f>
        <v/>
      </c>
      <c r="B452" s="4" t="str">
        <f ca="1">VLOOKUP(A452,Calculation!$E$6:$J$1004,4,FALSE)</f>
        <v/>
      </c>
      <c r="C452" s="4" t="str">
        <f ca="1">VLOOKUP(A452,Calculation!$E$6:$J$1004,5,FALSE)</f>
        <v/>
      </c>
      <c r="D452" s="4" t="str">
        <f ca="1">VLOOKUP(A452,Calculation!$E$6:$J$1004,6,FALSE)</f>
        <v/>
      </c>
      <c r="E452" s="42" t="str">
        <f t="shared" ca="1" si="2"/>
        <v/>
      </c>
      <c r="G452" s="29" t="str">
        <f ca="1">VLOOKUP(A452,Calculation!$F$6:$J$1004,3,FALSE)</f>
        <v/>
      </c>
      <c r="H452" s="4" t="str">
        <f ca="1">VLOOKUP(A452,Calculation!$F$6:$J$1004,4,FALSE)</f>
        <v/>
      </c>
      <c r="I452" s="4" t="str">
        <f ca="1">VLOOKUP(A452,Calculation!$F$6:$J$1004,5,FALSE)</f>
        <v/>
      </c>
      <c r="J452" s="43" t="str">
        <f t="shared" ca="1" si="3"/>
        <v/>
      </c>
      <c r="L452" s="29" t="str">
        <f ca="1">VLOOKUP(A452,Calculation!$G$6:$S$1004,2,FALSE)</f>
        <v/>
      </c>
      <c r="M452" s="4" t="str">
        <f ca="1">IFERROR(VLOOKUP($L452,Calculation!$H$6:$S$1005,HLOOKUP(M$2,Calculation!$M$4:$S$5,2,FALSE)+5,FALSE),"")</f>
        <v/>
      </c>
      <c r="N452" s="4" t="str">
        <f ca="1">IFERROR(VLOOKUP($L452,Calculation!$H$6:$S$1005,HLOOKUP(N$2,Calculation!$M$4:$S$5,2,FALSE)+5,FALSE),"")</f>
        <v/>
      </c>
      <c r="O452" s="4" t="str">
        <f ca="1">IFERROR(VLOOKUP($L452,Calculation!$H$6:$S$1005,HLOOKUP(O$2,Calculation!$M$4:$S$5,2,FALSE)+5,FALSE),"")</f>
        <v/>
      </c>
      <c r="P452" s="4" t="str">
        <f ca="1">IFERROR(VLOOKUP($L452,Calculation!$H$6:$S$1005,HLOOKUP(P$2,Calculation!$M$4:$S$5,2,FALSE)+5,FALSE),"")</f>
        <v/>
      </c>
      <c r="Q452" s="4" t="str">
        <f ca="1">IFERROR(VLOOKUP($L452,Calculation!$H$6:$S$1005,HLOOKUP(Q$2,Calculation!$M$4:$S$5,2,FALSE)+5,FALSE),"")</f>
        <v/>
      </c>
      <c r="R452" s="27" t="str">
        <f ca="1">IFERROR(VLOOKUP($L452,Calculation!$H$6:$S$1005,HLOOKUP(R$2,Calculation!$M$4:$S$5,2,FALSE)+5,FALSE),"")</f>
        <v/>
      </c>
      <c r="S452" s="4" t="str">
        <f ca="1">IFERROR(VLOOKUP($L452,Calculation!$H$6:$S$1005,HLOOKUP(S$2,Calculation!$M$4:$S$5,2,FALSE)+5,FALSE),"")</f>
        <v/>
      </c>
      <c r="T452" s="29"/>
      <c r="U452" s="43" t="str">
        <f>IFERROR(VLOOKUP(T452,Calculation!$U$6:$V$11,2,FALSE),"")</f>
        <v/>
      </c>
    </row>
    <row r="453" spans="1:21" ht="14.25" customHeight="1" x14ac:dyDescent="0.3">
      <c r="A453" s="26" t="str">
        <f ca="1">IF(Calculation!T456&lt;=Calculation!$H$4,Calculation!T456,"")</f>
        <v/>
      </c>
      <c r="B453" s="4" t="str">
        <f ca="1">VLOOKUP(A453,Calculation!$E$6:$J$1004,4,FALSE)</f>
        <v/>
      </c>
      <c r="C453" s="4" t="str">
        <f ca="1">VLOOKUP(A453,Calculation!$E$6:$J$1004,5,FALSE)</f>
        <v/>
      </c>
      <c r="D453" s="4" t="str">
        <f ca="1">VLOOKUP(A453,Calculation!$E$6:$J$1004,6,FALSE)</f>
        <v/>
      </c>
      <c r="E453" s="42" t="str">
        <f t="shared" ca="1" si="2"/>
        <v/>
      </c>
      <c r="G453" s="29" t="str">
        <f ca="1">VLOOKUP(A453,Calculation!$F$6:$J$1004,3,FALSE)</f>
        <v/>
      </c>
      <c r="H453" s="4" t="str">
        <f ca="1">VLOOKUP(A453,Calculation!$F$6:$J$1004,4,FALSE)</f>
        <v/>
      </c>
      <c r="I453" s="4" t="str">
        <f ca="1">VLOOKUP(A453,Calculation!$F$6:$J$1004,5,FALSE)</f>
        <v/>
      </c>
      <c r="J453" s="43" t="str">
        <f t="shared" ca="1" si="3"/>
        <v/>
      </c>
      <c r="L453" s="29" t="str">
        <f ca="1">VLOOKUP(A453,Calculation!$G$6:$S$1004,2,FALSE)</f>
        <v/>
      </c>
      <c r="M453" s="4" t="str">
        <f ca="1">IFERROR(VLOOKUP($L453,Calculation!$H$6:$S$1005,HLOOKUP(M$2,Calculation!$M$4:$S$5,2,FALSE)+5,FALSE),"")</f>
        <v/>
      </c>
      <c r="N453" s="4" t="str">
        <f ca="1">IFERROR(VLOOKUP($L453,Calculation!$H$6:$S$1005,HLOOKUP(N$2,Calculation!$M$4:$S$5,2,FALSE)+5,FALSE),"")</f>
        <v/>
      </c>
      <c r="O453" s="4" t="str">
        <f ca="1">IFERROR(VLOOKUP($L453,Calculation!$H$6:$S$1005,HLOOKUP(O$2,Calculation!$M$4:$S$5,2,FALSE)+5,FALSE),"")</f>
        <v/>
      </c>
      <c r="P453" s="4" t="str">
        <f ca="1">IFERROR(VLOOKUP($L453,Calculation!$H$6:$S$1005,HLOOKUP(P$2,Calculation!$M$4:$S$5,2,FALSE)+5,FALSE),"")</f>
        <v/>
      </c>
      <c r="Q453" s="4" t="str">
        <f ca="1">IFERROR(VLOOKUP($L453,Calculation!$H$6:$S$1005,HLOOKUP(Q$2,Calculation!$M$4:$S$5,2,FALSE)+5,FALSE),"")</f>
        <v/>
      </c>
      <c r="R453" s="27" t="str">
        <f ca="1">IFERROR(VLOOKUP($L453,Calculation!$H$6:$S$1005,HLOOKUP(R$2,Calculation!$M$4:$S$5,2,FALSE)+5,FALSE),"")</f>
        <v/>
      </c>
      <c r="S453" s="4" t="str">
        <f ca="1">IFERROR(VLOOKUP($L453,Calculation!$H$6:$S$1005,HLOOKUP(S$2,Calculation!$M$4:$S$5,2,FALSE)+5,FALSE),"")</f>
        <v/>
      </c>
      <c r="T453" s="29"/>
      <c r="U453" s="43" t="str">
        <f>IFERROR(VLOOKUP(T453,Calculation!$U$6:$V$11,2,FALSE),"")</f>
        <v/>
      </c>
    </row>
    <row r="454" spans="1:21" ht="14.25" customHeight="1" x14ac:dyDescent="0.3">
      <c r="A454" s="26" t="str">
        <f ca="1">IF(Calculation!T457&lt;=Calculation!$H$4,Calculation!T457,"")</f>
        <v/>
      </c>
      <c r="B454" s="4" t="str">
        <f ca="1">VLOOKUP(A454,Calculation!$E$6:$J$1004,4,FALSE)</f>
        <v/>
      </c>
      <c r="C454" s="4" t="str">
        <f ca="1">VLOOKUP(A454,Calculation!$E$6:$J$1004,5,FALSE)</f>
        <v/>
      </c>
      <c r="D454" s="4" t="str">
        <f ca="1">VLOOKUP(A454,Calculation!$E$6:$J$1004,6,FALSE)</f>
        <v/>
      </c>
      <c r="E454" s="42" t="str">
        <f t="shared" ca="1" si="2"/>
        <v/>
      </c>
      <c r="G454" s="29" t="str">
        <f ca="1">VLOOKUP(A454,Calculation!$F$6:$J$1004,3,FALSE)</f>
        <v/>
      </c>
      <c r="H454" s="4" t="str">
        <f ca="1">VLOOKUP(A454,Calculation!$F$6:$J$1004,4,FALSE)</f>
        <v/>
      </c>
      <c r="I454" s="4" t="str">
        <f ca="1">VLOOKUP(A454,Calculation!$F$6:$J$1004,5,FALSE)</f>
        <v/>
      </c>
      <c r="J454" s="43" t="str">
        <f t="shared" ca="1" si="3"/>
        <v/>
      </c>
      <c r="L454" s="29" t="str">
        <f ca="1">VLOOKUP(A454,Calculation!$G$6:$S$1004,2,FALSE)</f>
        <v/>
      </c>
      <c r="M454" s="4" t="str">
        <f ca="1">IFERROR(VLOOKUP($L454,Calculation!$H$6:$S$1005,HLOOKUP(M$2,Calculation!$M$4:$S$5,2,FALSE)+5,FALSE),"")</f>
        <v/>
      </c>
      <c r="N454" s="4" t="str">
        <f ca="1">IFERROR(VLOOKUP($L454,Calculation!$H$6:$S$1005,HLOOKUP(N$2,Calculation!$M$4:$S$5,2,FALSE)+5,FALSE),"")</f>
        <v/>
      </c>
      <c r="O454" s="4" t="str">
        <f ca="1">IFERROR(VLOOKUP($L454,Calculation!$H$6:$S$1005,HLOOKUP(O$2,Calculation!$M$4:$S$5,2,FALSE)+5,FALSE),"")</f>
        <v/>
      </c>
      <c r="P454" s="4" t="str">
        <f ca="1">IFERROR(VLOOKUP($L454,Calculation!$H$6:$S$1005,HLOOKUP(P$2,Calculation!$M$4:$S$5,2,FALSE)+5,FALSE),"")</f>
        <v/>
      </c>
      <c r="Q454" s="4" t="str">
        <f ca="1">IFERROR(VLOOKUP($L454,Calculation!$H$6:$S$1005,HLOOKUP(Q$2,Calculation!$M$4:$S$5,2,FALSE)+5,FALSE),"")</f>
        <v/>
      </c>
      <c r="R454" s="27" t="str">
        <f ca="1">IFERROR(VLOOKUP($L454,Calculation!$H$6:$S$1005,HLOOKUP(R$2,Calculation!$M$4:$S$5,2,FALSE)+5,FALSE),"")</f>
        <v/>
      </c>
      <c r="S454" s="4" t="str">
        <f ca="1">IFERROR(VLOOKUP($L454,Calculation!$H$6:$S$1005,HLOOKUP(S$2,Calculation!$M$4:$S$5,2,FALSE)+5,FALSE),"")</f>
        <v/>
      </c>
      <c r="T454" s="29"/>
      <c r="U454" s="43" t="str">
        <f>IFERROR(VLOOKUP(T454,Calculation!$U$6:$V$11,2,FALSE),"")</f>
        <v/>
      </c>
    </row>
    <row r="455" spans="1:21" ht="14.25" customHeight="1" x14ac:dyDescent="0.3">
      <c r="A455" s="26" t="str">
        <f ca="1">IF(Calculation!T458&lt;=Calculation!$H$4,Calculation!T458,"")</f>
        <v/>
      </c>
      <c r="B455" s="4" t="str">
        <f ca="1">VLOOKUP(A455,Calculation!$E$6:$J$1004,4,FALSE)</f>
        <v/>
      </c>
      <c r="C455" s="4" t="str">
        <f ca="1">VLOOKUP(A455,Calculation!$E$6:$J$1004,5,FALSE)</f>
        <v/>
      </c>
      <c r="D455" s="4" t="str">
        <f ca="1">VLOOKUP(A455,Calculation!$E$6:$J$1004,6,FALSE)</f>
        <v/>
      </c>
      <c r="E455" s="42" t="str">
        <f t="shared" ca="1" si="2"/>
        <v/>
      </c>
      <c r="G455" s="29" t="str">
        <f ca="1">VLOOKUP(A455,Calculation!$F$6:$J$1004,3,FALSE)</f>
        <v/>
      </c>
      <c r="H455" s="4" t="str">
        <f ca="1">VLOOKUP(A455,Calculation!$F$6:$J$1004,4,FALSE)</f>
        <v/>
      </c>
      <c r="I455" s="4" t="str">
        <f ca="1">VLOOKUP(A455,Calculation!$F$6:$J$1004,5,FALSE)</f>
        <v/>
      </c>
      <c r="J455" s="43" t="str">
        <f t="shared" ca="1" si="3"/>
        <v/>
      </c>
      <c r="L455" s="29" t="str">
        <f ca="1">VLOOKUP(A455,Calculation!$G$6:$S$1004,2,FALSE)</f>
        <v/>
      </c>
      <c r="M455" s="4" t="str">
        <f ca="1">IFERROR(VLOOKUP($L455,Calculation!$H$6:$S$1005,HLOOKUP(M$2,Calculation!$M$4:$S$5,2,FALSE)+5,FALSE),"")</f>
        <v/>
      </c>
      <c r="N455" s="4" t="str">
        <f ca="1">IFERROR(VLOOKUP($L455,Calculation!$H$6:$S$1005,HLOOKUP(N$2,Calculation!$M$4:$S$5,2,FALSE)+5,FALSE),"")</f>
        <v/>
      </c>
      <c r="O455" s="4" t="str">
        <f ca="1">IFERROR(VLOOKUP($L455,Calculation!$H$6:$S$1005,HLOOKUP(O$2,Calculation!$M$4:$S$5,2,FALSE)+5,FALSE),"")</f>
        <v/>
      </c>
      <c r="P455" s="4" t="str">
        <f ca="1">IFERROR(VLOOKUP($L455,Calculation!$H$6:$S$1005,HLOOKUP(P$2,Calculation!$M$4:$S$5,2,FALSE)+5,FALSE),"")</f>
        <v/>
      </c>
      <c r="Q455" s="4" t="str">
        <f ca="1">IFERROR(VLOOKUP($L455,Calculation!$H$6:$S$1005,HLOOKUP(Q$2,Calculation!$M$4:$S$5,2,FALSE)+5,FALSE),"")</f>
        <v/>
      </c>
      <c r="R455" s="27" t="str">
        <f ca="1">IFERROR(VLOOKUP($L455,Calculation!$H$6:$S$1005,HLOOKUP(R$2,Calculation!$M$4:$S$5,2,FALSE)+5,FALSE),"")</f>
        <v/>
      </c>
      <c r="S455" s="4" t="str">
        <f ca="1">IFERROR(VLOOKUP($L455,Calculation!$H$6:$S$1005,HLOOKUP(S$2,Calculation!$M$4:$S$5,2,FALSE)+5,FALSE),"")</f>
        <v/>
      </c>
      <c r="T455" s="29"/>
      <c r="U455" s="43" t="str">
        <f>IFERROR(VLOOKUP(T455,Calculation!$U$6:$V$11,2,FALSE),"")</f>
        <v/>
      </c>
    </row>
    <row r="456" spans="1:21" ht="14.25" customHeight="1" x14ac:dyDescent="0.3">
      <c r="A456" s="26" t="str">
        <f ca="1">IF(Calculation!T459&lt;=Calculation!$H$4,Calculation!T459,"")</f>
        <v/>
      </c>
      <c r="B456" s="4" t="str">
        <f ca="1">VLOOKUP(A456,Calculation!$E$6:$J$1004,4,FALSE)</f>
        <v/>
      </c>
      <c r="C456" s="4" t="str">
        <f ca="1">VLOOKUP(A456,Calculation!$E$6:$J$1004,5,FALSE)</f>
        <v/>
      </c>
      <c r="D456" s="4" t="str">
        <f ca="1">VLOOKUP(A456,Calculation!$E$6:$J$1004,6,FALSE)</f>
        <v/>
      </c>
      <c r="E456" s="42" t="str">
        <f t="shared" ca="1" si="2"/>
        <v/>
      </c>
      <c r="G456" s="29" t="str">
        <f ca="1">VLOOKUP(A456,Calculation!$F$6:$J$1004,3,FALSE)</f>
        <v/>
      </c>
      <c r="H456" s="4" t="str">
        <f ca="1">VLOOKUP(A456,Calculation!$F$6:$J$1004,4,FALSE)</f>
        <v/>
      </c>
      <c r="I456" s="4" t="str">
        <f ca="1">VLOOKUP(A456,Calculation!$F$6:$J$1004,5,FALSE)</f>
        <v/>
      </c>
      <c r="J456" s="43" t="str">
        <f t="shared" ca="1" si="3"/>
        <v/>
      </c>
      <c r="L456" s="29" t="str">
        <f ca="1">VLOOKUP(A456,Calculation!$G$6:$S$1004,2,FALSE)</f>
        <v/>
      </c>
      <c r="M456" s="4" t="str">
        <f ca="1">IFERROR(VLOOKUP($L456,Calculation!$H$6:$S$1005,HLOOKUP(M$2,Calculation!$M$4:$S$5,2,FALSE)+5,FALSE),"")</f>
        <v/>
      </c>
      <c r="N456" s="4" t="str">
        <f ca="1">IFERROR(VLOOKUP($L456,Calculation!$H$6:$S$1005,HLOOKUP(N$2,Calculation!$M$4:$S$5,2,FALSE)+5,FALSE),"")</f>
        <v/>
      </c>
      <c r="O456" s="4" t="str">
        <f ca="1">IFERROR(VLOOKUP($L456,Calculation!$H$6:$S$1005,HLOOKUP(O$2,Calculation!$M$4:$S$5,2,FALSE)+5,FALSE),"")</f>
        <v/>
      </c>
      <c r="P456" s="4" t="str">
        <f ca="1">IFERROR(VLOOKUP($L456,Calculation!$H$6:$S$1005,HLOOKUP(P$2,Calculation!$M$4:$S$5,2,FALSE)+5,FALSE),"")</f>
        <v/>
      </c>
      <c r="Q456" s="4" t="str">
        <f ca="1">IFERROR(VLOOKUP($L456,Calculation!$H$6:$S$1005,HLOOKUP(Q$2,Calculation!$M$4:$S$5,2,FALSE)+5,FALSE),"")</f>
        <v/>
      </c>
      <c r="R456" s="27" t="str">
        <f ca="1">IFERROR(VLOOKUP($L456,Calculation!$H$6:$S$1005,HLOOKUP(R$2,Calculation!$M$4:$S$5,2,FALSE)+5,FALSE),"")</f>
        <v/>
      </c>
      <c r="S456" s="4" t="str">
        <f ca="1">IFERROR(VLOOKUP($L456,Calculation!$H$6:$S$1005,HLOOKUP(S$2,Calculation!$M$4:$S$5,2,FALSE)+5,FALSE),"")</f>
        <v/>
      </c>
      <c r="T456" s="29"/>
      <c r="U456" s="43" t="str">
        <f>IFERROR(VLOOKUP(T456,Calculation!$U$6:$V$11,2,FALSE),"")</f>
        <v/>
      </c>
    </row>
    <row r="457" spans="1:21" ht="14.25" customHeight="1" x14ac:dyDescent="0.3">
      <c r="A457" s="26" t="str">
        <f ca="1">IF(Calculation!T460&lt;=Calculation!$H$4,Calculation!T460,"")</f>
        <v/>
      </c>
      <c r="B457" s="4" t="str">
        <f ca="1">VLOOKUP(A457,Calculation!$E$6:$J$1004,4,FALSE)</f>
        <v/>
      </c>
      <c r="C457" s="4" t="str">
        <f ca="1">VLOOKUP(A457,Calculation!$E$6:$J$1004,5,FALSE)</f>
        <v/>
      </c>
      <c r="D457" s="4" t="str">
        <f ca="1">VLOOKUP(A457,Calculation!$E$6:$J$1004,6,FALSE)</f>
        <v/>
      </c>
      <c r="E457" s="42" t="str">
        <f t="shared" ca="1" si="2"/>
        <v/>
      </c>
      <c r="G457" s="29" t="str">
        <f ca="1">VLOOKUP(A457,Calculation!$F$6:$J$1004,3,FALSE)</f>
        <v/>
      </c>
      <c r="H457" s="4" t="str">
        <f ca="1">VLOOKUP(A457,Calculation!$F$6:$J$1004,4,FALSE)</f>
        <v/>
      </c>
      <c r="I457" s="4" t="str">
        <f ca="1">VLOOKUP(A457,Calculation!$F$6:$J$1004,5,FALSE)</f>
        <v/>
      </c>
      <c r="J457" s="43" t="str">
        <f t="shared" ca="1" si="3"/>
        <v/>
      </c>
      <c r="L457" s="29" t="str">
        <f ca="1">VLOOKUP(A457,Calculation!$G$6:$S$1004,2,FALSE)</f>
        <v/>
      </c>
      <c r="M457" s="4" t="str">
        <f ca="1">IFERROR(VLOOKUP($L457,Calculation!$H$6:$S$1005,HLOOKUP(M$2,Calculation!$M$4:$S$5,2,FALSE)+5,FALSE),"")</f>
        <v/>
      </c>
      <c r="N457" s="4" t="str">
        <f ca="1">IFERROR(VLOOKUP($L457,Calculation!$H$6:$S$1005,HLOOKUP(N$2,Calculation!$M$4:$S$5,2,FALSE)+5,FALSE),"")</f>
        <v/>
      </c>
      <c r="O457" s="4" t="str">
        <f ca="1">IFERROR(VLOOKUP($L457,Calculation!$H$6:$S$1005,HLOOKUP(O$2,Calculation!$M$4:$S$5,2,FALSE)+5,FALSE),"")</f>
        <v/>
      </c>
      <c r="P457" s="4" t="str">
        <f ca="1">IFERROR(VLOOKUP($L457,Calculation!$H$6:$S$1005,HLOOKUP(P$2,Calculation!$M$4:$S$5,2,FALSE)+5,FALSE),"")</f>
        <v/>
      </c>
      <c r="Q457" s="4" t="str">
        <f ca="1">IFERROR(VLOOKUP($L457,Calculation!$H$6:$S$1005,HLOOKUP(Q$2,Calculation!$M$4:$S$5,2,FALSE)+5,FALSE),"")</f>
        <v/>
      </c>
      <c r="R457" s="27" t="str">
        <f ca="1">IFERROR(VLOOKUP($L457,Calculation!$H$6:$S$1005,HLOOKUP(R$2,Calculation!$M$4:$S$5,2,FALSE)+5,FALSE),"")</f>
        <v/>
      </c>
      <c r="S457" s="4" t="str">
        <f ca="1">IFERROR(VLOOKUP($L457,Calculation!$H$6:$S$1005,HLOOKUP(S$2,Calculation!$M$4:$S$5,2,FALSE)+5,FALSE),"")</f>
        <v/>
      </c>
      <c r="T457" s="29"/>
      <c r="U457" s="43" t="str">
        <f>IFERROR(VLOOKUP(T457,Calculation!$U$6:$V$11,2,FALSE),"")</f>
        <v/>
      </c>
    </row>
    <row r="458" spans="1:21" ht="14.25" customHeight="1" x14ac:dyDescent="0.3">
      <c r="A458" s="26" t="str">
        <f ca="1">IF(Calculation!T461&lt;=Calculation!$H$4,Calculation!T461,"")</f>
        <v/>
      </c>
      <c r="B458" s="4" t="str">
        <f ca="1">VLOOKUP(A458,Calculation!$E$6:$J$1004,4,FALSE)</f>
        <v/>
      </c>
      <c r="C458" s="4" t="str">
        <f ca="1">VLOOKUP(A458,Calculation!$E$6:$J$1004,5,FALSE)</f>
        <v/>
      </c>
      <c r="D458" s="4" t="str">
        <f ca="1">VLOOKUP(A458,Calculation!$E$6:$J$1004,6,FALSE)</f>
        <v/>
      </c>
      <c r="E458" s="42" t="str">
        <f t="shared" ca="1" si="2"/>
        <v/>
      </c>
      <c r="G458" s="29" t="str">
        <f ca="1">VLOOKUP(A458,Calculation!$F$6:$J$1004,3,FALSE)</f>
        <v/>
      </c>
      <c r="H458" s="4" t="str">
        <f ca="1">VLOOKUP(A458,Calculation!$F$6:$J$1004,4,FALSE)</f>
        <v/>
      </c>
      <c r="I458" s="4" t="str">
        <f ca="1">VLOOKUP(A458,Calculation!$F$6:$J$1004,5,FALSE)</f>
        <v/>
      </c>
      <c r="J458" s="43" t="str">
        <f t="shared" ca="1" si="3"/>
        <v/>
      </c>
      <c r="L458" s="29" t="str">
        <f ca="1">VLOOKUP(A458,Calculation!$G$6:$S$1004,2,FALSE)</f>
        <v/>
      </c>
      <c r="M458" s="4" t="str">
        <f ca="1">IFERROR(VLOOKUP($L458,Calculation!$H$6:$S$1005,HLOOKUP(M$2,Calculation!$M$4:$S$5,2,FALSE)+5,FALSE),"")</f>
        <v/>
      </c>
      <c r="N458" s="4" t="str">
        <f ca="1">IFERROR(VLOOKUP($L458,Calculation!$H$6:$S$1005,HLOOKUP(N$2,Calculation!$M$4:$S$5,2,FALSE)+5,FALSE),"")</f>
        <v/>
      </c>
      <c r="O458" s="4" t="str">
        <f ca="1">IFERROR(VLOOKUP($L458,Calculation!$H$6:$S$1005,HLOOKUP(O$2,Calculation!$M$4:$S$5,2,FALSE)+5,FALSE),"")</f>
        <v/>
      </c>
      <c r="P458" s="4" t="str">
        <f ca="1">IFERROR(VLOOKUP($L458,Calculation!$H$6:$S$1005,HLOOKUP(P$2,Calculation!$M$4:$S$5,2,FALSE)+5,FALSE),"")</f>
        <v/>
      </c>
      <c r="Q458" s="4" t="str">
        <f ca="1">IFERROR(VLOOKUP($L458,Calculation!$H$6:$S$1005,HLOOKUP(Q$2,Calculation!$M$4:$S$5,2,FALSE)+5,FALSE),"")</f>
        <v/>
      </c>
      <c r="R458" s="27" t="str">
        <f ca="1">IFERROR(VLOOKUP($L458,Calculation!$H$6:$S$1005,HLOOKUP(R$2,Calculation!$M$4:$S$5,2,FALSE)+5,FALSE),"")</f>
        <v/>
      </c>
      <c r="S458" s="4" t="str">
        <f ca="1">IFERROR(VLOOKUP($L458,Calculation!$H$6:$S$1005,HLOOKUP(S$2,Calculation!$M$4:$S$5,2,FALSE)+5,FALSE),"")</f>
        <v/>
      </c>
      <c r="T458" s="29"/>
      <c r="U458" s="43" t="str">
        <f>IFERROR(VLOOKUP(T458,Calculation!$U$6:$V$11,2,FALSE),"")</f>
        <v/>
      </c>
    </row>
    <row r="459" spans="1:21" ht="14.25" customHeight="1" x14ac:dyDescent="0.3">
      <c r="A459" s="26" t="str">
        <f ca="1">IF(Calculation!T462&lt;=Calculation!$H$4,Calculation!T462,"")</f>
        <v/>
      </c>
      <c r="B459" s="4" t="str">
        <f ca="1">VLOOKUP(A459,Calculation!$E$6:$J$1004,4,FALSE)</f>
        <v/>
      </c>
      <c r="C459" s="4" t="str">
        <f ca="1">VLOOKUP(A459,Calculation!$E$6:$J$1004,5,FALSE)</f>
        <v/>
      </c>
      <c r="D459" s="4" t="str">
        <f ca="1">VLOOKUP(A459,Calculation!$E$6:$J$1004,6,FALSE)</f>
        <v/>
      </c>
      <c r="E459" s="42" t="str">
        <f t="shared" ca="1" si="2"/>
        <v/>
      </c>
      <c r="G459" s="29" t="str">
        <f ca="1">VLOOKUP(A459,Calculation!$F$6:$J$1004,3,FALSE)</f>
        <v/>
      </c>
      <c r="H459" s="4" t="str">
        <f ca="1">VLOOKUP(A459,Calculation!$F$6:$J$1004,4,FALSE)</f>
        <v/>
      </c>
      <c r="I459" s="4" t="str">
        <f ca="1">VLOOKUP(A459,Calculation!$F$6:$J$1004,5,FALSE)</f>
        <v/>
      </c>
      <c r="J459" s="43" t="str">
        <f t="shared" ca="1" si="3"/>
        <v/>
      </c>
      <c r="L459" s="29" t="str">
        <f ca="1">VLOOKUP(A459,Calculation!$G$6:$S$1004,2,FALSE)</f>
        <v/>
      </c>
      <c r="M459" s="4" t="str">
        <f ca="1">IFERROR(VLOOKUP($L459,Calculation!$H$6:$S$1005,HLOOKUP(M$2,Calculation!$M$4:$S$5,2,FALSE)+5,FALSE),"")</f>
        <v/>
      </c>
      <c r="N459" s="4" t="str">
        <f ca="1">IFERROR(VLOOKUP($L459,Calculation!$H$6:$S$1005,HLOOKUP(N$2,Calculation!$M$4:$S$5,2,FALSE)+5,FALSE),"")</f>
        <v/>
      </c>
      <c r="O459" s="4" t="str">
        <f ca="1">IFERROR(VLOOKUP($L459,Calculation!$H$6:$S$1005,HLOOKUP(O$2,Calculation!$M$4:$S$5,2,FALSE)+5,FALSE),"")</f>
        <v/>
      </c>
      <c r="P459" s="4" t="str">
        <f ca="1">IFERROR(VLOOKUP($L459,Calculation!$H$6:$S$1005,HLOOKUP(P$2,Calculation!$M$4:$S$5,2,FALSE)+5,FALSE),"")</f>
        <v/>
      </c>
      <c r="Q459" s="4" t="str">
        <f ca="1">IFERROR(VLOOKUP($L459,Calculation!$H$6:$S$1005,HLOOKUP(Q$2,Calculation!$M$4:$S$5,2,FALSE)+5,FALSE),"")</f>
        <v/>
      </c>
      <c r="R459" s="27" t="str">
        <f ca="1">IFERROR(VLOOKUP($L459,Calculation!$H$6:$S$1005,HLOOKUP(R$2,Calculation!$M$4:$S$5,2,FALSE)+5,FALSE),"")</f>
        <v/>
      </c>
      <c r="S459" s="4" t="str">
        <f ca="1">IFERROR(VLOOKUP($L459,Calculation!$H$6:$S$1005,HLOOKUP(S$2,Calculation!$M$4:$S$5,2,FALSE)+5,FALSE),"")</f>
        <v/>
      </c>
      <c r="T459" s="29"/>
      <c r="U459" s="43" t="str">
        <f>IFERROR(VLOOKUP(T459,Calculation!$U$6:$V$11,2,FALSE),"")</f>
        <v/>
      </c>
    </row>
    <row r="460" spans="1:21" ht="14.25" customHeight="1" x14ac:dyDescent="0.3">
      <c r="A460" s="26" t="str">
        <f ca="1">IF(Calculation!T463&lt;=Calculation!$H$4,Calculation!T463,"")</f>
        <v/>
      </c>
      <c r="B460" s="4" t="str">
        <f ca="1">VLOOKUP(A460,Calculation!$E$6:$J$1004,4,FALSE)</f>
        <v/>
      </c>
      <c r="C460" s="4" t="str">
        <f ca="1">VLOOKUP(A460,Calculation!$E$6:$J$1004,5,FALSE)</f>
        <v/>
      </c>
      <c r="D460" s="4" t="str">
        <f ca="1">VLOOKUP(A460,Calculation!$E$6:$J$1004,6,FALSE)</f>
        <v/>
      </c>
      <c r="E460" s="42" t="str">
        <f t="shared" ca="1" si="2"/>
        <v/>
      </c>
      <c r="G460" s="29" t="str">
        <f ca="1">VLOOKUP(A460,Calculation!$F$6:$J$1004,3,FALSE)</f>
        <v/>
      </c>
      <c r="H460" s="4" t="str">
        <f ca="1">VLOOKUP(A460,Calculation!$F$6:$J$1004,4,FALSE)</f>
        <v/>
      </c>
      <c r="I460" s="4" t="str">
        <f ca="1">VLOOKUP(A460,Calculation!$F$6:$J$1004,5,FALSE)</f>
        <v/>
      </c>
      <c r="J460" s="43" t="str">
        <f t="shared" ca="1" si="3"/>
        <v/>
      </c>
      <c r="L460" s="29" t="str">
        <f ca="1">VLOOKUP(A460,Calculation!$G$6:$S$1004,2,FALSE)</f>
        <v/>
      </c>
      <c r="M460" s="4" t="str">
        <f ca="1">IFERROR(VLOOKUP($L460,Calculation!$H$6:$S$1005,HLOOKUP(M$2,Calculation!$M$4:$S$5,2,FALSE)+5,FALSE),"")</f>
        <v/>
      </c>
      <c r="N460" s="4" t="str">
        <f ca="1">IFERROR(VLOOKUP($L460,Calculation!$H$6:$S$1005,HLOOKUP(N$2,Calculation!$M$4:$S$5,2,FALSE)+5,FALSE),"")</f>
        <v/>
      </c>
      <c r="O460" s="4" t="str">
        <f ca="1">IFERROR(VLOOKUP($L460,Calculation!$H$6:$S$1005,HLOOKUP(O$2,Calculation!$M$4:$S$5,2,FALSE)+5,FALSE),"")</f>
        <v/>
      </c>
      <c r="P460" s="4" t="str">
        <f ca="1">IFERROR(VLOOKUP($L460,Calculation!$H$6:$S$1005,HLOOKUP(P$2,Calculation!$M$4:$S$5,2,FALSE)+5,FALSE),"")</f>
        <v/>
      </c>
      <c r="Q460" s="4" t="str">
        <f ca="1">IFERROR(VLOOKUP($L460,Calculation!$H$6:$S$1005,HLOOKUP(Q$2,Calculation!$M$4:$S$5,2,FALSE)+5,FALSE),"")</f>
        <v/>
      </c>
      <c r="R460" s="27" t="str">
        <f ca="1">IFERROR(VLOOKUP($L460,Calculation!$H$6:$S$1005,HLOOKUP(R$2,Calculation!$M$4:$S$5,2,FALSE)+5,FALSE),"")</f>
        <v/>
      </c>
      <c r="S460" s="4" t="str">
        <f ca="1">IFERROR(VLOOKUP($L460,Calculation!$H$6:$S$1005,HLOOKUP(S$2,Calculation!$M$4:$S$5,2,FALSE)+5,FALSE),"")</f>
        <v/>
      </c>
      <c r="T460" s="29"/>
      <c r="U460" s="43" t="str">
        <f>IFERROR(VLOOKUP(T460,Calculation!$U$6:$V$11,2,FALSE),"")</f>
        <v/>
      </c>
    </row>
    <row r="461" spans="1:21" ht="14.25" customHeight="1" x14ac:dyDescent="0.3">
      <c r="A461" s="26" t="str">
        <f ca="1">IF(Calculation!T464&lt;=Calculation!$H$4,Calculation!T464,"")</f>
        <v/>
      </c>
      <c r="B461" s="4" t="str">
        <f ca="1">VLOOKUP(A461,Calculation!$E$6:$J$1004,4,FALSE)</f>
        <v/>
      </c>
      <c r="C461" s="4" t="str">
        <f ca="1">VLOOKUP(A461,Calculation!$E$6:$J$1004,5,FALSE)</f>
        <v/>
      </c>
      <c r="D461" s="4" t="str">
        <f ca="1">VLOOKUP(A461,Calculation!$E$6:$J$1004,6,FALSE)</f>
        <v/>
      </c>
      <c r="E461" s="42" t="str">
        <f t="shared" ca="1" si="2"/>
        <v/>
      </c>
      <c r="G461" s="29" t="str">
        <f ca="1">VLOOKUP(A461,Calculation!$F$6:$J$1004,3,FALSE)</f>
        <v/>
      </c>
      <c r="H461" s="4" t="str">
        <f ca="1">VLOOKUP(A461,Calculation!$F$6:$J$1004,4,FALSE)</f>
        <v/>
      </c>
      <c r="I461" s="4" t="str">
        <f ca="1">VLOOKUP(A461,Calculation!$F$6:$J$1004,5,FALSE)</f>
        <v/>
      </c>
      <c r="J461" s="43" t="str">
        <f t="shared" ca="1" si="3"/>
        <v/>
      </c>
      <c r="L461" s="29" t="str">
        <f ca="1">VLOOKUP(A461,Calculation!$G$6:$S$1004,2,FALSE)</f>
        <v/>
      </c>
      <c r="M461" s="4" t="str">
        <f ca="1">IFERROR(VLOOKUP($L461,Calculation!$H$6:$S$1005,HLOOKUP(M$2,Calculation!$M$4:$S$5,2,FALSE)+5,FALSE),"")</f>
        <v/>
      </c>
      <c r="N461" s="4" t="str">
        <f ca="1">IFERROR(VLOOKUP($L461,Calculation!$H$6:$S$1005,HLOOKUP(N$2,Calculation!$M$4:$S$5,2,FALSE)+5,FALSE),"")</f>
        <v/>
      </c>
      <c r="O461" s="4" t="str">
        <f ca="1">IFERROR(VLOOKUP($L461,Calculation!$H$6:$S$1005,HLOOKUP(O$2,Calculation!$M$4:$S$5,2,FALSE)+5,FALSE),"")</f>
        <v/>
      </c>
      <c r="P461" s="4" t="str">
        <f ca="1">IFERROR(VLOOKUP($L461,Calculation!$H$6:$S$1005,HLOOKUP(P$2,Calculation!$M$4:$S$5,2,FALSE)+5,FALSE),"")</f>
        <v/>
      </c>
      <c r="Q461" s="4" t="str">
        <f ca="1">IFERROR(VLOOKUP($L461,Calculation!$H$6:$S$1005,HLOOKUP(Q$2,Calculation!$M$4:$S$5,2,FALSE)+5,FALSE),"")</f>
        <v/>
      </c>
      <c r="R461" s="27" t="str">
        <f ca="1">IFERROR(VLOOKUP($L461,Calculation!$H$6:$S$1005,HLOOKUP(R$2,Calculation!$M$4:$S$5,2,FALSE)+5,FALSE),"")</f>
        <v/>
      </c>
      <c r="S461" s="4" t="str">
        <f ca="1">IFERROR(VLOOKUP($L461,Calculation!$H$6:$S$1005,HLOOKUP(S$2,Calculation!$M$4:$S$5,2,FALSE)+5,FALSE),"")</f>
        <v/>
      </c>
      <c r="T461" s="29"/>
      <c r="U461" s="43" t="str">
        <f>IFERROR(VLOOKUP(T461,Calculation!$U$6:$V$11,2,FALSE),"")</f>
        <v/>
      </c>
    </row>
    <row r="462" spans="1:21" ht="14.25" customHeight="1" x14ac:dyDescent="0.3">
      <c r="A462" s="26" t="str">
        <f ca="1">IF(Calculation!T465&lt;=Calculation!$H$4,Calculation!T465,"")</f>
        <v/>
      </c>
      <c r="B462" s="4" t="str">
        <f ca="1">VLOOKUP(A462,Calculation!$E$6:$J$1004,4,FALSE)</f>
        <v/>
      </c>
      <c r="C462" s="4" t="str">
        <f ca="1">VLOOKUP(A462,Calculation!$E$6:$J$1004,5,FALSE)</f>
        <v/>
      </c>
      <c r="D462" s="4" t="str">
        <f ca="1">VLOOKUP(A462,Calculation!$E$6:$J$1004,6,FALSE)</f>
        <v/>
      </c>
      <c r="E462" s="42" t="str">
        <f t="shared" ca="1" si="2"/>
        <v/>
      </c>
      <c r="G462" s="29" t="str">
        <f ca="1">VLOOKUP(A462,Calculation!$F$6:$J$1004,3,FALSE)</f>
        <v/>
      </c>
      <c r="H462" s="4" t="str">
        <f ca="1">VLOOKUP(A462,Calculation!$F$6:$J$1004,4,FALSE)</f>
        <v/>
      </c>
      <c r="I462" s="4" t="str">
        <f ca="1">VLOOKUP(A462,Calculation!$F$6:$J$1004,5,FALSE)</f>
        <v/>
      </c>
      <c r="J462" s="43" t="str">
        <f t="shared" ca="1" si="3"/>
        <v/>
      </c>
      <c r="L462" s="29" t="str">
        <f ca="1">VLOOKUP(A462,Calculation!$G$6:$S$1004,2,FALSE)</f>
        <v/>
      </c>
      <c r="M462" s="4" t="str">
        <f ca="1">IFERROR(VLOOKUP($L462,Calculation!$H$6:$S$1005,HLOOKUP(M$2,Calculation!$M$4:$S$5,2,FALSE)+5,FALSE),"")</f>
        <v/>
      </c>
      <c r="N462" s="4" t="str">
        <f ca="1">IFERROR(VLOOKUP($L462,Calculation!$H$6:$S$1005,HLOOKUP(N$2,Calculation!$M$4:$S$5,2,FALSE)+5,FALSE),"")</f>
        <v/>
      </c>
      <c r="O462" s="4" t="str">
        <f ca="1">IFERROR(VLOOKUP($L462,Calculation!$H$6:$S$1005,HLOOKUP(O$2,Calculation!$M$4:$S$5,2,FALSE)+5,FALSE),"")</f>
        <v/>
      </c>
      <c r="P462" s="4" t="str">
        <f ca="1">IFERROR(VLOOKUP($L462,Calculation!$H$6:$S$1005,HLOOKUP(P$2,Calculation!$M$4:$S$5,2,FALSE)+5,FALSE),"")</f>
        <v/>
      </c>
      <c r="Q462" s="4" t="str">
        <f ca="1">IFERROR(VLOOKUP($L462,Calculation!$H$6:$S$1005,HLOOKUP(Q$2,Calculation!$M$4:$S$5,2,FALSE)+5,FALSE),"")</f>
        <v/>
      </c>
      <c r="R462" s="27" t="str">
        <f ca="1">IFERROR(VLOOKUP($L462,Calculation!$H$6:$S$1005,HLOOKUP(R$2,Calculation!$M$4:$S$5,2,FALSE)+5,FALSE),"")</f>
        <v/>
      </c>
      <c r="S462" s="4" t="str">
        <f ca="1">IFERROR(VLOOKUP($L462,Calculation!$H$6:$S$1005,HLOOKUP(S$2,Calculation!$M$4:$S$5,2,FALSE)+5,FALSE),"")</f>
        <v/>
      </c>
      <c r="T462" s="29"/>
      <c r="U462" s="43" t="str">
        <f>IFERROR(VLOOKUP(T462,Calculation!$U$6:$V$11,2,FALSE),"")</f>
        <v/>
      </c>
    </row>
    <row r="463" spans="1:21" ht="14.25" customHeight="1" x14ac:dyDescent="0.3">
      <c r="A463" s="26" t="str">
        <f ca="1">IF(Calculation!T466&lt;=Calculation!$H$4,Calculation!T466,"")</f>
        <v/>
      </c>
      <c r="B463" s="4" t="str">
        <f ca="1">VLOOKUP(A463,Calculation!$E$6:$J$1004,4,FALSE)</f>
        <v/>
      </c>
      <c r="C463" s="4" t="str">
        <f ca="1">VLOOKUP(A463,Calculation!$E$6:$J$1004,5,FALSE)</f>
        <v/>
      </c>
      <c r="D463" s="4" t="str">
        <f ca="1">VLOOKUP(A463,Calculation!$E$6:$J$1004,6,FALSE)</f>
        <v/>
      </c>
      <c r="E463" s="42" t="str">
        <f t="shared" ca="1" si="2"/>
        <v/>
      </c>
      <c r="G463" s="29" t="str">
        <f ca="1">VLOOKUP(A463,Calculation!$F$6:$J$1004,3,FALSE)</f>
        <v/>
      </c>
      <c r="H463" s="4" t="str">
        <f ca="1">VLOOKUP(A463,Calculation!$F$6:$J$1004,4,FALSE)</f>
        <v/>
      </c>
      <c r="I463" s="4" t="str">
        <f ca="1">VLOOKUP(A463,Calculation!$F$6:$J$1004,5,FALSE)</f>
        <v/>
      </c>
      <c r="J463" s="43" t="str">
        <f t="shared" ca="1" si="3"/>
        <v/>
      </c>
      <c r="L463" s="29" t="str">
        <f ca="1">VLOOKUP(A463,Calculation!$G$6:$S$1004,2,FALSE)</f>
        <v/>
      </c>
      <c r="M463" s="4" t="str">
        <f ca="1">IFERROR(VLOOKUP($L463,Calculation!$H$6:$S$1005,HLOOKUP(M$2,Calculation!$M$4:$S$5,2,FALSE)+5,FALSE),"")</f>
        <v/>
      </c>
      <c r="N463" s="4" t="str">
        <f ca="1">IFERROR(VLOOKUP($L463,Calculation!$H$6:$S$1005,HLOOKUP(N$2,Calculation!$M$4:$S$5,2,FALSE)+5,FALSE),"")</f>
        <v/>
      </c>
      <c r="O463" s="4" t="str">
        <f ca="1">IFERROR(VLOOKUP($L463,Calculation!$H$6:$S$1005,HLOOKUP(O$2,Calculation!$M$4:$S$5,2,FALSE)+5,FALSE),"")</f>
        <v/>
      </c>
      <c r="P463" s="4" t="str">
        <f ca="1">IFERROR(VLOOKUP($L463,Calculation!$H$6:$S$1005,HLOOKUP(P$2,Calculation!$M$4:$S$5,2,FALSE)+5,FALSE),"")</f>
        <v/>
      </c>
      <c r="Q463" s="4" t="str">
        <f ca="1">IFERROR(VLOOKUP($L463,Calculation!$H$6:$S$1005,HLOOKUP(Q$2,Calculation!$M$4:$S$5,2,FALSE)+5,FALSE),"")</f>
        <v/>
      </c>
      <c r="R463" s="27" t="str">
        <f ca="1">IFERROR(VLOOKUP($L463,Calculation!$H$6:$S$1005,HLOOKUP(R$2,Calculation!$M$4:$S$5,2,FALSE)+5,FALSE),"")</f>
        <v/>
      </c>
      <c r="S463" s="4" t="str">
        <f ca="1">IFERROR(VLOOKUP($L463,Calculation!$H$6:$S$1005,HLOOKUP(S$2,Calculation!$M$4:$S$5,2,FALSE)+5,FALSE),"")</f>
        <v/>
      </c>
      <c r="T463" s="29"/>
      <c r="U463" s="43" t="str">
        <f>IFERROR(VLOOKUP(T463,Calculation!$U$6:$V$11,2,FALSE),"")</f>
        <v/>
      </c>
    </row>
    <row r="464" spans="1:21" ht="14.25" customHeight="1" x14ac:dyDescent="0.3">
      <c r="A464" s="26" t="str">
        <f ca="1">IF(Calculation!T467&lt;=Calculation!$H$4,Calculation!T467,"")</f>
        <v/>
      </c>
      <c r="B464" s="4" t="str">
        <f ca="1">VLOOKUP(A464,Calculation!$E$6:$J$1004,4,FALSE)</f>
        <v/>
      </c>
      <c r="C464" s="4" t="str">
        <f ca="1">VLOOKUP(A464,Calculation!$E$6:$J$1004,5,FALSE)</f>
        <v/>
      </c>
      <c r="D464" s="4" t="str">
        <f ca="1">VLOOKUP(A464,Calculation!$E$6:$J$1004,6,FALSE)</f>
        <v/>
      </c>
      <c r="E464" s="42" t="str">
        <f t="shared" ca="1" si="2"/>
        <v/>
      </c>
      <c r="G464" s="29" t="str">
        <f ca="1">VLOOKUP(A464,Calculation!$F$6:$J$1004,3,FALSE)</f>
        <v/>
      </c>
      <c r="H464" s="4" t="str">
        <f ca="1">VLOOKUP(A464,Calculation!$F$6:$J$1004,4,FALSE)</f>
        <v/>
      </c>
      <c r="I464" s="4" t="str">
        <f ca="1">VLOOKUP(A464,Calculation!$F$6:$J$1004,5,FALSE)</f>
        <v/>
      </c>
      <c r="J464" s="43" t="str">
        <f t="shared" ca="1" si="3"/>
        <v/>
      </c>
      <c r="L464" s="29" t="str">
        <f ca="1">VLOOKUP(A464,Calculation!$G$6:$S$1004,2,FALSE)</f>
        <v/>
      </c>
      <c r="M464" s="4" t="str">
        <f ca="1">IFERROR(VLOOKUP($L464,Calculation!$H$6:$S$1005,HLOOKUP(M$2,Calculation!$M$4:$S$5,2,FALSE)+5,FALSE),"")</f>
        <v/>
      </c>
      <c r="N464" s="4" t="str">
        <f ca="1">IFERROR(VLOOKUP($L464,Calculation!$H$6:$S$1005,HLOOKUP(N$2,Calculation!$M$4:$S$5,2,FALSE)+5,FALSE),"")</f>
        <v/>
      </c>
      <c r="O464" s="4" t="str">
        <f ca="1">IFERROR(VLOOKUP($L464,Calculation!$H$6:$S$1005,HLOOKUP(O$2,Calculation!$M$4:$S$5,2,FALSE)+5,FALSE),"")</f>
        <v/>
      </c>
      <c r="P464" s="4" t="str">
        <f ca="1">IFERROR(VLOOKUP($L464,Calculation!$H$6:$S$1005,HLOOKUP(P$2,Calculation!$M$4:$S$5,2,FALSE)+5,FALSE),"")</f>
        <v/>
      </c>
      <c r="Q464" s="4" t="str">
        <f ca="1">IFERROR(VLOOKUP($L464,Calculation!$H$6:$S$1005,HLOOKUP(Q$2,Calculation!$M$4:$S$5,2,FALSE)+5,FALSE),"")</f>
        <v/>
      </c>
      <c r="R464" s="27" t="str">
        <f ca="1">IFERROR(VLOOKUP($L464,Calculation!$H$6:$S$1005,HLOOKUP(R$2,Calculation!$M$4:$S$5,2,FALSE)+5,FALSE),"")</f>
        <v/>
      </c>
      <c r="S464" s="4" t="str">
        <f ca="1">IFERROR(VLOOKUP($L464,Calculation!$H$6:$S$1005,HLOOKUP(S$2,Calculation!$M$4:$S$5,2,FALSE)+5,FALSE),"")</f>
        <v/>
      </c>
      <c r="T464" s="29"/>
      <c r="U464" s="43" t="str">
        <f>IFERROR(VLOOKUP(T464,Calculation!$U$6:$V$11,2,FALSE),"")</f>
        <v/>
      </c>
    </row>
    <row r="465" spans="1:21" ht="14.25" customHeight="1" x14ac:dyDescent="0.3">
      <c r="A465" s="26" t="str">
        <f ca="1">IF(Calculation!T468&lt;=Calculation!$H$4,Calculation!T468,"")</f>
        <v/>
      </c>
      <c r="B465" s="4" t="str">
        <f ca="1">VLOOKUP(A465,Calculation!$E$6:$J$1004,4,FALSE)</f>
        <v/>
      </c>
      <c r="C465" s="4" t="str">
        <f ca="1">VLOOKUP(A465,Calculation!$E$6:$J$1004,5,FALSE)</f>
        <v/>
      </c>
      <c r="D465" s="4" t="str">
        <f ca="1">VLOOKUP(A465,Calculation!$E$6:$J$1004,6,FALSE)</f>
        <v/>
      </c>
      <c r="E465" s="42" t="str">
        <f t="shared" ca="1" si="2"/>
        <v/>
      </c>
      <c r="G465" s="29" t="str">
        <f ca="1">VLOOKUP(A465,Calculation!$F$6:$J$1004,3,FALSE)</f>
        <v/>
      </c>
      <c r="H465" s="4" t="str">
        <f ca="1">VLOOKUP(A465,Calculation!$F$6:$J$1004,4,FALSE)</f>
        <v/>
      </c>
      <c r="I465" s="4" t="str">
        <f ca="1">VLOOKUP(A465,Calculation!$F$6:$J$1004,5,FALSE)</f>
        <v/>
      </c>
      <c r="J465" s="43" t="str">
        <f t="shared" ca="1" si="3"/>
        <v/>
      </c>
      <c r="L465" s="29" t="str">
        <f ca="1">VLOOKUP(A465,Calculation!$G$6:$S$1004,2,FALSE)</f>
        <v/>
      </c>
      <c r="M465" s="4" t="str">
        <f ca="1">IFERROR(VLOOKUP($L465,Calculation!$H$6:$S$1005,HLOOKUP(M$2,Calculation!$M$4:$S$5,2,FALSE)+5,FALSE),"")</f>
        <v/>
      </c>
      <c r="N465" s="4" t="str">
        <f ca="1">IFERROR(VLOOKUP($L465,Calculation!$H$6:$S$1005,HLOOKUP(N$2,Calculation!$M$4:$S$5,2,FALSE)+5,FALSE),"")</f>
        <v/>
      </c>
      <c r="O465" s="4" t="str">
        <f ca="1">IFERROR(VLOOKUP($L465,Calculation!$H$6:$S$1005,HLOOKUP(O$2,Calculation!$M$4:$S$5,2,FALSE)+5,FALSE),"")</f>
        <v/>
      </c>
      <c r="P465" s="4" t="str">
        <f ca="1">IFERROR(VLOOKUP($L465,Calculation!$H$6:$S$1005,HLOOKUP(P$2,Calculation!$M$4:$S$5,2,FALSE)+5,FALSE),"")</f>
        <v/>
      </c>
      <c r="Q465" s="4" t="str">
        <f ca="1">IFERROR(VLOOKUP($L465,Calculation!$H$6:$S$1005,HLOOKUP(Q$2,Calculation!$M$4:$S$5,2,FALSE)+5,FALSE),"")</f>
        <v/>
      </c>
      <c r="R465" s="27" t="str">
        <f ca="1">IFERROR(VLOOKUP($L465,Calculation!$H$6:$S$1005,HLOOKUP(R$2,Calculation!$M$4:$S$5,2,FALSE)+5,FALSE),"")</f>
        <v/>
      </c>
      <c r="S465" s="4" t="str">
        <f ca="1">IFERROR(VLOOKUP($L465,Calculation!$H$6:$S$1005,HLOOKUP(S$2,Calculation!$M$4:$S$5,2,FALSE)+5,FALSE),"")</f>
        <v/>
      </c>
      <c r="T465" s="29"/>
      <c r="U465" s="43" t="str">
        <f>IFERROR(VLOOKUP(T465,Calculation!$U$6:$V$11,2,FALSE),"")</f>
        <v/>
      </c>
    </row>
    <row r="466" spans="1:21" ht="14.25" customHeight="1" x14ac:dyDescent="0.3">
      <c r="A466" s="26" t="str">
        <f ca="1">IF(Calculation!T469&lt;=Calculation!$H$4,Calculation!T469,"")</f>
        <v/>
      </c>
      <c r="B466" s="4" t="str">
        <f ca="1">VLOOKUP(A466,Calculation!$E$6:$J$1004,4,FALSE)</f>
        <v/>
      </c>
      <c r="C466" s="4" t="str">
        <f ca="1">VLOOKUP(A466,Calculation!$E$6:$J$1004,5,FALSE)</f>
        <v/>
      </c>
      <c r="D466" s="4" t="str">
        <f ca="1">VLOOKUP(A466,Calculation!$E$6:$J$1004,6,FALSE)</f>
        <v/>
      </c>
      <c r="E466" s="42" t="str">
        <f t="shared" ca="1" si="2"/>
        <v/>
      </c>
      <c r="G466" s="29" t="str">
        <f ca="1">VLOOKUP(A466,Calculation!$F$6:$J$1004,3,FALSE)</f>
        <v/>
      </c>
      <c r="H466" s="4" t="str">
        <f ca="1">VLOOKUP(A466,Calculation!$F$6:$J$1004,4,FALSE)</f>
        <v/>
      </c>
      <c r="I466" s="4" t="str">
        <f ca="1">VLOOKUP(A466,Calculation!$F$6:$J$1004,5,FALSE)</f>
        <v/>
      </c>
      <c r="J466" s="43" t="str">
        <f t="shared" ca="1" si="3"/>
        <v/>
      </c>
      <c r="L466" s="29" t="str">
        <f ca="1">VLOOKUP(A466,Calculation!$G$6:$S$1004,2,FALSE)</f>
        <v/>
      </c>
      <c r="M466" s="4" t="str">
        <f ca="1">IFERROR(VLOOKUP($L466,Calculation!$H$6:$S$1005,HLOOKUP(M$2,Calculation!$M$4:$S$5,2,FALSE)+5,FALSE),"")</f>
        <v/>
      </c>
      <c r="N466" s="4" t="str">
        <f ca="1">IFERROR(VLOOKUP($L466,Calculation!$H$6:$S$1005,HLOOKUP(N$2,Calculation!$M$4:$S$5,2,FALSE)+5,FALSE),"")</f>
        <v/>
      </c>
      <c r="O466" s="4" t="str">
        <f ca="1">IFERROR(VLOOKUP($L466,Calculation!$H$6:$S$1005,HLOOKUP(O$2,Calculation!$M$4:$S$5,2,FALSE)+5,FALSE),"")</f>
        <v/>
      </c>
      <c r="P466" s="4" t="str">
        <f ca="1">IFERROR(VLOOKUP($L466,Calculation!$H$6:$S$1005,HLOOKUP(P$2,Calculation!$M$4:$S$5,2,FALSE)+5,FALSE),"")</f>
        <v/>
      </c>
      <c r="Q466" s="4" t="str">
        <f ca="1">IFERROR(VLOOKUP($L466,Calculation!$H$6:$S$1005,HLOOKUP(Q$2,Calculation!$M$4:$S$5,2,FALSE)+5,FALSE),"")</f>
        <v/>
      </c>
      <c r="R466" s="27" t="str">
        <f ca="1">IFERROR(VLOOKUP($L466,Calculation!$H$6:$S$1005,HLOOKUP(R$2,Calculation!$M$4:$S$5,2,FALSE)+5,FALSE),"")</f>
        <v/>
      </c>
      <c r="S466" s="4" t="str">
        <f ca="1">IFERROR(VLOOKUP($L466,Calculation!$H$6:$S$1005,HLOOKUP(S$2,Calculation!$M$4:$S$5,2,FALSE)+5,FALSE),"")</f>
        <v/>
      </c>
      <c r="T466" s="29"/>
      <c r="U466" s="43" t="str">
        <f>IFERROR(VLOOKUP(T466,Calculation!$U$6:$V$11,2,FALSE),"")</f>
        <v/>
      </c>
    </row>
    <row r="467" spans="1:21" ht="14.25" customHeight="1" x14ac:dyDescent="0.3">
      <c r="A467" s="26" t="str">
        <f ca="1">IF(Calculation!T470&lt;=Calculation!$H$4,Calculation!T470,"")</f>
        <v/>
      </c>
      <c r="B467" s="4" t="str">
        <f ca="1">VLOOKUP(A467,Calculation!$E$6:$J$1004,4,FALSE)</f>
        <v/>
      </c>
      <c r="C467" s="4" t="str">
        <f ca="1">VLOOKUP(A467,Calculation!$E$6:$J$1004,5,FALSE)</f>
        <v/>
      </c>
      <c r="D467" s="4" t="str">
        <f ca="1">VLOOKUP(A467,Calculation!$E$6:$J$1004,6,FALSE)</f>
        <v/>
      </c>
      <c r="E467" s="42" t="str">
        <f t="shared" ca="1" si="2"/>
        <v/>
      </c>
      <c r="G467" s="29" t="str">
        <f ca="1">VLOOKUP(A467,Calculation!$F$6:$J$1004,3,FALSE)</f>
        <v/>
      </c>
      <c r="H467" s="4" t="str">
        <f ca="1">VLOOKUP(A467,Calculation!$F$6:$J$1004,4,FALSE)</f>
        <v/>
      </c>
      <c r="I467" s="4" t="str">
        <f ca="1">VLOOKUP(A467,Calculation!$F$6:$J$1004,5,FALSE)</f>
        <v/>
      </c>
      <c r="J467" s="43" t="str">
        <f t="shared" ca="1" si="3"/>
        <v/>
      </c>
      <c r="L467" s="29" t="str">
        <f ca="1">VLOOKUP(A467,Calculation!$G$6:$S$1004,2,FALSE)</f>
        <v/>
      </c>
      <c r="M467" s="4" t="str">
        <f ca="1">IFERROR(VLOOKUP($L467,Calculation!$H$6:$S$1005,HLOOKUP(M$2,Calculation!$M$4:$S$5,2,FALSE)+5,FALSE),"")</f>
        <v/>
      </c>
      <c r="N467" s="4" t="str">
        <f ca="1">IFERROR(VLOOKUP($L467,Calculation!$H$6:$S$1005,HLOOKUP(N$2,Calculation!$M$4:$S$5,2,FALSE)+5,FALSE),"")</f>
        <v/>
      </c>
      <c r="O467" s="4" t="str">
        <f ca="1">IFERROR(VLOOKUP($L467,Calculation!$H$6:$S$1005,HLOOKUP(O$2,Calculation!$M$4:$S$5,2,FALSE)+5,FALSE),"")</f>
        <v/>
      </c>
      <c r="P467" s="4" t="str">
        <f ca="1">IFERROR(VLOOKUP($L467,Calculation!$H$6:$S$1005,HLOOKUP(P$2,Calculation!$M$4:$S$5,2,FALSE)+5,FALSE),"")</f>
        <v/>
      </c>
      <c r="Q467" s="4" t="str">
        <f ca="1">IFERROR(VLOOKUP($L467,Calculation!$H$6:$S$1005,HLOOKUP(Q$2,Calculation!$M$4:$S$5,2,FALSE)+5,FALSE),"")</f>
        <v/>
      </c>
      <c r="R467" s="27" t="str">
        <f ca="1">IFERROR(VLOOKUP($L467,Calculation!$H$6:$S$1005,HLOOKUP(R$2,Calculation!$M$4:$S$5,2,FALSE)+5,FALSE),"")</f>
        <v/>
      </c>
      <c r="S467" s="4" t="str">
        <f ca="1">IFERROR(VLOOKUP($L467,Calculation!$H$6:$S$1005,HLOOKUP(S$2,Calculation!$M$4:$S$5,2,FALSE)+5,FALSE),"")</f>
        <v/>
      </c>
      <c r="T467" s="29"/>
      <c r="U467" s="43" t="str">
        <f>IFERROR(VLOOKUP(T467,Calculation!$U$6:$V$11,2,FALSE),"")</f>
        <v/>
      </c>
    </row>
    <row r="468" spans="1:21" ht="14.25" customHeight="1" x14ac:dyDescent="0.3">
      <c r="A468" s="26" t="str">
        <f ca="1">IF(Calculation!T471&lt;=Calculation!$H$4,Calculation!T471,"")</f>
        <v/>
      </c>
      <c r="B468" s="4" t="str">
        <f ca="1">VLOOKUP(A468,Calculation!$E$6:$J$1004,4,FALSE)</f>
        <v/>
      </c>
      <c r="C468" s="4" t="str">
        <f ca="1">VLOOKUP(A468,Calculation!$E$6:$J$1004,5,FALSE)</f>
        <v/>
      </c>
      <c r="D468" s="4" t="str">
        <f ca="1">VLOOKUP(A468,Calculation!$E$6:$J$1004,6,FALSE)</f>
        <v/>
      </c>
      <c r="E468" s="42" t="str">
        <f t="shared" ca="1" si="2"/>
        <v/>
      </c>
      <c r="G468" s="29" t="str">
        <f ca="1">VLOOKUP(A468,Calculation!$F$6:$J$1004,3,FALSE)</f>
        <v/>
      </c>
      <c r="H468" s="4" t="str">
        <f ca="1">VLOOKUP(A468,Calculation!$F$6:$J$1004,4,FALSE)</f>
        <v/>
      </c>
      <c r="I468" s="4" t="str">
        <f ca="1">VLOOKUP(A468,Calculation!$F$6:$J$1004,5,FALSE)</f>
        <v/>
      </c>
      <c r="J468" s="43" t="str">
        <f t="shared" ca="1" si="3"/>
        <v/>
      </c>
      <c r="L468" s="29" t="str">
        <f ca="1">VLOOKUP(A468,Calculation!$G$6:$S$1004,2,FALSE)</f>
        <v/>
      </c>
      <c r="M468" s="4" t="str">
        <f ca="1">IFERROR(VLOOKUP($L468,Calculation!$H$6:$S$1005,HLOOKUP(M$2,Calculation!$M$4:$S$5,2,FALSE)+5,FALSE),"")</f>
        <v/>
      </c>
      <c r="N468" s="4" t="str">
        <f ca="1">IFERROR(VLOOKUP($L468,Calculation!$H$6:$S$1005,HLOOKUP(N$2,Calculation!$M$4:$S$5,2,FALSE)+5,FALSE),"")</f>
        <v/>
      </c>
      <c r="O468" s="4" t="str">
        <f ca="1">IFERROR(VLOOKUP($L468,Calculation!$H$6:$S$1005,HLOOKUP(O$2,Calculation!$M$4:$S$5,2,FALSE)+5,FALSE),"")</f>
        <v/>
      </c>
      <c r="P468" s="4" t="str">
        <f ca="1">IFERROR(VLOOKUP($L468,Calculation!$H$6:$S$1005,HLOOKUP(P$2,Calculation!$M$4:$S$5,2,FALSE)+5,FALSE),"")</f>
        <v/>
      </c>
      <c r="Q468" s="4" t="str">
        <f ca="1">IFERROR(VLOOKUP($L468,Calculation!$H$6:$S$1005,HLOOKUP(Q$2,Calculation!$M$4:$S$5,2,FALSE)+5,FALSE),"")</f>
        <v/>
      </c>
      <c r="R468" s="27" t="str">
        <f ca="1">IFERROR(VLOOKUP($L468,Calculation!$H$6:$S$1005,HLOOKUP(R$2,Calculation!$M$4:$S$5,2,FALSE)+5,FALSE),"")</f>
        <v/>
      </c>
      <c r="S468" s="4" t="str">
        <f ca="1">IFERROR(VLOOKUP($L468,Calculation!$H$6:$S$1005,HLOOKUP(S$2,Calculation!$M$4:$S$5,2,FALSE)+5,FALSE),"")</f>
        <v/>
      </c>
      <c r="T468" s="29"/>
      <c r="U468" s="43" t="str">
        <f>IFERROR(VLOOKUP(T468,Calculation!$U$6:$V$11,2,FALSE),"")</f>
        <v/>
      </c>
    </row>
    <row r="469" spans="1:21" ht="14.25" customHeight="1" x14ac:dyDescent="0.3">
      <c r="A469" s="26" t="str">
        <f ca="1">IF(Calculation!T472&lt;=Calculation!$H$4,Calculation!T472,"")</f>
        <v/>
      </c>
      <c r="B469" s="4" t="str">
        <f ca="1">VLOOKUP(A469,Calculation!$E$6:$J$1004,4,FALSE)</f>
        <v/>
      </c>
      <c r="C469" s="4" t="str">
        <f ca="1">VLOOKUP(A469,Calculation!$E$6:$J$1004,5,FALSE)</f>
        <v/>
      </c>
      <c r="D469" s="4" t="str">
        <f ca="1">VLOOKUP(A469,Calculation!$E$6:$J$1004,6,FALSE)</f>
        <v/>
      </c>
      <c r="E469" s="42" t="str">
        <f t="shared" ca="1" si="2"/>
        <v/>
      </c>
      <c r="G469" s="29" t="str">
        <f ca="1">VLOOKUP(A469,Calculation!$F$6:$J$1004,3,FALSE)</f>
        <v/>
      </c>
      <c r="H469" s="4" t="str">
        <f ca="1">VLOOKUP(A469,Calculation!$F$6:$J$1004,4,FALSE)</f>
        <v/>
      </c>
      <c r="I469" s="4" t="str">
        <f ca="1">VLOOKUP(A469,Calculation!$F$6:$J$1004,5,FALSE)</f>
        <v/>
      </c>
      <c r="J469" s="43" t="str">
        <f t="shared" ca="1" si="3"/>
        <v/>
      </c>
      <c r="L469" s="29" t="str">
        <f ca="1">VLOOKUP(A469,Calculation!$G$6:$S$1004,2,FALSE)</f>
        <v/>
      </c>
      <c r="M469" s="4" t="str">
        <f ca="1">IFERROR(VLOOKUP($L469,Calculation!$H$6:$S$1005,HLOOKUP(M$2,Calculation!$M$4:$S$5,2,FALSE)+5,FALSE),"")</f>
        <v/>
      </c>
      <c r="N469" s="4" t="str">
        <f ca="1">IFERROR(VLOOKUP($L469,Calculation!$H$6:$S$1005,HLOOKUP(N$2,Calculation!$M$4:$S$5,2,FALSE)+5,FALSE),"")</f>
        <v/>
      </c>
      <c r="O469" s="4" t="str">
        <f ca="1">IFERROR(VLOOKUP($L469,Calculation!$H$6:$S$1005,HLOOKUP(O$2,Calculation!$M$4:$S$5,2,FALSE)+5,FALSE),"")</f>
        <v/>
      </c>
      <c r="P469" s="4" t="str">
        <f ca="1">IFERROR(VLOOKUP($L469,Calculation!$H$6:$S$1005,HLOOKUP(P$2,Calculation!$M$4:$S$5,2,FALSE)+5,FALSE),"")</f>
        <v/>
      </c>
      <c r="Q469" s="4" t="str">
        <f ca="1">IFERROR(VLOOKUP($L469,Calculation!$H$6:$S$1005,HLOOKUP(Q$2,Calculation!$M$4:$S$5,2,FALSE)+5,FALSE),"")</f>
        <v/>
      </c>
      <c r="R469" s="27" t="str">
        <f ca="1">IFERROR(VLOOKUP($L469,Calculation!$H$6:$S$1005,HLOOKUP(R$2,Calculation!$M$4:$S$5,2,FALSE)+5,FALSE),"")</f>
        <v/>
      </c>
      <c r="S469" s="4" t="str">
        <f ca="1">IFERROR(VLOOKUP($L469,Calculation!$H$6:$S$1005,HLOOKUP(S$2,Calculation!$M$4:$S$5,2,FALSE)+5,FALSE),"")</f>
        <v/>
      </c>
      <c r="T469" s="29"/>
      <c r="U469" s="43" t="str">
        <f>IFERROR(VLOOKUP(T469,Calculation!$U$6:$V$11,2,FALSE),"")</f>
        <v/>
      </c>
    </row>
    <row r="470" spans="1:21" ht="14.25" customHeight="1" x14ac:dyDescent="0.3">
      <c r="A470" s="26" t="str">
        <f ca="1">IF(Calculation!T473&lt;=Calculation!$H$4,Calculation!T473,"")</f>
        <v/>
      </c>
      <c r="B470" s="4" t="str">
        <f ca="1">VLOOKUP(A470,Calculation!$E$6:$J$1004,4,FALSE)</f>
        <v/>
      </c>
      <c r="C470" s="4" t="str">
        <f ca="1">VLOOKUP(A470,Calculation!$E$6:$J$1004,5,FALSE)</f>
        <v/>
      </c>
      <c r="D470" s="4" t="str">
        <f ca="1">VLOOKUP(A470,Calculation!$E$6:$J$1004,6,FALSE)</f>
        <v/>
      </c>
      <c r="E470" s="42" t="str">
        <f t="shared" ca="1" si="2"/>
        <v/>
      </c>
      <c r="G470" s="29" t="str">
        <f ca="1">VLOOKUP(A470,Calculation!$F$6:$J$1004,3,FALSE)</f>
        <v/>
      </c>
      <c r="H470" s="4" t="str">
        <f ca="1">VLOOKUP(A470,Calculation!$F$6:$J$1004,4,FALSE)</f>
        <v/>
      </c>
      <c r="I470" s="4" t="str">
        <f ca="1">VLOOKUP(A470,Calculation!$F$6:$J$1004,5,FALSE)</f>
        <v/>
      </c>
      <c r="J470" s="43" t="str">
        <f t="shared" ca="1" si="3"/>
        <v/>
      </c>
      <c r="L470" s="29" t="str">
        <f ca="1">VLOOKUP(A470,Calculation!$G$6:$S$1004,2,FALSE)</f>
        <v/>
      </c>
      <c r="M470" s="4" t="str">
        <f ca="1">IFERROR(VLOOKUP($L470,Calculation!$H$6:$S$1005,HLOOKUP(M$2,Calculation!$M$4:$S$5,2,FALSE)+5,FALSE),"")</f>
        <v/>
      </c>
      <c r="N470" s="4" t="str">
        <f ca="1">IFERROR(VLOOKUP($L470,Calculation!$H$6:$S$1005,HLOOKUP(N$2,Calculation!$M$4:$S$5,2,FALSE)+5,FALSE),"")</f>
        <v/>
      </c>
      <c r="O470" s="4" t="str">
        <f ca="1">IFERROR(VLOOKUP($L470,Calculation!$H$6:$S$1005,HLOOKUP(O$2,Calculation!$M$4:$S$5,2,FALSE)+5,FALSE),"")</f>
        <v/>
      </c>
      <c r="P470" s="4" t="str">
        <f ca="1">IFERROR(VLOOKUP($L470,Calculation!$H$6:$S$1005,HLOOKUP(P$2,Calculation!$M$4:$S$5,2,FALSE)+5,FALSE),"")</f>
        <v/>
      </c>
      <c r="Q470" s="4" t="str">
        <f ca="1">IFERROR(VLOOKUP($L470,Calculation!$H$6:$S$1005,HLOOKUP(Q$2,Calculation!$M$4:$S$5,2,FALSE)+5,FALSE),"")</f>
        <v/>
      </c>
      <c r="R470" s="27" t="str">
        <f ca="1">IFERROR(VLOOKUP($L470,Calculation!$H$6:$S$1005,HLOOKUP(R$2,Calculation!$M$4:$S$5,2,FALSE)+5,FALSE),"")</f>
        <v/>
      </c>
      <c r="S470" s="4" t="str">
        <f ca="1">IFERROR(VLOOKUP($L470,Calculation!$H$6:$S$1005,HLOOKUP(S$2,Calculation!$M$4:$S$5,2,FALSE)+5,FALSE),"")</f>
        <v/>
      </c>
      <c r="T470" s="29"/>
      <c r="U470" s="43" t="str">
        <f>IFERROR(VLOOKUP(T470,Calculation!$U$6:$V$11,2,FALSE),"")</f>
        <v/>
      </c>
    </row>
    <row r="471" spans="1:21" ht="14.25" customHeight="1" x14ac:dyDescent="0.3">
      <c r="A471" s="26" t="str">
        <f ca="1">IF(Calculation!T474&lt;=Calculation!$H$4,Calculation!T474,"")</f>
        <v/>
      </c>
      <c r="B471" s="4" t="str">
        <f ca="1">VLOOKUP(A471,Calculation!$E$6:$J$1004,4,FALSE)</f>
        <v/>
      </c>
      <c r="C471" s="4" t="str">
        <f ca="1">VLOOKUP(A471,Calculation!$E$6:$J$1004,5,FALSE)</f>
        <v/>
      </c>
      <c r="D471" s="4" t="str">
        <f ca="1">VLOOKUP(A471,Calculation!$E$6:$J$1004,6,FALSE)</f>
        <v/>
      </c>
      <c r="E471" s="42" t="str">
        <f t="shared" ca="1" si="2"/>
        <v/>
      </c>
      <c r="G471" s="29" t="str">
        <f ca="1">VLOOKUP(A471,Calculation!$F$6:$J$1004,3,FALSE)</f>
        <v/>
      </c>
      <c r="H471" s="4" t="str">
        <f ca="1">VLOOKUP(A471,Calculation!$F$6:$J$1004,4,FALSE)</f>
        <v/>
      </c>
      <c r="I471" s="4" t="str">
        <f ca="1">VLOOKUP(A471,Calculation!$F$6:$J$1004,5,FALSE)</f>
        <v/>
      </c>
      <c r="J471" s="43" t="str">
        <f t="shared" ca="1" si="3"/>
        <v/>
      </c>
      <c r="L471" s="29" t="str">
        <f ca="1">VLOOKUP(A471,Calculation!$G$6:$S$1004,2,FALSE)</f>
        <v/>
      </c>
      <c r="M471" s="4" t="str">
        <f ca="1">IFERROR(VLOOKUP($L471,Calculation!$H$6:$S$1005,HLOOKUP(M$2,Calculation!$M$4:$S$5,2,FALSE)+5,FALSE),"")</f>
        <v/>
      </c>
      <c r="N471" s="4" t="str">
        <f ca="1">IFERROR(VLOOKUP($L471,Calculation!$H$6:$S$1005,HLOOKUP(N$2,Calculation!$M$4:$S$5,2,FALSE)+5,FALSE),"")</f>
        <v/>
      </c>
      <c r="O471" s="4" t="str">
        <f ca="1">IFERROR(VLOOKUP($L471,Calculation!$H$6:$S$1005,HLOOKUP(O$2,Calculation!$M$4:$S$5,2,FALSE)+5,FALSE),"")</f>
        <v/>
      </c>
      <c r="P471" s="4" t="str">
        <f ca="1">IFERROR(VLOOKUP($L471,Calculation!$H$6:$S$1005,HLOOKUP(P$2,Calculation!$M$4:$S$5,2,FALSE)+5,FALSE),"")</f>
        <v/>
      </c>
      <c r="Q471" s="4" t="str">
        <f ca="1">IFERROR(VLOOKUP($L471,Calculation!$H$6:$S$1005,HLOOKUP(Q$2,Calculation!$M$4:$S$5,2,FALSE)+5,FALSE),"")</f>
        <v/>
      </c>
      <c r="R471" s="27" t="str">
        <f ca="1">IFERROR(VLOOKUP($L471,Calculation!$H$6:$S$1005,HLOOKUP(R$2,Calculation!$M$4:$S$5,2,FALSE)+5,FALSE),"")</f>
        <v/>
      </c>
      <c r="S471" s="4" t="str">
        <f ca="1">IFERROR(VLOOKUP($L471,Calculation!$H$6:$S$1005,HLOOKUP(S$2,Calculation!$M$4:$S$5,2,FALSE)+5,FALSE),"")</f>
        <v/>
      </c>
      <c r="T471" s="29"/>
      <c r="U471" s="43" t="str">
        <f>IFERROR(VLOOKUP(T471,Calculation!$U$6:$V$11,2,FALSE),"")</f>
        <v/>
      </c>
    </row>
    <row r="472" spans="1:21" ht="14.25" customHeight="1" x14ac:dyDescent="0.3">
      <c r="A472" s="26" t="str">
        <f ca="1">IF(Calculation!T475&lt;=Calculation!$H$4,Calculation!T475,"")</f>
        <v/>
      </c>
      <c r="B472" s="4" t="str">
        <f ca="1">VLOOKUP(A472,Calculation!$E$6:$J$1004,4,FALSE)</f>
        <v/>
      </c>
      <c r="C472" s="4" t="str">
        <f ca="1">VLOOKUP(A472,Calculation!$E$6:$J$1004,5,FALSE)</f>
        <v/>
      </c>
      <c r="D472" s="4" t="str">
        <f ca="1">VLOOKUP(A472,Calculation!$E$6:$J$1004,6,FALSE)</f>
        <v/>
      </c>
      <c r="E472" s="42" t="str">
        <f t="shared" ca="1" si="2"/>
        <v/>
      </c>
      <c r="G472" s="29" t="str">
        <f ca="1">VLOOKUP(A472,Calculation!$F$6:$J$1004,3,FALSE)</f>
        <v/>
      </c>
      <c r="H472" s="4" t="str">
        <f ca="1">VLOOKUP(A472,Calculation!$F$6:$J$1004,4,FALSE)</f>
        <v/>
      </c>
      <c r="I472" s="4" t="str">
        <f ca="1">VLOOKUP(A472,Calculation!$F$6:$J$1004,5,FALSE)</f>
        <v/>
      </c>
      <c r="J472" s="43" t="str">
        <f t="shared" ca="1" si="3"/>
        <v/>
      </c>
      <c r="L472" s="29" t="str">
        <f ca="1">VLOOKUP(A472,Calculation!$G$6:$S$1004,2,FALSE)</f>
        <v/>
      </c>
      <c r="M472" s="4" t="str">
        <f ca="1">IFERROR(VLOOKUP($L472,Calculation!$H$6:$S$1005,HLOOKUP(M$2,Calculation!$M$4:$S$5,2,FALSE)+5,FALSE),"")</f>
        <v/>
      </c>
      <c r="N472" s="4" t="str">
        <f ca="1">IFERROR(VLOOKUP($L472,Calculation!$H$6:$S$1005,HLOOKUP(N$2,Calculation!$M$4:$S$5,2,FALSE)+5,FALSE),"")</f>
        <v/>
      </c>
      <c r="O472" s="4" t="str">
        <f ca="1">IFERROR(VLOOKUP($L472,Calculation!$H$6:$S$1005,HLOOKUP(O$2,Calculation!$M$4:$S$5,2,FALSE)+5,FALSE),"")</f>
        <v/>
      </c>
      <c r="P472" s="4" t="str">
        <f ca="1">IFERROR(VLOOKUP($L472,Calculation!$H$6:$S$1005,HLOOKUP(P$2,Calculation!$M$4:$S$5,2,FALSE)+5,FALSE),"")</f>
        <v/>
      </c>
      <c r="Q472" s="4" t="str">
        <f ca="1">IFERROR(VLOOKUP($L472,Calculation!$H$6:$S$1005,HLOOKUP(Q$2,Calculation!$M$4:$S$5,2,FALSE)+5,FALSE),"")</f>
        <v/>
      </c>
      <c r="R472" s="27" t="str">
        <f ca="1">IFERROR(VLOOKUP($L472,Calculation!$H$6:$S$1005,HLOOKUP(R$2,Calculation!$M$4:$S$5,2,FALSE)+5,FALSE),"")</f>
        <v/>
      </c>
      <c r="S472" s="4" t="str">
        <f ca="1">IFERROR(VLOOKUP($L472,Calculation!$H$6:$S$1005,HLOOKUP(S$2,Calculation!$M$4:$S$5,2,FALSE)+5,FALSE),"")</f>
        <v/>
      </c>
      <c r="T472" s="29"/>
      <c r="U472" s="43" t="str">
        <f>IFERROR(VLOOKUP(T472,Calculation!$U$6:$V$11,2,FALSE),"")</f>
        <v/>
      </c>
    </row>
    <row r="473" spans="1:21" ht="14.25" customHeight="1" x14ac:dyDescent="0.3">
      <c r="A473" s="26" t="str">
        <f ca="1">IF(Calculation!T476&lt;=Calculation!$H$4,Calculation!T476,"")</f>
        <v/>
      </c>
      <c r="B473" s="4" t="str">
        <f ca="1">VLOOKUP(A473,Calculation!$E$6:$J$1004,4,FALSE)</f>
        <v/>
      </c>
      <c r="C473" s="4" t="str">
        <f ca="1">VLOOKUP(A473,Calculation!$E$6:$J$1004,5,FALSE)</f>
        <v/>
      </c>
      <c r="D473" s="4" t="str">
        <f ca="1">VLOOKUP(A473,Calculation!$E$6:$J$1004,6,FALSE)</f>
        <v/>
      </c>
      <c r="E473" s="42" t="str">
        <f t="shared" ca="1" si="2"/>
        <v/>
      </c>
      <c r="G473" s="29" t="str">
        <f ca="1">VLOOKUP(A473,Calculation!$F$6:$J$1004,3,FALSE)</f>
        <v/>
      </c>
      <c r="H473" s="4" t="str">
        <f ca="1">VLOOKUP(A473,Calculation!$F$6:$J$1004,4,FALSE)</f>
        <v/>
      </c>
      <c r="I473" s="4" t="str">
        <f ca="1">VLOOKUP(A473,Calculation!$F$6:$J$1004,5,FALSE)</f>
        <v/>
      </c>
      <c r="J473" s="43" t="str">
        <f t="shared" ca="1" si="3"/>
        <v/>
      </c>
      <c r="L473" s="29" t="str">
        <f ca="1">VLOOKUP(A473,Calculation!$G$6:$S$1004,2,FALSE)</f>
        <v/>
      </c>
      <c r="M473" s="4" t="str">
        <f ca="1">IFERROR(VLOOKUP($L473,Calculation!$H$6:$S$1005,HLOOKUP(M$2,Calculation!$M$4:$S$5,2,FALSE)+5,FALSE),"")</f>
        <v/>
      </c>
      <c r="N473" s="4" t="str">
        <f ca="1">IFERROR(VLOOKUP($L473,Calculation!$H$6:$S$1005,HLOOKUP(N$2,Calculation!$M$4:$S$5,2,FALSE)+5,FALSE),"")</f>
        <v/>
      </c>
      <c r="O473" s="4" t="str">
        <f ca="1">IFERROR(VLOOKUP($L473,Calculation!$H$6:$S$1005,HLOOKUP(O$2,Calculation!$M$4:$S$5,2,FALSE)+5,FALSE),"")</f>
        <v/>
      </c>
      <c r="P473" s="4" t="str">
        <f ca="1">IFERROR(VLOOKUP($L473,Calculation!$H$6:$S$1005,HLOOKUP(P$2,Calculation!$M$4:$S$5,2,FALSE)+5,FALSE),"")</f>
        <v/>
      </c>
      <c r="Q473" s="4" t="str">
        <f ca="1">IFERROR(VLOOKUP($L473,Calculation!$H$6:$S$1005,HLOOKUP(Q$2,Calculation!$M$4:$S$5,2,FALSE)+5,FALSE),"")</f>
        <v/>
      </c>
      <c r="R473" s="27" t="str">
        <f ca="1">IFERROR(VLOOKUP($L473,Calculation!$H$6:$S$1005,HLOOKUP(R$2,Calculation!$M$4:$S$5,2,FALSE)+5,FALSE),"")</f>
        <v/>
      </c>
      <c r="S473" s="4" t="str">
        <f ca="1">IFERROR(VLOOKUP($L473,Calculation!$H$6:$S$1005,HLOOKUP(S$2,Calculation!$M$4:$S$5,2,FALSE)+5,FALSE),"")</f>
        <v/>
      </c>
      <c r="T473" s="29"/>
      <c r="U473" s="43" t="str">
        <f>IFERROR(VLOOKUP(T473,Calculation!$U$6:$V$11,2,FALSE),"")</f>
        <v/>
      </c>
    </row>
    <row r="474" spans="1:21" ht="14.25" customHeight="1" x14ac:dyDescent="0.3">
      <c r="A474" s="26" t="str">
        <f ca="1">IF(Calculation!T477&lt;=Calculation!$H$4,Calculation!T477,"")</f>
        <v/>
      </c>
      <c r="B474" s="4" t="str">
        <f ca="1">VLOOKUP(A474,Calculation!$E$6:$J$1004,4,FALSE)</f>
        <v/>
      </c>
      <c r="C474" s="4" t="str">
        <f ca="1">VLOOKUP(A474,Calculation!$E$6:$J$1004,5,FALSE)</f>
        <v/>
      </c>
      <c r="D474" s="4" t="str">
        <f ca="1">VLOOKUP(A474,Calculation!$E$6:$J$1004,6,FALSE)</f>
        <v/>
      </c>
      <c r="E474" s="42" t="str">
        <f t="shared" ca="1" si="2"/>
        <v/>
      </c>
      <c r="G474" s="29" t="str">
        <f ca="1">VLOOKUP(A474,Calculation!$F$6:$J$1004,3,FALSE)</f>
        <v/>
      </c>
      <c r="H474" s="4" t="str">
        <f ca="1">VLOOKUP(A474,Calculation!$F$6:$J$1004,4,FALSE)</f>
        <v/>
      </c>
      <c r="I474" s="4" t="str">
        <f ca="1">VLOOKUP(A474,Calculation!$F$6:$J$1004,5,FALSE)</f>
        <v/>
      </c>
      <c r="J474" s="43" t="str">
        <f t="shared" ca="1" si="3"/>
        <v/>
      </c>
      <c r="L474" s="29" t="str">
        <f ca="1">VLOOKUP(A474,Calculation!$G$6:$S$1004,2,FALSE)</f>
        <v/>
      </c>
      <c r="M474" s="4" t="str">
        <f ca="1">IFERROR(VLOOKUP($L474,Calculation!$H$6:$S$1005,HLOOKUP(M$2,Calculation!$M$4:$S$5,2,FALSE)+5,FALSE),"")</f>
        <v/>
      </c>
      <c r="N474" s="4" t="str">
        <f ca="1">IFERROR(VLOOKUP($L474,Calculation!$H$6:$S$1005,HLOOKUP(N$2,Calculation!$M$4:$S$5,2,FALSE)+5,FALSE),"")</f>
        <v/>
      </c>
      <c r="O474" s="4" t="str">
        <f ca="1">IFERROR(VLOOKUP($L474,Calculation!$H$6:$S$1005,HLOOKUP(O$2,Calculation!$M$4:$S$5,2,FALSE)+5,FALSE),"")</f>
        <v/>
      </c>
      <c r="P474" s="4" t="str">
        <f ca="1">IFERROR(VLOOKUP($L474,Calculation!$H$6:$S$1005,HLOOKUP(P$2,Calculation!$M$4:$S$5,2,FALSE)+5,FALSE),"")</f>
        <v/>
      </c>
      <c r="Q474" s="4" t="str">
        <f ca="1">IFERROR(VLOOKUP($L474,Calculation!$H$6:$S$1005,HLOOKUP(Q$2,Calculation!$M$4:$S$5,2,FALSE)+5,FALSE),"")</f>
        <v/>
      </c>
      <c r="R474" s="27" t="str">
        <f ca="1">IFERROR(VLOOKUP($L474,Calculation!$H$6:$S$1005,HLOOKUP(R$2,Calculation!$M$4:$S$5,2,FALSE)+5,FALSE),"")</f>
        <v/>
      </c>
      <c r="S474" s="4" t="str">
        <f ca="1">IFERROR(VLOOKUP($L474,Calculation!$H$6:$S$1005,HLOOKUP(S$2,Calculation!$M$4:$S$5,2,FALSE)+5,FALSE),"")</f>
        <v/>
      </c>
      <c r="T474" s="29"/>
      <c r="U474" s="43" t="str">
        <f>IFERROR(VLOOKUP(T474,Calculation!$U$6:$V$11,2,FALSE),"")</f>
        <v/>
      </c>
    </row>
    <row r="475" spans="1:21" ht="14.25" customHeight="1" x14ac:dyDescent="0.3">
      <c r="A475" s="26" t="str">
        <f ca="1">IF(Calculation!T478&lt;=Calculation!$H$4,Calculation!T478,"")</f>
        <v/>
      </c>
      <c r="B475" s="4" t="str">
        <f ca="1">VLOOKUP(A475,Calculation!$E$6:$J$1004,4,FALSE)</f>
        <v/>
      </c>
      <c r="C475" s="4" t="str">
        <f ca="1">VLOOKUP(A475,Calculation!$E$6:$J$1004,5,FALSE)</f>
        <v/>
      </c>
      <c r="D475" s="4" t="str">
        <f ca="1">VLOOKUP(A475,Calculation!$E$6:$J$1004,6,FALSE)</f>
        <v/>
      </c>
      <c r="E475" s="42" t="str">
        <f t="shared" ca="1" si="2"/>
        <v/>
      </c>
      <c r="G475" s="29" t="str">
        <f ca="1">VLOOKUP(A475,Calculation!$F$6:$J$1004,3,FALSE)</f>
        <v/>
      </c>
      <c r="H475" s="4" t="str">
        <f ca="1">VLOOKUP(A475,Calculation!$F$6:$J$1004,4,FALSE)</f>
        <v/>
      </c>
      <c r="I475" s="4" t="str">
        <f ca="1">VLOOKUP(A475,Calculation!$F$6:$J$1004,5,FALSE)</f>
        <v/>
      </c>
      <c r="J475" s="43" t="str">
        <f t="shared" ca="1" si="3"/>
        <v/>
      </c>
      <c r="L475" s="29" t="str">
        <f ca="1">VLOOKUP(A475,Calculation!$G$6:$S$1004,2,FALSE)</f>
        <v/>
      </c>
      <c r="M475" s="4" t="str">
        <f ca="1">IFERROR(VLOOKUP($L475,Calculation!$H$6:$S$1005,HLOOKUP(M$2,Calculation!$M$4:$S$5,2,FALSE)+5,FALSE),"")</f>
        <v/>
      </c>
      <c r="N475" s="4" t="str">
        <f ca="1">IFERROR(VLOOKUP($L475,Calculation!$H$6:$S$1005,HLOOKUP(N$2,Calculation!$M$4:$S$5,2,FALSE)+5,FALSE),"")</f>
        <v/>
      </c>
      <c r="O475" s="4" t="str">
        <f ca="1">IFERROR(VLOOKUP($L475,Calculation!$H$6:$S$1005,HLOOKUP(O$2,Calculation!$M$4:$S$5,2,FALSE)+5,FALSE),"")</f>
        <v/>
      </c>
      <c r="P475" s="4" t="str">
        <f ca="1">IFERROR(VLOOKUP($L475,Calculation!$H$6:$S$1005,HLOOKUP(P$2,Calculation!$M$4:$S$5,2,FALSE)+5,FALSE),"")</f>
        <v/>
      </c>
      <c r="Q475" s="4" t="str">
        <f ca="1">IFERROR(VLOOKUP($L475,Calculation!$H$6:$S$1005,HLOOKUP(Q$2,Calculation!$M$4:$S$5,2,FALSE)+5,FALSE),"")</f>
        <v/>
      </c>
      <c r="R475" s="27" t="str">
        <f ca="1">IFERROR(VLOOKUP($L475,Calculation!$H$6:$S$1005,HLOOKUP(R$2,Calculation!$M$4:$S$5,2,FALSE)+5,FALSE),"")</f>
        <v/>
      </c>
      <c r="S475" s="4" t="str">
        <f ca="1">IFERROR(VLOOKUP($L475,Calculation!$H$6:$S$1005,HLOOKUP(S$2,Calculation!$M$4:$S$5,2,FALSE)+5,FALSE),"")</f>
        <v/>
      </c>
      <c r="T475" s="29"/>
      <c r="U475" s="43" t="str">
        <f>IFERROR(VLOOKUP(T475,Calculation!$U$6:$V$11,2,FALSE),"")</f>
        <v/>
      </c>
    </row>
    <row r="476" spans="1:21" ht="14.25" customHeight="1" x14ac:dyDescent="0.3">
      <c r="A476" s="26" t="str">
        <f ca="1">IF(Calculation!T479&lt;=Calculation!$H$4,Calculation!T479,"")</f>
        <v/>
      </c>
      <c r="B476" s="4" t="str">
        <f ca="1">VLOOKUP(A476,Calculation!$E$6:$J$1004,4,FALSE)</f>
        <v/>
      </c>
      <c r="C476" s="4" t="str">
        <f ca="1">VLOOKUP(A476,Calculation!$E$6:$J$1004,5,FALSE)</f>
        <v/>
      </c>
      <c r="D476" s="4" t="str">
        <f ca="1">VLOOKUP(A476,Calculation!$E$6:$J$1004,6,FALSE)</f>
        <v/>
      </c>
      <c r="E476" s="42" t="str">
        <f t="shared" ca="1" si="2"/>
        <v/>
      </c>
      <c r="G476" s="29" t="str">
        <f ca="1">VLOOKUP(A476,Calculation!$F$6:$J$1004,3,FALSE)</f>
        <v/>
      </c>
      <c r="H476" s="4" t="str">
        <f ca="1">VLOOKUP(A476,Calculation!$F$6:$J$1004,4,FALSE)</f>
        <v/>
      </c>
      <c r="I476" s="4" t="str">
        <f ca="1">VLOOKUP(A476,Calculation!$F$6:$J$1004,5,FALSE)</f>
        <v/>
      </c>
      <c r="J476" s="43" t="str">
        <f t="shared" ca="1" si="3"/>
        <v/>
      </c>
      <c r="L476" s="29" t="str">
        <f ca="1">VLOOKUP(A476,Calculation!$G$6:$S$1004,2,FALSE)</f>
        <v/>
      </c>
      <c r="M476" s="4" t="str">
        <f ca="1">IFERROR(VLOOKUP($L476,Calculation!$H$6:$S$1005,HLOOKUP(M$2,Calculation!$M$4:$S$5,2,FALSE)+5,FALSE),"")</f>
        <v/>
      </c>
      <c r="N476" s="4" t="str">
        <f ca="1">IFERROR(VLOOKUP($L476,Calculation!$H$6:$S$1005,HLOOKUP(N$2,Calculation!$M$4:$S$5,2,FALSE)+5,FALSE),"")</f>
        <v/>
      </c>
      <c r="O476" s="4" t="str">
        <f ca="1">IFERROR(VLOOKUP($L476,Calculation!$H$6:$S$1005,HLOOKUP(O$2,Calculation!$M$4:$S$5,2,FALSE)+5,FALSE),"")</f>
        <v/>
      </c>
      <c r="P476" s="4" t="str">
        <f ca="1">IFERROR(VLOOKUP($L476,Calculation!$H$6:$S$1005,HLOOKUP(P$2,Calculation!$M$4:$S$5,2,FALSE)+5,FALSE),"")</f>
        <v/>
      </c>
      <c r="Q476" s="4" t="str">
        <f ca="1">IFERROR(VLOOKUP($L476,Calculation!$H$6:$S$1005,HLOOKUP(Q$2,Calculation!$M$4:$S$5,2,FALSE)+5,FALSE),"")</f>
        <v/>
      </c>
      <c r="R476" s="27" t="str">
        <f ca="1">IFERROR(VLOOKUP($L476,Calculation!$H$6:$S$1005,HLOOKUP(R$2,Calculation!$M$4:$S$5,2,FALSE)+5,FALSE),"")</f>
        <v/>
      </c>
      <c r="S476" s="4" t="str">
        <f ca="1">IFERROR(VLOOKUP($L476,Calculation!$H$6:$S$1005,HLOOKUP(S$2,Calculation!$M$4:$S$5,2,FALSE)+5,FALSE),"")</f>
        <v/>
      </c>
      <c r="T476" s="29"/>
      <c r="U476" s="43" t="str">
        <f>IFERROR(VLOOKUP(T476,Calculation!$U$6:$V$11,2,FALSE),"")</f>
        <v/>
      </c>
    </row>
    <row r="477" spans="1:21" ht="14.25" customHeight="1" x14ac:dyDescent="0.3">
      <c r="A477" s="26" t="str">
        <f ca="1">IF(Calculation!T480&lt;=Calculation!$H$4,Calculation!T480,"")</f>
        <v/>
      </c>
      <c r="B477" s="4" t="str">
        <f ca="1">VLOOKUP(A477,Calculation!$E$6:$J$1004,4,FALSE)</f>
        <v/>
      </c>
      <c r="C477" s="4" t="str">
        <f ca="1">VLOOKUP(A477,Calculation!$E$6:$J$1004,5,FALSE)</f>
        <v/>
      </c>
      <c r="D477" s="4" t="str">
        <f ca="1">VLOOKUP(A477,Calculation!$E$6:$J$1004,6,FALSE)</f>
        <v/>
      </c>
      <c r="E477" s="42" t="str">
        <f t="shared" ca="1" si="2"/>
        <v/>
      </c>
      <c r="G477" s="29" t="str">
        <f ca="1">VLOOKUP(A477,Calculation!$F$6:$J$1004,3,FALSE)</f>
        <v/>
      </c>
      <c r="H477" s="4" t="str">
        <f ca="1">VLOOKUP(A477,Calculation!$F$6:$J$1004,4,FALSE)</f>
        <v/>
      </c>
      <c r="I477" s="4" t="str">
        <f ca="1">VLOOKUP(A477,Calculation!$F$6:$J$1004,5,FALSE)</f>
        <v/>
      </c>
      <c r="J477" s="43" t="str">
        <f t="shared" ca="1" si="3"/>
        <v/>
      </c>
      <c r="L477" s="29" t="str">
        <f ca="1">VLOOKUP(A477,Calculation!$G$6:$S$1004,2,FALSE)</f>
        <v/>
      </c>
      <c r="M477" s="4" t="str">
        <f ca="1">IFERROR(VLOOKUP($L477,Calculation!$H$6:$S$1005,HLOOKUP(M$2,Calculation!$M$4:$S$5,2,FALSE)+5,FALSE),"")</f>
        <v/>
      </c>
      <c r="N477" s="4" t="str">
        <f ca="1">IFERROR(VLOOKUP($L477,Calculation!$H$6:$S$1005,HLOOKUP(N$2,Calculation!$M$4:$S$5,2,FALSE)+5,FALSE),"")</f>
        <v/>
      </c>
      <c r="O477" s="4" t="str">
        <f ca="1">IFERROR(VLOOKUP($L477,Calculation!$H$6:$S$1005,HLOOKUP(O$2,Calculation!$M$4:$S$5,2,FALSE)+5,FALSE),"")</f>
        <v/>
      </c>
      <c r="P477" s="4" t="str">
        <f ca="1">IFERROR(VLOOKUP($L477,Calculation!$H$6:$S$1005,HLOOKUP(P$2,Calculation!$M$4:$S$5,2,FALSE)+5,FALSE),"")</f>
        <v/>
      </c>
      <c r="Q477" s="4" t="str">
        <f ca="1">IFERROR(VLOOKUP($L477,Calculation!$H$6:$S$1005,HLOOKUP(Q$2,Calculation!$M$4:$S$5,2,FALSE)+5,FALSE),"")</f>
        <v/>
      </c>
      <c r="R477" s="27" t="str">
        <f ca="1">IFERROR(VLOOKUP($L477,Calculation!$H$6:$S$1005,HLOOKUP(R$2,Calculation!$M$4:$S$5,2,FALSE)+5,FALSE),"")</f>
        <v/>
      </c>
      <c r="S477" s="4" t="str">
        <f ca="1">IFERROR(VLOOKUP($L477,Calculation!$H$6:$S$1005,HLOOKUP(S$2,Calculation!$M$4:$S$5,2,FALSE)+5,FALSE),"")</f>
        <v/>
      </c>
      <c r="T477" s="29"/>
      <c r="U477" s="43" t="str">
        <f>IFERROR(VLOOKUP(T477,Calculation!$U$6:$V$11,2,FALSE),"")</f>
        <v/>
      </c>
    </row>
    <row r="478" spans="1:21" ht="14.25" customHeight="1" x14ac:dyDescent="0.3">
      <c r="A478" s="26" t="str">
        <f ca="1">IF(Calculation!T481&lt;=Calculation!$H$4,Calculation!T481,"")</f>
        <v/>
      </c>
      <c r="B478" s="4" t="str">
        <f ca="1">VLOOKUP(A478,Calculation!$E$6:$J$1004,4,FALSE)</f>
        <v/>
      </c>
      <c r="C478" s="4" t="str">
        <f ca="1">VLOOKUP(A478,Calculation!$E$6:$J$1004,5,FALSE)</f>
        <v/>
      </c>
      <c r="D478" s="4" t="str">
        <f ca="1">VLOOKUP(A478,Calculation!$E$6:$J$1004,6,FALSE)</f>
        <v/>
      </c>
      <c r="E478" s="42" t="str">
        <f t="shared" ca="1" si="2"/>
        <v/>
      </c>
      <c r="G478" s="29" t="str">
        <f ca="1">VLOOKUP(A478,Calculation!$F$6:$J$1004,3,FALSE)</f>
        <v/>
      </c>
      <c r="H478" s="4" t="str">
        <f ca="1">VLOOKUP(A478,Calculation!$F$6:$J$1004,4,FALSE)</f>
        <v/>
      </c>
      <c r="I478" s="4" t="str">
        <f ca="1">VLOOKUP(A478,Calculation!$F$6:$J$1004,5,FALSE)</f>
        <v/>
      </c>
      <c r="J478" s="43" t="str">
        <f t="shared" ca="1" si="3"/>
        <v/>
      </c>
      <c r="L478" s="29" t="str">
        <f ca="1">VLOOKUP(A478,Calculation!$G$6:$S$1004,2,FALSE)</f>
        <v/>
      </c>
      <c r="M478" s="4" t="str">
        <f ca="1">IFERROR(VLOOKUP($L478,Calculation!$H$6:$S$1005,HLOOKUP(M$2,Calculation!$M$4:$S$5,2,FALSE)+5,FALSE),"")</f>
        <v/>
      </c>
      <c r="N478" s="4" t="str">
        <f ca="1">IFERROR(VLOOKUP($L478,Calculation!$H$6:$S$1005,HLOOKUP(N$2,Calculation!$M$4:$S$5,2,FALSE)+5,FALSE),"")</f>
        <v/>
      </c>
      <c r="O478" s="4" t="str">
        <f ca="1">IFERROR(VLOOKUP($L478,Calculation!$H$6:$S$1005,HLOOKUP(O$2,Calculation!$M$4:$S$5,2,FALSE)+5,FALSE),"")</f>
        <v/>
      </c>
      <c r="P478" s="4" t="str">
        <f ca="1">IFERROR(VLOOKUP($L478,Calculation!$H$6:$S$1005,HLOOKUP(P$2,Calculation!$M$4:$S$5,2,FALSE)+5,FALSE),"")</f>
        <v/>
      </c>
      <c r="Q478" s="4" t="str">
        <f ca="1">IFERROR(VLOOKUP($L478,Calculation!$H$6:$S$1005,HLOOKUP(Q$2,Calculation!$M$4:$S$5,2,FALSE)+5,FALSE),"")</f>
        <v/>
      </c>
      <c r="R478" s="27" t="str">
        <f ca="1">IFERROR(VLOOKUP($L478,Calculation!$H$6:$S$1005,HLOOKUP(R$2,Calculation!$M$4:$S$5,2,FALSE)+5,FALSE),"")</f>
        <v/>
      </c>
      <c r="S478" s="4" t="str">
        <f ca="1">IFERROR(VLOOKUP($L478,Calculation!$H$6:$S$1005,HLOOKUP(S$2,Calculation!$M$4:$S$5,2,FALSE)+5,FALSE),"")</f>
        <v/>
      </c>
      <c r="T478" s="29"/>
      <c r="U478" s="43" t="str">
        <f>IFERROR(VLOOKUP(T478,Calculation!$U$6:$V$11,2,FALSE),"")</f>
        <v/>
      </c>
    </row>
    <row r="479" spans="1:21" ht="14.25" customHeight="1" x14ac:dyDescent="0.3">
      <c r="A479" s="26" t="str">
        <f ca="1">IF(Calculation!T482&lt;=Calculation!$H$4,Calculation!T482,"")</f>
        <v/>
      </c>
      <c r="B479" s="4" t="str">
        <f ca="1">VLOOKUP(A479,Calculation!$E$6:$J$1004,4,FALSE)</f>
        <v/>
      </c>
      <c r="C479" s="4" t="str">
        <f ca="1">VLOOKUP(A479,Calculation!$E$6:$J$1004,5,FALSE)</f>
        <v/>
      </c>
      <c r="D479" s="4" t="str">
        <f ca="1">VLOOKUP(A479,Calculation!$E$6:$J$1004,6,FALSE)</f>
        <v/>
      </c>
      <c r="E479" s="42" t="str">
        <f t="shared" ca="1" si="2"/>
        <v/>
      </c>
      <c r="G479" s="29" t="str">
        <f ca="1">VLOOKUP(A479,Calculation!$F$6:$J$1004,3,FALSE)</f>
        <v/>
      </c>
      <c r="H479" s="4" t="str">
        <f ca="1">VLOOKUP(A479,Calculation!$F$6:$J$1004,4,FALSE)</f>
        <v/>
      </c>
      <c r="I479" s="4" t="str">
        <f ca="1">VLOOKUP(A479,Calculation!$F$6:$J$1004,5,FALSE)</f>
        <v/>
      </c>
      <c r="J479" s="43" t="str">
        <f t="shared" ca="1" si="3"/>
        <v/>
      </c>
      <c r="L479" s="29" t="str">
        <f ca="1">VLOOKUP(A479,Calculation!$G$6:$S$1004,2,FALSE)</f>
        <v/>
      </c>
      <c r="M479" s="4" t="str">
        <f ca="1">IFERROR(VLOOKUP($L479,Calculation!$H$6:$S$1005,HLOOKUP(M$2,Calculation!$M$4:$S$5,2,FALSE)+5,FALSE),"")</f>
        <v/>
      </c>
      <c r="N479" s="4" t="str">
        <f ca="1">IFERROR(VLOOKUP($L479,Calculation!$H$6:$S$1005,HLOOKUP(N$2,Calculation!$M$4:$S$5,2,FALSE)+5,FALSE),"")</f>
        <v/>
      </c>
      <c r="O479" s="4" t="str">
        <f ca="1">IFERROR(VLOOKUP($L479,Calculation!$H$6:$S$1005,HLOOKUP(O$2,Calculation!$M$4:$S$5,2,FALSE)+5,FALSE),"")</f>
        <v/>
      </c>
      <c r="P479" s="4" t="str">
        <f ca="1">IFERROR(VLOOKUP($L479,Calculation!$H$6:$S$1005,HLOOKUP(P$2,Calculation!$M$4:$S$5,2,FALSE)+5,FALSE),"")</f>
        <v/>
      </c>
      <c r="Q479" s="4" t="str">
        <f ca="1">IFERROR(VLOOKUP($L479,Calculation!$H$6:$S$1005,HLOOKUP(Q$2,Calculation!$M$4:$S$5,2,FALSE)+5,FALSE),"")</f>
        <v/>
      </c>
      <c r="R479" s="27" t="str">
        <f ca="1">IFERROR(VLOOKUP($L479,Calculation!$H$6:$S$1005,HLOOKUP(R$2,Calculation!$M$4:$S$5,2,FALSE)+5,FALSE),"")</f>
        <v/>
      </c>
      <c r="S479" s="4" t="str">
        <f ca="1">IFERROR(VLOOKUP($L479,Calculation!$H$6:$S$1005,HLOOKUP(S$2,Calculation!$M$4:$S$5,2,FALSE)+5,FALSE),"")</f>
        <v/>
      </c>
      <c r="T479" s="29"/>
      <c r="U479" s="43" t="str">
        <f>IFERROR(VLOOKUP(T479,Calculation!$U$6:$V$11,2,FALSE),"")</f>
        <v/>
      </c>
    </row>
    <row r="480" spans="1:21" ht="14.25" customHeight="1" x14ac:dyDescent="0.3">
      <c r="A480" s="26" t="str">
        <f ca="1">IF(Calculation!T483&lt;=Calculation!$H$4,Calculation!T483,"")</f>
        <v/>
      </c>
      <c r="B480" s="4" t="str">
        <f ca="1">VLOOKUP(A480,Calculation!$E$6:$J$1004,4,FALSE)</f>
        <v/>
      </c>
      <c r="C480" s="4" t="str">
        <f ca="1">VLOOKUP(A480,Calculation!$E$6:$J$1004,5,FALSE)</f>
        <v/>
      </c>
      <c r="D480" s="4" t="str">
        <f ca="1">VLOOKUP(A480,Calculation!$E$6:$J$1004,6,FALSE)</f>
        <v/>
      </c>
      <c r="E480" s="42" t="str">
        <f t="shared" ca="1" si="2"/>
        <v/>
      </c>
      <c r="G480" s="29" t="str">
        <f ca="1">VLOOKUP(A480,Calculation!$F$6:$J$1004,3,FALSE)</f>
        <v/>
      </c>
      <c r="H480" s="4" t="str">
        <f ca="1">VLOOKUP(A480,Calculation!$F$6:$J$1004,4,FALSE)</f>
        <v/>
      </c>
      <c r="I480" s="4" t="str">
        <f ca="1">VLOOKUP(A480,Calculation!$F$6:$J$1004,5,FALSE)</f>
        <v/>
      </c>
      <c r="J480" s="43" t="str">
        <f t="shared" ca="1" si="3"/>
        <v/>
      </c>
      <c r="L480" s="29" t="str">
        <f ca="1">VLOOKUP(A480,Calculation!$G$6:$S$1004,2,FALSE)</f>
        <v/>
      </c>
      <c r="M480" s="4" t="str">
        <f ca="1">IFERROR(VLOOKUP($L480,Calculation!$H$6:$S$1005,HLOOKUP(M$2,Calculation!$M$4:$S$5,2,FALSE)+5,FALSE),"")</f>
        <v/>
      </c>
      <c r="N480" s="4" t="str">
        <f ca="1">IFERROR(VLOOKUP($L480,Calculation!$H$6:$S$1005,HLOOKUP(N$2,Calculation!$M$4:$S$5,2,FALSE)+5,FALSE),"")</f>
        <v/>
      </c>
      <c r="O480" s="4" t="str">
        <f ca="1">IFERROR(VLOOKUP($L480,Calculation!$H$6:$S$1005,HLOOKUP(O$2,Calculation!$M$4:$S$5,2,FALSE)+5,FALSE),"")</f>
        <v/>
      </c>
      <c r="P480" s="4" t="str">
        <f ca="1">IFERROR(VLOOKUP($L480,Calculation!$H$6:$S$1005,HLOOKUP(P$2,Calculation!$M$4:$S$5,2,FALSE)+5,FALSE),"")</f>
        <v/>
      </c>
      <c r="Q480" s="4" t="str">
        <f ca="1">IFERROR(VLOOKUP($L480,Calculation!$H$6:$S$1005,HLOOKUP(Q$2,Calculation!$M$4:$S$5,2,FALSE)+5,FALSE),"")</f>
        <v/>
      </c>
      <c r="R480" s="27" t="str">
        <f ca="1">IFERROR(VLOOKUP($L480,Calculation!$H$6:$S$1005,HLOOKUP(R$2,Calculation!$M$4:$S$5,2,FALSE)+5,FALSE),"")</f>
        <v/>
      </c>
      <c r="S480" s="4" t="str">
        <f ca="1">IFERROR(VLOOKUP($L480,Calculation!$H$6:$S$1005,HLOOKUP(S$2,Calculation!$M$4:$S$5,2,FALSE)+5,FALSE),"")</f>
        <v/>
      </c>
      <c r="T480" s="29"/>
      <c r="U480" s="43" t="str">
        <f>IFERROR(VLOOKUP(T480,Calculation!$U$6:$V$11,2,FALSE),"")</f>
        <v/>
      </c>
    </row>
    <row r="481" spans="1:21" ht="14.25" customHeight="1" x14ac:dyDescent="0.3">
      <c r="A481" s="26" t="str">
        <f ca="1">IF(Calculation!T484&lt;=Calculation!$H$4,Calculation!T484,"")</f>
        <v/>
      </c>
      <c r="B481" s="4" t="str">
        <f ca="1">VLOOKUP(A481,Calculation!$E$6:$J$1004,4,FALSE)</f>
        <v/>
      </c>
      <c r="C481" s="4" t="str">
        <f ca="1">VLOOKUP(A481,Calculation!$E$6:$J$1004,5,FALSE)</f>
        <v/>
      </c>
      <c r="D481" s="4" t="str">
        <f ca="1">VLOOKUP(A481,Calculation!$E$6:$J$1004,6,FALSE)</f>
        <v/>
      </c>
      <c r="E481" s="42" t="str">
        <f t="shared" ca="1" si="2"/>
        <v/>
      </c>
      <c r="G481" s="29" t="str">
        <f ca="1">VLOOKUP(A481,Calculation!$F$6:$J$1004,3,FALSE)</f>
        <v/>
      </c>
      <c r="H481" s="4" t="str">
        <f ca="1">VLOOKUP(A481,Calculation!$F$6:$J$1004,4,FALSE)</f>
        <v/>
      </c>
      <c r="I481" s="4" t="str">
        <f ca="1">VLOOKUP(A481,Calculation!$F$6:$J$1004,5,FALSE)</f>
        <v/>
      </c>
      <c r="J481" s="43" t="str">
        <f t="shared" ca="1" si="3"/>
        <v/>
      </c>
      <c r="L481" s="29" t="str">
        <f ca="1">VLOOKUP(A481,Calculation!$G$6:$S$1004,2,FALSE)</f>
        <v/>
      </c>
      <c r="M481" s="4" t="str">
        <f ca="1">IFERROR(VLOOKUP($L481,Calculation!$H$6:$S$1005,HLOOKUP(M$2,Calculation!$M$4:$S$5,2,FALSE)+5,FALSE),"")</f>
        <v/>
      </c>
      <c r="N481" s="4" t="str">
        <f ca="1">IFERROR(VLOOKUP($L481,Calculation!$H$6:$S$1005,HLOOKUP(N$2,Calculation!$M$4:$S$5,2,FALSE)+5,FALSE),"")</f>
        <v/>
      </c>
      <c r="O481" s="4" t="str">
        <f ca="1">IFERROR(VLOOKUP($L481,Calculation!$H$6:$S$1005,HLOOKUP(O$2,Calculation!$M$4:$S$5,2,FALSE)+5,FALSE),"")</f>
        <v/>
      </c>
      <c r="P481" s="4" t="str">
        <f ca="1">IFERROR(VLOOKUP($L481,Calculation!$H$6:$S$1005,HLOOKUP(P$2,Calculation!$M$4:$S$5,2,FALSE)+5,FALSE),"")</f>
        <v/>
      </c>
      <c r="Q481" s="4" t="str">
        <f ca="1">IFERROR(VLOOKUP($L481,Calculation!$H$6:$S$1005,HLOOKUP(Q$2,Calculation!$M$4:$S$5,2,FALSE)+5,FALSE),"")</f>
        <v/>
      </c>
      <c r="R481" s="27" t="str">
        <f ca="1">IFERROR(VLOOKUP($L481,Calculation!$H$6:$S$1005,HLOOKUP(R$2,Calculation!$M$4:$S$5,2,FALSE)+5,FALSE),"")</f>
        <v/>
      </c>
      <c r="S481" s="4" t="str">
        <f ca="1">IFERROR(VLOOKUP($L481,Calculation!$H$6:$S$1005,HLOOKUP(S$2,Calculation!$M$4:$S$5,2,FALSE)+5,FALSE),"")</f>
        <v/>
      </c>
      <c r="T481" s="29"/>
      <c r="U481" s="43" t="str">
        <f>IFERROR(VLOOKUP(T481,Calculation!$U$6:$V$11,2,FALSE),"")</f>
        <v/>
      </c>
    </row>
    <row r="482" spans="1:21" ht="14.25" customHeight="1" x14ac:dyDescent="0.3">
      <c r="A482" s="26" t="str">
        <f ca="1">IF(Calculation!T485&lt;=Calculation!$H$4,Calculation!T485,"")</f>
        <v/>
      </c>
      <c r="B482" s="4" t="str">
        <f ca="1">VLOOKUP(A482,Calculation!$E$6:$J$1004,4,FALSE)</f>
        <v/>
      </c>
      <c r="C482" s="4" t="str">
        <f ca="1">VLOOKUP(A482,Calculation!$E$6:$J$1004,5,FALSE)</f>
        <v/>
      </c>
      <c r="D482" s="4" t="str">
        <f ca="1">VLOOKUP(A482,Calculation!$E$6:$J$1004,6,FALSE)</f>
        <v/>
      </c>
      <c r="E482" s="42" t="str">
        <f t="shared" ca="1" si="2"/>
        <v/>
      </c>
      <c r="G482" s="29" t="str">
        <f ca="1">VLOOKUP(A482,Calculation!$F$6:$J$1004,3,FALSE)</f>
        <v/>
      </c>
      <c r="H482" s="4" t="str">
        <f ca="1">VLOOKUP(A482,Calculation!$F$6:$J$1004,4,FALSE)</f>
        <v/>
      </c>
      <c r="I482" s="4" t="str">
        <f ca="1">VLOOKUP(A482,Calculation!$F$6:$J$1004,5,FALSE)</f>
        <v/>
      </c>
      <c r="J482" s="43" t="str">
        <f t="shared" ca="1" si="3"/>
        <v/>
      </c>
      <c r="L482" s="29" t="str">
        <f ca="1">VLOOKUP(A482,Calculation!$G$6:$S$1004,2,FALSE)</f>
        <v/>
      </c>
      <c r="M482" s="4" t="str">
        <f ca="1">IFERROR(VLOOKUP($L482,Calculation!$H$6:$S$1005,HLOOKUP(M$2,Calculation!$M$4:$S$5,2,FALSE)+5,FALSE),"")</f>
        <v/>
      </c>
      <c r="N482" s="4" t="str">
        <f ca="1">IFERROR(VLOOKUP($L482,Calculation!$H$6:$S$1005,HLOOKUP(N$2,Calculation!$M$4:$S$5,2,FALSE)+5,FALSE),"")</f>
        <v/>
      </c>
      <c r="O482" s="4" t="str">
        <f ca="1">IFERROR(VLOOKUP($L482,Calculation!$H$6:$S$1005,HLOOKUP(O$2,Calculation!$M$4:$S$5,2,FALSE)+5,FALSE),"")</f>
        <v/>
      </c>
      <c r="P482" s="4" t="str">
        <f ca="1">IFERROR(VLOOKUP($L482,Calculation!$H$6:$S$1005,HLOOKUP(P$2,Calculation!$M$4:$S$5,2,FALSE)+5,FALSE),"")</f>
        <v/>
      </c>
      <c r="Q482" s="4" t="str">
        <f ca="1">IFERROR(VLOOKUP($L482,Calculation!$H$6:$S$1005,HLOOKUP(Q$2,Calculation!$M$4:$S$5,2,FALSE)+5,FALSE),"")</f>
        <v/>
      </c>
      <c r="R482" s="27" t="str">
        <f ca="1">IFERROR(VLOOKUP($L482,Calculation!$H$6:$S$1005,HLOOKUP(R$2,Calculation!$M$4:$S$5,2,FALSE)+5,FALSE),"")</f>
        <v/>
      </c>
      <c r="S482" s="4" t="str">
        <f ca="1">IFERROR(VLOOKUP($L482,Calculation!$H$6:$S$1005,HLOOKUP(S$2,Calculation!$M$4:$S$5,2,FALSE)+5,FALSE),"")</f>
        <v/>
      </c>
      <c r="T482" s="29"/>
      <c r="U482" s="43" t="str">
        <f>IFERROR(VLOOKUP(T482,Calculation!$U$6:$V$11,2,FALSE),"")</f>
        <v/>
      </c>
    </row>
    <row r="483" spans="1:21" ht="14.25" customHeight="1" x14ac:dyDescent="0.3">
      <c r="A483" s="26" t="str">
        <f ca="1">IF(Calculation!T486&lt;=Calculation!$H$4,Calculation!T486,"")</f>
        <v/>
      </c>
      <c r="B483" s="4" t="str">
        <f ca="1">VLOOKUP(A483,Calculation!$E$6:$J$1004,4,FALSE)</f>
        <v/>
      </c>
      <c r="C483" s="4" t="str">
        <f ca="1">VLOOKUP(A483,Calculation!$E$6:$J$1004,5,FALSE)</f>
        <v/>
      </c>
      <c r="D483" s="4" t="str">
        <f ca="1">VLOOKUP(A483,Calculation!$E$6:$J$1004,6,FALSE)</f>
        <v/>
      </c>
      <c r="E483" s="42" t="str">
        <f t="shared" ca="1" si="2"/>
        <v/>
      </c>
      <c r="G483" s="29" t="str">
        <f ca="1">VLOOKUP(A483,Calculation!$F$6:$J$1004,3,FALSE)</f>
        <v/>
      </c>
      <c r="H483" s="4" t="str">
        <f ca="1">VLOOKUP(A483,Calculation!$F$6:$J$1004,4,FALSE)</f>
        <v/>
      </c>
      <c r="I483" s="4" t="str">
        <f ca="1">VLOOKUP(A483,Calculation!$F$6:$J$1004,5,FALSE)</f>
        <v/>
      </c>
      <c r="J483" s="43" t="str">
        <f t="shared" ca="1" si="3"/>
        <v/>
      </c>
      <c r="L483" s="29" t="str">
        <f ca="1">VLOOKUP(A483,Calculation!$G$6:$S$1004,2,FALSE)</f>
        <v/>
      </c>
      <c r="M483" s="4" t="str">
        <f ca="1">IFERROR(VLOOKUP($L483,Calculation!$H$6:$S$1005,HLOOKUP(M$2,Calculation!$M$4:$S$5,2,FALSE)+5,FALSE),"")</f>
        <v/>
      </c>
      <c r="N483" s="4" t="str">
        <f ca="1">IFERROR(VLOOKUP($L483,Calculation!$H$6:$S$1005,HLOOKUP(N$2,Calculation!$M$4:$S$5,2,FALSE)+5,FALSE),"")</f>
        <v/>
      </c>
      <c r="O483" s="4" t="str">
        <f ca="1">IFERROR(VLOOKUP($L483,Calculation!$H$6:$S$1005,HLOOKUP(O$2,Calculation!$M$4:$S$5,2,FALSE)+5,FALSE),"")</f>
        <v/>
      </c>
      <c r="P483" s="4" t="str">
        <f ca="1">IFERROR(VLOOKUP($L483,Calculation!$H$6:$S$1005,HLOOKUP(P$2,Calculation!$M$4:$S$5,2,FALSE)+5,FALSE),"")</f>
        <v/>
      </c>
      <c r="Q483" s="4" t="str">
        <f ca="1">IFERROR(VLOOKUP($L483,Calculation!$H$6:$S$1005,HLOOKUP(Q$2,Calculation!$M$4:$S$5,2,FALSE)+5,FALSE),"")</f>
        <v/>
      </c>
      <c r="R483" s="27" t="str">
        <f ca="1">IFERROR(VLOOKUP($L483,Calculation!$H$6:$S$1005,HLOOKUP(R$2,Calculation!$M$4:$S$5,2,FALSE)+5,FALSE),"")</f>
        <v/>
      </c>
      <c r="S483" s="4" t="str">
        <f ca="1">IFERROR(VLOOKUP($L483,Calculation!$H$6:$S$1005,HLOOKUP(S$2,Calculation!$M$4:$S$5,2,FALSE)+5,FALSE),"")</f>
        <v/>
      </c>
      <c r="T483" s="29"/>
      <c r="U483" s="43" t="str">
        <f>IFERROR(VLOOKUP(T483,Calculation!$U$6:$V$11,2,FALSE),"")</f>
        <v/>
      </c>
    </row>
    <row r="484" spans="1:21" ht="14.25" customHeight="1" x14ac:dyDescent="0.3">
      <c r="A484" s="26" t="str">
        <f ca="1">IF(Calculation!T487&lt;=Calculation!$H$4,Calculation!T487,"")</f>
        <v/>
      </c>
      <c r="B484" s="4" t="str">
        <f ca="1">VLOOKUP(A484,Calculation!$E$6:$J$1004,4,FALSE)</f>
        <v/>
      </c>
      <c r="C484" s="4" t="str">
        <f ca="1">VLOOKUP(A484,Calculation!$E$6:$J$1004,5,FALSE)</f>
        <v/>
      </c>
      <c r="D484" s="4" t="str">
        <f ca="1">VLOOKUP(A484,Calculation!$E$6:$J$1004,6,FALSE)</f>
        <v/>
      </c>
      <c r="E484" s="42" t="str">
        <f t="shared" ca="1" si="2"/>
        <v/>
      </c>
      <c r="G484" s="29" t="str">
        <f ca="1">VLOOKUP(A484,Calculation!$F$6:$J$1004,3,FALSE)</f>
        <v/>
      </c>
      <c r="H484" s="4" t="str">
        <f ca="1">VLOOKUP(A484,Calculation!$F$6:$J$1004,4,FALSE)</f>
        <v/>
      </c>
      <c r="I484" s="4" t="str">
        <f ca="1">VLOOKUP(A484,Calculation!$F$6:$J$1004,5,FALSE)</f>
        <v/>
      </c>
      <c r="J484" s="43" t="str">
        <f t="shared" ca="1" si="3"/>
        <v/>
      </c>
      <c r="L484" s="29" t="str">
        <f ca="1">VLOOKUP(A484,Calculation!$G$6:$S$1004,2,FALSE)</f>
        <v/>
      </c>
      <c r="M484" s="4" t="str">
        <f ca="1">IFERROR(VLOOKUP($L484,Calculation!$H$6:$S$1005,HLOOKUP(M$2,Calculation!$M$4:$S$5,2,FALSE)+5,FALSE),"")</f>
        <v/>
      </c>
      <c r="N484" s="4" t="str">
        <f ca="1">IFERROR(VLOOKUP($L484,Calculation!$H$6:$S$1005,HLOOKUP(N$2,Calculation!$M$4:$S$5,2,FALSE)+5,FALSE),"")</f>
        <v/>
      </c>
      <c r="O484" s="4" t="str">
        <f ca="1">IFERROR(VLOOKUP($L484,Calculation!$H$6:$S$1005,HLOOKUP(O$2,Calculation!$M$4:$S$5,2,FALSE)+5,FALSE),"")</f>
        <v/>
      </c>
      <c r="P484" s="4" t="str">
        <f ca="1">IFERROR(VLOOKUP($L484,Calculation!$H$6:$S$1005,HLOOKUP(P$2,Calculation!$M$4:$S$5,2,FALSE)+5,FALSE),"")</f>
        <v/>
      </c>
      <c r="Q484" s="4" t="str">
        <f ca="1">IFERROR(VLOOKUP($L484,Calculation!$H$6:$S$1005,HLOOKUP(Q$2,Calculation!$M$4:$S$5,2,FALSE)+5,FALSE),"")</f>
        <v/>
      </c>
      <c r="R484" s="27" t="str">
        <f ca="1">IFERROR(VLOOKUP($L484,Calculation!$H$6:$S$1005,HLOOKUP(R$2,Calculation!$M$4:$S$5,2,FALSE)+5,FALSE),"")</f>
        <v/>
      </c>
      <c r="S484" s="4" t="str">
        <f ca="1">IFERROR(VLOOKUP($L484,Calculation!$H$6:$S$1005,HLOOKUP(S$2,Calculation!$M$4:$S$5,2,FALSE)+5,FALSE),"")</f>
        <v/>
      </c>
      <c r="T484" s="29"/>
      <c r="U484" s="43" t="str">
        <f>IFERROR(VLOOKUP(T484,Calculation!$U$6:$V$11,2,FALSE),"")</f>
        <v/>
      </c>
    </row>
    <row r="485" spans="1:21" ht="14.25" customHeight="1" x14ac:dyDescent="0.3">
      <c r="A485" s="26" t="str">
        <f ca="1">IF(Calculation!T488&lt;=Calculation!$H$4,Calculation!T488,"")</f>
        <v/>
      </c>
      <c r="B485" s="4" t="str">
        <f ca="1">VLOOKUP(A485,Calculation!$E$6:$J$1004,4,FALSE)</f>
        <v/>
      </c>
      <c r="C485" s="4" t="str">
        <f ca="1">VLOOKUP(A485,Calculation!$E$6:$J$1004,5,FALSE)</f>
        <v/>
      </c>
      <c r="D485" s="4" t="str">
        <f ca="1">VLOOKUP(A485,Calculation!$E$6:$J$1004,6,FALSE)</f>
        <v/>
      </c>
      <c r="E485" s="42" t="str">
        <f t="shared" ca="1" si="2"/>
        <v/>
      </c>
      <c r="G485" s="29" t="str">
        <f ca="1">VLOOKUP(A485,Calculation!$F$6:$J$1004,3,FALSE)</f>
        <v/>
      </c>
      <c r="H485" s="4" t="str">
        <f ca="1">VLOOKUP(A485,Calculation!$F$6:$J$1004,4,FALSE)</f>
        <v/>
      </c>
      <c r="I485" s="4" t="str">
        <f ca="1">VLOOKUP(A485,Calculation!$F$6:$J$1004,5,FALSE)</f>
        <v/>
      </c>
      <c r="J485" s="43" t="str">
        <f t="shared" ca="1" si="3"/>
        <v/>
      </c>
      <c r="L485" s="29" t="str">
        <f ca="1">VLOOKUP(A485,Calculation!$G$6:$S$1004,2,FALSE)</f>
        <v/>
      </c>
      <c r="M485" s="4" t="str">
        <f ca="1">IFERROR(VLOOKUP($L485,Calculation!$H$6:$S$1005,HLOOKUP(M$2,Calculation!$M$4:$S$5,2,FALSE)+5,FALSE),"")</f>
        <v/>
      </c>
      <c r="N485" s="4" t="str">
        <f ca="1">IFERROR(VLOOKUP($L485,Calculation!$H$6:$S$1005,HLOOKUP(N$2,Calculation!$M$4:$S$5,2,FALSE)+5,FALSE),"")</f>
        <v/>
      </c>
      <c r="O485" s="4" t="str">
        <f ca="1">IFERROR(VLOOKUP($L485,Calculation!$H$6:$S$1005,HLOOKUP(O$2,Calculation!$M$4:$S$5,2,FALSE)+5,FALSE),"")</f>
        <v/>
      </c>
      <c r="P485" s="4" t="str">
        <f ca="1">IFERROR(VLOOKUP($L485,Calculation!$H$6:$S$1005,HLOOKUP(P$2,Calculation!$M$4:$S$5,2,FALSE)+5,FALSE),"")</f>
        <v/>
      </c>
      <c r="Q485" s="4" t="str">
        <f ca="1">IFERROR(VLOOKUP($L485,Calculation!$H$6:$S$1005,HLOOKUP(Q$2,Calculation!$M$4:$S$5,2,FALSE)+5,FALSE),"")</f>
        <v/>
      </c>
      <c r="R485" s="27" t="str">
        <f ca="1">IFERROR(VLOOKUP($L485,Calculation!$H$6:$S$1005,HLOOKUP(R$2,Calculation!$M$4:$S$5,2,FALSE)+5,FALSE),"")</f>
        <v/>
      </c>
      <c r="S485" s="4" t="str">
        <f ca="1">IFERROR(VLOOKUP($L485,Calculation!$H$6:$S$1005,HLOOKUP(S$2,Calculation!$M$4:$S$5,2,FALSE)+5,FALSE),"")</f>
        <v/>
      </c>
      <c r="T485" s="29"/>
      <c r="U485" s="43" t="str">
        <f>IFERROR(VLOOKUP(T485,Calculation!$U$6:$V$11,2,FALSE),"")</f>
        <v/>
      </c>
    </row>
    <row r="486" spans="1:21" ht="14.25" customHeight="1" x14ac:dyDescent="0.3">
      <c r="A486" s="26" t="str">
        <f ca="1">IF(Calculation!T489&lt;=Calculation!$H$4,Calculation!T489,"")</f>
        <v/>
      </c>
      <c r="B486" s="4" t="str">
        <f ca="1">VLOOKUP(A486,Calculation!$E$6:$J$1004,4,FALSE)</f>
        <v/>
      </c>
      <c r="C486" s="4" t="str">
        <f ca="1">VLOOKUP(A486,Calculation!$E$6:$J$1004,5,FALSE)</f>
        <v/>
      </c>
      <c r="D486" s="4" t="str">
        <f ca="1">VLOOKUP(A486,Calculation!$E$6:$J$1004,6,FALSE)</f>
        <v/>
      </c>
      <c r="E486" s="42" t="str">
        <f t="shared" ca="1" si="2"/>
        <v/>
      </c>
      <c r="G486" s="29" t="str">
        <f ca="1">VLOOKUP(A486,Calculation!$F$6:$J$1004,3,FALSE)</f>
        <v/>
      </c>
      <c r="H486" s="4" t="str">
        <f ca="1">VLOOKUP(A486,Calculation!$F$6:$J$1004,4,FALSE)</f>
        <v/>
      </c>
      <c r="I486" s="4" t="str">
        <f ca="1">VLOOKUP(A486,Calculation!$F$6:$J$1004,5,FALSE)</f>
        <v/>
      </c>
      <c r="J486" s="43" t="str">
        <f t="shared" ca="1" si="3"/>
        <v/>
      </c>
      <c r="L486" s="29" t="str">
        <f ca="1">VLOOKUP(A486,Calculation!$G$6:$S$1004,2,FALSE)</f>
        <v/>
      </c>
      <c r="M486" s="4" t="str">
        <f ca="1">IFERROR(VLOOKUP($L486,Calculation!$H$6:$S$1005,HLOOKUP(M$2,Calculation!$M$4:$S$5,2,FALSE)+5,FALSE),"")</f>
        <v/>
      </c>
      <c r="N486" s="4" t="str">
        <f ca="1">IFERROR(VLOOKUP($L486,Calculation!$H$6:$S$1005,HLOOKUP(N$2,Calculation!$M$4:$S$5,2,FALSE)+5,FALSE),"")</f>
        <v/>
      </c>
      <c r="O486" s="4" t="str">
        <f ca="1">IFERROR(VLOOKUP($L486,Calculation!$H$6:$S$1005,HLOOKUP(O$2,Calculation!$M$4:$S$5,2,FALSE)+5,FALSE),"")</f>
        <v/>
      </c>
      <c r="P486" s="4" t="str">
        <f ca="1">IFERROR(VLOOKUP($L486,Calculation!$H$6:$S$1005,HLOOKUP(P$2,Calculation!$M$4:$S$5,2,FALSE)+5,FALSE),"")</f>
        <v/>
      </c>
      <c r="Q486" s="4" t="str">
        <f ca="1">IFERROR(VLOOKUP($L486,Calculation!$H$6:$S$1005,HLOOKUP(Q$2,Calculation!$M$4:$S$5,2,FALSE)+5,FALSE),"")</f>
        <v/>
      </c>
      <c r="R486" s="27" t="str">
        <f ca="1">IFERROR(VLOOKUP($L486,Calculation!$H$6:$S$1005,HLOOKUP(R$2,Calculation!$M$4:$S$5,2,FALSE)+5,FALSE),"")</f>
        <v/>
      </c>
      <c r="S486" s="4" t="str">
        <f ca="1">IFERROR(VLOOKUP($L486,Calculation!$H$6:$S$1005,HLOOKUP(S$2,Calculation!$M$4:$S$5,2,FALSE)+5,FALSE),"")</f>
        <v/>
      </c>
      <c r="T486" s="29"/>
      <c r="U486" s="43" t="str">
        <f>IFERROR(VLOOKUP(T486,Calculation!$U$6:$V$11,2,FALSE),"")</f>
        <v/>
      </c>
    </row>
    <row r="487" spans="1:21" ht="14.25" customHeight="1" x14ac:dyDescent="0.3">
      <c r="A487" s="26" t="str">
        <f ca="1">IF(Calculation!T490&lt;=Calculation!$H$4,Calculation!T490,"")</f>
        <v/>
      </c>
      <c r="B487" s="4" t="str">
        <f ca="1">VLOOKUP(A487,Calculation!$E$6:$J$1004,4,FALSE)</f>
        <v/>
      </c>
      <c r="C487" s="4" t="str">
        <f ca="1">VLOOKUP(A487,Calculation!$E$6:$J$1004,5,FALSE)</f>
        <v/>
      </c>
      <c r="D487" s="4" t="str">
        <f ca="1">VLOOKUP(A487,Calculation!$E$6:$J$1004,6,FALSE)</f>
        <v/>
      </c>
      <c r="E487" s="42" t="str">
        <f t="shared" ca="1" si="2"/>
        <v/>
      </c>
      <c r="G487" s="29" t="str">
        <f ca="1">VLOOKUP(A487,Calculation!$F$6:$J$1004,3,FALSE)</f>
        <v/>
      </c>
      <c r="H487" s="4" t="str">
        <f ca="1">VLOOKUP(A487,Calculation!$F$6:$J$1004,4,FALSE)</f>
        <v/>
      </c>
      <c r="I487" s="4" t="str">
        <f ca="1">VLOOKUP(A487,Calculation!$F$6:$J$1004,5,FALSE)</f>
        <v/>
      </c>
      <c r="J487" s="43" t="str">
        <f t="shared" ca="1" si="3"/>
        <v/>
      </c>
      <c r="L487" s="29" t="str">
        <f ca="1">VLOOKUP(A487,Calculation!$G$6:$S$1004,2,FALSE)</f>
        <v/>
      </c>
      <c r="M487" s="4" t="str">
        <f ca="1">IFERROR(VLOOKUP($L487,Calculation!$H$6:$S$1005,HLOOKUP(M$2,Calculation!$M$4:$S$5,2,FALSE)+5,FALSE),"")</f>
        <v/>
      </c>
      <c r="N487" s="4" t="str">
        <f ca="1">IFERROR(VLOOKUP($L487,Calculation!$H$6:$S$1005,HLOOKUP(N$2,Calculation!$M$4:$S$5,2,FALSE)+5,FALSE),"")</f>
        <v/>
      </c>
      <c r="O487" s="4" t="str">
        <f ca="1">IFERROR(VLOOKUP($L487,Calculation!$H$6:$S$1005,HLOOKUP(O$2,Calculation!$M$4:$S$5,2,FALSE)+5,FALSE),"")</f>
        <v/>
      </c>
      <c r="P487" s="4" t="str">
        <f ca="1">IFERROR(VLOOKUP($L487,Calculation!$H$6:$S$1005,HLOOKUP(P$2,Calculation!$M$4:$S$5,2,FALSE)+5,FALSE),"")</f>
        <v/>
      </c>
      <c r="Q487" s="4" t="str">
        <f ca="1">IFERROR(VLOOKUP($L487,Calculation!$H$6:$S$1005,HLOOKUP(Q$2,Calculation!$M$4:$S$5,2,FALSE)+5,FALSE),"")</f>
        <v/>
      </c>
      <c r="R487" s="27" t="str">
        <f ca="1">IFERROR(VLOOKUP($L487,Calculation!$H$6:$S$1005,HLOOKUP(R$2,Calculation!$M$4:$S$5,2,FALSE)+5,FALSE),"")</f>
        <v/>
      </c>
      <c r="S487" s="4" t="str">
        <f ca="1">IFERROR(VLOOKUP($L487,Calculation!$H$6:$S$1005,HLOOKUP(S$2,Calculation!$M$4:$S$5,2,FALSE)+5,FALSE),"")</f>
        <v/>
      </c>
      <c r="T487" s="29"/>
      <c r="U487" s="43" t="str">
        <f>IFERROR(VLOOKUP(T487,Calculation!$U$6:$V$11,2,FALSE),"")</f>
        <v/>
      </c>
    </row>
    <row r="488" spans="1:21" ht="14.25" customHeight="1" x14ac:dyDescent="0.3">
      <c r="A488" s="26" t="str">
        <f ca="1">IF(Calculation!T491&lt;=Calculation!$H$4,Calculation!T491,"")</f>
        <v/>
      </c>
      <c r="B488" s="4" t="str">
        <f ca="1">VLOOKUP(A488,Calculation!$E$6:$J$1004,4,FALSE)</f>
        <v/>
      </c>
      <c r="C488" s="4" t="str">
        <f ca="1">VLOOKUP(A488,Calculation!$E$6:$J$1004,5,FALSE)</f>
        <v/>
      </c>
      <c r="D488" s="4" t="str">
        <f ca="1">VLOOKUP(A488,Calculation!$E$6:$J$1004,6,FALSE)</f>
        <v/>
      </c>
      <c r="E488" s="42" t="str">
        <f t="shared" ca="1" si="2"/>
        <v/>
      </c>
      <c r="G488" s="29" t="str">
        <f ca="1">VLOOKUP(A488,Calculation!$F$6:$J$1004,3,FALSE)</f>
        <v/>
      </c>
      <c r="H488" s="4" t="str">
        <f ca="1">VLOOKUP(A488,Calculation!$F$6:$J$1004,4,FALSE)</f>
        <v/>
      </c>
      <c r="I488" s="4" t="str">
        <f ca="1">VLOOKUP(A488,Calculation!$F$6:$J$1004,5,FALSE)</f>
        <v/>
      </c>
      <c r="J488" s="43" t="str">
        <f t="shared" ca="1" si="3"/>
        <v/>
      </c>
      <c r="L488" s="29" t="str">
        <f ca="1">VLOOKUP(A488,Calculation!$G$6:$S$1004,2,FALSE)</f>
        <v/>
      </c>
      <c r="M488" s="4" t="str">
        <f ca="1">IFERROR(VLOOKUP($L488,Calculation!$H$6:$S$1005,HLOOKUP(M$2,Calculation!$M$4:$S$5,2,FALSE)+5,FALSE),"")</f>
        <v/>
      </c>
      <c r="N488" s="4" t="str">
        <f ca="1">IFERROR(VLOOKUP($L488,Calculation!$H$6:$S$1005,HLOOKUP(N$2,Calculation!$M$4:$S$5,2,FALSE)+5,FALSE),"")</f>
        <v/>
      </c>
      <c r="O488" s="4" t="str">
        <f ca="1">IFERROR(VLOOKUP($L488,Calculation!$H$6:$S$1005,HLOOKUP(O$2,Calculation!$M$4:$S$5,2,FALSE)+5,FALSE),"")</f>
        <v/>
      </c>
      <c r="P488" s="4" t="str">
        <f ca="1">IFERROR(VLOOKUP($L488,Calculation!$H$6:$S$1005,HLOOKUP(P$2,Calculation!$M$4:$S$5,2,FALSE)+5,FALSE),"")</f>
        <v/>
      </c>
      <c r="Q488" s="4" t="str">
        <f ca="1">IFERROR(VLOOKUP($L488,Calculation!$H$6:$S$1005,HLOOKUP(Q$2,Calculation!$M$4:$S$5,2,FALSE)+5,FALSE),"")</f>
        <v/>
      </c>
      <c r="R488" s="27" t="str">
        <f ca="1">IFERROR(VLOOKUP($L488,Calculation!$H$6:$S$1005,HLOOKUP(R$2,Calculation!$M$4:$S$5,2,FALSE)+5,FALSE),"")</f>
        <v/>
      </c>
      <c r="S488" s="4" t="str">
        <f ca="1">IFERROR(VLOOKUP($L488,Calculation!$H$6:$S$1005,HLOOKUP(S$2,Calculation!$M$4:$S$5,2,FALSE)+5,FALSE),"")</f>
        <v/>
      </c>
      <c r="T488" s="29"/>
      <c r="U488" s="43" t="str">
        <f>IFERROR(VLOOKUP(T488,Calculation!$U$6:$V$11,2,FALSE),"")</f>
        <v/>
      </c>
    </row>
    <row r="489" spans="1:21" ht="14.25" customHeight="1" x14ac:dyDescent="0.3">
      <c r="A489" s="26" t="str">
        <f ca="1">IF(Calculation!T492&lt;=Calculation!$H$4,Calculation!T492,"")</f>
        <v/>
      </c>
      <c r="B489" s="4" t="str">
        <f ca="1">VLOOKUP(A489,Calculation!$E$6:$J$1004,4,FALSE)</f>
        <v/>
      </c>
      <c r="C489" s="4" t="str">
        <f ca="1">VLOOKUP(A489,Calculation!$E$6:$J$1004,5,FALSE)</f>
        <v/>
      </c>
      <c r="D489" s="4" t="str">
        <f ca="1">VLOOKUP(A489,Calculation!$E$6:$J$1004,6,FALSE)</f>
        <v/>
      </c>
      <c r="E489" s="42" t="str">
        <f t="shared" ca="1" si="2"/>
        <v/>
      </c>
      <c r="G489" s="29" t="str">
        <f ca="1">VLOOKUP(A489,Calculation!$F$6:$J$1004,3,FALSE)</f>
        <v/>
      </c>
      <c r="H489" s="4" t="str">
        <f ca="1">VLOOKUP(A489,Calculation!$F$6:$J$1004,4,FALSE)</f>
        <v/>
      </c>
      <c r="I489" s="4" t="str">
        <f ca="1">VLOOKUP(A489,Calculation!$F$6:$J$1004,5,FALSE)</f>
        <v/>
      </c>
      <c r="J489" s="43" t="str">
        <f t="shared" ca="1" si="3"/>
        <v/>
      </c>
      <c r="L489" s="29" t="str">
        <f ca="1">VLOOKUP(A489,Calculation!$G$6:$S$1004,2,FALSE)</f>
        <v/>
      </c>
      <c r="M489" s="4" t="str">
        <f ca="1">IFERROR(VLOOKUP($L489,Calculation!$H$6:$S$1005,HLOOKUP(M$2,Calculation!$M$4:$S$5,2,FALSE)+5,FALSE),"")</f>
        <v/>
      </c>
      <c r="N489" s="4" t="str">
        <f ca="1">IFERROR(VLOOKUP($L489,Calculation!$H$6:$S$1005,HLOOKUP(N$2,Calculation!$M$4:$S$5,2,FALSE)+5,FALSE),"")</f>
        <v/>
      </c>
      <c r="O489" s="4" t="str">
        <f ca="1">IFERROR(VLOOKUP($L489,Calculation!$H$6:$S$1005,HLOOKUP(O$2,Calculation!$M$4:$S$5,2,FALSE)+5,FALSE),"")</f>
        <v/>
      </c>
      <c r="P489" s="4" t="str">
        <f ca="1">IFERROR(VLOOKUP($L489,Calculation!$H$6:$S$1005,HLOOKUP(P$2,Calculation!$M$4:$S$5,2,FALSE)+5,FALSE),"")</f>
        <v/>
      </c>
      <c r="Q489" s="4" t="str">
        <f ca="1">IFERROR(VLOOKUP($L489,Calculation!$H$6:$S$1005,HLOOKUP(Q$2,Calculation!$M$4:$S$5,2,FALSE)+5,FALSE),"")</f>
        <v/>
      </c>
      <c r="R489" s="27" t="str">
        <f ca="1">IFERROR(VLOOKUP($L489,Calculation!$H$6:$S$1005,HLOOKUP(R$2,Calculation!$M$4:$S$5,2,FALSE)+5,FALSE),"")</f>
        <v/>
      </c>
      <c r="S489" s="4" t="str">
        <f ca="1">IFERROR(VLOOKUP($L489,Calculation!$H$6:$S$1005,HLOOKUP(S$2,Calculation!$M$4:$S$5,2,FALSE)+5,FALSE),"")</f>
        <v/>
      </c>
      <c r="T489" s="29"/>
      <c r="U489" s="43" t="str">
        <f>IFERROR(VLOOKUP(T489,Calculation!$U$6:$V$11,2,FALSE),"")</f>
        <v/>
      </c>
    </row>
    <row r="490" spans="1:21" ht="14.25" customHeight="1" x14ac:dyDescent="0.3">
      <c r="A490" s="26" t="str">
        <f ca="1">IF(Calculation!T493&lt;=Calculation!$H$4,Calculation!T493,"")</f>
        <v/>
      </c>
      <c r="B490" s="4" t="str">
        <f ca="1">VLOOKUP(A490,Calculation!$E$6:$J$1004,4,FALSE)</f>
        <v/>
      </c>
      <c r="C490" s="4" t="str">
        <f ca="1">VLOOKUP(A490,Calculation!$E$6:$J$1004,5,FALSE)</f>
        <v/>
      </c>
      <c r="D490" s="4" t="str">
        <f ca="1">VLOOKUP(A490,Calculation!$E$6:$J$1004,6,FALSE)</f>
        <v/>
      </c>
      <c r="E490" s="42" t="str">
        <f t="shared" ca="1" si="2"/>
        <v/>
      </c>
      <c r="G490" s="29" t="str">
        <f ca="1">VLOOKUP(A490,Calculation!$F$6:$J$1004,3,FALSE)</f>
        <v/>
      </c>
      <c r="H490" s="4" t="str">
        <f ca="1">VLOOKUP(A490,Calculation!$F$6:$J$1004,4,FALSE)</f>
        <v/>
      </c>
      <c r="I490" s="4" t="str">
        <f ca="1">VLOOKUP(A490,Calculation!$F$6:$J$1004,5,FALSE)</f>
        <v/>
      </c>
      <c r="J490" s="43" t="str">
        <f t="shared" ca="1" si="3"/>
        <v/>
      </c>
      <c r="L490" s="29" t="str">
        <f ca="1">VLOOKUP(A490,Calculation!$G$6:$S$1004,2,FALSE)</f>
        <v/>
      </c>
      <c r="M490" s="4" t="str">
        <f ca="1">IFERROR(VLOOKUP($L490,Calculation!$H$6:$S$1005,HLOOKUP(M$2,Calculation!$M$4:$S$5,2,FALSE)+5,FALSE),"")</f>
        <v/>
      </c>
      <c r="N490" s="4" t="str">
        <f ca="1">IFERROR(VLOOKUP($L490,Calculation!$H$6:$S$1005,HLOOKUP(N$2,Calculation!$M$4:$S$5,2,FALSE)+5,FALSE),"")</f>
        <v/>
      </c>
      <c r="O490" s="4" t="str">
        <f ca="1">IFERROR(VLOOKUP($L490,Calculation!$H$6:$S$1005,HLOOKUP(O$2,Calculation!$M$4:$S$5,2,FALSE)+5,FALSE),"")</f>
        <v/>
      </c>
      <c r="P490" s="4" t="str">
        <f ca="1">IFERROR(VLOOKUP($L490,Calculation!$H$6:$S$1005,HLOOKUP(P$2,Calculation!$M$4:$S$5,2,FALSE)+5,FALSE),"")</f>
        <v/>
      </c>
      <c r="Q490" s="4" t="str">
        <f ca="1">IFERROR(VLOOKUP($L490,Calculation!$H$6:$S$1005,HLOOKUP(Q$2,Calculation!$M$4:$S$5,2,FALSE)+5,FALSE),"")</f>
        <v/>
      </c>
      <c r="R490" s="27" t="str">
        <f ca="1">IFERROR(VLOOKUP($L490,Calculation!$H$6:$S$1005,HLOOKUP(R$2,Calculation!$M$4:$S$5,2,FALSE)+5,FALSE),"")</f>
        <v/>
      </c>
      <c r="S490" s="4" t="str">
        <f ca="1">IFERROR(VLOOKUP($L490,Calculation!$H$6:$S$1005,HLOOKUP(S$2,Calculation!$M$4:$S$5,2,FALSE)+5,FALSE),"")</f>
        <v/>
      </c>
      <c r="T490" s="29"/>
      <c r="U490" s="43" t="str">
        <f>IFERROR(VLOOKUP(T490,Calculation!$U$6:$V$11,2,FALSE),"")</f>
        <v/>
      </c>
    </row>
    <row r="491" spans="1:21" ht="14.25" customHeight="1" x14ac:dyDescent="0.3">
      <c r="A491" s="26" t="str">
        <f ca="1">IF(Calculation!T494&lt;=Calculation!$H$4,Calculation!T494,"")</f>
        <v/>
      </c>
      <c r="B491" s="4" t="str">
        <f ca="1">VLOOKUP(A491,Calculation!$E$6:$J$1004,4,FALSE)</f>
        <v/>
      </c>
      <c r="C491" s="4" t="str">
        <f ca="1">VLOOKUP(A491,Calculation!$E$6:$J$1004,5,FALSE)</f>
        <v/>
      </c>
      <c r="D491" s="4" t="str">
        <f ca="1">VLOOKUP(A491,Calculation!$E$6:$J$1004,6,FALSE)</f>
        <v/>
      </c>
      <c r="E491" s="42" t="str">
        <f t="shared" ca="1" si="2"/>
        <v/>
      </c>
      <c r="G491" s="29" t="str">
        <f ca="1">VLOOKUP(A491,Calculation!$F$6:$J$1004,3,FALSE)</f>
        <v/>
      </c>
      <c r="H491" s="4" t="str">
        <f ca="1">VLOOKUP(A491,Calculation!$F$6:$J$1004,4,FALSE)</f>
        <v/>
      </c>
      <c r="I491" s="4" t="str">
        <f ca="1">VLOOKUP(A491,Calculation!$F$6:$J$1004,5,FALSE)</f>
        <v/>
      </c>
      <c r="J491" s="43" t="str">
        <f t="shared" ca="1" si="3"/>
        <v/>
      </c>
      <c r="L491" s="29" t="str">
        <f ca="1">VLOOKUP(A491,Calculation!$G$6:$S$1004,2,FALSE)</f>
        <v/>
      </c>
      <c r="M491" s="4" t="str">
        <f ca="1">IFERROR(VLOOKUP($L491,Calculation!$H$6:$S$1005,HLOOKUP(M$2,Calculation!$M$4:$S$5,2,FALSE)+5,FALSE),"")</f>
        <v/>
      </c>
      <c r="N491" s="4" t="str">
        <f ca="1">IFERROR(VLOOKUP($L491,Calculation!$H$6:$S$1005,HLOOKUP(N$2,Calculation!$M$4:$S$5,2,FALSE)+5,FALSE),"")</f>
        <v/>
      </c>
      <c r="O491" s="4" t="str">
        <f ca="1">IFERROR(VLOOKUP($L491,Calculation!$H$6:$S$1005,HLOOKUP(O$2,Calculation!$M$4:$S$5,2,FALSE)+5,FALSE),"")</f>
        <v/>
      </c>
      <c r="P491" s="4" t="str">
        <f ca="1">IFERROR(VLOOKUP($L491,Calculation!$H$6:$S$1005,HLOOKUP(P$2,Calculation!$M$4:$S$5,2,FALSE)+5,FALSE),"")</f>
        <v/>
      </c>
      <c r="Q491" s="4" t="str">
        <f ca="1">IFERROR(VLOOKUP($L491,Calculation!$H$6:$S$1005,HLOOKUP(Q$2,Calculation!$M$4:$S$5,2,FALSE)+5,FALSE),"")</f>
        <v/>
      </c>
      <c r="R491" s="27" t="str">
        <f ca="1">IFERROR(VLOOKUP($L491,Calculation!$H$6:$S$1005,HLOOKUP(R$2,Calculation!$M$4:$S$5,2,FALSE)+5,FALSE),"")</f>
        <v/>
      </c>
      <c r="S491" s="4" t="str">
        <f ca="1">IFERROR(VLOOKUP($L491,Calculation!$H$6:$S$1005,HLOOKUP(S$2,Calculation!$M$4:$S$5,2,FALSE)+5,FALSE),"")</f>
        <v/>
      </c>
      <c r="T491" s="29"/>
      <c r="U491" s="43" t="str">
        <f>IFERROR(VLOOKUP(T491,Calculation!$U$6:$V$11,2,FALSE),"")</f>
        <v/>
      </c>
    </row>
    <row r="492" spans="1:21" ht="14.25" customHeight="1" x14ac:dyDescent="0.3">
      <c r="A492" s="26" t="str">
        <f ca="1">IF(Calculation!T495&lt;=Calculation!$H$4,Calculation!T495,"")</f>
        <v/>
      </c>
      <c r="B492" s="4" t="str">
        <f ca="1">VLOOKUP(A492,Calculation!$E$6:$J$1004,4,FALSE)</f>
        <v/>
      </c>
      <c r="C492" s="4" t="str">
        <f ca="1">VLOOKUP(A492,Calculation!$E$6:$J$1004,5,FALSE)</f>
        <v/>
      </c>
      <c r="D492" s="4" t="str">
        <f ca="1">VLOOKUP(A492,Calculation!$E$6:$J$1004,6,FALSE)</f>
        <v/>
      </c>
      <c r="E492" s="42" t="str">
        <f t="shared" ca="1" si="2"/>
        <v/>
      </c>
      <c r="G492" s="29" t="str">
        <f ca="1">VLOOKUP(A492,Calculation!$F$6:$J$1004,3,FALSE)</f>
        <v/>
      </c>
      <c r="H492" s="4" t="str">
        <f ca="1">VLOOKUP(A492,Calculation!$F$6:$J$1004,4,FALSE)</f>
        <v/>
      </c>
      <c r="I492" s="4" t="str">
        <f ca="1">VLOOKUP(A492,Calculation!$F$6:$J$1004,5,FALSE)</f>
        <v/>
      </c>
      <c r="J492" s="43" t="str">
        <f t="shared" ca="1" si="3"/>
        <v/>
      </c>
      <c r="L492" s="29" t="str">
        <f ca="1">VLOOKUP(A492,Calculation!$G$6:$S$1004,2,FALSE)</f>
        <v/>
      </c>
      <c r="M492" s="4" t="str">
        <f ca="1">IFERROR(VLOOKUP($L492,Calculation!$H$6:$S$1005,HLOOKUP(M$2,Calculation!$M$4:$S$5,2,FALSE)+5,FALSE),"")</f>
        <v/>
      </c>
      <c r="N492" s="4" t="str">
        <f ca="1">IFERROR(VLOOKUP($L492,Calculation!$H$6:$S$1005,HLOOKUP(N$2,Calculation!$M$4:$S$5,2,FALSE)+5,FALSE),"")</f>
        <v/>
      </c>
      <c r="O492" s="4" t="str">
        <f ca="1">IFERROR(VLOOKUP($L492,Calculation!$H$6:$S$1005,HLOOKUP(O$2,Calculation!$M$4:$S$5,2,FALSE)+5,FALSE),"")</f>
        <v/>
      </c>
      <c r="P492" s="4" t="str">
        <f ca="1">IFERROR(VLOOKUP($L492,Calculation!$H$6:$S$1005,HLOOKUP(P$2,Calculation!$M$4:$S$5,2,FALSE)+5,FALSE),"")</f>
        <v/>
      </c>
      <c r="Q492" s="4" t="str">
        <f ca="1">IFERROR(VLOOKUP($L492,Calculation!$H$6:$S$1005,HLOOKUP(Q$2,Calculation!$M$4:$S$5,2,FALSE)+5,FALSE),"")</f>
        <v/>
      </c>
      <c r="R492" s="27" t="str">
        <f ca="1">IFERROR(VLOOKUP($L492,Calculation!$H$6:$S$1005,HLOOKUP(R$2,Calculation!$M$4:$S$5,2,FALSE)+5,FALSE),"")</f>
        <v/>
      </c>
      <c r="S492" s="4" t="str">
        <f ca="1">IFERROR(VLOOKUP($L492,Calculation!$H$6:$S$1005,HLOOKUP(S$2,Calculation!$M$4:$S$5,2,FALSE)+5,FALSE),"")</f>
        <v/>
      </c>
      <c r="T492" s="29"/>
      <c r="U492" s="43" t="str">
        <f>IFERROR(VLOOKUP(T492,Calculation!$U$6:$V$11,2,FALSE),"")</f>
        <v/>
      </c>
    </row>
    <row r="493" spans="1:21" ht="14.25" customHeight="1" x14ac:dyDescent="0.3">
      <c r="A493" s="26" t="str">
        <f ca="1">IF(Calculation!T496&lt;=Calculation!$H$4,Calculation!T496,"")</f>
        <v/>
      </c>
      <c r="B493" s="4" t="str">
        <f ca="1">VLOOKUP(A493,Calculation!$E$6:$J$1004,4,FALSE)</f>
        <v/>
      </c>
      <c r="C493" s="4" t="str">
        <f ca="1">VLOOKUP(A493,Calculation!$E$6:$J$1004,5,FALSE)</f>
        <v/>
      </c>
      <c r="D493" s="4" t="str">
        <f ca="1">VLOOKUP(A493,Calculation!$E$6:$J$1004,6,FALSE)</f>
        <v/>
      </c>
      <c r="E493" s="42" t="str">
        <f t="shared" ca="1" si="2"/>
        <v/>
      </c>
      <c r="G493" s="29" t="str">
        <f ca="1">VLOOKUP(A493,Calculation!$F$6:$J$1004,3,FALSE)</f>
        <v/>
      </c>
      <c r="H493" s="4" t="str">
        <f ca="1">VLOOKUP(A493,Calculation!$F$6:$J$1004,4,FALSE)</f>
        <v/>
      </c>
      <c r="I493" s="4" t="str">
        <f ca="1">VLOOKUP(A493,Calculation!$F$6:$J$1004,5,FALSE)</f>
        <v/>
      </c>
      <c r="J493" s="43" t="str">
        <f t="shared" ca="1" si="3"/>
        <v/>
      </c>
      <c r="L493" s="29" t="str">
        <f ca="1">VLOOKUP(A493,Calculation!$G$6:$S$1004,2,FALSE)</f>
        <v/>
      </c>
      <c r="M493" s="4" t="str">
        <f ca="1">IFERROR(VLOOKUP($L493,Calculation!$H$6:$S$1005,HLOOKUP(M$2,Calculation!$M$4:$S$5,2,FALSE)+5,FALSE),"")</f>
        <v/>
      </c>
      <c r="N493" s="4" t="str">
        <f ca="1">IFERROR(VLOOKUP($L493,Calculation!$H$6:$S$1005,HLOOKUP(N$2,Calculation!$M$4:$S$5,2,FALSE)+5,FALSE),"")</f>
        <v/>
      </c>
      <c r="O493" s="4" t="str">
        <f ca="1">IFERROR(VLOOKUP($L493,Calculation!$H$6:$S$1005,HLOOKUP(O$2,Calculation!$M$4:$S$5,2,FALSE)+5,FALSE),"")</f>
        <v/>
      </c>
      <c r="P493" s="4" t="str">
        <f ca="1">IFERROR(VLOOKUP($L493,Calculation!$H$6:$S$1005,HLOOKUP(P$2,Calculation!$M$4:$S$5,2,FALSE)+5,FALSE),"")</f>
        <v/>
      </c>
      <c r="Q493" s="4" t="str">
        <f ca="1">IFERROR(VLOOKUP($L493,Calculation!$H$6:$S$1005,HLOOKUP(Q$2,Calculation!$M$4:$S$5,2,FALSE)+5,FALSE),"")</f>
        <v/>
      </c>
      <c r="R493" s="27" t="str">
        <f ca="1">IFERROR(VLOOKUP($L493,Calculation!$H$6:$S$1005,HLOOKUP(R$2,Calculation!$M$4:$S$5,2,FALSE)+5,FALSE),"")</f>
        <v/>
      </c>
      <c r="S493" s="4" t="str">
        <f ca="1">IFERROR(VLOOKUP($L493,Calculation!$H$6:$S$1005,HLOOKUP(S$2,Calculation!$M$4:$S$5,2,FALSE)+5,FALSE),"")</f>
        <v/>
      </c>
      <c r="T493" s="29"/>
      <c r="U493" s="43" t="str">
        <f>IFERROR(VLOOKUP(T493,Calculation!$U$6:$V$11,2,FALSE),"")</f>
        <v/>
      </c>
    </row>
    <row r="494" spans="1:21" ht="14.25" customHeight="1" x14ac:dyDescent="0.3">
      <c r="A494" s="26" t="str">
        <f ca="1">IF(Calculation!T497&lt;=Calculation!$H$4,Calculation!T497,"")</f>
        <v/>
      </c>
      <c r="B494" s="4" t="str">
        <f ca="1">VLOOKUP(A494,Calculation!$E$6:$J$1004,4,FALSE)</f>
        <v/>
      </c>
      <c r="C494" s="4" t="str">
        <f ca="1">VLOOKUP(A494,Calculation!$E$6:$J$1004,5,FALSE)</f>
        <v/>
      </c>
      <c r="D494" s="4" t="str">
        <f ca="1">VLOOKUP(A494,Calculation!$E$6:$J$1004,6,FALSE)</f>
        <v/>
      </c>
      <c r="E494" s="42" t="str">
        <f t="shared" ca="1" si="2"/>
        <v/>
      </c>
      <c r="G494" s="29" t="str">
        <f ca="1">VLOOKUP(A494,Calculation!$F$6:$J$1004,3,FALSE)</f>
        <v/>
      </c>
      <c r="H494" s="4" t="str">
        <f ca="1">VLOOKUP(A494,Calculation!$F$6:$J$1004,4,FALSE)</f>
        <v/>
      </c>
      <c r="I494" s="4" t="str">
        <f ca="1">VLOOKUP(A494,Calculation!$F$6:$J$1004,5,FALSE)</f>
        <v/>
      </c>
      <c r="J494" s="43" t="str">
        <f t="shared" ca="1" si="3"/>
        <v/>
      </c>
      <c r="L494" s="29" t="str">
        <f ca="1">VLOOKUP(A494,Calculation!$G$6:$S$1004,2,FALSE)</f>
        <v/>
      </c>
      <c r="M494" s="4" t="str">
        <f ca="1">IFERROR(VLOOKUP($L494,Calculation!$H$6:$S$1005,HLOOKUP(M$2,Calculation!$M$4:$S$5,2,FALSE)+5,FALSE),"")</f>
        <v/>
      </c>
      <c r="N494" s="4" t="str">
        <f ca="1">IFERROR(VLOOKUP($L494,Calculation!$H$6:$S$1005,HLOOKUP(N$2,Calculation!$M$4:$S$5,2,FALSE)+5,FALSE),"")</f>
        <v/>
      </c>
      <c r="O494" s="4" t="str">
        <f ca="1">IFERROR(VLOOKUP($L494,Calculation!$H$6:$S$1005,HLOOKUP(O$2,Calculation!$M$4:$S$5,2,FALSE)+5,FALSE),"")</f>
        <v/>
      </c>
      <c r="P494" s="4" t="str">
        <f ca="1">IFERROR(VLOOKUP($L494,Calculation!$H$6:$S$1005,HLOOKUP(P$2,Calculation!$M$4:$S$5,2,FALSE)+5,FALSE),"")</f>
        <v/>
      </c>
      <c r="Q494" s="4" t="str">
        <f ca="1">IFERROR(VLOOKUP($L494,Calculation!$H$6:$S$1005,HLOOKUP(Q$2,Calculation!$M$4:$S$5,2,FALSE)+5,FALSE),"")</f>
        <v/>
      </c>
      <c r="R494" s="27" t="str">
        <f ca="1">IFERROR(VLOOKUP($L494,Calculation!$H$6:$S$1005,HLOOKUP(R$2,Calculation!$M$4:$S$5,2,FALSE)+5,FALSE),"")</f>
        <v/>
      </c>
      <c r="S494" s="4" t="str">
        <f ca="1">IFERROR(VLOOKUP($L494,Calculation!$H$6:$S$1005,HLOOKUP(S$2,Calculation!$M$4:$S$5,2,FALSE)+5,FALSE),"")</f>
        <v/>
      </c>
      <c r="T494" s="29"/>
      <c r="U494" s="43" t="str">
        <f>IFERROR(VLOOKUP(T494,Calculation!$U$6:$V$11,2,FALSE),"")</f>
        <v/>
      </c>
    </row>
    <row r="495" spans="1:21" ht="14.25" customHeight="1" x14ac:dyDescent="0.3">
      <c r="A495" s="26" t="str">
        <f ca="1">IF(Calculation!T498&lt;=Calculation!$H$4,Calculation!T498,"")</f>
        <v/>
      </c>
      <c r="B495" s="4" t="str">
        <f ca="1">VLOOKUP(A495,Calculation!$E$6:$J$1004,4,FALSE)</f>
        <v/>
      </c>
      <c r="C495" s="4" t="str">
        <f ca="1">VLOOKUP(A495,Calculation!$E$6:$J$1004,5,FALSE)</f>
        <v/>
      </c>
      <c r="D495" s="4" t="str">
        <f ca="1">VLOOKUP(A495,Calculation!$E$6:$J$1004,6,FALSE)</f>
        <v/>
      </c>
      <c r="E495" s="42" t="str">
        <f t="shared" ca="1" si="2"/>
        <v/>
      </c>
      <c r="G495" s="29" t="str">
        <f ca="1">VLOOKUP(A495,Calculation!$F$6:$J$1004,3,FALSE)</f>
        <v/>
      </c>
      <c r="H495" s="4" t="str">
        <f ca="1">VLOOKUP(A495,Calculation!$F$6:$J$1004,4,FALSE)</f>
        <v/>
      </c>
      <c r="I495" s="4" t="str">
        <f ca="1">VLOOKUP(A495,Calculation!$F$6:$J$1004,5,FALSE)</f>
        <v/>
      </c>
      <c r="J495" s="43" t="str">
        <f t="shared" ca="1" si="3"/>
        <v/>
      </c>
      <c r="L495" s="29" t="str">
        <f ca="1">VLOOKUP(A495,Calculation!$G$6:$S$1004,2,FALSE)</f>
        <v/>
      </c>
      <c r="M495" s="4" t="str">
        <f ca="1">IFERROR(VLOOKUP($L495,Calculation!$H$6:$S$1005,HLOOKUP(M$2,Calculation!$M$4:$S$5,2,FALSE)+5,FALSE),"")</f>
        <v/>
      </c>
      <c r="N495" s="4" t="str">
        <f ca="1">IFERROR(VLOOKUP($L495,Calculation!$H$6:$S$1005,HLOOKUP(N$2,Calculation!$M$4:$S$5,2,FALSE)+5,FALSE),"")</f>
        <v/>
      </c>
      <c r="O495" s="4" t="str">
        <f ca="1">IFERROR(VLOOKUP($L495,Calculation!$H$6:$S$1005,HLOOKUP(O$2,Calculation!$M$4:$S$5,2,FALSE)+5,FALSE),"")</f>
        <v/>
      </c>
      <c r="P495" s="4" t="str">
        <f ca="1">IFERROR(VLOOKUP($L495,Calculation!$H$6:$S$1005,HLOOKUP(P$2,Calculation!$M$4:$S$5,2,FALSE)+5,FALSE),"")</f>
        <v/>
      </c>
      <c r="Q495" s="4" t="str">
        <f ca="1">IFERROR(VLOOKUP($L495,Calculation!$H$6:$S$1005,HLOOKUP(Q$2,Calculation!$M$4:$S$5,2,FALSE)+5,FALSE),"")</f>
        <v/>
      </c>
      <c r="R495" s="27" t="str">
        <f ca="1">IFERROR(VLOOKUP($L495,Calculation!$H$6:$S$1005,HLOOKUP(R$2,Calculation!$M$4:$S$5,2,FALSE)+5,FALSE),"")</f>
        <v/>
      </c>
      <c r="S495" s="4" t="str">
        <f ca="1">IFERROR(VLOOKUP($L495,Calculation!$H$6:$S$1005,HLOOKUP(S$2,Calculation!$M$4:$S$5,2,FALSE)+5,FALSE),"")</f>
        <v/>
      </c>
      <c r="T495" s="29"/>
      <c r="U495" s="43" t="str">
        <f>IFERROR(VLOOKUP(T495,Calculation!$U$6:$V$11,2,FALSE),"")</f>
        <v/>
      </c>
    </row>
    <row r="496" spans="1:21" ht="14.25" customHeight="1" x14ac:dyDescent="0.3">
      <c r="A496" s="26" t="str">
        <f ca="1">IF(Calculation!T499&lt;=Calculation!$H$4,Calculation!T499,"")</f>
        <v/>
      </c>
      <c r="B496" s="4" t="str">
        <f ca="1">VLOOKUP(A496,Calculation!$E$6:$J$1004,4,FALSE)</f>
        <v/>
      </c>
      <c r="C496" s="4" t="str">
        <f ca="1">VLOOKUP(A496,Calculation!$E$6:$J$1004,5,FALSE)</f>
        <v/>
      </c>
      <c r="D496" s="4" t="str">
        <f ca="1">VLOOKUP(A496,Calculation!$E$6:$J$1004,6,FALSE)</f>
        <v/>
      </c>
      <c r="E496" s="42" t="str">
        <f t="shared" ca="1" si="2"/>
        <v/>
      </c>
      <c r="G496" s="29" t="str">
        <f ca="1">VLOOKUP(A496,Calculation!$F$6:$J$1004,3,FALSE)</f>
        <v/>
      </c>
      <c r="H496" s="4" t="str">
        <f ca="1">VLOOKUP(A496,Calculation!$F$6:$J$1004,4,FALSE)</f>
        <v/>
      </c>
      <c r="I496" s="4" t="str">
        <f ca="1">VLOOKUP(A496,Calculation!$F$6:$J$1004,5,FALSE)</f>
        <v/>
      </c>
      <c r="J496" s="43" t="str">
        <f t="shared" ca="1" si="3"/>
        <v/>
      </c>
      <c r="L496" s="29" t="str">
        <f ca="1">VLOOKUP(A496,Calculation!$G$6:$S$1004,2,FALSE)</f>
        <v/>
      </c>
      <c r="M496" s="4" t="str">
        <f ca="1">IFERROR(VLOOKUP($L496,Calculation!$H$6:$S$1005,HLOOKUP(M$2,Calculation!$M$4:$S$5,2,FALSE)+5,FALSE),"")</f>
        <v/>
      </c>
      <c r="N496" s="4" t="str">
        <f ca="1">IFERROR(VLOOKUP($L496,Calculation!$H$6:$S$1005,HLOOKUP(N$2,Calculation!$M$4:$S$5,2,FALSE)+5,FALSE),"")</f>
        <v/>
      </c>
      <c r="O496" s="4" t="str">
        <f ca="1">IFERROR(VLOOKUP($L496,Calculation!$H$6:$S$1005,HLOOKUP(O$2,Calculation!$M$4:$S$5,2,FALSE)+5,FALSE),"")</f>
        <v/>
      </c>
      <c r="P496" s="4" t="str">
        <f ca="1">IFERROR(VLOOKUP($L496,Calculation!$H$6:$S$1005,HLOOKUP(P$2,Calculation!$M$4:$S$5,2,FALSE)+5,FALSE),"")</f>
        <v/>
      </c>
      <c r="Q496" s="4" t="str">
        <f ca="1">IFERROR(VLOOKUP($L496,Calculation!$H$6:$S$1005,HLOOKUP(Q$2,Calculation!$M$4:$S$5,2,FALSE)+5,FALSE),"")</f>
        <v/>
      </c>
      <c r="R496" s="27" t="str">
        <f ca="1">IFERROR(VLOOKUP($L496,Calculation!$H$6:$S$1005,HLOOKUP(R$2,Calculation!$M$4:$S$5,2,FALSE)+5,FALSE),"")</f>
        <v/>
      </c>
      <c r="S496" s="4" t="str">
        <f ca="1">IFERROR(VLOOKUP($L496,Calculation!$H$6:$S$1005,HLOOKUP(S$2,Calculation!$M$4:$S$5,2,FALSE)+5,FALSE),"")</f>
        <v/>
      </c>
      <c r="T496" s="29"/>
      <c r="U496" s="43" t="str">
        <f>IFERROR(VLOOKUP(T496,Calculation!$U$6:$V$11,2,FALSE),"")</f>
        <v/>
      </c>
    </row>
    <row r="497" spans="1:21" ht="14.25" customHeight="1" x14ac:dyDescent="0.3">
      <c r="A497" s="26" t="str">
        <f ca="1">IF(Calculation!T500&lt;=Calculation!$H$4,Calculation!T500,"")</f>
        <v/>
      </c>
      <c r="B497" s="4" t="str">
        <f ca="1">VLOOKUP(A497,Calculation!$E$6:$J$1004,4,FALSE)</f>
        <v/>
      </c>
      <c r="C497" s="4" t="str">
        <f ca="1">VLOOKUP(A497,Calculation!$E$6:$J$1004,5,FALSE)</f>
        <v/>
      </c>
      <c r="D497" s="4" t="str">
        <f ca="1">VLOOKUP(A497,Calculation!$E$6:$J$1004,6,FALSE)</f>
        <v/>
      </c>
      <c r="E497" s="42" t="str">
        <f t="shared" ca="1" si="2"/>
        <v/>
      </c>
      <c r="G497" s="29" t="str">
        <f ca="1">VLOOKUP(A497,Calculation!$F$6:$J$1004,3,FALSE)</f>
        <v/>
      </c>
      <c r="H497" s="4" t="str">
        <f ca="1">VLOOKUP(A497,Calculation!$F$6:$J$1004,4,FALSE)</f>
        <v/>
      </c>
      <c r="I497" s="4" t="str">
        <f ca="1">VLOOKUP(A497,Calculation!$F$6:$J$1004,5,FALSE)</f>
        <v/>
      </c>
      <c r="J497" s="43" t="str">
        <f t="shared" ca="1" si="3"/>
        <v/>
      </c>
      <c r="L497" s="29" t="str">
        <f ca="1">VLOOKUP(A497,Calculation!$G$6:$S$1004,2,FALSE)</f>
        <v/>
      </c>
      <c r="M497" s="4" t="str">
        <f ca="1">IFERROR(VLOOKUP($L497,Calculation!$H$6:$S$1005,HLOOKUP(M$2,Calculation!$M$4:$S$5,2,FALSE)+5,FALSE),"")</f>
        <v/>
      </c>
      <c r="N497" s="4" t="str">
        <f ca="1">IFERROR(VLOOKUP($L497,Calculation!$H$6:$S$1005,HLOOKUP(N$2,Calculation!$M$4:$S$5,2,FALSE)+5,FALSE),"")</f>
        <v/>
      </c>
      <c r="O497" s="4" t="str">
        <f ca="1">IFERROR(VLOOKUP($L497,Calculation!$H$6:$S$1005,HLOOKUP(O$2,Calculation!$M$4:$S$5,2,FALSE)+5,FALSE),"")</f>
        <v/>
      </c>
      <c r="P497" s="4" t="str">
        <f ca="1">IFERROR(VLOOKUP($L497,Calculation!$H$6:$S$1005,HLOOKUP(P$2,Calculation!$M$4:$S$5,2,FALSE)+5,FALSE),"")</f>
        <v/>
      </c>
      <c r="Q497" s="4" t="str">
        <f ca="1">IFERROR(VLOOKUP($L497,Calculation!$H$6:$S$1005,HLOOKUP(Q$2,Calculation!$M$4:$S$5,2,FALSE)+5,FALSE),"")</f>
        <v/>
      </c>
      <c r="R497" s="27" t="str">
        <f ca="1">IFERROR(VLOOKUP($L497,Calculation!$H$6:$S$1005,HLOOKUP(R$2,Calculation!$M$4:$S$5,2,FALSE)+5,FALSE),"")</f>
        <v/>
      </c>
      <c r="S497" s="4" t="str">
        <f ca="1">IFERROR(VLOOKUP($L497,Calculation!$H$6:$S$1005,HLOOKUP(S$2,Calculation!$M$4:$S$5,2,FALSE)+5,FALSE),"")</f>
        <v/>
      </c>
      <c r="T497" s="29"/>
      <c r="U497" s="43" t="str">
        <f>IFERROR(VLOOKUP(T497,Calculation!$U$6:$V$11,2,FALSE),"")</f>
        <v/>
      </c>
    </row>
    <row r="498" spans="1:21" ht="14.25" customHeight="1" x14ac:dyDescent="0.3">
      <c r="A498" s="26" t="str">
        <f ca="1">IF(Calculation!T501&lt;=Calculation!$H$4,Calculation!T501,"")</f>
        <v/>
      </c>
      <c r="B498" s="4" t="str">
        <f ca="1">VLOOKUP(A498,Calculation!$E$6:$J$1004,4,FALSE)</f>
        <v/>
      </c>
      <c r="C498" s="4" t="str">
        <f ca="1">VLOOKUP(A498,Calculation!$E$6:$J$1004,5,FALSE)</f>
        <v/>
      </c>
      <c r="D498" s="4" t="str">
        <f ca="1">VLOOKUP(A498,Calculation!$E$6:$J$1004,6,FALSE)</f>
        <v/>
      </c>
      <c r="E498" s="42" t="str">
        <f t="shared" ca="1" si="2"/>
        <v/>
      </c>
      <c r="G498" s="29" t="str">
        <f ca="1">VLOOKUP(A498,Calculation!$F$6:$J$1004,3,FALSE)</f>
        <v/>
      </c>
      <c r="H498" s="4" t="str">
        <f ca="1">VLOOKUP(A498,Calculation!$F$6:$J$1004,4,FALSE)</f>
        <v/>
      </c>
      <c r="I498" s="4" t="str">
        <f ca="1">VLOOKUP(A498,Calculation!$F$6:$J$1004,5,FALSE)</f>
        <v/>
      </c>
      <c r="J498" s="43" t="str">
        <f t="shared" ca="1" si="3"/>
        <v/>
      </c>
      <c r="L498" s="29" t="str">
        <f ca="1">VLOOKUP(A498,Calculation!$G$6:$S$1004,2,FALSE)</f>
        <v/>
      </c>
      <c r="M498" s="4" t="str">
        <f ca="1">IFERROR(VLOOKUP($L498,Calculation!$H$6:$S$1005,HLOOKUP(M$2,Calculation!$M$4:$S$5,2,FALSE)+5,FALSE),"")</f>
        <v/>
      </c>
      <c r="N498" s="4" t="str">
        <f ca="1">IFERROR(VLOOKUP($L498,Calculation!$H$6:$S$1005,HLOOKUP(N$2,Calculation!$M$4:$S$5,2,FALSE)+5,FALSE),"")</f>
        <v/>
      </c>
      <c r="O498" s="4" t="str">
        <f ca="1">IFERROR(VLOOKUP($L498,Calculation!$H$6:$S$1005,HLOOKUP(O$2,Calculation!$M$4:$S$5,2,FALSE)+5,FALSE),"")</f>
        <v/>
      </c>
      <c r="P498" s="4" t="str">
        <f ca="1">IFERROR(VLOOKUP($L498,Calculation!$H$6:$S$1005,HLOOKUP(P$2,Calculation!$M$4:$S$5,2,FALSE)+5,FALSE),"")</f>
        <v/>
      </c>
      <c r="Q498" s="4" t="str">
        <f ca="1">IFERROR(VLOOKUP($L498,Calculation!$H$6:$S$1005,HLOOKUP(Q$2,Calculation!$M$4:$S$5,2,FALSE)+5,FALSE),"")</f>
        <v/>
      </c>
      <c r="R498" s="27" t="str">
        <f ca="1">IFERROR(VLOOKUP($L498,Calculation!$H$6:$S$1005,HLOOKUP(R$2,Calculation!$M$4:$S$5,2,FALSE)+5,FALSE),"")</f>
        <v/>
      </c>
      <c r="S498" s="4" t="str">
        <f ca="1">IFERROR(VLOOKUP($L498,Calculation!$H$6:$S$1005,HLOOKUP(S$2,Calculation!$M$4:$S$5,2,FALSE)+5,FALSE),"")</f>
        <v/>
      </c>
      <c r="T498" s="29"/>
      <c r="U498" s="43" t="str">
        <f>IFERROR(VLOOKUP(T498,Calculation!$U$6:$V$11,2,FALSE),"")</f>
        <v/>
      </c>
    </row>
    <row r="499" spans="1:21" ht="14.25" customHeight="1" x14ac:dyDescent="0.3">
      <c r="A499" s="26" t="str">
        <f ca="1">IF(Calculation!T502&lt;=Calculation!$H$4,Calculation!T502,"")</f>
        <v/>
      </c>
      <c r="B499" s="4" t="str">
        <f ca="1">VLOOKUP(A499,Calculation!$E$6:$J$1004,4,FALSE)</f>
        <v/>
      </c>
      <c r="C499" s="4" t="str">
        <f ca="1">VLOOKUP(A499,Calculation!$E$6:$J$1004,5,FALSE)</f>
        <v/>
      </c>
      <c r="D499" s="4" t="str">
        <f ca="1">VLOOKUP(A499,Calculation!$E$6:$J$1004,6,FALSE)</f>
        <v/>
      </c>
      <c r="E499" s="42" t="str">
        <f t="shared" ca="1" si="2"/>
        <v/>
      </c>
      <c r="G499" s="29" t="str">
        <f ca="1">VLOOKUP(A499,Calculation!$F$6:$J$1004,3,FALSE)</f>
        <v/>
      </c>
      <c r="H499" s="4" t="str">
        <f ca="1">VLOOKUP(A499,Calculation!$F$6:$J$1004,4,FALSE)</f>
        <v/>
      </c>
      <c r="I499" s="4" t="str">
        <f ca="1">VLOOKUP(A499,Calculation!$F$6:$J$1004,5,FALSE)</f>
        <v/>
      </c>
      <c r="J499" s="43" t="str">
        <f t="shared" ca="1" si="3"/>
        <v/>
      </c>
      <c r="L499" s="29" t="str">
        <f ca="1">VLOOKUP(A499,Calculation!$G$6:$S$1004,2,FALSE)</f>
        <v/>
      </c>
      <c r="M499" s="4" t="str">
        <f ca="1">IFERROR(VLOOKUP($L499,Calculation!$H$6:$S$1005,HLOOKUP(M$2,Calculation!$M$4:$S$5,2,FALSE)+5,FALSE),"")</f>
        <v/>
      </c>
      <c r="N499" s="4" t="str">
        <f ca="1">IFERROR(VLOOKUP($L499,Calculation!$H$6:$S$1005,HLOOKUP(N$2,Calculation!$M$4:$S$5,2,FALSE)+5,FALSE),"")</f>
        <v/>
      </c>
      <c r="O499" s="4" t="str">
        <f ca="1">IFERROR(VLOOKUP($L499,Calculation!$H$6:$S$1005,HLOOKUP(O$2,Calculation!$M$4:$S$5,2,FALSE)+5,FALSE),"")</f>
        <v/>
      </c>
      <c r="P499" s="4" t="str">
        <f ca="1">IFERROR(VLOOKUP($L499,Calculation!$H$6:$S$1005,HLOOKUP(P$2,Calculation!$M$4:$S$5,2,FALSE)+5,FALSE),"")</f>
        <v/>
      </c>
      <c r="Q499" s="4" t="str">
        <f ca="1">IFERROR(VLOOKUP($L499,Calculation!$H$6:$S$1005,HLOOKUP(Q$2,Calculation!$M$4:$S$5,2,FALSE)+5,FALSE),"")</f>
        <v/>
      </c>
      <c r="R499" s="27" t="str">
        <f ca="1">IFERROR(VLOOKUP($L499,Calculation!$H$6:$S$1005,HLOOKUP(R$2,Calculation!$M$4:$S$5,2,FALSE)+5,FALSE),"")</f>
        <v/>
      </c>
      <c r="S499" s="4" t="str">
        <f ca="1">IFERROR(VLOOKUP($L499,Calculation!$H$6:$S$1005,HLOOKUP(S$2,Calculation!$M$4:$S$5,2,FALSE)+5,FALSE),"")</f>
        <v/>
      </c>
      <c r="T499" s="29"/>
      <c r="U499" s="43" t="str">
        <f>IFERROR(VLOOKUP(T499,Calculation!$U$6:$V$11,2,FALSE),"")</f>
        <v/>
      </c>
    </row>
    <row r="500" spans="1:21" ht="14.25" customHeight="1" x14ac:dyDescent="0.3">
      <c r="A500" s="26" t="str">
        <f ca="1">IF(Calculation!T503&lt;=Calculation!$H$4,Calculation!T503,"")</f>
        <v/>
      </c>
      <c r="B500" s="4" t="str">
        <f ca="1">VLOOKUP(A500,Calculation!$E$6:$J$1004,4,FALSE)</f>
        <v/>
      </c>
      <c r="C500" s="4" t="str">
        <f ca="1">VLOOKUP(A500,Calculation!$E$6:$J$1004,5,FALSE)</f>
        <v/>
      </c>
      <c r="D500" s="4" t="str">
        <f ca="1">VLOOKUP(A500,Calculation!$E$6:$J$1004,6,FALSE)</f>
        <v/>
      </c>
      <c r="E500" s="42" t="str">
        <f t="shared" ca="1" si="2"/>
        <v/>
      </c>
      <c r="G500" s="29" t="str">
        <f ca="1">VLOOKUP(A500,Calculation!$F$6:$J$1004,3,FALSE)</f>
        <v/>
      </c>
      <c r="H500" s="4" t="str">
        <f ca="1">VLOOKUP(A500,Calculation!$F$6:$J$1004,4,FALSE)</f>
        <v/>
      </c>
      <c r="I500" s="4" t="str">
        <f ca="1">VLOOKUP(A500,Calculation!$F$6:$J$1004,5,FALSE)</f>
        <v/>
      </c>
      <c r="J500" s="43" t="str">
        <f t="shared" ca="1" si="3"/>
        <v/>
      </c>
      <c r="L500" s="29" t="str">
        <f ca="1">VLOOKUP(A500,Calculation!$G$6:$S$1004,2,FALSE)</f>
        <v/>
      </c>
      <c r="M500" s="4" t="str">
        <f ca="1">IFERROR(VLOOKUP($L500,Calculation!$H$6:$S$1005,HLOOKUP(M$2,Calculation!$M$4:$S$5,2,FALSE)+5,FALSE),"")</f>
        <v/>
      </c>
      <c r="N500" s="4" t="str">
        <f ca="1">IFERROR(VLOOKUP($L500,Calculation!$H$6:$S$1005,HLOOKUP(N$2,Calculation!$M$4:$S$5,2,FALSE)+5,FALSE),"")</f>
        <v/>
      </c>
      <c r="O500" s="4" t="str">
        <f ca="1">IFERROR(VLOOKUP($L500,Calculation!$H$6:$S$1005,HLOOKUP(O$2,Calculation!$M$4:$S$5,2,FALSE)+5,FALSE),"")</f>
        <v/>
      </c>
      <c r="P500" s="4" t="str">
        <f ca="1">IFERROR(VLOOKUP($L500,Calculation!$H$6:$S$1005,HLOOKUP(P$2,Calculation!$M$4:$S$5,2,FALSE)+5,FALSE),"")</f>
        <v/>
      </c>
      <c r="Q500" s="4" t="str">
        <f ca="1">IFERROR(VLOOKUP($L500,Calculation!$H$6:$S$1005,HLOOKUP(Q$2,Calculation!$M$4:$S$5,2,FALSE)+5,FALSE),"")</f>
        <v/>
      </c>
      <c r="R500" s="27" t="str">
        <f ca="1">IFERROR(VLOOKUP($L500,Calculation!$H$6:$S$1005,HLOOKUP(R$2,Calculation!$M$4:$S$5,2,FALSE)+5,FALSE),"")</f>
        <v/>
      </c>
      <c r="S500" s="4" t="str">
        <f ca="1">IFERROR(VLOOKUP($L500,Calculation!$H$6:$S$1005,HLOOKUP(S$2,Calculation!$M$4:$S$5,2,FALSE)+5,FALSE),"")</f>
        <v/>
      </c>
      <c r="T500" s="29"/>
      <c r="U500" s="43" t="str">
        <f>IFERROR(VLOOKUP(T500,Calculation!$U$6:$V$11,2,FALSE),"")</f>
        <v/>
      </c>
    </row>
    <row r="501" spans="1:21" ht="14.25" customHeight="1" x14ac:dyDescent="0.3">
      <c r="A501" s="26" t="str">
        <f ca="1">IF(Calculation!T504&lt;=Calculation!$H$4,Calculation!T504,"")</f>
        <v/>
      </c>
      <c r="B501" s="4" t="str">
        <f ca="1">VLOOKUP(A501,Calculation!$E$6:$J$1004,4,FALSE)</f>
        <v/>
      </c>
      <c r="C501" s="4" t="str">
        <f ca="1">VLOOKUP(A501,Calculation!$E$6:$J$1004,5,FALSE)</f>
        <v/>
      </c>
      <c r="D501" s="4" t="str">
        <f ca="1">VLOOKUP(A501,Calculation!$E$6:$J$1004,6,FALSE)</f>
        <v/>
      </c>
      <c r="E501" s="42" t="str">
        <f t="shared" ca="1" si="2"/>
        <v/>
      </c>
      <c r="G501" s="29" t="str">
        <f ca="1">VLOOKUP(A501,Calculation!$F$6:$J$1004,3,FALSE)</f>
        <v/>
      </c>
      <c r="H501" s="4" t="str">
        <f ca="1">VLOOKUP(A501,Calculation!$F$6:$J$1004,4,FALSE)</f>
        <v/>
      </c>
      <c r="I501" s="4" t="str">
        <f ca="1">VLOOKUP(A501,Calculation!$F$6:$J$1004,5,FALSE)</f>
        <v/>
      </c>
      <c r="J501" s="43" t="str">
        <f t="shared" ca="1" si="3"/>
        <v/>
      </c>
      <c r="L501" s="29" t="str">
        <f ca="1">VLOOKUP(A501,Calculation!$G$6:$S$1004,2,FALSE)</f>
        <v/>
      </c>
      <c r="M501" s="4" t="str">
        <f ca="1">IFERROR(VLOOKUP($L501,Calculation!$H$6:$S$1005,HLOOKUP(M$2,Calculation!$M$4:$S$5,2,FALSE)+5,FALSE),"")</f>
        <v/>
      </c>
      <c r="N501" s="4" t="str">
        <f ca="1">IFERROR(VLOOKUP($L501,Calculation!$H$6:$S$1005,HLOOKUP(N$2,Calculation!$M$4:$S$5,2,FALSE)+5,FALSE),"")</f>
        <v/>
      </c>
      <c r="O501" s="4" t="str">
        <f ca="1">IFERROR(VLOOKUP($L501,Calculation!$H$6:$S$1005,HLOOKUP(O$2,Calculation!$M$4:$S$5,2,FALSE)+5,FALSE),"")</f>
        <v/>
      </c>
      <c r="P501" s="4" t="str">
        <f ca="1">IFERROR(VLOOKUP($L501,Calculation!$H$6:$S$1005,HLOOKUP(P$2,Calculation!$M$4:$S$5,2,FALSE)+5,FALSE),"")</f>
        <v/>
      </c>
      <c r="Q501" s="4" t="str">
        <f ca="1">IFERROR(VLOOKUP($L501,Calculation!$H$6:$S$1005,HLOOKUP(Q$2,Calculation!$M$4:$S$5,2,FALSE)+5,FALSE),"")</f>
        <v/>
      </c>
      <c r="R501" s="27" t="str">
        <f ca="1">IFERROR(VLOOKUP($L501,Calculation!$H$6:$S$1005,HLOOKUP(R$2,Calculation!$M$4:$S$5,2,FALSE)+5,FALSE),"")</f>
        <v/>
      </c>
      <c r="S501" s="4" t="str">
        <f ca="1">IFERROR(VLOOKUP($L501,Calculation!$H$6:$S$1005,HLOOKUP(S$2,Calculation!$M$4:$S$5,2,FALSE)+5,FALSE),"")</f>
        <v/>
      </c>
      <c r="T501" s="29"/>
      <c r="U501" s="43" t="str">
        <f>IFERROR(VLOOKUP(T501,Calculation!$U$6:$V$11,2,FALSE),"")</f>
        <v/>
      </c>
    </row>
    <row r="502" spans="1:21" ht="14.25" customHeight="1" x14ac:dyDescent="0.3">
      <c r="A502" s="26" t="str">
        <f ca="1">IF(Calculation!T505&lt;=Calculation!$H$4,Calculation!T505,"")</f>
        <v/>
      </c>
      <c r="B502" s="4" t="str">
        <f ca="1">VLOOKUP(A502,Calculation!$E$6:$J$1004,4,FALSE)</f>
        <v/>
      </c>
      <c r="C502" s="4" t="str">
        <f ca="1">VLOOKUP(A502,Calculation!$E$6:$J$1004,5,FALSE)</f>
        <v/>
      </c>
      <c r="D502" s="4" t="str">
        <f ca="1">VLOOKUP(A502,Calculation!$E$6:$J$1004,6,FALSE)</f>
        <v/>
      </c>
      <c r="E502" s="42" t="str">
        <f t="shared" ca="1" si="2"/>
        <v/>
      </c>
      <c r="G502" s="29" t="str">
        <f ca="1">VLOOKUP(A502,Calculation!$F$6:$J$1004,3,FALSE)</f>
        <v/>
      </c>
      <c r="H502" s="4" t="str">
        <f ca="1">VLOOKUP(A502,Calculation!$F$6:$J$1004,4,FALSE)</f>
        <v/>
      </c>
      <c r="I502" s="4" t="str">
        <f ca="1">VLOOKUP(A502,Calculation!$F$6:$J$1004,5,FALSE)</f>
        <v/>
      </c>
      <c r="J502" s="43" t="str">
        <f t="shared" ca="1" si="3"/>
        <v/>
      </c>
      <c r="L502" s="29" t="str">
        <f ca="1">VLOOKUP(A502,Calculation!$G$6:$S$1004,2,FALSE)</f>
        <v/>
      </c>
      <c r="M502" s="4" t="str">
        <f ca="1">IFERROR(VLOOKUP($L502,Calculation!$H$6:$S$1005,HLOOKUP(M$2,Calculation!$M$4:$S$5,2,FALSE)+5,FALSE),"")</f>
        <v/>
      </c>
      <c r="N502" s="4" t="str">
        <f ca="1">IFERROR(VLOOKUP($L502,Calculation!$H$6:$S$1005,HLOOKUP(N$2,Calculation!$M$4:$S$5,2,FALSE)+5,FALSE),"")</f>
        <v/>
      </c>
      <c r="O502" s="4" t="str">
        <f ca="1">IFERROR(VLOOKUP($L502,Calculation!$H$6:$S$1005,HLOOKUP(O$2,Calculation!$M$4:$S$5,2,FALSE)+5,FALSE),"")</f>
        <v/>
      </c>
      <c r="P502" s="4" t="str">
        <f ca="1">IFERROR(VLOOKUP($L502,Calculation!$H$6:$S$1005,HLOOKUP(P$2,Calculation!$M$4:$S$5,2,FALSE)+5,FALSE),"")</f>
        <v/>
      </c>
      <c r="Q502" s="4" t="str">
        <f ca="1">IFERROR(VLOOKUP($L502,Calculation!$H$6:$S$1005,HLOOKUP(Q$2,Calculation!$M$4:$S$5,2,FALSE)+5,FALSE),"")</f>
        <v/>
      </c>
      <c r="R502" s="27" t="str">
        <f ca="1">IFERROR(VLOOKUP($L502,Calculation!$H$6:$S$1005,HLOOKUP(R$2,Calculation!$M$4:$S$5,2,FALSE)+5,FALSE),"")</f>
        <v/>
      </c>
      <c r="S502" s="4" t="str">
        <f ca="1">IFERROR(VLOOKUP($L502,Calculation!$H$6:$S$1005,HLOOKUP(S$2,Calculation!$M$4:$S$5,2,FALSE)+5,FALSE),"")</f>
        <v/>
      </c>
      <c r="T502" s="29"/>
      <c r="U502" s="43" t="str">
        <f>IFERROR(VLOOKUP(T502,Calculation!$U$6:$V$11,2,FALSE),"")</f>
        <v/>
      </c>
    </row>
    <row r="503" spans="1:21" ht="14.25" customHeight="1" x14ac:dyDescent="0.3">
      <c r="A503" s="26" t="str">
        <f ca="1">IF(Calculation!T506&lt;=Calculation!$H$4,Calculation!T506,"")</f>
        <v/>
      </c>
      <c r="B503" s="4" t="str">
        <f ca="1">VLOOKUP(A503,Calculation!$E$6:$J$1004,4,FALSE)</f>
        <v/>
      </c>
      <c r="C503" s="4" t="str">
        <f ca="1">VLOOKUP(A503,Calculation!$E$6:$J$1004,5,FALSE)</f>
        <v/>
      </c>
      <c r="D503" s="4" t="str">
        <f ca="1">VLOOKUP(A503,Calculation!$E$6:$J$1004,6,FALSE)</f>
        <v/>
      </c>
      <c r="E503" s="42" t="str">
        <f t="shared" ca="1" si="2"/>
        <v/>
      </c>
      <c r="G503" s="29" t="str">
        <f ca="1">VLOOKUP(A503,Calculation!$F$6:$J$1004,3,FALSE)</f>
        <v/>
      </c>
      <c r="H503" s="4" t="str">
        <f ca="1">VLOOKUP(A503,Calculation!$F$6:$J$1004,4,FALSE)</f>
        <v/>
      </c>
      <c r="I503" s="4" t="str">
        <f ca="1">VLOOKUP(A503,Calculation!$F$6:$J$1004,5,FALSE)</f>
        <v/>
      </c>
      <c r="J503" s="43" t="str">
        <f t="shared" ca="1" si="3"/>
        <v/>
      </c>
      <c r="L503" s="29" t="str">
        <f ca="1">VLOOKUP(A503,Calculation!$G$6:$S$1004,2,FALSE)</f>
        <v/>
      </c>
      <c r="M503" s="4" t="str">
        <f ca="1">IFERROR(VLOOKUP($L503,Calculation!$H$6:$S$1005,HLOOKUP(M$2,Calculation!$M$4:$S$5,2,FALSE)+5,FALSE),"")</f>
        <v/>
      </c>
      <c r="N503" s="4" t="str">
        <f ca="1">IFERROR(VLOOKUP($L503,Calculation!$H$6:$S$1005,HLOOKUP(N$2,Calculation!$M$4:$S$5,2,FALSE)+5,FALSE),"")</f>
        <v/>
      </c>
      <c r="O503" s="4" t="str">
        <f ca="1">IFERROR(VLOOKUP($L503,Calculation!$H$6:$S$1005,HLOOKUP(O$2,Calculation!$M$4:$S$5,2,FALSE)+5,FALSE),"")</f>
        <v/>
      </c>
      <c r="P503" s="4" t="str">
        <f ca="1">IFERROR(VLOOKUP($L503,Calculation!$H$6:$S$1005,HLOOKUP(P$2,Calculation!$M$4:$S$5,2,FALSE)+5,FALSE),"")</f>
        <v/>
      </c>
      <c r="Q503" s="4" t="str">
        <f ca="1">IFERROR(VLOOKUP($L503,Calculation!$H$6:$S$1005,HLOOKUP(Q$2,Calculation!$M$4:$S$5,2,FALSE)+5,FALSE),"")</f>
        <v/>
      </c>
      <c r="R503" s="27" t="str">
        <f ca="1">IFERROR(VLOOKUP($L503,Calculation!$H$6:$S$1005,HLOOKUP(R$2,Calculation!$M$4:$S$5,2,FALSE)+5,FALSE),"")</f>
        <v/>
      </c>
      <c r="S503" s="4" t="str">
        <f ca="1">IFERROR(VLOOKUP($L503,Calculation!$H$6:$S$1005,HLOOKUP(S$2,Calculation!$M$4:$S$5,2,FALSE)+5,FALSE),"")</f>
        <v/>
      </c>
      <c r="T503" s="29"/>
      <c r="U503" s="43" t="str">
        <f>IFERROR(VLOOKUP(T503,Calculation!$U$6:$V$11,2,FALSE),"")</f>
        <v/>
      </c>
    </row>
    <row r="504" spans="1:21" ht="14.25" customHeight="1" x14ac:dyDescent="0.3">
      <c r="A504" s="26" t="str">
        <f ca="1">IF(Calculation!T507&lt;=Calculation!$H$4,Calculation!T507,"")</f>
        <v/>
      </c>
      <c r="B504" s="4" t="str">
        <f ca="1">VLOOKUP(A504,Calculation!$E$6:$J$1004,4,FALSE)</f>
        <v/>
      </c>
      <c r="C504" s="4" t="str">
        <f ca="1">VLOOKUP(A504,Calculation!$E$6:$J$1004,5,FALSE)</f>
        <v/>
      </c>
      <c r="D504" s="4" t="str">
        <f ca="1">VLOOKUP(A504,Calculation!$E$6:$J$1004,6,FALSE)</f>
        <v/>
      </c>
      <c r="E504" s="42" t="str">
        <f t="shared" ca="1" si="2"/>
        <v/>
      </c>
      <c r="G504" s="29" t="str">
        <f ca="1">VLOOKUP(A504,Calculation!$F$6:$J$1004,3,FALSE)</f>
        <v/>
      </c>
      <c r="H504" s="4" t="str">
        <f ca="1">VLOOKUP(A504,Calculation!$F$6:$J$1004,4,FALSE)</f>
        <v/>
      </c>
      <c r="I504" s="4" t="str">
        <f ca="1">VLOOKUP(A504,Calculation!$F$6:$J$1004,5,FALSE)</f>
        <v/>
      </c>
      <c r="J504" s="43" t="str">
        <f t="shared" ca="1" si="3"/>
        <v/>
      </c>
      <c r="L504" s="29" t="str">
        <f ca="1">VLOOKUP(A504,Calculation!$G$6:$S$1004,2,FALSE)</f>
        <v/>
      </c>
      <c r="M504" s="4" t="str">
        <f ca="1">IFERROR(VLOOKUP($L504,Calculation!$H$6:$S$1005,HLOOKUP(M$2,Calculation!$M$4:$S$5,2,FALSE)+5,FALSE),"")</f>
        <v/>
      </c>
      <c r="N504" s="4" t="str">
        <f ca="1">IFERROR(VLOOKUP($L504,Calculation!$H$6:$S$1005,HLOOKUP(N$2,Calculation!$M$4:$S$5,2,FALSE)+5,FALSE),"")</f>
        <v/>
      </c>
      <c r="O504" s="4" t="str">
        <f ca="1">IFERROR(VLOOKUP($L504,Calculation!$H$6:$S$1005,HLOOKUP(O$2,Calculation!$M$4:$S$5,2,FALSE)+5,FALSE),"")</f>
        <v/>
      </c>
      <c r="P504" s="4" t="str">
        <f ca="1">IFERROR(VLOOKUP($L504,Calculation!$H$6:$S$1005,HLOOKUP(P$2,Calculation!$M$4:$S$5,2,FALSE)+5,FALSE),"")</f>
        <v/>
      </c>
      <c r="Q504" s="4" t="str">
        <f ca="1">IFERROR(VLOOKUP($L504,Calculation!$H$6:$S$1005,HLOOKUP(Q$2,Calculation!$M$4:$S$5,2,FALSE)+5,FALSE),"")</f>
        <v/>
      </c>
      <c r="R504" s="27" t="str">
        <f ca="1">IFERROR(VLOOKUP($L504,Calculation!$H$6:$S$1005,HLOOKUP(R$2,Calculation!$M$4:$S$5,2,FALSE)+5,FALSE),"")</f>
        <v/>
      </c>
      <c r="S504" s="4" t="str">
        <f ca="1">IFERROR(VLOOKUP($L504,Calculation!$H$6:$S$1005,HLOOKUP(S$2,Calculation!$M$4:$S$5,2,FALSE)+5,FALSE),"")</f>
        <v/>
      </c>
      <c r="T504" s="29"/>
      <c r="U504" s="43" t="str">
        <f>IFERROR(VLOOKUP(T504,Calculation!$U$6:$V$11,2,FALSE),"")</f>
        <v/>
      </c>
    </row>
    <row r="505" spans="1:21" ht="14.25" customHeight="1" x14ac:dyDescent="0.3">
      <c r="A505" s="26" t="str">
        <f ca="1">IF(Calculation!T508&lt;=Calculation!$H$4,Calculation!T508,"")</f>
        <v/>
      </c>
      <c r="B505" s="4" t="str">
        <f ca="1">VLOOKUP(A505,Calculation!$E$6:$J$1004,4,FALSE)</f>
        <v/>
      </c>
      <c r="C505" s="4" t="str">
        <f ca="1">VLOOKUP(A505,Calculation!$E$6:$J$1004,5,FALSE)</f>
        <v/>
      </c>
      <c r="D505" s="4" t="str">
        <f ca="1">VLOOKUP(A505,Calculation!$E$6:$J$1004,6,FALSE)</f>
        <v/>
      </c>
      <c r="E505" s="42" t="str">
        <f t="shared" ca="1" si="2"/>
        <v/>
      </c>
      <c r="G505" s="29" t="str">
        <f ca="1">VLOOKUP(A505,Calculation!$F$6:$J$1004,3,FALSE)</f>
        <v/>
      </c>
      <c r="H505" s="4" t="str">
        <f ca="1">VLOOKUP(A505,Calculation!$F$6:$J$1004,4,FALSE)</f>
        <v/>
      </c>
      <c r="I505" s="4" t="str">
        <f ca="1">VLOOKUP(A505,Calculation!$F$6:$J$1004,5,FALSE)</f>
        <v/>
      </c>
      <c r="J505" s="43" t="str">
        <f t="shared" ca="1" si="3"/>
        <v/>
      </c>
      <c r="L505" s="29" t="str">
        <f ca="1">VLOOKUP(A505,Calculation!$G$6:$S$1004,2,FALSE)</f>
        <v/>
      </c>
      <c r="M505" s="4" t="str">
        <f ca="1">IFERROR(VLOOKUP($L505,Calculation!$H$6:$S$1005,HLOOKUP(M$2,Calculation!$M$4:$S$5,2,FALSE)+5,FALSE),"")</f>
        <v/>
      </c>
      <c r="N505" s="4" t="str">
        <f ca="1">IFERROR(VLOOKUP($L505,Calculation!$H$6:$S$1005,HLOOKUP(N$2,Calculation!$M$4:$S$5,2,FALSE)+5,FALSE),"")</f>
        <v/>
      </c>
      <c r="O505" s="4" t="str">
        <f ca="1">IFERROR(VLOOKUP($L505,Calculation!$H$6:$S$1005,HLOOKUP(O$2,Calculation!$M$4:$S$5,2,FALSE)+5,FALSE),"")</f>
        <v/>
      </c>
      <c r="P505" s="4" t="str">
        <f ca="1">IFERROR(VLOOKUP($L505,Calculation!$H$6:$S$1005,HLOOKUP(P$2,Calculation!$M$4:$S$5,2,FALSE)+5,FALSE),"")</f>
        <v/>
      </c>
      <c r="Q505" s="4" t="str">
        <f ca="1">IFERROR(VLOOKUP($L505,Calculation!$H$6:$S$1005,HLOOKUP(Q$2,Calculation!$M$4:$S$5,2,FALSE)+5,FALSE),"")</f>
        <v/>
      </c>
      <c r="R505" s="27" t="str">
        <f ca="1">IFERROR(VLOOKUP($L505,Calculation!$H$6:$S$1005,HLOOKUP(R$2,Calculation!$M$4:$S$5,2,FALSE)+5,FALSE),"")</f>
        <v/>
      </c>
      <c r="S505" s="4" t="str">
        <f ca="1">IFERROR(VLOOKUP($L505,Calculation!$H$6:$S$1005,HLOOKUP(S$2,Calculation!$M$4:$S$5,2,FALSE)+5,FALSE),"")</f>
        <v/>
      </c>
      <c r="T505" s="29"/>
      <c r="U505" s="43" t="str">
        <f>IFERROR(VLOOKUP(T505,Calculation!$U$6:$V$11,2,FALSE),"")</f>
        <v/>
      </c>
    </row>
    <row r="506" spans="1:21" ht="14.25" customHeight="1" x14ac:dyDescent="0.3">
      <c r="A506" s="26" t="str">
        <f ca="1">IF(Calculation!T509&lt;=Calculation!$H$4,Calculation!T509,"")</f>
        <v/>
      </c>
      <c r="B506" s="4" t="str">
        <f ca="1">VLOOKUP(A506,Calculation!$E$6:$J$1004,4,FALSE)</f>
        <v/>
      </c>
      <c r="C506" s="4" t="str">
        <f ca="1">VLOOKUP(A506,Calculation!$E$6:$J$1004,5,FALSE)</f>
        <v/>
      </c>
      <c r="D506" s="4" t="str">
        <f ca="1">VLOOKUP(A506,Calculation!$E$6:$J$1004,6,FALSE)</f>
        <v/>
      </c>
      <c r="E506" s="42" t="str">
        <f t="shared" ca="1" si="2"/>
        <v/>
      </c>
      <c r="G506" s="29" t="str">
        <f ca="1">VLOOKUP(A506,Calculation!$F$6:$J$1004,3,FALSE)</f>
        <v/>
      </c>
      <c r="H506" s="4" t="str">
        <f ca="1">VLOOKUP(A506,Calculation!$F$6:$J$1004,4,FALSE)</f>
        <v/>
      </c>
      <c r="I506" s="4" t="str">
        <f ca="1">VLOOKUP(A506,Calculation!$F$6:$J$1004,5,FALSE)</f>
        <v/>
      </c>
      <c r="J506" s="43" t="str">
        <f t="shared" ca="1" si="3"/>
        <v/>
      </c>
      <c r="L506" s="29" t="str">
        <f ca="1">VLOOKUP(A506,Calculation!$G$6:$S$1004,2,FALSE)</f>
        <v/>
      </c>
      <c r="M506" s="4" t="str">
        <f ca="1">IFERROR(VLOOKUP($L506,Calculation!$H$6:$S$1005,HLOOKUP(M$2,Calculation!$M$4:$S$5,2,FALSE)+5,FALSE),"")</f>
        <v/>
      </c>
      <c r="N506" s="4" t="str">
        <f ca="1">IFERROR(VLOOKUP($L506,Calculation!$H$6:$S$1005,HLOOKUP(N$2,Calculation!$M$4:$S$5,2,FALSE)+5,FALSE),"")</f>
        <v/>
      </c>
      <c r="O506" s="4" t="str">
        <f ca="1">IFERROR(VLOOKUP($L506,Calculation!$H$6:$S$1005,HLOOKUP(O$2,Calculation!$M$4:$S$5,2,FALSE)+5,FALSE),"")</f>
        <v/>
      </c>
      <c r="P506" s="4" t="str">
        <f ca="1">IFERROR(VLOOKUP($L506,Calculation!$H$6:$S$1005,HLOOKUP(P$2,Calculation!$M$4:$S$5,2,FALSE)+5,FALSE),"")</f>
        <v/>
      </c>
      <c r="Q506" s="4" t="str">
        <f ca="1">IFERROR(VLOOKUP($L506,Calculation!$H$6:$S$1005,HLOOKUP(Q$2,Calculation!$M$4:$S$5,2,FALSE)+5,FALSE),"")</f>
        <v/>
      </c>
      <c r="R506" s="27" t="str">
        <f ca="1">IFERROR(VLOOKUP($L506,Calculation!$H$6:$S$1005,HLOOKUP(R$2,Calculation!$M$4:$S$5,2,FALSE)+5,FALSE),"")</f>
        <v/>
      </c>
      <c r="S506" s="4" t="str">
        <f ca="1">IFERROR(VLOOKUP($L506,Calculation!$H$6:$S$1005,HLOOKUP(S$2,Calculation!$M$4:$S$5,2,FALSE)+5,FALSE),"")</f>
        <v/>
      </c>
      <c r="T506" s="29"/>
      <c r="U506" s="43" t="str">
        <f>IFERROR(VLOOKUP(T506,Calculation!$U$6:$V$11,2,FALSE),"")</f>
        <v/>
      </c>
    </row>
    <row r="507" spans="1:21" ht="14.25" customHeight="1" x14ac:dyDescent="0.3">
      <c r="A507" s="26" t="str">
        <f ca="1">IF(Calculation!T510&lt;=Calculation!$H$4,Calculation!T510,"")</f>
        <v/>
      </c>
      <c r="B507" s="4" t="str">
        <f ca="1">VLOOKUP(A507,Calculation!$E$6:$J$1004,4,FALSE)</f>
        <v/>
      </c>
      <c r="C507" s="4" t="str">
        <f ca="1">VLOOKUP(A507,Calculation!$E$6:$J$1004,5,FALSE)</f>
        <v/>
      </c>
      <c r="D507" s="4" t="str">
        <f ca="1">VLOOKUP(A507,Calculation!$E$6:$J$1004,6,FALSE)</f>
        <v/>
      </c>
      <c r="E507" s="42" t="str">
        <f t="shared" ca="1" si="2"/>
        <v/>
      </c>
      <c r="G507" s="29" t="str">
        <f ca="1">VLOOKUP(A507,Calculation!$F$6:$J$1004,3,FALSE)</f>
        <v/>
      </c>
      <c r="H507" s="4" t="str">
        <f ca="1">VLOOKUP(A507,Calculation!$F$6:$J$1004,4,FALSE)</f>
        <v/>
      </c>
      <c r="I507" s="4" t="str">
        <f ca="1">VLOOKUP(A507,Calculation!$F$6:$J$1004,5,FALSE)</f>
        <v/>
      </c>
      <c r="J507" s="43" t="str">
        <f t="shared" ca="1" si="3"/>
        <v/>
      </c>
      <c r="L507" s="29" t="str">
        <f ca="1">VLOOKUP(A507,Calculation!$G$6:$S$1004,2,FALSE)</f>
        <v/>
      </c>
      <c r="M507" s="4" t="str">
        <f ca="1">IFERROR(VLOOKUP($L507,Calculation!$H$6:$S$1005,HLOOKUP(M$2,Calculation!$M$4:$S$5,2,FALSE)+5,FALSE),"")</f>
        <v/>
      </c>
      <c r="N507" s="4" t="str">
        <f ca="1">IFERROR(VLOOKUP($L507,Calculation!$H$6:$S$1005,HLOOKUP(N$2,Calculation!$M$4:$S$5,2,FALSE)+5,FALSE),"")</f>
        <v/>
      </c>
      <c r="O507" s="4" t="str">
        <f ca="1">IFERROR(VLOOKUP($L507,Calculation!$H$6:$S$1005,HLOOKUP(O$2,Calculation!$M$4:$S$5,2,FALSE)+5,FALSE),"")</f>
        <v/>
      </c>
      <c r="P507" s="4" t="str">
        <f ca="1">IFERROR(VLOOKUP($L507,Calculation!$H$6:$S$1005,HLOOKUP(P$2,Calculation!$M$4:$S$5,2,FALSE)+5,FALSE),"")</f>
        <v/>
      </c>
      <c r="Q507" s="4" t="str">
        <f ca="1">IFERROR(VLOOKUP($L507,Calculation!$H$6:$S$1005,HLOOKUP(Q$2,Calculation!$M$4:$S$5,2,FALSE)+5,FALSE),"")</f>
        <v/>
      </c>
      <c r="R507" s="27" t="str">
        <f ca="1">IFERROR(VLOOKUP($L507,Calculation!$H$6:$S$1005,HLOOKUP(R$2,Calculation!$M$4:$S$5,2,FALSE)+5,FALSE),"")</f>
        <v/>
      </c>
      <c r="S507" s="4" t="str">
        <f ca="1">IFERROR(VLOOKUP($L507,Calculation!$H$6:$S$1005,HLOOKUP(S$2,Calculation!$M$4:$S$5,2,FALSE)+5,FALSE),"")</f>
        <v/>
      </c>
      <c r="T507" s="29"/>
      <c r="U507" s="43" t="str">
        <f>IFERROR(VLOOKUP(T507,Calculation!$U$6:$V$11,2,FALSE),"")</f>
        <v/>
      </c>
    </row>
    <row r="508" spans="1:21" ht="14.25" customHeight="1" x14ac:dyDescent="0.3">
      <c r="A508" s="26" t="str">
        <f ca="1">IF(Calculation!T511&lt;=Calculation!$H$4,Calculation!T511,"")</f>
        <v/>
      </c>
      <c r="B508" s="4" t="str">
        <f ca="1">VLOOKUP(A508,Calculation!$E$6:$J$1004,4,FALSE)</f>
        <v/>
      </c>
      <c r="C508" s="4" t="str">
        <f ca="1">VLOOKUP(A508,Calculation!$E$6:$J$1004,5,FALSE)</f>
        <v/>
      </c>
      <c r="D508" s="4" t="str">
        <f ca="1">VLOOKUP(A508,Calculation!$E$6:$J$1004,6,FALSE)</f>
        <v/>
      </c>
      <c r="E508" s="42" t="str">
        <f t="shared" ca="1" si="2"/>
        <v/>
      </c>
      <c r="G508" s="29" t="str">
        <f ca="1">VLOOKUP(A508,Calculation!$F$6:$J$1004,3,FALSE)</f>
        <v/>
      </c>
      <c r="H508" s="4" t="str">
        <f ca="1">VLOOKUP(A508,Calculation!$F$6:$J$1004,4,FALSE)</f>
        <v/>
      </c>
      <c r="I508" s="4" t="str">
        <f ca="1">VLOOKUP(A508,Calculation!$F$6:$J$1004,5,FALSE)</f>
        <v/>
      </c>
      <c r="J508" s="43" t="str">
        <f t="shared" ca="1" si="3"/>
        <v/>
      </c>
      <c r="L508" s="29" t="str">
        <f ca="1">VLOOKUP(A508,Calculation!$G$6:$S$1004,2,FALSE)</f>
        <v/>
      </c>
      <c r="M508" s="4" t="str">
        <f ca="1">IFERROR(VLOOKUP($L508,Calculation!$H$6:$S$1005,HLOOKUP(M$2,Calculation!$M$4:$S$5,2,FALSE)+5,FALSE),"")</f>
        <v/>
      </c>
      <c r="N508" s="4" t="str">
        <f ca="1">IFERROR(VLOOKUP($L508,Calculation!$H$6:$S$1005,HLOOKUP(N$2,Calculation!$M$4:$S$5,2,FALSE)+5,FALSE),"")</f>
        <v/>
      </c>
      <c r="O508" s="4" t="str">
        <f ca="1">IFERROR(VLOOKUP($L508,Calculation!$H$6:$S$1005,HLOOKUP(O$2,Calculation!$M$4:$S$5,2,FALSE)+5,FALSE),"")</f>
        <v/>
      </c>
      <c r="P508" s="4" t="str">
        <f ca="1">IFERROR(VLOOKUP($L508,Calculation!$H$6:$S$1005,HLOOKUP(P$2,Calculation!$M$4:$S$5,2,FALSE)+5,FALSE),"")</f>
        <v/>
      </c>
      <c r="Q508" s="4" t="str">
        <f ca="1">IFERROR(VLOOKUP($L508,Calculation!$H$6:$S$1005,HLOOKUP(Q$2,Calculation!$M$4:$S$5,2,FALSE)+5,FALSE),"")</f>
        <v/>
      </c>
      <c r="R508" s="27" t="str">
        <f ca="1">IFERROR(VLOOKUP($L508,Calculation!$H$6:$S$1005,HLOOKUP(R$2,Calculation!$M$4:$S$5,2,FALSE)+5,FALSE),"")</f>
        <v/>
      </c>
      <c r="S508" s="4" t="str">
        <f ca="1">IFERROR(VLOOKUP($L508,Calculation!$H$6:$S$1005,HLOOKUP(S$2,Calculation!$M$4:$S$5,2,FALSE)+5,FALSE),"")</f>
        <v/>
      </c>
      <c r="T508" s="29"/>
      <c r="U508" s="43" t="str">
        <f>IFERROR(VLOOKUP(T508,Calculation!$U$6:$V$11,2,FALSE),"")</f>
        <v/>
      </c>
    </row>
    <row r="509" spans="1:21" ht="14.25" customHeight="1" x14ac:dyDescent="0.3">
      <c r="A509" s="26" t="str">
        <f ca="1">IF(Calculation!T512&lt;=Calculation!$H$4,Calculation!T512,"")</f>
        <v/>
      </c>
      <c r="B509" s="4" t="str">
        <f ca="1">VLOOKUP(A509,Calculation!$E$6:$J$1004,4,FALSE)</f>
        <v/>
      </c>
      <c r="C509" s="4" t="str">
        <f ca="1">VLOOKUP(A509,Calculation!$E$6:$J$1004,5,FALSE)</f>
        <v/>
      </c>
      <c r="D509" s="4" t="str">
        <f ca="1">VLOOKUP(A509,Calculation!$E$6:$J$1004,6,FALSE)</f>
        <v/>
      </c>
      <c r="E509" s="42" t="str">
        <f t="shared" ca="1" si="2"/>
        <v/>
      </c>
      <c r="G509" s="29" t="str">
        <f ca="1">VLOOKUP(A509,Calculation!$F$6:$J$1004,3,FALSE)</f>
        <v/>
      </c>
      <c r="H509" s="4" t="str">
        <f ca="1">VLOOKUP(A509,Calculation!$F$6:$J$1004,4,FALSE)</f>
        <v/>
      </c>
      <c r="I509" s="4" t="str">
        <f ca="1">VLOOKUP(A509,Calculation!$F$6:$J$1004,5,FALSE)</f>
        <v/>
      </c>
      <c r="J509" s="43" t="str">
        <f t="shared" ca="1" si="3"/>
        <v/>
      </c>
      <c r="L509" s="29" t="str">
        <f ca="1">VLOOKUP(A509,Calculation!$G$6:$S$1004,2,FALSE)</f>
        <v/>
      </c>
      <c r="M509" s="4" t="str">
        <f ca="1">IFERROR(VLOOKUP($L509,Calculation!$H$6:$S$1005,HLOOKUP(M$2,Calculation!$M$4:$S$5,2,FALSE)+5,FALSE),"")</f>
        <v/>
      </c>
      <c r="N509" s="4" t="str">
        <f ca="1">IFERROR(VLOOKUP($L509,Calculation!$H$6:$S$1005,HLOOKUP(N$2,Calculation!$M$4:$S$5,2,FALSE)+5,FALSE),"")</f>
        <v/>
      </c>
      <c r="O509" s="4" t="str">
        <f ca="1">IFERROR(VLOOKUP($L509,Calculation!$H$6:$S$1005,HLOOKUP(O$2,Calculation!$M$4:$S$5,2,FALSE)+5,FALSE),"")</f>
        <v/>
      </c>
      <c r="P509" s="4" t="str">
        <f ca="1">IFERROR(VLOOKUP($L509,Calculation!$H$6:$S$1005,HLOOKUP(P$2,Calculation!$M$4:$S$5,2,FALSE)+5,FALSE),"")</f>
        <v/>
      </c>
      <c r="Q509" s="4" t="str">
        <f ca="1">IFERROR(VLOOKUP($L509,Calculation!$H$6:$S$1005,HLOOKUP(Q$2,Calculation!$M$4:$S$5,2,FALSE)+5,FALSE),"")</f>
        <v/>
      </c>
      <c r="R509" s="27" t="str">
        <f ca="1">IFERROR(VLOOKUP($L509,Calculation!$H$6:$S$1005,HLOOKUP(R$2,Calculation!$M$4:$S$5,2,FALSE)+5,FALSE),"")</f>
        <v/>
      </c>
      <c r="S509" s="4" t="str">
        <f ca="1">IFERROR(VLOOKUP($L509,Calculation!$H$6:$S$1005,HLOOKUP(S$2,Calculation!$M$4:$S$5,2,FALSE)+5,FALSE),"")</f>
        <v/>
      </c>
      <c r="T509" s="29"/>
      <c r="U509" s="43" t="str">
        <f>IFERROR(VLOOKUP(T509,Calculation!$U$6:$V$11,2,FALSE),"")</f>
        <v/>
      </c>
    </row>
    <row r="510" spans="1:21" ht="14.25" customHeight="1" x14ac:dyDescent="0.3">
      <c r="A510" s="26" t="str">
        <f ca="1">IF(Calculation!T513&lt;=Calculation!$H$4,Calculation!T513,"")</f>
        <v/>
      </c>
      <c r="B510" s="4" t="str">
        <f ca="1">VLOOKUP(A510,Calculation!$E$6:$J$1004,4,FALSE)</f>
        <v/>
      </c>
      <c r="C510" s="4" t="str">
        <f ca="1">VLOOKUP(A510,Calculation!$E$6:$J$1004,5,FALSE)</f>
        <v/>
      </c>
      <c r="D510" s="4" t="str">
        <f ca="1">VLOOKUP(A510,Calculation!$E$6:$J$1004,6,FALSE)</f>
        <v/>
      </c>
      <c r="E510" s="42" t="str">
        <f t="shared" ca="1" si="2"/>
        <v/>
      </c>
      <c r="G510" s="29" t="str">
        <f ca="1">VLOOKUP(A510,Calculation!$F$6:$J$1004,3,FALSE)</f>
        <v/>
      </c>
      <c r="H510" s="4" t="str">
        <f ca="1">VLOOKUP(A510,Calculation!$F$6:$J$1004,4,FALSE)</f>
        <v/>
      </c>
      <c r="I510" s="4" t="str">
        <f ca="1">VLOOKUP(A510,Calculation!$F$6:$J$1004,5,FALSE)</f>
        <v/>
      </c>
      <c r="J510" s="43" t="str">
        <f t="shared" ca="1" si="3"/>
        <v/>
      </c>
      <c r="L510" s="29" t="str">
        <f ca="1">VLOOKUP(A510,Calculation!$G$6:$S$1004,2,FALSE)</f>
        <v/>
      </c>
      <c r="M510" s="4" t="str">
        <f ca="1">IFERROR(VLOOKUP($L510,Calculation!$H$6:$S$1005,HLOOKUP(M$2,Calculation!$M$4:$S$5,2,FALSE)+5,FALSE),"")</f>
        <v/>
      </c>
      <c r="N510" s="4" t="str">
        <f ca="1">IFERROR(VLOOKUP($L510,Calculation!$H$6:$S$1005,HLOOKUP(N$2,Calculation!$M$4:$S$5,2,FALSE)+5,FALSE),"")</f>
        <v/>
      </c>
      <c r="O510" s="4" t="str">
        <f ca="1">IFERROR(VLOOKUP($L510,Calculation!$H$6:$S$1005,HLOOKUP(O$2,Calculation!$M$4:$S$5,2,FALSE)+5,FALSE),"")</f>
        <v/>
      </c>
      <c r="P510" s="4" t="str">
        <f ca="1">IFERROR(VLOOKUP($L510,Calculation!$H$6:$S$1005,HLOOKUP(P$2,Calculation!$M$4:$S$5,2,FALSE)+5,FALSE),"")</f>
        <v/>
      </c>
      <c r="Q510" s="4" t="str">
        <f ca="1">IFERROR(VLOOKUP($L510,Calculation!$H$6:$S$1005,HLOOKUP(Q$2,Calculation!$M$4:$S$5,2,FALSE)+5,FALSE),"")</f>
        <v/>
      </c>
      <c r="R510" s="27" t="str">
        <f ca="1">IFERROR(VLOOKUP($L510,Calculation!$H$6:$S$1005,HLOOKUP(R$2,Calculation!$M$4:$S$5,2,FALSE)+5,FALSE),"")</f>
        <v/>
      </c>
      <c r="S510" s="4" t="str">
        <f ca="1">IFERROR(VLOOKUP($L510,Calculation!$H$6:$S$1005,HLOOKUP(S$2,Calculation!$M$4:$S$5,2,FALSE)+5,FALSE),"")</f>
        <v/>
      </c>
      <c r="T510" s="29"/>
      <c r="U510" s="43" t="str">
        <f>IFERROR(VLOOKUP(T510,Calculation!$U$6:$V$11,2,FALSE),"")</f>
        <v/>
      </c>
    </row>
    <row r="511" spans="1:21" ht="14.25" customHeight="1" x14ac:dyDescent="0.3">
      <c r="A511" s="26" t="str">
        <f ca="1">IF(Calculation!T514&lt;=Calculation!$H$4,Calculation!T514,"")</f>
        <v/>
      </c>
      <c r="B511" s="4" t="str">
        <f ca="1">VLOOKUP(A511,Calculation!$E$6:$J$1004,4,FALSE)</f>
        <v/>
      </c>
      <c r="C511" s="4" t="str">
        <f ca="1">VLOOKUP(A511,Calculation!$E$6:$J$1004,5,FALSE)</f>
        <v/>
      </c>
      <c r="D511" s="4" t="str">
        <f ca="1">VLOOKUP(A511,Calculation!$E$6:$J$1004,6,FALSE)</f>
        <v/>
      </c>
      <c r="E511" s="42" t="str">
        <f t="shared" ca="1" si="2"/>
        <v/>
      </c>
      <c r="G511" s="29" t="str">
        <f ca="1">VLOOKUP(A511,Calculation!$F$6:$J$1004,3,FALSE)</f>
        <v/>
      </c>
      <c r="H511" s="4" t="str">
        <f ca="1">VLOOKUP(A511,Calculation!$F$6:$J$1004,4,FALSE)</f>
        <v/>
      </c>
      <c r="I511" s="4" t="str">
        <f ca="1">VLOOKUP(A511,Calculation!$F$6:$J$1004,5,FALSE)</f>
        <v/>
      </c>
      <c r="J511" s="43" t="str">
        <f t="shared" ca="1" si="3"/>
        <v/>
      </c>
      <c r="L511" s="29" t="str">
        <f ca="1">VLOOKUP(A511,Calculation!$G$6:$S$1004,2,FALSE)</f>
        <v/>
      </c>
      <c r="M511" s="4" t="str">
        <f ca="1">IFERROR(VLOOKUP($L511,Calculation!$H$6:$S$1005,HLOOKUP(M$2,Calculation!$M$4:$S$5,2,FALSE)+5,FALSE),"")</f>
        <v/>
      </c>
      <c r="N511" s="4" t="str">
        <f ca="1">IFERROR(VLOOKUP($L511,Calculation!$H$6:$S$1005,HLOOKUP(N$2,Calculation!$M$4:$S$5,2,FALSE)+5,FALSE),"")</f>
        <v/>
      </c>
      <c r="O511" s="4" t="str">
        <f ca="1">IFERROR(VLOOKUP($L511,Calculation!$H$6:$S$1005,HLOOKUP(O$2,Calculation!$M$4:$S$5,2,FALSE)+5,FALSE),"")</f>
        <v/>
      </c>
      <c r="P511" s="4" t="str">
        <f ca="1">IFERROR(VLOOKUP($L511,Calculation!$H$6:$S$1005,HLOOKUP(P$2,Calculation!$M$4:$S$5,2,FALSE)+5,FALSE),"")</f>
        <v/>
      </c>
      <c r="Q511" s="4" t="str">
        <f ca="1">IFERROR(VLOOKUP($L511,Calculation!$H$6:$S$1005,HLOOKUP(Q$2,Calculation!$M$4:$S$5,2,FALSE)+5,FALSE),"")</f>
        <v/>
      </c>
      <c r="R511" s="27" t="str">
        <f ca="1">IFERROR(VLOOKUP($L511,Calculation!$H$6:$S$1005,HLOOKUP(R$2,Calculation!$M$4:$S$5,2,FALSE)+5,FALSE),"")</f>
        <v/>
      </c>
      <c r="S511" s="4" t="str">
        <f ca="1">IFERROR(VLOOKUP($L511,Calculation!$H$6:$S$1005,HLOOKUP(S$2,Calculation!$M$4:$S$5,2,FALSE)+5,FALSE),"")</f>
        <v/>
      </c>
      <c r="T511" s="29"/>
      <c r="U511" s="43" t="str">
        <f>IFERROR(VLOOKUP(T511,Calculation!$U$6:$V$11,2,FALSE),"")</f>
        <v/>
      </c>
    </row>
    <row r="512" spans="1:21" ht="14.25" customHeight="1" x14ac:dyDescent="0.3">
      <c r="A512" s="26" t="str">
        <f ca="1">IF(Calculation!T515&lt;=Calculation!$H$4,Calculation!T515,"")</f>
        <v/>
      </c>
      <c r="B512" s="4" t="str">
        <f ca="1">VLOOKUP(A512,Calculation!$E$6:$J$1004,4,FALSE)</f>
        <v/>
      </c>
      <c r="C512" s="4" t="str">
        <f ca="1">VLOOKUP(A512,Calculation!$E$6:$J$1004,5,FALSE)</f>
        <v/>
      </c>
      <c r="D512" s="4" t="str">
        <f ca="1">VLOOKUP(A512,Calculation!$E$6:$J$1004,6,FALSE)</f>
        <v/>
      </c>
      <c r="E512" s="42" t="str">
        <f t="shared" ca="1" si="2"/>
        <v/>
      </c>
      <c r="G512" s="29" t="str">
        <f ca="1">VLOOKUP(A512,Calculation!$F$6:$J$1004,3,FALSE)</f>
        <v/>
      </c>
      <c r="H512" s="4" t="str">
        <f ca="1">VLOOKUP(A512,Calculation!$F$6:$J$1004,4,FALSE)</f>
        <v/>
      </c>
      <c r="I512" s="4" t="str">
        <f ca="1">VLOOKUP(A512,Calculation!$F$6:$J$1004,5,FALSE)</f>
        <v/>
      </c>
      <c r="J512" s="43" t="str">
        <f t="shared" ca="1" si="3"/>
        <v/>
      </c>
      <c r="L512" s="29" t="str">
        <f ca="1">VLOOKUP(A512,Calculation!$G$6:$S$1004,2,FALSE)</f>
        <v/>
      </c>
      <c r="M512" s="4" t="str">
        <f ca="1">IFERROR(VLOOKUP($L512,Calculation!$H$6:$S$1005,HLOOKUP(M$2,Calculation!$M$4:$S$5,2,FALSE)+5,FALSE),"")</f>
        <v/>
      </c>
      <c r="N512" s="4" t="str">
        <f ca="1">IFERROR(VLOOKUP($L512,Calculation!$H$6:$S$1005,HLOOKUP(N$2,Calculation!$M$4:$S$5,2,FALSE)+5,FALSE),"")</f>
        <v/>
      </c>
      <c r="O512" s="4" t="str">
        <f ca="1">IFERROR(VLOOKUP($L512,Calculation!$H$6:$S$1005,HLOOKUP(O$2,Calculation!$M$4:$S$5,2,FALSE)+5,FALSE),"")</f>
        <v/>
      </c>
      <c r="P512" s="4" t="str">
        <f ca="1">IFERROR(VLOOKUP($L512,Calculation!$H$6:$S$1005,HLOOKUP(P$2,Calculation!$M$4:$S$5,2,FALSE)+5,FALSE),"")</f>
        <v/>
      </c>
      <c r="Q512" s="4" t="str">
        <f ca="1">IFERROR(VLOOKUP($L512,Calculation!$H$6:$S$1005,HLOOKUP(Q$2,Calculation!$M$4:$S$5,2,FALSE)+5,FALSE),"")</f>
        <v/>
      </c>
      <c r="R512" s="27" t="str">
        <f ca="1">IFERROR(VLOOKUP($L512,Calculation!$H$6:$S$1005,HLOOKUP(R$2,Calculation!$M$4:$S$5,2,FALSE)+5,FALSE),"")</f>
        <v/>
      </c>
      <c r="S512" s="4" t="str">
        <f ca="1">IFERROR(VLOOKUP($L512,Calculation!$H$6:$S$1005,HLOOKUP(S$2,Calculation!$M$4:$S$5,2,FALSE)+5,FALSE),"")</f>
        <v/>
      </c>
      <c r="T512" s="29"/>
      <c r="U512" s="43" t="str">
        <f>IFERROR(VLOOKUP(T512,Calculation!$U$6:$V$11,2,FALSE),"")</f>
        <v/>
      </c>
    </row>
    <row r="513" spans="1:21" ht="14.25" customHeight="1" x14ac:dyDescent="0.3">
      <c r="A513" s="26" t="str">
        <f ca="1">IF(Calculation!T516&lt;=Calculation!$H$4,Calculation!T516,"")</f>
        <v/>
      </c>
      <c r="B513" s="4" t="str">
        <f ca="1">VLOOKUP(A513,Calculation!$E$6:$J$1004,4,FALSE)</f>
        <v/>
      </c>
      <c r="C513" s="4" t="str">
        <f ca="1">VLOOKUP(A513,Calculation!$E$6:$J$1004,5,FALSE)</f>
        <v/>
      </c>
      <c r="D513" s="4" t="str">
        <f ca="1">VLOOKUP(A513,Calculation!$E$6:$J$1004,6,FALSE)</f>
        <v/>
      </c>
      <c r="E513" s="42" t="str">
        <f t="shared" ref="E513:E767" ca="1" si="4">IF(C513=0,0.0001,IF($A513="","",$C513/$D513))</f>
        <v/>
      </c>
      <c r="G513" s="29" t="str">
        <f ca="1">VLOOKUP(A513,Calculation!$F$6:$J$1004,3,FALSE)</f>
        <v/>
      </c>
      <c r="H513" s="4" t="str">
        <f ca="1">VLOOKUP(A513,Calculation!$F$6:$J$1004,4,FALSE)</f>
        <v/>
      </c>
      <c r="I513" s="4" t="str">
        <f ca="1">VLOOKUP(A513,Calculation!$F$6:$J$1004,5,FALSE)</f>
        <v/>
      </c>
      <c r="J513" s="43" t="str">
        <f t="shared" ref="J513:J767" ca="1" si="5">IF($A513="","",$I513-$H513)</f>
        <v/>
      </c>
      <c r="L513" s="29" t="str">
        <f ca="1">VLOOKUP(A513,Calculation!$G$6:$S$1004,2,FALSE)</f>
        <v/>
      </c>
      <c r="M513" s="4" t="str">
        <f ca="1">IFERROR(VLOOKUP($L513,Calculation!$H$6:$S$1005,HLOOKUP(M$2,Calculation!$M$4:$S$5,2,FALSE)+5,FALSE),"")</f>
        <v/>
      </c>
      <c r="N513" s="4" t="str">
        <f ca="1">IFERROR(VLOOKUP($L513,Calculation!$H$6:$S$1005,HLOOKUP(N$2,Calculation!$M$4:$S$5,2,FALSE)+5,FALSE),"")</f>
        <v/>
      </c>
      <c r="O513" s="4" t="str">
        <f ca="1">IFERROR(VLOOKUP($L513,Calculation!$H$6:$S$1005,HLOOKUP(O$2,Calculation!$M$4:$S$5,2,FALSE)+5,FALSE),"")</f>
        <v/>
      </c>
      <c r="P513" s="4" t="str">
        <f ca="1">IFERROR(VLOOKUP($L513,Calculation!$H$6:$S$1005,HLOOKUP(P$2,Calculation!$M$4:$S$5,2,FALSE)+5,FALSE),"")</f>
        <v/>
      </c>
      <c r="Q513" s="4" t="str">
        <f ca="1">IFERROR(VLOOKUP($L513,Calculation!$H$6:$S$1005,HLOOKUP(Q$2,Calculation!$M$4:$S$5,2,FALSE)+5,FALSE),"")</f>
        <v/>
      </c>
      <c r="R513" s="27" t="str">
        <f ca="1">IFERROR(VLOOKUP($L513,Calculation!$H$6:$S$1005,HLOOKUP(R$2,Calculation!$M$4:$S$5,2,FALSE)+5,FALSE),"")</f>
        <v/>
      </c>
      <c r="S513" s="4" t="str">
        <f ca="1">IFERROR(VLOOKUP($L513,Calculation!$H$6:$S$1005,HLOOKUP(S$2,Calculation!$M$4:$S$5,2,FALSE)+5,FALSE),"")</f>
        <v/>
      </c>
      <c r="T513" s="29"/>
      <c r="U513" s="43" t="str">
        <f>IFERROR(VLOOKUP(T513,Calculation!$U$6:$V$11,2,FALSE),"")</f>
        <v/>
      </c>
    </row>
    <row r="514" spans="1:21" ht="14.25" customHeight="1" x14ac:dyDescent="0.3">
      <c r="A514" s="26" t="str">
        <f ca="1">IF(Calculation!T517&lt;=Calculation!$H$4,Calculation!T517,"")</f>
        <v/>
      </c>
      <c r="B514" s="4" t="str">
        <f ca="1">VLOOKUP(A514,Calculation!$E$6:$J$1004,4,FALSE)</f>
        <v/>
      </c>
      <c r="C514" s="4" t="str">
        <f ca="1">VLOOKUP(A514,Calculation!$E$6:$J$1004,5,FALSE)</f>
        <v/>
      </c>
      <c r="D514" s="4" t="str">
        <f ca="1">VLOOKUP(A514,Calculation!$E$6:$J$1004,6,FALSE)</f>
        <v/>
      </c>
      <c r="E514" s="42" t="str">
        <f t="shared" ca="1" si="4"/>
        <v/>
      </c>
      <c r="G514" s="29" t="str">
        <f ca="1">VLOOKUP(A514,Calculation!$F$6:$J$1004,3,FALSE)</f>
        <v/>
      </c>
      <c r="H514" s="4" t="str">
        <f ca="1">VLOOKUP(A514,Calculation!$F$6:$J$1004,4,FALSE)</f>
        <v/>
      </c>
      <c r="I514" s="4" t="str">
        <f ca="1">VLOOKUP(A514,Calculation!$F$6:$J$1004,5,FALSE)</f>
        <v/>
      </c>
      <c r="J514" s="43" t="str">
        <f t="shared" ca="1" si="5"/>
        <v/>
      </c>
      <c r="L514" s="29" t="str">
        <f ca="1">VLOOKUP(A514,Calculation!$G$6:$S$1004,2,FALSE)</f>
        <v/>
      </c>
      <c r="M514" s="4" t="str">
        <f ca="1">IFERROR(VLOOKUP($L514,Calculation!$H$6:$S$1005,HLOOKUP(M$2,Calculation!$M$4:$S$5,2,FALSE)+5,FALSE),"")</f>
        <v/>
      </c>
      <c r="N514" s="4" t="str">
        <f ca="1">IFERROR(VLOOKUP($L514,Calculation!$H$6:$S$1005,HLOOKUP(N$2,Calculation!$M$4:$S$5,2,FALSE)+5,FALSE),"")</f>
        <v/>
      </c>
      <c r="O514" s="4" t="str">
        <f ca="1">IFERROR(VLOOKUP($L514,Calculation!$H$6:$S$1005,HLOOKUP(O$2,Calculation!$M$4:$S$5,2,FALSE)+5,FALSE),"")</f>
        <v/>
      </c>
      <c r="P514" s="4" t="str">
        <f ca="1">IFERROR(VLOOKUP($L514,Calculation!$H$6:$S$1005,HLOOKUP(P$2,Calculation!$M$4:$S$5,2,FALSE)+5,FALSE),"")</f>
        <v/>
      </c>
      <c r="Q514" s="4" t="str">
        <f ca="1">IFERROR(VLOOKUP($L514,Calculation!$H$6:$S$1005,HLOOKUP(Q$2,Calculation!$M$4:$S$5,2,FALSE)+5,FALSE),"")</f>
        <v/>
      </c>
      <c r="R514" s="27" t="str">
        <f ca="1">IFERROR(VLOOKUP($L514,Calculation!$H$6:$S$1005,HLOOKUP(R$2,Calculation!$M$4:$S$5,2,FALSE)+5,FALSE),"")</f>
        <v/>
      </c>
      <c r="S514" s="4" t="str">
        <f ca="1">IFERROR(VLOOKUP($L514,Calculation!$H$6:$S$1005,HLOOKUP(S$2,Calculation!$M$4:$S$5,2,FALSE)+5,FALSE),"")</f>
        <v/>
      </c>
      <c r="T514" s="29"/>
      <c r="U514" s="43" t="str">
        <f>IFERROR(VLOOKUP(T514,Calculation!$U$6:$V$11,2,FALSE),"")</f>
        <v/>
      </c>
    </row>
    <row r="515" spans="1:21" ht="14.25" customHeight="1" x14ac:dyDescent="0.3">
      <c r="A515" s="26" t="str">
        <f ca="1">IF(Calculation!T518&lt;=Calculation!$H$4,Calculation!T518,"")</f>
        <v/>
      </c>
      <c r="B515" s="4" t="str">
        <f ca="1">VLOOKUP(A515,Calculation!$E$6:$J$1004,4,FALSE)</f>
        <v/>
      </c>
      <c r="C515" s="4" t="str">
        <f ca="1">VLOOKUP(A515,Calculation!$E$6:$J$1004,5,FALSE)</f>
        <v/>
      </c>
      <c r="D515" s="4" t="str">
        <f ca="1">VLOOKUP(A515,Calculation!$E$6:$J$1004,6,FALSE)</f>
        <v/>
      </c>
      <c r="E515" s="42" t="str">
        <f t="shared" ca="1" si="4"/>
        <v/>
      </c>
      <c r="G515" s="29" t="str">
        <f ca="1">VLOOKUP(A515,Calculation!$F$6:$J$1004,3,FALSE)</f>
        <v/>
      </c>
      <c r="H515" s="4" t="str">
        <f ca="1">VLOOKUP(A515,Calculation!$F$6:$J$1004,4,FALSE)</f>
        <v/>
      </c>
      <c r="I515" s="4" t="str">
        <f ca="1">VLOOKUP(A515,Calculation!$F$6:$J$1004,5,FALSE)</f>
        <v/>
      </c>
      <c r="J515" s="43" t="str">
        <f t="shared" ca="1" si="5"/>
        <v/>
      </c>
      <c r="L515" s="29" t="str">
        <f ca="1">VLOOKUP(A515,Calculation!$G$6:$S$1004,2,FALSE)</f>
        <v/>
      </c>
      <c r="M515" s="4" t="str">
        <f ca="1">IFERROR(VLOOKUP($L515,Calculation!$H$6:$S$1005,HLOOKUP(M$2,Calculation!$M$4:$S$5,2,FALSE)+5,FALSE),"")</f>
        <v/>
      </c>
      <c r="N515" s="4" t="str">
        <f ca="1">IFERROR(VLOOKUP($L515,Calculation!$H$6:$S$1005,HLOOKUP(N$2,Calculation!$M$4:$S$5,2,FALSE)+5,FALSE),"")</f>
        <v/>
      </c>
      <c r="O515" s="4" t="str">
        <f ca="1">IFERROR(VLOOKUP($L515,Calculation!$H$6:$S$1005,HLOOKUP(O$2,Calculation!$M$4:$S$5,2,FALSE)+5,FALSE),"")</f>
        <v/>
      </c>
      <c r="P515" s="4" t="str">
        <f ca="1">IFERROR(VLOOKUP($L515,Calculation!$H$6:$S$1005,HLOOKUP(P$2,Calculation!$M$4:$S$5,2,FALSE)+5,FALSE),"")</f>
        <v/>
      </c>
      <c r="Q515" s="4" t="str">
        <f ca="1">IFERROR(VLOOKUP($L515,Calculation!$H$6:$S$1005,HLOOKUP(Q$2,Calculation!$M$4:$S$5,2,FALSE)+5,FALSE),"")</f>
        <v/>
      </c>
      <c r="R515" s="27" t="str">
        <f ca="1">IFERROR(VLOOKUP($L515,Calculation!$H$6:$S$1005,HLOOKUP(R$2,Calculation!$M$4:$S$5,2,FALSE)+5,FALSE),"")</f>
        <v/>
      </c>
      <c r="S515" s="4" t="str">
        <f ca="1">IFERROR(VLOOKUP($L515,Calculation!$H$6:$S$1005,HLOOKUP(S$2,Calculation!$M$4:$S$5,2,FALSE)+5,FALSE),"")</f>
        <v/>
      </c>
      <c r="T515" s="29"/>
      <c r="U515" s="43" t="str">
        <f>IFERROR(VLOOKUP(T515,Calculation!$U$6:$V$11,2,FALSE),"")</f>
        <v/>
      </c>
    </row>
    <row r="516" spans="1:21" ht="14.25" customHeight="1" x14ac:dyDescent="0.3">
      <c r="A516" s="26" t="str">
        <f ca="1">IF(Calculation!T519&lt;=Calculation!$H$4,Calculation!T519,"")</f>
        <v/>
      </c>
      <c r="B516" s="4" t="str">
        <f ca="1">VLOOKUP(A516,Calculation!$E$6:$J$1004,4,FALSE)</f>
        <v/>
      </c>
      <c r="C516" s="4" t="str">
        <f ca="1">VLOOKUP(A516,Calculation!$E$6:$J$1004,5,FALSE)</f>
        <v/>
      </c>
      <c r="D516" s="4" t="str">
        <f ca="1">VLOOKUP(A516,Calculation!$E$6:$J$1004,6,FALSE)</f>
        <v/>
      </c>
      <c r="E516" s="42" t="str">
        <f t="shared" ca="1" si="4"/>
        <v/>
      </c>
      <c r="G516" s="29" t="str">
        <f ca="1">VLOOKUP(A516,Calculation!$F$6:$J$1004,3,FALSE)</f>
        <v/>
      </c>
      <c r="H516" s="4" t="str">
        <f ca="1">VLOOKUP(A516,Calculation!$F$6:$J$1004,4,FALSE)</f>
        <v/>
      </c>
      <c r="I516" s="4" t="str">
        <f ca="1">VLOOKUP(A516,Calculation!$F$6:$J$1004,5,FALSE)</f>
        <v/>
      </c>
      <c r="J516" s="43" t="str">
        <f t="shared" ca="1" si="5"/>
        <v/>
      </c>
      <c r="L516" s="29" t="str">
        <f ca="1">VLOOKUP(A516,Calculation!$G$6:$S$1004,2,FALSE)</f>
        <v/>
      </c>
      <c r="M516" s="4" t="str">
        <f ca="1">IFERROR(VLOOKUP($L516,Calculation!$H$6:$S$1005,HLOOKUP(M$2,Calculation!$M$4:$S$5,2,FALSE)+5,FALSE),"")</f>
        <v/>
      </c>
      <c r="N516" s="4" t="str">
        <f ca="1">IFERROR(VLOOKUP($L516,Calculation!$H$6:$S$1005,HLOOKUP(N$2,Calculation!$M$4:$S$5,2,FALSE)+5,FALSE),"")</f>
        <v/>
      </c>
      <c r="O516" s="4" t="str">
        <f ca="1">IFERROR(VLOOKUP($L516,Calculation!$H$6:$S$1005,HLOOKUP(O$2,Calculation!$M$4:$S$5,2,FALSE)+5,FALSE),"")</f>
        <v/>
      </c>
      <c r="P516" s="4" t="str">
        <f ca="1">IFERROR(VLOOKUP($L516,Calculation!$H$6:$S$1005,HLOOKUP(P$2,Calculation!$M$4:$S$5,2,FALSE)+5,FALSE),"")</f>
        <v/>
      </c>
      <c r="Q516" s="4" t="str">
        <f ca="1">IFERROR(VLOOKUP($L516,Calculation!$H$6:$S$1005,HLOOKUP(Q$2,Calculation!$M$4:$S$5,2,FALSE)+5,FALSE),"")</f>
        <v/>
      </c>
      <c r="R516" s="27" t="str">
        <f ca="1">IFERROR(VLOOKUP($L516,Calculation!$H$6:$S$1005,HLOOKUP(R$2,Calculation!$M$4:$S$5,2,FALSE)+5,FALSE),"")</f>
        <v/>
      </c>
      <c r="S516" s="4" t="str">
        <f ca="1">IFERROR(VLOOKUP($L516,Calculation!$H$6:$S$1005,HLOOKUP(S$2,Calculation!$M$4:$S$5,2,FALSE)+5,FALSE),"")</f>
        <v/>
      </c>
      <c r="T516" s="29"/>
      <c r="U516" s="43" t="str">
        <f>IFERROR(VLOOKUP(T516,Calculation!$U$6:$V$11,2,FALSE),"")</f>
        <v/>
      </c>
    </row>
    <row r="517" spans="1:21" ht="14.25" customHeight="1" x14ac:dyDescent="0.3">
      <c r="A517" s="26" t="str">
        <f ca="1">IF(Calculation!T520&lt;=Calculation!$H$4,Calculation!T520,"")</f>
        <v/>
      </c>
      <c r="B517" s="4" t="str">
        <f ca="1">VLOOKUP(A517,Calculation!$E$6:$J$1004,4,FALSE)</f>
        <v/>
      </c>
      <c r="C517" s="4" t="str">
        <f ca="1">VLOOKUP(A517,Calculation!$E$6:$J$1004,5,FALSE)</f>
        <v/>
      </c>
      <c r="D517" s="4" t="str">
        <f ca="1">VLOOKUP(A517,Calculation!$E$6:$J$1004,6,FALSE)</f>
        <v/>
      </c>
      <c r="E517" s="42" t="str">
        <f t="shared" ca="1" si="4"/>
        <v/>
      </c>
      <c r="G517" s="29" t="str">
        <f ca="1">VLOOKUP(A517,Calculation!$F$6:$J$1004,3,FALSE)</f>
        <v/>
      </c>
      <c r="H517" s="4" t="str">
        <f ca="1">VLOOKUP(A517,Calculation!$F$6:$J$1004,4,FALSE)</f>
        <v/>
      </c>
      <c r="I517" s="4" t="str">
        <f ca="1">VLOOKUP(A517,Calculation!$F$6:$J$1004,5,FALSE)</f>
        <v/>
      </c>
      <c r="J517" s="43" t="str">
        <f t="shared" ca="1" si="5"/>
        <v/>
      </c>
      <c r="L517" s="29" t="str">
        <f ca="1">VLOOKUP(A517,Calculation!$G$6:$S$1004,2,FALSE)</f>
        <v/>
      </c>
      <c r="M517" s="4" t="str">
        <f ca="1">IFERROR(VLOOKUP($L517,Calculation!$H$6:$S$1005,HLOOKUP(M$2,Calculation!$M$4:$S$5,2,FALSE)+5,FALSE),"")</f>
        <v/>
      </c>
      <c r="N517" s="4" t="str">
        <f ca="1">IFERROR(VLOOKUP($L517,Calculation!$H$6:$S$1005,HLOOKUP(N$2,Calculation!$M$4:$S$5,2,FALSE)+5,FALSE),"")</f>
        <v/>
      </c>
      <c r="O517" s="4" t="str">
        <f ca="1">IFERROR(VLOOKUP($L517,Calculation!$H$6:$S$1005,HLOOKUP(O$2,Calculation!$M$4:$S$5,2,FALSE)+5,FALSE),"")</f>
        <v/>
      </c>
      <c r="P517" s="4" t="str">
        <f ca="1">IFERROR(VLOOKUP($L517,Calculation!$H$6:$S$1005,HLOOKUP(P$2,Calculation!$M$4:$S$5,2,FALSE)+5,FALSE),"")</f>
        <v/>
      </c>
      <c r="Q517" s="4" t="str">
        <f ca="1">IFERROR(VLOOKUP($L517,Calculation!$H$6:$S$1005,HLOOKUP(Q$2,Calculation!$M$4:$S$5,2,FALSE)+5,FALSE),"")</f>
        <v/>
      </c>
      <c r="R517" s="27" t="str">
        <f ca="1">IFERROR(VLOOKUP($L517,Calculation!$H$6:$S$1005,HLOOKUP(R$2,Calculation!$M$4:$S$5,2,FALSE)+5,FALSE),"")</f>
        <v/>
      </c>
      <c r="S517" s="4" t="str">
        <f ca="1">IFERROR(VLOOKUP($L517,Calculation!$H$6:$S$1005,HLOOKUP(S$2,Calculation!$M$4:$S$5,2,FALSE)+5,FALSE),"")</f>
        <v/>
      </c>
      <c r="T517" s="29"/>
      <c r="U517" s="43" t="str">
        <f>IFERROR(VLOOKUP(T517,Calculation!$U$6:$V$11,2,FALSE),"")</f>
        <v/>
      </c>
    </row>
    <row r="518" spans="1:21" ht="14.25" customHeight="1" x14ac:dyDescent="0.3">
      <c r="A518" s="26" t="str">
        <f ca="1">IF(Calculation!T521&lt;=Calculation!$H$4,Calculation!T521,"")</f>
        <v/>
      </c>
      <c r="B518" s="4" t="str">
        <f ca="1">VLOOKUP(A518,Calculation!$E$6:$J$1004,4,FALSE)</f>
        <v/>
      </c>
      <c r="C518" s="4" t="str">
        <f ca="1">VLOOKUP(A518,Calculation!$E$6:$J$1004,5,FALSE)</f>
        <v/>
      </c>
      <c r="D518" s="4" t="str">
        <f ca="1">VLOOKUP(A518,Calculation!$E$6:$J$1004,6,FALSE)</f>
        <v/>
      </c>
      <c r="E518" s="42" t="str">
        <f t="shared" ca="1" si="4"/>
        <v/>
      </c>
      <c r="G518" s="29" t="str">
        <f ca="1">VLOOKUP(A518,Calculation!$F$6:$J$1004,3,FALSE)</f>
        <v/>
      </c>
      <c r="H518" s="4" t="str">
        <f ca="1">VLOOKUP(A518,Calculation!$F$6:$J$1004,4,FALSE)</f>
        <v/>
      </c>
      <c r="I518" s="4" t="str">
        <f ca="1">VLOOKUP(A518,Calculation!$F$6:$J$1004,5,FALSE)</f>
        <v/>
      </c>
      <c r="J518" s="43" t="str">
        <f t="shared" ca="1" si="5"/>
        <v/>
      </c>
      <c r="L518" s="29" t="str">
        <f ca="1">VLOOKUP(A518,Calculation!$G$6:$S$1004,2,FALSE)</f>
        <v/>
      </c>
      <c r="M518" s="4" t="str">
        <f ca="1">IFERROR(VLOOKUP($L518,Calculation!$H$6:$S$1005,HLOOKUP(M$2,Calculation!$M$4:$S$5,2,FALSE)+5,FALSE),"")</f>
        <v/>
      </c>
      <c r="N518" s="4" t="str">
        <f ca="1">IFERROR(VLOOKUP($L518,Calculation!$H$6:$S$1005,HLOOKUP(N$2,Calculation!$M$4:$S$5,2,FALSE)+5,FALSE),"")</f>
        <v/>
      </c>
      <c r="O518" s="4" t="str">
        <f ca="1">IFERROR(VLOOKUP($L518,Calculation!$H$6:$S$1005,HLOOKUP(O$2,Calculation!$M$4:$S$5,2,FALSE)+5,FALSE),"")</f>
        <v/>
      </c>
      <c r="P518" s="4" t="str">
        <f ca="1">IFERROR(VLOOKUP($L518,Calculation!$H$6:$S$1005,HLOOKUP(P$2,Calculation!$M$4:$S$5,2,FALSE)+5,FALSE),"")</f>
        <v/>
      </c>
      <c r="Q518" s="4" t="str">
        <f ca="1">IFERROR(VLOOKUP($L518,Calculation!$H$6:$S$1005,HLOOKUP(Q$2,Calculation!$M$4:$S$5,2,FALSE)+5,FALSE),"")</f>
        <v/>
      </c>
      <c r="R518" s="27" t="str">
        <f ca="1">IFERROR(VLOOKUP($L518,Calculation!$H$6:$S$1005,HLOOKUP(R$2,Calculation!$M$4:$S$5,2,FALSE)+5,FALSE),"")</f>
        <v/>
      </c>
      <c r="S518" s="4" t="str">
        <f ca="1">IFERROR(VLOOKUP($L518,Calculation!$H$6:$S$1005,HLOOKUP(S$2,Calculation!$M$4:$S$5,2,FALSE)+5,FALSE),"")</f>
        <v/>
      </c>
      <c r="T518" s="29"/>
      <c r="U518" s="43" t="str">
        <f>IFERROR(VLOOKUP(T518,Calculation!$U$6:$V$11,2,FALSE),"")</f>
        <v/>
      </c>
    </row>
    <row r="519" spans="1:21" ht="14.25" customHeight="1" x14ac:dyDescent="0.3">
      <c r="A519" s="26" t="str">
        <f ca="1">IF(Calculation!T522&lt;=Calculation!$H$4,Calculation!T522,"")</f>
        <v/>
      </c>
      <c r="B519" s="4" t="str">
        <f ca="1">VLOOKUP(A519,Calculation!$E$6:$J$1004,4,FALSE)</f>
        <v/>
      </c>
      <c r="C519" s="4" t="str">
        <f ca="1">VLOOKUP(A519,Calculation!$E$6:$J$1004,5,FALSE)</f>
        <v/>
      </c>
      <c r="D519" s="4" t="str">
        <f ca="1">VLOOKUP(A519,Calculation!$E$6:$J$1004,6,FALSE)</f>
        <v/>
      </c>
      <c r="E519" s="42" t="str">
        <f t="shared" ca="1" si="4"/>
        <v/>
      </c>
      <c r="G519" s="29" t="str">
        <f ca="1">VLOOKUP(A519,Calculation!$F$6:$J$1004,3,FALSE)</f>
        <v/>
      </c>
      <c r="H519" s="4" t="str">
        <f ca="1">VLOOKUP(A519,Calculation!$F$6:$J$1004,4,FALSE)</f>
        <v/>
      </c>
      <c r="I519" s="4" t="str">
        <f ca="1">VLOOKUP(A519,Calculation!$F$6:$J$1004,5,FALSE)</f>
        <v/>
      </c>
      <c r="J519" s="43" t="str">
        <f t="shared" ca="1" si="5"/>
        <v/>
      </c>
      <c r="L519" s="29" t="str">
        <f ca="1">VLOOKUP(A519,Calculation!$G$6:$S$1004,2,FALSE)</f>
        <v/>
      </c>
      <c r="M519" s="4" t="str">
        <f ca="1">IFERROR(VLOOKUP($L519,Calculation!$H$6:$S$1005,HLOOKUP(M$2,Calculation!$M$4:$S$5,2,FALSE)+5,FALSE),"")</f>
        <v/>
      </c>
      <c r="N519" s="4" t="str">
        <f ca="1">IFERROR(VLOOKUP($L519,Calculation!$H$6:$S$1005,HLOOKUP(N$2,Calculation!$M$4:$S$5,2,FALSE)+5,FALSE),"")</f>
        <v/>
      </c>
      <c r="O519" s="4" t="str">
        <f ca="1">IFERROR(VLOOKUP($L519,Calculation!$H$6:$S$1005,HLOOKUP(O$2,Calculation!$M$4:$S$5,2,FALSE)+5,FALSE),"")</f>
        <v/>
      </c>
      <c r="P519" s="4" t="str">
        <f ca="1">IFERROR(VLOOKUP($L519,Calculation!$H$6:$S$1005,HLOOKUP(P$2,Calculation!$M$4:$S$5,2,FALSE)+5,FALSE),"")</f>
        <v/>
      </c>
      <c r="Q519" s="4" t="str">
        <f ca="1">IFERROR(VLOOKUP($L519,Calculation!$H$6:$S$1005,HLOOKUP(Q$2,Calculation!$M$4:$S$5,2,FALSE)+5,FALSE),"")</f>
        <v/>
      </c>
      <c r="R519" s="27" t="str">
        <f ca="1">IFERROR(VLOOKUP($L519,Calculation!$H$6:$S$1005,HLOOKUP(R$2,Calculation!$M$4:$S$5,2,FALSE)+5,FALSE),"")</f>
        <v/>
      </c>
      <c r="S519" s="4" t="str">
        <f ca="1">IFERROR(VLOOKUP($L519,Calculation!$H$6:$S$1005,HLOOKUP(S$2,Calculation!$M$4:$S$5,2,FALSE)+5,FALSE),"")</f>
        <v/>
      </c>
      <c r="T519" s="29"/>
      <c r="U519" s="43" t="str">
        <f>IFERROR(VLOOKUP(T519,Calculation!$U$6:$V$11,2,FALSE),"")</f>
        <v/>
      </c>
    </row>
    <row r="520" spans="1:21" ht="14.25" customHeight="1" x14ac:dyDescent="0.3">
      <c r="A520" s="26" t="str">
        <f ca="1">IF(Calculation!T523&lt;=Calculation!$H$4,Calculation!T523,"")</f>
        <v/>
      </c>
      <c r="B520" s="4" t="str">
        <f ca="1">VLOOKUP(A520,Calculation!$E$6:$J$1004,4,FALSE)</f>
        <v/>
      </c>
      <c r="C520" s="4" t="str">
        <f ca="1">VLOOKUP(A520,Calculation!$E$6:$J$1004,5,FALSE)</f>
        <v/>
      </c>
      <c r="D520" s="4" t="str">
        <f ca="1">VLOOKUP(A520,Calculation!$E$6:$J$1004,6,FALSE)</f>
        <v/>
      </c>
      <c r="E520" s="42" t="str">
        <f t="shared" ca="1" si="4"/>
        <v/>
      </c>
      <c r="G520" s="29" t="str">
        <f ca="1">VLOOKUP(A520,Calculation!$F$6:$J$1004,3,FALSE)</f>
        <v/>
      </c>
      <c r="H520" s="4" t="str">
        <f ca="1">VLOOKUP(A520,Calculation!$F$6:$J$1004,4,FALSE)</f>
        <v/>
      </c>
      <c r="I520" s="4" t="str">
        <f ca="1">VLOOKUP(A520,Calculation!$F$6:$J$1004,5,FALSE)</f>
        <v/>
      </c>
      <c r="J520" s="43" t="str">
        <f t="shared" ca="1" si="5"/>
        <v/>
      </c>
      <c r="L520" s="29" t="str">
        <f ca="1">VLOOKUP(A520,Calculation!$G$6:$S$1004,2,FALSE)</f>
        <v/>
      </c>
      <c r="M520" s="4" t="str">
        <f ca="1">IFERROR(VLOOKUP($L520,Calculation!$H$6:$S$1005,HLOOKUP(M$2,Calculation!$M$4:$S$5,2,FALSE)+5,FALSE),"")</f>
        <v/>
      </c>
      <c r="N520" s="4" t="str">
        <f ca="1">IFERROR(VLOOKUP($L520,Calculation!$H$6:$S$1005,HLOOKUP(N$2,Calculation!$M$4:$S$5,2,FALSE)+5,FALSE),"")</f>
        <v/>
      </c>
      <c r="O520" s="4" t="str">
        <f ca="1">IFERROR(VLOOKUP($L520,Calculation!$H$6:$S$1005,HLOOKUP(O$2,Calculation!$M$4:$S$5,2,FALSE)+5,FALSE),"")</f>
        <v/>
      </c>
      <c r="P520" s="4" t="str">
        <f ca="1">IFERROR(VLOOKUP($L520,Calculation!$H$6:$S$1005,HLOOKUP(P$2,Calculation!$M$4:$S$5,2,FALSE)+5,FALSE),"")</f>
        <v/>
      </c>
      <c r="Q520" s="4" t="str">
        <f ca="1">IFERROR(VLOOKUP($L520,Calculation!$H$6:$S$1005,HLOOKUP(Q$2,Calculation!$M$4:$S$5,2,FALSE)+5,FALSE),"")</f>
        <v/>
      </c>
      <c r="R520" s="27" t="str">
        <f ca="1">IFERROR(VLOOKUP($L520,Calculation!$H$6:$S$1005,HLOOKUP(R$2,Calculation!$M$4:$S$5,2,FALSE)+5,FALSE),"")</f>
        <v/>
      </c>
      <c r="S520" s="4" t="str">
        <f ca="1">IFERROR(VLOOKUP($L520,Calculation!$H$6:$S$1005,HLOOKUP(S$2,Calculation!$M$4:$S$5,2,FALSE)+5,FALSE),"")</f>
        <v/>
      </c>
      <c r="T520" s="29"/>
      <c r="U520" s="43" t="str">
        <f>IFERROR(VLOOKUP(T520,Calculation!$U$6:$V$11,2,FALSE),"")</f>
        <v/>
      </c>
    </row>
    <row r="521" spans="1:21" ht="14.25" customHeight="1" x14ac:dyDescent="0.3">
      <c r="A521" s="26" t="str">
        <f ca="1">IF(Calculation!T524&lt;=Calculation!$H$4,Calculation!T524,"")</f>
        <v/>
      </c>
      <c r="B521" s="4" t="str">
        <f ca="1">VLOOKUP(A521,Calculation!$E$6:$J$1004,4,FALSE)</f>
        <v/>
      </c>
      <c r="C521" s="4" t="str">
        <f ca="1">VLOOKUP(A521,Calculation!$E$6:$J$1004,5,FALSE)</f>
        <v/>
      </c>
      <c r="D521" s="4" t="str">
        <f ca="1">VLOOKUP(A521,Calculation!$E$6:$J$1004,6,FALSE)</f>
        <v/>
      </c>
      <c r="E521" s="42" t="str">
        <f t="shared" ca="1" si="4"/>
        <v/>
      </c>
      <c r="G521" s="29" t="str">
        <f ca="1">VLOOKUP(A521,Calculation!$F$6:$J$1004,3,FALSE)</f>
        <v/>
      </c>
      <c r="H521" s="4" t="str">
        <f ca="1">VLOOKUP(A521,Calculation!$F$6:$J$1004,4,FALSE)</f>
        <v/>
      </c>
      <c r="I521" s="4" t="str">
        <f ca="1">VLOOKUP(A521,Calculation!$F$6:$J$1004,5,FALSE)</f>
        <v/>
      </c>
      <c r="J521" s="43" t="str">
        <f t="shared" ca="1" si="5"/>
        <v/>
      </c>
      <c r="L521" s="29" t="str">
        <f ca="1">VLOOKUP(A521,Calculation!$G$6:$S$1004,2,FALSE)</f>
        <v/>
      </c>
      <c r="M521" s="4" t="str">
        <f ca="1">IFERROR(VLOOKUP($L521,Calculation!$H$6:$S$1005,HLOOKUP(M$2,Calculation!$M$4:$S$5,2,FALSE)+5,FALSE),"")</f>
        <v/>
      </c>
      <c r="N521" s="4" t="str">
        <f ca="1">IFERROR(VLOOKUP($L521,Calculation!$H$6:$S$1005,HLOOKUP(N$2,Calculation!$M$4:$S$5,2,FALSE)+5,FALSE),"")</f>
        <v/>
      </c>
      <c r="O521" s="4" t="str">
        <f ca="1">IFERROR(VLOOKUP($L521,Calculation!$H$6:$S$1005,HLOOKUP(O$2,Calculation!$M$4:$S$5,2,FALSE)+5,FALSE),"")</f>
        <v/>
      </c>
      <c r="P521" s="4" t="str">
        <f ca="1">IFERROR(VLOOKUP($L521,Calculation!$H$6:$S$1005,HLOOKUP(P$2,Calculation!$M$4:$S$5,2,FALSE)+5,FALSE),"")</f>
        <v/>
      </c>
      <c r="Q521" s="4" t="str">
        <f ca="1">IFERROR(VLOOKUP($L521,Calculation!$H$6:$S$1005,HLOOKUP(Q$2,Calculation!$M$4:$S$5,2,FALSE)+5,FALSE),"")</f>
        <v/>
      </c>
      <c r="R521" s="27" t="str">
        <f ca="1">IFERROR(VLOOKUP($L521,Calculation!$H$6:$S$1005,HLOOKUP(R$2,Calculation!$M$4:$S$5,2,FALSE)+5,FALSE),"")</f>
        <v/>
      </c>
      <c r="S521" s="4" t="str">
        <f ca="1">IFERROR(VLOOKUP($L521,Calculation!$H$6:$S$1005,HLOOKUP(S$2,Calculation!$M$4:$S$5,2,FALSE)+5,FALSE),"")</f>
        <v/>
      </c>
      <c r="T521" s="29"/>
      <c r="U521" s="43" t="str">
        <f>IFERROR(VLOOKUP(T521,Calculation!$U$6:$V$11,2,FALSE),"")</f>
        <v/>
      </c>
    </row>
    <row r="522" spans="1:21" ht="14.25" customHeight="1" x14ac:dyDescent="0.3">
      <c r="A522" s="26" t="str">
        <f ca="1">IF(Calculation!T525&lt;=Calculation!$H$4,Calculation!T525,"")</f>
        <v/>
      </c>
      <c r="B522" s="4" t="str">
        <f ca="1">VLOOKUP(A522,Calculation!$E$6:$J$1004,4,FALSE)</f>
        <v/>
      </c>
      <c r="C522" s="4" t="str">
        <f ca="1">VLOOKUP(A522,Calculation!$E$6:$J$1004,5,FALSE)</f>
        <v/>
      </c>
      <c r="D522" s="4" t="str">
        <f ca="1">VLOOKUP(A522,Calculation!$E$6:$J$1004,6,FALSE)</f>
        <v/>
      </c>
      <c r="E522" s="42" t="str">
        <f t="shared" ca="1" si="4"/>
        <v/>
      </c>
      <c r="G522" s="29" t="str">
        <f ca="1">VLOOKUP(A522,Calculation!$F$6:$J$1004,3,FALSE)</f>
        <v/>
      </c>
      <c r="H522" s="4" t="str">
        <f ca="1">VLOOKUP(A522,Calculation!$F$6:$J$1004,4,FALSE)</f>
        <v/>
      </c>
      <c r="I522" s="4" t="str">
        <f ca="1">VLOOKUP(A522,Calculation!$F$6:$J$1004,5,FALSE)</f>
        <v/>
      </c>
      <c r="J522" s="43" t="str">
        <f t="shared" ca="1" si="5"/>
        <v/>
      </c>
      <c r="L522" s="29" t="str">
        <f ca="1">VLOOKUP(A522,Calculation!$G$6:$S$1004,2,FALSE)</f>
        <v/>
      </c>
      <c r="M522" s="4" t="str">
        <f ca="1">IFERROR(VLOOKUP($L522,Calculation!$H$6:$S$1005,HLOOKUP(M$2,Calculation!$M$4:$S$5,2,FALSE)+5,FALSE),"")</f>
        <v/>
      </c>
      <c r="N522" s="4" t="str">
        <f ca="1">IFERROR(VLOOKUP($L522,Calculation!$H$6:$S$1005,HLOOKUP(N$2,Calculation!$M$4:$S$5,2,FALSE)+5,FALSE),"")</f>
        <v/>
      </c>
      <c r="O522" s="4" t="str">
        <f ca="1">IFERROR(VLOOKUP($L522,Calculation!$H$6:$S$1005,HLOOKUP(O$2,Calculation!$M$4:$S$5,2,FALSE)+5,FALSE),"")</f>
        <v/>
      </c>
      <c r="P522" s="4" t="str">
        <f ca="1">IFERROR(VLOOKUP($L522,Calculation!$H$6:$S$1005,HLOOKUP(P$2,Calculation!$M$4:$S$5,2,FALSE)+5,FALSE),"")</f>
        <v/>
      </c>
      <c r="Q522" s="4" t="str">
        <f ca="1">IFERROR(VLOOKUP($L522,Calculation!$H$6:$S$1005,HLOOKUP(Q$2,Calculation!$M$4:$S$5,2,FALSE)+5,FALSE),"")</f>
        <v/>
      </c>
      <c r="R522" s="27" t="str">
        <f ca="1">IFERROR(VLOOKUP($L522,Calculation!$H$6:$S$1005,HLOOKUP(R$2,Calculation!$M$4:$S$5,2,FALSE)+5,FALSE),"")</f>
        <v/>
      </c>
      <c r="S522" s="4" t="str">
        <f ca="1">IFERROR(VLOOKUP($L522,Calculation!$H$6:$S$1005,HLOOKUP(S$2,Calculation!$M$4:$S$5,2,FALSE)+5,FALSE),"")</f>
        <v/>
      </c>
      <c r="T522" s="29"/>
      <c r="U522" s="43" t="str">
        <f>IFERROR(VLOOKUP(T522,Calculation!$U$6:$V$11,2,FALSE),"")</f>
        <v/>
      </c>
    </row>
    <row r="523" spans="1:21" ht="14.25" customHeight="1" x14ac:dyDescent="0.3">
      <c r="A523" s="26" t="str">
        <f ca="1">IF(Calculation!T526&lt;=Calculation!$H$4,Calculation!T526,"")</f>
        <v/>
      </c>
      <c r="B523" s="4" t="str">
        <f ca="1">VLOOKUP(A523,Calculation!$E$6:$J$1004,4,FALSE)</f>
        <v/>
      </c>
      <c r="C523" s="4" t="str">
        <f ca="1">VLOOKUP(A523,Calculation!$E$6:$J$1004,5,FALSE)</f>
        <v/>
      </c>
      <c r="D523" s="4" t="str">
        <f ca="1">VLOOKUP(A523,Calculation!$E$6:$J$1004,6,FALSE)</f>
        <v/>
      </c>
      <c r="E523" s="42" t="str">
        <f t="shared" ca="1" si="4"/>
        <v/>
      </c>
      <c r="G523" s="29" t="str">
        <f ca="1">VLOOKUP(A523,Calculation!$F$6:$J$1004,3,FALSE)</f>
        <v/>
      </c>
      <c r="H523" s="4" t="str">
        <f ca="1">VLOOKUP(A523,Calculation!$F$6:$J$1004,4,FALSE)</f>
        <v/>
      </c>
      <c r="I523" s="4" t="str">
        <f ca="1">VLOOKUP(A523,Calculation!$F$6:$J$1004,5,FALSE)</f>
        <v/>
      </c>
      <c r="J523" s="43" t="str">
        <f t="shared" ca="1" si="5"/>
        <v/>
      </c>
      <c r="L523" s="29" t="str">
        <f ca="1">VLOOKUP(A523,Calculation!$G$6:$S$1004,2,FALSE)</f>
        <v/>
      </c>
      <c r="M523" s="4" t="str">
        <f ca="1">IFERROR(VLOOKUP($L523,Calculation!$H$6:$S$1005,HLOOKUP(M$2,Calculation!$M$4:$S$5,2,FALSE)+5,FALSE),"")</f>
        <v/>
      </c>
      <c r="N523" s="4" t="str">
        <f ca="1">IFERROR(VLOOKUP($L523,Calculation!$H$6:$S$1005,HLOOKUP(N$2,Calculation!$M$4:$S$5,2,FALSE)+5,FALSE),"")</f>
        <v/>
      </c>
      <c r="O523" s="4" t="str">
        <f ca="1">IFERROR(VLOOKUP($L523,Calculation!$H$6:$S$1005,HLOOKUP(O$2,Calculation!$M$4:$S$5,2,FALSE)+5,FALSE),"")</f>
        <v/>
      </c>
      <c r="P523" s="4" t="str">
        <f ca="1">IFERROR(VLOOKUP($L523,Calculation!$H$6:$S$1005,HLOOKUP(P$2,Calculation!$M$4:$S$5,2,FALSE)+5,FALSE),"")</f>
        <v/>
      </c>
      <c r="Q523" s="4" t="str">
        <f ca="1">IFERROR(VLOOKUP($L523,Calculation!$H$6:$S$1005,HLOOKUP(Q$2,Calculation!$M$4:$S$5,2,FALSE)+5,FALSE),"")</f>
        <v/>
      </c>
      <c r="R523" s="27" t="str">
        <f ca="1">IFERROR(VLOOKUP($L523,Calculation!$H$6:$S$1005,HLOOKUP(R$2,Calculation!$M$4:$S$5,2,FALSE)+5,FALSE),"")</f>
        <v/>
      </c>
      <c r="S523" s="4" t="str">
        <f ca="1">IFERROR(VLOOKUP($L523,Calculation!$H$6:$S$1005,HLOOKUP(S$2,Calculation!$M$4:$S$5,2,FALSE)+5,FALSE),"")</f>
        <v/>
      </c>
      <c r="T523" s="29"/>
      <c r="U523" s="43" t="str">
        <f>IFERROR(VLOOKUP(T523,Calculation!$U$6:$V$11,2,FALSE),"")</f>
        <v/>
      </c>
    </row>
    <row r="524" spans="1:21" ht="14.25" customHeight="1" x14ac:dyDescent="0.3">
      <c r="A524" s="26" t="str">
        <f ca="1">IF(Calculation!T527&lt;=Calculation!$H$4,Calculation!T527,"")</f>
        <v/>
      </c>
      <c r="B524" s="4" t="str">
        <f ca="1">VLOOKUP(A524,Calculation!$E$6:$J$1004,4,FALSE)</f>
        <v/>
      </c>
      <c r="C524" s="4" t="str">
        <f ca="1">VLOOKUP(A524,Calculation!$E$6:$J$1004,5,FALSE)</f>
        <v/>
      </c>
      <c r="D524" s="4" t="str">
        <f ca="1">VLOOKUP(A524,Calculation!$E$6:$J$1004,6,FALSE)</f>
        <v/>
      </c>
      <c r="E524" s="42" t="str">
        <f t="shared" ca="1" si="4"/>
        <v/>
      </c>
      <c r="G524" s="29" t="str">
        <f ca="1">VLOOKUP(A524,Calculation!$F$6:$J$1004,3,FALSE)</f>
        <v/>
      </c>
      <c r="H524" s="4" t="str">
        <f ca="1">VLOOKUP(A524,Calculation!$F$6:$J$1004,4,FALSE)</f>
        <v/>
      </c>
      <c r="I524" s="4" t="str">
        <f ca="1">VLOOKUP(A524,Calculation!$F$6:$J$1004,5,FALSE)</f>
        <v/>
      </c>
      <c r="J524" s="43" t="str">
        <f t="shared" ca="1" si="5"/>
        <v/>
      </c>
      <c r="L524" s="29" t="str">
        <f ca="1">VLOOKUP(A524,Calculation!$G$6:$S$1004,2,FALSE)</f>
        <v/>
      </c>
      <c r="M524" s="4" t="str">
        <f ca="1">IFERROR(VLOOKUP($L524,Calculation!$H$6:$S$1005,HLOOKUP(M$2,Calculation!$M$4:$S$5,2,FALSE)+5,FALSE),"")</f>
        <v/>
      </c>
      <c r="N524" s="4" t="str">
        <f ca="1">IFERROR(VLOOKUP($L524,Calculation!$H$6:$S$1005,HLOOKUP(N$2,Calculation!$M$4:$S$5,2,FALSE)+5,FALSE),"")</f>
        <v/>
      </c>
      <c r="O524" s="4" t="str">
        <f ca="1">IFERROR(VLOOKUP($L524,Calculation!$H$6:$S$1005,HLOOKUP(O$2,Calculation!$M$4:$S$5,2,FALSE)+5,FALSE),"")</f>
        <v/>
      </c>
      <c r="P524" s="4" t="str">
        <f ca="1">IFERROR(VLOOKUP($L524,Calculation!$H$6:$S$1005,HLOOKUP(P$2,Calculation!$M$4:$S$5,2,FALSE)+5,FALSE),"")</f>
        <v/>
      </c>
      <c r="Q524" s="4" t="str">
        <f ca="1">IFERROR(VLOOKUP($L524,Calculation!$H$6:$S$1005,HLOOKUP(Q$2,Calculation!$M$4:$S$5,2,FALSE)+5,FALSE),"")</f>
        <v/>
      </c>
      <c r="R524" s="27" t="str">
        <f ca="1">IFERROR(VLOOKUP($L524,Calculation!$H$6:$S$1005,HLOOKUP(R$2,Calculation!$M$4:$S$5,2,FALSE)+5,FALSE),"")</f>
        <v/>
      </c>
      <c r="S524" s="4" t="str">
        <f ca="1">IFERROR(VLOOKUP($L524,Calculation!$H$6:$S$1005,HLOOKUP(S$2,Calculation!$M$4:$S$5,2,FALSE)+5,FALSE),"")</f>
        <v/>
      </c>
      <c r="T524" s="29"/>
      <c r="U524" s="43" t="str">
        <f>IFERROR(VLOOKUP(T524,Calculation!$U$6:$V$11,2,FALSE),"")</f>
        <v/>
      </c>
    </row>
    <row r="525" spans="1:21" ht="14.25" customHeight="1" x14ac:dyDescent="0.3">
      <c r="A525" s="26" t="str">
        <f ca="1">IF(Calculation!T528&lt;=Calculation!$H$4,Calculation!T528,"")</f>
        <v/>
      </c>
      <c r="B525" s="4" t="str">
        <f ca="1">VLOOKUP(A525,Calculation!$E$6:$J$1004,4,FALSE)</f>
        <v/>
      </c>
      <c r="C525" s="4" t="str">
        <f ca="1">VLOOKUP(A525,Calculation!$E$6:$J$1004,5,FALSE)</f>
        <v/>
      </c>
      <c r="D525" s="4" t="str">
        <f ca="1">VLOOKUP(A525,Calculation!$E$6:$J$1004,6,FALSE)</f>
        <v/>
      </c>
      <c r="E525" s="42" t="str">
        <f t="shared" ca="1" si="4"/>
        <v/>
      </c>
      <c r="G525" s="29" t="str">
        <f ca="1">VLOOKUP(A525,Calculation!$F$6:$J$1004,3,FALSE)</f>
        <v/>
      </c>
      <c r="H525" s="4" t="str">
        <f ca="1">VLOOKUP(A525,Calculation!$F$6:$J$1004,4,FALSE)</f>
        <v/>
      </c>
      <c r="I525" s="4" t="str">
        <f ca="1">VLOOKUP(A525,Calculation!$F$6:$J$1004,5,FALSE)</f>
        <v/>
      </c>
      <c r="J525" s="43" t="str">
        <f t="shared" ca="1" si="5"/>
        <v/>
      </c>
      <c r="L525" s="29" t="str">
        <f ca="1">VLOOKUP(A525,Calculation!$G$6:$S$1004,2,FALSE)</f>
        <v/>
      </c>
      <c r="M525" s="4" t="str">
        <f ca="1">IFERROR(VLOOKUP($L525,Calculation!$H$6:$S$1005,HLOOKUP(M$2,Calculation!$M$4:$S$5,2,FALSE)+5,FALSE),"")</f>
        <v/>
      </c>
      <c r="N525" s="4" t="str">
        <f ca="1">IFERROR(VLOOKUP($L525,Calculation!$H$6:$S$1005,HLOOKUP(N$2,Calculation!$M$4:$S$5,2,FALSE)+5,FALSE),"")</f>
        <v/>
      </c>
      <c r="O525" s="4" t="str">
        <f ca="1">IFERROR(VLOOKUP($L525,Calculation!$H$6:$S$1005,HLOOKUP(O$2,Calculation!$M$4:$S$5,2,FALSE)+5,FALSE),"")</f>
        <v/>
      </c>
      <c r="P525" s="4" t="str">
        <f ca="1">IFERROR(VLOOKUP($L525,Calculation!$H$6:$S$1005,HLOOKUP(P$2,Calculation!$M$4:$S$5,2,FALSE)+5,FALSE),"")</f>
        <v/>
      </c>
      <c r="Q525" s="4" t="str">
        <f ca="1">IFERROR(VLOOKUP($L525,Calculation!$H$6:$S$1005,HLOOKUP(Q$2,Calculation!$M$4:$S$5,2,FALSE)+5,FALSE),"")</f>
        <v/>
      </c>
      <c r="R525" s="27" t="str">
        <f ca="1">IFERROR(VLOOKUP($L525,Calculation!$H$6:$S$1005,HLOOKUP(R$2,Calculation!$M$4:$S$5,2,FALSE)+5,FALSE),"")</f>
        <v/>
      </c>
      <c r="S525" s="4" t="str">
        <f ca="1">IFERROR(VLOOKUP($L525,Calculation!$H$6:$S$1005,HLOOKUP(S$2,Calculation!$M$4:$S$5,2,FALSE)+5,FALSE),"")</f>
        <v/>
      </c>
      <c r="T525" s="29"/>
      <c r="U525" s="43" t="str">
        <f>IFERROR(VLOOKUP(T525,Calculation!$U$6:$V$11,2,FALSE),"")</f>
        <v/>
      </c>
    </row>
    <row r="526" spans="1:21" ht="14.25" customHeight="1" x14ac:dyDescent="0.3">
      <c r="A526" s="26" t="str">
        <f ca="1">IF(Calculation!T529&lt;=Calculation!$H$4,Calculation!T529,"")</f>
        <v/>
      </c>
      <c r="B526" s="4" t="str">
        <f ca="1">VLOOKUP(A526,Calculation!$E$6:$J$1004,4,FALSE)</f>
        <v/>
      </c>
      <c r="C526" s="4" t="str">
        <f ca="1">VLOOKUP(A526,Calculation!$E$6:$J$1004,5,FALSE)</f>
        <v/>
      </c>
      <c r="D526" s="4" t="str">
        <f ca="1">VLOOKUP(A526,Calculation!$E$6:$J$1004,6,FALSE)</f>
        <v/>
      </c>
      <c r="E526" s="42" t="str">
        <f t="shared" ca="1" si="4"/>
        <v/>
      </c>
      <c r="G526" s="29" t="str">
        <f ca="1">VLOOKUP(A526,Calculation!$F$6:$J$1004,3,FALSE)</f>
        <v/>
      </c>
      <c r="H526" s="4" t="str">
        <f ca="1">VLOOKUP(A526,Calculation!$F$6:$J$1004,4,FALSE)</f>
        <v/>
      </c>
      <c r="I526" s="4" t="str">
        <f ca="1">VLOOKUP(A526,Calculation!$F$6:$J$1004,5,FALSE)</f>
        <v/>
      </c>
      <c r="J526" s="43" t="str">
        <f t="shared" ca="1" si="5"/>
        <v/>
      </c>
      <c r="L526" s="29" t="str">
        <f ca="1">VLOOKUP(A526,Calculation!$G$6:$S$1004,2,FALSE)</f>
        <v/>
      </c>
      <c r="M526" s="4" t="str">
        <f ca="1">IFERROR(VLOOKUP($L526,Calculation!$H$6:$S$1005,HLOOKUP(M$2,Calculation!$M$4:$S$5,2,FALSE)+5,FALSE),"")</f>
        <v/>
      </c>
      <c r="N526" s="4" t="str">
        <f ca="1">IFERROR(VLOOKUP($L526,Calculation!$H$6:$S$1005,HLOOKUP(N$2,Calculation!$M$4:$S$5,2,FALSE)+5,FALSE),"")</f>
        <v/>
      </c>
      <c r="O526" s="4" t="str">
        <f ca="1">IFERROR(VLOOKUP($L526,Calculation!$H$6:$S$1005,HLOOKUP(O$2,Calculation!$M$4:$S$5,2,FALSE)+5,FALSE),"")</f>
        <v/>
      </c>
      <c r="P526" s="4" t="str">
        <f ca="1">IFERROR(VLOOKUP($L526,Calculation!$H$6:$S$1005,HLOOKUP(P$2,Calculation!$M$4:$S$5,2,FALSE)+5,FALSE),"")</f>
        <v/>
      </c>
      <c r="Q526" s="4" t="str">
        <f ca="1">IFERROR(VLOOKUP($L526,Calculation!$H$6:$S$1005,HLOOKUP(Q$2,Calculation!$M$4:$S$5,2,FALSE)+5,FALSE),"")</f>
        <v/>
      </c>
      <c r="R526" s="27" t="str">
        <f ca="1">IFERROR(VLOOKUP($L526,Calculation!$H$6:$S$1005,HLOOKUP(R$2,Calculation!$M$4:$S$5,2,FALSE)+5,FALSE),"")</f>
        <v/>
      </c>
      <c r="S526" s="4" t="str">
        <f ca="1">IFERROR(VLOOKUP($L526,Calculation!$H$6:$S$1005,HLOOKUP(S$2,Calculation!$M$4:$S$5,2,FALSE)+5,FALSE),"")</f>
        <v/>
      </c>
      <c r="T526" s="29"/>
      <c r="U526" s="43" t="str">
        <f>IFERROR(VLOOKUP(T526,Calculation!$U$6:$V$11,2,FALSE),"")</f>
        <v/>
      </c>
    </row>
    <row r="527" spans="1:21" ht="14.25" customHeight="1" x14ac:dyDescent="0.3">
      <c r="A527" s="26" t="str">
        <f ca="1">IF(Calculation!T530&lt;=Calculation!$H$4,Calculation!T530,"")</f>
        <v/>
      </c>
      <c r="B527" s="4" t="str">
        <f ca="1">VLOOKUP(A527,Calculation!$E$6:$J$1004,4,FALSE)</f>
        <v/>
      </c>
      <c r="C527" s="4" t="str">
        <f ca="1">VLOOKUP(A527,Calculation!$E$6:$J$1004,5,FALSE)</f>
        <v/>
      </c>
      <c r="D527" s="4" t="str">
        <f ca="1">VLOOKUP(A527,Calculation!$E$6:$J$1004,6,FALSE)</f>
        <v/>
      </c>
      <c r="E527" s="42" t="str">
        <f t="shared" ca="1" si="4"/>
        <v/>
      </c>
      <c r="G527" s="29" t="str">
        <f ca="1">VLOOKUP(A527,Calculation!$F$6:$J$1004,3,FALSE)</f>
        <v/>
      </c>
      <c r="H527" s="4" t="str">
        <f ca="1">VLOOKUP(A527,Calculation!$F$6:$J$1004,4,FALSE)</f>
        <v/>
      </c>
      <c r="I527" s="4" t="str">
        <f ca="1">VLOOKUP(A527,Calculation!$F$6:$J$1004,5,FALSE)</f>
        <v/>
      </c>
      <c r="J527" s="43" t="str">
        <f t="shared" ca="1" si="5"/>
        <v/>
      </c>
      <c r="L527" s="29" t="str">
        <f ca="1">VLOOKUP(A527,Calculation!$G$6:$S$1004,2,FALSE)</f>
        <v/>
      </c>
      <c r="M527" s="4" t="str">
        <f ca="1">IFERROR(VLOOKUP($L527,Calculation!$H$6:$S$1005,HLOOKUP(M$2,Calculation!$M$4:$S$5,2,FALSE)+5,FALSE),"")</f>
        <v/>
      </c>
      <c r="N527" s="4" t="str">
        <f ca="1">IFERROR(VLOOKUP($L527,Calculation!$H$6:$S$1005,HLOOKUP(N$2,Calculation!$M$4:$S$5,2,FALSE)+5,FALSE),"")</f>
        <v/>
      </c>
      <c r="O527" s="4" t="str">
        <f ca="1">IFERROR(VLOOKUP($L527,Calculation!$H$6:$S$1005,HLOOKUP(O$2,Calculation!$M$4:$S$5,2,FALSE)+5,FALSE),"")</f>
        <v/>
      </c>
      <c r="P527" s="4" t="str">
        <f ca="1">IFERROR(VLOOKUP($L527,Calculation!$H$6:$S$1005,HLOOKUP(P$2,Calculation!$M$4:$S$5,2,FALSE)+5,FALSE),"")</f>
        <v/>
      </c>
      <c r="Q527" s="4" t="str">
        <f ca="1">IFERROR(VLOOKUP($L527,Calculation!$H$6:$S$1005,HLOOKUP(Q$2,Calculation!$M$4:$S$5,2,FALSE)+5,FALSE),"")</f>
        <v/>
      </c>
      <c r="R527" s="27" t="str">
        <f ca="1">IFERROR(VLOOKUP($L527,Calculation!$H$6:$S$1005,HLOOKUP(R$2,Calculation!$M$4:$S$5,2,FALSE)+5,FALSE),"")</f>
        <v/>
      </c>
      <c r="S527" s="4" t="str">
        <f ca="1">IFERROR(VLOOKUP($L527,Calculation!$H$6:$S$1005,HLOOKUP(S$2,Calculation!$M$4:$S$5,2,FALSE)+5,FALSE),"")</f>
        <v/>
      </c>
      <c r="T527" s="29"/>
      <c r="U527" s="43" t="str">
        <f>IFERROR(VLOOKUP(T527,Calculation!$U$6:$V$11,2,FALSE),"")</f>
        <v/>
      </c>
    </row>
    <row r="528" spans="1:21" ht="14.25" customHeight="1" x14ac:dyDescent="0.3">
      <c r="A528" s="26" t="str">
        <f ca="1">IF(Calculation!T531&lt;=Calculation!$H$4,Calculation!T531,"")</f>
        <v/>
      </c>
      <c r="B528" s="4" t="str">
        <f ca="1">VLOOKUP(A528,Calculation!$E$6:$J$1004,4,FALSE)</f>
        <v/>
      </c>
      <c r="C528" s="4" t="str">
        <f ca="1">VLOOKUP(A528,Calculation!$E$6:$J$1004,5,FALSE)</f>
        <v/>
      </c>
      <c r="D528" s="4" t="str">
        <f ca="1">VLOOKUP(A528,Calculation!$E$6:$J$1004,6,FALSE)</f>
        <v/>
      </c>
      <c r="E528" s="42" t="str">
        <f t="shared" ca="1" si="4"/>
        <v/>
      </c>
      <c r="G528" s="29" t="str">
        <f ca="1">VLOOKUP(A528,Calculation!$F$6:$J$1004,3,FALSE)</f>
        <v/>
      </c>
      <c r="H528" s="4" t="str">
        <f ca="1">VLOOKUP(A528,Calculation!$F$6:$J$1004,4,FALSE)</f>
        <v/>
      </c>
      <c r="I528" s="4" t="str">
        <f ca="1">VLOOKUP(A528,Calculation!$F$6:$J$1004,5,FALSE)</f>
        <v/>
      </c>
      <c r="J528" s="43" t="str">
        <f t="shared" ca="1" si="5"/>
        <v/>
      </c>
      <c r="L528" s="29" t="str">
        <f ca="1">VLOOKUP(A528,Calculation!$G$6:$S$1004,2,FALSE)</f>
        <v/>
      </c>
      <c r="M528" s="4" t="str">
        <f ca="1">IFERROR(VLOOKUP($L528,Calculation!$H$6:$S$1005,HLOOKUP(M$2,Calculation!$M$4:$S$5,2,FALSE)+5,FALSE),"")</f>
        <v/>
      </c>
      <c r="N528" s="4" t="str">
        <f ca="1">IFERROR(VLOOKUP($L528,Calculation!$H$6:$S$1005,HLOOKUP(N$2,Calculation!$M$4:$S$5,2,FALSE)+5,FALSE),"")</f>
        <v/>
      </c>
      <c r="O528" s="4" t="str">
        <f ca="1">IFERROR(VLOOKUP($L528,Calculation!$H$6:$S$1005,HLOOKUP(O$2,Calculation!$M$4:$S$5,2,FALSE)+5,FALSE),"")</f>
        <v/>
      </c>
      <c r="P528" s="4" t="str">
        <f ca="1">IFERROR(VLOOKUP($L528,Calculation!$H$6:$S$1005,HLOOKUP(P$2,Calculation!$M$4:$S$5,2,FALSE)+5,FALSE),"")</f>
        <v/>
      </c>
      <c r="Q528" s="4" t="str">
        <f ca="1">IFERROR(VLOOKUP($L528,Calculation!$H$6:$S$1005,HLOOKUP(Q$2,Calculation!$M$4:$S$5,2,FALSE)+5,FALSE),"")</f>
        <v/>
      </c>
      <c r="R528" s="27" t="str">
        <f ca="1">IFERROR(VLOOKUP($L528,Calculation!$H$6:$S$1005,HLOOKUP(R$2,Calculation!$M$4:$S$5,2,FALSE)+5,FALSE),"")</f>
        <v/>
      </c>
      <c r="S528" s="4" t="str">
        <f ca="1">IFERROR(VLOOKUP($L528,Calculation!$H$6:$S$1005,HLOOKUP(S$2,Calculation!$M$4:$S$5,2,FALSE)+5,FALSE),"")</f>
        <v/>
      </c>
      <c r="T528" s="29"/>
      <c r="U528" s="43" t="str">
        <f>IFERROR(VLOOKUP(T528,Calculation!$U$6:$V$11,2,FALSE),"")</f>
        <v/>
      </c>
    </row>
    <row r="529" spans="1:21" ht="14.25" customHeight="1" x14ac:dyDescent="0.3">
      <c r="A529" s="26" t="str">
        <f ca="1">IF(Calculation!T532&lt;=Calculation!$H$4,Calculation!T532,"")</f>
        <v/>
      </c>
      <c r="B529" s="4" t="str">
        <f ca="1">VLOOKUP(A529,Calculation!$E$6:$J$1004,4,FALSE)</f>
        <v/>
      </c>
      <c r="C529" s="4" t="str">
        <f ca="1">VLOOKUP(A529,Calculation!$E$6:$J$1004,5,FALSE)</f>
        <v/>
      </c>
      <c r="D529" s="4" t="str">
        <f ca="1">VLOOKUP(A529,Calculation!$E$6:$J$1004,6,FALSE)</f>
        <v/>
      </c>
      <c r="E529" s="42" t="str">
        <f t="shared" ca="1" si="4"/>
        <v/>
      </c>
      <c r="G529" s="29" t="str">
        <f ca="1">VLOOKUP(A529,Calculation!$F$6:$J$1004,3,FALSE)</f>
        <v/>
      </c>
      <c r="H529" s="4" t="str">
        <f ca="1">VLOOKUP(A529,Calculation!$F$6:$J$1004,4,FALSE)</f>
        <v/>
      </c>
      <c r="I529" s="4" t="str">
        <f ca="1">VLOOKUP(A529,Calculation!$F$6:$J$1004,5,FALSE)</f>
        <v/>
      </c>
      <c r="J529" s="43" t="str">
        <f t="shared" ca="1" si="5"/>
        <v/>
      </c>
      <c r="L529" s="29" t="str">
        <f ca="1">VLOOKUP(A529,Calculation!$G$6:$S$1004,2,FALSE)</f>
        <v/>
      </c>
      <c r="M529" s="4" t="str">
        <f ca="1">IFERROR(VLOOKUP($L529,Calculation!$H$6:$S$1005,HLOOKUP(M$2,Calculation!$M$4:$S$5,2,FALSE)+5,FALSE),"")</f>
        <v/>
      </c>
      <c r="N529" s="4" t="str">
        <f ca="1">IFERROR(VLOOKUP($L529,Calculation!$H$6:$S$1005,HLOOKUP(N$2,Calculation!$M$4:$S$5,2,FALSE)+5,FALSE),"")</f>
        <v/>
      </c>
      <c r="O529" s="4" t="str">
        <f ca="1">IFERROR(VLOOKUP($L529,Calculation!$H$6:$S$1005,HLOOKUP(O$2,Calculation!$M$4:$S$5,2,FALSE)+5,FALSE),"")</f>
        <v/>
      </c>
      <c r="P529" s="4" t="str">
        <f ca="1">IFERROR(VLOOKUP($L529,Calculation!$H$6:$S$1005,HLOOKUP(P$2,Calculation!$M$4:$S$5,2,FALSE)+5,FALSE),"")</f>
        <v/>
      </c>
      <c r="Q529" s="4" t="str">
        <f ca="1">IFERROR(VLOOKUP($L529,Calculation!$H$6:$S$1005,HLOOKUP(Q$2,Calculation!$M$4:$S$5,2,FALSE)+5,FALSE),"")</f>
        <v/>
      </c>
      <c r="R529" s="27" t="str">
        <f ca="1">IFERROR(VLOOKUP($L529,Calculation!$H$6:$S$1005,HLOOKUP(R$2,Calculation!$M$4:$S$5,2,FALSE)+5,FALSE),"")</f>
        <v/>
      </c>
      <c r="S529" s="4" t="str">
        <f ca="1">IFERROR(VLOOKUP($L529,Calculation!$H$6:$S$1005,HLOOKUP(S$2,Calculation!$M$4:$S$5,2,FALSE)+5,FALSE),"")</f>
        <v/>
      </c>
      <c r="T529" s="29"/>
      <c r="U529" s="43" t="str">
        <f>IFERROR(VLOOKUP(T529,Calculation!$U$6:$V$11,2,FALSE),"")</f>
        <v/>
      </c>
    </row>
    <row r="530" spans="1:21" ht="14.25" customHeight="1" x14ac:dyDescent="0.3">
      <c r="A530" s="26" t="str">
        <f ca="1">IF(Calculation!T533&lt;=Calculation!$H$4,Calculation!T533,"")</f>
        <v/>
      </c>
      <c r="B530" s="4" t="str">
        <f ca="1">VLOOKUP(A530,Calculation!$E$6:$J$1004,4,FALSE)</f>
        <v/>
      </c>
      <c r="C530" s="4" t="str">
        <f ca="1">VLOOKUP(A530,Calculation!$E$6:$J$1004,5,FALSE)</f>
        <v/>
      </c>
      <c r="D530" s="4" t="str">
        <f ca="1">VLOOKUP(A530,Calculation!$E$6:$J$1004,6,FALSE)</f>
        <v/>
      </c>
      <c r="E530" s="42" t="str">
        <f t="shared" ca="1" si="4"/>
        <v/>
      </c>
      <c r="G530" s="29" t="str">
        <f ca="1">VLOOKUP(A530,Calculation!$F$6:$J$1004,3,FALSE)</f>
        <v/>
      </c>
      <c r="H530" s="4" t="str">
        <f ca="1">VLOOKUP(A530,Calculation!$F$6:$J$1004,4,FALSE)</f>
        <v/>
      </c>
      <c r="I530" s="4" t="str">
        <f ca="1">VLOOKUP(A530,Calculation!$F$6:$J$1004,5,FALSE)</f>
        <v/>
      </c>
      <c r="J530" s="43" t="str">
        <f t="shared" ca="1" si="5"/>
        <v/>
      </c>
      <c r="L530" s="29" t="str">
        <f ca="1">VLOOKUP(A530,Calculation!$G$6:$S$1004,2,FALSE)</f>
        <v/>
      </c>
      <c r="M530" s="4" t="str">
        <f ca="1">IFERROR(VLOOKUP($L530,Calculation!$H$6:$S$1005,HLOOKUP(M$2,Calculation!$M$4:$S$5,2,FALSE)+5,FALSE),"")</f>
        <v/>
      </c>
      <c r="N530" s="4" t="str">
        <f ca="1">IFERROR(VLOOKUP($L530,Calculation!$H$6:$S$1005,HLOOKUP(N$2,Calculation!$M$4:$S$5,2,FALSE)+5,FALSE),"")</f>
        <v/>
      </c>
      <c r="O530" s="4" t="str">
        <f ca="1">IFERROR(VLOOKUP($L530,Calculation!$H$6:$S$1005,HLOOKUP(O$2,Calculation!$M$4:$S$5,2,FALSE)+5,FALSE),"")</f>
        <v/>
      </c>
      <c r="P530" s="4" t="str">
        <f ca="1">IFERROR(VLOOKUP($L530,Calculation!$H$6:$S$1005,HLOOKUP(P$2,Calculation!$M$4:$S$5,2,FALSE)+5,FALSE),"")</f>
        <v/>
      </c>
      <c r="Q530" s="4" t="str">
        <f ca="1">IFERROR(VLOOKUP($L530,Calculation!$H$6:$S$1005,HLOOKUP(Q$2,Calculation!$M$4:$S$5,2,FALSE)+5,FALSE),"")</f>
        <v/>
      </c>
      <c r="R530" s="27" t="str">
        <f ca="1">IFERROR(VLOOKUP($L530,Calculation!$H$6:$S$1005,HLOOKUP(R$2,Calculation!$M$4:$S$5,2,FALSE)+5,FALSE),"")</f>
        <v/>
      </c>
      <c r="S530" s="4" t="str">
        <f ca="1">IFERROR(VLOOKUP($L530,Calculation!$H$6:$S$1005,HLOOKUP(S$2,Calculation!$M$4:$S$5,2,FALSE)+5,FALSE),"")</f>
        <v/>
      </c>
      <c r="T530" s="29"/>
      <c r="U530" s="43" t="str">
        <f>IFERROR(VLOOKUP(T530,Calculation!$U$6:$V$11,2,FALSE),"")</f>
        <v/>
      </c>
    </row>
    <row r="531" spans="1:21" ht="14.25" customHeight="1" x14ac:dyDescent="0.3">
      <c r="A531" s="26" t="str">
        <f ca="1">IF(Calculation!T534&lt;=Calculation!$H$4,Calculation!T534,"")</f>
        <v/>
      </c>
      <c r="B531" s="4" t="str">
        <f ca="1">VLOOKUP(A531,Calculation!$E$6:$J$1004,4,FALSE)</f>
        <v/>
      </c>
      <c r="C531" s="4" t="str">
        <f ca="1">VLOOKUP(A531,Calculation!$E$6:$J$1004,5,FALSE)</f>
        <v/>
      </c>
      <c r="D531" s="4" t="str">
        <f ca="1">VLOOKUP(A531,Calculation!$E$6:$J$1004,6,FALSE)</f>
        <v/>
      </c>
      <c r="E531" s="42" t="str">
        <f t="shared" ca="1" si="4"/>
        <v/>
      </c>
      <c r="G531" s="29" t="str">
        <f ca="1">VLOOKUP(A531,Calculation!$F$6:$J$1004,3,FALSE)</f>
        <v/>
      </c>
      <c r="H531" s="4" t="str">
        <f ca="1">VLOOKUP(A531,Calculation!$F$6:$J$1004,4,FALSE)</f>
        <v/>
      </c>
      <c r="I531" s="4" t="str">
        <f ca="1">VLOOKUP(A531,Calculation!$F$6:$J$1004,5,FALSE)</f>
        <v/>
      </c>
      <c r="J531" s="43" t="str">
        <f t="shared" ca="1" si="5"/>
        <v/>
      </c>
      <c r="L531" s="29" t="str">
        <f ca="1">VLOOKUP(A531,Calculation!$G$6:$S$1004,2,FALSE)</f>
        <v/>
      </c>
      <c r="M531" s="4" t="str">
        <f ca="1">IFERROR(VLOOKUP($L531,Calculation!$H$6:$S$1005,HLOOKUP(M$2,Calculation!$M$4:$S$5,2,FALSE)+5,FALSE),"")</f>
        <v/>
      </c>
      <c r="N531" s="4" t="str">
        <f ca="1">IFERROR(VLOOKUP($L531,Calculation!$H$6:$S$1005,HLOOKUP(N$2,Calculation!$M$4:$S$5,2,FALSE)+5,FALSE),"")</f>
        <v/>
      </c>
      <c r="O531" s="4" t="str">
        <f ca="1">IFERROR(VLOOKUP($L531,Calculation!$H$6:$S$1005,HLOOKUP(O$2,Calculation!$M$4:$S$5,2,FALSE)+5,FALSE),"")</f>
        <v/>
      </c>
      <c r="P531" s="4" t="str">
        <f ca="1">IFERROR(VLOOKUP($L531,Calculation!$H$6:$S$1005,HLOOKUP(P$2,Calculation!$M$4:$S$5,2,FALSE)+5,FALSE),"")</f>
        <v/>
      </c>
      <c r="Q531" s="4" t="str">
        <f ca="1">IFERROR(VLOOKUP($L531,Calculation!$H$6:$S$1005,HLOOKUP(Q$2,Calculation!$M$4:$S$5,2,FALSE)+5,FALSE),"")</f>
        <v/>
      </c>
      <c r="R531" s="27" t="str">
        <f ca="1">IFERROR(VLOOKUP($L531,Calculation!$H$6:$S$1005,HLOOKUP(R$2,Calculation!$M$4:$S$5,2,FALSE)+5,FALSE),"")</f>
        <v/>
      </c>
      <c r="S531" s="4" t="str">
        <f ca="1">IFERROR(VLOOKUP($L531,Calculation!$H$6:$S$1005,HLOOKUP(S$2,Calculation!$M$4:$S$5,2,FALSE)+5,FALSE),"")</f>
        <v/>
      </c>
      <c r="T531" s="29"/>
      <c r="U531" s="43" t="str">
        <f>IFERROR(VLOOKUP(T531,Calculation!$U$6:$V$11,2,FALSE),"")</f>
        <v/>
      </c>
    </row>
    <row r="532" spans="1:21" ht="14.25" customHeight="1" x14ac:dyDescent="0.3">
      <c r="A532" s="26" t="str">
        <f ca="1">IF(Calculation!T535&lt;=Calculation!$H$4,Calculation!T535,"")</f>
        <v/>
      </c>
      <c r="B532" s="4" t="str">
        <f ca="1">VLOOKUP(A532,Calculation!$E$6:$J$1004,4,FALSE)</f>
        <v/>
      </c>
      <c r="C532" s="4" t="str">
        <f ca="1">VLOOKUP(A532,Calculation!$E$6:$J$1004,5,FALSE)</f>
        <v/>
      </c>
      <c r="D532" s="4" t="str">
        <f ca="1">VLOOKUP(A532,Calculation!$E$6:$J$1004,6,FALSE)</f>
        <v/>
      </c>
      <c r="E532" s="42" t="str">
        <f t="shared" ca="1" si="4"/>
        <v/>
      </c>
      <c r="G532" s="29" t="str">
        <f ca="1">VLOOKUP(A532,Calculation!$F$6:$J$1004,3,FALSE)</f>
        <v/>
      </c>
      <c r="H532" s="4" t="str">
        <f ca="1">VLOOKUP(A532,Calculation!$F$6:$J$1004,4,FALSE)</f>
        <v/>
      </c>
      <c r="I532" s="4" t="str">
        <f ca="1">VLOOKUP(A532,Calculation!$F$6:$J$1004,5,FALSE)</f>
        <v/>
      </c>
      <c r="J532" s="43" t="str">
        <f t="shared" ca="1" si="5"/>
        <v/>
      </c>
      <c r="L532" s="29" t="str">
        <f ca="1">VLOOKUP(A532,Calculation!$G$6:$S$1004,2,FALSE)</f>
        <v/>
      </c>
      <c r="M532" s="4" t="str">
        <f ca="1">IFERROR(VLOOKUP($L532,Calculation!$H$6:$S$1005,HLOOKUP(M$2,Calculation!$M$4:$S$5,2,FALSE)+5,FALSE),"")</f>
        <v/>
      </c>
      <c r="N532" s="4" t="str">
        <f ca="1">IFERROR(VLOOKUP($L532,Calculation!$H$6:$S$1005,HLOOKUP(N$2,Calculation!$M$4:$S$5,2,FALSE)+5,FALSE),"")</f>
        <v/>
      </c>
      <c r="O532" s="4" t="str">
        <f ca="1">IFERROR(VLOOKUP($L532,Calculation!$H$6:$S$1005,HLOOKUP(O$2,Calculation!$M$4:$S$5,2,FALSE)+5,FALSE),"")</f>
        <v/>
      </c>
      <c r="P532" s="4" t="str">
        <f ca="1">IFERROR(VLOOKUP($L532,Calculation!$H$6:$S$1005,HLOOKUP(P$2,Calculation!$M$4:$S$5,2,FALSE)+5,FALSE),"")</f>
        <v/>
      </c>
      <c r="Q532" s="4" t="str">
        <f ca="1">IFERROR(VLOOKUP($L532,Calculation!$H$6:$S$1005,HLOOKUP(Q$2,Calculation!$M$4:$S$5,2,FALSE)+5,FALSE),"")</f>
        <v/>
      </c>
      <c r="R532" s="27" t="str">
        <f ca="1">IFERROR(VLOOKUP($L532,Calculation!$H$6:$S$1005,HLOOKUP(R$2,Calculation!$M$4:$S$5,2,FALSE)+5,FALSE),"")</f>
        <v/>
      </c>
      <c r="S532" s="4" t="str">
        <f ca="1">IFERROR(VLOOKUP($L532,Calculation!$H$6:$S$1005,HLOOKUP(S$2,Calculation!$M$4:$S$5,2,FALSE)+5,FALSE),"")</f>
        <v/>
      </c>
      <c r="T532" s="29"/>
      <c r="U532" s="43" t="str">
        <f>IFERROR(VLOOKUP(T532,Calculation!$U$6:$V$11,2,FALSE),"")</f>
        <v/>
      </c>
    </row>
    <row r="533" spans="1:21" ht="14.25" customHeight="1" x14ac:dyDescent="0.3">
      <c r="A533" s="26" t="str">
        <f ca="1">IF(Calculation!T536&lt;=Calculation!$H$4,Calculation!T536,"")</f>
        <v/>
      </c>
      <c r="B533" s="4" t="str">
        <f ca="1">VLOOKUP(A533,Calculation!$E$6:$J$1004,4,FALSE)</f>
        <v/>
      </c>
      <c r="C533" s="4" t="str">
        <f ca="1">VLOOKUP(A533,Calculation!$E$6:$J$1004,5,FALSE)</f>
        <v/>
      </c>
      <c r="D533" s="4" t="str">
        <f ca="1">VLOOKUP(A533,Calculation!$E$6:$J$1004,6,FALSE)</f>
        <v/>
      </c>
      <c r="E533" s="42" t="str">
        <f t="shared" ca="1" si="4"/>
        <v/>
      </c>
      <c r="G533" s="29" t="str">
        <f ca="1">VLOOKUP(A533,Calculation!$F$6:$J$1004,3,FALSE)</f>
        <v/>
      </c>
      <c r="H533" s="4" t="str">
        <f ca="1">VLOOKUP(A533,Calculation!$F$6:$J$1004,4,FALSE)</f>
        <v/>
      </c>
      <c r="I533" s="4" t="str">
        <f ca="1">VLOOKUP(A533,Calculation!$F$6:$J$1004,5,FALSE)</f>
        <v/>
      </c>
      <c r="J533" s="43" t="str">
        <f t="shared" ca="1" si="5"/>
        <v/>
      </c>
      <c r="L533" s="29" t="str">
        <f ca="1">VLOOKUP(A533,Calculation!$G$6:$S$1004,2,FALSE)</f>
        <v/>
      </c>
      <c r="M533" s="4" t="str">
        <f ca="1">IFERROR(VLOOKUP($L533,Calculation!$H$6:$S$1005,HLOOKUP(M$2,Calculation!$M$4:$S$5,2,FALSE)+5,FALSE),"")</f>
        <v/>
      </c>
      <c r="N533" s="4" t="str">
        <f ca="1">IFERROR(VLOOKUP($L533,Calculation!$H$6:$S$1005,HLOOKUP(N$2,Calculation!$M$4:$S$5,2,FALSE)+5,FALSE),"")</f>
        <v/>
      </c>
      <c r="O533" s="4" t="str">
        <f ca="1">IFERROR(VLOOKUP($L533,Calculation!$H$6:$S$1005,HLOOKUP(O$2,Calculation!$M$4:$S$5,2,FALSE)+5,FALSE),"")</f>
        <v/>
      </c>
      <c r="P533" s="4" t="str">
        <f ca="1">IFERROR(VLOOKUP($L533,Calculation!$H$6:$S$1005,HLOOKUP(P$2,Calculation!$M$4:$S$5,2,FALSE)+5,FALSE),"")</f>
        <v/>
      </c>
      <c r="Q533" s="4" t="str">
        <f ca="1">IFERROR(VLOOKUP($L533,Calculation!$H$6:$S$1005,HLOOKUP(Q$2,Calculation!$M$4:$S$5,2,FALSE)+5,FALSE),"")</f>
        <v/>
      </c>
      <c r="R533" s="27" t="str">
        <f ca="1">IFERROR(VLOOKUP($L533,Calculation!$H$6:$S$1005,HLOOKUP(R$2,Calculation!$M$4:$S$5,2,FALSE)+5,FALSE),"")</f>
        <v/>
      </c>
      <c r="S533" s="4" t="str">
        <f ca="1">IFERROR(VLOOKUP($L533,Calculation!$H$6:$S$1005,HLOOKUP(S$2,Calculation!$M$4:$S$5,2,FALSE)+5,FALSE),"")</f>
        <v/>
      </c>
      <c r="T533" s="29"/>
      <c r="U533" s="43" t="str">
        <f>IFERROR(VLOOKUP(T533,Calculation!$U$6:$V$11,2,FALSE),"")</f>
        <v/>
      </c>
    </row>
    <row r="534" spans="1:21" ht="14.25" customHeight="1" x14ac:dyDescent="0.3">
      <c r="A534" s="26" t="str">
        <f ca="1">IF(Calculation!T537&lt;=Calculation!$H$4,Calculation!T537,"")</f>
        <v/>
      </c>
      <c r="B534" s="4" t="str">
        <f ca="1">VLOOKUP(A534,Calculation!$E$6:$J$1004,4,FALSE)</f>
        <v/>
      </c>
      <c r="C534" s="4" t="str">
        <f ca="1">VLOOKUP(A534,Calculation!$E$6:$J$1004,5,FALSE)</f>
        <v/>
      </c>
      <c r="D534" s="4" t="str">
        <f ca="1">VLOOKUP(A534,Calculation!$E$6:$J$1004,6,FALSE)</f>
        <v/>
      </c>
      <c r="E534" s="42" t="str">
        <f t="shared" ca="1" si="4"/>
        <v/>
      </c>
      <c r="G534" s="29" t="str">
        <f ca="1">VLOOKUP(A534,Calculation!$F$6:$J$1004,3,FALSE)</f>
        <v/>
      </c>
      <c r="H534" s="4" t="str">
        <f ca="1">VLOOKUP(A534,Calculation!$F$6:$J$1004,4,FALSE)</f>
        <v/>
      </c>
      <c r="I534" s="4" t="str">
        <f ca="1">VLOOKUP(A534,Calculation!$F$6:$J$1004,5,FALSE)</f>
        <v/>
      </c>
      <c r="J534" s="43" t="str">
        <f t="shared" ca="1" si="5"/>
        <v/>
      </c>
      <c r="L534" s="29" t="str">
        <f ca="1">VLOOKUP(A534,Calculation!$G$6:$S$1004,2,FALSE)</f>
        <v/>
      </c>
      <c r="M534" s="4" t="str">
        <f ca="1">IFERROR(VLOOKUP($L534,Calculation!$H$6:$S$1005,HLOOKUP(M$2,Calculation!$M$4:$S$5,2,FALSE)+5,FALSE),"")</f>
        <v/>
      </c>
      <c r="N534" s="4" t="str">
        <f ca="1">IFERROR(VLOOKUP($L534,Calculation!$H$6:$S$1005,HLOOKUP(N$2,Calculation!$M$4:$S$5,2,FALSE)+5,FALSE),"")</f>
        <v/>
      </c>
      <c r="O534" s="4" t="str">
        <f ca="1">IFERROR(VLOOKUP($L534,Calculation!$H$6:$S$1005,HLOOKUP(O$2,Calculation!$M$4:$S$5,2,FALSE)+5,FALSE),"")</f>
        <v/>
      </c>
      <c r="P534" s="4" t="str">
        <f ca="1">IFERROR(VLOOKUP($L534,Calculation!$H$6:$S$1005,HLOOKUP(P$2,Calculation!$M$4:$S$5,2,FALSE)+5,FALSE),"")</f>
        <v/>
      </c>
      <c r="Q534" s="4" t="str">
        <f ca="1">IFERROR(VLOOKUP($L534,Calculation!$H$6:$S$1005,HLOOKUP(Q$2,Calculation!$M$4:$S$5,2,FALSE)+5,FALSE),"")</f>
        <v/>
      </c>
      <c r="R534" s="27" t="str">
        <f ca="1">IFERROR(VLOOKUP($L534,Calculation!$H$6:$S$1005,HLOOKUP(R$2,Calculation!$M$4:$S$5,2,FALSE)+5,FALSE),"")</f>
        <v/>
      </c>
      <c r="S534" s="4" t="str">
        <f ca="1">IFERROR(VLOOKUP($L534,Calculation!$H$6:$S$1005,HLOOKUP(S$2,Calculation!$M$4:$S$5,2,FALSE)+5,FALSE),"")</f>
        <v/>
      </c>
      <c r="T534" s="29"/>
      <c r="U534" s="43" t="str">
        <f>IFERROR(VLOOKUP(T534,Calculation!$U$6:$V$11,2,FALSE),"")</f>
        <v/>
      </c>
    </row>
    <row r="535" spans="1:21" ht="14.25" customHeight="1" x14ac:dyDescent="0.3">
      <c r="A535" s="26" t="str">
        <f ca="1">IF(Calculation!T538&lt;=Calculation!$H$4,Calculation!T538,"")</f>
        <v/>
      </c>
      <c r="B535" s="4" t="str">
        <f ca="1">VLOOKUP(A535,Calculation!$E$6:$J$1004,4,FALSE)</f>
        <v/>
      </c>
      <c r="C535" s="4" t="str">
        <f ca="1">VLOOKUP(A535,Calculation!$E$6:$J$1004,5,FALSE)</f>
        <v/>
      </c>
      <c r="D535" s="4" t="str">
        <f ca="1">VLOOKUP(A535,Calculation!$E$6:$J$1004,6,FALSE)</f>
        <v/>
      </c>
      <c r="E535" s="42" t="str">
        <f t="shared" ca="1" si="4"/>
        <v/>
      </c>
      <c r="G535" s="29" t="str">
        <f ca="1">VLOOKUP(A535,Calculation!$F$6:$J$1004,3,FALSE)</f>
        <v/>
      </c>
      <c r="H535" s="4" t="str">
        <f ca="1">VLOOKUP(A535,Calculation!$F$6:$J$1004,4,FALSE)</f>
        <v/>
      </c>
      <c r="I535" s="4" t="str">
        <f ca="1">VLOOKUP(A535,Calculation!$F$6:$J$1004,5,FALSE)</f>
        <v/>
      </c>
      <c r="J535" s="43" t="str">
        <f t="shared" ca="1" si="5"/>
        <v/>
      </c>
      <c r="L535" s="29" t="str">
        <f ca="1">VLOOKUP(A535,Calculation!$G$6:$S$1004,2,FALSE)</f>
        <v/>
      </c>
      <c r="M535" s="4" t="str">
        <f ca="1">IFERROR(VLOOKUP($L535,Calculation!$H$6:$S$1005,HLOOKUP(M$2,Calculation!$M$4:$S$5,2,FALSE)+5,FALSE),"")</f>
        <v/>
      </c>
      <c r="N535" s="4" t="str">
        <f ca="1">IFERROR(VLOOKUP($L535,Calculation!$H$6:$S$1005,HLOOKUP(N$2,Calculation!$M$4:$S$5,2,FALSE)+5,FALSE),"")</f>
        <v/>
      </c>
      <c r="O535" s="4" t="str">
        <f ca="1">IFERROR(VLOOKUP($L535,Calculation!$H$6:$S$1005,HLOOKUP(O$2,Calculation!$M$4:$S$5,2,FALSE)+5,FALSE),"")</f>
        <v/>
      </c>
      <c r="P535" s="4" t="str">
        <f ca="1">IFERROR(VLOOKUP($L535,Calculation!$H$6:$S$1005,HLOOKUP(P$2,Calculation!$M$4:$S$5,2,FALSE)+5,FALSE),"")</f>
        <v/>
      </c>
      <c r="Q535" s="4" t="str">
        <f ca="1">IFERROR(VLOOKUP($L535,Calculation!$H$6:$S$1005,HLOOKUP(Q$2,Calculation!$M$4:$S$5,2,FALSE)+5,FALSE),"")</f>
        <v/>
      </c>
      <c r="R535" s="27" t="str">
        <f ca="1">IFERROR(VLOOKUP($L535,Calculation!$H$6:$S$1005,HLOOKUP(R$2,Calculation!$M$4:$S$5,2,FALSE)+5,FALSE),"")</f>
        <v/>
      </c>
      <c r="S535" s="4" t="str">
        <f ca="1">IFERROR(VLOOKUP($L535,Calculation!$H$6:$S$1005,HLOOKUP(S$2,Calculation!$M$4:$S$5,2,FALSE)+5,FALSE),"")</f>
        <v/>
      </c>
      <c r="T535" s="29"/>
      <c r="U535" s="43" t="str">
        <f>IFERROR(VLOOKUP(T535,Calculation!$U$6:$V$11,2,FALSE),"")</f>
        <v/>
      </c>
    </row>
    <row r="536" spans="1:21" ht="14.25" customHeight="1" x14ac:dyDescent="0.3">
      <c r="A536" s="26" t="str">
        <f ca="1">IF(Calculation!T539&lt;=Calculation!$H$4,Calculation!T539,"")</f>
        <v/>
      </c>
      <c r="B536" s="4" t="str">
        <f ca="1">VLOOKUP(A536,Calculation!$E$6:$J$1004,4,FALSE)</f>
        <v/>
      </c>
      <c r="C536" s="4" t="str">
        <f ca="1">VLOOKUP(A536,Calculation!$E$6:$J$1004,5,FALSE)</f>
        <v/>
      </c>
      <c r="D536" s="4" t="str">
        <f ca="1">VLOOKUP(A536,Calculation!$E$6:$J$1004,6,FALSE)</f>
        <v/>
      </c>
      <c r="E536" s="42" t="str">
        <f t="shared" ca="1" si="4"/>
        <v/>
      </c>
      <c r="G536" s="29" t="str">
        <f ca="1">VLOOKUP(A536,Calculation!$F$6:$J$1004,3,FALSE)</f>
        <v/>
      </c>
      <c r="H536" s="4" t="str">
        <f ca="1">VLOOKUP(A536,Calculation!$F$6:$J$1004,4,FALSE)</f>
        <v/>
      </c>
      <c r="I536" s="4" t="str">
        <f ca="1">VLOOKUP(A536,Calculation!$F$6:$J$1004,5,FALSE)</f>
        <v/>
      </c>
      <c r="J536" s="43" t="str">
        <f t="shared" ca="1" si="5"/>
        <v/>
      </c>
      <c r="L536" s="29" t="str">
        <f ca="1">VLOOKUP(A536,Calculation!$G$6:$S$1004,2,FALSE)</f>
        <v/>
      </c>
      <c r="M536" s="4" t="str">
        <f ca="1">IFERROR(VLOOKUP($L536,Calculation!$H$6:$S$1005,HLOOKUP(M$2,Calculation!$M$4:$S$5,2,FALSE)+5,FALSE),"")</f>
        <v/>
      </c>
      <c r="N536" s="4" t="str">
        <f ca="1">IFERROR(VLOOKUP($L536,Calculation!$H$6:$S$1005,HLOOKUP(N$2,Calculation!$M$4:$S$5,2,FALSE)+5,FALSE),"")</f>
        <v/>
      </c>
      <c r="O536" s="4" t="str">
        <f ca="1">IFERROR(VLOOKUP($L536,Calculation!$H$6:$S$1005,HLOOKUP(O$2,Calculation!$M$4:$S$5,2,FALSE)+5,FALSE),"")</f>
        <v/>
      </c>
      <c r="P536" s="4" t="str">
        <f ca="1">IFERROR(VLOOKUP($L536,Calculation!$H$6:$S$1005,HLOOKUP(P$2,Calculation!$M$4:$S$5,2,FALSE)+5,FALSE),"")</f>
        <v/>
      </c>
      <c r="Q536" s="4" t="str">
        <f ca="1">IFERROR(VLOOKUP($L536,Calculation!$H$6:$S$1005,HLOOKUP(Q$2,Calculation!$M$4:$S$5,2,FALSE)+5,FALSE),"")</f>
        <v/>
      </c>
      <c r="R536" s="27" t="str">
        <f ca="1">IFERROR(VLOOKUP($L536,Calculation!$H$6:$S$1005,HLOOKUP(R$2,Calculation!$M$4:$S$5,2,FALSE)+5,FALSE),"")</f>
        <v/>
      </c>
      <c r="S536" s="4" t="str">
        <f ca="1">IFERROR(VLOOKUP($L536,Calculation!$H$6:$S$1005,HLOOKUP(S$2,Calculation!$M$4:$S$5,2,FALSE)+5,FALSE),"")</f>
        <v/>
      </c>
      <c r="T536" s="29"/>
      <c r="U536" s="43" t="str">
        <f>IFERROR(VLOOKUP(T536,Calculation!$U$6:$V$11,2,FALSE),"")</f>
        <v/>
      </c>
    </row>
    <row r="537" spans="1:21" ht="14.25" customHeight="1" x14ac:dyDescent="0.3">
      <c r="A537" s="26" t="str">
        <f ca="1">IF(Calculation!T540&lt;=Calculation!$H$4,Calculation!T540,"")</f>
        <v/>
      </c>
      <c r="B537" s="4" t="str">
        <f ca="1">VLOOKUP(A537,Calculation!$E$6:$J$1004,4,FALSE)</f>
        <v/>
      </c>
      <c r="C537" s="4" t="str">
        <f ca="1">VLOOKUP(A537,Calculation!$E$6:$J$1004,5,FALSE)</f>
        <v/>
      </c>
      <c r="D537" s="4" t="str">
        <f ca="1">VLOOKUP(A537,Calculation!$E$6:$J$1004,6,FALSE)</f>
        <v/>
      </c>
      <c r="E537" s="42" t="str">
        <f t="shared" ca="1" si="4"/>
        <v/>
      </c>
      <c r="G537" s="29" t="str">
        <f ca="1">VLOOKUP(A537,Calculation!$F$6:$J$1004,3,FALSE)</f>
        <v/>
      </c>
      <c r="H537" s="4" t="str">
        <f ca="1">VLOOKUP(A537,Calculation!$F$6:$J$1004,4,FALSE)</f>
        <v/>
      </c>
      <c r="I537" s="4" t="str">
        <f ca="1">VLOOKUP(A537,Calculation!$F$6:$J$1004,5,FALSE)</f>
        <v/>
      </c>
      <c r="J537" s="43" t="str">
        <f t="shared" ca="1" si="5"/>
        <v/>
      </c>
      <c r="L537" s="29" t="str">
        <f ca="1">VLOOKUP(A537,Calculation!$G$6:$S$1004,2,FALSE)</f>
        <v/>
      </c>
      <c r="M537" s="4" t="str">
        <f ca="1">IFERROR(VLOOKUP($L537,Calculation!$H$6:$S$1005,HLOOKUP(M$2,Calculation!$M$4:$S$5,2,FALSE)+5,FALSE),"")</f>
        <v/>
      </c>
      <c r="N537" s="4" t="str">
        <f ca="1">IFERROR(VLOOKUP($L537,Calculation!$H$6:$S$1005,HLOOKUP(N$2,Calculation!$M$4:$S$5,2,FALSE)+5,FALSE),"")</f>
        <v/>
      </c>
      <c r="O537" s="4" t="str">
        <f ca="1">IFERROR(VLOOKUP($L537,Calculation!$H$6:$S$1005,HLOOKUP(O$2,Calculation!$M$4:$S$5,2,FALSE)+5,FALSE),"")</f>
        <v/>
      </c>
      <c r="P537" s="4" t="str">
        <f ca="1">IFERROR(VLOOKUP($L537,Calculation!$H$6:$S$1005,HLOOKUP(P$2,Calculation!$M$4:$S$5,2,FALSE)+5,FALSE),"")</f>
        <v/>
      </c>
      <c r="Q537" s="4" t="str">
        <f ca="1">IFERROR(VLOOKUP($L537,Calculation!$H$6:$S$1005,HLOOKUP(Q$2,Calculation!$M$4:$S$5,2,FALSE)+5,FALSE),"")</f>
        <v/>
      </c>
      <c r="R537" s="27" t="str">
        <f ca="1">IFERROR(VLOOKUP($L537,Calculation!$H$6:$S$1005,HLOOKUP(R$2,Calculation!$M$4:$S$5,2,FALSE)+5,FALSE),"")</f>
        <v/>
      </c>
      <c r="S537" s="4" t="str">
        <f ca="1">IFERROR(VLOOKUP($L537,Calculation!$H$6:$S$1005,HLOOKUP(S$2,Calculation!$M$4:$S$5,2,FALSE)+5,FALSE),"")</f>
        <v/>
      </c>
      <c r="T537" s="29"/>
      <c r="U537" s="43" t="str">
        <f>IFERROR(VLOOKUP(T537,Calculation!$U$6:$V$11,2,FALSE),"")</f>
        <v/>
      </c>
    </row>
    <row r="538" spans="1:21" ht="14.25" customHeight="1" x14ac:dyDescent="0.3">
      <c r="A538" s="26" t="str">
        <f ca="1">IF(Calculation!T541&lt;=Calculation!$H$4,Calculation!T541,"")</f>
        <v/>
      </c>
      <c r="B538" s="4" t="str">
        <f ca="1">VLOOKUP(A538,Calculation!$E$6:$J$1004,4,FALSE)</f>
        <v/>
      </c>
      <c r="C538" s="4" t="str">
        <f ca="1">VLOOKUP(A538,Calculation!$E$6:$J$1004,5,FALSE)</f>
        <v/>
      </c>
      <c r="D538" s="4" t="str">
        <f ca="1">VLOOKUP(A538,Calculation!$E$6:$J$1004,6,FALSE)</f>
        <v/>
      </c>
      <c r="E538" s="42" t="str">
        <f t="shared" ca="1" si="4"/>
        <v/>
      </c>
      <c r="G538" s="29" t="str">
        <f ca="1">VLOOKUP(A538,Calculation!$F$6:$J$1004,3,FALSE)</f>
        <v/>
      </c>
      <c r="H538" s="4" t="str">
        <f ca="1">VLOOKUP(A538,Calculation!$F$6:$J$1004,4,FALSE)</f>
        <v/>
      </c>
      <c r="I538" s="4" t="str">
        <f ca="1">VLOOKUP(A538,Calculation!$F$6:$J$1004,5,FALSE)</f>
        <v/>
      </c>
      <c r="J538" s="43" t="str">
        <f t="shared" ca="1" si="5"/>
        <v/>
      </c>
      <c r="L538" s="29" t="str">
        <f ca="1">VLOOKUP(A538,Calculation!$G$6:$S$1004,2,FALSE)</f>
        <v/>
      </c>
      <c r="M538" s="4" t="str">
        <f ca="1">IFERROR(VLOOKUP($L538,Calculation!$H$6:$S$1005,HLOOKUP(M$2,Calculation!$M$4:$S$5,2,FALSE)+5,FALSE),"")</f>
        <v/>
      </c>
      <c r="N538" s="4" t="str">
        <f ca="1">IFERROR(VLOOKUP($L538,Calculation!$H$6:$S$1005,HLOOKUP(N$2,Calculation!$M$4:$S$5,2,FALSE)+5,FALSE),"")</f>
        <v/>
      </c>
      <c r="O538" s="4" t="str">
        <f ca="1">IFERROR(VLOOKUP($L538,Calculation!$H$6:$S$1005,HLOOKUP(O$2,Calculation!$M$4:$S$5,2,FALSE)+5,FALSE),"")</f>
        <v/>
      </c>
      <c r="P538" s="4" t="str">
        <f ca="1">IFERROR(VLOOKUP($L538,Calculation!$H$6:$S$1005,HLOOKUP(P$2,Calculation!$M$4:$S$5,2,FALSE)+5,FALSE),"")</f>
        <v/>
      </c>
      <c r="Q538" s="4" t="str">
        <f ca="1">IFERROR(VLOOKUP($L538,Calculation!$H$6:$S$1005,HLOOKUP(Q$2,Calculation!$M$4:$S$5,2,FALSE)+5,FALSE),"")</f>
        <v/>
      </c>
      <c r="R538" s="27" t="str">
        <f ca="1">IFERROR(VLOOKUP($L538,Calculation!$H$6:$S$1005,HLOOKUP(R$2,Calculation!$M$4:$S$5,2,FALSE)+5,FALSE),"")</f>
        <v/>
      </c>
      <c r="S538" s="4" t="str">
        <f ca="1">IFERROR(VLOOKUP($L538,Calculation!$H$6:$S$1005,HLOOKUP(S$2,Calculation!$M$4:$S$5,2,FALSE)+5,FALSE),"")</f>
        <v/>
      </c>
      <c r="T538" s="29"/>
      <c r="U538" s="43" t="str">
        <f>IFERROR(VLOOKUP(T538,Calculation!$U$6:$V$11,2,FALSE),"")</f>
        <v/>
      </c>
    </row>
    <row r="539" spans="1:21" ht="14.25" customHeight="1" x14ac:dyDescent="0.3">
      <c r="A539" s="26" t="str">
        <f ca="1">IF(Calculation!T542&lt;=Calculation!$H$4,Calculation!T542,"")</f>
        <v/>
      </c>
      <c r="B539" s="4" t="str">
        <f ca="1">VLOOKUP(A539,Calculation!$E$6:$J$1004,4,FALSE)</f>
        <v/>
      </c>
      <c r="C539" s="4" t="str">
        <f ca="1">VLOOKUP(A539,Calculation!$E$6:$J$1004,5,FALSE)</f>
        <v/>
      </c>
      <c r="D539" s="4" t="str">
        <f ca="1">VLOOKUP(A539,Calculation!$E$6:$J$1004,6,FALSE)</f>
        <v/>
      </c>
      <c r="E539" s="42" t="str">
        <f t="shared" ca="1" si="4"/>
        <v/>
      </c>
      <c r="G539" s="29" t="str">
        <f ca="1">VLOOKUP(A539,Calculation!$F$6:$J$1004,3,FALSE)</f>
        <v/>
      </c>
      <c r="H539" s="4" t="str">
        <f ca="1">VLOOKUP(A539,Calculation!$F$6:$J$1004,4,FALSE)</f>
        <v/>
      </c>
      <c r="I539" s="4" t="str">
        <f ca="1">VLOOKUP(A539,Calculation!$F$6:$J$1004,5,FALSE)</f>
        <v/>
      </c>
      <c r="J539" s="43" t="str">
        <f t="shared" ca="1" si="5"/>
        <v/>
      </c>
      <c r="L539" s="29" t="str">
        <f ca="1">VLOOKUP(A539,Calculation!$G$6:$S$1004,2,FALSE)</f>
        <v/>
      </c>
      <c r="M539" s="4" t="str">
        <f ca="1">IFERROR(VLOOKUP($L539,Calculation!$H$6:$S$1005,HLOOKUP(M$2,Calculation!$M$4:$S$5,2,FALSE)+5,FALSE),"")</f>
        <v/>
      </c>
      <c r="N539" s="4" t="str">
        <f ca="1">IFERROR(VLOOKUP($L539,Calculation!$H$6:$S$1005,HLOOKUP(N$2,Calculation!$M$4:$S$5,2,FALSE)+5,FALSE),"")</f>
        <v/>
      </c>
      <c r="O539" s="4" t="str">
        <f ca="1">IFERROR(VLOOKUP($L539,Calculation!$H$6:$S$1005,HLOOKUP(O$2,Calculation!$M$4:$S$5,2,FALSE)+5,FALSE),"")</f>
        <v/>
      </c>
      <c r="P539" s="4" t="str">
        <f ca="1">IFERROR(VLOOKUP($L539,Calculation!$H$6:$S$1005,HLOOKUP(P$2,Calculation!$M$4:$S$5,2,FALSE)+5,FALSE),"")</f>
        <v/>
      </c>
      <c r="Q539" s="4" t="str">
        <f ca="1">IFERROR(VLOOKUP($L539,Calculation!$H$6:$S$1005,HLOOKUP(Q$2,Calculation!$M$4:$S$5,2,FALSE)+5,FALSE),"")</f>
        <v/>
      </c>
      <c r="R539" s="27" t="str">
        <f ca="1">IFERROR(VLOOKUP($L539,Calculation!$H$6:$S$1005,HLOOKUP(R$2,Calculation!$M$4:$S$5,2,FALSE)+5,FALSE),"")</f>
        <v/>
      </c>
      <c r="S539" s="4" t="str">
        <f ca="1">IFERROR(VLOOKUP($L539,Calculation!$H$6:$S$1005,HLOOKUP(S$2,Calculation!$M$4:$S$5,2,FALSE)+5,FALSE),"")</f>
        <v/>
      </c>
      <c r="T539" s="29"/>
      <c r="U539" s="43" t="str">
        <f>IFERROR(VLOOKUP(T539,Calculation!$U$6:$V$11,2,FALSE),"")</f>
        <v/>
      </c>
    </row>
    <row r="540" spans="1:21" ht="14.25" customHeight="1" x14ac:dyDescent="0.3">
      <c r="A540" s="26" t="str">
        <f ca="1">IF(Calculation!T543&lt;=Calculation!$H$4,Calculation!T543,"")</f>
        <v/>
      </c>
      <c r="B540" s="4" t="str">
        <f ca="1">VLOOKUP(A540,Calculation!$E$6:$J$1004,4,FALSE)</f>
        <v/>
      </c>
      <c r="C540" s="4" t="str">
        <f ca="1">VLOOKUP(A540,Calculation!$E$6:$J$1004,5,FALSE)</f>
        <v/>
      </c>
      <c r="D540" s="4" t="str">
        <f ca="1">VLOOKUP(A540,Calculation!$E$6:$J$1004,6,FALSE)</f>
        <v/>
      </c>
      <c r="E540" s="42" t="str">
        <f t="shared" ca="1" si="4"/>
        <v/>
      </c>
      <c r="G540" s="29" t="str">
        <f ca="1">VLOOKUP(A540,Calculation!$F$6:$J$1004,3,FALSE)</f>
        <v/>
      </c>
      <c r="H540" s="4" t="str">
        <f ca="1">VLOOKUP(A540,Calculation!$F$6:$J$1004,4,FALSE)</f>
        <v/>
      </c>
      <c r="I540" s="4" t="str">
        <f ca="1">VLOOKUP(A540,Calculation!$F$6:$J$1004,5,FALSE)</f>
        <v/>
      </c>
      <c r="J540" s="43" t="str">
        <f t="shared" ca="1" si="5"/>
        <v/>
      </c>
      <c r="L540" s="29" t="str">
        <f ca="1">VLOOKUP(A540,Calculation!$G$6:$S$1004,2,FALSE)</f>
        <v/>
      </c>
      <c r="M540" s="4" t="str">
        <f ca="1">IFERROR(VLOOKUP($L540,Calculation!$H$6:$S$1005,HLOOKUP(M$2,Calculation!$M$4:$S$5,2,FALSE)+5,FALSE),"")</f>
        <v/>
      </c>
      <c r="N540" s="4" t="str">
        <f ca="1">IFERROR(VLOOKUP($L540,Calculation!$H$6:$S$1005,HLOOKUP(N$2,Calculation!$M$4:$S$5,2,FALSE)+5,FALSE),"")</f>
        <v/>
      </c>
      <c r="O540" s="4" t="str">
        <f ca="1">IFERROR(VLOOKUP($L540,Calculation!$H$6:$S$1005,HLOOKUP(O$2,Calculation!$M$4:$S$5,2,FALSE)+5,FALSE),"")</f>
        <v/>
      </c>
      <c r="P540" s="4" t="str">
        <f ca="1">IFERROR(VLOOKUP($L540,Calculation!$H$6:$S$1005,HLOOKUP(P$2,Calculation!$M$4:$S$5,2,FALSE)+5,FALSE),"")</f>
        <v/>
      </c>
      <c r="Q540" s="4" t="str">
        <f ca="1">IFERROR(VLOOKUP($L540,Calculation!$H$6:$S$1005,HLOOKUP(Q$2,Calculation!$M$4:$S$5,2,FALSE)+5,FALSE),"")</f>
        <v/>
      </c>
      <c r="R540" s="27" t="str">
        <f ca="1">IFERROR(VLOOKUP($L540,Calculation!$H$6:$S$1005,HLOOKUP(R$2,Calculation!$M$4:$S$5,2,FALSE)+5,FALSE),"")</f>
        <v/>
      </c>
      <c r="S540" s="4" t="str">
        <f ca="1">IFERROR(VLOOKUP($L540,Calculation!$H$6:$S$1005,HLOOKUP(S$2,Calculation!$M$4:$S$5,2,FALSE)+5,FALSE),"")</f>
        <v/>
      </c>
      <c r="T540" s="29"/>
      <c r="U540" s="43" t="str">
        <f>IFERROR(VLOOKUP(T540,Calculation!$U$6:$V$11,2,FALSE),"")</f>
        <v/>
      </c>
    </row>
    <row r="541" spans="1:21" ht="14.25" customHeight="1" x14ac:dyDescent="0.3">
      <c r="A541" s="26" t="str">
        <f ca="1">IF(Calculation!T544&lt;=Calculation!$H$4,Calculation!T544,"")</f>
        <v/>
      </c>
      <c r="B541" s="4" t="str">
        <f ca="1">VLOOKUP(A541,Calculation!$E$6:$J$1004,4,FALSE)</f>
        <v/>
      </c>
      <c r="C541" s="4" t="str">
        <f ca="1">VLOOKUP(A541,Calculation!$E$6:$J$1004,5,FALSE)</f>
        <v/>
      </c>
      <c r="D541" s="4" t="str">
        <f ca="1">VLOOKUP(A541,Calculation!$E$6:$J$1004,6,FALSE)</f>
        <v/>
      </c>
      <c r="E541" s="42" t="str">
        <f t="shared" ca="1" si="4"/>
        <v/>
      </c>
      <c r="G541" s="29" t="str">
        <f ca="1">VLOOKUP(A541,Calculation!$F$6:$J$1004,3,FALSE)</f>
        <v/>
      </c>
      <c r="H541" s="4" t="str">
        <f ca="1">VLOOKUP(A541,Calculation!$F$6:$J$1004,4,FALSE)</f>
        <v/>
      </c>
      <c r="I541" s="4" t="str">
        <f ca="1">VLOOKUP(A541,Calculation!$F$6:$J$1004,5,FALSE)</f>
        <v/>
      </c>
      <c r="J541" s="43" t="str">
        <f t="shared" ca="1" si="5"/>
        <v/>
      </c>
      <c r="L541" s="29" t="str">
        <f ca="1">VLOOKUP(A541,Calculation!$G$6:$S$1004,2,FALSE)</f>
        <v/>
      </c>
      <c r="M541" s="4" t="str">
        <f ca="1">IFERROR(VLOOKUP($L541,Calculation!$H$6:$S$1005,HLOOKUP(M$2,Calculation!$M$4:$S$5,2,FALSE)+5,FALSE),"")</f>
        <v/>
      </c>
      <c r="N541" s="4" t="str">
        <f ca="1">IFERROR(VLOOKUP($L541,Calculation!$H$6:$S$1005,HLOOKUP(N$2,Calculation!$M$4:$S$5,2,FALSE)+5,FALSE),"")</f>
        <v/>
      </c>
      <c r="O541" s="4" t="str">
        <f ca="1">IFERROR(VLOOKUP($L541,Calculation!$H$6:$S$1005,HLOOKUP(O$2,Calculation!$M$4:$S$5,2,FALSE)+5,FALSE),"")</f>
        <v/>
      </c>
      <c r="P541" s="4" t="str">
        <f ca="1">IFERROR(VLOOKUP($L541,Calculation!$H$6:$S$1005,HLOOKUP(P$2,Calculation!$M$4:$S$5,2,FALSE)+5,FALSE),"")</f>
        <v/>
      </c>
      <c r="Q541" s="4" t="str">
        <f ca="1">IFERROR(VLOOKUP($L541,Calculation!$H$6:$S$1005,HLOOKUP(Q$2,Calculation!$M$4:$S$5,2,FALSE)+5,FALSE),"")</f>
        <v/>
      </c>
      <c r="R541" s="27" t="str">
        <f ca="1">IFERROR(VLOOKUP($L541,Calculation!$H$6:$S$1005,HLOOKUP(R$2,Calculation!$M$4:$S$5,2,FALSE)+5,FALSE),"")</f>
        <v/>
      </c>
      <c r="S541" s="4" t="str">
        <f ca="1">IFERROR(VLOOKUP($L541,Calculation!$H$6:$S$1005,HLOOKUP(S$2,Calculation!$M$4:$S$5,2,FALSE)+5,FALSE),"")</f>
        <v/>
      </c>
      <c r="T541" s="29"/>
      <c r="U541" s="43" t="str">
        <f>IFERROR(VLOOKUP(T541,Calculation!$U$6:$V$11,2,FALSE),"")</f>
        <v/>
      </c>
    </row>
    <row r="542" spans="1:21" ht="14.25" customHeight="1" x14ac:dyDescent="0.3">
      <c r="A542" s="26" t="str">
        <f ca="1">IF(Calculation!T545&lt;=Calculation!$H$4,Calculation!T545,"")</f>
        <v/>
      </c>
      <c r="B542" s="4" t="str">
        <f ca="1">VLOOKUP(A542,Calculation!$E$6:$J$1004,4,FALSE)</f>
        <v/>
      </c>
      <c r="C542" s="4" t="str">
        <f ca="1">VLOOKUP(A542,Calculation!$E$6:$J$1004,5,FALSE)</f>
        <v/>
      </c>
      <c r="D542" s="4" t="str">
        <f ca="1">VLOOKUP(A542,Calculation!$E$6:$J$1004,6,FALSE)</f>
        <v/>
      </c>
      <c r="E542" s="42" t="str">
        <f t="shared" ca="1" si="4"/>
        <v/>
      </c>
      <c r="G542" s="29" t="str">
        <f ca="1">VLOOKUP(A542,Calculation!$F$6:$J$1004,3,FALSE)</f>
        <v/>
      </c>
      <c r="H542" s="4" t="str">
        <f ca="1">VLOOKUP(A542,Calculation!$F$6:$J$1004,4,FALSE)</f>
        <v/>
      </c>
      <c r="I542" s="4" t="str">
        <f ca="1">VLOOKUP(A542,Calculation!$F$6:$J$1004,5,FALSE)</f>
        <v/>
      </c>
      <c r="J542" s="43" t="str">
        <f t="shared" ca="1" si="5"/>
        <v/>
      </c>
      <c r="L542" s="29" t="str">
        <f ca="1">VLOOKUP(A542,Calculation!$G$6:$S$1004,2,FALSE)</f>
        <v/>
      </c>
      <c r="M542" s="4" t="str">
        <f ca="1">IFERROR(VLOOKUP($L542,Calculation!$H$6:$S$1005,HLOOKUP(M$2,Calculation!$M$4:$S$5,2,FALSE)+5,FALSE),"")</f>
        <v/>
      </c>
      <c r="N542" s="4" t="str">
        <f ca="1">IFERROR(VLOOKUP($L542,Calculation!$H$6:$S$1005,HLOOKUP(N$2,Calculation!$M$4:$S$5,2,FALSE)+5,FALSE),"")</f>
        <v/>
      </c>
      <c r="O542" s="4" t="str">
        <f ca="1">IFERROR(VLOOKUP($L542,Calculation!$H$6:$S$1005,HLOOKUP(O$2,Calculation!$M$4:$S$5,2,FALSE)+5,FALSE),"")</f>
        <v/>
      </c>
      <c r="P542" s="4" t="str">
        <f ca="1">IFERROR(VLOOKUP($L542,Calculation!$H$6:$S$1005,HLOOKUP(P$2,Calculation!$M$4:$S$5,2,FALSE)+5,FALSE),"")</f>
        <v/>
      </c>
      <c r="Q542" s="4" t="str">
        <f ca="1">IFERROR(VLOOKUP($L542,Calculation!$H$6:$S$1005,HLOOKUP(Q$2,Calculation!$M$4:$S$5,2,FALSE)+5,FALSE),"")</f>
        <v/>
      </c>
      <c r="R542" s="27" t="str">
        <f ca="1">IFERROR(VLOOKUP($L542,Calculation!$H$6:$S$1005,HLOOKUP(R$2,Calculation!$M$4:$S$5,2,FALSE)+5,FALSE),"")</f>
        <v/>
      </c>
      <c r="S542" s="4" t="str">
        <f ca="1">IFERROR(VLOOKUP($L542,Calculation!$H$6:$S$1005,HLOOKUP(S$2,Calculation!$M$4:$S$5,2,FALSE)+5,FALSE),"")</f>
        <v/>
      </c>
      <c r="T542" s="29"/>
      <c r="U542" s="43" t="str">
        <f>IFERROR(VLOOKUP(T542,Calculation!$U$6:$V$11,2,FALSE),"")</f>
        <v/>
      </c>
    </row>
    <row r="543" spans="1:21" ht="14.25" customHeight="1" x14ac:dyDescent="0.3">
      <c r="A543" s="26" t="str">
        <f ca="1">IF(Calculation!T546&lt;=Calculation!$H$4,Calculation!T546,"")</f>
        <v/>
      </c>
      <c r="B543" s="4" t="str">
        <f ca="1">VLOOKUP(A543,Calculation!$E$6:$J$1004,4,FALSE)</f>
        <v/>
      </c>
      <c r="C543" s="4" t="str">
        <f ca="1">VLOOKUP(A543,Calculation!$E$6:$J$1004,5,FALSE)</f>
        <v/>
      </c>
      <c r="D543" s="4" t="str">
        <f ca="1">VLOOKUP(A543,Calculation!$E$6:$J$1004,6,FALSE)</f>
        <v/>
      </c>
      <c r="E543" s="42" t="str">
        <f t="shared" ca="1" si="4"/>
        <v/>
      </c>
      <c r="G543" s="29" t="str">
        <f ca="1">VLOOKUP(A543,Calculation!$F$6:$J$1004,3,FALSE)</f>
        <v/>
      </c>
      <c r="H543" s="4" t="str">
        <f ca="1">VLOOKUP(A543,Calculation!$F$6:$J$1004,4,FALSE)</f>
        <v/>
      </c>
      <c r="I543" s="4" t="str">
        <f ca="1">VLOOKUP(A543,Calculation!$F$6:$J$1004,5,FALSE)</f>
        <v/>
      </c>
      <c r="J543" s="43" t="str">
        <f t="shared" ca="1" si="5"/>
        <v/>
      </c>
      <c r="L543" s="29" t="str">
        <f ca="1">VLOOKUP(A543,Calculation!$G$6:$S$1004,2,FALSE)</f>
        <v/>
      </c>
      <c r="M543" s="4" t="str">
        <f ca="1">IFERROR(VLOOKUP($L543,Calculation!$H$6:$S$1005,HLOOKUP(M$2,Calculation!$M$4:$S$5,2,FALSE)+5,FALSE),"")</f>
        <v/>
      </c>
      <c r="N543" s="4" t="str">
        <f ca="1">IFERROR(VLOOKUP($L543,Calculation!$H$6:$S$1005,HLOOKUP(N$2,Calculation!$M$4:$S$5,2,FALSE)+5,FALSE),"")</f>
        <v/>
      </c>
      <c r="O543" s="4" t="str">
        <f ca="1">IFERROR(VLOOKUP($L543,Calculation!$H$6:$S$1005,HLOOKUP(O$2,Calculation!$M$4:$S$5,2,FALSE)+5,FALSE),"")</f>
        <v/>
      </c>
      <c r="P543" s="4" t="str">
        <f ca="1">IFERROR(VLOOKUP($L543,Calculation!$H$6:$S$1005,HLOOKUP(P$2,Calculation!$M$4:$S$5,2,FALSE)+5,FALSE),"")</f>
        <v/>
      </c>
      <c r="Q543" s="4" t="str">
        <f ca="1">IFERROR(VLOOKUP($L543,Calculation!$H$6:$S$1005,HLOOKUP(Q$2,Calculation!$M$4:$S$5,2,FALSE)+5,FALSE),"")</f>
        <v/>
      </c>
      <c r="R543" s="27" t="str">
        <f ca="1">IFERROR(VLOOKUP($L543,Calculation!$H$6:$S$1005,HLOOKUP(R$2,Calculation!$M$4:$S$5,2,FALSE)+5,FALSE),"")</f>
        <v/>
      </c>
      <c r="S543" s="4" t="str">
        <f ca="1">IFERROR(VLOOKUP($L543,Calculation!$H$6:$S$1005,HLOOKUP(S$2,Calculation!$M$4:$S$5,2,FALSE)+5,FALSE),"")</f>
        <v/>
      </c>
      <c r="T543" s="29"/>
      <c r="U543" s="43" t="str">
        <f>IFERROR(VLOOKUP(T543,Calculation!$U$6:$V$11,2,FALSE),"")</f>
        <v/>
      </c>
    </row>
    <row r="544" spans="1:21" ht="14.25" customHeight="1" x14ac:dyDescent="0.3">
      <c r="A544" s="26" t="str">
        <f ca="1">IF(Calculation!T547&lt;=Calculation!$H$4,Calculation!T547,"")</f>
        <v/>
      </c>
      <c r="B544" s="4" t="str">
        <f ca="1">VLOOKUP(A544,Calculation!$E$6:$J$1004,4,FALSE)</f>
        <v/>
      </c>
      <c r="C544" s="4" t="str">
        <f ca="1">VLOOKUP(A544,Calculation!$E$6:$J$1004,5,FALSE)</f>
        <v/>
      </c>
      <c r="D544" s="4" t="str">
        <f ca="1">VLOOKUP(A544,Calculation!$E$6:$J$1004,6,FALSE)</f>
        <v/>
      </c>
      <c r="E544" s="42" t="str">
        <f t="shared" ca="1" si="4"/>
        <v/>
      </c>
      <c r="G544" s="29" t="str">
        <f ca="1">VLOOKUP(A544,Calculation!$F$6:$J$1004,3,FALSE)</f>
        <v/>
      </c>
      <c r="H544" s="4" t="str">
        <f ca="1">VLOOKUP(A544,Calculation!$F$6:$J$1004,4,FALSE)</f>
        <v/>
      </c>
      <c r="I544" s="4" t="str">
        <f ca="1">VLOOKUP(A544,Calculation!$F$6:$J$1004,5,FALSE)</f>
        <v/>
      </c>
      <c r="J544" s="43" t="str">
        <f t="shared" ca="1" si="5"/>
        <v/>
      </c>
      <c r="L544" s="29" t="str">
        <f ca="1">VLOOKUP(A544,Calculation!$G$6:$S$1004,2,FALSE)</f>
        <v/>
      </c>
      <c r="M544" s="4" t="str">
        <f ca="1">IFERROR(VLOOKUP($L544,Calculation!$H$6:$S$1005,HLOOKUP(M$2,Calculation!$M$4:$S$5,2,FALSE)+5,FALSE),"")</f>
        <v/>
      </c>
      <c r="N544" s="4" t="str">
        <f ca="1">IFERROR(VLOOKUP($L544,Calculation!$H$6:$S$1005,HLOOKUP(N$2,Calculation!$M$4:$S$5,2,FALSE)+5,FALSE),"")</f>
        <v/>
      </c>
      <c r="O544" s="4" t="str">
        <f ca="1">IFERROR(VLOOKUP($L544,Calculation!$H$6:$S$1005,HLOOKUP(O$2,Calculation!$M$4:$S$5,2,FALSE)+5,FALSE),"")</f>
        <v/>
      </c>
      <c r="P544" s="4" t="str">
        <f ca="1">IFERROR(VLOOKUP($L544,Calculation!$H$6:$S$1005,HLOOKUP(P$2,Calculation!$M$4:$S$5,2,FALSE)+5,FALSE),"")</f>
        <v/>
      </c>
      <c r="Q544" s="4" t="str">
        <f ca="1">IFERROR(VLOOKUP($L544,Calculation!$H$6:$S$1005,HLOOKUP(Q$2,Calculation!$M$4:$S$5,2,FALSE)+5,FALSE),"")</f>
        <v/>
      </c>
      <c r="R544" s="27" t="str">
        <f ca="1">IFERROR(VLOOKUP($L544,Calculation!$H$6:$S$1005,HLOOKUP(R$2,Calculation!$M$4:$S$5,2,FALSE)+5,FALSE),"")</f>
        <v/>
      </c>
      <c r="S544" s="4" t="str">
        <f ca="1">IFERROR(VLOOKUP($L544,Calculation!$H$6:$S$1005,HLOOKUP(S$2,Calculation!$M$4:$S$5,2,FALSE)+5,FALSE),"")</f>
        <v/>
      </c>
      <c r="T544" s="29"/>
      <c r="U544" s="43" t="str">
        <f>IFERROR(VLOOKUP(T544,Calculation!$U$6:$V$11,2,FALSE),"")</f>
        <v/>
      </c>
    </row>
    <row r="545" spans="1:21" ht="14.25" customHeight="1" x14ac:dyDescent="0.3">
      <c r="A545" s="26" t="str">
        <f ca="1">IF(Calculation!T548&lt;=Calculation!$H$4,Calculation!T548,"")</f>
        <v/>
      </c>
      <c r="B545" s="4" t="str">
        <f ca="1">VLOOKUP(A545,Calculation!$E$6:$J$1004,4,FALSE)</f>
        <v/>
      </c>
      <c r="C545" s="4" t="str">
        <f ca="1">VLOOKUP(A545,Calculation!$E$6:$J$1004,5,FALSE)</f>
        <v/>
      </c>
      <c r="D545" s="4" t="str">
        <f ca="1">VLOOKUP(A545,Calculation!$E$6:$J$1004,6,FALSE)</f>
        <v/>
      </c>
      <c r="E545" s="42" t="str">
        <f t="shared" ca="1" si="4"/>
        <v/>
      </c>
      <c r="G545" s="29" t="str">
        <f ca="1">VLOOKUP(A545,Calculation!$F$6:$J$1004,3,FALSE)</f>
        <v/>
      </c>
      <c r="H545" s="4" t="str">
        <f ca="1">VLOOKUP(A545,Calculation!$F$6:$J$1004,4,FALSE)</f>
        <v/>
      </c>
      <c r="I545" s="4" t="str">
        <f ca="1">VLOOKUP(A545,Calculation!$F$6:$J$1004,5,FALSE)</f>
        <v/>
      </c>
      <c r="J545" s="43" t="str">
        <f t="shared" ca="1" si="5"/>
        <v/>
      </c>
      <c r="L545" s="29" t="str">
        <f ca="1">VLOOKUP(A545,Calculation!$G$6:$S$1004,2,FALSE)</f>
        <v/>
      </c>
      <c r="M545" s="4" t="str">
        <f ca="1">IFERROR(VLOOKUP($L545,Calculation!$H$6:$S$1005,HLOOKUP(M$2,Calculation!$M$4:$S$5,2,FALSE)+5,FALSE),"")</f>
        <v/>
      </c>
      <c r="N545" s="4" t="str">
        <f ca="1">IFERROR(VLOOKUP($L545,Calculation!$H$6:$S$1005,HLOOKUP(N$2,Calculation!$M$4:$S$5,2,FALSE)+5,FALSE),"")</f>
        <v/>
      </c>
      <c r="O545" s="4" t="str">
        <f ca="1">IFERROR(VLOOKUP($L545,Calculation!$H$6:$S$1005,HLOOKUP(O$2,Calculation!$M$4:$S$5,2,FALSE)+5,FALSE),"")</f>
        <v/>
      </c>
      <c r="P545" s="4" t="str">
        <f ca="1">IFERROR(VLOOKUP($L545,Calculation!$H$6:$S$1005,HLOOKUP(P$2,Calculation!$M$4:$S$5,2,FALSE)+5,FALSE),"")</f>
        <v/>
      </c>
      <c r="Q545" s="4" t="str">
        <f ca="1">IFERROR(VLOOKUP($L545,Calculation!$H$6:$S$1005,HLOOKUP(Q$2,Calculation!$M$4:$S$5,2,FALSE)+5,FALSE),"")</f>
        <v/>
      </c>
      <c r="R545" s="27" t="str">
        <f ca="1">IFERROR(VLOOKUP($L545,Calculation!$H$6:$S$1005,HLOOKUP(R$2,Calculation!$M$4:$S$5,2,FALSE)+5,FALSE),"")</f>
        <v/>
      </c>
      <c r="S545" s="4" t="str">
        <f ca="1">IFERROR(VLOOKUP($L545,Calculation!$H$6:$S$1005,HLOOKUP(S$2,Calculation!$M$4:$S$5,2,FALSE)+5,FALSE),"")</f>
        <v/>
      </c>
      <c r="T545" s="29"/>
      <c r="U545" s="43" t="str">
        <f>IFERROR(VLOOKUP(T545,Calculation!$U$6:$V$11,2,FALSE),"")</f>
        <v/>
      </c>
    </row>
    <row r="546" spans="1:21" ht="14.25" customHeight="1" x14ac:dyDescent="0.3">
      <c r="A546" s="26" t="str">
        <f ca="1">IF(Calculation!T549&lt;=Calculation!$H$4,Calculation!T549,"")</f>
        <v/>
      </c>
      <c r="B546" s="4" t="str">
        <f ca="1">VLOOKUP(A546,Calculation!$E$6:$J$1004,4,FALSE)</f>
        <v/>
      </c>
      <c r="C546" s="4" t="str">
        <f ca="1">VLOOKUP(A546,Calculation!$E$6:$J$1004,5,FALSE)</f>
        <v/>
      </c>
      <c r="D546" s="4" t="str">
        <f ca="1">VLOOKUP(A546,Calculation!$E$6:$J$1004,6,FALSE)</f>
        <v/>
      </c>
      <c r="E546" s="42" t="str">
        <f t="shared" ca="1" si="4"/>
        <v/>
      </c>
      <c r="G546" s="29" t="str">
        <f ca="1">VLOOKUP(A546,Calculation!$F$6:$J$1004,3,FALSE)</f>
        <v/>
      </c>
      <c r="H546" s="4" t="str">
        <f ca="1">VLOOKUP(A546,Calculation!$F$6:$J$1004,4,FALSE)</f>
        <v/>
      </c>
      <c r="I546" s="4" t="str">
        <f ca="1">VLOOKUP(A546,Calculation!$F$6:$J$1004,5,FALSE)</f>
        <v/>
      </c>
      <c r="J546" s="43" t="str">
        <f t="shared" ca="1" si="5"/>
        <v/>
      </c>
      <c r="L546" s="29" t="str">
        <f ca="1">VLOOKUP(A546,Calculation!$G$6:$S$1004,2,FALSE)</f>
        <v/>
      </c>
      <c r="M546" s="4" t="str">
        <f ca="1">IFERROR(VLOOKUP($L546,Calculation!$H$6:$S$1005,HLOOKUP(M$2,Calculation!$M$4:$S$5,2,FALSE)+5,FALSE),"")</f>
        <v/>
      </c>
      <c r="N546" s="4" t="str">
        <f ca="1">IFERROR(VLOOKUP($L546,Calculation!$H$6:$S$1005,HLOOKUP(N$2,Calculation!$M$4:$S$5,2,FALSE)+5,FALSE),"")</f>
        <v/>
      </c>
      <c r="O546" s="4" t="str">
        <f ca="1">IFERROR(VLOOKUP($L546,Calculation!$H$6:$S$1005,HLOOKUP(O$2,Calculation!$M$4:$S$5,2,FALSE)+5,FALSE),"")</f>
        <v/>
      </c>
      <c r="P546" s="4" t="str">
        <f ca="1">IFERROR(VLOOKUP($L546,Calculation!$H$6:$S$1005,HLOOKUP(P$2,Calculation!$M$4:$S$5,2,FALSE)+5,FALSE),"")</f>
        <v/>
      </c>
      <c r="Q546" s="4" t="str">
        <f ca="1">IFERROR(VLOOKUP($L546,Calculation!$H$6:$S$1005,HLOOKUP(Q$2,Calculation!$M$4:$S$5,2,FALSE)+5,FALSE),"")</f>
        <v/>
      </c>
      <c r="R546" s="27" t="str">
        <f ca="1">IFERROR(VLOOKUP($L546,Calculation!$H$6:$S$1005,HLOOKUP(R$2,Calculation!$M$4:$S$5,2,FALSE)+5,FALSE),"")</f>
        <v/>
      </c>
      <c r="S546" s="4" t="str">
        <f ca="1">IFERROR(VLOOKUP($L546,Calculation!$H$6:$S$1005,HLOOKUP(S$2,Calculation!$M$4:$S$5,2,FALSE)+5,FALSE),"")</f>
        <v/>
      </c>
      <c r="T546" s="29"/>
      <c r="U546" s="43" t="str">
        <f>IFERROR(VLOOKUP(T546,Calculation!$U$6:$V$11,2,FALSE),"")</f>
        <v/>
      </c>
    </row>
    <row r="547" spans="1:21" ht="14.25" customHeight="1" x14ac:dyDescent="0.3">
      <c r="A547" s="26" t="str">
        <f ca="1">IF(Calculation!T550&lt;=Calculation!$H$4,Calculation!T550,"")</f>
        <v/>
      </c>
      <c r="B547" s="4" t="str">
        <f ca="1">VLOOKUP(A547,Calculation!$E$6:$J$1004,4,FALSE)</f>
        <v/>
      </c>
      <c r="C547" s="4" t="str">
        <f ca="1">VLOOKUP(A547,Calculation!$E$6:$J$1004,5,FALSE)</f>
        <v/>
      </c>
      <c r="D547" s="4" t="str">
        <f ca="1">VLOOKUP(A547,Calculation!$E$6:$J$1004,6,FALSE)</f>
        <v/>
      </c>
      <c r="E547" s="42" t="str">
        <f t="shared" ca="1" si="4"/>
        <v/>
      </c>
      <c r="G547" s="29" t="str">
        <f ca="1">VLOOKUP(A547,Calculation!$F$6:$J$1004,3,FALSE)</f>
        <v/>
      </c>
      <c r="H547" s="4" t="str">
        <f ca="1">VLOOKUP(A547,Calculation!$F$6:$J$1004,4,FALSE)</f>
        <v/>
      </c>
      <c r="I547" s="4" t="str">
        <f ca="1">VLOOKUP(A547,Calculation!$F$6:$J$1004,5,FALSE)</f>
        <v/>
      </c>
      <c r="J547" s="43" t="str">
        <f t="shared" ca="1" si="5"/>
        <v/>
      </c>
      <c r="L547" s="29" t="str">
        <f ca="1">VLOOKUP(A547,Calculation!$G$6:$S$1004,2,FALSE)</f>
        <v/>
      </c>
      <c r="M547" s="4" t="str">
        <f ca="1">IFERROR(VLOOKUP($L547,Calculation!$H$6:$S$1005,HLOOKUP(M$2,Calculation!$M$4:$S$5,2,FALSE)+5,FALSE),"")</f>
        <v/>
      </c>
      <c r="N547" s="4" t="str">
        <f ca="1">IFERROR(VLOOKUP($L547,Calculation!$H$6:$S$1005,HLOOKUP(N$2,Calculation!$M$4:$S$5,2,FALSE)+5,FALSE),"")</f>
        <v/>
      </c>
      <c r="O547" s="4" t="str">
        <f ca="1">IFERROR(VLOOKUP($L547,Calculation!$H$6:$S$1005,HLOOKUP(O$2,Calculation!$M$4:$S$5,2,FALSE)+5,FALSE),"")</f>
        <v/>
      </c>
      <c r="P547" s="4" t="str">
        <f ca="1">IFERROR(VLOOKUP($L547,Calculation!$H$6:$S$1005,HLOOKUP(P$2,Calculation!$M$4:$S$5,2,FALSE)+5,FALSE),"")</f>
        <v/>
      </c>
      <c r="Q547" s="4" t="str">
        <f ca="1">IFERROR(VLOOKUP($L547,Calculation!$H$6:$S$1005,HLOOKUP(Q$2,Calculation!$M$4:$S$5,2,FALSE)+5,FALSE),"")</f>
        <v/>
      </c>
      <c r="R547" s="27" t="str">
        <f ca="1">IFERROR(VLOOKUP($L547,Calculation!$H$6:$S$1005,HLOOKUP(R$2,Calculation!$M$4:$S$5,2,FALSE)+5,FALSE),"")</f>
        <v/>
      </c>
      <c r="S547" s="4" t="str">
        <f ca="1">IFERROR(VLOOKUP($L547,Calculation!$H$6:$S$1005,HLOOKUP(S$2,Calculation!$M$4:$S$5,2,FALSE)+5,FALSE),"")</f>
        <v/>
      </c>
      <c r="T547" s="29"/>
      <c r="U547" s="43" t="str">
        <f>IFERROR(VLOOKUP(T547,Calculation!$U$6:$V$11,2,FALSE),"")</f>
        <v/>
      </c>
    </row>
    <row r="548" spans="1:21" ht="14.25" customHeight="1" x14ac:dyDescent="0.3">
      <c r="A548" s="26" t="str">
        <f ca="1">IF(Calculation!T551&lt;=Calculation!$H$4,Calculation!T551,"")</f>
        <v/>
      </c>
      <c r="B548" s="4" t="str">
        <f ca="1">VLOOKUP(A548,Calculation!$E$6:$J$1004,4,FALSE)</f>
        <v/>
      </c>
      <c r="C548" s="4" t="str">
        <f ca="1">VLOOKUP(A548,Calculation!$E$6:$J$1004,5,FALSE)</f>
        <v/>
      </c>
      <c r="D548" s="4" t="str">
        <f ca="1">VLOOKUP(A548,Calculation!$E$6:$J$1004,6,FALSE)</f>
        <v/>
      </c>
      <c r="E548" s="42" t="str">
        <f t="shared" ca="1" si="4"/>
        <v/>
      </c>
      <c r="G548" s="29" t="str">
        <f ca="1">VLOOKUP(A548,Calculation!$F$6:$J$1004,3,FALSE)</f>
        <v/>
      </c>
      <c r="H548" s="4" t="str">
        <f ca="1">VLOOKUP(A548,Calculation!$F$6:$J$1004,4,FALSE)</f>
        <v/>
      </c>
      <c r="I548" s="4" t="str">
        <f ca="1">VLOOKUP(A548,Calculation!$F$6:$J$1004,5,FALSE)</f>
        <v/>
      </c>
      <c r="J548" s="43" t="str">
        <f t="shared" ca="1" si="5"/>
        <v/>
      </c>
      <c r="L548" s="29" t="str">
        <f ca="1">VLOOKUP(A548,Calculation!$G$6:$S$1004,2,FALSE)</f>
        <v/>
      </c>
      <c r="M548" s="4" t="str">
        <f ca="1">IFERROR(VLOOKUP($L548,Calculation!$H$6:$S$1005,HLOOKUP(M$2,Calculation!$M$4:$S$5,2,FALSE)+5,FALSE),"")</f>
        <v/>
      </c>
      <c r="N548" s="4" t="str">
        <f ca="1">IFERROR(VLOOKUP($L548,Calculation!$H$6:$S$1005,HLOOKUP(N$2,Calculation!$M$4:$S$5,2,FALSE)+5,FALSE),"")</f>
        <v/>
      </c>
      <c r="O548" s="4" t="str">
        <f ca="1">IFERROR(VLOOKUP($L548,Calculation!$H$6:$S$1005,HLOOKUP(O$2,Calculation!$M$4:$S$5,2,FALSE)+5,FALSE),"")</f>
        <v/>
      </c>
      <c r="P548" s="4" t="str">
        <f ca="1">IFERROR(VLOOKUP($L548,Calculation!$H$6:$S$1005,HLOOKUP(P$2,Calculation!$M$4:$S$5,2,FALSE)+5,FALSE),"")</f>
        <v/>
      </c>
      <c r="Q548" s="4" t="str">
        <f ca="1">IFERROR(VLOOKUP($L548,Calculation!$H$6:$S$1005,HLOOKUP(Q$2,Calculation!$M$4:$S$5,2,FALSE)+5,FALSE),"")</f>
        <v/>
      </c>
      <c r="R548" s="27" t="str">
        <f ca="1">IFERROR(VLOOKUP($L548,Calculation!$H$6:$S$1005,HLOOKUP(R$2,Calculation!$M$4:$S$5,2,FALSE)+5,FALSE),"")</f>
        <v/>
      </c>
      <c r="S548" s="4" t="str">
        <f ca="1">IFERROR(VLOOKUP($L548,Calculation!$H$6:$S$1005,HLOOKUP(S$2,Calculation!$M$4:$S$5,2,FALSE)+5,FALSE),"")</f>
        <v/>
      </c>
      <c r="T548" s="29"/>
      <c r="U548" s="43" t="str">
        <f>IFERROR(VLOOKUP(T548,Calculation!$U$6:$V$11,2,FALSE),"")</f>
        <v/>
      </c>
    </row>
    <row r="549" spans="1:21" ht="14.25" customHeight="1" x14ac:dyDescent="0.3">
      <c r="A549" s="26" t="str">
        <f ca="1">IF(Calculation!T552&lt;=Calculation!$H$4,Calculation!T552,"")</f>
        <v/>
      </c>
      <c r="B549" s="4" t="str">
        <f ca="1">VLOOKUP(A549,Calculation!$E$6:$J$1004,4,FALSE)</f>
        <v/>
      </c>
      <c r="C549" s="4" t="str">
        <f ca="1">VLOOKUP(A549,Calculation!$E$6:$J$1004,5,FALSE)</f>
        <v/>
      </c>
      <c r="D549" s="4" t="str">
        <f ca="1">VLOOKUP(A549,Calculation!$E$6:$J$1004,6,FALSE)</f>
        <v/>
      </c>
      <c r="E549" s="42" t="str">
        <f t="shared" ca="1" si="4"/>
        <v/>
      </c>
      <c r="G549" s="29" t="str">
        <f ca="1">VLOOKUP(A549,Calculation!$F$6:$J$1004,3,FALSE)</f>
        <v/>
      </c>
      <c r="H549" s="4" t="str">
        <f ca="1">VLOOKUP(A549,Calculation!$F$6:$J$1004,4,FALSE)</f>
        <v/>
      </c>
      <c r="I549" s="4" t="str">
        <f ca="1">VLOOKUP(A549,Calculation!$F$6:$J$1004,5,FALSE)</f>
        <v/>
      </c>
      <c r="J549" s="43" t="str">
        <f t="shared" ca="1" si="5"/>
        <v/>
      </c>
      <c r="L549" s="29" t="str">
        <f ca="1">VLOOKUP(A549,Calculation!$G$6:$S$1004,2,FALSE)</f>
        <v/>
      </c>
      <c r="M549" s="4" t="str">
        <f ca="1">IFERROR(VLOOKUP($L549,Calculation!$H$6:$S$1005,HLOOKUP(M$2,Calculation!$M$4:$S$5,2,FALSE)+5,FALSE),"")</f>
        <v/>
      </c>
      <c r="N549" s="4" t="str">
        <f ca="1">IFERROR(VLOOKUP($L549,Calculation!$H$6:$S$1005,HLOOKUP(N$2,Calculation!$M$4:$S$5,2,FALSE)+5,FALSE),"")</f>
        <v/>
      </c>
      <c r="O549" s="4" t="str">
        <f ca="1">IFERROR(VLOOKUP($L549,Calculation!$H$6:$S$1005,HLOOKUP(O$2,Calculation!$M$4:$S$5,2,FALSE)+5,FALSE),"")</f>
        <v/>
      </c>
      <c r="P549" s="4" t="str">
        <f ca="1">IFERROR(VLOOKUP($L549,Calculation!$H$6:$S$1005,HLOOKUP(P$2,Calculation!$M$4:$S$5,2,FALSE)+5,FALSE),"")</f>
        <v/>
      </c>
      <c r="Q549" s="4" t="str">
        <f ca="1">IFERROR(VLOOKUP($L549,Calculation!$H$6:$S$1005,HLOOKUP(Q$2,Calculation!$M$4:$S$5,2,FALSE)+5,FALSE),"")</f>
        <v/>
      </c>
      <c r="R549" s="27" t="str">
        <f ca="1">IFERROR(VLOOKUP($L549,Calculation!$H$6:$S$1005,HLOOKUP(R$2,Calculation!$M$4:$S$5,2,FALSE)+5,FALSE),"")</f>
        <v/>
      </c>
      <c r="S549" s="4" t="str">
        <f ca="1">IFERROR(VLOOKUP($L549,Calculation!$H$6:$S$1005,HLOOKUP(S$2,Calculation!$M$4:$S$5,2,FALSE)+5,FALSE),"")</f>
        <v/>
      </c>
      <c r="T549" s="29"/>
      <c r="U549" s="43" t="str">
        <f>IFERROR(VLOOKUP(T549,Calculation!$U$6:$V$11,2,FALSE),"")</f>
        <v/>
      </c>
    </row>
    <row r="550" spans="1:21" ht="14.25" customHeight="1" x14ac:dyDescent="0.3">
      <c r="A550" s="26" t="str">
        <f ca="1">IF(Calculation!T553&lt;=Calculation!$H$4,Calculation!T553,"")</f>
        <v/>
      </c>
      <c r="B550" s="4" t="str">
        <f ca="1">VLOOKUP(A550,Calculation!$E$6:$J$1004,4,FALSE)</f>
        <v/>
      </c>
      <c r="C550" s="4" t="str">
        <f ca="1">VLOOKUP(A550,Calculation!$E$6:$J$1004,5,FALSE)</f>
        <v/>
      </c>
      <c r="D550" s="4" t="str">
        <f ca="1">VLOOKUP(A550,Calculation!$E$6:$J$1004,6,FALSE)</f>
        <v/>
      </c>
      <c r="E550" s="42" t="str">
        <f t="shared" ca="1" si="4"/>
        <v/>
      </c>
      <c r="G550" s="29" t="str">
        <f ca="1">VLOOKUP(A550,Calculation!$F$6:$J$1004,3,FALSE)</f>
        <v/>
      </c>
      <c r="H550" s="4" t="str">
        <f ca="1">VLOOKUP(A550,Calculation!$F$6:$J$1004,4,FALSE)</f>
        <v/>
      </c>
      <c r="I550" s="4" t="str">
        <f ca="1">VLOOKUP(A550,Calculation!$F$6:$J$1004,5,FALSE)</f>
        <v/>
      </c>
      <c r="J550" s="43" t="str">
        <f t="shared" ca="1" si="5"/>
        <v/>
      </c>
      <c r="L550" s="29" t="str">
        <f ca="1">VLOOKUP(A550,Calculation!$G$6:$S$1004,2,FALSE)</f>
        <v/>
      </c>
      <c r="M550" s="4" t="str">
        <f ca="1">IFERROR(VLOOKUP($L550,Calculation!$H$6:$S$1005,HLOOKUP(M$2,Calculation!$M$4:$S$5,2,FALSE)+5,FALSE),"")</f>
        <v/>
      </c>
      <c r="N550" s="4" t="str">
        <f ca="1">IFERROR(VLOOKUP($L550,Calculation!$H$6:$S$1005,HLOOKUP(N$2,Calculation!$M$4:$S$5,2,FALSE)+5,FALSE),"")</f>
        <v/>
      </c>
      <c r="O550" s="4" t="str">
        <f ca="1">IFERROR(VLOOKUP($L550,Calculation!$H$6:$S$1005,HLOOKUP(O$2,Calculation!$M$4:$S$5,2,FALSE)+5,FALSE),"")</f>
        <v/>
      </c>
      <c r="P550" s="4" t="str">
        <f ca="1">IFERROR(VLOOKUP($L550,Calculation!$H$6:$S$1005,HLOOKUP(P$2,Calculation!$M$4:$S$5,2,FALSE)+5,FALSE),"")</f>
        <v/>
      </c>
      <c r="Q550" s="4" t="str">
        <f ca="1">IFERROR(VLOOKUP($L550,Calculation!$H$6:$S$1005,HLOOKUP(Q$2,Calculation!$M$4:$S$5,2,FALSE)+5,FALSE),"")</f>
        <v/>
      </c>
      <c r="R550" s="27" t="str">
        <f ca="1">IFERROR(VLOOKUP($L550,Calculation!$H$6:$S$1005,HLOOKUP(R$2,Calculation!$M$4:$S$5,2,FALSE)+5,FALSE),"")</f>
        <v/>
      </c>
      <c r="S550" s="4" t="str">
        <f ca="1">IFERROR(VLOOKUP($L550,Calculation!$H$6:$S$1005,HLOOKUP(S$2,Calculation!$M$4:$S$5,2,FALSE)+5,FALSE),"")</f>
        <v/>
      </c>
      <c r="T550" s="29"/>
      <c r="U550" s="43" t="str">
        <f>IFERROR(VLOOKUP(T550,Calculation!$U$6:$V$11,2,FALSE),"")</f>
        <v/>
      </c>
    </row>
    <row r="551" spans="1:21" ht="14.25" customHeight="1" x14ac:dyDescent="0.3">
      <c r="A551" s="26" t="str">
        <f ca="1">IF(Calculation!T554&lt;=Calculation!$H$4,Calculation!T554,"")</f>
        <v/>
      </c>
      <c r="B551" s="4" t="str">
        <f ca="1">VLOOKUP(A551,Calculation!$E$6:$J$1004,4,FALSE)</f>
        <v/>
      </c>
      <c r="C551" s="4" t="str">
        <f ca="1">VLOOKUP(A551,Calculation!$E$6:$J$1004,5,FALSE)</f>
        <v/>
      </c>
      <c r="D551" s="4" t="str">
        <f ca="1">VLOOKUP(A551,Calculation!$E$6:$J$1004,6,FALSE)</f>
        <v/>
      </c>
      <c r="E551" s="42" t="str">
        <f t="shared" ca="1" si="4"/>
        <v/>
      </c>
      <c r="G551" s="29" t="str">
        <f ca="1">VLOOKUP(A551,Calculation!$F$6:$J$1004,3,FALSE)</f>
        <v/>
      </c>
      <c r="H551" s="4" t="str">
        <f ca="1">VLOOKUP(A551,Calculation!$F$6:$J$1004,4,FALSE)</f>
        <v/>
      </c>
      <c r="I551" s="4" t="str">
        <f ca="1">VLOOKUP(A551,Calculation!$F$6:$J$1004,5,FALSE)</f>
        <v/>
      </c>
      <c r="J551" s="43" t="str">
        <f t="shared" ca="1" si="5"/>
        <v/>
      </c>
      <c r="L551" s="29" t="str">
        <f ca="1">VLOOKUP(A551,Calculation!$G$6:$S$1004,2,FALSE)</f>
        <v/>
      </c>
      <c r="M551" s="4" t="str">
        <f ca="1">IFERROR(VLOOKUP($L551,Calculation!$H$6:$S$1005,HLOOKUP(M$2,Calculation!$M$4:$S$5,2,FALSE)+5,FALSE),"")</f>
        <v/>
      </c>
      <c r="N551" s="4" t="str">
        <f ca="1">IFERROR(VLOOKUP($L551,Calculation!$H$6:$S$1005,HLOOKUP(N$2,Calculation!$M$4:$S$5,2,FALSE)+5,FALSE),"")</f>
        <v/>
      </c>
      <c r="O551" s="4" t="str">
        <f ca="1">IFERROR(VLOOKUP($L551,Calculation!$H$6:$S$1005,HLOOKUP(O$2,Calculation!$M$4:$S$5,2,FALSE)+5,FALSE),"")</f>
        <v/>
      </c>
      <c r="P551" s="4" t="str">
        <f ca="1">IFERROR(VLOOKUP($L551,Calculation!$H$6:$S$1005,HLOOKUP(P$2,Calculation!$M$4:$S$5,2,FALSE)+5,FALSE),"")</f>
        <v/>
      </c>
      <c r="Q551" s="4" t="str">
        <f ca="1">IFERROR(VLOOKUP($L551,Calculation!$H$6:$S$1005,HLOOKUP(Q$2,Calculation!$M$4:$S$5,2,FALSE)+5,FALSE),"")</f>
        <v/>
      </c>
      <c r="R551" s="27" t="str">
        <f ca="1">IFERROR(VLOOKUP($L551,Calculation!$H$6:$S$1005,HLOOKUP(R$2,Calculation!$M$4:$S$5,2,FALSE)+5,FALSE),"")</f>
        <v/>
      </c>
      <c r="S551" s="4" t="str">
        <f ca="1">IFERROR(VLOOKUP($L551,Calculation!$H$6:$S$1005,HLOOKUP(S$2,Calculation!$M$4:$S$5,2,FALSE)+5,FALSE),"")</f>
        <v/>
      </c>
      <c r="T551" s="29"/>
      <c r="U551" s="43" t="str">
        <f>IFERROR(VLOOKUP(T551,Calculation!$U$6:$V$11,2,FALSE),"")</f>
        <v/>
      </c>
    </row>
    <row r="552" spans="1:21" ht="14.25" customHeight="1" x14ac:dyDescent="0.3">
      <c r="A552" s="26" t="str">
        <f ca="1">IF(Calculation!T555&lt;=Calculation!$H$4,Calculation!T555,"")</f>
        <v/>
      </c>
      <c r="B552" s="4" t="str">
        <f ca="1">VLOOKUP(A552,Calculation!$E$6:$J$1004,4,FALSE)</f>
        <v/>
      </c>
      <c r="C552" s="4" t="str">
        <f ca="1">VLOOKUP(A552,Calculation!$E$6:$J$1004,5,FALSE)</f>
        <v/>
      </c>
      <c r="D552" s="4" t="str">
        <f ca="1">VLOOKUP(A552,Calculation!$E$6:$J$1004,6,FALSE)</f>
        <v/>
      </c>
      <c r="E552" s="42" t="str">
        <f t="shared" ca="1" si="4"/>
        <v/>
      </c>
      <c r="G552" s="29" t="str">
        <f ca="1">VLOOKUP(A552,Calculation!$F$6:$J$1004,3,FALSE)</f>
        <v/>
      </c>
      <c r="H552" s="4" t="str">
        <f ca="1">VLOOKUP(A552,Calculation!$F$6:$J$1004,4,FALSE)</f>
        <v/>
      </c>
      <c r="I552" s="4" t="str">
        <f ca="1">VLOOKUP(A552,Calculation!$F$6:$J$1004,5,FALSE)</f>
        <v/>
      </c>
      <c r="J552" s="43" t="str">
        <f t="shared" ca="1" si="5"/>
        <v/>
      </c>
      <c r="L552" s="29" t="str">
        <f ca="1">VLOOKUP(A552,Calculation!$G$6:$S$1004,2,FALSE)</f>
        <v/>
      </c>
      <c r="M552" s="4" t="str">
        <f ca="1">IFERROR(VLOOKUP($L552,Calculation!$H$6:$S$1005,HLOOKUP(M$2,Calculation!$M$4:$S$5,2,FALSE)+5,FALSE),"")</f>
        <v/>
      </c>
      <c r="N552" s="4" t="str">
        <f ca="1">IFERROR(VLOOKUP($L552,Calculation!$H$6:$S$1005,HLOOKUP(N$2,Calculation!$M$4:$S$5,2,FALSE)+5,FALSE),"")</f>
        <v/>
      </c>
      <c r="O552" s="4" t="str">
        <f ca="1">IFERROR(VLOOKUP($L552,Calculation!$H$6:$S$1005,HLOOKUP(O$2,Calculation!$M$4:$S$5,2,FALSE)+5,FALSE),"")</f>
        <v/>
      </c>
      <c r="P552" s="4" t="str">
        <f ca="1">IFERROR(VLOOKUP($L552,Calculation!$H$6:$S$1005,HLOOKUP(P$2,Calculation!$M$4:$S$5,2,FALSE)+5,FALSE),"")</f>
        <v/>
      </c>
      <c r="Q552" s="4" t="str">
        <f ca="1">IFERROR(VLOOKUP($L552,Calculation!$H$6:$S$1005,HLOOKUP(Q$2,Calculation!$M$4:$S$5,2,FALSE)+5,FALSE),"")</f>
        <v/>
      </c>
      <c r="R552" s="27" t="str">
        <f ca="1">IFERROR(VLOOKUP($L552,Calculation!$H$6:$S$1005,HLOOKUP(R$2,Calculation!$M$4:$S$5,2,FALSE)+5,FALSE),"")</f>
        <v/>
      </c>
      <c r="S552" s="4" t="str">
        <f ca="1">IFERROR(VLOOKUP($L552,Calculation!$H$6:$S$1005,HLOOKUP(S$2,Calculation!$M$4:$S$5,2,FALSE)+5,FALSE),"")</f>
        <v/>
      </c>
      <c r="T552" s="29"/>
      <c r="U552" s="43" t="str">
        <f>IFERROR(VLOOKUP(T552,Calculation!$U$6:$V$11,2,FALSE),"")</f>
        <v/>
      </c>
    </row>
    <row r="553" spans="1:21" ht="14.25" customHeight="1" x14ac:dyDescent="0.3">
      <c r="A553" s="26" t="str">
        <f ca="1">IF(Calculation!T556&lt;=Calculation!$H$4,Calculation!T556,"")</f>
        <v/>
      </c>
      <c r="B553" s="4" t="str">
        <f ca="1">VLOOKUP(A553,Calculation!$E$6:$J$1004,4,FALSE)</f>
        <v/>
      </c>
      <c r="C553" s="4" t="str">
        <f ca="1">VLOOKUP(A553,Calculation!$E$6:$J$1004,5,FALSE)</f>
        <v/>
      </c>
      <c r="D553" s="4" t="str">
        <f ca="1">VLOOKUP(A553,Calculation!$E$6:$J$1004,6,FALSE)</f>
        <v/>
      </c>
      <c r="E553" s="42" t="str">
        <f t="shared" ca="1" si="4"/>
        <v/>
      </c>
      <c r="G553" s="29" t="str">
        <f ca="1">VLOOKUP(A553,Calculation!$F$6:$J$1004,3,FALSE)</f>
        <v/>
      </c>
      <c r="H553" s="4" t="str">
        <f ca="1">VLOOKUP(A553,Calculation!$F$6:$J$1004,4,FALSE)</f>
        <v/>
      </c>
      <c r="I553" s="4" t="str">
        <f ca="1">VLOOKUP(A553,Calculation!$F$6:$J$1004,5,FALSE)</f>
        <v/>
      </c>
      <c r="J553" s="43" t="str">
        <f t="shared" ca="1" si="5"/>
        <v/>
      </c>
      <c r="L553" s="29" t="str">
        <f ca="1">VLOOKUP(A553,Calculation!$G$6:$S$1004,2,FALSE)</f>
        <v/>
      </c>
      <c r="M553" s="4" t="str">
        <f ca="1">IFERROR(VLOOKUP($L553,Calculation!$H$6:$S$1005,HLOOKUP(M$2,Calculation!$M$4:$S$5,2,FALSE)+5,FALSE),"")</f>
        <v/>
      </c>
      <c r="N553" s="4" t="str">
        <f ca="1">IFERROR(VLOOKUP($L553,Calculation!$H$6:$S$1005,HLOOKUP(N$2,Calculation!$M$4:$S$5,2,FALSE)+5,FALSE),"")</f>
        <v/>
      </c>
      <c r="O553" s="4" t="str">
        <f ca="1">IFERROR(VLOOKUP($L553,Calculation!$H$6:$S$1005,HLOOKUP(O$2,Calculation!$M$4:$S$5,2,FALSE)+5,FALSE),"")</f>
        <v/>
      </c>
      <c r="P553" s="4" t="str">
        <f ca="1">IFERROR(VLOOKUP($L553,Calculation!$H$6:$S$1005,HLOOKUP(P$2,Calculation!$M$4:$S$5,2,FALSE)+5,FALSE),"")</f>
        <v/>
      </c>
      <c r="Q553" s="4" t="str">
        <f ca="1">IFERROR(VLOOKUP($L553,Calculation!$H$6:$S$1005,HLOOKUP(Q$2,Calculation!$M$4:$S$5,2,FALSE)+5,FALSE),"")</f>
        <v/>
      </c>
      <c r="R553" s="27" t="str">
        <f ca="1">IFERROR(VLOOKUP($L553,Calculation!$H$6:$S$1005,HLOOKUP(R$2,Calculation!$M$4:$S$5,2,FALSE)+5,FALSE),"")</f>
        <v/>
      </c>
      <c r="S553" s="4" t="str">
        <f ca="1">IFERROR(VLOOKUP($L553,Calculation!$H$6:$S$1005,HLOOKUP(S$2,Calculation!$M$4:$S$5,2,FALSE)+5,FALSE),"")</f>
        <v/>
      </c>
      <c r="T553" s="29"/>
      <c r="U553" s="43" t="str">
        <f>IFERROR(VLOOKUP(T553,Calculation!$U$6:$V$11,2,FALSE),"")</f>
        <v/>
      </c>
    </row>
    <row r="554" spans="1:21" ht="14.25" customHeight="1" x14ac:dyDescent="0.3">
      <c r="A554" s="26" t="str">
        <f ca="1">IF(Calculation!T557&lt;=Calculation!$H$4,Calculation!T557,"")</f>
        <v/>
      </c>
      <c r="B554" s="4" t="str">
        <f ca="1">VLOOKUP(A554,Calculation!$E$6:$J$1004,4,FALSE)</f>
        <v/>
      </c>
      <c r="C554" s="4" t="str">
        <f ca="1">VLOOKUP(A554,Calculation!$E$6:$J$1004,5,FALSE)</f>
        <v/>
      </c>
      <c r="D554" s="4" t="str">
        <f ca="1">VLOOKUP(A554,Calculation!$E$6:$J$1004,6,FALSE)</f>
        <v/>
      </c>
      <c r="E554" s="42" t="str">
        <f t="shared" ca="1" si="4"/>
        <v/>
      </c>
      <c r="G554" s="29" t="str">
        <f ca="1">VLOOKUP(A554,Calculation!$F$6:$J$1004,3,FALSE)</f>
        <v/>
      </c>
      <c r="H554" s="4" t="str">
        <f ca="1">VLOOKUP(A554,Calculation!$F$6:$J$1004,4,FALSE)</f>
        <v/>
      </c>
      <c r="I554" s="4" t="str">
        <f ca="1">VLOOKUP(A554,Calculation!$F$6:$J$1004,5,FALSE)</f>
        <v/>
      </c>
      <c r="J554" s="43" t="str">
        <f t="shared" ca="1" si="5"/>
        <v/>
      </c>
      <c r="L554" s="29" t="str">
        <f ca="1">VLOOKUP(A554,Calculation!$G$6:$S$1004,2,FALSE)</f>
        <v/>
      </c>
      <c r="M554" s="4" t="str">
        <f ca="1">IFERROR(VLOOKUP($L554,Calculation!$H$6:$S$1005,HLOOKUP(M$2,Calculation!$M$4:$S$5,2,FALSE)+5,FALSE),"")</f>
        <v/>
      </c>
      <c r="N554" s="4" t="str">
        <f ca="1">IFERROR(VLOOKUP($L554,Calculation!$H$6:$S$1005,HLOOKUP(N$2,Calculation!$M$4:$S$5,2,FALSE)+5,FALSE),"")</f>
        <v/>
      </c>
      <c r="O554" s="4" t="str">
        <f ca="1">IFERROR(VLOOKUP($L554,Calculation!$H$6:$S$1005,HLOOKUP(O$2,Calculation!$M$4:$S$5,2,FALSE)+5,FALSE),"")</f>
        <v/>
      </c>
      <c r="P554" s="4" t="str">
        <f ca="1">IFERROR(VLOOKUP($L554,Calculation!$H$6:$S$1005,HLOOKUP(P$2,Calculation!$M$4:$S$5,2,FALSE)+5,FALSE),"")</f>
        <v/>
      </c>
      <c r="Q554" s="4" t="str">
        <f ca="1">IFERROR(VLOOKUP($L554,Calculation!$H$6:$S$1005,HLOOKUP(Q$2,Calculation!$M$4:$S$5,2,FALSE)+5,FALSE),"")</f>
        <v/>
      </c>
      <c r="R554" s="27" t="str">
        <f ca="1">IFERROR(VLOOKUP($L554,Calculation!$H$6:$S$1005,HLOOKUP(R$2,Calculation!$M$4:$S$5,2,FALSE)+5,FALSE),"")</f>
        <v/>
      </c>
      <c r="S554" s="4" t="str">
        <f ca="1">IFERROR(VLOOKUP($L554,Calculation!$H$6:$S$1005,HLOOKUP(S$2,Calculation!$M$4:$S$5,2,FALSE)+5,FALSE),"")</f>
        <v/>
      </c>
      <c r="T554" s="29"/>
      <c r="U554" s="43" t="str">
        <f>IFERROR(VLOOKUP(T554,Calculation!$U$6:$V$11,2,FALSE),"")</f>
        <v/>
      </c>
    </row>
    <row r="555" spans="1:21" ht="14.25" customHeight="1" x14ac:dyDescent="0.3">
      <c r="A555" s="26" t="str">
        <f ca="1">IF(Calculation!T558&lt;=Calculation!$H$4,Calculation!T558,"")</f>
        <v/>
      </c>
      <c r="B555" s="4" t="str">
        <f ca="1">VLOOKUP(A555,Calculation!$E$6:$J$1004,4,FALSE)</f>
        <v/>
      </c>
      <c r="C555" s="4" t="str">
        <f ca="1">VLOOKUP(A555,Calculation!$E$6:$J$1004,5,FALSE)</f>
        <v/>
      </c>
      <c r="D555" s="4" t="str">
        <f ca="1">VLOOKUP(A555,Calculation!$E$6:$J$1004,6,FALSE)</f>
        <v/>
      </c>
      <c r="E555" s="42" t="str">
        <f t="shared" ca="1" si="4"/>
        <v/>
      </c>
      <c r="G555" s="29" t="str">
        <f ca="1">VLOOKUP(A555,Calculation!$F$6:$J$1004,3,FALSE)</f>
        <v/>
      </c>
      <c r="H555" s="4" t="str">
        <f ca="1">VLOOKUP(A555,Calculation!$F$6:$J$1004,4,FALSE)</f>
        <v/>
      </c>
      <c r="I555" s="4" t="str">
        <f ca="1">VLOOKUP(A555,Calculation!$F$6:$J$1004,5,FALSE)</f>
        <v/>
      </c>
      <c r="J555" s="43" t="str">
        <f t="shared" ca="1" si="5"/>
        <v/>
      </c>
      <c r="L555" s="29" t="str">
        <f ca="1">VLOOKUP(A555,Calculation!$G$6:$S$1004,2,FALSE)</f>
        <v/>
      </c>
      <c r="M555" s="4" t="str">
        <f ca="1">IFERROR(VLOOKUP($L555,Calculation!$H$6:$S$1005,HLOOKUP(M$2,Calculation!$M$4:$S$5,2,FALSE)+5,FALSE),"")</f>
        <v/>
      </c>
      <c r="N555" s="4" t="str">
        <f ca="1">IFERROR(VLOOKUP($L555,Calculation!$H$6:$S$1005,HLOOKUP(N$2,Calculation!$M$4:$S$5,2,FALSE)+5,FALSE),"")</f>
        <v/>
      </c>
      <c r="O555" s="4" t="str">
        <f ca="1">IFERROR(VLOOKUP($L555,Calculation!$H$6:$S$1005,HLOOKUP(O$2,Calculation!$M$4:$S$5,2,FALSE)+5,FALSE),"")</f>
        <v/>
      </c>
      <c r="P555" s="4" t="str">
        <f ca="1">IFERROR(VLOOKUP($L555,Calculation!$H$6:$S$1005,HLOOKUP(P$2,Calculation!$M$4:$S$5,2,FALSE)+5,FALSE),"")</f>
        <v/>
      </c>
      <c r="Q555" s="4" t="str">
        <f ca="1">IFERROR(VLOOKUP($L555,Calculation!$H$6:$S$1005,HLOOKUP(Q$2,Calculation!$M$4:$S$5,2,FALSE)+5,FALSE),"")</f>
        <v/>
      </c>
      <c r="R555" s="27" t="str">
        <f ca="1">IFERROR(VLOOKUP($L555,Calculation!$H$6:$S$1005,HLOOKUP(R$2,Calculation!$M$4:$S$5,2,FALSE)+5,FALSE),"")</f>
        <v/>
      </c>
      <c r="S555" s="4" t="str">
        <f ca="1">IFERROR(VLOOKUP($L555,Calculation!$H$6:$S$1005,HLOOKUP(S$2,Calculation!$M$4:$S$5,2,FALSE)+5,FALSE),"")</f>
        <v/>
      </c>
      <c r="T555" s="29"/>
      <c r="U555" s="43" t="str">
        <f>IFERROR(VLOOKUP(T555,Calculation!$U$6:$V$11,2,FALSE),"")</f>
        <v/>
      </c>
    </row>
    <row r="556" spans="1:21" ht="14.25" customHeight="1" x14ac:dyDescent="0.3">
      <c r="A556" s="26" t="str">
        <f ca="1">IF(Calculation!T559&lt;=Calculation!$H$4,Calculation!T559,"")</f>
        <v/>
      </c>
      <c r="B556" s="4" t="str">
        <f ca="1">VLOOKUP(A556,Calculation!$E$6:$J$1004,4,FALSE)</f>
        <v/>
      </c>
      <c r="C556" s="4" t="str">
        <f ca="1">VLOOKUP(A556,Calculation!$E$6:$J$1004,5,FALSE)</f>
        <v/>
      </c>
      <c r="D556" s="4" t="str">
        <f ca="1">VLOOKUP(A556,Calculation!$E$6:$J$1004,6,FALSE)</f>
        <v/>
      </c>
      <c r="E556" s="42" t="str">
        <f t="shared" ca="1" si="4"/>
        <v/>
      </c>
      <c r="G556" s="29" t="str">
        <f ca="1">VLOOKUP(A556,Calculation!$F$6:$J$1004,3,FALSE)</f>
        <v/>
      </c>
      <c r="H556" s="4" t="str">
        <f ca="1">VLOOKUP(A556,Calculation!$F$6:$J$1004,4,FALSE)</f>
        <v/>
      </c>
      <c r="I556" s="4" t="str">
        <f ca="1">VLOOKUP(A556,Calculation!$F$6:$J$1004,5,FALSE)</f>
        <v/>
      </c>
      <c r="J556" s="43" t="str">
        <f t="shared" ca="1" si="5"/>
        <v/>
      </c>
      <c r="L556" s="29" t="str">
        <f ca="1">VLOOKUP(A556,Calculation!$G$6:$S$1004,2,FALSE)</f>
        <v/>
      </c>
      <c r="M556" s="4" t="str">
        <f ca="1">IFERROR(VLOOKUP($L556,Calculation!$H$6:$S$1005,HLOOKUP(M$2,Calculation!$M$4:$S$5,2,FALSE)+5,FALSE),"")</f>
        <v/>
      </c>
      <c r="N556" s="4" t="str">
        <f ca="1">IFERROR(VLOOKUP($L556,Calculation!$H$6:$S$1005,HLOOKUP(N$2,Calculation!$M$4:$S$5,2,FALSE)+5,FALSE),"")</f>
        <v/>
      </c>
      <c r="O556" s="4" t="str">
        <f ca="1">IFERROR(VLOOKUP($L556,Calculation!$H$6:$S$1005,HLOOKUP(O$2,Calculation!$M$4:$S$5,2,FALSE)+5,FALSE),"")</f>
        <v/>
      </c>
      <c r="P556" s="4" t="str">
        <f ca="1">IFERROR(VLOOKUP($L556,Calculation!$H$6:$S$1005,HLOOKUP(P$2,Calculation!$M$4:$S$5,2,FALSE)+5,FALSE),"")</f>
        <v/>
      </c>
      <c r="Q556" s="4" t="str">
        <f ca="1">IFERROR(VLOOKUP($L556,Calculation!$H$6:$S$1005,HLOOKUP(Q$2,Calculation!$M$4:$S$5,2,FALSE)+5,FALSE),"")</f>
        <v/>
      </c>
      <c r="R556" s="27" t="str">
        <f ca="1">IFERROR(VLOOKUP($L556,Calculation!$H$6:$S$1005,HLOOKUP(R$2,Calculation!$M$4:$S$5,2,FALSE)+5,FALSE),"")</f>
        <v/>
      </c>
      <c r="S556" s="4" t="str">
        <f ca="1">IFERROR(VLOOKUP($L556,Calculation!$H$6:$S$1005,HLOOKUP(S$2,Calculation!$M$4:$S$5,2,FALSE)+5,FALSE),"")</f>
        <v/>
      </c>
      <c r="T556" s="29"/>
      <c r="U556" s="43" t="str">
        <f>IFERROR(VLOOKUP(T556,Calculation!$U$6:$V$11,2,FALSE),"")</f>
        <v/>
      </c>
    </row>
    <row r="557" spans="1:21" ht="14.25" customHeight="1" x14ac:dyDescent="0.3">
      <c r="A557" s="26" t="str">
        <f ca="1">IF(Calculation!T560&lt;=Calculation!$H$4,Calculation!T560,"")</f>
        <v/>
      </c>
      <c r="B557" s="4" t="str">
        <f ca="1">VLOOKUP(A557,Calculation!$E$6:$J$1004,4,FALSE)</f>
        <v/>
      </c>
      <c r="C557" s="4" t="str">
        <f ca="1">VLOOKUP(A557,Calculation!$E$6:$J$1004,5,FALSE)</f>
        <v/>
      </c>
      <c r="D557" s="4" t="str">
        <f ca="1">VLOOKUP(A557,Calculation!$E$6:$J$1004,6,FALSE)</f>
        <v/>
      </c>
      <c r="E557" s="42" t="str">
        <f t="shared" ca="1" si="4"/>
        <v/>
      </c>
      <c r="G557" s="29" t="str">
        <f ca="1">VLOOKUP(A557,Calculation!$F$6:$J$1004,3,FALSE)</f>
        <v/>
      </c>
      <c r="H557" s="4" t="str">
        <f ca="1">VLOOKUP(A557,Calculation!$F$6:$J$1004,4,FALSE)</f>
        <v/>
      </c>
      <c r="I557" s="4" t="str">
        <f ca="1">VLOOKUP(A557,Calculation!$F$6:$J$1004,5,FALSE)</f>
        <v/>
      </c>
      <c r="J557" s="43" t="str">
        <f t="shared" ca="1" si="5"/>
        <v/>
      </c>
      <c r="L557" s="29" t="str">
        <f ca="1">VLOOKUP(A557,Calculation!$G$6:$S$1004,2,FALSE)</f>
        <v/>
      </c>
      <c r="M557" s="4" t="str">
        <f ca="1">IFERROR(VLOOKUP($L557,Calculation!$H$6:$S$1005,HLOOKUP(M$2,Calculation!$M$4:$S$5,2,FALSE)+5,FALSE),"")</f>
        <v/>
      </c>
      <c r="N557" s="4" t="str">
        <f ca="1">IFERROR(VLOOKUP($L557,Calculation!$H$6:$S$1005,HLOOKUP(N$2,Calculation!$M$4:$S$5,2,FALSE)+5,FALSE),"")</f>
        <v/>
      </c>
      <c r="O557" s="4" t="str">
        <f ca="1">IFERROR(VLOOKUP($L557,Calculation!$H$6:$S$1005,HLOOKUP(O$2,Calculation!$M$4:$S$5,2,FALSE)+5,FALSE),"")</f>
        <v/>
      </c>
      <c r="P557" s="4" t="str">
        <f ca="1">IFERROR(VLOOKUP($L557,Calculation!$H$6:$S$1005,HLOOKUP(P$2,Calculation!$M$4:$S$5,2,FALSE)+5,FALSE),"")</f>
        <v/>
      </c>
      <c r="Q557" s="4" t="str">
        <f ca="1">IFERROR(VLOOKUP($L557,Calculation!$H$6:$S$1005,HLOOKUP(Q$2,Calculation!$M$4:$S$5,2,FALSE)+5,FALSE),"")</f>
        <v/>
      </c>
      <c r="R557" s="27" t="str">
        <f ca="1">IFERROR(VLOOKUP($L557,Calculation!$H$6:$S$1005,HLOOKUP(R$2,Calculation!$M$4:$S$5,2,FALSE)+5,FALSE),"")</f>
        <v/>
      </c>
      <c r="S557" s="4" t="str">
        <f ca="1">IFERROR(VLOOKUP($L557,Calculation!$H$6:$S$1005,HLOOKUP(S$2,Calculation!$M$4:$S$5,2,FALSE)+5,FALSE),"")</f>
        <v/>
      </c>
      <c r="T557" s="29"/>
      <c r="U557" s="43" t="str">
        <f>IFERROR(VLOOKUP(T557,Calculation!$U$6:$V$11,2,FALSE),"")</f>
        <v/>
      </c>
    </row>
    <row r="558" spans="1:21" ht="14.25" customHeight="1" x14ac:dyDescent="0.3">
      <c r="A558" s="26" t="str">
        <f ca="1">IF(Calculation!T561&lt;=Calculation!$H$4,Calculation!T561,"")</f>
        <v/>
      </c>
      <c r="B558" s="4" t="str">
        <f ca="1">VLOOKUP(A558,Calculation!$E$6:$J$1004,4,FALSE)</f>
        <v/>
      </c>
      <c r="C558" s="4" t="str">
        <f ca="1">VLOOKUP(A558,Calculation!$E$6:$J$1004,5,FALSE)</f>
        <v/>
      </c>
      <c r="D558" s="4" t="str">
        <f ca="1">VLOOKUP(A558,Calculation!$E$6:$J$1004,6,FALSE)</f>
        <v/>
      </c>
      <c r="E558" s="42" t="str">
        <f t="shared" ca="1" si="4"/>
        <v/>
      </c>
      <c r="G558" s="29" t="str">
        <f ca="1">VLOOKUP(A558,Calculation!$F$6:$J$1004,3,FALSE)</f>
        <v/>
      </c>
      <c r="H558" s="4" t="str">
        <f ca="1">VLOOKUP(A558,Calculation!$F$6:$J$1004,4,FALSE)</f>
        <v/>
      </c>
      <c r="I558" s="4" t="str">
        <f ca="1">VLOOKUP(A558,Calculation!$F$6:$J$1004,5,FALSE)</f>
        <v/>
      </c>
      <c r="J558" s="43" t="str">
        <f t="shared" ca="1" si="5"/>
        <v/>
      </c>
      <c r="L558" s="29" t="str">
        <f ca="1">VLOOKUP(A558,Calculation!$G$6:$S$1004,2,FALSE)</f>
        <v/>
      </c>
      <c r="M558" s="4" t="str">
        <f ca="1">IFERROR(VLOOKUP($L558,Calculation!$H$6:$S$1005,HLOOKUP(M$2,Calculation!$M$4:$S$5,2,FALSE)+5,FALSE),"")</f>
        <v/>
      </c>
      <c r="N558" s="4" t="str">
        <f ca="1">IFERROR(VLOOKUP($L558,Calculation!$H$6:$S$1005,HLOOKUP(N$2,Calculation!$M$4:$S$5,2,FALSE)+5,FALSE),"")</f>
        <v/>
      </c>
      <c r="O558" s="4" t="str">
        <f ca="1">IFERROR(VLOOKUP($L558,Calculation!$H$6:$S$1005,HLOOKUP(O$2,Calculation!$M$4:$S$5,2,FALSE)+5,FALSE),"")</f>
        <v/>
      </c>
      <c r="P558" s="4" t="str">
        <f ca="1">IFERROR(VLOOKUP($L558,Calculation!$H$6:$S$1005,HLOOKUP(P$2,Calculation!$M$4:$S$5,2,FALSE)+5,FALSE),"")</f>
        <v/>
      </c>
      <c r="Q558" s="4" t="str">
        <f ca="1">IFERROR(VLOOKUP($L558,Calculation!$H$6:$S$1005,HLOOKUP(Q$2,Calculation!$M$4:$S$5,2,FALSE)+5,FALSE),"")</f>
        <v/>
      </c>
      <c r="R558" s="27" t="str">
        <f ca="1">IFERROR(VLOOKUP($L558,Calculation!$H$6:$S$1005,HLOOKUP(R$2,Calculation!$M$4:$S$5,2,FALSE)+5,FALSE),"")</f>
        <v/>
      </c>
      <c r="S558" s="4" t="str">
        <f ca="1">IFERROR(VLOOKUP($L558,Calculation!$H$6:$S$1005,HLOOKUP(S$2,Calculation!$M$4:$S$5,2,FALSE)+5,FALSE),"")</f>
        <v/>
      </c>
      <c r="T558" s="29"/>
      <c r="U558" s="43" t="str">
        <f>IFERROR(VLOOKUP(T558,Calculation!$U$6:$V$11,2,FALSE),"")</f>
        <v/>
      </c>
    </row>
    <row r="559" spans="1:21" ht="14.25" customHeight="1" x14ac:dyDescent="0.3">
      <c r="A559" s="26" t="str">
        <f ca="1">IF(Calculation!T562&lt;=Calculation!$H$4,Calculation!T562,"")</f>
        <v/>
      </c>
      <c r="B559" s="4" t="str">
        <f ca="1">VLOOKUP(A559,Calculation!$E$6:$J$1004,4,FALSE)</f>
        <v/>
      </c>
      <c r="C559" s="4" t="str">
        <f ca="1">VLOOKUP(A559,Calculation!$E$6:$J$1004,5,FALSE)</f>
        <v/>
      </c>
      <c r="D559" s="4" t="str">
        <f ca="1">VLOOKUP(A559,Calculation!$E$6:$J$1004,6,FALSE)</f>
        <v/>
      </c>
      <c r="E559" s="42" t="str">
        <f t="shared" ca="1" si="4"/>
        <v/>
      </c>
      <c r="G559" s="29" t="str">
        <f ca="1">VLOOKUP(A559,Calculation!$F$6:$J$1004,3,FALSE)</f>
        <v/>
      </c>
      <c r="H559" s="4" t="str">
        <f ca="1">VLOOKUP(A559,Calculation!$F$6:$J$1004,4,FALSE)</f>
        <v/>
      </c>
      <c r="I559" s="4" t="str">
        <f ca="1">VLOOKUP(A559,Calculation!$F$6:$J$1004,5,FALSE)</f>
        <v/>
      </c>
      <c r="J559" s="43" t="str">
        <f t="shared" ca="1" si="5"/>
        <v/>
      </c>
      <c r="L559" s="29" t="str">
        <f ca="1">VLOOKUP(A559,Calculation!$G$6:$S$1004,2,FALSE)</f>
        <v/>
      </c>
      <c r="M559" s="4" t="str">
        <f ca="1">IFERROR(VLOOKUP($L559,Calculation!$H$6:$S$1005,HLOOKUP(M$2,Calculation!$M$4:$S$5,2,FALSE)+5,FALSE),"")</f>
        <v/>
      </c>
      <c r="N559" s="4" t="str">
        <f ca="1">IFERROR(VLOOKUP($L559,Calculation!$H$6:$S$1005,HLOOKUP(N$2,Calculation!$M$4:$S$5,2,FALSE)+5,FALSE),"")</f>
        <v/>
      </c>
      <c r="O559" s="4" t="str">
        <f ca="1">IFERROR(VLOOKUP($L559,Calculation!$H$6:$S$1005,HLOOKUP(O$2,Calculation!$M$4:$S$5,2,FALSE)+5,FALSE),"")</f>
        <v/>
      </c>
      <c r="P559" s="4" t="str">
        <f ca="1">IFERROR(VLOOKUP($L559,Calculation!$H$6:$S$1005,HLOOKUP(P$2,Calculation!$M$4:$S$5,2,FALSE)+5,FALSE),"")</f>
        <v/>
      </c>
      <c r="Q559" s="4" t="str">
        <f ca="1">IFERROR(VLOOKUP($L559,Calculation!$H$6:$S$1005,HLOOKUP(Q$2,Calculation!$M$4:$S$5,2,FALSE)+5,FALSE),"")</f>
        <v/>
      </c>
      <c r="R559" s="27" t="str">
        <f ca="1">IFERROR(VLOOKUP($L559,Calculation!$H$6:$S$1005,HLOOKUP(R$2,Calculation!$M$4:$S$5,2,FALSE)+5,FALSE),"")</f>
        <v/>
      </c>
      <c r="S559" s="4" t="str">
        <f ca="1">IFERROR(VLOOKUP($L559,Calculation!$H$6:$S$1005,HLOOKUP(S$2,Calculation!$M$4:$S$5,2,FALSE)+5,FALSE),"")</f>
        <v/>
      </c>
      <c r="T559" s="29"/>
      <c r="U559" s="43" t="str">
        <f>IFERROR(VLOOKUP(T559,Calculation!$U$6:$V$11,2,FALSE),"")</f>
        <v/>
      </c>
    </row>
    <row r="560" spans="1:21" ht="14.25" customHeight="1" x14ac:dyDescent="0.3">
      <c r="A560" s="26" t="str">
        <f ca="1">IF(Calculation!T563&lt;=Calculation!$H$4,Calculation!T563,"")</f>
        <v/>
      </c>
      <c r="B560" s="4" t="str">
        <f ca="1">VLOOKUP(A560,Calculation!$E$6:$J$1004,4,FALSE)</f>
        <v/>
      </c>
      <c r="C560" s="4" t="str">
        <f ca="1">VLOOKUP(A560,Calculation!$E$6:$J$1004,5,FALSE)</f>
        <v/>
      </c>
      <c r="D560" s="4" t="str">
        <f ca="1">VLOOKUP(A560,Calculation!$E$6:$J$1004,6,FALSE)</f>
        <v/>
      </c>
      <c r="E560" s="42" t="str">
        <f t="shared" ca="1" si="4"/>
        <v/>
      </c>
      <c r="G560" s="29" t="str">
        <f ca="1">VLOOKUP(A560,Calculation!$F$6:$J$1004,3,FALSE)</f>
        <v/>
      </c>
      <c r="H560" s="4" t="str">
        <f ca="1">VLOOKUP(A560,Calculation!$F$6:$J$1004,4,FALSE)</f>
        <v/>
      </c>
      <c r="I560" s="4" t="str">
        <f ca="1">VLOOKUP(A560,Calculation!$F$6:$J$1004,5,FALSE)</f>
        <v/>
      </c>
      <c r="J560" s="43" t="str">
        <f t="shared" ca="1" si="5"/>
        <v/>
      </c>
      <c r="L560" s="29" t="str">
        <f ca="1">VLOOKUP(A560,Calculation!$G$6:$S$1004,2,FALSE)</f>
        <v/>
      </c>
      <c r="M560" s="4" t="str">
        <f ca="1">IFERROR(VLOOKUP($L560,Calculation!$H$6:$S$1005,HLOOKUP(M$2,Calculation!$M$4:$S$5,2,FALSE)+5,FALSE),"")</f>
        <v/>
      </c>
      <c r="N560" s="4" t="str">
        <f ca="1">IFERROR(VLOOKUP($L560,Calculation!$H$6:$S$1005,HLOOKUP(N$2,Calculation!$M$4:$S$5,2,FALSE)+5,FALSE),"")</f>
        <v/>
      </c>
      <c r="O560" s="4" t="str">
        <f ca="1">IFERROR(VLOOKUP($L560,Calculation!$H$6:$S$1005,HLOOKUP(O$2,Calculation!$M$4:$S$5,2,FALSE)+5,FALSE),"")</f>
        <v/>
      </c>
      <c r="P560" s="4" t="str">
        <f ca="1">IFERROR(VLOOKUP($L560,Calculation!$H$6:$S$1005,HLOOKUP(P$2,Calculation!$M$4:$S$5,2,FALSE)+5,FALSE),"")</f>
        <v/>
      </c>
      <c r="Q560" s="4" t="str">
        <f ca="1">IFERROR(VLOOKUP($L560,Calculation!$H$6:$S$1005,HLOOKUP(Q$2,Calculation!$M$4:$S$5,2,FALSE)+5,FALSE),"")</f>
        <v/>
      </c>
      <c r="R560" s="27" t="str">
        <f ca="1">IFERROR(VLOOKUP($L560,Calculation!$H$6:$S$1005,HLOOKUP(R$2,Calculation!$M$4:$S$5,2,FALSE)+5,FALSE),"")</f>
        <v/>
      </c>
      <c r="S560" s="4" t="str">
        <f ca="1">IFERROR(VLOOKUP($L560,Calculation!$H$6:$S$1005,HLOOKUP(S$2,Calculation!$M$4:$S$5,2,FALSE)+5,FALSE),"")</f>
        <v/>
      </c>
      <c r="T560" s="29"/>
      <c r="U560" s="43" t="str">
        <f>IFERROR(VLOOKUP(T560,Calculation!$U$6:$V$11,2,FALSE),"")</f>
        <v/>
      </c>
    </row>
    <row r="561" spans="1:21" ht="14.25" customHeight="1" x14ac:dyDescent="0.3">
      <c r="A561" s="26" t="str">
        <f ca="1">IF(Calculation!T564&lt;=Calculation!$H$4,Calculation!T564,"")</f>
        <v/>
      </c>
      <c r="B561" s="4" t="str">
        <f ca="1">VLOOKUP(A561,Calculation!$E$6:$J$1004,4,FALSE)</f>
        <v/>
      </c>
      <c r="C561" s="4" t="str">
        <f ca="1">VLOOKUP(A561,Calculation!$E$6:$J$1004,5,FALSE)</f>
        <v/>
      </c>
      <c r="D561" s="4" t="str">
        <f ca="1">VLOOKUP(A561,Calculation!$E$6:$J$1004,6,FALSE)</f>
        <v/>
      </c>
      <c r="E561" s="42" t="str">
        <f t="shared" ca="1" si="4"/>
        <v/>
      </c>
      <c r="G561" s="29" t="str">
        <f ca="1">VLOOKUP(A561,Calculation!$F$6:$J$1004,3,FALSE)</f>
        <v/>
      </c>
      <c r="H561" s="4" t="str">
        <f ca="1">VLOOKUP(A561,Calculation!$F$6:$J$1004,4,FALSE)</f>
        <v/>
      </c>
      <c r="I561" s="4" t="str">
        <f ca="1">VLOOKUP(A561,Calculation!$F$6:$J$1004,5,FALSE)</f>
        <v/>
      </c>
      <c r="J561" s="43" t="str">
        <f t="shared" ca="1" si="5"/>
        <v/>
      </c>
      <c r="L561" s="29" t="str">
        <f ca="1">VLOOKUP(A561,Calculation!$G$6:$S$1004,2,FALSE)</f>
        <v/>
      </c>
      <c r="M561" s="4" t="str">
        <f ca="1">IFERROR(VLOOKUP($L561,Calculation!$H$6:$S$1005,HLOOKUP(M$2,Calculation!$M$4:$S$5,2,FALSE)+5,FALSE),"")</f>
        <v/>
      </c>
      <c r="N561" s="4" t="str">
        <f ca="1">IFERROR(VLOOKUP($L561,Calculation!$H$6:$S$1005,HLOOKUP(N$2,Calculation!$M$4:$S$5,2,FALSE)+5,FALSE),"")</f>
        <v/>
      </c>
      <c r="O561" s="4" t="str">
        <f ca="1">IFERROR(VLOOKUP($L561,Calculation!$H$6:$S$1005,HLOOKUP(O$2,Calculation!$M$4:$S$5,2,FALSE)+5,FALSE),"")</f>
        <v/>
      </c>
      <c r="P561" s="4" t="str">
        <f ca="1">IFERROR(VLOOKUP($L561,Calculation!$H$6:$S$1005,HLOOKUP(P$2,Calculation!$M$4:$S$5,2,FALSE)+5,FALSE),"")</f>
        <v/>
      </c>
      <c r="Q561" s="4" t="str">
        <f ca="1">IFERROR(VLOOKUP($L561,Calculation!$H$6:$S$1005,HLOOKUP(Q$2,Calculation!$M$4:$S$5,2,FALSE)+5,FALSE),"")</f>
        <v/>
      </c>
      <c r="R561" s="27" t="str">
        <f ca="1">IFERROR(VLOOKUP($L561,Calculation!$H$6:$S$1005,HLOOKUP(R$2,Calculation!$M$4:$S$5,2,FALSE)+5,FALSE),"")</f>
        <v/>
      </c>
      <c r="S561" s="4" t="str">
        <f ca="1">IFERROR(VLOOKUP($L561,Calculation!$H$6:$S$1005,HLOOKUP(S$2,Calculation!$M$4:$S$5,2,FALSE)+5,FALSE),"")</f>
        <v/>
      </c>
      <c r="T561" s="29"/>
      <c r="U561" s="43" t="str">
        <f>IFERROR(VLOOKUP(T561,Calculation!$U$6:$V$11,2,FALSE),"")</f>
        <v/>
      </c>
    </row>
    <row r="562" spans="1:21" ht="14.25" customHeight="1" x14ac:dyDescent="0.3">
      <c r="A562" s="26" t="str">
        <f ca="1">IF(Calculation!T565&lt;=Calculation!$H$4,Calculation!T565,"")</f>
        <v/>
      </c>
      <c r="B562" s="4" t="str">
        <f ca="1">VLOOKUP(A562,Calculation!$E$6:$J$1004,4,FALSE)</f>
        <v/>
      </c>
      <c r="C562" s="4" t="str">
        <f ca="1">VLOOKUP(A562,Calculation!$E$6:$J$1004,5,FALSE)</f>
        <v/>
      </c>
      <c r="D562" s="4" t="str">
        <f ca="1">VLOOKUP(A562,Calculation!$E$6:$J$1004,6,FALSE)</f>
        <v/>
      </c>
      <c r="E562" s="42" t="str">
        <f t="shared" ca="1" si="4"/>
        <v/>
      </c>
      <c r="G562" s="29" t="str">
        <f ca="1">VLOOKUP(A562,Calculation!$F$6:$J$1004,3,FALSE)</f>
        <v/>
      </c>
      <c r="H562" s="4" t="str">
        <f ca="1">VLOOKUP(A562,Calculation!$F$6:$J$1004,4,FALSE)</f>
        <v/>
      </c>
      <c r="I562" s="4" t="str">
        <f ca="1">VLOOKUP(A562,Calculation!$F$6:$J$1004,5,FALSE)</f>
        <v/>
      </c>
      <c r="J562" s="43" t="str">
        <f t="shared" ca="1" si="5"/>
        <v/>
      </c>
      <c r="L562" s="29" t="str">
        <f ca="1">VLOOKUP(A562,Calculation!$G$6:$S$1004,2,FALSE)</f>
        <v/>
      </c>
      <c r="M562" s="4" t="str">
        <f ca="1">IFERROR(VLOOKUP($L562,Calculation!$H$6:$S$1005,HLOOKUP(M$2,Calculation!$M$4:$S$5,2,FALSE)+5,FALSE),"")</f>
        <v/>
      </c>
      <c r="N562" s="4" t="str">
        <f ca="1">IFERROR(VLOOKUP($L562,Calculation!$H$6:$S$1005,HLOOKUP(N$2,Calculation!$M$4:$S$5,2,FALSE)+5,FALSE),"")</f>
        <v/>
      </c>
      <c r="O562" s="4" t="str">
        <f ca="1">IFERROR(VLOOKUP($L562,Calculation!$H$6:$S$1005,HLOOKUP(O$2,Calculation!$M$4:$S$5,2,FALSE)+5,FALSE),"")</f>
        <v/>
      </c>
      <c r="P562" s="4" t="str">
        <f ca="1">IFERROR(VLOOKUP($L562,Calculation!$H$6:$S$1005,HLOOKUP(P$2,Calculation!$M$4:$S$5,2,FALSE)+5,FALSE),"")</f>
        <v/>
      </c>
      <c r="Q562" s="4" t="str">
        <f ca="1">IFERROR(VLOOKUP($L562,Calculation!$H$6:$S$1005,HLOOKUP(Q$2,Calculation!$M$4:$S$5,2,FALSE)+5,FALSE),"")</f>
        <v/>
      </c>
      <c r="R562" s="27" t="str">
        <f ca="1">IFERROR(VLOOKUP($L562,Calculation!$H$6:$S$1005,HLOOKUP(R$2,Calculation!$M$4:$S$5,2,FALSE)+5,FALSE),"")</f>
        <v/>
      </c>
      <c r="S562" s="4" t="str">
        <f ca="1">IFERROR(VLOOKUP($L562,Calculation!$H$6:$S$1005,HLOOKUP(S$2,Calculation!$M$4:$S$5,2,FALSE)+5,FALSE),"")</f>
        <v/>
      </c>
      <c r="T562" s="29"/>
      <c r="U562" s="43" t="str">
        <f>IFERROR(VLOOKUP(T562,Calculation!$U$6:$V$11,2,FALSE),"")</f>
        <v/>
      </c>
    </row>
    <row r="563" spans="1:21" ht="14.25" customHeight="1" x14ac:dyDescent="0.3">
      <c r="A563" s="26" t="str">
        <f ca="1">IF(Calculation!T566&lt;=Calculation!$H$4,Calculation!T566,"")</f>
        <v/>
      </c>
      <c r="B563" s="4" t="str">
        <f ca="1">VLOOKUP(A563,Calculation!$E$6:$J$1004,4,FALSE)</f>
        <v/>
      </c>
      <c r="C563" s="4" t="str">
        <f ca="1">VLOOKUP(A563,Calculation!$E$6:$J$1004,5,FALSE)</f>
        <v/>
      </c>
      <c r="D563" s="4" t="str">
        <f ca="1">VLOOKUP(A563,Calculation!$E$6:$J$1004,6,FALSE)</f>
        <v/>
      </c>
      <c r="E563" s="42" t="str">
        <f t="shared" ca="1" si="4"/>
        <v/>
      </c>
      <c r="G563" s="29" t="str">
        <f ca="1">VLOOKUP(A563,Calculation!$F$6:$J$1004,3,FALSE)</f>
        <v/>
      </c>
      <c r="H563" s="4" t="str">
        <f ca="1">VLOOKUP(A563,Calculation!$F$6:$J$1004,4,FALSE)</f>
        <v/>
      </c>
      <c r="I563" s="4" t="str">
        <f ca="1">VLOOKUP(A563,Calculation!$F$6:$J$1004,5,FALSE)</f>
        <v/>
      </c>
      <c r="J563" s="43" t="str">
        <f t="shared" ca="1" si="5"/>
        <v/>
      </c>
      <c r="L563" s="29" t="str">
        <f ca="1">VLOOKUP(A563,Calculation!$G$6:$S$1004,2,FALSE)</f>
        <v/>
      </c>
      <c r="M563" s="4" t="str">
        <f ca="1">IFERROR(VLOOKUP($L563,Calculation!$H$6:$S$1005,HLOOKUP(M$2,Calculation!$M$4:$S$5,2,FALSE)+5,FALSE),"")</f>
        <v/>
      </c>
      <c r="N563" s="4" t="str">
        <f ca="1">IFERROR(VLOOKUP($L563,Calculation!$H$6:$S$1005,HLOOKUP(N$2,Calculation!$M$4:$S$5,2,FALSE)+5,FALSE),"")</f>
        <v/>
      </c>
      <c r="O563" s="4" t="str">
        <f ca="1">IFERROR(VLOOKUP($L563,Calculation!$H$6:$S$1005,HLOOKUP(O$2,Calculation!$M$4:$S$5,2,FALSE)+5,FALSE),"")</f>
        <v/>
      </c>
      <c r="P563" s="4" t="str">
        <f ca="1">IFERROR(VLOOKUP($L563,Calculation!$H$6:$S$1005,HLOOKUP(P$2,Calculation!$M$4:$S$5,2,FALSE)+5,FALSE),"")</f>
        <v/>
      </c>
      <c r="Q563" s="4" t="str">
        <f ca="1">IFERROR(VLOOKUP($L563,Calculation!$H$6:$S$1005,HLOOKUP(Q$2,Calculation!$M$4:$S$5,2,FALSE)+5,FALSE),"")</f>
        <v/>
      </c>
      <c r="R563" s="27" t="str">
        <f ca="1">IFERROR(VLOOKUP($L563,Calculation!$H$6:$S$1005,HLOOKUP(R$2,Calculation!$M$4:$S$5,2,FALSE)+5,FALSE),"")</f>
        <v/>
      </c>
      <c r="S563" s="4" t="str">
        <f ca="1">IFERROR(VLOOKUP($L563,Calculation!$H$6:$S$1005,HLOOKUP(S$2,Calculation!$M$4:$S$5,2,FALSE)+5,FALSE),"")</f>
        <v/>
      </c>
      <c r="T563" s="29"/>
      <c r="U563" s="43" t="str">
        <f>IFERROR(VLOOKUP(T563,Calculation!$U$6:$V$11,2,FALSE),"")</f>
        <v/>
      </c>
    </row>
    <row r="564" spans="1:21" ht="14.25" customHeight="1" x14ac:dyDescent="0.3">
      <c r="A564" s="26" t="str">
        <f ca="1">IF(Calculation!T567&lt;=Calculation!$H$4,Calculation!T567,"")</f>
        <v/>
      </c>
      <c r="B564" s="4" t="str">
        <f ca="1">VLOOKUP(A564,Calculation!$E$6:$J$1004,4,FALSE)</f>
        <v/>
      </c>
      <c r="C564" s="4" t="str">
        <f ca="1">VLOOKUP(A564,Calculation!$E$6:$J$1004,5,FALSE)</f>
        <v/>
      </c>
      <c r="D564" s="4" t="str">
        <f ca="1">VLOOKUP(A564,Calculation!$E$6:$J$1004,6,FALSE)</f>
        <v/>
      </c>
      <c r="E564" s="42" t="str">
        <f t="shared" ca="1" si="4"/>
        <v/>
      </c>
      <c r="G564" s="29" t="str">
        <f ca="1">VLOOKUP(A564,Calculation!$F$6:$J$1004,3,FALSE)</f>
        <v/>
      </c>
      <c r="H564" s="4" t="str">
        <f ca="1">VLOOKUP(A564,Calculation!$F$6:$J$1004,4,FALSE)</f>
        <v/>
      </c>
      <c r="I564" s="4" t="str">
        <f ca="1">VLOOKUP(A564,Calculation!$F$6:$J$1004,5,FALSE)</f>
        <v/>
      </c>
      <c r="J564" s="43" t="str">
        <f t="shared" ca="1" si="5"/>
        <v/>
      </c>
      <c r="L564" s="29" t="str">
        <f ca="1">VLOOKUP(A564,Calculation!$G$6:$S$1004,2,FALSE)</f>
        <v/>
      </c>
      <c r="M564" s="4" t="str">
        <f ca="1">IFERROR(VLOOKUP($L564,Calculation!$H$6:$S$1005,HLOOKUP(M$2,Calculation!$M$4:$S$5,2,FALSE)+5,FALSE),"")</f>
        <v/>
      </c>
      <c r="N564" s="4" t="str">
        <f ca="1">IFERROR(VLOOKUP($L564,Calculation!$H$6:$S$1005,HLOOKUP(N$2,Calculation!$M$4:$S$5,2,FALSE)+5,FALSE),"")</f>
        <v/>
      </c>
      <c r="O564" s="4" t="str">
        <f ca="1">IFERROR(VLOOKUP($L564,Calculation!$H$6:$S$1005,HLOOKUP(O$2,Calculation!$M$4:$S$5,2,FALSE)+5,FALSE),"")</f>
        <v/>
      </c>
      <c r="P564" s="4" t="str">
        <f ca="1">IFERROR(VLOOKUP($L564,Calculation!$H$6:$S$1005,HLOOKUP(P$2,Calculation!$M$4:$S$5,2,FALSE)+5,FALSE),"")</f>
        <v/>
      </c>
      <c r="Q564" s="4" t="str">
        <f ca="1">IFERROR(VLOOKUP($L564,Calculation!$H$6:$S$1005,HLOOKUP(Q$2,Calculation!$M$4:$S$5,2,FALSE)+5,FALSE),"")</f>
        <v/>
      </c>
      <c r="R564" s="27" t="str">
        <f ca="1">IFERROR(VLOOKUP($L564,Calculation!$H$6:$S$1005,HLOOKUP(R$2,Calculation!$M$4:$S$5,2,FALSE)+5,FALSE),"")</f>
        <v/>
      </c>
      <c r="S564" s="4" t="str">
        <f ca="1">IFERROR(VLOOKUP($L564,Calculation!$H$6:$S$1005,HLOOKUP(S$2,Calculation!$M$4:$S$5,2,FALSE)+5,FALSE),"")</f>
        <v/>
      </c>
      <c r="T564" s="29"/>
      <c r="U564" s="43" t="str">
        <f>IFERROR(VLOOKUP(T564,Calculation!$U$6:$V$11,2,FALSE),"")</f>
        <v/>
      </c>
    </row>
    <row r="565" spans="1:21" ht="14.25" customHeight="1" x14ac:dyDescent="0.3">
      <c r="A565" s="26" t="str">
        <f ca="1">IF(Calculation!T568&lt;=Calculation!$H$4,Calculation!T568,"")</f>
        <v/>
      </c>
      <c r="B565" s="4" t="str">
        <f ca="1">VLOOKUP(A565,Calculation!$E$6:$J$1004,4,FALSE)</f>
        <v/>
      </c>
      <c r="C565" s="4" t="str">
        <f ca="1">VLOOKUP(A565,Calculation!$E$6:$J$1004,5,FALSE)</f>
        <v/>
      </c>
      <c r="D565" s="4" t="str">
        <f ca="1">VLOOKUP(A565,Calculation!$E$6:$J$1004,6,FALSE)</f>
        <v/>
      </c>
      <c r="E565" s="42" t="str">
        <f t="shared" ca="1" si="4"/>
        <v/>
      </c>
      <c r="G565" s="29" t="str">
        <f ca="1">VLOOKUP(A565,Calculation!$F$6:$J$1004,3,FALSE)</f>
        <v/>
      </c>
      <c r="H565" s="4" t="str">
        <f ca="1">VLOOKUP(A565,Calculation!$F$6:$J$1004,4,FALSE)</f>
        <v/>
      </c>
      <c r="I565" s="4" t="str">
        <f ca="1">VLOOKUP(A565,Calculation!$F$6:$J$1004,5,FALSE)</f>
        <v/>
      </c>
      <c r="J565" s="43" t="str">
        <f t="shared" ca="1" si="5"/>
        <v/>
      </c>
      <c r="L565" s="29" t="str">
        <f ca="1">VLOOKUP(A565,Calculation!$G$6:$S$1004,2,FALSE)</f>
        <v/>
      </c>
      <c r="M565" s="4" t="str">
        <f ca="1">IFERROR(VLOOKUP($L565,Calculation!$H$6:$S$1005,HLOOKUP(M$2,Calculation!$M$4:$S$5,2,FALSE)+5,FALSE),"")</f>
        <v/>
      </c>
      <c r="N565" s="4" t="str">
        <f ca="1">IFERROR(VLOOKUP($L565,Calculation!$H$6:$S$1005,HLOOKUP(N$2,Calculation!$M$4:$S$5,2,FALSE)+5,FALSE),"")</f>
        <v/>
      </c>
      <c r="O565" s="4" t="str">
        <f ca="1">IFERROR(VLOOKUP($L565,Calculation!$H$6:$S$1005,HLOOKUP(O$2,Calculation!$M$4:$S$5,2,FALSE)+5,FALSE),"")</f>
        <v/>
      </c>
      <c r="P565" s="4" t="str">
        <f ca="1">IFERROR(VLOOKUP($L565,Calculation!$H$6:$S$1005,HLOOKUP(P$2,Calculation!$M$4:$S$5,2,FALSE)+5,FALSE),"")</f>
        <v/>
      </c>
      <c r="Q565" s="4" t="str">
        <f ca="1">IFERROR(VLOOKUP($L565,Calculation!$H$6:$S$1005,HLOOKUP(Q$2,Calculation!$M$4:$S$5,2,FALSE)+5,FALSE),"")</f>
        <v/>
      </c>
      <c r="R565" s="27" t="str">
        <f ca="1">IFERROR(VLOOKUP($L565,Calculation!$H$6:$S$1005,HLOOKUP(R$2,Calculation!$M$4:$S$5,2,FALSE)+5,FALSE),"")</f>
        <v/>
      </c>
      <c r="S565" s="4" t="str">
        <f ca="1">IFERROR(VLOOKUP($L565,Calculation!$H$6:$S$1005,HLOOKUP(S$2,Calculation!$M$4:$S$5,2,FALSE)+5,FALSE),"")</f>
        <v/>
      </c>
      <c r="T565" s="29"/>
      <c r="U565" s="43" t="str">
        <f>IFERROR(VLOOKUP(T565,Calculation!$U$6:$V$11,2,FALSE),"")</f>
        <v/>
      </c>
    </row>
    <row r="566" spans="1:21" ht="14.25" customHeight="1" x14ac:dyDescent="0.3">
      <c r="A566" s="26" t="str">
        <f ca="1">IF(Calculation!T569&lt;=Calculation!$H$4,Calculation!T569,"")</f>
        <v/>
      </c>
      <c r="B566" s="4" t="str">
        <f ca="1">VLOOKUP(A566,Calculation!$E$6:$J$1004,4,FALSE)</f>
        <v/>
      </c>
      <c r="C566" s="4" t="str">
        <f ca="1">VLOOKUP(A566,Calculation!$E$6:$J$1004,5,FALSE)</f>
        <v/>
      </c>
      <c r="D566" s="4" t="str">
        <f ca="1">VLOOKUP(A566,Calculation!$E$6:$J$1004,6,FALSE)</f>
        <v/>
      </c>
      <c r="E566" s="42" t="str">
        <f t="shared" ca="1" si="4"/>
        <v/>
      </c>
      <c r="G566" s="29" t="str">
        <f ca="1">VLOOKUP(A566,Calculation!$F$6:$J$1004,3,FALSE)</f>
        <v/>
      </c>
      <c r="H566" s="4" t="str">
        <f ca="1">VLOOKUP(A566,Calculation!$F$6:$J$1004,4,FALSE)</f>
        <v/>
      </c>
      <c r="I566" s="4" t="str">
        <f ca="1">VLOOKUP(A566,Calculation!$F$6:$J$1004,5,FALSE)</f>
        <v/>
      </c>
      <c r="J566" s="43" t="str">
        <f t="shared" ca="1" si="5"/>
        <v/>
      </c>
      <c r="L566" s="29" t="str">
        <f ca="1">VLOOKUP(A566,Calculation!$G$6:$S$1004,2,FALSE)</f>
        <v/>
      </c>
      <c r="M566" s="4" t="str">
        <f ca="1">IFERROR(VLOOKUP($L566,Calculation!$H$6:$S$1005,HLOOKUP(M$2,Calculation!$M$4:$S$5,2,FALSE)+5,FALSE),"")</f>
        <v/>
      </c>
      <c r="N566" s="4" t="str">
        <f ca="1">IFERROR(VLOOKUP($L566,Calculation!$H$6:$S$1005,HLOOKUP(N$2,Calculation!$M$4:$S$5,2,FALSE)+5,FALSE),"")</f>
        <v/>
      </c>
      <c r="O566" s="4" t="str">
        <f ca="1">IFERROR(VLOOKUP($L566,Calculation!$H$6:$S$1005,HLOOKUP(O$2,Calculation!$M$4:$S$5,2,FALSE)+5,FALSE),"")</f>
        <v/>
      </c>
      <c r="P566" s="4" t="str">
        <f ca="1">IFERROR(VLOOKUP($L566,Calculation!$H$6:$S$1005,HLOOKUP(P$2,Calculation!$M$4:$S$5,2,FALSE)+5,FALSE),"")</f>
        <v/>
      </c>
      <c r="Q566" s="4" t="str">
        <f ca="1">IFERROR(VLOOKUP($L566,Calculation!$H$6:$S$1005,HLOOKUP(Q$2,Calculation!$M$4:$S$5,2,FALSE)+5,FALSE),"")</f>
        <v/>
      </c>
      <c r="R566" s="27" t="str">
        <f ca="1">IFERROR(VLOOKUP($L566,Calculation!$H$6:$S$1005,HLOOKUP(R$2,Calculation!$M$4:$S$5,2,FALSE)+5,FALSE),"")</f>
        <v/>
      </c>
      <c r="S566" s="4" t="str">
        <f ca="1">IFERROR(VLOOKUP($L566,Calculation!$H$6:$S$1005,HLOOKUP(S$2,Calculation!$M$4:$S$5,2,FALSE)+5,FALSE),"")</f>
        <v/>
      </c>
      <c r="T566" s="29"/>
      <c r="U566" s="43" t="str">
        <f>IFERROR(VLOOKUP(T566,Calculation!$U$6:$V$11,2,FALSE),"")</f>
        <v/>
      </c>
    </row>
    <row r="567" spans="1:21" ht="14.25" customHeight="1" x14ac:dyDescent="0.3">
      <c r="A567" s="26" t="str">
        <f ca="1">IF(Calculation!T570&lt;=Calculation!$H$4,Calculation!T570,"")</f>
        <v/>
      </c>
      <c r="B567" s="4" t="str">
        <f ca="1">VLOOKUP(A567,Calculation!$E$6:$J$1004,4,FALSE)</f>
        <v/>
      </c>
      <c r="C567" s="4" t="str">
        <f ca="1">VLOOKUP(A567,Calculation!$E$6:$J$1004,5,FALSE)</f>
        <v/>
      </c>
      <c r="D567" s="4" t="str">
        <f ca="1">VLOOKUP(A567,Calculation!$E$6:$J$1004,6,FALSE)</f>
        <v/>
      </c>
      <c r="E567" s="42" t="str">
        <f t="shared" ca="1" si="4"/>
        <v/>
      </c>
      <c r="G567" s="29" t="str">
        <f ca="1">VLOOKUP(A567,Calculation!$F$6:$J$1004,3,FALSE)</f>
        <v/>
      </c>
      <c r="H567" s="4" t="str">
        <f ca="1">VLOOKUP(A567,Calculation!$F$6:$J$1004,4,FALSE)</f>
        <v/>
      </c>
      <c r="I567" s="4" t="str">
        <f ca="1">VLOOKUP(A567,Calculation!$F$6:$J$1004,5,FALSE)</f>
        <v/>
      </c>
      <c r="J567" s="43" t="str">
        <f t="shared" ca="1" si="5"/>
        <v/>
      </c>
      <c r="L567" s="29" t="str">
        <f ca="1">VLOOKUP(A567,Calculation!$G$6:$S$1004,2,FALSE)</f>
        <v/>
      </c>
      <c r="M567" s="4" t="str">
        <f ca="1">IFERROR(VLOOKUP($L567,Calculation!$H$6:$S$1005,HLOOKUP(M$2,Calculation!$M$4:$S$5,2,FALSE)+5,FALSE),"")</f>
        <v/>
      </c>
      <c r="N567" s="4" t="str">
        <f ca="1">IFERROR(VLOOKUP($L567,Calculation!$H$6:$S$1005,HLOOKUP(N$2,Calculation!$M$4:$S$5,2,FALSE)+5,FALSE),"")</f>
        <v/>
      </c>
      <c r="O567" s="4" t="str">
        <f ca="1">IFERROR(VLOOKUP($L567,Calculation!$H$6:$S$1005,HLOOKUP(O$2,Calculation!$M$4:$S$5,2,FALSE)+5,FALSE),"")</f>
        <v/>
      </c>
      <c r="P567" s="4" t="str">
        <f ca="1">IFERROR(VLOOKUP($L567,Calculation!$H$6:$S$1005,HLOOKUP(P$2,Calculation!$M$4:$S$5,2,FALSE)+5,FALSE),"")</f>
        <v/>
      </c>
      <c r="Q567" s="4" t="str">
        <f ca="1">IFERROR(VLOOKUP($L567,Calculation!$H$6:$S$1005,HLOOKUP(Q$2,Calculation!$M$4:$S$5,2,FALSE)+5,FALSE),"")</f>
        <v/>
      </c>
      <c r="R567" s="27" t="str">
        <f ca="1">IFERROR(VLOOKUP($L567,Calculation!$H$6:$S$1005,HLOOKUP(R$2,Calculation!$M$4:$S$5,2,FALSE)+5,FALSE),"")</f>
        <v/>
      </c>
      <c r="S567" s="4" t="str">
        <f ca="1">IFERROR(VLOOKUP($L567,Calculation!$H$6:$S$1005,HLOOKUP(S$2,Calculation!$M$4:$S$5,2,FALSE)+5,FALSE),"")</f>
        <v/>
      </c>
      <c r="T567" s="29"/>
      <c r="U567" s="43" t="str">
        <f>IFERROR(VLOOKUP(T567,Calculation!$U$6:$V$11,2,FALSE),"")</f>
        <v/>
      </c>
    </row>
    <row r="568" spans="1:21" ht="14.25" customHeight="1" x14ac:dyDescent="0.3">
      <c r="A568" s="26" t="str">
        <f ca="1">IF(Calculation!T571&lt;=Calculation!$H$4,Calculation!T571,"")</f>
        <v/>
      </c>
      <c r="B568" s="4" t="str">
        <f ca="1">VLOOKUP(A568,Calculation!$E$6:$J$1004,4,FALSE)</f>
        <v/>
      </c>
      <c r="C568" s="4" t="str">
        <f ca="1">VLOOKUP(A568,Calculation!$E$6:$J$1004,5,FALSE)</f>
        <v/>
      </c>
      <c r="D568" s="4" t="str">
        <f ca="1">VLOOKUP(A568,Calculation!$E$6:$J$1004,6,FALSE)</f>
        <v/>
      </c>
      <c r="E568" s="42" t="str">
        <f t="shared" ca="1" si="4"/>
        <v/>
      </c>
      <c r="G568" s="29" t="str">
        <f ca="1">VLOOKUP(A568,Calculation!$F$6:$J$1004,3,FALSE)</f>
        <v/>
      </c>
      <c r="H568" s="4" t="str">
        <f ca="1">VLOOKUP(A568,Calculation!$F$6:$J$1004,4,FALSE)</f>
        <v/>
      </c>
      <c r="I568" s="4" t="str">
        <f ca="1">VLOOKUP(A568,Calculation!$F$6:$J$1004,5,FALSE)</f>
        <v/>
      </c>
      <c r="J568" s="43" t="str">
        <f t="shared" ca="1" si="5"/>
        <v/>
      </c>
      <c r="L568" s="29" t="str">
        <f ca="1">VLOOKUP(A568,Calculation!$G$6:$S$1004,2,FALSE)</f>
        <v/>
      </c>
      <c r="M568" s="4" t="str">
        <f ca="1">IFERROR(VLOOKUP($L568,Calculation!$H$6:$S$1005,HLOOKUP(M$2,Calculation!$M$4:$S$5,2,FALSE)+5,FALSE),"")</f>
        <v/>
      </c>
      <c r="N568" s="4" t="str">
        <f ca="1">IFERROR(VLOOKUP($L568,Calculation!$H$6:$S$1005,HLOOKUP(N$2,Calculation!$M$4:$S$5,2,FALSE)+5,FALSE),"")</f>
        <v/>
      </c>
      <c r="O568" s="4" t="str">
        <f ca="1">IFERROR(VLOOKUP($L568,Calculation!$H$6:$S$1005,HLOOKUP(O$2,Calculation!$M$4:$S$5,2,FALSE)+5,FALSE),"")</f>
        <v/>
      </c>
      <c r="P568" s="4" t="str">
        <f ca="1">IFERROR(VLOOKUP($L568,Calculation!$H$6:$S$1005,HLOOKUP(P$2,Calculation!$M$4:$S$5,2,FALSE)+5,FALSE),"")</f>
        <v/>
      </c>
      <c r="Q568" s="4" t="str">
        <f ca="1">IFERROR(VLOOKUP($L568,Calculation!$H$6:$S$1005,HLOOKUP(Q$2,Calculation!$M$4:$S$5,2,FALSE)+5,FALSE),"")</f>
        <v/>
      </c>
      <c r="R568" s="27" t="str">
        <f ca="1">IFERROR(VLOOKUP($L568,Calculation!$H$6:$S$1005,HLOOKUP(R$2,Calculation!$M$4:$S$5,2,FALSE)+5,FALSE),"")</f>
        <v/>
      </c>
      <c r="S568" s="4" t="str">
        <f ca="1">IFERROR(VLOOKUP($L568,Calculation!$H$6:$S$1005,HLOOKUP(S$2,Calculation!$M$4:$S$5,2,FALSE)+5,FALSE),"")</f>
        <v/>
      </c>
      <c r="T568" s="29"/>
      <c r="U568" s="43" t="str">
        <f>IFERROR(VLOOKUP(T568,Calculation!$U$6:$V$11,2,FALSE),"")</f>
        <v/>
      </c>
    </row>
    <row r="569" spans="1:21" ht="14.25" customHeight="1" x14ac:dyDescent="0.3">
      <c r="A569" s="26" t="str">
        <f ca="1">IF(Calculation!T572&lt;=Calculation!$H$4,Calculation!T572,"")</f>
        <v/>
      </c>
      <c r="B569" s="4" t="str">
        <f ca="1">VLOOKUP(A569,Calculation!$E$6:$J$1004,4,FALSE)</f>
        <v/>
      </c>
      <c r="C569" s="4" t="str">
        <f ca="1">VLOOKUP(A569,Calculation!$E$6:$J$1004,5,FALSE)</f>
        <v/>
      </c>
      <c r="D569" s="4" t="str">
        <f ca="1">VLOOKUP(A569,Calculation!$E$6:$J$1004,6,FALSE)</f>
        <v/>
      </c>
      <c r="E569" s="42" t="str">
        <f t="shared" ca="1" si="4"/>
        <v/>
      </c>
      <c r="G569" s="29" t="str">
        <f ca="1">VLOOKUP(A569,Calculation!$F$6:$J$1004,3,FALSE)</f>
        <v/>
      </c>
      <c r="H569" s="4" t="str">
        <f ca="1">VLOOKUP(A569,Calculation!$F$6:$J$1004,4,FALSE)</f>
        <v/>
      </c>
      <c r="I569" s="4" t="str">
        <f ca="1">VLOOKUP(A569,Calculation!$F$6:$J$1004,5,FALSE)</f>
        <v/>
      </c>
      <c r="J569" s="43" t="str">
        <f t="shared" ca="1" si="5"/>
        <v/>
      </c>
      <c r="L569" s="29" t="str">
        <f ca="1">VLOOKUP(A569,Calculation!$G$6:$S$1004,2,FALSE)</f>
        <v/>
      </c>
      <c r="M569" s="4" t="str">
        <f ca="1">IFERROR(VLOOKUP($L569,Calculation!$H$6:$S$1005,HLOOKUP(M$2,Calculation!$M$4:$S$5,2,FALSE)+5,FALSE),"")</f>
        <v/>
      </c>
      <c r="N569" s="4" t="str">
        <f ca="1">IFERROR(VLOOKUP($L569,Calculation!$H$6:$S$1005,HLOOKUP(N$2,Calculation!$M$4:$S$5,2,FALSE)+5,FALSE),"")</f>
        <v/>
      </c>
      <c r="O569" s="4" t="str">
        <f ca="1">IFERROR(VLOOKUP($L569,Calculation!$H$6:$S$1005,HLOOKUP(O$2,Calculation!$M$4:$S$5,2,FALSE)+5,FALSE),"")</f>
        <v/>
      </c>
      <c r="P569" s="4" t="str">
        <f ca="1">IFERROR(VLOOKUP($L569,Calculation!$H$6:$S$1005,HLOOKUP(P$2,Calculation!$M$4:$S$5,2,FALSE)+5,FALSE),"")</f>
        <v/>
      </c>
      <c r="Q569" s="4" t="str">
        <f ca="1">IFERROR(VLOOKUP($L569,Calculation!$H$6:$S$1005,HLOOKUP(Q$2,Calculation!$M$4:$S$5,2,FALSE)+5,FALSE),"")</f>
        <v/>
      </c>
      <c r="R569" s="27" t="str">
        <f ca="1">IFERROR(VLOOKUP($L569,Calculation!$H$6:$S$1005,HLOOKUP(R$2,Calculation!$M$4:$S$5,2,FALSE)+5,FALSE),"")</f>
        <v/>
      </c>
      <c r="S569" s="4" t="str">
        <f ca="1">IFERROR(VLOOKUP($L569,Calculation!$H$6:$S$1005,HLOOKUP(S$2,Calculation!$M$4:$S$5,2,FALSE)+5,FALSE),"")</f>
        <v/>
      </c>
      <c r="T569" s="29"/>
      <c r="U569" s="43" t="str">
        <f>IFERROR(VLOOKUP(T569,Calculation!$U$6:$V$11,2,FALSE),"")</f>
        <v/>
      </c>
    </row>
    <row r="570" spans="1:21" ht="14.25" customHeight="1" x14ac:dyDescent="0.3">
      <c r="A570" s="26" t="str">
        <f ca="1">IF(Calculation!T573&lt;=Calculation!$H$4,Calculation!T573,"")</f>
        <v/>
      </c>
      <c r="B570" s="4" t="str">
        <f ca="1">VLOOKUP(A570,Calculation!$E$6:$J$1004,4,FALSE)</f>
        <v/>
      </c>
      <c r="C570" s="4" t="str">
        <f ca="1">VLOOKUP(A570,Calculation!$E$6:$J$1004,5,FALSE)</f>
        <v/>
      </c>
      <c r="D570" s="4" t="str">
        <f ca="1">VLOOKUP(A570,Calculation!$E$6:$J$1004,6,FALSE)</f>
        <v/>
      </c>
      <c r="E570" s="42" t="str">
        <f t="shared" ca="1" si="4"/>
        <v/>
      </c>
      <c r="G570" s="29" t="str">
        <f ca="1">VLOOKUP(A570,Calculation!$F$6:$J$1004,3,FALSE)</f>
        <v/>
      </c>
      <c r="H570" s="4" t="str">
        <f ca="1">VLOOKUP(A570,Calculation!$F$6:$J$1004,4,FALSE)</f>
        <v/>
      </c>
      <c r="I570" s="4" t="str">
        <f ca="1">VLOOKUP(A570,Calculation!$F$6:$J$1004,5,FALSE)</f>
        <v/>
      </c>
      <c r="J570" s="43" t="str">
        <f t="shared" ca="1" si="5"/>
        <v/>
      </c>
      <c r="L570" s="29" t="str">
        <f ca="1">VLOOKUP(A570,Calculation!$G$6:$S$1004,2,FALSE)</f>
        <v/>
      </c>
      <c r="M570" s="4" t="str">
        <f ca="1">IFERROR(VLOOKUP($L570,Calculation!$H$6:$S$1005,HLOOKUP(M$2,Calculation!$M$4:$S$5,2,FALSE)+5,FALSE),"")</f>
        <v/>
      </c>
      <c r="N570" s="4" t="str">
        <f ca="1">IFERROR(VLOOKUP($L570,Calculation!$H$6:$S$1005,HLOOKUP(N$2,Calculation!$M$4:$S$5,2,FALSE)+5,FALSE),"")</f>
        <v/>
      </c>
      <c r="O570" s="4" t="str">
        <f ca="1">IFERROR(VLOOKUP($L570,Calculation!$H$6:$S$1005,HLOOKUP(O$2,Calculation!$M$4:$S$5,2,FALSE)+5,FALSE),"")</f>
        <v/>
      </c>
      <c r="P570" s="4" t="str">
        <f ca="1">IFERROR(VLOOKUP($L570,Calculation!$H$6:$S$1005,HLOOKUP(P$2,Calculation!$M$4:$S$5,2,FALSE)+5,FALSE),"")</f>
        <v/>
      </c>
      <c r="Q570" s="4" t="str">
        <f ca="1">IFERROR(VLOOKUP($L570,Calculation!$H$6:$S$1005,HLOOKUP(Q$2,Calculation!$M$4:$S$5,2,FALSE)+5,FALSE),"")</f>
        <v/>
      </c>
      <c r="R570" s="27" t="str">
        <f ca="1">IFERROR(VLOOKUP($L570,Calculation!$H$6:$S$1005,HLOOKUP(R$2,Calculation!$M$4:$S$5,2,FALSE)+5,FALSE),"")</f>
        <v/>
      </c>
      <c r="S570" s="4" t="str">
        <f ca="1">IFERROR(VLOOKUP($L570,Calculation!$H$6:$S$1005,HLOOKUP(S$2,Calculation!$M$4:$S$5,2,FALSE)+5,FALSE),"")</f>
        <v/>
      </c>
      <c r="T570" s="29"/>
      <c r="U570" s="43" t="str">
        <f>IFERROR(VLOOKUP(T570,Calculation!$U$6:$V$11,2,FALSE),"")</f>
        <v/>
      </c>
    </row>
    <row r="571" spans="1:21" ht="14.25" customHeight="1" x14ac:dyDescent="0.3">
      <c r="A571" s="26" t="str">
        <f ca="1">IF(Calculation!T574&lt;=Calculation!$H$4,Calculation!T574,"")</f>
        <v/>
      </c>
      <c r="B571" s="4" t="str">
        <f ca="1">VLOOKUP(A571,Calculation!$E$6:$J$1004,4,FALSE)</f>
        <v/>
      </c>
      <c r="C571" s="4" t="str">
        <f ca="1">VLOOKUP(A571,Calculation!$E$6:$J$1004,5,FALSE)</f>
        <v/>
      </c>
      <c r="D571" s="4" t="str">
        <f ca="1">VLOOKUP(A571,Calculation!$E$6:$J$1004,6,FALSE)</f>
        <v/>
      </c>
      <c r="E571" s="42" t="str">
        <f t="shared" ca="1" si="4"/>
        <v/>
      </c>
      <c r="G571" s="29" t="str">
        <f ca="1">VLOOKUP(A571,Calculation!$F$6:$J$1004,3,FALSE)</f>
        <v/>
      </c>
      <c r="H571" s="4" t="str">
        <f ca="1">VLOOKUP(A571,Calculation!$F$6:$J$1004,4,FALSE)</f>
        <v/>
      </c>
      <c r="I571" s="4" t="str">
        <f ca="1">VLOOKUP(A571,Calculation!$F$6:$J$1004,5,FALSE)</f>
        <v/>
      </c>
      <c r="J571" s="43" t="str">
        <f t="shared" ca="1" si="5"/>
        <v/>
      </c>
      <c r="L571" s="29" t="str">
        <f ca="1">VLOOKUP(A571,Calculation!$G$6:$S$1004,2,FALSE)</f>
        <v/>
      </c>
      <c r="M571" s="4" t="str">
        <f ca="1">IFERROR(VLOOKUP($L571,Calculation!$H$6:$S$1005,HLOOKUP(M$2,Calculation!$M$4:$S$5,2,FALSE)+5,FALSE),"")</f>
        <v/>
      </c>
      <c r="N571" s="4" t="str">
        <f ca="1">IFERROR(VLOOKUP($L571,Calculation!$H$6:$S$1005,HLOOKUP(N$2,Calculation!$M$4:$S$5,2,FALSE)+5,FALSE),"")</f>
        <v/>
      </c>
      <c r="O571" s="4" t="str">
        <f ca="1">IFERROR(VLOOKUP($L571,Calculation!$H$6:$S$1005,HLOOKUP(O$2,Calculation!$M$4:$S$5,2,FALSE)+5,FALSE),"")</f>
        <v/>
      </c>
      <c r="P571" s="4" t="str">
        <f ca="1">IFERROR(VLOOKUP($L571,Calculation!$H$6:$S$1005,HLOOKUP(P$2,Calculation!$M$4:$S$5,2,FALSE)+5,FALSE),"")</f>
        <v/>
      </c>
      <c r="Q571" s="4" t="str">
        <f ca="1">IFERROR(VLOOKUP($L571,Calculation!$H$6:$S$1005,HLOOKUP(Q$2,Calculation!$M$4:$S$5,2,FALSE)+5,FALSE),"")</f>
        <v/>
      </c>
      <c r="R571" s="27" t="str">
        <f ca="1">IFERROR(VLOOKUP($L571,Calculation!$H$6:$S$1005,HLOOKUP(R$2,Calculation!$M$4:$S$5,2,FALSE)+5,FALSE),"")</f>
        <v/>
      </c>
      <c r="S571" s="4" t="str">
        <f ca="1">IFERROR(VLOOKUP($L571,Calculation!$H$6:$S$1005,HLOOKUP(S$2,Calculation!$M$4:$S$5,2,FALSE)+5,FALSE),"")</f>
        <v/>
      </c>
      <c r="T571" s="29"/>
      <c r="U571" s="43" t="str">
        <f>IFERROR(VLOOKUP(T571,Calculation!$U$6:$V$11,2,FALSE),"")</f>
        <v/>
      </c>
    </row>
    <row r="572" spans="1:21" ht="14.25" customHeight="1" x14ac:dyDescent="0.3">
      <c r="A572" s="26" t="str">
        <f ca="1">IF(Calculation!T575&lt;=Calculation!$H$4,Calculation!T575,"")</f>
        <v/>
      </c>
      <c r="B572" s="4" t="str">
        <f ca="1">VLOOKUP(A572,Calculation!$E$6:$J$1004,4,FALSE)</f>
        <v/>
      </c>
      <c r="C572" s="4" t="str">
        <f ca="1">VLOOKUP(A572,Calculation!$E$6:$J$1004,5,FALSE)</f>
        <v/>
      </c>
      <c r="D572" s="4" t="str">
        <f ca="1">VLOOKUP(A572,Calculation!$E$6:$J$1004,6,FALSE)</f>
        <v/>
      </c>
      <c r="E572" s="42" t="str">
        <f t="shared" ca="1" si="4"/>
        <v/>
      </c>
      <c r="G572" s="29" t="str">
        <f ca="1">VLOOKUP(A572,Calculation!$F$6:$J$1004,3,FALSE)</f>
        <v/>
      </c>
      <c r="H572" s="4" t="str">
        <f ca="1">VLOOKUP(A572,Calculation!$F$6:$J$1004,4,FALSE)</f>
        <v/>
      </c>
      <c r="I572" s="4" t="str">
        <f ca="1">VLOOKUP(A572,Calculation!$F$6:$J$1004,5,FALSE)</f>
        <v/>
      </c>
      <c r="J572" s="43" t="str">
        <f t="shared" ca="1" si="5"/>
        <v/>
      </c>
      <c r="L572" s="29" t="str">
        <f ca="1">VLOOKUP(A572,Calculation!$G$6:$S$1004,2,FALSE)</f>
        <v/>
      </c>
      <c r="M572" s="4" t="str">
        <f ca="1">IFERROR(VLOOKUP($L572,Calculation!$H$6:$S$1005,HLOOKUP(M$2,Calculation!$M$4:$S$5,2,FALSE)+5,FALSE),"")</f>
        <v/>
      </c>
      <c r="N572" s="4" t="str">
        <f ca="1">IFERROR(VLOOKUP($L572,Calculation!$H$6:$S$1005,HLOOKUP(N$2,Calculation!$M$4:$S$5,2,FALSE)+5,FALSE),"")</f>
        <v/>
      </c>
      <c r="O572" s="4" t="str">
        <f ca="1">IFERROR(VLOOKUP($L572,Calculation!$H$6:$S$1005,HLOOKUP(O$2,Calculation!$M$4:$S$5,2,FALSE)+5,FALSE),"")</f>
        <v/>
      </c>
      <c r="P572" s="4" t="str">
        <f ca="1">IFERROR(VLOOKUP($L572,Calculation!$H$6:$S$1005,HLOOKUP(P$2,Calculation!$M$4:$S$5,2,FALSE)+5,FALSE),"")</f>
        <v/>
      </c>
      <c r="Q572" s="4" t="str">
        <f ca="1">IFERROR(VLOOKUP($L572,Calculation!$H$6:$S$1005,HLOOKUP(Q$2,Calculation!$M$4:$S$5,2,FALSE)+5,FALSE),"")</f>
        <v/>
      </c>
      <c r="R572" s="27" t="str">
        <f ca="1">IFERROR(VLOOKUP($L572,Calculation!$H$6:$S$1005,HLOOKUP(R$2,Calculation!$M$4:$S$5,2,FALSE)+5,FALSE),"")</f>
        <v/>
      </c>
      <c r="S572" s="4" t="str">
        <f ca="1">IFERROR(VLOOKUP($L572,Calculation!$H$6:$S$1005,HLOOKUP(S$2,Calculation!$M$4:$S$5,2,FALSE)+5,FALSE),"")</f>
        <v/>
      </c>
      <c r="T572" s="29"/>
      <c r="U572" s="43" t="str">
        <f>IFERROR(VLOOKUP(T572,Calculation!$U$6:$V$11,2,FALSE),"")</f>
        <v/>
      </c>
    </row>
    <row r="573" spans="1:21" ht="14.25" customHeight="1" x14ac:dyDescent="0.3">
      <c r="A573" s="26" t="str">
        <f ca="1">IF(Calculation!T576&lt;=Calculation!$H$4,Calculation!T576,"")</f>
        <v/>
      </c>
      <c r="B573" s="4" t="str">
        <f ca="1">VLOOKUP(A573,Calculation!$E$6:$J$1004,4,FALSE)</f>
        <v/>
      </c>
      <c r="C573" s="4" t="str">
        <f ca="1">VLOOKUP(A573,Calculation!$E$6:$J$1004,5,FALSE)</f>
        <v/>
      </c>
      <c r="D573" s="4" t="str">
        <f ca="1">VLOOKUP(A573,Calculation!$E$6:$J$1004,6,FALSE)</f>
        <v/>
      </c>
      <c r="E573" s="42" t="str">
        <f t="shared" ca="1" si="4"/>
        <v/>
      </c>
      <c r="G573" s="29" t="str">
        <f ca="1">VLOOKUP(A573,Calculation!$F$6:$J$1004,3,FALSE)</f>
        <v/>
      </c>
      <c r="H573" s="4" t="str">
        <f ca="1">VLOOKUP(A573,Calculation!$F$6:$J$1004,4,FALSE)</f>
        <v/>
      </c>
      <c r="I573" s="4" t="str">
        <f ca="1">VLOOKUP(A573,Calculation!$F$6:$J$1004,5,FALSE)</f>
        <v/>
      </c>
      <c r="J573" s="43" t="str">
        <f t="shared" ca="1" si="5"/>
        <v/>
      </c>
      <c r="L573" s="29" t="str">
        <f ca="1">VLOOKUP(A573,Calculation!$G$6:$S$1004,2,FALSE)</f>
        <v/>
      </c>
      <c r="M573" s="4" t="str">
        <f ca="1">IFERROR(VLOOKUP($L573,Calculation!$H$6:$S$1005,HLOOKUP(M$2,Calculation!$M$4:$S$5,2,FALSE)+5,FALSE),"")</f>
        <v/>
      </c>
      <c r="N573" s="4" t="str">
        <f ca="1">IFERROR(VLOOKUP($L573,Calculation!$H$6:$S$1005,HLOOKUP(N$2,Calculation!$M$4:$S$5,2,FALSE)+5,FALSE),"")</f>
        <v/>
      </c>
      <c r="O573" s="4" t="str">
        <f ca="1">IFERROR(VLOOKUP($L573,Calculation!$H$6:$S$1005,HLOOKUP(O$2,Calculation!$M$4:$S$5,2,FALSE)+5,FALSE),"")</f>
        <v/>
      </c>
      <c r="P573" s="4" t="str">
        <f ca="1">IFERROR(VLOOKUP($L573,Calculation!$H$6:$S$1005,HLOOKUP(P$2,Calculation!$M$4:$S$5,2,FALSE)+5,FALSE),"")</f>
        <v/>
      </c>
      <c r="Q573" s="4" t="str">
        <f ca="1">IFERROR(VLOOKUP($L573,Calculation!$H$6:$S$1005,HLOOKUP(Q$2,Calculation!$M$4:$S$5,2,FALSE)+5,FALSE),"")</f>
        <v/>
      </c>
      <c r="R573" s="27" t="str">
        <f ca="1">IFERROR(VLOOKUP($L573,Calculation!$H$6:$S$1005,HLOOKUP(R$2,Calculation!$M$4:$S$5,2,FALSE)+5,FALSE),"")</f>
        <v/>
      </c>
      <c r="S573" s="4" t="str">
        <f ca="1">IFERROR(VLOOKUP($L573,Calculation!$H$6:$S$1005,HLOOKUP(S$2,Calculation!$M$4:$S$5,2,FALSE)+5,FALSE),"")</f>
        <v/>
      </c>
      <c r="T573" s="29"/>
      <c r="U573" s="43" t="str">
        <f>IFERROR(VLOOKUP(T573,Calculation!$U$6:$V$11,2,FALSE),"")</f>
        <v/>
      </c>
    </row>
    <row r="574" spans="1:21" ht="14.25" customHeight="1" x14ac:dyDescent="0.3">
      <c r="A574" s="26" t="str">
        <f ca="1">IF(Calculation!T577&lt;=Calculation!$H$4,Calculation!T577,"")</f>
        <v/>
      </c>
      <c r="B574" s="4" t="str">
        <f ca="1">VLOOKUP(A574,Calculation!$E$6:$J$1004,4,FALSE)</f>
        <v/>
      </c>
      <c r="C574" s="4" t="str">
        <f ca="1">VLOOKUP(A574,Calculation!$E$6:$J$1004,5,FALSE)</f>
        <v/>
      </c>
      <c r="D574" s="4" t="str">
        <f ca="1">VLOOKUP(A574,Calculation!$E$6:$J$1004,6,FALSE)</f>
        <v/>
      </c>
      <c r="E574" s="42" t="str">
        <f t="shared" ca="1" si="4"/>
        <v/>
      </c>
      <c r="G574" s="29" t="str">
        <f ca="1">VLOOKUP(A574,Calculation!$F$6:$J$1004,3,FALSE)</f>
        <v/>
      </c>
      <c r="H574" s="4" t="str">
        <f ca="1">VLOOKUP(A574,Calculation!$F$6:$J$1004,4,FALSE)</f>
        <v/>
      </c>
      <c r="I574" s="4" t="str">
        <f ca="1">VLOOKUP(A574,Calculation!$F$6:$J$1004,5,FALSE)</f>
        <v/>
      </c>
      <c r="J574" s="43" t="str">
        <f t="shared" ca="1" si="5"/>
        <v/>
      </c>
      <c r="L574" s="29" t="str">
        <f ca="1">VLOOKUP(A574,Calculation!$G$6:$S$1004,2,FALSE)</f>
        <v/>
      </c>
      <c r="M574" s="4" t="str">
        <f ca="1">IFERROR(VLOOKUP($L574,Calculation!$H$6:$S$1005,HLOOKUP(M$2,Calculation!$M$4:$S$5,2,FALSE)+5,FALSE),"")</f>
        <v/>
      </c>
      <c r="N574" s="4" t="str">
        <f ca="1">IFERROR(VLOOKUP($L574,Calculation!$H$6:$S$1005,HLOOKUP(N$2,Calculation!$M$4:$S$5,2,FALSE)+5,FALSE),"")</f>
        <v/>
      </c>
      <c r="O574" s="4" t="str">
        <f ca="1">IFERROR(VLOOKUP($L574,Calculation!$H$6:$S$1005,HLOOKUP(O$2,Calculation!$M$4:$S$5,2,FALSE)+5,FALSE),"")</f>
        <v/>
      </c>
      <c r="P574" s="4" t="str">
        <f ca="1">IFERROR(VLOOKUP($L574,Calculation!$H$6:$S$1005,HLOOKUP(P$2,Calculation!$M$4:$S$5,2,FALSE)+5,FALSE),"")</f>
        <v/>
      </c>
      <c r="Q574" s="4" t="str">
        <f ca="1">IFERROR(VLOOKUP($L574,Calculation!$H$6:$S$1005,HLOOKUP(Q$2,Calculation!$M$4:$S$5,2,FALSE)+5,FALSE),"")</f>
        <v/>
      </c>
      <c r="R574" s="27" t="str">
        <f ca="1">IFERROR(VLOOKUP($L574,Calculation!$H$6:$S$1005,HLOOKUP(R$2,Calculation!$M$4:$S$5,2,FALSE)+5,FALSE),"")</f>
        <v/>
      </c>
      <c r="S574" s="4" t="str">
        <f ca="1">IFERROR(VLOOKUP($L574,Calculation!$H$6:$S$1005,HLOOKUP(S$2,Calculation!$M$4:$S$5,2,FALSE)+5,FALSE),"")</f>
        <v/>
      </c>
      <c r="T574" s="29"/>
      <c r="U574" s="43" t="str">
        <f>IFERROR(VLOOKUP(T574,Calculation!$U$6:$V$11,2,FALSE),"")</f>
        <v/>
      </c>
    </row>
    <row r="575" spans="1:21" ht="14.25" customHeight="1" x14ac:dyDescent="0.3">
      <c r="A575" s="26" t="str">
        <f ca="1">IF(Calculation!T578&lt;=Calculation!$H$4,Calculation!T578,"")</f>
        <v/>
      </c>
      <c r="B575" s="4" t="str">
        <f ca="1">VLOOKUP(A575,Calculation!$E$6:$J$1004,4,FALSE)</f>
        <v/>
      </c>
      <c r="C575" s="4" t="str">
        <f ca="1">VLOOKUP(A575,Calculation!$E$6:$J$1004,5,FALSE)</f>
        <v/>
      </c>
      <c r="D575" s="4" t="str">
        <f ca="1">VLOOKUP(A575,Calculation!$E$6:$J$1004,6,FALSE)</f>
        <v/>
      </c>
      <c r="E575" s="42" t="str">
        <f t="shared" ca="1" si="4"/>
        <v/>
      </c>
      <c r="G575" s="29" t="str">
        <f ca="1">VLOOKUP(A575,Calculation!$F$6:$J$1004,3,FALSE)</f>
        <v/>
      </c>
      <c r="H575" s="4" t="str">
        <f ca="1">VLOOKUP(A575,Calculation!$F$6:$J$1004,4,FALSE)</f>
        <v/>
      </c>
      <c r="I575" s="4" t="str">
        <f ca="1">VLOOKUP(A575,Calculation!$F$6:$J$1004,5,FALSE)</f>
        <v/>
      </c>
      <c r="J575" s="43" t="str">
        <f t="shared" ca="1" si="5"/>
        <v/>
      </c>
      <c r="L575" s="29" t="str">
        <f ca="1">VLOOKUP(A575,Calculation!$G$6:$S$1004,2,FALSE)</f>
        <v/>
      </c>
      <c r="M575" s="4" t="str">
        <f ca="1">IFERROR(VLOOKUP($L575,Calculation!$H$6:$S$1005,HLOOKUP(M$2,Calculation!$M$4:$S$5,2,FALSE)+5,FALSE),"")</f>
        <v/>
      </c>
      <c r="N575" s="4" t="str">
        <f ca="1">IFERROR(VLOOKUP($L575,Calculation!$H$6:$S$1005,HLOOKUP(N$2,Calculation!$M$4:$S$5,2,FALSE)+5,FALSE),"")</f>
        <v/>
      </c>
      <c r="O575" s="4" t="str">
        <f ca="1">IFERROR(VLOOKUP($L575,Calculation!$H$6:$S$1005,HLOOKUP(O$2,Calculation!$M$4:$S$5,2,FALSE)+5,FALSE),"")</f>
        <v/>
      </c>
      <c r="P575" s="4" t="str">
        <f ca="1">IFERROR(VLOOKUP($L575,Calculation!$H$6:$S$1005,HLOOKUP(P$2,Calculation!$M$4:$S$5,2,FALSE)+5,FALSE),"")</f>
        <v/>
      </c>
      <c r="Q575" s="4" t="str">
        <f ca="1">IFERROR(VLOOKUP($L575,Calculation!$H$6:$S$1005,HLOOKUP(Q$2,Calculation!$M$4:$S$5,2,FALSE)+5,FALSE),"")</f>
        <v/>
      </c>
      <c r="R575" s="27" t="str">
        <f ca="1">IFERROR(VLOOKUP($L575,Calculation!$H$6:$S$1005,HLOOKUP(R$2,Calculation!$M$4:$S$5,2,FALSE)+5,FALSE),"")</f>
        <v/>
      </c>
      <c r="S575" s="4" t="str">
        <f ca="1">IFERROR(VLOOKUP($L575,Calculation!$H$6:$S$1005,HLOOKUP(S$2,Calculation!$M$4:$S$5,2,FALSE)+5,FALSE),"")</f>
        <v/>
      </c>
      <c r="T575" s="29"/>
      <c r="U575" s="43" t="str">
        <f>IFERROR(VLOOKUP(T575,Calculation!$U$6:$V$11,2,FALSE),"")</f>
        <v/>
      </c>
    </row>
    <row r="576" spans="1:21" ht="14.25" customHeight="1" x14ac:dyDescent="0.3">
      <c r="A576" s="26" t="str">
        <f ca="1">IF(Calculation!T579&lt;=Calculation!$H$4,Calculation!T579,"")</f>
        <v/>
      </c>
      <c r="B576" s="4" t="str">
        <f ca="1">VLOOKUP(A576,Calculation!$E$6:$J$1004,4,FALSE)</f>
        <v/>
      </c>
      <c r="C576" s="4" t="str">
        <f ca="1">VLOOKUP(A576,Calculation!$E$6:$J$1004,5,FALSE)</f>
        <v/>
      </c>
      <c r="D576" s="4" t="str">
        <f ca="1">VLOOKUP(A576,Calculation!$E$6:$J$1004,6,FALSE)</f>
        <v/>
      </c>
      <c r="E576" s="42" t="str">
        <f t="shared" ca="1" si="4"/>
        <v/>
      </c>
      <c r="G576" s="29" t="str">
        <f ca="1">VLOOKUP(A576,Calculation!$F$6:$J$1004,3,FALSE)</f>
        <v/>
      </c>
      <c r="H576" s="4" t="str">
        <f ca="1">VLOOKUP(A576,Calculation!$F$6:$J$1004,4,FALSE)</f>
        <v/>
      </c>
      <c r="I576" s="4" t="str">
        <f ca="1">VLOOKUP(A576,Calculation!$F$6:$J$1004,5,FALSE)</f>
        <v/>
      </c>
      <c r="J576" s="43" t="str">
        <f t="shared" ca="1" si="5"/>
        <v/>
      </c>
      <c r="L576" s="29" t="str">
        <f ca="1">VLOOKUP(A576,Calculation!$G$6:$S$1004,2,FALSE)</f>
        <v/>
      </c>
      <c r="M576" s="4" t="str">
        <f ca="1">IFERROR(VLOOKUP($L576,Calculation!$H$6:$S$1005,HLOOKUP(M$2,Calculation!$M$4:$S$5,2,FALSE)+5,FALSE),"")</f>
        <v/>
      </c>
      <c r="N576" s="4" t="str">
        <f ca="1">IFERROR(VLOOKUP($L576,Calculation!$H$6:$S$1005,HLOOKUP(N$2,Calculation!$M$4:$S$5,2,FALSE)+5,FALSE),"")</f>
        <v/>
      </c>
      <c r="O576" s="4" t="str">
        <f ca="1">IFERROR(VLOOKUP($L576,Calculation!$H$6:$S$1005,HLOOKUP(O$2,Calculation!$M$4:$S$5,2,FALSE)+5,FALSE),"")</f>
        <v/>
      </c>
      <c r="P576" s="4" t="str">
        <f ca="1">IFERROR(VLOOKUP($L576,Calculation!$H$6:$S$1005,HLOOKUP(P$2,Calculation!$M$4:$S$5,2,FALSE)+5,FALSE),"")</f>
        <v/>
      </c>
      <c r="Q576" s="4" t="str">
        <f ca="1">IFERROR(VLOOKUP($L576,Calculation!$H$6:$S$1005,HLOOKUP(Q$2,Calculation!$M$4:$S$5,2,FALSE)+5,FALSE),"")</f>
        <v/>
      </c>
      <c r="R576" s="27" t="str">
        <f ca="1">IFERROR(VLOOKUP($L576,Calculation!$H$6:$S$1005,HLOOKUP(R$2,Calculation!$M$4:$S$5,2,FALSE)+5,FALSE),"")</f>
        <v/>
      </c>
      <c r="S576" s="4" t="str">
        <f ca="1">IFERROR(VLOOKUP($L576,Calculation!$H$6:$S$1005,HLOOKUP(S$2,Calculation!$M$4:$S$5,2,FALSE)+5,FALSE),"")</f>
        <v/>
      </c>
      <c r="T576" s="29"/>
      <c r="U576" s="43" t="str">
        <f>IFERROR(VLOOKUP(T576,Calculation!$U$6:$V$11,2,FALSE),"")</f>
        <v/>
      </c>
    </row>
    <row r="577" spans="1:21" ht="14.25" customHeight="1" x14ac:dyDescent="0.3">
      <c r="A577" s="26" t="str">
        <f ca="1">IF(Calculation!T580&lt;=Calculation!$H$4,Calculation!T580,"")</f>
        <v/>
      </c>
      <c r="B577" s="4" t="str">
        <f ca="1">VLOOKUP(A577,Calculation!$E$6:$J$1004,4,FALSE)</f>
        <v/>
      </c>
      <c r="C577" s="4" t="str">
        <f ca="1">VLOOKUP(A577,Calculation!$E$6:$J$1004,5,FALSE)</f>
        <v/>
      </c>
      <c r="D577" s="4" t="str">
        <f ca="1">VLOOKUP(A577,Calculation!$E$6:$J$1004,6,FALSE)</f>
        <v/>
      </c>
      <c r="E577" s="42" t="str">
        <f t="shared" ca="1" si="4"/>
        <v/>
      </c>
      <c r="G577" s="29" t="str">
        <f ca="1">VLOOKUP(A577,Calculation!$F$6:$J$1004,3,FALSE)</f>
        <v/>
      </c>
      <c r="H577" s="4" t="str">
        <f ca="1">VLOOKUP(A577,Calculation!$F$6:$J$1004,4,FALSE)</f>
        <v/>
      </c>
      <c r="I577" s="4" t="str">
        <f ca="1">VLOOKUP(A577,Calculation!$F$6:$J$1004,5,FALSE)</f>
        <v/>
      </c>
      <c r="J577" s="43" t="str">
        <f t="shared" ca="1" si="5"/>
        <v/>
      </c>
      <c r="L577" s="29" t="str">
        <f ca="1">VLOOKUP(A577,Calculation!$G$6:$S$1004,2,FALSE)</f>
        <v/>
      </c>
      <c r="M577" s="4" t="str">
        <f ca="1">IFERROR(VLOOKUP($L577,Calculation!$H$6:$S$1005,HLOOKUP(M$2,Calculation!$M$4:$S$5,2,FALSE)+5,FALSE),"")</f>
        <v/>
      </c>
      <c r="N577" s="4" t="str">
        <f ca="1">IFERROR(VLOOKUP($L577,Calculation!$H$6:$S$1005,HLOOKUP(N$2,Calculation!$M$4:$S$5,2,FALSE)+5,FALSE),"")</f>
        <v/>
      </c>
      <c r="O577" s="4" t="str">
        <f ca="1">IFERROR(VLOOKUP($L577,Calculation!$H$6:$S$1005,HLOOKUP(O$2,Calculation!$M$4:$S$5,2,FALSE)+5,FALSE),"")</f>
        <v/>
      </c>
      <c r="P577" s="4" t="str">
        <f ca="1">IFERROR(VLOOKUP($L577,Calculation!$H$6:$S$1005,HLOOKUP(P$2,Calculation!$M$4:$S$5,2,FALSE)+5,FALSE),"")</f>
        <v/>
      </c>
      <c r="Q577" s="4" t="str">
        <f ca="1">IFERROR(VLOOKUP($L577,Calculation!$H$6:$S$1005,HLOOKUP(Q$2,Calculation!$M$4:$S$5,2,FALSE)+5,FALSE),"")</f>
        <v/>
      </c>
      <c r="R577" s="27" t="str">
        <f ca="1">IFERROR(VLOOKUP($L577,Calculation!$H$6:$S$1005,HLOOKUP(R$2,Calculation!$M$4:$S$5,2,FALSE)+5,FALSE),"")</f>
        <v/>
      </c>
      <c r="S577" s="4" t="str">
        <f ca="1">IFERROR(VLOOKUP($L577,Calculation!$H$6:$S$1005,HLOOKUP(S$2,Calculation!$M$4:$S$5,2,FALSE)+5,FALSE),"")</f>
        <v/>
      </c>
      <c r="T577" s="29"/>
      <c r="U577" s="43" t="str">
        <f>IFERROR(VLOOKUP(T577,Calculation!$U$6:$V$11,2,FALSE),"")</f>
        <v/>
      </c>
    </row>
    <row r="578" spans="1:21" ht="14.25" customHeight="1" x14ac:dyDescent="0.3">
      <c r="A578" s="26" t="str">
        <f ca="1">IF(Calculation!T581&lt;=Calculation!$H$4,Calculation!T581,"")</f>
        <v/>
      </c>
      <c r="B578" s="4" t="str">
        <f ca="1">VLOOKUP(A578,Calculation!$E$6:$J$1004,4,FALSE)</f>
        <v/>
      </c>
      <c r="C578" s="4" t="str">
        <f ca="1">VLOOKUP(A578,Calculation!$E$6:$J$1004,5,FALSE)</f>
        <v/>
      </c>
      <c r="D578" s="4" t="str">
        <f ca="1">VLOOKUP(A578,Calculation!$E$6:$J$1004,6,FALSE)</f>
        <v/>
      </c>
      <c r="E578" s="42" t="str">
        <f t="shared" ca="1" si="4"/>
        <v/>
      </c>
      <c r="G578" s="29" t="str">
        <f ca="1">VLOOKUP(A578,Calculation!$F$6:$J$1004,3,FALSE)</f>
        <v/>
      </c>
      <c r="H578" s="4" t="str">
        <f ca="1">VLOOKUP(A578,Calculation!$F$6:$J$1004,4,FALSE)</f>
        <v/>
      </c>
      <c r="I578" s="4" t="str">
        <f ca="1">VLOOKUP(A578,Calculation!$F$6:$J$1004,5,FALSE)</f>
        <v/>
      </c>
      <c r="J578" s="43" t="str">
        <f t="shared" ca="1" si="5"/>
        <v/>
      </c>
      <c r="L578" s="29" t="str">
        <f ca="1">VLOOKUP(A578,Calculation!$G$6:$S$1004,2,FALSE)</f>
        <v/>
      </c>
      <c r="M578" s="4" t="str">
        <f ca="1">IFERROR(VLOOKUP($L578,Calculation!$H$6:$S$1005,HLOOKUP(M$2,Calculation!$M$4:$S$5,2,FALSE)+5,FALSE),"")</f>
        <v/>
      </c>
      <c r="N578" s="4" t="str">
        <f ca="1">IFERROR(VLOOKUP($L578,Calculation!$H$6:$S$1005,HLOOKUP(N$2,Calculation!$M$4:$S$5,2,FALSE)+5,FALSE),"")</f>
        <v/>
      </c>
      <c r="O578" s="4" t="str">
        <f ca="1">IFERROR(VLOOKUP($L578,Calculation!$H$6:$S$1005,HLOOKUP(O$2,Calculation!$M$4:$S$5,2,FALSE)+5,FALSE),"")</f>
        <v/>
      </c>
      <c r="P578" s="4" t="str">
        <f ca="1">IFERROR(VLOOKUP($L578,Calculation!$H$6:$S$1005,HLOOKUP(P$2,Calculation!$M$4:$S$5,2,FALSE)+5,FALSE),"")</f>
        <v/>
      </c>
      <c r="Q578" s="4" t="str">
        <f ca="1">IFERROR(VLOOKUP($L578,Calculation!$H$6:$S$1005,HLOOKUP(Q$2,Calculation!$M$4:$S$5,2,FALSE)+5,FALSE),"")</f>
        <v/>
      </c>
      <c r="R578" s="27" t="str">
        <f ca="1">IFERROR(VLOOKUP($L578,Calculation!$H$6:$S$1005,HLOOKUP(R$2,Calculation!$M$4:$S$5,2,FALSE)+5,FALSE),"")</f>
        <v/>
      </c>
      <c r="S578" s="4" t="str">
        <f ca="1">IFERROR(VLOOKUP($L578,Calculation!$H$6:$S$1005,HLOOKUP(S$2,Calculation!$M$4:$S$5,2,FALSE)+5,FALSE),"")</f>
        <v/>
      </c>
      <c r="T578" s="29"/>
      <c r="U578" s="43" t="str">
        <f>IFERROR(VLOOKUP(T578,Calculation!$U$6:$V$11,2,FALSE),"")</f>
        <v/>
      </c>
    </row>
    <row r="579" spans="1:21" ht="14.25" customHeight="1" x14ac:dyDescent="0.3">
      <c r="A579" s="26" t="str">
        <f ca="1">IF(Calculation!T582&lt;=Calculation!$H$4,Calculation!T582,"")</f>
        <v/>
      </c>
      <c r="B579" s="4" t="str">
        <f ca="1">VLOOKUP(A579,Calculation!$E$6:$J$1004,4,FALSE)</f>
        <v/>
      </c>
      <c r="C579" s="4" t="str">
        <f ca="1">VLOOKUP(A579,Calculation!$E$6:$J$1004,5,FALSE)</f>
        <v/>
      </c>
      <c r="D579" s="4" t="str">
        <f ca="1">VLOOKUP(A579,Calculation!$E$6:$J$1004,6,FALSE)</f>
        <v/>
      </c>
      <c r="E579" s="42" t="str">
        <f t="shared" ca="1" si="4"/>
        <v/>
      </c>
      <c r="G579" s="29" t="str">
        <f ca="1">VLOOKUP(A579,Calculation!$F$6:$J$1004,3,FALSE)</f>
        <v/>
      </c>
      <c r="H579" s="4" t="str">
        <f ca="1">VLOOKUP(A579,Calculation!$F$6:$J$1004,4,FALSE)</f>
        <v/>
      </c>
      <c r="I579" s="4" t="str">
        <f ca="1">VLOOKUP(A579,Calculation!$F$6:$J$1004,5,FALSE)</f>
        <v/>
      </c>
      <c r="J579" s="43" t="str">
        <f t="shared" ca="1" si="5"/>
        <v/>
      </c>
      <c r="L579" s="29" t="str">
        <f ca="1">VLOOKUP(A579,Calculation!$G$6:$S$1004,2,FALSE)</f>
        <v/>
      </c>
      <c r="M579" s="4" t="str">
        <f ca="1">IFERROR(VLOOKUP($L579,Calculation!$H$6:$S$1005,HLOOKUP(M$2,Calculation!$M$4:$S$5,2,FALSE)+5,FALSE),"")</f>
        <v/>
      </c>
      <c r="N579" s="4" t="str">
        <f ca="1">IFERROR(VLOOKUP($L579,Calculation!$H$6:$S$1005,HLOOKUP(N$2,Calculation!$M$4:$S$5,2,FALSE)+5,FALSE),"")</f>
        <v/>
      </c>
      <c r="O579" s="4" t="str">
        <f ca="1">IFERROR(VLOOKUP($L579,Calculation!$H$6:$S$1005,HLOOKUP(O$2,Calculation!$M$4:$S$5,2,FALSE)+5,FALSE),"")</f>
        <v/>
      </c>
      <c r="P579" s="4" t="str">
        <f ca="1">IFERROR(VLOOKUP($L579,Calculation!$H$6:$S$1005,HLOOKUP(P$2,Calculation!$M$4:$S$5,2,FALSE)+5,FALSE),"")</f>
        <v/>
      </c>
      <c r="Q579" s="4" t="str">
        <f ca="1">IFERROR(VLOOKUP($L579,Calculation!$H$6:$S$1005,HLOOKUP(Q$2,Calculation!$M$4:$S$5,2,FALSE)+5,FALSE),"")</f>
        <v/>
      </c>
      <c r="R579" s="27" t="str">
        <f ca="1">IFERROR(VLOOKUP($L579,Calculation!$H$6:$S$1005,HLOOKUP(R$2,Calculation!$M$4:$S$5,2,FALSE)+5,FALSE),"")</f>
        <v/>
      </c>
      <c r="S579" s="4" t="str">
        <f ca="1">IFERROR(VLOOKUP($L579,Calculation!$H$6:$S$1005,HLOOKUP(S$2,Calculation!$M$4:$S$5,2,FALSE)+5,FALSE),"")</f>
        <v/>
      </c>
      <c r="T579" s="29"/>
      <c r="U579" s="43" t="str">
        <f>IFERROR(VLOOKUP(T579,Calculation!$U$6:$V$11,2,FALSE),"")</f>
        <v/>
      </c>
    </row>
    <row r="580" spans="1:21" ht="14.25" customHeight="1" x14ac:dyDescent="0.3">
      <c r="A580" s="26" t="str">
        <f ca="1">IF(Calculation!T583&lt;=Calculation!$H$4,Calculation!T583,"")</f>
        <v/>
      </c>
      <c r="B580" s="4" t="str">
        <f ca="1">VLOOKUP(A580,Calculation!$E$6:$J$1004,4,FALSE)</f>
        <v/>
      </c>
      <c r="C580" s="4" t="str">
        <f ca="1">VLOOKUP(A580,Calculation!$E$6:$J$1004,5,FALSE)</f>
        <v/>
      </c>
      <c r="D580" s="4" t="str">
        <f ca="1">VLOOKUP(A580,Calculation!$E$6:$J$1004,6,FALSE)</f>
        <v/>
      </c>
      <c r="E580" s="42" t="str">
        <f t="shared" ca="1" si="4"/>
        <v/>
      </c>
      <c r="G580" s="29" t="str">
        <f ca="1">VLOOKUP(A580,Calculation!$F$6:$J$1004,3,FALSE)</f>
        <v/>
      </c>
      <c r="H580" s="4" t="str">
        <f ca="1">VLOOKUP(A580,Calculation!$F$6:$J$1004,4,FALSE)</f>
        <v/>
      </c>
      <c r="I580" s="4" t="str">
        <f ca="1">VLOOKUP(A580,Calculation!$F$6:$J$1004,5,FALSE)</f>
        <v/>
      </c>
      <c r="J580" s="43" t="str">
        <f t="shared" ca="1" si="5"/>
        <v/>
      </c>
      <c r="L580" s="29" t="str">
        <f ca="1">VLOOKUP(A580,Calculation!$G$6:$S$1004,2,FALSE)</f>
        <v/>
      </c>
      <c r="M580" s="4" t="str">
        <f ca="1">IFERROR(VLOOKUP($L580,Calculation!$H$6:$S$1005,HLOOKUP(M$2,Calculation!$M$4:$S$5,2,FALSE)+5,FALSE),"")</f>
        <v/>
      </c>
      <c r="N580" s="4" t="str">
        <f ca="1">IFERROR(VLOOKUP($L580,Calculation!$H$6:$S$1005,HLOOKUP(N$2,Calculation!$M$4:$S$5,2,FALSE)+5,FALSE),"")</f>
        <v/>
      </c>
      <c r="O580" s="4" t="str">
        <f ca="1">IFERROR(VLOOKUP($L580,Calculation!$H$6:$S$1005,HLOOKUP(O$2,Calculation!$M$4:$S$5,2,FALSE)+5,FALSE),"")</f>
        <v/>
      </c>
      <c r="P580" s="4" t="str">
        <f ca="1">IFERROR(VLOOKUP($L580,Calculation!$H$6:$S$1005,HLOOKUP(P$2,Calculation!$M$4:$S$5,2,FALSE)+5,FALSE),"")</f>
        <v/>
      </c>
      <c r="Q580" s="4" t="str">
        <f ca="1">IFERROR(VLOOKUP($L580,Calculation!$H$6:$S$1005,HLOOKUP(Q$2,Calculation!$M$4:$S$5,2,FALSE)+5,FALSE),"")</f>
        <v/>
      </c>
      <c r="R580" s="27" t="str">
        <f ca="1">IFERROR(VLOOKUP($L580,Calculation!$H$6:$S$1005,HLOOKUP(R$2,Calculation!$M$4:$S$5,2,FALSE)+5,FALSE),"")</f>
        <v/>
      </c>
      <c r="S580" s="4" t="str">
        <f ca="1">IFERROR(VLOOKUP($L580,Calculation!$H$6:$S$1005,HLOOKUP(S$2,Calculation!$M$4:$S$5,2,FALSE)+5,FALSE),"")</f>
        <v/>
      </c>
      <c r="T580" s="29"/>
      <c r="U580" s="43" t="str">
        <f>IFERROR(VLOOKUP(T580,Calculation!$U$6:$V$11,2,FALSE),"")</f>
        <v/>
      </c>
    </row>
    <row r="581" spans="1:21" ht="14.25" customHeight="1" x14ac:dyDescent="0.3">
      <c r="A581" s="26" t="str">
        <f ca="1">IF(Calculation!T584&lt;=Calculation!$H$4,Calculation!T584,"")</f>
        <v/>
      </c>
      <c r="B581" s="4" t="str">
        <f ca="1">VLOOKUP(A581,Calculation!$E$6:$J$1004,4,FALSE)</f>
        <v/>
      </c>
      <c r="C581" s="4" t="str">
        <f ca="1">VLOOKUP(A581,Calculation!$E$6:$J$1004,5,FALSE)</f>
        <v/>
      </c>
      <c r="D581" s="4" t="str">
        <f ca="1">VLOOKUP(A581,Calculation!$E$6:$J$1004,6,FALSE)</f>
        <v/>
      </c>
      <c r="E581" s="42" t="str">
        <f t="shared" ca="1" si="4"/>
        <v/>
      </c>
      <c r="G581" s="29" t="str">
        <f ca="1">VLOOKUP(A581,Calculation!$F$6:$J$1004,3,FALSE)</f>
        <v/>
      </c>
      <c r="H581" s="4" t="str">
        <f ca="1">VLOOKUP(A581,Calculation!$F$6:$J$1004,4,FALSE)</f>
        <v/>
      </c>
      <c r="I581" s="4" t="str">
        <f ca="1">VLOOKUP(A581,Calculation!$F$6:$J$1004,5,FALSE)</f>
        <v/>
      </c>
      <c r="J581" s="43" t="str">
        <f t="shared" ca="1" si="5"/>
        <v/>
      </c>
      <c r="L581" s="29" t="str">
        <f ca="1">VLOOKUP(A581,Calculation!$G$6:$S$1004,2,FALSE)</f>
        <v/>
      </c>
      <c r="M581" s="4" t="str">
        <f ca="1">IFERROR(VLOOKUP($L581,Calculation!$H$6:$S$1005,HLOOKUP(M$2,Calculation!$M$4:$S$5,2,FALSE)+5,FALSE),"")</f>
        <v/>
      </c>
      <c r="N581" s="4" t="str">
        <f ca="1">IFERROR(VLOOKUP($L581,Calculation!$H$6:$S$1005,HLOOKUP(N$2,Calculation!$M$4:$S$5,2,FALSE)+5,FALSE),"")</f>
        <v/>
      </c>
      <c r="O581" s="4" t="str">
        <f ca="1">IFERROR(VLOOKUP($L581,Calculation!$H$6:$S$1005,HLOOKUP(O$2,Calculation!$M$4:$S$5,2,FALSE)+5,FALSE),"")</f>
        <v/>
      </c>
      <c r="P581" s="4" t="str">
        <f ca="1">IFERROR(VLOOKUP($L581,Calculation!$H$6:$S$1005,HLOOKUP(P$2,Calculation!$M$4:$S$5,2,FALSE)+5,FALSE),"")</f>
        <v/>
      </c>
      <c r="Q581" s="4" t="str">
        <f ca="1">IFERROR(VLOOKUP($L581,Calculation!$H$6:$S$1005,HLOOKUP(Q$2,Calculation!$M$4:$S$5,2,FALSE)+5,FALSE),"")</f>
        <v/>
      </c>
      <c r="R581" s="27" t="str">
        <f ca="1">IFERROR(VLOOKUP($L581,Calculation!$H$6:$S$1005,HLOOKUP(R$2,Calculation!$M$4:$S$5,2,FALSE)+5,FALSE),"")</f>
        <v/>
      </c>
      <c r="S581" s="4" t="str">
        <f ca="1">IFERROR(VLOOKUP($L581,Calculation!$H$6:$S$1005,HLOOKUP(S$2,Calculation!$M$4:$S$5,2,FALSE)+5,FALSE),"")</f>
        <v/>
      </c>
      <c r="T581" s="29"/>
      <c r="U581" s="43" t="str">
        <f>IFERROR(VLOOKUP(T581,Calculation!$U$6:$V$11,2,FALSE),"")</f>
        <v/>
      </c>
    </row>
    <row r="582" spans="1:21" ht="14.25" customHeight="1" x14ac:dyDescent="0.3">
      <c r="A582" s="26" t="str">
        <f ca="1">IF(Calculation!T585&lt;=Calculation!$H$4,Calculation!T585,"")</f>
        <v/>
      </c>
      <c r="B582" s="4" t="str">
        <f ca="1">VLOOKUP(A582,Calculation!$E$6:$J$1004,4,FALSE)</f>
        <v/>
      </c>
      <c r="C582" s="4" t="str">
        <f ca="1">VLOOKUP(A582,Calculation!$E$6:$J$1004,5,FALSE)</f>
        <v/>
      </c>
      <c r="D582" s="4" t="str">
        <f ca="1">VLOOKUP(A582,Calculation!$E$6:$J$1004,6,FALSE)</f>
        <v/>
      </c>
      <c r="E582" s="42" t="str">
        <f t="shared" ca="1" si="4"/>
        <v/>
      </c>
      <c r="G582" s="29" t="str">
        <f ca="1">VLOOKUP(A582,Calculation!$F$6:$J$1004,3,FALSE)</f>
        <v/>
      </c>
      <c r="H582" s="4" t="str">
        <f ca="1">VLOOKUP(A582,Calculation!$F$6:$J$1004,4,FALSE)</f>
        <v/>
      </c>
      <c r="I582" s="4" t="str">
        <f ca="1">VLOOKUP(A582,Calculation!$F$6:$J$1004,5,FALSE)</f>
        <v/>
      </c>
      <c r="J582" s="43" t="str">
        <f t="shared" ca="1" si="5"/>
        <v/>
      </c>
      <c r="L582" s="29" t="str">
        <f ca="1">VLOOKUP(A582,Calculation!$G$6:$S$1004,2,FALSE)</f>
        <v/>
      </c>
      <c r="M582" s="4" t="str">
        <f ca="1">IFERROR(VLOOKUP($L582,Calculation!$H$6:$S$1005,HLOOKUP(M$2,Calculation!$M$4:$S$5,2,FALSE)+5,FALSE),"")</f>
        <v/>
      </c>
      <c r="N582" s="4" t="str">
        <f ca="1">IFERROR(VLOOKUP($L582,Calculation!$H$6:$S$1005,HLOOKUP(N$2,Calculation!$M$4:$S$5,2,FALSE)+5,FALSE),"")</f>
        <v/>
      </c>
      <c r="O582" s="4" t="str">
        <f ca="1">IFERROR(VLOOKUP($L582,Calculation!$H$6:$S$1005,HLOOKUP(O$2,Calculation!$M$4:$S$5,2,FALSE)+5,FALSE),"")</f>
        <v/>
      </c>
      <c r="P582" s="4" t="str">
        <f ca="1">IFERROR(VLOOKUP($L582,Calculation!$H$6:$S$1005,HLOOKUP(P$2,Calculation!$M$4:$S$5,2,FALSE)+5,FALSE),"")</f>
        <v/>
      </c>
      <c r="Q582" s="4" t="str">
        <f ca="1">IFERROR(VLOOKUP($L582,Calculation!$H$6:$S$1005,HLOOKUP(Q$2,Calculation!$M$4:$S$5,2,FALSE)+5,FALSE),"")</f>
        <v/>
      </c>
      <c r="R582" s="27" t="str">
        <f ca="1">IFERROR(VLOOKUP($L582,Calculation!$H$6:$S$1005,HLOOKUP(R$2,Calculation!$M$4:$S$5,2,FALSE)+5,FALSE),"")</f>
        <v/>
      </c>
      <c r="S582" s="4" t="str">
        <f ca="1">IFERROR(VLOOKUP($L582,Calculation!$H$6:$S$1005,HLOOKUP(S$2,Calculation!$M$4:$S$5,2,FALSE)+5,FALSE),"")</f>
        <v/>
      </c>
      <c r="T582" s="29"/>
      <c r="U582" s="43" t="str">
        <f>IFERROR(VLOOKUP(T582,Calculation!$U$6:$V$11,2,FALSE),"")</f>
        <v/>
      </c>
    </row>
    <row r="583" spans="1:21" ht="14.25" customHeight="1" x14ac:dyDescent="0.3">
      <c r="A583" s="26" t="str">
        <f ca="1">IF(Calculation!T586&lt;=Calculation!$H$4,Calculation!T586,"")</f>
        <v/>
      </c>
      <c r="B583" s="4" t="str">
        <f ca="1">VLOOKUP(A583,Calculation!$E$6:$J$1004,4,FALSE)</f>
        <v/>
      </c>
      <c r="C583" s="4" t="str">
        <f ca="1">VLOOKUP(A583,Calculation!$E$6:$J$1004,5,FALSE)</f>
        <v/>
      </c>
      <c r="D583" s="4" t="str">
        <f ca="1">VLOOKUP(A583,Calculation!$E$6:$J$1004,6,FALSE)</f>
        <v/>
      </c>
      <c r="E583" s="42" t="str">
        <f t="shared" ca="1" si="4"/>
        <v/>
      </c>
      <c r="G583" s="29" t="str">
        <f ca="1">VLOOKUP(A583,Calculation!$F$6:$J$1004,3,FALSE)</f>
        <v/>
      </c>
      <c r="H583" s="4" t="str">
        <f ca="1">VLOOKUP(A583,Calculation!$F$6:$J$1004,4,FALSE)</f>
        <v/>
      </c>
      <c r="I583" s="4" t="str">
        <f ca="1">VLOOKUP(A583,Calculation!$F$6:$J$1004,5,FALSE)</f>
        <v/>
      </c>
      <c r="J583" s="43" t="str">
        <f t="shared" ca="1" si="5"/>
        <v/>
      </c>
      <c r="L583" s="29" t="str">
        <f ca="1">VLOOKUP(A583,Calculation!$G$6:$S$1004,2,FALSE)</f>
        <v/>
      </c>
      <c r="M583" s="4" t="str">
        <f ca="1">IFERROR(VLOOKUP($L583,Calculation!$H$6:$S$1005,HLOOKUP(M$2,Calculation!$M$4:$S$5,2,FALSE)+5,FALSE),"")</f>
        <v/>
      </c>
      <c r="N583" s="4" t="str">
        <f ca="1">IFERROR(VLOOKUP($L583,Calculation!$H$6:$S$1005,HLOOKUP(N$2,Calculation!$M$4:$S$5,2,FALSE)+5,FALSE),"")</f>
        <v/>
      </c>
      <c r="O583" s="4" t="str">
        <f ca="1">IFERROR(VLOOKUP($L583,Calculation!$H$6:$S$1005,HLOOKUP(O$2,Calculation!$M$4:$S$5,2,FALSE)+5,FALSE),"")</f>
        <v/>
      </c>
      <c r="P583" s="4" t="str">
        <f ca="1">IFERROR(VLOOKUP($L583,Calculation!$H$6:$S$1005,HLOOKUP(P$2,Calculation!$M$4:$S$5,2,FALSE)+5,FALSE),"")</f>
        <v/>
      </c>
      <c r="Q583" s="4" t="str">
        <f ca="1">IFERROR(VLOOKUP($L583,Calculation!$H$6:$S$1005,HLOOKUP(Q$2,Calculation!$M$4:$S$5,2,FALSE)+5,FALSE),"")</f>
        <v/>
      </c>
      <c r="R583" s="27" t="str">
        <f ca="1">IFERROR(VLOOKUP($L583,Calculation!$H$6:$S$1005,HLOOKUP(R$2,Calculation!$M$4:$S$5,2,FALSE)+5,FALSE),"")</f>
        <v/>
      </c>
      <c r="S583" s="4" t="str">
        <f ca="1">IFERROR(VLOOKUP($L583,Calculation!$H$6:$S$1005,HLOOKUP(S$2,Calculation!$M$4:$S$5,2,FALSE)+5,FALSE),"")</f>
        <v/>
      </c>
      <c r="T583" s="29"/>
      <c r="U583" s="43" t="str">
        <f>IFERROR(VLOOKUP(T583,Calculation!$U$6:$V$11,2,FALSE),"")</f>
        <v/>
      </c>
    </row>
    <row r="584" spans="1:21" ht="14.25" customHeight="1" x14ac:dyDescent="0.3">
      <c r="A584" s="26" t="str">
        <f ca="1">IF(Calculation!T587&lt;=Calculation!$H$4,Calculation!T587,"")</f>
        <v/>
      </c>
      <c r="B584" s="4" t="str">
        <f ca="1">VLOOKUP(A584,Calculation!$E$6:$J$1004,4,FALSE)</f>
        <v/>
      </c>
      <c r="C584" s="4" t="str">
        <f ca="1">VLOOKUP(A584,Calculation!$E$6:$J$1004,5,FALSE)</f>
        <v/>
      </c>
      <c r="D584" s="4" t="str">
        <f ca="1">VLOOKUP(A584,Calculation!$E$6:$J$1004,6,FALSE)</f>
        <v/>
      </c>
      <c r="E584" s="42" t="str">
        <f t="shared" ca="1" si="4"/>
        <v/>
      </c>
      <c r="G584" s="29" t="str">
        <f ca="1">VLOOKUP(A584,Calculation!$F$6:$J$1004,3,FALSE)</f>
        <v/>
      </c>
      <c r="H584" s="4" t="str">
        <f ca="1">VLOOKUP(A584,Calculation!$F$6:$J$1004,4,FALSE)</f>
        <v/>
      </c>
      <c r="I584" s="4" t="str">
        <f ca="1">VLOOKUP(A584,Calculation!$F$6:$J$1004,5,FALSE)</f>
        <v/>
      </c>
      <c r="J584" s="43" t="str">
        <f t="shared" ca="1" si="5"/>
        <v/>
      </c>
      <c r="L584" s="29" t="str">
        <f ca="1">VLOOKUP(A584,Calculation!$G$6:$S$1004,2,FALSE)</f>
        <v/>
      </c>
      <c r="M584" s="4" t="str">
        <f ca="1">IFERROR(VLOOKUP($L584,Calculation!$H$6:$S$1005,HLOOKUP(M$2,Calculation!$M$4:$S$5,2,FALSE)+5,FALSE),"")</f>
        <v/>
      </c>
      <c r="N584" s="4" t="str">
        <f ca="1">IFERROR(VLOOKUP($L584,Calculation!$H$6:$S$1005,HLOOKUP(N$2,Calculation!$M$4:$S$5,2,FALSE)+5,FALSE),"")</f>
        <v/>
      </c>
      <c r="O584" s="4" t="str">
        <f ca="1">IFERROR(VLOOKUP($L584,Calculation!$H$6:$S$1005,HLOOKUP(O$2,Calculation!$M$4:$S$5,2,FALSE)+5,FALSE),"")</f>
        <v/>
      </c>
      <c r="P584" s="4" t="str">
        <f ca="1">IFERROR(VLOOKUP($L584,Calculation!$H$6:$S$1005,HLOOKUP(P$2,Calculation!$M$4:$S$5,2,FALSE)+5,FALSE),"")</f>
        <v/>
      </c>
      <c r="Q584" s="4" t="str">
        <f ca="1">IFERROR(VLOOKUP($L584,Calculation!$H$6:$S$1005,HLOOKUP(Q$2,Calculation!$M$4:$S$5,2,FALSE)+5,FALSE),"")</f>
        <v/>
      </c>
      <c r="R584" s="27" t="str">
        <f ca="1">IFERROR(VLOOKUP($L584,Calculation!$H$6:$S$1005,HLOOKUP(R$2,Calculation!$M$4:$S$5,2,FALSE)+5,FALSE),"")</f>
        <v/>
      </c>
      <c r="S584" s="4" t="str">
        <f ca="1">IFERROR(VLOOKUP($L584,Calculation!$H$6:$S$1005,HLOOKUP(S$2,Calculation!$M$4:$S$5,2,FALSE)+5,FALSE),"")</f>
        <v/>
      </c>
      <c r="T584" s="29"/>
      <c r="U584" s="43" t="str">
        <f>IFERROR(VLOOKUP(T584,Calculation!$U$6:$V$11,2,FALSE),"")</f>
        <v/>
      </c>
    </row>
    <row r="585" spans="1:21" ht="14.25" customHeight="1" x14ac:dyDescent="0.3">
      <c r="A585" s="26" t="str">
        <f ca="1">IF(Calculation!T588&lt;=Calculation!$H$4,Calculation!T588,"")</f>
        <v/>
      </c>
      <c r="B585" s="4" t="str">
        <f ca="1">VLOOKUP(A585,Calculation!$E$6:$J$1004,4,FALSE)</f>
        <v/>
      </c>
      <c r="C585" s="4" t="str">
        <f ca="1">VLOOKUP(A585,Calculation!$E$6:$J$1004,5,FALSE)</f>
        <v/>
      </c>
      <c r="D585" s="4" t="str">
        <f ca="1">VLOOKUP(A585,Calculation!$E$6:$J$1004,6,FALSE)</f>
        <v/>
      </c>
      <c r="E585" s="42" t="str">
        <f t="shared" ca="1" si="4"/>
        <v/>
      </c>
      <c r="G585" s="29" t="str">
        <f ca="1">VLOOKUP(A585,Calculation!$F$6:$J$1004,3,FALSE)</f>
        <v/>
      </c>
      <c r="H585" s="4" t="str">
        <f ca="1">VLOOKUP(A585,Calculation!$F$6:$J$1004,4,FALSE)</f>
        <v/>
      </c>
      <c r="I585" s="4" t="str">
        <f ca="1">VLOOKUP(A585,Calculation!$F$6:$J$1004,5,FALSE)</f>
        <v/>
      </c>
      <c r="J585" s="43" t="str">
        <f t="shared" ca="1" si="5"/>
        <v/>
      </c>
      <c r="L585" s="29" t="str">
        <f ca="1">VLOOKUP(A585,Calculation!$G$6:$S$1004,2,FALSE)</f>
        <v/>
      </c>
      <c r="M585" s="4" t="str">
        <f ca="1">IFERROR(VLOOKUP($L585,Calculation!$H$6:$S$1005,HLOOKUP(M$2,Calculation!$M$4:$S$5,2,FALSE)+5,FALSE),"")</f>
        <v/>
      </c>
      <c r="N585" s="4" t="str">
        <f ca="1">IFERROR(VLOOKUP($L585,Calculation!$H$6:$S$1005,HLOOKUP(N$2,Calculation!$M$4:$S$5,2,FALSE)+5,FALSE),"")</f>
        <v/>
      </c>
      <c r="O585" s="4" t="str">
        <f ca="1">IFERROR(VLOOKUP($L585,Calculation!$H$6:$S$1005,HLOOKUP(O$2,Calculation!$M$4:$S$5,2,FALSE)+5,FALSE),"")</f>
        <v/>
      </c>
      <c r="P585" s="4" t="str">
        <f ca="1">IFERROR(VLOOKUP($L585,Calculation!$H$6:$S$1005,HLOOKUP(P$2,Calculation!$M$4:$S$5,2,FALSE)+5,FALSE),"")</f>
        <v/>
      </c>
      <c r="Q585" s="4" t="str">
        <f ca="1">IFERROR(VLOOKUP($L585,Calculation!$H$6:$S$1005,HLOOKUP(Q$2,Calculation!$M$4:$S$5,2,FALSE)+5,FALSE),"")</f>
        <v/>
      </c>
      <c r="R585" s="27" t="str">
        <f ca="1">IFERROR(VLOOKUP($L585,Calculation!$H$6:$S$1005,HLOOKUP(R$2,Calculation!$M$4:$S$5,2,FALSE)+5,FALSE),"")</f>
        <v/>
      </c>
      <c r="S585" s="4" t="str">
        <f ca="1">IFERROR(VLOOKUP($L585,Calculation!$H$6:$S$1005,HLOOKUP(S$2,Calculation!$M$4:$S$5,2,FALSE)+5,FALSE),"")</f>
        <v/>
      </c>
      <c r="T585" s="29"/>
      <c r="U585" s="43" t="str">
        <f>IFERROR(VLOOKUP(T585,Calculation!$U$6:$V$11,2,FALSE),"")</f>
        <v/>
      </c>
    </row>
    <row r="586" spans="1:21" ht="14.25" customHeight="1" x14ac:dyDescent="0.3">
      <c r="A586" s="26" t="str">
        <f ca="1">IF(Calculation!T589&lt;=Calculation!$H$4,Calculation!T589,"")</f>
        <v/>
      </c>
      <c r="B586" s="4" t="str">
        <f ca="1">VLOOKUP(A586,Calculation!$E$6:$J$1004,4,FALSE)</f>
        <v/>
      </c>
      <c r="C586" s="4" t="str">
        <f ca="1">VLOOKUP(A586,Calculation!$E$6:$J$1004,5,FALSE)</f>
        <v/>
      </c>
      <c r="D586" s="4" t="str">
        <f ca="1">VLOOKUP(A586,Calculation!$E$6:$J$1004,6,FALSE)</f>
        <v/>
      </c>
      <c r="E586" s="42" t="str">
        <f t="shared" ca="1" si="4"/>
        <v/>
      </c>
      <c r="G586" s="29" t="str">
        <f ca="1">VLOOKUP(A586,Calculation!$F$6:$J$1004,3,FALSE)</f>
        <v/>
      </c>
      <c r="H586" s="4" t="str">
        <f ca="1">VLOOKUP(A586,Calculation!$F$6:$J$1004,4,FALSE)</f>
        <v/>
      </c>
      <c r="I586" s="4" t="str">
        <f ca="1">VLOOKUP(A586,Calculation!$F$6:$J$1004,5,FALSE)</f>
        <v/>
      </c>
      <c r="J586" s="43" t="str">
        <f t="shared" ca="1" si="5"/>
        <v/>
      </c>
      <c r="L586" s="29" t="str">
        <f ca="1">VLOOKUP(A586,Calculation!$G$6:$S$1004,2,FALSE)</f>
        <v/>
      </c>
      <c r="M586" s="4" t="str">
        <f ca="1">IFERROR(VLOOKUP($L586,Calculation!$H$6:$S$1005,HLOOKUP(M$2,Calculation!$M$4:$S$5,2,FALSE)+5,FALSE),"")</f>
        <v/>
      </c>
      <c r="N586" s="4" t="str">
        <f ca="1">IFERROR(VLOOKUP($L586,Calculation!$H$6:$S$1005,HLOOKUP(N$2,Calculation!$M$4:$S$5,2,FALSE)+5,FALSE),"")</f>
        <v/>
      </c>
      <c r="O586" s="4" t="str">
        <f ca="1">IFERROR(VLOOKUP($L586,Calculation!$H$6:$S$1005,HLOOKUP(O$2,Calculation!$M$4:$S$5,2,FALSE)+5,FALSE),"")</f>
        <v/>
      </c>
      <c r="P586" s="4" t="str">
        <f ca="1">IFERROR(VLOOKUP($L586,Calculation!$H$6:$S$1005,HLOOKUP(P$2,Calculation!$M$4:$S$5,2,FALSE)+5,FALSE),"")</f>
        <v/>
      </c>
      <c r="Q586" s="4" t="str">
        <f ca="1">IFERROR(VLOOKUP($L586,Calculation!$H$6:$S$1005,HLOOKUP(Q$2,Calculation!$M$4:$S$5,2,FALSE)+5,FALSE),"")</f>
        <v/>
      </c>
      <c r="R586" s="27" t="str">
        <f ca="1">IFERROR(VLOOKUP($L586,Calculation!$H$6:$S$1005,HLOOKUP(R$2,Calculation!$M$4:$S$5,2,FALSE)+5,FALSE),"")</f>
        <v/>
      </c>
      <c r="S586" s="4" t="str">
        <f ca="1">IFERROR(VLOOKUP($L586,Calculation!$H$6:$S$1005,HLOOKUP(S$2,Calculation!$M$4:$S$5,2,FALSE)+5,FALSE),"")</f>
        <v/>
      </c>
      <c r="T586" s="29"/>
      <c r="U586" s="43" t="str">
        <f>IFERROR(VLOOKUP(T586,Calculation!$U$6:$V$11,2,FALSE),"")</f>
        <v/>
      </c>
    </row>
    <row r="587" spans="1:21" ht="14.25" customHeight="1" x14ac:dyDescent="0.3">
      <c r="A587" s="26" t="str">
        <f ca="1">IF(Calculation!T590&lt;=Calculation!$H$4,Calculation!T590,"")</f>
        <v/>
      </c>
      <c r="B587" s="4" t="str">
        <f ca="1">VLOOKUP(A587,Calculation!$E$6:$J$1004,4,FALSE)</f>
        <v/>
      </c>
      <c r="C587" s="4" t="str">
        <f ca="1">VLOOKUP(A587,Calculation!$E$6:$J$1004,5,FALSE)</f>
        <v/>
      </c>
      <c r="D587" s="4" t="str">
        <f ca="1">VLOOKUP(A587,Calculation!$E$6:$J$1004,6,FALSE)</f>
        <v/>
      </c>
      <c r="E587" s="42" t="str">
        <f t="shared" ca="1" si="4"/>
        <v/>
      </c>
      <c r="G587" s="29" t="str">
        <f ca="1">VLOOKUP(A587,Calculation!$F$6:$J$1004,3,FALSE)</f>
        <v/>
      </c>
      <c r="H587" s="4" t="str">
        <f ca="1">VLOOKUP(A587,Calculation!$F$6:$J$1004,4,FALSE)</f>
        <v/>
      </c>
      <c r="I587" s="4" t="str">
        <f ca="1">VLOOKUP(A587,Calculation!$F$6:$J$1004,5,FALSE)</f>
        <v/>
      </c>
      <c r="J587" s="43" t="str">
        <f t="shared" ca="1" si="5"/>
        <v/>
      </c>
      <c r="L587" s="29" t="str">
        <f ca="1">VLOOKUP(A587,Calculation!$G$6:$S$1004,2,FALSE)</f>
        <v/>
      </c>
      <c r="M587" s="4" t="str">
        <f ca="1">IFERROR(VLOOKUP($L587,Calculation!$H$6:$S$1005,HLOOKUP(M$2,Calculation!$M$4:$S$5,2,FALSE)+5,FALSE),"")</f>
        <v/>
      </c>
      <c r="N587" s="4" t="str">
        <f ca="1">IFERROR(VLOOKUP($L587,Calculation!$H$6:$S$1005,HLOOKUP(N$2,Calculation!$M$4:$S$5,2,FALSE)+5,FALSE),"")</f>
        <v/>
      </c>
      <c r="O587" s="4" t="str">
        <f ca="1">IFERROR(VLOOKUP($L587,Calculation!$H$6:$S$1005,HLOOKUP(O$2,Calculation!$M$4:$S$5,2,FALSE)+5,FALSE),"")</f>
        <v/>
      </c>
      <c r="P587" s="4" t="str">
        <f ca="1">IFERROR(VLOOKUP($L587,Calculation!$H$6:$S$1005,HLOOKUP(P$2,Calculation!$M$4:$S$5,2,FALSE)+5,FALSE),"")</f>
        <v/>
      </c>
      <c r="Q587" s="4" t="str">
        <f ca="1">IFERROR(VLOOKUP($L587,Calculation!$H$6:$S$1005,HLOOKUP(Q$2,Calculation!$M$4:$S$5,2,FALSE)+5,FALSE),"")</f>
        <v/>
      </c>
      <c r="R587" s="27" t="str">
        <f ca="1">IFERROR(VLOOKUP($L587,Calculation!$H$6:$S$1005,HLOOKUP(R$2,Calculation!$M$4:$S$5,2,FALSE)+5,FALSE),"")</f>
        <v/>
      </c>
      <c r="S587" s="4" t="str">
        <f ca="1">IFERROR(VLOOKUP($L587,Calculation!$H$6:$S$1005,HLOOKUP(S$2,Calculation!$M$4:$S$5,2,FALSE)+5,FALSE),"")</f>
        <v/>
      </c>
      <c r="T587" s="29"/>
      <c r="U587" s="43" t="str">
        <f>IFERROR(VLOOKUP(T587,Calculation!$U$6:$V$11,2,FALSE),"")</f>
        <v/>
      </c>
    </row>
    <row r="588" spans="1:21" ht="14.25" customHeight="1" x14ac:dyDescent="0.3">
      <c r="A588" s="26" t="str">
        <f ca="1">IF(Calculation!T591&lt;=Calculation!$H$4,Calculation!T591,"")</f>
        <v/>
      </c>
      <c r="B588" s="4" t="str">
        <f ca="1">VLOOKUP(A588,Calculation!$E$6:$J$1004,4,FALSE)</f>
        <v/>
      </c>
      <c r="C588" s="4" t="str">
        <f ca="1">VLOOKUP(A588,Calculation!$E$6:$J$1004,5,FALSE)</f>
        <v/>
      </c>
      <c r="D588" s="4" t="str">
        <f ca="1">VLOOKUP(A588,Calculation!$E$6:$J$1004,6,FALSE)</f>
        <v/>
      </c>
      <c r="E588" s="42" t="str">
        <f t="shared" ca="1" si="4"/>
        <v/>
      </c>
      <c r="G588" s="29" t="str">
        <f ca="1">VLOOKUP(A588,Calculation!$F$6:$J$1004,3,FALSE)</f>
        <v/>
      </c>
      <c r="H588" s="4" t="str">
        <f ca="1">VLOOKUP(A588,Calculation!$F$6:$J$1004,4,FALSE)</f>
        <v/>
      </c>
      <c r="I588" s="4" t="str">
        <f ca="1">VLOOKUP(A588,Calculation!$F$6:$J$1004,5,FALSE)</f>
        <v/>
      </c>
      <c r="J588" s="43" t="str">
        <f t="shared" ca="1" si="5"/>
        <v/>
      </c>
      <c r="L588" s="29" t="str">
        <f ca="1">VLOOKUP(A588,Calculation!$G$6:$S$1004,2,FALSE)</f>
        <v/>
      </c>
      <c r="M588" s="4" t="str">
        <f ca="1">IFERROR(VLOOKUP($L588,Calculation!$H$6:$S$1005,HLOOKUP(M$2,Calculation!$M$4:$S$5,2,FALSE)+5,FALSE),"")</f>
        <v/>
      </c>
      <c r="N588" s="4" t="str">
        <f ca="1">IFERROR(VLOOKUP($L588,Calculation!$H$6:$S$1005,HLOOKUP(N$2,Calculation!$M$4:$S$5,2,FALSE)+5,FALSE),"")</f>
        <v/>
      </c>
      <c r="O588" s="4" t="str">
        <f ca="1">IFERROR(VLOOKUP($L588,Calculation!$H$6:$S$1005,HLOOKUP(O$2,Calculation!$M$4:$S$5,2,FALSE)+5,FALSE),"")</f>
        <v/>
      </c>
      <c r="P588" s="4" t="str">
        <f ca="1">IFERROR(VLOOKUP($L588,Calculation!$H$6:$S$1005,HLOOKUP(P$2,Calculation!$M$4:$S$5,2,FALSE)+5,FALSE),"")</f>
        <v/>
      </c>
      <c r="Q588" s="4" t="str">
        <f ca="1">IFERROR(VLOOKUP($L588,Calculation!$H$6:$S$1005,HLOOKUP(Q$2,Calculation!$M$4:$S$5,2,FALSE)+5,FALSE),"")</f>
        <v/>
      </c>
      <c r="R588" s="27" t="str">
        <f ca="1">IFERROR(VLOOKUP($L588,Calculation!$H$6:$S$1005,HLOOKUP(R$2,Calculation!$M$4:$S$5,2,FALSE)+5,FALSE),"")</f>
        <v/>
      </c>
      <c r="S588" s="4" t="str">
        <f ca="1">IFERROR(VLOOKUP($L588,Calculation!$H$6:$S$1005,HLOOKUP(S$2,Calculation!$M$4:$S$5,2,FALSE)+5,FALSE),"")</f>
        <v/>
      </c>
      <c r="T588" s="29"/>
      <c r="U588" s="43" t="str">
        <f>IFERROR(VLOOKUP(T588,Calculation!$U$6:$V$11,2,FALSE),"")</f>
        <v/>
      </c>
    </row>
    <row r="589" spans="1:21" ht="14.25" customHeight="1" x14ac:dyDescent="0.3">
      <c r="A589" s="26" t="str">
        <f ca="1">IF(Calculation!T592&lt;=Calculation!$H$4,Calculation!T592,"")</f>
        <v/>
      </c>
      <c r="B589" s="4" t="str">
        <f ca="1">VLOOKUP(A589,Calculation!$E$6:$J$1004,4,FALSE)</f>
        <v/>
      </c>
      <c r="C589" s="4" t="str">
        <f ca="1">VLOOKUP(A589,Calculation!$E$6:$J$1004,5,FALSE)</f>
        <v/>
      </c>
      <c r="D589" s="4" t="str">
        <f ca="1">VLOOKUP(A589,Calculation!$E$6:$J$1004,6,FALSE)</f>
        <v/>
      </c>
      <c r="E589" s="42" t="str">
        <f t="shared" ca="1" si="4"/>
        <v/>
      </c>
      <c r="G589" s="29" t="str">
        <f ca="1">VLOOKUP(A589,Calculation!$F$6:$J$1004,3,FALSE)</f>
        <v/>
      </c>
      <c r="H589" s="4" t="str">
        <f ca="1">VLOOKUP(A589,Calculation!$F$6:$J$1004,4,FALSE)</f>
        <v/>
      </c>
      <c r="I589" s="4" t="str">
        <f ca="1">VLOOKUP(A589,Calculation!$F$6:$J$1004,5,FALSE)</f>
        <v/>
      </c>
      <c r="J589" s="43" t="str">
        <f t="shared" ca="1" si="5"/>
        <v/>
      </c>
      <c r="L589" s="29" t="str">
        <f ca="1">VLOOKUP(A589,Calculation!$G$6:$S$1004,2,FALSE)</f>
        <v/>
      </c>
      <c r="M589" s="4" t="str">
        <f ca="1">IFERROR(VLOOKUP($L589,Calculation!$H$6:$S$1005,HLOOKUP(M$2,Calculation!$M$4:$S$5,2,FALSE)+5,FALSE),"")</f>
        <v/>
      </c>
      <c r="N589" s="4" t="str">
        <f ca="1">IFERROR(VLOOKUP($L589,Calculation!$H$6:$S$1005,HLOOKUP(N$2,Calculation!$M$4:$S$5,2,FALSE)+5,FALSE),"")</f>
        <v/>
      </c>
      <c r="O589" s="4" t="str">
        <f ca="1">IFERROR(VLOOKUP($L589,Calculation!$H$6:$S$1005,HLOOKUP(O$2,Calculation!$M$4:$S$5,2,FALSE)+5,FALSE),"")</f>
        <v/>
      </c>
      <c r="P589" s="4" t="str">
        <f ca="1">IFERROR(VLOOKUP($L589,Calculation!$H$6:$S$1005,HLOOKUP(P$2,Calculation!$M$4:$S$5,2,FALSE)+5,FALSE),"")</f>
        <v/>
      </c>
      <c r="Q589" s="4" t="str">
        <f ca="1">IFERROR(VLOOKUP($L589,Calculation!$H$6:$S$1005,HLOOKUP(Q$2,Calculation!$M$4:$S$5,2,FALSE)+5,FALSE),"")</f>
        <v/>
      </c>
      <c r="R589" s="27" t="str">
        <f ca="1">IFERROR(VLOOKUP($L589,Calculation!$H$6:$S$1005,HLOOKUP(R$2,Calculation!$M$4:$S$5,2,FALSE)+5,FALSE),"")</f>
        <v/>
      </c>
      <c r="S589" s="4" t="str">
        <f ca="1">IFERROR(VLOOKUP($L589,Calculation!$H$6:$S$1005,HLOOKUP(S$2,Calculation!$M$4:$S$5,2,FALSE)+5,FALSE),"")</f>
        <v/>
      </c>
      <c r="T589" s="29"/>
      <c r="U589" s="43" t="str">
        <f>IFERROR(VLOOKUP(T589,Calculation!$U$6:$V$11,2,FALSE),"")</f>
        <v/>
      </c>
    </row>
    <row r="590" spans="1:21" ht="14.25" customHeight="1" x14ac:dyDescent="0.3">
      <c r="A590" s="26" t="str">
        <f ca="1">IF(Calculation!T593&lt;=Calculation!$H$4,Calculation!T593,"")</f>
        <v/>
      </c>
      <c r="B590" s="4" t="str">
        <f ca="1">VLOOKUP(A590,Calculation!$E$6:$J$1004,4,FALSE)</f>
        <v/>
      </c>
      <c r="C590" s="4" t="str">
        <f ca="1">VLOOKUP(A590,Calculation!$E$6:$J$1004,5,FALSE)</f>
        <v/>
      </c>
      <c r="D590" s="4" t="str">
        <f ca="1">VLOOKUP(A590,Calculation!$E$6:$J$1004,6,FALSE)</f>
        <v/>
      </c>
      <c r="E590" s="42" t="str">
        <f t="shared" ca="1" si="4"/>
        <v/>
      </c>
      <c r="G590" s="29" t="str">
        <f ca="1">VLOOKUP(A590,Calculation!$F$6:$J$1004,3,FALSE)</f>
        <v/>
      </c>
      <c r="H590" s="4" t="str">
        <f ca="1">VLOOKUP(A590,Calculation!$F$6:$J$1004,4,FALSE)</f>
        <v/>
      </c>
      <c r="I590" s="4" t="str">
        <f ca="1">VLOOKUP(A590,Calculation!$F$6:$J$1004,5,FALSE)</f>
        <v/>
      </c>
      <c r="J590" s="43" t="str">
        <f t="shared" ca="1" si="5"/>
        <v/>
      </c>
      <c r="L590" s="29" t="str">
        <f ca="1">VLOOKUP(A590,Calculation!$G$6:$S$1004,2,FALSE)</f>
        <v/>
      </c>
      <c r="M590" s="4" t="str">
        <f ca="1">IFERROR(VLOOKUP($L590,Calculation!$H$6:$S$1005,HLOOKUP(M$2,Calculation!$M$4:$S$5,2,FALSE)+5,FALSE),"")</f>
        <v/>
      </c>
      <c r="N590" s="4" t="str">
        <f ca="1">IFERROR(VLOOKUP($L590,Calculation!$H$6:$S$1005,HLOOKUP(N$2,Calculation!$M$4:$S$5,2,FALSE)+5,FALSE),"")</f>
        <v/>
      </c>
      <c r="O590" s="4" t="str">
        <f ca="1">IFERROR(VLOOKUP($L590,Calculation!$H$6:$S$1005,HLOOKUP(O$2,Calculation!$M$4:$S$5,2,FALSE)+5,FALSE),"")</f>
        <v/>
      </c>
      <c r="P590" s="4" t="str">
        <f ca="1">IFERROR(VLOOKUP($L590,Calculation!$H$6:$S$1005,HLOOKUP(P$2,Calculation!$M$4:$S$5,2,FALSE)+5,FALSE),"")</f>
        <v/>
      </c>
      <c r="Q590" s="4" t="str">
        <f ca="1">IFERROR(VLOOKUP($L590,Calculation!$H$6:$S$1005,HLOOKUP(Q$2,Calculation!$M$4:$S$5,2,FALSE)+5,FALSE),"")</f>
        <v/>
      </c>
      <c r="R590" s="27" t="str">
        <f ca="1">IFERROR(VLOOKUP($L590,Calculation!$H$6:$S$1005,HLOOKUP(R$2,Calculation!$M$4:$S$5,2,FALSE)+5,FALSE),"")</f>
        <v/>
      </c>
      <c r="S590" s="4" t="str">
        <f ca="1">IFERROR(VLOOKUP($L590,Calculation!$H$6:$S$1005,HLOOKUP(S$2,Calculation!$M$4:$S$5,2,FALSE)+5,FALSE),"")</f>
        <v/>
      </c>
      <c r="T590" s="29"/>
      <c r="U590" s="43" t="str">
        <f>IFERROR(VLOOKUP(T590,Calculation!$U$6:$V$11,2,FALSE),"")</f>
        <v/>
      </c>
    </row>
    <row r="591" spans="1:21" ht="14.25" customHeight="1" x14ac:dyDescent="0.3">
      <c r="A591" s="26" t="str">
        <f ca="1">IF(Calculation!T594&lt;=Calculation!$H$4,Calculation!T594,"")</f>
        <v/>
      </c>
      <c r="B591" s="4" t="str">
        <f ca="1">VLOOKUP(A591,Calculation!$E$6:$J$1004,4,FALSE)</f>
        <v/>
      </c>
      <c r="C591" s="4" t="str">
        <f ca="1">VLOOKUP(A591,Calculation!$E$6:$J$1004,5,FALSE)</f>
        <v/>
      </c>
      <c r="D591" s="4" t="str">
        <f ca="1">VLOOKUP(A591,Calculation!$E$6:$J$1004,6,FALSE)</f>
        <v/>
      </c>
      <c r="E591" s="42" t="str">
        <f t="shared" ca="1" si="4"/>
        <v/>
      </c>
      <c r="G591" s="29" t="str">
        <f ca="1">VLOOKUP(A591,Calculation!$F$6:$J$1004,3,FALSE)</f>
        <v/>
      </c>
      <c r="H591" s="4" t="str">
        <f ca="1">VLOOKUP(A591,Calculation!$F$6:$J$1004,4,FALSE)</f>
        <v/>
      </c>
      <c r="I591" s="4" t="str">
        <f ca="1">VLOOKUP(A591,Calculation!$F$6:$J$1004,5,FALSE)</f>
        <v/>
      </c>
      <c r="J591" s="43" t="str">
        <f t="shared" ca="1" si="5"/>
        <v/>
      </c>
      <c r="L591" s="29" t="str">
        <f ca="1">VLOOKUP(A591,Calculation!$G$6:$S$1004,2,FALSE)</f>
        <v/>
      </c>
      <c r="M591" s="4" t="str">
        <f ca="1">IFERROR(VLOOKUP($L591,Calculation!$H$6:$S$1005,HLOOKUP(M$2,Calculation!$M$4:$S$5,2,FALSE)+5,FALSE),"")</f>
        <v/>
      </c>
      <c r="N591" s="4" t="str">
        <f ca="1">IFERROR(VLOOKUP($L591,Calculation!$H$6:$S$1005,HLOOKUP(N$2,Calculation!$M$4:$S$5,2,FALSE)+5,FALSE),"")</f>
        <v/>
      </c>
      <c r="O591" s="4" t="str">
        <f ca="1">IFERROR(VLOOKUP($L591,Calculation!$H$6:$S$1005,HLOOKUP(O$2,Calculation!$M$4:$S$5,2,FALSE)+5,FALSE),"")</f>
        <v/>
      </c>
      <c r="P591" s="4" t="str">
        <f ca="1">IFERROR(VLOOKUP($L591,Calculation!$H$6:$S$1005,HLOOKUP(P$2,Calculation!$M$4:$S$5,2,FALSE)+5,FALSE),"")</f>
        <v/>
      </c>
      <c r="Q591" s="4" t="str">
        <f ca="1">IFERROR(VLOOKUP($L591,Calculation!$H$6:$S$1005,HLOOKUP(Q$2,Calculation!$M$4:$S$5,2,FALSE)+5,FALSE),"")</f>
        <v/>
      </c>
      <c r="R591" s="27" t="str">
        <f ca="1">IFERROR(VLOOKUP($L591,Calculation!$H$6:$S$1005,HLOOKUP(R$2,Calculation!$M$4:$S$5,2,FALSE)+5,FALSE),"")</f>
        <v/>
      </c>
      <c r="S591" s="4" t="str">
        <f ca="1">IFERROR(VLOOKUP($L591,Calculation!$H$6:$S$1005,HLOOKUP(S$2,Calculation!$M$4:$S$5,2,FALSE)+5,FALSE),"")</f>
        <v/>
      </c>
      <c r="T591" s="29"/>
      <c r="U591" s="43" t="str">
        <f>IFERROR(VLOOKUP(T591,Calculation!$U$6:$V$11,2,FALSE),"")</f>
        <v/>
      </c>
    </row>
    <row r="592" spans="1:21" ht="14.25" customHeight="1" x14ac:dyDescent="0.3">
      <c r="A592" s="26" t="str">
        <f ca="1">IF(Calculation!T595&lt;=Calculation!$H$4,Calculation!T595,"")</f>
        <v/>
      </c>
      <c r="B592" s="4" t="str">
        <f ca="1">VLOOKUP(A592,Calculation!$E$6:$J$1004,4,FALSE)</f>
        <v/>
      </c>
      <c r="C592" s="4" t="str">
        <f ca="1">VLOOKUP(A592,Calculation!$E$6:$J$1004,5,FALSE)</f>
        <v/>
      </c>
      <c r="D592" s="4" t="str">
        <f ca="1">VLOOKUP(A592,Calculation!$E$6:$J$1004,6,FALSE)</f>
        <v/>
      </c>
      <c r="E592" s="42" t="str">
        <f t="shared" ca="1" si="4"/>
        <v/>
      </c>
      <c r="G592" s="29" t="str">
        <f ca="1">VLOOKUP(A592,Calculation!$F$6:$J$1004,3,FALSE)</f>
        <v/>
      </c>
      <c r="H592" s="4" t="str">
        <f ca="1">VLOOKUP(A592,Calculation!$F$6:$J$1004,4,FALSE)</f>
        <v/>
      </c>
      <c r="I592" s="4" t="str">
        <f ca="1">VLOOKUP(A592,Calculation!$F$6:$J$1004,5,FALSE)</f>
        <v/>
      </c>
      <c r="J592" s="43" t="str">
        <f t="shared" ca="1" si="5"/>
        <v/>
      </c>
      <c r="L592" s="29" t="str">
        <f ca="1">VLOOKUP(A592,Calculation!$G$6:$S$1004,2,FALSE)</f>
        <v/>
      </c>
      <c r="M592" s="4" t="str">
        <f ca="1">IFERROR(VLOOKUP($L592,Calculation!$H$6:$S$1005,HLOOKUP(M$2,Calculation!$M$4:$S$5,2,FALSE)+5,FALSE),"")</f>
        <v/>
      </c>
      <c r="N592" s="4" t="str">
        <f ca="1">IFERROR(VLOOKUP($L592,Calculation!$H$6:$S$1005,HLOOKUP(N$2,Calculation!$M$4:$S$5,2,FALSE)+5,FALSE),"")</f>
        <v/>
      </c>
      <c r="O592" s="4" t="str">
        <f ca="1">IFERROR(VLOOKUP($L592,Calculation!$H$6:$S$1005,HLOOKUP(O$2,Calculation!$M$4:$S$5,2,FALSE)+5,FALSE),"")</f>
        <v/>
      </c>
      <c r="P592" s="4" t="str">
        <f ca="1">IFERROR(VLOOKUP($L592,Calculation!$H$6:$S$1005,HLOOKUP(P$2,Calculation!$M$4:$S$5,2,FALSE)+5,FALSE),"")</f>
        <v/>
      </c>
      <c r="Q592" s="4" t="str">
        <f ca="1">IFERROR(VLOOKUP($L592,Calculation!$H$6:$S$1005,HLOOKUP(Q$2,Calculation!$M$4:$S$5,2,FALSE)+5,FALSE),"")</f>
        <v/>
      </c>
      <c r="R592" s="27" t="str">
        <f ca="1">IFERROR(VLOOKUP($L592,Calculation!$H$6:$S$1005,HLOOKUP(R$2,Calculation!$M$4:$S$5,2,FALSE)+5,FALSE),"")</f>
        <v/>
      </c>
      <c r="S592" s="4" t="str">
        <f ca="1">IFERROR(VLOOKUP($L592,Calculation!$H$6:$S$1005,HLOOKUP(S$2,Calculation!$M$4:$S$5,2,FALSE)+5,FALSE),"")</f>
        <v/>
      </c>
      <c r="T592" s="29"/>
      <c r="U592" s="43" t="str">
        <f>IFERROR(VLOOKUP(T592,Calculation!$U$6:$V$11,2,FALSE),"")</f>
        <v/>
      </c>
    </row>
    <row r="593" spans="1:21" ht="14.25" customHeight="1" x14ac:dyDescent="0.3">
      <c r="A593" s="26" t="str">
        <f ca="1">IF(Calculation!T596&lt;=Calculation!$H$4,Calculation!T596,"")</f>
        <v/>
      </c>
      <c r="B593" s="4" t="str">
        <f ca="1">VLOOKUP(A593,Calculation!$E$6:$J$1004,4,FALSE)</f>
        <v/>
      </c>
      <c r="C593" s="4" t="str">
        <f ca="1">VLOOKUP(A593,Calculation!$E$6:$J$1004,5,FALSE)</f>
        <v/>
      </c>
      <c r="D593" s="4" t="str">
        <f ca="1">VLOOKUP(A593,Calculation!$E$6:$J$1004,6,FALSE)</f>
        <v/>
      </c>
      <c r="E593" s="42" t="str">
        <f t="shared" ca="1" si="4"/>
        <v/>
      </c>
      <c r="G593" s="29" t="str">
        <f ca="1">VLOOKUP(A593,Calculation!$F$6:$J$1004,3,FALSE)</f>
        <v/>
      </c>
      <c r="H593" s="4" t="str">
        <f ca="1">VLOOKUP(A593,Calculation!$F$6:$J$1004,4,FALSE)</f>
        <v/>
      </c>
      <c r="I593" s="4" t="str">
        <f ca="1">VLOOKUP(A593,Calculation!$F$6:$J$1004,5,FALSE)</f>
        <v/>
      </c>
      <c r="J593" s="43" t="str">
        <f t="shared" ca="1" si="5"/>
        <v/>
      </c>
      <c r="L593" s="29" t="str">
        <f ca="1">VLOOKUP(A593,Calculation!$G$6:$S$1004,2,FALSE)</f>
        <v/>
      </c>
      <c r="M593" s="4" t="str">
        <f ca="1">IFERROR(VLOOKUP($L593,Calculation!$H$6:$S$1005,HLOOKUP(M$2,Calculation!$M$4:$S$5,2,FALSE)+5,FALSE),"")</f>
        <v/>
      </c>
      <c r="N593" s="4" t="str">
        <f ca="1">IFERROR(VLOOKUP($L593,Calculation!$H$6:$S$1005,HLOOKUP(N$2,Calculation!$M$4:$S$5,2,FALSE)+5,FALSE),"")</f>
        <v/>
      </c>
      <c r="O593" s="4" t="str">
        <f ca="1">IFERROR(VLOOKUP($L593,Calculation!$H$6:$S$1005,HLOOKUP(O$2,Calculation!$M$4:$S$5,2,FALSE)+5,FALSE),"")</f>
        <v/>
      </c>
      <c r="P593" s="4" t="str">
        <f ca="1">IFERROR(VLOOKUP($L593,Calculation!$H$6:$S$1005,HLOOKUP(P$2,Calculation!$M$4:$S$5,2,FALSE)+5,FALSE),"")</f>
        <v/>
      </c>
      <c r="Q593" s="4" t="str">
        <f ca="1">IFERROR(VLOOKUP($L593,Calculation!$H$6:$S$1005,HLOOKUP(Q$2,Calculation!$M$4:$S$5,2,FALSE)+5,FALSE),"")</f>
        <v/>
      </c>
      <c r="R593" s="27" t="str">
        <f ca="1">IFERROR(VLOOKUP($L593,Calculation!$H$6:$S$1005,HLOOKUP(R$2,Calculation!$M$4:$S$5,2,FALSE)+5,FALSE),"")</f>
        <v/>
      </c>
      <c r="S593" s="4" t="str">
        <f ca="1">IFERROR(VLOOKUP($L593,Calculation!$H$6:$S$1005,HLOOKUP(S$2,Calculation!$M$4:$S$5,2,FALSE)+5,FALSE),"")</f>
        <v/>
      </c>
      <c r="T593" s="29"/>
      <c r="U593" s="43" t="str">
        <f>IFERROR(VLOOKUP(T593,Calculation!$U$6:$V$11,2,FALSE),"")</f>
        <v/>
      </c>
    </row>
    <row r="594" spans="1:21" ht="14.25" customHeight="1" x14ac:dyDescent="0.3">
      <c r="A594" s="26" t="str">
        <f ca="1">IF(Calculation!T597&lt;=Calculation!$H$4,Calculation!T597,"")</f>
        <v/>
      </c>
      <c r="B594" s="4" t="str">
        <f ca="1">VLOOKUP(A594,Calculation!$E$6:$J$1004,4,FALSE)</f>
        <v/>
      </c>
      <c r="C594" s="4" t="str">
        <f ca="1">VLOOKUP(A594,Calculation!$E$6:$J$1004,5,FALSE)</f>
        <v/>
      </c>
      <c r="D594" s="4" t="str">
        <f ca="1">VLOOKUP(A594,Calculation!$E$6:$J$1004,6,FALSE)</f>
        <v/>
      </c>
      <c r="E594" s="42" t="str">
        <f t="shared" ca="1" si="4"/>
        <v/>
      </c>
      <c r="G594" s="29" t="str">
        <f ca="1">VLOOKUP(A594,Calculation!$F$6:$J$1004,3,FALSE)</f>
        <v/>
      </c>
      <c r="H594" s="4" t="str">
        <f ca="1">VLOOKUP(A594,Calculation!$F$6:$J$1004,4,FALSE)</f>
        <v/>
      </c>
      <c r="I594" s="4" t="str">
        <f ca="1">VLOOKUP(A594,Calculation!$F$6:$J$1004,5,FALSE)</f>
        <v/>
      </c>
      <c r="J594" s="43" t="str">
        <f t="shared" ca="1" si="5"/>
        <v/>
      </c>
      <c r="L594" s="29" t="str">
        <f ca="1">VLOOKUP(A594,Calculation!$G$6:$S$1004,2,FALSE)</f>
        <v/>
      </c>
      <c r="M594" s="4" t="str">
        <f ca="1">IFERROR(VLOOKUP($L594,Calculation!$H$6:$S$1005,HLOOKUP(M$2,Calculation!$M$4:$S$5,2,FALSE)+5,FALSE),"")</f>
        <v/>
      </c>
      <c r="N594" s="4" t="str">
        <f ca="1">IFERROR(VLOOKUP($L594,Calculation!$H$6:$S$1005,HLOOKUP(N$2,Calculation!$M$4:$S$5,2,FALSE)+5,FALSE),"")</f>
        <v/>
      </c>
      <c r="O594" s="4" t="str">
        <f ca="1">IFERROR(VLOOKUP($L594,Calculation!$H$6:$S$1005,HLOOKUP(O$2,Calculation!$M$4:$S$5,2,FALSE)+5,FALSE),"")</f>
        <v/>
      </c>
      <c r="P594" s="4" t="str">
        <f ca="1">IFERROR(VLOOKUP($L594,Calculation!$H$6:$S$1005,HLOOKUP(P$2,Calculation!$M$4:$S$5,2,FALSE)+5,FALSE),"")</f>
        <v/>
      </c>
      <c r="Q594" s="4" t="str">
        <f ca="1">IFERROR(VLOOKUP($L594,Calculation!$H$6:$S$1005,HLOOKUP(Q$2,Calculation!$M$4:$S$5,2,FALSE)+5,FALSE),"")</f>
        <v/>
      </c>
      <c r="R594" s="27" t="str">
        <f ca="1">IFERROR(VLOOKUP($L594,Calculation!$H$6:$S$1005,HLOOKUP(R$2,Calculation!$M$4:$S$5,2,FALSE)+5,FALSE),"")</f>
        <v/>
      </c>
      <c r="S594" s="4" t="str">
        <f ca="1">IFERROR(VLOOKUP($L594,Calculation!$H$6:$S$1005,HLOOKUP(S$2,Calculation!$M$4:$S$5,2,FALSE)+5,FALSE),"")</f>
        <v/>
      </c>
      <c r="T594" s="29"/>
      <c r="U594" s="43" t="str">
        <f>IFERROR(VLOOKUP(T594,Calculation!$U$6:$V$11,2,FALSE),"")</f>
        <v/>
      </c>
    </row>
    <row r="595" spans="1:21" ht="14.25" customHeight="1" x14ac:dyDescent="0.3">
      <c r="A595" s="26" t="str">
        <f ca="1">IF(Calculation!T598&lt;=Calculation!$H$4,Calculation!T598,"")</f>
        <v/>
      </c>
      <c r="B595" s="4" t="str">
        <f ca="1">VLOOKUP(A595,Calculation!$E$6:$J$1004,4,FALSE)</f>
        <v/>
      </c>
      <c r="C595" s="4" t="str">
        <f ca="1">VLOOKUP(A595,Calculation!$E$6:$J$1004,5,FALSE)</f>
        <v/>
      </c>
      <c r="D595" s="4" t="str">
        <f ca="1">VLOOKUP(A595,Calculation!$E$6:$J$1004,6,FALSE)</f>
        <v/>
      </c>
      <c r="E595" s="42" t="str">
        <f t="shared" ca="1" si="4"/>
        <v/>
      </c>
      <c r="G595" s="29" t="str">
        <f ca="1">VLOOKUP(A595,Calculation!$F$6:$J$1004,3,FALSE)</f>
        <v/>
      </c>
      <c r="H595" s="4" t="str">
        <f ca="1">VLOOKUP(A595,Calculation!$F$6:$J$1004,4,FALSE)</f>
        <v/>
      </c>
      <c r="I595" s="4" t="str">
        <f ca="1">VLOOKUP(A595,Calculation!$F$6:$J$1004,5,FALSE)</f>
        <v/>
      </c>
      <c r="J595" s="43" t="str">
        <f t="shared" ca="1" si="5"/>
        <v/>
      </c>
      <c r="L595" s="29" t="str">
        <f ca="1">VLOOKUP(A595,Calculation!$G$6:$S$1004,2,FALSE)</f>
        <v/>
      </c>
      <c r="M595" s="4" t="str">
        <f ca="1">IFERROR(VLOOKUP($L595,Calculation!$H$6:$S$1005,HLOOKUP(M$2,Calculation!$M$4:$S$5,2,FALSE)+5,FALSE),"")</f>
        <v/>
      </c>
      <c r="N595" s="4" t="str">
        <f ca="1">IFERROR(VLOOKUP($L595,Calculation!$H$6:$S$1005,HLOOKUP(N$2,Calculation!$M$4:$S$5,2,FALSE)+5,FALSE),"")</f>
        <v/>
      </c>
      <c r="O595" s="4" t="str">
        <f ca="1">IFERROR(VLOOKUP($L595,Calculation!$H$6:$S$1005,HLOOKUP(O$2,Calculation!$M$4:$S$5,2,FALSE)+5,FALSE),"")</f>
        <v/>
      </c>
      <c r="P595" s="4" t="str">
        <f ca="1">IFERROR(VLOOKUP($L595,Calculation!$H$6:$S$1005,HLOOKUP(P$2,Calculation!$M$4:$S$5,2,FALSE)+5,FALSE),"")</f>
        <v/>
      </c>
      <c r="Q595" s="4" t="str">
        <f ca="1">IFERROR(VLOOKUP($L595,Calculation!$H$6:$S$1005,HLOOKUP(Q$2,Calculation!$M$4:$S$5,2,FALSE)+5,FALSE),"")</f>
        <v/>
      </c>
      <c r="R595" s="27" t="str">
        <f ca="1">IFERROR(VLOOKUP($L595,Calculation!$H$6:$S$1005,HLOOKUP(R$2,Calculation!$M$4:$S$5,2,FALSE)+5,FALSE),"")</f>
        <v/>
      </c>
      <c r="S595" s="4" t="str">
        <f ca="1">IFERROR(VLOOKUP($L595,Calculation!$H$6:$S$1005,HLOOKUP(S$2,Calculation!$M$4:$S$5,2,FALSE)+5,FALSE),"")</f>
        <v/>
      </c>
      <c r="T595" s="29"/>
      <c r="U595" s="43" t="str">
        <f>IFERROR(VLOOKUP(T595,Calculation!$U$6:$V$11,2,FALSE),"")</f>
        <v/>
      </c>
    </row>
    <row r="596" spans="1:21" ht="14.25" customHeight="1" x14ac:dyDescent="0.3">
      <c r="A596" s="26" t="str">
        <f ca="1">IF(Calculation!T599&lt;=Calculation!$H$4,Calculation!T599,"")</f>
        <v/>
      </c>
      <c r="B596" s="4" t="str">
        <f ca="1">VLOOKUP(A596,Calculation!$E$6:$J$1004,4,FALSE)</f>
        <v/>
      </c>
      <c r="C596" s="4" t="str">
        <f ca="1">VLOOKUP(A596,Calculation!$E$6:$J$1004,5,FALSE)</f>
        <v/>
      </c>
      <c r="D596" s="4" t="str">
        <f ca="1">VLOOKUP(A596,Calculation!$E$6:$J$1004,6,FALSE)</f>
        <v/>
      </c>
      <c r="E596" s="42" t="str">
        <f t="shared" ca="1" si="4"/>
        <v/>
      </c>
      <c r="G596" s="29" t="str">
        <f ca="1">VLOOKUP(A596,Calculation!$F$6:$J$1004,3,FALSE)</f>
        <v/>
      </c>
      <c r="H596" s="4" t="str">
        <f ca="1">VLOOKUP(A596,Calculation!$F$6:$J$1004,4,FALSE)</f>
        <v/>
      </c>
      <c r="I596" s="4" t="str">
        <f ca="1">VLOOKUP(A596,Calculation!$F$6:$J$1004,5,FALSE)</f>
        <v/>
      </c>
      <c r="J596" s="43" t="str">
        <f t="shared" ca="1" si="5"/>
        <v/>
      </c>
      <c r="L596" s="29" t="str">
        <f ca="1">VLOOKUP(A596,Calculation!$G$6:$S$1004,2,FALSE)</f>
        <v/>
      </c>
      <c r="M596" s="4" t="str">
        <f ca="1">IFERROR(VLOOKUP($L596,Calculation!$H$6:$S$1005,HLOOKUP(M$2,Calculation!$M$4:$S$5,2,FALSE)+5,FALSE),"")</f>
        <v/>
      </c>
      <c r="N596" s="4" t="str">
        <f ca="1">IFERROR(VLOOKUP($L596,Calculation!$H$6:$S$1005,HLOOKUP(N$2,Calculation!$M$4:$S$5,2,FALSE)+5,FALSE),"")</f>
        <v/>
      </c>
      <c r="O596" s="4" t="str">
        <f ca="1">IFERROR(VLOOKUP($L596,Calculation!$H$6:$S$1005,HLOOKUP(O$2,Calculation!$M$4:$S$5,2,FALSE)+5,FALSE),"")</f>
        <v/>
      </c>
      <c r="P596" s="4" t="str">
        <f ca="1">IFERROR(VLOOKUP($L596,Calculation!$H$6:$S$1005,HLOOKUP(P$2,Calculation!$M$4:$S$5,2,FALSE)+5,FALSE),"")</f>
        <v/>
      </c>
      <c r="Q596" s="4" t="str">
        <f ca="1">IFERROR(VLOOKUP($L596,Calculation!$H$6:$S$1005,HLOOKUP(Q$2,Calculation!$M$4:$S$5,2,FALSE)+5,FALSE),"")</f>
        <v/>
      </c>
      <c r="R596" s="27" t="str">
        <f ca="1">IFERROR(VLOOKUP($L596,Calculation!$H$6:$S$1005,HLOOKUP(R$2,Calculation!$M$4:$S$5,2,FALSE)+5,FALSE),"")</f>
        <v/>
      </c>
      <c r="S596" s="4" t="str">
        <f ca="1">IFERROR(VLOOKUP($L596,Calculation!$H$6:$S$1005,HLOOKUP(S$2,Calculation!$M$4:$S$5,2,FALSE)+5,FALSE),"")</f>
        <v/>
      </c>
      <c r="T596" s="29"/>
      <c r="U596" s="43" t="str">
        <f>IFERROR(VLOOKUP(T596,Calculation!$U$6:$V$11,2,FALSE),"")</f>
        <v/>
      </c>
    </row>
    <row r="597" spans="1:21" ht="14.25" customHeight="1" x14ac:dyDescent="0.3">
      <c r="A597" s="26" t="str">
        <f ca="1">IF(Calculation!T600&lt;=Calculation!$H$4,Calculation!T600,"")</f>
        <v/>
      </c>
      <c r="B597" s="4" t="str">
        <f ca="1">VLOOKUP(A597,Calculation!$E$6:$J$1004,4,FALSE)</f>
        <v/>
      </c>
      <c r="C597" s="4" t="str">
        <f ca="1">VLOOKUP(A597,Calculation!$E$6:$J$1004,5,FALSE)</f>
        <v/>
      </c>
      <c r="D597" s="4" t="str">
        <f ca="1">VLOOKUP(A597,Calculation!$E$6:$J$1004,6,FALSE)</f>
        <v/>
      </c>
      <c r="E597" s="42" t="str">
        <f t="shared" ca="1" si="4"/>
        <v/>
      </c>
      <c r="G597" s="29" t="str">
        <f ca="1">VLOOKUP(A597,Calculation!$F$6:$J$1004,3,FALSE)</f>
        <v/>
      </c>
      <c r="H597" s="4" t="str">
        <f ca="1">VLOOKUP(A597,Calculation!$F$6:$J$1004,4,FALSE)</f>
        <v/>
      </c>
      <c r="I597" s="4" t="str">
        <f ca="1">VLOOKUP(A597,Calculation!$F$6:$J$1004,5,FALSE)</f>
        <v/>
      </c>
      <c r="J597" s="43" t="str">
        <f t="shared" ca="1" si="5"/>
        <v/>
      </c>
      <c r="L597" s="29" t="str">
        <f ca="1">VLOOKUP(A597,Calculation!$G$6:$S$1004,2,FALSE)</f>
        <v/>
      </c>
      <c r="M597" s="4" t="str">
        <f ca="1">IFERROR(VLOOKUP($L597,Calculation!$H$6:$S$1005,HLOOKUP(M$2,Calculation!$M$4:$S$5,2,FALSE)+5,FALSE),"")</f>
        <v/>
      </c>
      <c r="N597" s="4" t="str">
        <f ca="1">IFERROR(VLOOKUP($L597,Calculation!$H$6:$S$1005,HLOOKUP(N$2,Calculation!$M$4:$S$5,2,FALSE)+5,FALSE),"")</f>
        <v/>
      </c>
      <c r="O597" s="4" t="str">
        <f ca="1">IFERROR(VLOOKUP($L597,Calculation!$H$6:$S$1005,HLOOKUP(O$2,Calculation!$M$4:$S$5,2,FALSE)+5,FALSE),"")</f>
        <v/>
      </c>
      <c r="P597" s="4" t="str">
        <f ca="1">IFERROR(VLOOKUP($L597,Calculation!$H$6:$S$1005,HLOOKUP(P$2,Calculation!$M$4:$S$5,2,FALSE)+5,FALSE),"")</f>
        <v/>
      </c>
      <c r="Q597" s="4" t="str">
        <f ca="1">IFERROR(VLOOKUP($L597,Calculation!$H$6:$S$1005,HLOOKUP(Q$2,Calculation!$M$4:$S$5,2,FALSE)+5,FALSE),"")</f>
        <v/>
      </c>
      <c r="R597" s="27" t="str">
        <f ca="1">IFERROR(VLOOKUP($L597,Calculation!$H$6:$S$1005,HLOOKUP(R$2,Calculation!$M$4:$S$5,2,FALSE)+5,FALSE),"")</f>
        <v/>
      </c>
      <c r="S597" s="4" t="str">
        <f ca="1">IFERROR(VLOOKUP($L597,Calculation!$H$6:$S$1005,HLOOKUP(S$2,Calculation!$M$4:$S$5,2,FALSE)+5,FALSE),"")</f>
        <v/>
      </c>
      <c r="T597" s="29"/>
      <c r="U597" s="43" t="str">
        <f>IFERROR(VLOOKUP(T597,Calculation!$U$6:$V$11,2,FALSE),"")</f>
        <v/>
      </c>
    </row>
    <row r="598" spans="1:21" ht="14.25" customHeight="1" x14ac:dyDescent="0.3">
      <c r="A598" s="26" t="str">
        <f ca="1">IF(Calculation!T601&lt;=Calculation!$H$4,Calculation!T601,"")</f>
        <v/>
      </c>
      <c r="B598" s="4" t="str">
        <f ca="1">VLOOKUP(A598,Calculation!$E$6:$J$1004,4,FALSE)</f>
        <v/>
      </c>
      <c r="C598" s="4" t="str">
        <f ca="1">VLOOKUP(A598,Calculation!$E$6:$J$1004,5,FALSE)</f>
        <v/>
      </c>
      <c r="D598" s="4" t="str">
        <f ca="1">VLOOKUP(A598,Calculation!$E$6:$J$1004,6,FALSE)</f>
        <v/>
      </c>
      <c r="E598" s="42" t="str">
        <f t="shared" ca="1" si="4"/>
        <v/>
      </c>
      <c r="G598" s="29" t="str">
        <f ca="1">VLOOKUP(A598,Calculation!$F$6:$J$1004,3,FALSE)</f>
        <v/>
      </c>
      <c r="H598" s="4" t="str">
        <f ca="1">VLOOKUP(A598,Calculation!$F$6:$J$1004,4,FALSE)</f>
        <v/>
      </c>
      <c r="I598" s="4" t="str">
        <f ca="1">VLOOKUP(A598,Calculation!$F$6:$J$1004,5,FALSE)</f>
        <v/>
      </c>
      <c r="J598" s="43" t="str">
        <f t="shared" ca="1" si="5"/>
        <v/>
      </c>
      <c r="L598" s="29" t="str">
        <f ca="1">VLOOKUP(A598,Calculation!$G$6:$S$1004,2,FALSE)</f>
        <v/>
      </c>
      <c r="M598" s="4" t="str">
        <f ca="1">IFERROR(VLOOKUP($L598,Calculation!$H$6:$S$1005,HLOOKUP(M$2,Calculation!$M$4:$S$5,2,FALSE)+5,FALSE),"")</f>
        <v/>
      </c>
      <c r="N598" s="4" t="str">
        <f ca="1">IFERROR(VLOOKUP($L598,Calculation!$H$6:$S$1005,HLOOKUP(N$2,Calculation!$M$4:$S$5,2,FALSE)+5,FALSE),"")</f>
        <v/>
      </c>
      <c r="O598" s="4" t="str">
        <f ca="1">IFERROR(VLOOKUP($L598,Calculation!$H$6:$S$1005,HLOOKUP(O$2,Calculation!$M$4:$S$5,2,FALSE)+5,FALSE),"")</f>
        <v/>
      </c>
      <c r="P598" s="4" t="str">
        <f ca="1">IFERROR(VLOOKUP($L598,Calculation!$H$6:$S$1005,HLOOKUP(P$2,Calculation!$M$4:$S$5,2,FALSE)+5,FALSE),"")</f>
        <v/>
      </c>
      <c r="Q598" s="4" t="str">
        <f ca="1">IFERROR(VLOOKUP($L598,Calculation!$H$6:$S$1005,HLOOKUP(Q$2,Calculation!$M$4:$S$5,2,FALSE)+5,FALSE),"")</f>
        <v/>
      </c>
      <c r="R598" s="27" t="str">
        <f ca="1">IFERROR(VLOOKUP($L598,Calculation!$H$6:$S$1005,HLOOKUP(R$2,Calculation!$M$4:$S$5,2,FALSE)+5,FALSE),"")</f>
        <v/>
      </c>
      <c r="S598" s="4" t="str">
        <f ca="1">IFERROR(VLOOKUP($L598,Calculation!$H$6:$S$1005,HLOOKUP(S$2,Calculation!$M$4:$S$5,2,FALSE)+5,FALSE),"")</f>
        <v/>
      </c>
      <c r="T598" s="29"/>
      <c r="U598" s="43" t="str">
        <f>IFERROR(VLOOKUP(T598,Calculation!$U$6:$V$11,2,FALSE),"")</f>
        <v/>
      </c>
    </row>
    <row r="599" spans="1:21" ht="14.25" customHeight="1" x14ac:dyDescent="0.3">
      <c r="A599" s="26" t="str">
        <f ca="1">IF(Calculation!T602&lt;=Calculation!$H$4,Calculation!T602,"")</f>
        <v/>
      </c>
      <c r="B599" s="4" t="str">
        <f ca="1">VLOOKUP(A599,Calculation!$E$6:$J$1004,4,FALSE)</f>
        <v/>
      </c>
      <c r="C599" s="4" t="str">
        <f ca="1">VLOOKUP(A599,Calculation!$E$6:$J$1004,5,FALSE)</f>
        <v/>
      </c>
      <c r="D599" s="4" t="str">
        <f ca="1">VLOOKUP(A599,Calculation!$E$6:$J$1004,6,FALSE)</f>
        <v/>
      </c>
      <c r="E599" s="42" t="str">
        <f t="shared" ca="1" si="4"/>
        <v/>
      </c>
      <c r="G599" s="29" t="str">
        <f ca="1">VLOOKUP(A599,Calculation!$F$6:$J$1004,3,FALSE)</f>
        <v/>
      </c>
      <c r="H599" s="4" t="str">
        <f ca="1">VLOOKUP(A599,Calculation!$F$6:$J$1004,4,FALSE)</f>
        <v/>
      </c>
      <c r="I599" s="4" t="str">
        <f ca="1">VLOOKUP(A599,Calculation!$F$6:$J$1004,5,FALSE)</f>
        <v/>
      </c>
      <c r="J599" s="43" t="str">
        <f t="shared" ca="1" si="5"/>
        <v/>
      </c>
      <c r="L599" s="29" t="str">
        <f ca="1">VLOOKUP(A599,Calculation!$G$6:$S$1004,2,FALSE)</f>
        <v/>
      </c>
      <c r="M599" s="4" t="str">
        <f ca="1">IFERROR(VLOOKUP($L599,Calculation!$H$6:$S$1005,HLOOKUP(M$2,Calculation!$M$4:$S$5,2,FALSE)+5,FALSE),"")</f>
        <v/>
      </c>
      <c r="N599" s="4" t="str">
        <f ca="1">IFERROR(VLOOKUP($L599,Calculation!$H$6:$S$1005,HLOOKUP(N$2,Calculation!$M$4:$S$5,2,FALSE)+5,FALSE),"")</f>
        <v/>
      </c>
      <c r="O599" s="4" t="str">
        <f ca="1">IFERROR(VLOOKUP($L599,Calculation!$H$6:$S$1005,HLOOKUP(O$2,Calculation!$M$4:$S$5,2,FALSE)+5,FALSE),"")</f>
        <v/>
      </c>
      <c r="P599" s="4" t="str">
        <f ca="1">IFERROR(VLOOKUP($L599,Calculation!$H$6:$S$1005,HLOOKUP(P$2,Calculation!$M$4:$S$5,2,FALSE)+5,FALSE),"")</f>
        <v/>
      </c>
      <c r="Q599" s="4" t="str">
        <f ca="1">IFERROR(VLOOKUP($L599,Calculation!$H$6:$S$1005,HLOOKUP(Q$2,Calculation!$M$4:$S$5,2,FALSE)+5,FALSE),"")</f>
        <v/>
      </c>
      <c r="R599" s="27" t="str">
        <f ca="1">IFERROR(VLOOKUP($L599,Calculation!$H$6:$S$1005,HLOOKUP(R$2,Calculation!$M$4:$S$5,2,FALSE)+5,FALSE),"")</f>
        <v/>
      </c>
      <c r="S599" s="4" t="str">
        <f ca="1">IFERROR(VLOOKUP($L599,Calculation!$H$6:$S$1005,HLOOKUP(S$2,Calculation!$M$4:$S$5,2,FALSE)+5,FALSE),"")</f>
        <v/>
      </c>
      <c r="T599" s="29"/>
      <c r="U599" s="43" t="str">
        <f>IFERROR(VLOOKUP(T599,Calculation!$U$6:$V$11,2,FALSE),"")</f>
        <v/>
      </c>
    </row>
    <row r="600" spans="1:21" ht="14.25" customHeight="1" x14ac:dyDescent="0.3">
      <c r="A600" s="26" t="str">
        <f ca="1">IF(Calculation!T603&lt;=Calculation!$H$4,Calculation!T603,"")</f>
        <v/>
      </c>
      <c r="B600" s="4" t="str">
        <f ca="1">VLOOKUP(A600,Calculation!$E$6:$J$1004,4,FALSE)</f>
        <v/>
      </c>
      <c r="C600" s="4" t="str">
        <f ca="1">VLOOKUP(A600,Calculation!$E$6:$J$1004,5,FALSE)</f>
        <v/>
      </c>
      <c r="D600" s="4" t="str">
        <f ca="1">VLOOKUP(A600,Calculation!$E$6:$J$1004,6,FALSE)</f>
        <v/>
      </c>
      <c r="E600" s="42" t="str">
        <f t="shared" ca="1" si="4"/>
        <v/>
      </c>
      <c r="G600" s="29" t="str">
        <f ca="1">VLOOKUP(A600,Calculation!$F$6:$J$1004,3,FALSE)</f>
        <v/>
      </c>
      <c r="H600" s="4" t="str">
        <f ca="1">VLOOKUP(A600,Calculation!$F$6:$J$1004,4,FALSE)</f>
        <v/>
      </c>
      <c r="I600" s="4" t="str">
        <f ca="1">VLOOKUP(A600,Calculation!$F$6:$J$1004,5,FALSE)</f>
        <v/>
      </c>
      <c r="J600" s="43" t="str">
        <f t="shared" ca="1" si="5"/>
        <v/>
      </c>
      <c r="L600" s="29" t="str">
        <f ca="1">VLOOKUP(A600,Calculation!$G$6:$S$1004,2,FALSE)</f>
        <v/>
      </c>
      <c r="M600" s="4" t="str">
        <f ca="1">IFERROR(VLOOKUP($L600,Calculation!$H$6:$S$1005,HLOOKUP(M$2,Calculation!$M$4:$S$5,2,FALSE)+5,FALSE),"")</f>
        <v/>
      </c>
      <c r="N600" s="4" t="str">
        <f ca="1">IFERROR(VLOOKUP($L600,Calculation!$H$6:$S$1005,HLOOKUP(N$2,Calculation!$M$4:$S$5,2,FALSE)+5,FALSE),"")</f>
        <v/>
      </c>
      <c r="O600" s="4" t="str">
        <f ca="1">IFERROR(VLOOKUP($L600,Calculation!$H$6:$S$1005,HLOOKUP(O$2,Calculation!$M$4:$S$5,2,FALSE)+5,FALSE),"")</f>
        <v/>
      </c>
      <c r="P600" s="4" t="str">
        <f ca="1">IFERROR(VLOOKUP($L600,Calculation!$H$6:$S$1005,HLOOKUP(P$2,Calculation!$M$4:$S$5,2,FALSE)+5,FALSE),"")</f>
        <v/>
      </c>
      <c r="Q600" s="4" t="str">
        <f ca="1">IFERROR(VLOOKUP($L600,Calculation!$H$6:$S$1005,HLOOKUP(Q$2,Calculation!$M$4:$S$5,2,FALSE)+5,FALSE),"")</f>
        <v/>
      </c>
      <c r="R600" s="27" t="str">
        <f ca="1">IFERROR(VLOOKUP($L600,Calculation!$H$6:$S$1005,HLOOKUP(R$2,Calculation!$M$4:$S$5,2,FALSE)+5,FALSE),"")</f>
        <v/>
      </c>
      <c r="S600" s="4" t="str">
        <f ca="1">IFERROR(VLOOKUP($L600,Calculation!$H$6:$S$1005,HLOOKUP(S$2,Calculation!$M$4:$S$5,2,FALSE)+5,FALSE),"")</f>
        <v/>
      </c>
      <c r="T600" s="29"/>
      <c r="U600" s="43" t="str">
        <f>IFERROR(VLOOKUP(T600,Calculation!$U$6:$V$11,2,FALSE),"")</f>
        <v/>
      </c>
    </row>
    <row r="601" spans="1:21" ht="14.25" customHeight="1" x14ac:dyDescent="0.3">
      <c r="A601" s="26" t="str">
        <f ca="1">IF(Calculation!T604&lt;=Calculation!$H$4,Calculation!T604,"")</f>
        <v/>
      </c>
      <c r="B601" s="4" t="str">
        <f ca="1">VLOOKUP(A601,Calculation!$E$6:$J$1004,4,FALSE)</f>
        <v/>
      </c>
      <c r="C601" s="4" t="str">
        <f ca="1">VLOOKUP(A601,Calculation!$E$6:$J$1004,5,FALSE)</f>
        <v/>
      </c>
      <c r="D601" s="4" t="str">
        <f ca="1">VLOOKUP(A601,Calculation!$E$6:$J$1004,6,FALSE)</f>
        <v/>
      </c>
      <c r="E601" s="42" t="str">
        <f t="shared" ca="1" si="4"/>
        <v/>
      </c>
      <c r="G601" s="29" t="str">
        <f ca="1">VLOOKUP(A601,Calculation!$F$6:$J$1004,3,FALSE)</f>
        <v/>
      </c>
      <c r="H601" s="4" t="str">
        <f ca="1">VLOOKUP(A601,Calculation!$F$6:$J$1004,4,FALSE)</f>
        <v/>
      </c>
      <c r="I601" s="4" t="str">
        <f ca="1">VLOOKUP(A601,Calculation!$F$6:$J$1004,5,FALSE)</f>
        <v/>
      </c>
      <c r="J601" s="43" t="str">
        <f t="shared" ca="1" si="5"/>
        <v/>
      </c>
      <c r="L601" s="29" t="str">
        <f ca="1">VLOOKUP(A601,Calculation!$G$6:$S$1004,2,FALSE)</f>
        <v/>
      </c>
      <c r="M601" s="4" t="str">
        <f ca="1">IFERROR(VLOOKUP($L601,Calculation!$H$6:$S$1005,HLOOKUP(M$2,Calculation!$M$4:$S$5,2,FALSE)+5,FALSE),"")</f>
        <v/>
      </c>
      <c r="N601" s="4" t="str">
        <f ca="1">IFERROR(VLOOKUP($L601,Calculation!$H$6:$S$1005,HLOOKUP(N$2,Calculation!$M$4:$S$5,2,FALSE)+5,FALSE),"")</f>
        <v/>
      </c>
      <c r="O601" s="4" t="str">
        <f ca="1">IFERROR(VLOOKUP($L601,Calculation!$H$6:$S$1005,HLOOKUP(O$2,Calculation!$M$4:$S$5,2,FALSE)+5,FALSE),"")</f>
        <v/>
      </c>
      <c r="P601" s="4" t="str">
        <f ca="1">IFERROR(VLOOKUP($L601,Calculation!$H$6:$S$1005,HLOOKUP(P$2,Calculation!$M$4:$S$5,2,FALSE)+5,FALSE),"")</f>
        <v/>
      </c>
      <c r="Q601" s="4" t="str">
        <f ca="1">IFERROR(VLOOKUP($L601,Calculation!$H$6:$S$1005,HLOOKUP(Q$2,Calculation!$M$4:$S$5,2,FALSE)+5,FALSE),"")</f>
        <v/>
      </c>
      <c r="R601" s="27" t="str">
        <f ca="1">IFERROR(VLOOKUP($L601,Calculation!$H$6:$S$1005,HLOOKUP(R$2,Calculation!$M$4:$S$5,2,FALSE)+5,FALSE),"")</f>
        <v/>
      </c>
      <c r="S601" s="4" t="str">
        <f ca="1">IFERROR(VLOOKUP($L601,Calculation!$H$6:$S$1005,HLOOKUP(S$2,Calculation!$M$4:$S$5,2,FALSE)+5,FALSE),"")</f>
        <v/>
      </c>
      <c r="T601" s="29"/>
      <c r="U601" s="43" t="str">
        <f>IFERROR(VLOOKUP(T601,Calculation!$U$6:$V$11,2,FALSE),"")</f>
        <v/>
      </c>
    </row>
    <row r="602" spans="1:21" ht="14.25" customHeight="1" x14ac:dyDescent="0.3">
      <c r="A602" s="26" t="str">
        <f ca="1">IF(Calculation!T605&lt;=Calculation!$H$4,Calculation!T605,"")</f>
        <v/>
      </c>
      <c r="B602" s="4" t="str">
        <f ca="1">VLOOKUP(A602,Calculation!$E$6:$J$1004,4,FALSE)</f>
        <v/>
      </c>
      <c r="C602" s="4" t="str">
        <f ca="1">VLOOKUP(A602,Calculation!$E$6:$J$1004,5,FALSE)</f>
        <v/>
      </c>
      <c r="D602" s="4" t="str">
        <f ca="1">VLOOKUP(A602,Calculation!$E$6:$J$1004,6,FALSE)</f>
        <v/>
      </c>
      <c r="E602" s="42" t="str">
        <f t="shared" ca="1" si="4"/>
        <v/>
      </c>
      <c r="G602" s="29" t="str">
        <f ca="1">VLOOKUP(A602,Calculation!$F$6:$J$1004,3,FALSE)</f>
        <v/>
      </c>
      <c r="H602" s="4" t="str">
        <f ca="1">VLOOKUP(A602,Calculation!$F$6:$J$1004,4,FALSE)</f>
        <v/>
      </c>
      <c r="I602" s="4" t="str">
        <f ca="1">VLOOKUP(A602,Calculation!$F$6:$J$1004,5,FALSE)</f>
        <v/>
      </c>
      <c r="J602" s="43" t="str">
        <f t="shared" ca="1" si="5"/>
        <v/>
      </c>
      <c r="L602" s="29" t="str">
        <f ca="1">VLOOKUP(A602,Calculation!$G$6:$S$1004,2,FALSE)</f>
        <v/>
      </c>
      <c r="M602" s="4" t="str">
        <f ca="1">IFERROR(VLOOKUP($L602,Calculation!$H$6:$S$1005,HLOOKUP(M$2,Calculation!$M$4:$S$5,2,FALSE)+5,FALSE),"")</f>
        <v/>
      </c>
      <c r="N602" s="4" t="str">
        <f ca="1">IFERROR(VLOOKUP($L602,Calculation!$H$6:$S$1005,HLOOKUP(N$2,Calculation!$M$4:$S$5,2,FALSE)+5,FALSE),"")</f>
        <v/>
      </c>
      <c r="O602" s="4" t="str">
        <f ca="1">IFERROR(VLOOKUP($L602,Calculation!$H$6:$S$1005,HLOOKUP(O$2,Calculation!$M$4:$S$5,2,FALSE)+5,FALSE),"")</f>
        <v/>
      </c>
      <c r="P602" s="4" t="str">
        <f ca="1">IFERROR(VLOOKUP($L602,Calculation!$H$6:$S$1005,HLOOKUP(P$2,Calculation!$M$4:$S$5,2,FALSE)+5,FALSE),"")</f>
        <v/>
      </c>
      <c r="Q602" s="4" t="str">
        <f ca="1">IFERROR(VLOOKUP($L602,Calculation!$H$6:$S$1005,HLOOKUP(Q$2,Calculation!$M$4:$S$5,2,FALSE)+5,FALSE),"")</f>
        <v/>
      </c>
      <c r="R602" s="27" t="str">
        <f ca="1">IFERROR(VLOOKUP($L602,Calculation!$H$6:$S$1005,HLOOKUP(R$2,Calculation!$M$4:$S$5,2,FALSE)+5,FALSE),"")</f>
        <v/>
      </c>
      <c r="S602" s="4" t="str">
        <f ca="1">IFERROR(VLOOKUP($L602,Calculation!$H$6:$S$1005,HLOOKUP(S$2,Calculation!$M$4:$S$5,2,FALSE)+5,FALSE),"")</f>
        <v/>
      </c>
      <c r="T602" s="29"/>
      <c r="U602" s="43" t="str">
        <f>IFERROR(VLOOKUP(T602,Calculation!$U$6:$V$11,2,FALSE),"")</f>
        <v/>
      </c>
    </row>
    <row r="603" spans="1:21" ht="14.25" customHeight="1" x14ac:dyDescent="0.3">
      <c r="A603" s="26" t="str">
        <f ca="1">IF(Calculation!T606&lt;=Calculation!$H$4,Calculation!T606,"")</f>
        <v/>
      </c>
      <c r="B603" s="4" t="str">
        <f ca="1">VLOOKUP(A603,Calculation!$E$6:$J$1004,4,FALSE)</f>
        <v/>
      </c>
      <c r="C603" s="4" t="str">
        <f ca="1">VLOOKUP(A603,Calculation!$E$6:$J$1004,5,FALSE)</f>
        <v/>
      </c>
      <c r="D603" s="4" t="str">
        <f ca="1">VLOOKUP(A603,Calculation!$E$6:$J$1004,6,FALSE)</f>
        <v/>
      </c>
      <c r="E603" s="42" t="str">
        <f t="shared" ca="1" si="4"/>
        <v/>
      </c>
      <c r="G603" s="29" t="str">
        <f ca="1">VLOOKUP(A603,Calculation!$F$6:$J$1004,3,FALSE)</f>
        <v/>
      </c>
      <c r="H603" s="4" t="str">
        <f ca="1">VLOOKUP(A603,Calculation!$F$6:$J$1004,4,FALSE)</f>
        <v/>
      </c>
      <c r="I603" s="4" t="str">
        <f ca="1">VLOOKUP(A603,Calculation!$F$6:$J$1004,5,FALSE)</f>
        <v/>
      </c>
      <c r="J603" s="43" t="str">
        <f t="shared" ca="1" si="5"/>
        <v/>
      </c>
      <c r="L603" s="29" t="str">
        <f ca="1">VLOOKUP(A603,Calculation!$G$6:$S$1004,2,FALSE)</f>
        <v/>
      </c>
      <c r="M603" s="4" t="str">
        <f ca="1">IFERROR(VLOOKUP($L603,Calculation!$H$6:$S$1005,HLOOKUP(M$2,Calculation!$M$4:$S$5,2,FALSE)+5,FALSE),"")</f>
        <v/>
      </c>
      <c r="N603" s="4" t="str">
        <f ca="1">IFERROR(VLOOKUP($L603,Calculation!$H$6:$S$1005,HLOOKUP(N$2,Calculation!$M$4:$S$5,2,FALSE)+5,FALSE),"")</f>
        <v/>
      </c>
      <c r="O603" s="4" t="str">
        <f ca="1">IFERROR(VLOOKUP($L603,Calculation!$H$6:$S$1005,HLOOKUP(O$2,Calculation!$M$4:$S$5,2,FALSE)+5,FALSE),"")</f>
        <v/>
      </c>
      <c r="P603" s="4" t="str">
        <f ca="1">IFERROR(VLOOKUP($L603,Calculation!$H$6:$S$1005,HLOOKUP(P$2,Calculation!$M$4:$S$5,2,FALSE)+5,FALSE),"")</f>
        <v/>
      </c>
      <c r="Q603" s="4" t="str">
        <f ca="1">IFERROR(VLOOKUP($L603,Calculation!$H$6:$S$1005,HLOOKUP(Q$2,Calculation!$M$4:$S$5,2,FALSE)+5,FALSE),"")</f>
        <v/>
      </c>
      <c r="R603" s="27" t="str">
        <f ca="1">IFERROR(VLOOKUP($L603,Calculation!$H$6:$S$1005,HLOOKUP(R$2,Calculation!$M$4:$S$5,2,FALSE)+5,FALSE),"")</f>
        <v/>
      </c>
      <c r="S603" s="4" t="str">
        <f ca="1">IFERROR(VLOOKUP($L603,Calculation!$H$6:$S$1005,HLOOKUP(S$2,Calculation!$M$4:$S$5,2,FALSE)+5,FALSE),"")</f>
        <v/>
      </c>
      <c r="T603" s="29"/>
      <c r="U603" s="43" t="str">
        <f>IFERROR(VLOOKUP(T603,Calculation!$U$6:$V$11,2,FALSE),"")</f>
        <v/>
      </c>
    </row>
    <row r="604" spans="1:21" ht="14.25" customHeight="1" x14ac:dyDescent="0.3">
      <c r="A604" s="26" t="str">
        <f ca="1">IF(Calculation!T607&lt;=Calculation!$H$4,Calculation!T607,"")</f>
        <v/>
      </c>
      <c r="B604" s="4" t="str">
        <f ca="1">VLOOKUP(A604,Calculation!$E$6:$J$1004,4,FALSE)</f>
        <v/>
      </c>
      <c r="C604" s="4" t="str">
        <f ca="1">VLOOKUP(A604,Calculation!$E$6:$J$1004,5,FALSE)</f>
        <v/>
      </c>
      <c r="D604" s="4" t="str">
        <f ca="1">VLOOKUP(A604,Calculation!$E$6:$J$1004,6,FALSE)</f>
        <v/>
      </c>
      <c r="E604" s="42" t="str">
        <f t="shared" ca="1" si="4"/>
        <v/>
      </c>
      <c r="G604" s="29" t="str">
        <f ca="1">VLOOKUP(A604,Calculation!$F$6:$J$1004,3,FALSE)</f>
        <v/>
      </c>
      <c r="H604" s="4" t="str">
        <f ca="1">VLOOKUP(A604,Calculation!$F$6:$J$1004,4,FALSE)</f>
        <v/>
      </c>
      <c r="I604" s="4" t="str">
        <f ca="1">VLOOKUP(A604,Calculation!$F$6:$J$1004,5,FALSE)</f>
        <v/>
      </c>
      <c r="J604" s="43" t="str">
        <f t="shared" ca="1" si="5"/>
        <v/>
      </c>
      <c r="L604" s="29" t="str">
        <f ca="1">VLOOKUP(A604,Calculation!$G$6:$S$1004,2,FALSE)</f>
        <v/>
      </c>
      <c r="M604" s="4" t="str">
        <f ca="1">IFERROR(VLOOKUP($L604,Calculation!$H$6:$S$1005,HLOOKUP(M$2,Calculation!$M$4:$S$5,2,FALSE)+5,FALSE),"")</f>
        <v/>
      </c>
      <c r="N604" s="4" t="str">
        <f ca="1">IFERROR(VLOOKUP($L604,Calculation!$H$6:$S$1005,HLOOKUP(N$2,Calculation!$M$4:$S$5,2,FALSE)+5,FALSE),"")</f>
        <v/>
      </c>
      <c r="O604" s="4" t="str">
        <f ca="1">IFERROR(VLOOKUP($L604,Calculation!$H$6:$S$1005,HLOOKUP(O$2,Calculation!$M$4:$S$5,2,FALSE)+5,FALSE),"")</f>
        <v/>
      </c>
      <c r="P604" s="4" t="str">
        <f ca="1">IFERROR(VLOOKUP($L604,Calculation!$H$6:$S$1005,HLOOKUP(P$2,Calculation!$M$4:$S$5,2,FALSE)+5,FALSE),"")</f>
        <v/>
      </c>
      <c r="Q604" s="4" t="str">
        <f ca="1">IFERROR(VLOOKUP($L604,Calculation!$H$6:$S$1005,HLOOKUP(Q$2,Calculation!$M$4:$S$5,2,FALSE)+5,FALSE),"")</f>
        <v/>
      </c>
      <c r="R604" s="27" t="str">
        <f ca="1">IFERROR(VLOOKUP($L604,Calculation!$H$6:$S$1005,HLOOKUP(R$2,Calculation!$M$4:$S$5,2,FALSE)+5,FALSE),"")</f>
        <v/>
      </c>
      <c r="S604" s="4" t="str">
        <f ca="1">IFERROR(VLOOKUP($L604,Calculation!$H$6:$S$1005,HLOOKUP(S$2,Calculation!$M$4:$S$5,2,FALSE)+5,FALSE),"")</f>
        <v/>
      </c>
      <c r="T604" s="29"/>
      <c r="U604" s="43" t="str">
        <f>IFERROR(VLOOKUP(T604,Calculation!$U$6:$V$11,2,FALSE),"")</f>
        <v/>
      </c>
    </row>
    <row r="605" spans="1:21" ht="14.25" customHeight="1" x14ac:dyDescent="0.3">
      <c r="A605" s="26" t="str">
        <f ca="1">IF(Calculation!T608&lt;=Calculation!$H$4,Calculation!T608,"")</f>
        <v/>
      </c>
      <c r="B605" s="4" t="str">
        <f ca="1">VLOOKUP(A605,Calculation!$E$6:$J$1004,4,FALSE)</f>
        <v/>
      </c>
      <c r="C605" s="4" t="str">
        <f ca="1">VLOOKUP(A605,Calculation!$E$6:$J$1004,5,FALSE)</f>
        <v/>
      </c>
      <c r="D605" s="4" t="str">
        <f ca="1">VLOOKUP(A605,Calculation!$E$6:$J$1004,6,FALSE)</f>
        <v/>
      </c>
      <c r="E605" s="42" t="str">
        <f t="shared" ca="1" si="4"/>
        <v/>
      </c>
      <c r="G605" s="29" t="str">
        <f ca="1">VLOOKUP(A605,Calculation!$F$6:$J$1004,3,FALSE)</f>
        <v/>
      </c>
      <c r="H605" s="4" t="str">
        <f ca="1">VLOOKUP(A605,Calculation!$F$6:$J$1004,4,FALSE)</f>
        <v/>
      </c>
      <c r="I605" s="4" t="str">
        <f ca="1">VLOOKUP(A605,Calculation!$F$6:$J$1004,5,FALSE)</f>
        <v/>
      </c>
      <c r="J605" s="43" t="str">
        <f t="shared" ca="1" si="5"/>
        <v/>
      </c>
      <c r="L605" s="29" t="str">
        <f ca="1">VLOOKUP(A605,Calculation!$G$6:$S$1004,2,FALSE)</f>
        <v/>
      </c>
      <c r="M605" s="4" t="str">
        <f ca="1">IFERROR(VLOOKUP($L605,Calculation!$H$6:$S$1005,HLOOKUP(M$2,Calculation!$M$4:$S$5,2,FALSE)+5,FALSE),"")</f>
        <v/>
      </c>
      <c r="N605" s="4" t="str">
        <f ca="1">IFERROR(VLOOKUP($L605,Calculation!$H$6:$S$1005,HLOOKUP(N$2,Calculation!$M$4:$S$5,2,FALSE)+5,FALSE),"")</f>
        <v/>
      </c>
      <c r="O605" s="4" t="str">
        <f ca="1">IFERROR(VLOOKUP($L605,Calculation!$H$6:$S$1005,HLOOKUP(O$2,Calculation!$M$4:$S$5,2,FALSE)+5,FALSE),"")</f>
        <v/>
      </c>
      <c r="P605" s="4" t="str">
        <f ca="1">IFERROR(VLOOKUP($L605,Calculation!$H$6:$S$1005,HLOOKUP(P$2,Calculation!$M$4:$S$5,2,FALSE)+5,FALSE),"")</f>
        <v/>
      </c>
      <c r="Q605" s="4" t="str">
        <f ca="1">IFERROR(VLOOKUP($L605,Calculation!$H$6:$S$1005,HLOOKUP(Q$2,Calculation!$M$4:$S$5,2,FALSE)+5,FALSE),"")</f>
        <v/>
      </c>
      <c r="R605" s="27" t="str">
        <f ca="1">IFERROR(VLOOKUP($L605,Calculation!$H$6:$S$1005,HLOOKUP(R$2,Calculation!$M$4:$S$5,2,FALSE)+5,FALSE),"")</f>
        <v/>
      </c>
      <c r="S605" s="4" t="str">
        <f ca="1">IFERROR(VLOOKUP($L605,Calculation!$H$6:$S$1005,HLOOKUP(S$2,Calculation!$M$4:$S$5,2,FALSE)+5,FALSE),"")</f>
        <v/>
      </c>
      <c r="T605" s="29"/>
      <c r="U605" s="43" t="str">
        <f>IFERROR(VLOOKUP(T605,Calculation!$U$6:$V$11,2,FALSE),"")</f>
        <v/>
      </c>
    </row>
    <row r="606" spans="1:21" ht="14.25" customHeight="1" x14ac:dyDescent="0.3">
      <c r="A606" s="26" t="str">
        <f ca="1">IF(Calculation!T609&lt;=Calculation!$H$4,Calculation!T609,"")</f>
        <v/>
      </c>
      <c r="B606" s="4" t="str">
        <f ca="1">VLOOKUP(A606,Calculation!$E$6:$J$1004,4,FALSE)</f>
        <v/>
      </c>
      <c r="C606" s="4" t="str">
        <f ca="1">VLOOKUP(A606,Calculation!$E$6:$J$1004,5,FALSE)</f>
        <v/>
      </c>
      <c r="D606" s="4" t="str">
        <f ca="1">VLOOKUP(A606,Calculation!$E$6:$J$1004,6,FALSE)</f>
        <v/>
      </c>
      <c r="E606" s="42" t="str">
        <f t="shared" ca="1" si="4"/>
        <v/>
      </c>
      <c r="G606" s="29" t="str">
        <f ca="1">VLOOKUP(A606,Calculation!$F$6:$J$1004,3,FALSE)</f>
        <v/>
      </c>
      <c r="H606" s="4" t="str">
        <f ca="1">VLOOKUP(A606,Calculation!$F$6:$J$1004,4,FALSE)</f>
        <v/>
      </c>
      <c r="I606" s="4" t="str">
        <f ca="1">VLOOKUP(A606,Calculation!$F$6:$J$1004,5,FALSE)</f>
        <v/>
      </c>
      <c r="J606" s="43" t="str">
        <f t="shared" ca="1" si="5"/>
        <v/>
      </c>
      <c r="L606" s="29" t="str">
        <f ca="1">VLOOKUP(A606,Calculation!$G$6:$S$1004,2,FALSE)</f>
        <v/>
      </c>
      <c r="M606" s="4" t="str">
        <f ca="1">IFERROR(VLOOKUP($L606,Calculation!$H$6:$S$1005,HLOOKUP(M$2,Calculation!$M$4:$S$5,2,FALSE)+5,FALSE),"")</f>
        <v/>
      </c>
      <c r="N606" s="4" t="str">
        <f ca="1">IFERROR(VLOOKUP($L606,Calculation!$H$6:$S$1005,HLOOKUP(N$2,Calculation!$M$4:$S$5,2,FALSE)+5,FALSE),"")</f>
        <v/>
      </c>
      <c r="O606" s="4" t="str">
        <f ca="1">IFERROR(VLOOKUP($L606,Calculation!$H$6:$S$1005,HLOOKUP(O$2,Calculation!$M$4:$S$5,2,FALSE)+5,FALSE),"")</f>
        <v/>
      </c>
      <c r="P606" s="4" t="str">
        <f ca="1">IFERROR(VLOOKUP($L606,Calculation!$H$6:$S$1005,HLOOKUP(P$2,Calculation!$M$4:$S$5,2,FALSE)+5,FALSE),"")</f>
        <v/>
      </c>
      <c r="Q606" s="4" t="str">
        <f ca="1">IFERROR(VLOOKUP($L606,Calculation!$H$6:$S$1005,HLOOKUP(Q$2,Calculation!$M$4:$S$5,2,FALSE)+5,FALSE),"")</f>
        <v/>
      </c>
      <c r="R606" s="27" t="str">
        <f ca="1">IFERROR(VLOOKUP($L606,Calculation!$H$6:$S$1005,HLOOKUP(R$2,Calculation!$M$4:$S$5,2,FALSE)+5,FALSE),"")</f>
        <v/>
      </c>
      <c r="S606" s="4" t="str">
        <f ca="1">IFERROR(VLOOKUP($L606,Calculation!$H$6:$S$1005,HLOOKUP(S$2,Calculation!$M$4:$S$5,2,FALSE)+5,FALSE),"")</f>
        <v/>
      </c>
      <c r="T606" s="29"/>
      <c r="U606" s="43" t="str">
        <f>IFERROR(VLOOKUP(T606,Calculation!$U$6:$V$11,2,FALSE),"")</f>
        <v/>
      </c>
    </row>
    <row r="607" spans="1:21" ht="14.25" customHeight="1" x14ac:dyDescent="0.3">
      <c r="A607" s="26" t="str">
        <f ca="1">IF(Calculation!T610&lt;=Calculation!$H$4,Calculation!T610,"")</f>
        <v/>
      </c>
      <c r="B607" s="4" t="str">
        <f ca="1">VLOOKUP(A607,Calculation!$E$6:$J$1004,4,FALSE)</f>
        <v/>
      </c>
      <c r="C607" s="4" t="str">
        <f ca="1">VLOOKUP(A607,Calculation!$E$6:$J$1004,5,FALSE)</f>
        <v/>
      </c>
      <c r="D607" s="4" t="str">
        <f ca="1">VLOOKUP(A607,Calculation!$E$6:$J$1004,6,FALSE)</f>
        <v/>
      </c>
      <c r="E607" s="42" t="str">
        <f t="shared" ca="1" si="4"/>
        <v/>
      </c>
      <c r="G607" s="29" t="str">
        <f ca="1">VLOOKUP(A607,Calculation!$F$6:$J$1004,3,FALSE)</f>
        <v/>
      </c>
      <c r="H607" s="4" t="str">
        <f ca="1">VLOOKUP(A607,Calculation!$F$6:$J$1004,4,FALSE)</f>
        <v/>
      </c>
      <c r="I607" s="4" t="str">
        <f ca="1">VLOOKUP(A607,Calculation!$F$6:$J$1004,5,FALSE)</f>
        <v/>
      </c>
      <c r="J607" s="43" t="str">
        <f t="shared" ca="1" si="5"/>
        <v/>
      </c>
      <c r="L607" s="29" t="str">
        <f ca="1">VLOOKUP(A607,Calculation!$G$6:$S$1004,2,FALSE)</f>
        <v/>
      </c>
      <c r="M607" s="4" t="str">
        <f ca="1">IFERROR(VLOOKUP($L607,Calculation!$H$6:$S$1005,HLOOKUP(M$2,Calculation!$M$4:$S$5,2,FALSE)+5,FALSE),"")</f>
        <v/>
      </c>
      <c r="N607" s="4" t="str">
        <f ca="1">IFERROR(VLOOKUP($L607,Calculation!$H$6:$S$1005,HLOOKUP(N$2,Calculation!$M$4:$S$5,2,FALSE)+5,FALSE),"")</f>
        <v/>
      </c>
      <c r="O607" s="4" t="str">
        <f ca="1">IFERROR(VLOOKUP($L607,Calculation!$H$6:$S$1005,HLOOKUP(O$2,Calculation!$M$4:$S$5,2,FALSE)+5,FALSE),"")</f>
        <v/>
      </c>
      <c r="P607" s="4" t="str">
        <f ca="1">IFERROR(VLOOKUP($L607,Calculation!$H$6:$S$1005,HLOOKUP(P$2,Calculation!$M$4:$S$5,2,FALSE)+5,FALSE),"")</f>
        <v/>
      </c>
      <c r="Q607" s="4" t="str">
        <f ca="1">IFERROR(VLOOKUP($L607,Calculation!$H$6:$S$1005,HLOOKUP(Q$2,Calculation!$M$4:$S$5,2,FALSE)+5,FALSE),"")</f>
        <v/>
      </c>
      <c r="R607" s="27" t="str">
        <f ca="1">IFERROR(VLOOKUP($L607,Calculation!$H$6:$S$1005,HLOOKUP(R$2,Calculation!$M$4:$S$5,2,FALSE)+5,FALSE),"")</f>
        <v/>
      </c>
      <c r="S607" s="4" t="str">
        <f ca="1">IFERROR(VLOOKUP($L607,Calculation!$H$6:$S$1005,HLOOKUP(S$2,Calculation!$M$4:$S$5,2,FALSE)+5,FALSE),"")</f>
        <v/>
      </c>
      <c r="T607" s="29"/>
      <c r="U607" s="43" t="str">
        <f>IFERROR(VLOOKUP(T607,Calculation!$U$6:$V$11,2,FALSE),"")</f>
        <v/>
      </c>
    </row>
    <row r="608" spans="1:21" ht="14.25" customHeight="1" x14ac:dyDescent="0.3">
      <c r="A608" s="26" t="str">
        <f ca="1">IF(Calculation!T611&lt;=Calculation!$H$4,Calculation!T611,"")</f>
        <v/>
      </c>
      <c r="B608" s="4" t="str">
        <f ca="1">VLOOKUP(A608,Calculation!$E$6:$J$1004,4,FALSE)</f>
        <v/>
      </c>
      <c r="C608" s="4" t="str">
        <f ca="1">VLOOKUP(A608,Calculation!$E$6:$J$1004,5,FALSE)</f>
        <v/>
      </c>
      <c r="D608" s="4" t="str">
        <f ca="1">VLOOKUP(A608,Calculation!$E$6:$J$1004,6,FALSE)</f>
        <v/>
      </c>
      <c r="E608" s="42" t="str">
        <f t="shared" ca="1" si="4"/>
        <v/>
      </c>
      <c r="G608" s="29" t="str">
        <f ca="1">VLOOKUP(A608,Calculation!$F$6:$J$1004,3,FALSE)</f>
        <v/>
      </c>
      <c r="H608" s="4" t="str">
        <f ca="1">VLOOKUP(A608,Calculation!$F$6:$J$1004,4,FALSE)</f>
        <v/>
      </c>
      <c r="I608" s="4" t="str">
        <f ca="1">VLOOKUP(A608,Calculation!$F$6:$J$1004,5,FALSE)</f>
        <v/>
      </c>
      <c r="J608" s="43" t="str">
        <f t="shared" ca="1" si="5"/>
        <v/>
      </c>
      <c r="L608" s="29" t="str">
        <f ca="1">VLOOKUP(A608,Calculation!$G$6:$S$1004,2,FALSE)</f>
        <v/>
      </c>
      <c r="M608" s="4" t="str">
        <f ca="1">IFERROR(VLOOKUP($L608,Calculation!$H$6:$S$1005,HLOOKUP(M$2,Calculation!$M$4:$S$5,2,FALSE)+5,FALSE),"")</f>
        <v/>
      </c>
      <c r="N608" s="4" t="str">
        <f ca="1">IFERROR(VLOOKUP($L608,Calculation!$H$6:$S$1005,HLOOKUP(N$2,Calculation!$M$4:$S$5,2,FALSE)+5,FALSE),"")</f>
        <v/>
      </c>
      <c r="O608" s="4" t="str">
        <f ca="1">IFERROR(VLOOKUP($L608,Calculation!$H$6:$S$1005,HLOOKUP(O$2,Calculation!$M$4:$S$5,2,FALSE)+5,FALSE),"")</f>
        <v/>
      </c>
      <c r="P608" s="4" t="str">
        <f ca="1">IFERROR(VLOOKUP($L608,Calculation!$H$6:$S$1005,HLOOKUP(P$2,Calculation!$M$4:$S$5,2,FALSE)+5,FALSE),"")</f>
        <v/>
      </c>
      <c r="Q608" s="4" t="str">
        <f ca="1">IFERROR(VLOOKUP($L608,Calculation!$H$6:$S$1005,HLOOKUP(Q$2,Calculation!$M$4:$S$5,2,FALSE)+5,FALSE),"")</f>
        <v/>
      </c>
      <c r="R608" s="27" t="str">
        <f ca="1">IFERROR(VLOOKUP($L608,Calculation!$H$6:$S$1005,HLOOKUP(R$2,Calculation!$M$4:$S$5,2,FALSE)+5,FALSE),"")</f>
        <v/>
      </c>
      <c r="S608" s="4" t="str">
        <f ca="1">IFERROR(VLOOKUP($L608,Calculation!$H$6:$S$1005,HLOOKUP(S$2,Calculation!$M$4:$S$5,2,FALSE)+5,FALSE),"")</f>
        <v/>
      </c>
      <c r="T608" s="29"/>
      <c r="U608" s="43" t="str">
        <f>IFERROR(VLOOKUP(T608,Calculation!$U$6:$V$11,2,FALSE),"")</f>
        <v/>
      </c>
    </row>
    <row r="609" spans="1:21" ht="14.25" customHeight="1" x14ac:dyDescent="0.3">
      <c r="A609" s="26" t="str">
        <f ca="1">IF(Calculation!T612&lt;=Calculation!$H$4,Calculation!T612,"")</f>
        <v/>
      </c>
      <c r="B609" s="4" t="str">
        <f ca="1">VLOOKUP(A609,Calculation!$E$6:$J$1004,4,FALSE)</f>
        <v/>
      </c>
      <c r="C609" s="4" t="str">
        <f ca="1">VLOOKUP(A609,Calculation!$E$6:$J$1004,5,FALSE)</f>
        <v/>
      </c>
      <c r="D609" s="4" t="str">
        <f ca="1">VLOOKUP(A609,Calculation!$E$6:$J$1004,6,FALSE)</f>
        <v/>
      </c>
      <c r="E609" s="42" t="str">
        <f t="shared" ca="1" si="4"/>
        <v/>
      </c>
      <c r="G609" s="29" t="str">
        <f ca="1">VLOOKUP(A609,Calculation!$F$6:$J$1004,3,FALSE)</f>
        <v/>
      </c>
      <c r="H609" s="4" t="str">
        <f ca="1">VLOOKUP(A609,Calculation!$F$6:$J$1004,4,FALSE)</f>
        <v/>
      </c>
      <c r="I609" s="4" t="str">
        <f ca="1">VLOOKUP(A609,Calculation!$F$6:$J$1004,5,FALSE)</f>
        <v/>
      </c>
      <c r="J609" s="43" t="str">
        <f t="shared" ca="1" si="5"/>
        <v/>
      </c>
      <c r="L609" s="29" t="str">
        <f ca="1">VLOOKUP(A609,Calculation!$G$6:$S$1004,2,FALSE)</f>
        <v/>
      </c>
      <c r="M609" s="4" t="str">
        <f ca="1">IFERROR(VLOOKUP($L609,Calculation!$H$6:$S$1005,HLOOKUP(M$2,Calculation!$M$4:$S$5,2,FALSE)+5,FALSE),"")</f>
        <v/>
      </c>
      <c r="N609" s="4" t="str">
        <f ca="1">IFERROR(VLOOKUP($L609,Calculation!$H$6:$S$1005,HLOOKUP(N$2,Calculation!$M$4:$S$5,2,FALSE)+5,FALSE),"")</f>
        <v/>
      </c>
      <c r="O609" s="4" t="str">
        <f ca="1">IFERROR(VLOOKUP($L609,Calculation!$H$6:$S$1005,HLOOKUP(O$2,Calculation!$M$4:$S$5,2,FALSE)+5,FALSE),"")</f>
        <v/>
      </c>
      <c r="P609" s="4" t="str">
        <f ca="1">IFERROR(VLOOKUP($L609,Calculation!$H$6:$S$1005,HLOOKUP(P$2,Calculation!$M$4:$S$5,2,FALSE)+5,FALSE),"")</f>
        <v/>
      </c>
      <c r="Q609" s="4" t="str">
        <f ca="1">IFERROR(VLOOKUP($L609,Calculation!$H$6:$S$1005,HLOOKUP(Q$2,Calculation!$M$4:$S$5,2,FALSE)+5,FALSE),"")</f>
        <v/>
      </c>
      <c r="R609" s="27" t="str">
        <f ca="1">IFERROR(VLOOKUP($L609,Calculation!$H$6:$S$1005,HLOOKUP(R$2,Calculation!$M$4:$S$5,2,FALSE)+5,FALSE),"")</f>
        <v/>
      </c>
      <c r="S609" s="4" t="str">
        <f ca="1">IFERROR(VLOOKUP($L609,Calculation!$H$6:$S$1005,HLOOKUP(S$2,Calculation!$M$4:$S$5,2,FALSE)+5,FALSE),"")</f>
        <v/>
      </c>
      <c r="T609" s="29"/>
      <c r="U609" s="43" t="str">
        <f>IFERROR(VLOOKUP(T609,Calculation!$U$6:$V$11,2,FALSE),"")</f>
        <v/>
      </c>
    </row>
    <row r="610" spans="1:21" ht="14.25" customHeight="1" x14ac:dyDescent="0.3">
      <c r="A610" s="26" t="str">
        <f ca="1">IF(Calculation!T613&lt;=Calculation!$H$4,Calculation!T613,"")</f>
        <v/>
      </c>
      <c r="B610" s="4" t="str">
        <f ca="1">VLOOKUP(A610,Calculation!$E$6:$J$1004,4,FALSE)</f>
        <v/>
      </c>
      <c r="C610" s="4" t="str">
        <f ca="1">VLOOKUP(A610,Calculation!$E$6:$J$1004,5,FALSE)</f>
        <v/>
      </c>
      <c r="D610" s="4" t="str">
        <f ca="1">VLOOKUP(A610,Calculation!$E$6:$J$1004,6,FALSE)</f>
        <v/>
      </c>
      <c r="E610" s="42" t="str">
        <f t="shared" ca="1" si="4"/>
        <v/>
      </c>
      <c r="G610" s="29" t="str">
        <f ca="1">VLOOKUP(A610,Calculation!$F$6:$J$1004,3,FALSE)</f>
        <v/>
      </c>
      <c r="H610" s="4" t="str">
        <f ca="1">VLOOKUP(A610,Calculation!$F$6:$J$1004,4,FALSE)</f>
        <v/>
      </c>
      <c r="I610" s="4" t="str">
        <f ca="1">VLOOKUP(A610,Calculation!$F$6:$J$1004,5,FALSE)</f>
        <v/>
      </c>
      <c r="J610" s="43" t="str">
        <f t="shared" ca="1" si="5"/>
        <v/>
      </c>
      <c r="L610" s="29" t="str">
        <f ca="1">VLOOKUP(A610,Calculation!$G$6:$S$1004,2,FALSE)</f>
        <v/>
      </c>
      <c r="M610" s="4" t="str">
        <f ca="1">IFERROR(VLOOKUP($L610,Calculation!$H$6:$S$1005,HLOOKUP(M$2,Calculation!$M$4:$S$5,2,FALSE)+5,FALSE),"")</f>
        <v/>
      </c>
      <c r="N610" s="4" t="str">
        <f ca="1">IFERROR(VLOOKUP($L610,Calculation!$H$6:$S$1005,HLOOKUP(N$2,Calculation!$M$4:$S$5,2,FALSE)+5,FALSE),"")</f>
        <v/>
      </c>
      <c r="O610" s="4" t="str">
        <f ca="1">IFERROR(VLOOKUP($L610,Calculation!$H$6:$S$1005,HLOOKUP(O$2,Calculation!$M$4:$S$5,2,FALSE)+5,FALSE),"")</f>
        <v/>
      </c>
      <c r="P610" s="4" t="str">
        <f ca="1">IFERROR(VLOOKUP($L610,Calculation!$H$6:$S$1005,HLOOKUP(P$2,Calculation!$M$4:$S$5,2,FALSE)+5,FALSE),"")</f>
        <v/>
      </c>
      <c r="Q610" s="4" t="str">
        <f ca="1">IFERROR(VLOOKUP($L610,Calculation!$H$6:$S$1005,HLOOKUP(Q$2,Calculation!$M$4:$S$5,2,FALSE)+5,FALSE),"")</f>
        <v/>
      </c>
      <c r="R610" s="27" t="str">
        <f ca="1">IFERROR(VLOOKUP($L610,Calculation!$H$6:$S$1005,HLOOKUP(R$2,Calculation!$M$4:$S$5,2,FALSE)+5,FALSE),"")</f>
        <v/>
      </c>
      <c r="S610" s="4" t="str">
        <f ca="1">IFERROR(VLOOKUP($L610,Calculation!$H$6:$S$1005,HLOOKUP(S$2,Calculation!$M$4:$S$5,2,FALSE)+5,FALSE),"")</f>
        <v/>
      </c>
      <c r="T610" s="29"/>
      <c r="U610" s="43" t="str">
        <f>IFERROR(VLOOKUP(T610,Calculation!$U$6:$V$11,2,FALSE),"")</f>
        <v/>
      </c>
    </row>
    <row r="611" spans="1:21" ht="14.25" customHeight="1" x14ac:dyDescent="0.3">
      <c r="A611" s="26" t="str">
        <f ca="1">IF(Calculation!T614&lt;=Calculation!$H$4,Calculation!T614,"")</f>
        <v/>
      </c>
      <c r="B611" s="4" t="str">
        <f ca="1">VLOOKUP(A611,Calculation!$E$6:$J$1004,4,FALSE)</f>
        <v/>
      </c>
      <c r="C611" s="4" t="str">
        <f ca="1">VLOOKUP(A611,Calculation!$E$6:$J$1004,5,FALSE)</f>
        <v/>
      </c>
      <c r="D611" s="4" t="str">
        <f ca="1">VLOOKUP(A611,Calculation!$E$6:$J$1004,6,FALSE)</f>
        <v/>
      </c>
      <c r="E611" s="42" t="str">
        <f t="shared" ca="1" si="4"/>
        <v/>
      </c>
      <c r="G611" s="29" t="str">
        <f ca="1">VLOOKUP(A611,Calculation!$F$6:$J$1004,3,FALSE)</f>
        <v/>
      </c>
      <c r="H611" s="4" t="str">
        <f ca="1">VLOOKUP(A611,Calculation!$F$6:$J$1004,4,FALSE)</f>
        <v/>
      </c>
      <c r="I611" s="4" t="str">
        <f ca="1">VLOOKUP(A611,Calculation!$F$6:$J$1004,5,FALSE)</f>
        <v/>
      </c>
      <c r="J611" s="43" t="str">
        <f t="shared" ca="1" si="5"/>
        <v/>
      </c>
      <c r="L611" s="29" t="str">
        <f ca="1">VLOOKUP(A611,Calculation!$G$6:$S$1004,2,FALSE)</f>
        <v/>
      </c>
      <c r="M611" s="4" t="str">
        <f ca="1">IFERROR(VLOOKUP($L611,Calculation!$H$6:$S$1005,HLOOKUP(M$2,Calculation!$M$4:$S$5,2,FALSE)+5,FALSE),"")</f>
        <v/>
      </c>
      <c r="N611" s="4" t="str">
        <f ca="1">IFERROR(VLOOKUP($L611,Calculation!$H$6:$S$1005,HLOOKUP(N$2,Calculation!$M$4:$S$5,2,FALSE)+5,FALSE),"")</f>
        <v/>
      </c>
      <c r="O611" s="4" t="str">
        <f ca="1">IFERROR(VLOOKUP($L611,Calculation!$H$6:$S$1005,HLOOKUP(O$2,Calculation!$M$4:$S$5,2,FALSE)+5,FALSE),"")</f>
        <v/>
      </c>
      <c r="P611" s="4" t="str">
        <f ca="1">IFERROR(VLOOKUP($L611,Calculation!$H$6:$S$1005,HLOOKUP(P$2,Calculation!$M$4:$S$5,2,FALSE)+5,FALSE),"")</f>
        <v/>
      </c>
      <c r="Q611" s="4" t="str">
        <f ca="1">IFERROR(VLOOKUP($L611,Calculation!$H$6:$S$1005,HLOOKUP(Q$2,Calculation!$M$4:$S$5,2,FALSE)+5,FALSE),"")</f>
        <v/>
      </c>
      <c r="R611" s="27" t="str">
        <f ca="1">IFERROR(VLOOKUP($L611,Calculation!$H$6:$S$1005,HLOOKUP(R$2,Calculation!$M$4:$S$5,2,FALSE)+5,FALSE),"")</f>
        <v/>
      </c>
      <c r="S611" s="4" t="str">
        <f ca="1">IFERROR(VLOOKUP($L611,Calculation!$H$6:$S$1005,HLOOKUP(S$2,Calculation!$M$4:$S$5,2,FALSE)+5,FALSE),"")</f>
        <v/>
      </c>
      <c r="T611" s="29"/>
      <c r="U611" s="43" t="str">
        <f>IFERROR(VLOOKUP(T611,Calculation!$U$6:$V$11,2,FALSE),"")</f>
        <v/>
      </c>
    </row>
    <row r="612" spans="1:21" ht="14.25" customHeight="1" x14ac:dyDescent="0.3">
      <c r="A612" s="26" t="str">
        <f ca="1">IF(Calculation!T615&lt;=Calculation!$H$4,Calculation!T615,"")</f>
        <v/>
      </c>
      <c r="B612" s="4" t="str">
        <f ca="1">VLOOKUP(A612,Calculation!$E$6:$J$1004,4,FALSE)</f>
        <v/>
      </c>
      <c r="C612" s="4" t="str">
        <f ca="1">VLOOKUP(A612,Calculation!$E$6:$J$1004,5,FALSE)</f>
        <v/>
      </c>
      <c r="D612" s="4" t="str">
        <f ca="1">VLOOKUP(A612,Calculation!$E$6:$J$1004,6,FALSE)</f>
        <v/>
      </c>
      <c r="E612" s="42" t="str">
        <f t="shared" ca="1" si="4"/>
        <v/>
      </c>
      <c r="G612" s="29" t="str">
        <f ca="1">VLOOKUP(A612,Calculation!$F$6:$J$1004,3,FALSE)</f>
        <v/>
      </c>
      <c r="H612" s="4" t="str">
        <f ca="1">VLOOKUP(A612,Calculation!$F$6:$J$1004,4,FALSE)</f>
        <v/>
      </c>
      <c r="I612" s="4" t="str">
        <f ca="1">VLOOKUP(A612,Calculation!$F$6:$J$1004,5,FALSE)</f>
        <v/>
      </c>
      <c r="J612" s="43" t="str">
        <f t="shared" ca="1" si="5"/>
        <v/>
      </c>
      <c r="L612" s="29" t="str">
        <f ca="1">VLOOKUP(A612,Calculation!$G$6:$S$1004,2,FALSE)</f>
        <v/>
      </c>
      <c r="M612" s="4" t="str">
        <f ca="1">IFERROR(VLOOKUP($L612,Calculation!$H$6:$S$1005,HLOOKUP(M$2,Calculation!$M$4:$S$5,2,FALSE)+5,FALSE),"")</f>
        <v/>
      </c>
      <c r="N612" s="4" t="str">
        <f ca="1">IFERROR(VLOOKUP($L612,Calculation!$H$6:$S$1005,HLOOKUP(N$2,Calculation!$M$4:$S$5,2,FALSE)+5,FALSE),"")</f>
        <v/>
      </c>
      <c r="O612" s="4" t="str">
        <f ca="1">IFERROR(VLOOKUP($L612,Calculation!$H$6:$S$1005,HLOOKUP(O$2,Calculation!$M$4:$S$5,2,FALSE)+5,FALSE),"")</f>
        <v/>
      </c>
      <c r="P612" s="4" t="str">
        <f ca="1">IFERROR(VLOOKUP($L612,Calculation!$H$6:$S$1005,HLOOKUP(P$2,Calculation!$M$4:$S$5,2,FALSE)+5,FALSE),"")</f>
        <v/>
      </c>
      <c r="Q612" s="4" t="str">
        <f ca="1">IFERROR(VLOOKUP($L612,Calculation!$H$6:$S$1005,HLOOKUP(Q$2,Calculation!$M$4:$S$5,2,FALSE)+5,FALSE),"")</f>
        <v/>
      </c>
      <c r="R612" s="27" t="str">
        <f ca="1">IFERROR(VLOOKUP($L612,Calculation!$H$6:$S$1005,HLOOKUP(R$2,Calculation!$M$4:$S$5,2,FALSE)+5,FALSE),"")</f>
        <v/>
      </c>
      <c r="S612" s="4" t="str">
        <f ca="1">IFERROR(VLOOKUP($L612,Calculation!$H$6:$S$1005,HLOOKUP(S$2,Calculation!$M$4:$S$5,2,FALSE)+5,FALSE),"")</f>
        <v/>
      </c>
      <c r="T612" s="29"/>
      <c r="U612" s="43" t="str">
        <f>IFERROR(VLOOKUP(T612,Calculation!$U$6:$V$11,2,FALSE),"")</f>
        <v/>
      </c>
    </row>
    <row r="613" spans="1:21" ht="14.25" customHeight="1" x14ac:dyDescent="0.3">
      <c r="A613" s="26" t="str">
        <f ca="1">IF(Calculation!T616&lt;=Calculation!$H$4,Calculation!T616,"")</f>
        <v/>
      </c>
      <c r="B613" s="4" t="str">
        <f ca="1">VLOOKUP(A613,Calculation!$E$6:$J$1004,4,FALSE)</f>
        <v/>
      </c>
      <c r="C613" s="4" t="str">
        <f ca="1">VLOOKUP(A613,Calculation!$E$6:$J$1004,5,FALSE)</f>
        <v/>
      </c>
      <c r="D613" s="4" t="str">
        <f ca="1">VLOOKUP(A613,Calculation!$E$6:$J$1004,6,FALSE)</f>
        <v/>
      </c>
      <c r="E613" s="42" t="str">
        <f t="shared" ca="1" si="4"/>
        <v/>
      </c>
      <c r="G613" s="29" t="str">
        <f ca="1">VLOOKUP(A613,Calculation!$F$6:$J$1004,3,FALSE)</f>
        <v/>
      </c>
      <c r="H613" s="4" t="str">
        <f ca="1">VLOOKUP(A613,Calculation!$F$6:$J$1004,4,FALSE)</f>
        <v/>
      </c>
      <c r="I613" s="4" t="str">
        <f ca="1">VLOOKUP(A613,Calculation!$F$6:$J$1004,5,FALSE)</f>
        <v/>
      </c>
      <c r="J613" s="43" t="str">
        <f t="shared" ca="1" si="5"/>
        <v/>
      </c>
      <c r="L613" s="29" t="str">
        <f ca="1">VLOOKUP(A613,Calculation!$G$6:$S$1004,2,FALSE)</f>
        <v/>
      </c>
      <c r="M613" s="4" t="str">
        <f ca="1">IFERROR(VLOOKUP($L613,Calculation!$H$6:$S$1005,HLOOKUP(M$2,Calculation!$M$4:$S$5,2,FALSE)+5,FALSE),"")</f>
        <v/>
      </c>
      <c r="N613" s="4" t="str">
        <f ca="1">IFERROR(VLOOKUP($L613,Calculation!$H$6:$S$1005,HLOOKUP(N$2,Calculation!$M$4:$S$5,2,FALSE)+5,FALSE),"")</f>
        <v/>
      </c>
      <c r="O613" s="4" t="str">
        <f ca="1">IFERROR(VLOOKUP($L613,Calculation!$H$6:$S$1005,HLOOKUP(O$2,Calculation!$M$4:$S$5,2,FALSE)+5,FALSE),"")</f>
        <v/>
      </c>
      <c r="P613" s="4" t="str">
        <f ca="1">IFERROR(VLOOKUP($L613,Calculation!$H$6:$S$1005,HLOOKUP(P$2,Calculation!$M$4:$S$5,2,FALSE)+5,FALSE),"")</f>
        <v/>
      </c>
      <c r="Q613" s="4" t="str">
        <f ca="1">IFERROR(VLOOKUP($L613,Calculation!$H$6:$S$1005,HLOOKUP(Q$2,Calculation!$M$4:$S$5,2,FALSE)+5,FALSE),"")</f>
        <v/>
      </c>
      <c r="R613" s="27" t="str">
        <f ca="1">IFERROR(VLOOKUP($L613,Calculation!$H$6:$S$1005,HLOOKUP(R$2,Calculation!$M$4:$S$5,2,FALSE)+5,FALSE),"")</f>
        <v/>
      </c>
      <c r="S613" s="4" t="str">
        <f ca="1">IFERROR(VLOOKUP($L613,Calculation!$H$6:$S$1005,HLOOKUP(S$2,Calculation!$M$4:$S$5,2,FALSE)+5,FALSE),"")</f>
        <v/>
      </c>
      <c r="T613" s="29"/>
      <c r="U613" s="43" t="str">
        <f>IFERROR(VLOOKUP(T613,Calculation!$U$6:$V$11,2,FALSE),"")</f>
        <v/>
      </c>
    </row>
    <row r="614" spans="1:21" ht="14.25" customHeight="1" x14ac:dyDescent="0.3">
      <c r="A614" s="26" t="str">
        <f ca="1">IF(Calculation!T617&lt;=Calculation!$H$4,Calculation!T617,"")</f>
        <v/>
      </c>
      <c r="B614" s="4" t="str">
        <f ca="1">VLOOKUP(A614,Calculation!$E$6:$J$1004,4,FALSE)</f>
        <v/>
      </c>
      <c r="C614" s="4" t="str">
        <f ca="1">VLOOKUP(A614,Calculation!$E$6:$J$1004,5,FALSE)</f>
        <v/>
      </c>
      <c r="D614" s="4" t="str">
        <f ca="1">VLOOKUP(A614,Calculation!$E$6:$J$1004,6,FALSE)</f>
        <v/>
      </c>
      <c r="E614" s="42" t="str">
        <f t="shared" ca="1" si="4"/>
        <v/>
      </c>
      <c r="G614" s="29" t="str">
        <f ca="1">VLOOKUP(A614,Calculation!$F$6:$J$1004,3,FALSE)</f>
        <v/>
      </c>
      <c r="H614" s="4" t="str">
        <f ca="1">VLOOKUP(A614,Calculation!$F$6:$J$1004,4,FALSE)</f>
        <v/>
      </c>
      <c r="I614" s="4" t="str">
        <f ca="1">VLOOKUP(A614,Calculation!$F$6:$J$1004,5,FALSE)</f>
        <v/>
      </c>
      <c r="J614" s="43" t="str">
        <f t="shared" ca="1" si="5"/>
        <v/>
      </c>
      <c r="L614" s="29" t="str">
        <f ca="1">VLOOKUP(A614,Calculation!$G$6:$S$1004,2,FALSE)</f>
        <v/>
      </c>
      <c r="M614" s="4" t="str">
        <f ca="1">IFERROR(VLOOKUP($L614,Calculation!$H$6:$S$1005,HLOOKUP(M$2,Calculation!$M$4:$S$5,2,FALSE)+5,FALSE),"")</f>
        <v/>
      </c>
      <c r="N614" s="4" t="str">
        <f ca="1">IFERROR(VLOOKUP($L614,Calculation!$H$6:$S$1005,HLOOKUP(N$2,Calculation!$M$4:$S$5,2,FALSE)+5,FALSE),"")</f>
        <v/>
      </c>
      <c r="O614" s="4" t="str">
        <f ca="1">IFERROR(VLOOKUP($L614,Calculation!$H$6:$S$1005,HLOOKUP(O$2,Calculation!$M$4:$S$5,2,FALSE)+5,FALSE),"")</f>
        <v/>
      </c>
      <c r="P614" s="4" t="str">
        <f ca="1">IFERROR(VLOOKUP($L614,Calculation!$H$6:$S$1005,HLOOKUP(P$2,Calculation!$M$4:$S$5,2,FALSE)+5,FALSE),"")</f>
        <v/>
      </c>
      <c r="Q614" s="4" t="str">
        <f ca="1">IFERROR(VLOOKUP($L614,Calculation!$H$6:$S$1005,HLOOKUP(Q$2,Calculation!$M$4:$S$5,2,FALSE)+5,FALSE),"")</f>
        <v/>
      </c>
      <c r="R614" s="27" t="str">
        <f ca="1">IFERROR(VLOOKUP($L614,Calculation!$H$6:$S$1005,HLOOKUP(R$2,Calculation!$M$4:$S$5,2,FALSE)+5,FALSE),"")</f>
        <v/>
      </c>
      <c r="S614" s="4" t="str">
        <f ca="1">IFERROR(VLOOKUP($L614,Calculation!$H$6:$S$1005,HLOOKUP(S$2,Calculation!$M$4:$S$5,2,FALSE)+5,FALSE),"")</f>
        <v/>
      </c>
      <c r="T614" s="29"/>
      <c r="U614" s="43" t="str">
        <f>IFERROR(VLOOKUP(T614,Calculation!$U$6:$V$11,2,FALSE),"")</f>
        <v/>
      </c>
    </row>
    <row r="615" spans="1:21" ht="14.25" customHeight="1" x14ac:dyDescent="0.3">
      <c r="A615" s="26" t="str">
        <f ca="1">IF(Calculation!T618&lt;=Calculation!$H$4,Calculation!T618,"")</f>
        <v/>
      </c>
      <c r="B615" s="4" t="str">
        <f ca="1">VLOOKUP(A615,Calculation!$E$6:$J$1004,4,FALSE)</f>
        <v/>
      </c>
      <c r="C615" s="4" t="str">
        <f ca="1">VLOOKUP(A615,Calculation!$E$6:$J$1004,5,FALSE)</f>
        <v/>
      </c>
      <c r="D615" s="4" t="str">
        <f ca="1">VLOOKUP(A615,Calculation!$E$6:$J$1004,6,FALSE)</f>
        <v/>
      </c>
      <c r="E615" s="42" t="str">
        <f t="shared" ca="1" si="4"/>
        <v/>
      </c>
      <c r="G615" s="29" t="str">
        <f ca="1">VLOOKUP(A615,Calculation!$F$6:$J$1004,3,FALSE)</f>
        <v/>
      </c>
      <c r="H615" s="4" t="str">
        <f ca="1">VLOOKUP(A615,Calculation!$F$6:$J$1004,4,FALSE)</f>
        <v/>
      </c>
      <c r="I615" s="4" t="str">
        <f ca="1">VLOOKUP(A615,Calculation!$F$6:$J$1004,5,FALSE)</f>
        <v/>
      </c>
      <c r="J615" s="43" t="str">
        <f t="shared" ca="1" si="5"/>
        <v/>
      </c>
      <c r="L615" s="29" t="str">
        <f ca="1">VLOOKUP(A615,Calculation!$G$6:$S$1004,2,FALSE)</f>
        <v/>
      </c>
      <c r="M615" s="4" t="str">
        <f ca="1">IFERROR(VLOOKUP($L615,Calculation!$H$6:$S$1005,HLOOKUP(M$2,Calculation!$M$4:$S$5,2,FALSE)+5,FALSE),"")</f>
        <v/>
      </c>
      <c r="N615" s="4" t="str">
        <f ca="1">IFERROR(VLOOKUP($L615,Calculation!$H$6:$S$1005,HLOOKUP(N$2,Calculation!$M$4:$S$5,2,FALSE)+5,FALSE),"")</f>
        <v/>
      </c>
      <c r="O615" s="4" t="str">
        <f ca="1">IFERROR(VLOOKUP($L615,Calculation!$H$6:$S$1005,HLOOKUP(O$2,Calculation!$M$4:$S$5,2,FALSE)+5,FALSE),"")</f>
        <v/>
      </c>
      <c r="P615" s="4" t="str">
        <f ca="1">IFERROR(VLOOKUP($L615,Calculation!$H$6:$S$1005,HLOOKUP(P$2,Calculation!$M$4:$S$5,2,FALSE)+5,FALSE),"")</f>
        <v/>
      </c>
      <c r="Q615" s="4" t="str">
        <f ca="1">IFERROR(VLOOKUP($L615,Calculation!$H$6:$S$1005,HLOOKUP(Q$2,Calculation!$M$4:$S$5,2,FALSE)+5,FALSE),"")</f>
        <v/>
      </c>
      <c r="R615" s="27" t="str">
        <f ca="1">IFERROR(VLOOKUP($L615,Calculation!$H$6:$S$1005,HLOOKUP(R$2,Calculation!$M$4:$S$5,2,FALSE)+5,FALSE),"")</f>
        <v/>
      </c>
      <c r="S615" s="4" t="str">
        <f ca="1">IFERROR(VLOOKUP($L615,Calculation!$H$6:$S$1005,HLOOKUP(S$2,Calculation!$M$4:$S$5,2,FALSE)+5,FALSE),"")</f>
        <v/>
      </c>
      <c r="T615" s="29"/>
      <c r="U615" s="43" t="str">
        <f>IFERROR(VLOOKUP(T615,Calculation!$U$6:$V$11,2,FALSE),"")</f>
        <v/>
      </c>
    </row>
    <row r="616" spans="1:21" ht="14.25" customHeight="1" x14ac:dyDescent="0.3">
      <c r="A616" s="26" t="str">
        <f ca="1">IF(Calculation!T619&lt;=Calculation!$H$4,Calculation!T619,"")</f>
        <v/>
      </c>
      <c r="B616" s="4" t="str">
        <f ca="1">VLOOKUP(A616,Calculation!$E$6:$J$1004,4,FALSE)</f>
        <v/>
      </c>
      <c r="C616" s="4" t="str">
        <f ca="1">VLOOKUP(A616,Calculation!$E$6:$J$1004,5,FALSE)</f>
        <v/>
      </c>
      <c r="D616" s="4" t="str">
        <f ca="1">VLOOKUP(A616,Calculation!$E$6:$J$1004,6,FALSE)</f>
        <v/>
      </c>
      <c r="E616" s="42" t="str">
        <f t="shared" ca="1" si="4"/>
        <v/>
      </c>
      <c r="G616" s="29" t="str">
        <f ca="1">VLOOKUP(A616,Calculation!$F$6:$J$1004,3,FALSE)</f>
        <v/>
      </c>
      <c r="H616" s="4" t="str">
        <f ca="1">VLOOKUP(A616,Calculation!$F$6:$J$1004,4,FALSE)</f>
        <v/>
      </c>
      <c r="I616" s="4" t="str">
        <f ca="1">VLOOKUP(A616,Calculation!$F$6:$J$1004,5,FALSE)</f>
        <v/>
      </c>
      <c r="J616" s="43" t="str">
        <f t="shared" ca="1" si="5"/>
        <v/>
      </c>
      <c r="L616" s="29" t="str">
        <f ca="1">VLOOKUP(A616,Calculation!$G$6:$S$1004,2,FALSE)</f>
        <v/>
      </c>
      <c r="M616" s="4" t="str">
        <f ca="1">IFERROR(VLOOKUP($L616,Calculation!$H$6:$S$1005,HLOOKUP(M$2,Calculation!$M$4:$S$5,2,FALSE)+5,FALSE),"")</f>
        <v/>
      </c>
      <c r="N616" s="4" t="str">
        <f ca="1">IFERROR(VLOOKUP($L616,Calculation!$H$6:$S$1005,HLOOKUP(N$2,Calculation!$M$4:$S$5,2,FALSE)+5,FALSE),"")</f>
        <v/>
      </c>
      <c r="O616" s="4" t="str">
        <f ca="1">IFERROR(VLOOKUP($L616,Calculation!$H$6:$S$1005,HLOOKUP(O$2,Calculation!$M$4:$S$5,2,FALSE)+5,FALSE),"")</f>
        <v/>
      </c>
      <c r="P616" s="4" t="str">
        <f ca="1">IFERROR(VLOOKUP($L616,Calculation!$H$6:$S$1005,HLOOKUP(P$2,Calculation!$M$4:$S$5,2,FALSE)+5,FALSE),"")</f>
        <v/>
      </c>
      <c r="Q616" s="4" t="str">
        <f ca="1">IFERROR(VLOOKUP($L616,Calculation!$H$6:$S$1005,HLOOKUP(Q$2,Calculation!$M$4:$S$5,2,FALSE)+5,FALSE),"")</f>
        <v/>
      </c>
      <c r="R616" s="27" t="str">
        <f ca="1">IFERROR(VLOOKUP($L616,Calculation!$H$6:$S$1005,HLOOKUP(R$2,Calculation!$M$4:$S$5,2,FALSE)+5,FALSE),"")</f>
        <v/>
      </c>
      <c r="S616" s="4" t="str">
        <f ca="1">IFERROR(VLOOKUP($L616,Calculation!$H$6:$S$1005,HLOOKUP(S$2,Calculation!$M$4:$S$5,2,FALSE)+5,FALSE),"")</f>
        <v/>
      </c>
      <c r="T616" s="29"/>
      <c r="U616" s="43" t="str">
        <f>IFERROR(VLOOKUP(T616,Calculation!$U$6:$V$11,2,FALSE),"")</f>
        <v/>
      </c>
    </row>
    <row r="617" spans="1:21" ht="14.25" customHeight="1" x14ac:dyDescent="0.3">
      <c r="A617" s="26" t="str">
        <f ca="1">IF(Calculation!T620&lt;=Calculation!$H$4,Calculation!T620,"")</f>
        <v/>
      </c>
      <c r="B617" s="4" t="str">
        <f ca="1">VLOOKUP(A617,Calculation!$E$6:$J$1004,4,FALSE)</f>
        <v/>
      </c>
      <c r="C617" s="4" t="str">
        <f ca="1">VLOOKUP(A617,Calculation!$E$6:$J$1004,5,FALSE)</f>
        <v/>
      </c>
      <c r="D617" s="4" t="str">
        <f ca="1">VLOOKUP(A617,Calculation!$E$6:$J$1004,6,FALSE)</f>
        <v/>
      </c>
      <c r="E617" s="42" t="str">
        <f t="shared" ca="1" si="4"/>
        <v/>
      </c>
      <c r="G617" s="29" t="str">
        <f ca="1">VLOOKUP(A617,Calculation!$F$6:$J$1004,3,FALSE)</f>
        <v/>
      </c>
      <c r="H617" s="4" t="str">
        <f ca="1">VLOOKUP(A617,Calculation!$F$6:$J$1004,4,FALSE)</f>
        <v/>
      </c>
      <c r="I617" s="4" t="str">
        <f ca="1">VLOOKUP(A617,Calculation!$F$6:$J$1004,5,FALSE)</f>
        <v/>
      </c>
      <c r="J617" s="43" t="str">
        <f t="shared" ca="1" si="5"/>
        <v/>
      </c>
      <c r="L617" s="29" t="str">
        <f ca="1">VLOOKUP(A617,Calculation!$G$6:$S$1004,2,FALSE)</f>
        <v/>
      </c>
      <c r="M617" s="4" t="str">
        <f ca="1">IFERROR(VLOOKUP($L617,Calculation!$H$6:$S$1005,HLOOKUP(M$2,Calculation!$M$4:$S$5,2,FALSE)+5,FALSE),"")</f>
        <v/>
      </c>
      <c r="N617" s="4" t="str">
        <f ca="1">IFERROR(VLOOKUP($L617,Calculation!$H$6:$S$1005,HLOOKUP(N$2,Calculation!$M$4:$S$5,2,FALSE)+5,FALSE),"")</f>
        <v/>
      </c>
      <c r="O617" s="4" t="str">
        <f ca="1">IFERROR(VLOOKUP($L617,Calculation!$H$6:$S$1005,HLOOKUP(O$2,Calculation!$M$4:$S$5,2,FALSE)+5,FALSE),"")</f>
        <v/>
      </c>
      <c r="P617" s="4" t="str">
        <f ca="1">IFERROR(VLOOKUP($L617,Calculation!$H$6:$S$1005,HLOOKUP(P$2,Calculation!$M$4:$S$5,2,FALSE)+5,FALSE),"")</f>
        <v/>
      </c>
      <c r="Q617" s="4" t="str">
        <f ca="1">IFERROR(VLOOKUP($L617,Calculation!$H$6:$S$1005,HLOOKUP(Q$2,Calculation!$M$4:$S$5,2,FALSE)+5,FALSE),"")</f>
        <v/>
      </c>
      <c r="R617" s="27" t="str">
        <f ca="1">IFERROR(VLOOKUP($L617,Calculation!$H$6:$S$1005,HLOOKUP(R$2,Calculation!$M$4:$S$5,2,FALSE)+5,FALSE),"")</f>
        <v/>
      </c>
      <c r="S617" s="4" t="str">
        <f ca="1">IFERROR(VLOOKUP($L617,Calculation!$H$6:$S$1005,HLOOKUP(S$2,Calculation!$M$4:$S$5,2,FALSE)+5,FALSE),"")</f>
        <v/>
      </c>
      <c r="T617" s="29"/>
      <c r="U617" s="43" t="str">
        <f>IFERROR(VLOOKUP(T617,Calculation!$U$6:$V$11,2,FALSE),"")</f>
        <v/>
      </c>
    </row>
    <row r="618" spans="1:21" ht="14.25" customHeight="1" x14ac:dyDescent="0.3">
      <c r="A618" s="26" t="str">
        <f ca="1">IF(Calculation!T621&lt;=Calculation!$H$4,Calculation!T621,"")</f>
        <v/>
      </c>
      <c r="B618" s="4" t="str">
        <f ca="1">VLOOKUP(A618,Calculation!$E$6:$J$1004,4,FALSE)</f>
        <v/>
      </c>
      <c r="C618" s="4" t="str">
        <f ca="1">VLOOKUP(A618,Calculation!$E$6:$J$1004,5,FALSE)</f>
        <v/>
      </c>
      <c r="D618" s="4" t="str">
        <f ca="1">VLOOKUP(A618,Calculation!$E$6:$J$1004,6,FALSE)</f>
        <v/>
      </c>
      <c r="E618" s="42" t="str">
        <f t="shared" ca="1" si="4"/>
        <v/>
      </c>
      <c r="G618" s="29" t="str">
        <f ca="1">VLOOKUP(A618,Calculation!$F$6:$J$1004,3,FALSE)</f>
        <v/>
      </c>
      <c r="H618" s="4" t="str">
        <f ca="1">VLOOKUP(A618,Calculation!$F$6:$J$1004,4,FALSE)</f>
        <v/>
      </c>
      <c r="I618" s="4" t="str">
        <f ca="1">VLOOKUP(A618,Calculation!$F$6:$J$1004,5,FALSE)</f>
        <v/>
      </c>
      <c r="J618" s="43" t="str">
        <f t="shared" ca="1" si="5"/>
        <v/>
      </c>
      <c r="L618" s="29" t="str">
        <f ca="1">VLOOKUP(A618,Calculation!$G$6:$S$1004,2,FALSE)</f>
        <v/>
      </c>
      <c r="M618" s="4" t="str">
        <f ca="1">IFERROR(VLOOKUP($L618,Calculation!$H$6:$S$1005,HLOOKUP(M$2,Calculation!$M$4:$S$5,2,FALSE)+5,FALSE),"")</f>
        <v/>
      </c>
      <c r="N618" s="4" t="str">
        <f ca="1">IFERROR(VLOOKUP($L618,Calculation!$H$6:$S$1005,HLOOKUP(N$2,Calculation!$M$4:$S$5,2,FALSE)+5,FALSE),"")</f>
        <v/>
      </c>
      <c r="O618" s="4" t="str">
        <f ca="1">IFERROR(VLOOKUP($L618,Calculation!$H$6:$S$1005,HLOOKUP(O$2,Calculation!$M$4:$S$5,2,FALSE)+5,FALSE),"")</f>
        <v/>
      </c>
      <c r="P618" s="4" t="str">
        <f ca="1">IFERROR(VLOOKUP($L618,Calculation!$H$6:$S$1005,HLOOKUP(P$2,Calculation!$M$4:$S$5,2,FALSE)+5,FALSE),"")</f>
        <v/>
      </c>
      <c r="Q618" s="4" t="str">
        <f ca="1">IFERROR(VLOOKUP($L618,Calculation!$H$6:$S$1005,HLOOKUP(Q$2,Calculation!$M$4:$S$5,2,FALSE)+5,FALSE),"")</f>
        <v/>
      </c>
      <c r="R618" s="27" t="str">
        <f ca="1">IFERROR(VLOOKUP($L618,Calculation!$H$6:$S$1005,HLOOKUP(R$2,Calculation!$M$4:$S$5,2,FALSE)+5,FALSE),"")</f>
        <v/>
      </c>
      <c r="S618" s="4" t="str">
        <f ca="1">IFERROR(VLOOKUP($L618,Calculation!$H$6:$S$1005,HLOOKUP(S$2,Calculation!$M$4:$S$5,2,FALSE)+5,FALSE),"")</f>
        <v/>
      </c>
      <c r="T618" s="29"/>
      <c r="U618" s="43" t="str">
        <f>IFERROR(VLOOKUP(T618,Calculation!$U$6:$V$11,2,FALSE),"")</f>
        <v/>
      </c>
    </row>
    <row r="619" spans="1:21" ht="14.25" customHeight="1" x14ac:dyDescent="0.3">
      <c r="A619" s="26" t="str">
        <f ca="1">IF(Calculation!T622&lt;=Calculation!$H$4,Calculation!T622,"")</f>
        <v/>
      </c>
      <c r="B619" s="4" t="str">
        <f ca="1">VLOOKUP(A619,Calculation!$E$6:$J$1004,4,FALSE)</f>
        <v/>
      </c>
      <c r="C619" s="4" t="str">
        <f ca="1">VLOOKUP(A619,Calculation!$E$6:$J$1004,5,FALSE)</f>
        <v/>
      </c>
      <c r="D619" s="4" t="str">
        <f ca="1">VLOOKUP(A619,Calculation!$E$6:$J$1004,6,FALSE)</f>
        <v/>
      </c>
      <c r="E619" s="42" t="str">
        <f t="shared" ca="1" si="4"/>
        <v/>
      </c>
      <c r="G619" s="29" t="str">
        <f ca="1">VLOOKUP(A619,Calculation!$F$6:$J$1004,3,FALSE)</f>
        <v/>
      </c>
      <c r="H619" s="4" t="str">
        <f ca="1">VLOOKUP(A619,Calculation!$F$6:$J$1004,4,FALSE)</f>
        <v/>
      </c>
      <c r="I619" s="4" t="str">
        <f ca="1">VLOOKUP(A619,Calculation!$F$6:$J$1004,5,FALSE)</f>
        <v/>
      </c>
      <c r="J619" s="43" t="str">
        <f t="shared" ca="1" si="5"/>
        <v/>
      </c>
      <c r="L619" s="29" t="str">
        <f ca="1">VLOOKUP(A619,Calculation!$G$6:$S$1004,2,FALSE)</f>
        <v/>
      </c>
      <c r="M619" s="4" t="str">
        <f ca="1">IFERROR(VLOOKUP($L619,Calculation!$H$6:$S$1005,HLOOKUP(M$2,Calculation!$M$4:$S$5,2,FALSE)+5,FALSE),"")</f>
        <v/>
      </c>
      <c r="N619" s="4" t="str">
        <f ca="1">IFERROR(VLOOKUP($L619,Calculation!$H$6:$S$1005,HLOOKUP(N$2,Calculation!$M$4:$S$5,2,FALSE)+5,FALSE),"")</f>
        <v/>
      </c>
      <c r="O619" s="4" t="str">
        <f ca="1">IFERROR(VLOOKUP($L619,Calculation!$H$6:$S$1005,HLOOKUP(O$2,Calculation!$M$4:$S$5,2,FALSE)+5,FALSE),"")</f>
        <v/>
      </c>
      <c r="P619" s="4" t="str">
        <f ca="1">IFERROR(VLOOKUP($L619,Calculation!$H$6:$S$1005,HLOOKUP(P$2,Calculation!$M$4:$S$5,2,FALSE)+5,FALSE),"")</f>
        <v/>
      </c>
      <c r="Q619" s="4" t="str">
        <f ca="1">IFERROR(VLOOKUP($L619,Calculation!$H$6:$S$1005,HLOOKUP(Q$2,Calculation!$M$4:$S$5,2,FALSE)+5,FALSE),"")</f>
        <v/>
      </c>
      <c r="R619" s="27" t="str">
        <f ca="1">IFERROR(VLOOKUP($L619,Calculation!$H$6:$S$1005,HLOOKUP(R$2,Calculation!$M$4:$S$5,2,FALSE)+5,FALSE),"")</f>
        <v/>
      </c>
      <c r="S619" s="4" t="str">
        <f ca="1">IFERROR(VLOOKUP($L619,Calculation!$H$6:$S$1005,HLOOKUP(S$2,Calculation!$M$4:$S$5,2,FALSE)+5,FALSE),"")</f>
        <v/>
      </c>
      <c r="T619" s="29"/>
      <c r="U619" s="43" t="str">
        <f>IFERROR(VLOOKUP(T619,Calculation!$U$6:$V$11,2,FALSE),"")</f>
        <v/>
      </c>
    </row>
    <row r="620" spans="1:21" ht="14.25" customHeight="1" x14ac:dyDescent="0.3">
      <c r="A620" s="26" t="str">
        <f ca="1">IF(Calculation!T623&lt;=Calculation!$H$4,Calculation!T623,"")</f>
        <v/>
      </c>
      <c r="B620" s="4" t="str">
        <f ca="1">VLOOKUP(A620,Calculation!$E$6:$J$1004,4,FALSE)</f>
        <v/>
      </c>
      <c r="C620" s="4" t="str">
        <f ca="1">VLOOKUP(A620,Calculation!$E$6:$J$1004,5,FALSE)</f>
        <v/>
      </c>
      <c r="D620" s="4" t="str">
        <f ca="1">VLOOKUP(A620,Calculation!$E$6:$J$1004,6,FALSE)</f>
        <v/>
      </c>
      <c r="E620" s="42" t="str">
        <f t="shared" ca="1" si="4"/>
        <v/>
      </c>
      <c r="G620" s="29" t="str">
        <f ca="1">VLOOKUP(A620,Calculation!$F$6:$J$1004,3,FALSE)</f>
        <v/>
      </c>
      <c r="H620" s="4" t="str">
        <f ca="1">VLOOKUP(A620,Calculation!$F$6:$J$1004,4,FALSE)</f>
        <v/>
      </c>
      <c r="I620" s="4" t="str">
        <f ca="1">VLOOKUP(A620,Calculation!$F$6:$J$1004,5,FALSE)</f>
        <v/>
      </c>
      <c r="J620" s="43" t="str">
        <f t="shared" ca="1" si="5"/>
        <v/>
      </c>
      <c r="L620" s="29" t="str">
        <f ca="1">VLOOKUP(A620,Calculation!$G$6:$S$1004,2,FALSE)</f>
        <v/>
      </c>
      <c r="M620" s="4" t="str">
        <f ca="1">IFERROR(VLOOKUP($L620,Calculation!$H$6:$S$1005,HLOOKUP(M$2,Calculation!$M$4:$S$5,2,FALSE)+5,FALSE),"")</f>
        <v/>
      </c>
      <c r="N620" s="4" t="str">
        <f ca="1">IFERROR(VLOOKUP($L620,Calculation!$H$6:$S$1005,HLOOKUP(N$2,Calculation!$M$4:$S$5,2,FALSE)+5,FALSE),"")</f>
        <v/>
      </c>
      <c r="O620" s="4" t="str">
        <f ca="1">IFERROR(VLOOKUP($L620,Calculation!$H$6:$S$1005,HLOOKUP(O$2,Calculation!$M$4:$S$5,2,FALSE)+5,FALSE),"")</f>
        <v/>
      </c>
      <c r="P620" s="4" t="str">
        <f ca="1">IFERROR(VLOOKUP($L620,Calculation!$H$6:$S$1005,HLOOKUP(P$2,Calculation!$M$4:$S$5,2,FALSE)+5,FALSE),"")</f>
        <v/>
      </c>
      <c r="Q620" s="4" t="str">
        <f ca="1">IFERROR(VLOOKUP($L620,Calculation!$H$6:$S$1005,HLOOKUP(Q$2,Calculation!$M$4:$S$5,2,FALSE)+5,FALSE),"")</f>
        <v/>
      </c>
      <c r="R620" s="27" t="str">
        <f ca="1">IFERROR(VLOOKUP($L620,Calculation!$H$6:$S$1005,HLOOKUP(R$2,Calculation!$M$4:$S$5,2,FALSE)+5,FALSE),"")</f>
        <v/>
      </c>
      <c r="S620" s="4" t="str">
        <f ca="1">IFERROR(VLOOKUP($L620,Calculation!$H$6:$S$1005,HLOOKUP(S$2,Calculation!$M$4:$S$5,2,FALSE)+5,FALSE),"")</f>
        <v/>
      </c>
      <c r="T620" s="29"/>
      <c r="U620" s="43" t="str">
        <f>IFERROR(VLOOKUP(T620,Calculation!$U$6:$V$11,2,FALSE),"")</f>
        <v/>
      </c>
    </row>
    <row r="621" spans="1:21" ht="14.25" customHeight="1" x14ac:dyDescent="0.3">
      <c r="A621" s="26" t="str">
        <f ca="1">IF(Calculation!T624&lt;=Calculation!$H$4,Calculation!T624,"")</f>
        <v/>
      </c>
      <c r="B621" s="4" t="str">
        <f ca="1">VLOOKUP(A621,Calculation!$E$6:$J$1004,4,FALSE)</f>
        <v/>
      </c>
      <c r="C621" s="4" t="str">
        <f ca="1">VLOOKUP(A621,Calculation!$E$6:$J$1004,5,FALSE)</f>
        <v/>
      </c>
      <c r="D621" s="4" t="str">
        <f ca="1">VLOOKUP(A621,Calculation!$E$6:$J$1004,6,FALSE)</f>
        <v/>
      </c>
      <c r="E621" s="42" t="str">
        <f t="shared" ca="1" si="4"/>
        <v/>
      </c>
      <c r="G621" s="29" t="str">
        <f ca="1">VLOOKUP(A621,Calculation!$F$6:$J$1004,3,FALSE)</f>
        <v/>
      </c>
      <c r="H621" s="4" t="str">
        <f ca="1">VLOOKUP(A621,Calculation!$F$6:$J$1004,4,FALSE)</f>
        <v/>
      </c>
      <c r="I621" s="4" t="str">
        <f ca="1">VLOOKUP(A621,Calculation!$F$6:$J$1004,5,FALSE)</f>
        <v/>
      </c>
      <c r="J621" s="43" t="str">
        <f t="shared" ca="1" si="5"/>
        <v/>
      </c>
      <c r="L621" s="29" t="str">
        <f ca="1">VLOOKUP(A621,Calculation!$G$6:$S$1004,2,FALSE)</f>
        <v/>
      </c>
      <c r="M621" s="4" t="str">
        <f ca="1">IFERROR(VLOOKUP($L621,Calculation!$H$6:$S$1005,HLOOKUP(M$2,Calculation!$M$4:$S$5,2,FALSE)+5,FALSE),"")</f>
        <v/>
      </c>
      <c r="N621" s="4" t="str">
        <f ca="1">IFERROR(VLOOKUP($L621,Calculation!$H$6:$S$1005,HLOOKUP(N$2,Calculation!$M$4:$S$5,2,FALSE)+5,FALSE),"")</f>
        <v/>
      </c>
      <c r="O621" s="4" t="str">
        <f ca="1">IFERROR(VLOOKUP($L621,Calculation!$H$6:$S$1005,HLOOKUP(O$2,Calculation!$M$4:$S$5,2,FALSE)+5,FALSE),"")</f>
        <v/>
      </c>
      <c r="P621" s="4" t="str">
        <f ca="1">IFERROR(VLOOKUP($L621,Calculation!$H$6:$S$1005,HLOOKUP(P$2,Calculation!$M$4:$S$5,2,FALSE)+5,FALSE),"")</f>
        <v/>
      </c>
      <c r="Q621" s="4" t="str">
        <f ca="1">IFERROR(VLOOKUP($L621,Calculation!$H$6:$S$1005,HLOOKUP(Q$2,Calculation!$M$4:$S$5,2,FALSE)+5,FALSE),"")</f>
        <v/>
      </c>
      <c r="R621" s="27" t="str">
        <f ca="1">IFERROR(VLOOKUP($L621,Calculation!$H$6:$S$1005,HLOOKUP(R$2,Calculation!$M$4:$S$5,2,FALSE)+5,FALSE),"")</f>
        <v/>
      </c>
      <c r="S621" s="4" t="str">
        <f ca="1">IFERROR(VLOOKUP($L621,Calculation!$H$6:$S$1005,HLOOKUP(S$2,Calculation!$M$4:$S$5,2,FALSE)+5,FALSE),"")</f>
        <v/>
      </c>
      <c r="T621" s="29"/>
      <c r="U621" s="43" t="str">
        <f>IFERROR(VLOOKUP(T621,Calculation!$U$6:$V$11,2,FALSE),"")</f>
        <v/>
      </c>
    </row>
    <row r="622" spans="1:21" ht="14.25" customHeight="1" x14ac:dyDescent="0.3">
      <c r="A622" s="26" t="str">
        <f ca="1">IF(Calculation!T625&lt;=Calculation!$H$4,Calculation!T625,"")</f>
        <v/>
      </c>
      <c r="B622" s="4" t="str">
        <f ca="1">VLOOKUP(A622,Calculation!$E$6:$J$1004,4,FALSE)</f>
        <v/>
      </c>
      <c r="C622" s="4" t="str">
        <f ca="1">VLOOKUP(A622,Calculation!$E$6:$J$1004,5,FALSE)</f>
        <v/>
      </c>
      <c r="D622" s="4" t="str">
        <f ca="1">VLOOKUP(A622,Calculation!$E$6:$J$1004,6,FALSE)</f>
        <v/>
      </c>
      <c r="E622" s="42" t="str">
        <f t="shared" ca="1" si="4"/>
        <v/>
      </c>
      <c r="G622" s="29" t="str">
        <f ca="1">VLOOKUP(A622,Calculation!$F$6:$J$1004,3,FALSE)</f>
        <v/>
      </c>
      <c r="H622" s="4" t="str">
        <f ca="1">VLOOKUP(A622,Calculation!$F$6:$J$1004,4,FALSE)</f>
        <v/>
      </c>
      <c r="I622" s="4" t="str">
        <f ca="1">VLOOKUP(A622,Calculation!$F$6:$J$1004,5,FALSE)</f>
        <v/>
      </c>
      <c r="J622" s="43" t="str">
        <f t="shared" ca="1" si="5"/>
        <v/>
      </c>
      <c r="L622" s="29" t="str">
        <f ca="1">VLOOKUP(A622,Calculation!$G$6:$S$1004,2,FALSE)</f>
        <v/>
      </c>
      <c r="M622" s="4" t="str">
        <f ca="1">IFERROR(VLOOKUP($L622,Calculation!$H$6:$S$1005,HLOOKUP(M$2,Calculation!$M$4:$S$5,2,FALSE)+5,FALSE),"")</f>
        <v/>
      </c>
      <c r="N622" s="4" t="str">
        <f ca="1">IFERROR(VLOOKUP($L622,Calculation!$H$6:$S$1005,HLOOKUP(N$2,Calculation!$M$4:$S$5,2,FALSE)+5,FALSE),"")</f>
        <v/>
      </c>
      <c r="O622" s="4" t="str">
        <f ca="1">IFERROR(VLOOKUP($L622,Calculation!$H$6:$S$1005,HLOOKUP(O$2,Calculation!$M$4:$S$5,2,FALSE)+5,FALSE),"")</f>
        <v/>
      </c>
      <c r="P622" s="4" t="str">
        <f ca="1">IFERROR(VLOOKUP($L622,Calculation!$H$6:$S$1005,HLOOKUP(P$2,Calculation!$M$4:$S$5,2,FALSE)+5,FALSE),"")</f>
        <v/>
      </c>
      <c r="Q622" s="4" t="str">
        <f ca="1">IFERROR(VLOOKUP($L622,Calculation!$H$6:$S$1005,HLOOKUP(Q$2,Calculation!$M$4:$S$5,2,FALSE)+5,FALSE),"")</f>
        <v/>
      </c>
      <c r="R622" s="27" t="str">
        <f ca="1">IFERROR(VLOOKUP($L622,Calculation!$H$6:$S$1005,HLOOKUP(R$2,Calculation!$M$4:$S$5,2,FALSE)+5,FALSE),"")</f>
        <v/>
      </c>
      <c r="S622" s="4" t="str">
        <f ca="1">IFERROR(VLOOKUP($L622,Calculation!$H$6:$S$1005,HLOOKUP(S$2,Calculation!$M$4:$S$5,2,FALSE)+5,FALSE),"")</f>
        <v/>
      </c>
      <c r="T622" s="29"/>
      <c r="U622" s="43" t="str">
        <f>IFERROR(VLOOKUP(T622,Calculation!$U$6:$V$11,2,FALSE),"")</f>
        <v/>
      </c>
    </row>
    <row r="623" spans="1:21" ht="14.25" customHeight="1" x14ac:dyDescent="0.3">
      <c r="A623" s="26" t="str">
        <f ca="1">IF(Calculation!T626&lt;=Calculation!$H$4,Calculation!T626,"")</f>
        <v/>
      </c>
      <c r="B623" s="4" t="str">
        <f ca="1">VLOOKUP(A623,Calculation!$E$6:$J$1004,4,FALSE)</f>
        <v/>
      </c>
      <c r="C623" s="4" t="str">
        <f ca="1">VLOOKUP(A623,Calculation!$E$6:$J$1004,5,FALSE)</f>
        <v/>
      </c>
      <c r="D623" s="4" t="str">
        <f ca="1">VLOOKUP(A623,Calculation!$E$6:$J$1004,6,FALSE)</f>
        <v/>
      </c>
      <c r="E623" s="42" t="str">
        <f t="shared" ca="1" si="4"/>
        <v/>
      </c>
      <c r="G623" s="29" t="str">
        <f ca="1">VLOOKUP(A623,Calculation!$F$6:$J$1004,3,FALSE)</f>
        <v/>
      </c>
      <c r="H623" s="4" t="str">
        <f ca="1">VLOOKUP(A623,Calculation!$F$6:$J$1004,4,FALSE)</f>
        <v/>
      </c>
      <c r="I623" s="4" t="str">
        <f ca="1">VLOOKUP(A623,Calculation!$F$6:$J$1004,5,FALSE)</f>
        <v/>
      </c>
      <c r="J623" s="43" t="str">
        <f t="shared" ca="1" si="5"/>
        <v/>
      </c>
      <c r="L623" s="29" t="str">
        <f ca="1">VLOOKUP(A623,Calculation!$G$6:$S$1004,2,FALSE)</f>
        <v/>
      </c>
      <c r="M623" s="4" t="str">
        <f ca="1">IFERROR(VLOOKUP($L623,Calculation!$H$6:$S$1005,HLOOKUP(M$2,Calculation!$M$4:$S$5,2,FALSE)+5,FALSE),"")</f>
        <v/>
      </c>
      <c r="N623" s="4" t="str">
        <f ca="1">IFERROR(VLOOKUP($L623,Calculation!$H$6:$S$1005,HLOOKUP(N$2,Calculation!$M$4:$S$5,2,FALSE)+5,FALSE),"")</f>
        <v/>
      </c>
      <c r="O623" s="4" t="str">
        <f ca="1">IFERROR(VLOOKUP($L623,Calculation!$H$6:$S$1005,HLOOKUP(O$2,Calculation!$M$4:$S$5,2,FALSE)+5,FALSE),"")</f>
        <v/>
      </c>
      <c r="P623" s="4" t="str">
        <f ca="1">IFERROR(VLOOKUP($L623,Calculation!$H$6:$S$1005,HLOOKUP(P$2,Calculation!$M$4:$S$5,2,FALSE)+5,FALSE),"")</f>
        <v/>
      </c>
      <c r="Q623" s="4" t="str">
        <f ca="1">IFERROR(VLOOKUP($L623,Calculation!$H$6:$S$1005,HLOOKUP(Q$2,Calculation!$M$4:$S$5,2,FALSE)+5,FALSE),"")</f>
        <v/>
      </c>
      <c r="R623" s="27" t="str">
        <f ca="1">IFERROR(VLOOKUP($L623,Calculation!$H$6:$S$1005,HLOOKUP(R$2,Calculation!$M$4:$S$5,2,FALSE)+5,FALSE),"")</f>
        <v/>
      </c>
      <c r="S623" s="4" t="str">
        <f ca="1">IFERROR(VLOOKUP($L623,Calculation!$H$6:$S$1005,HLOOKUP(S$2,Calculation!$M$4:$S$5,2,FALSE)+5,FALSE),"")</f>
        <v/>
      </c>
      <c r="T623" s="29"/>
      <c r="U623" s="43" t="str">
        <f>IFERROR(VLOOKUP(T623,Calculation!$U$6:$V$11,2,FALSE),"")</f>
        <v/>
      </c>
    </row>
    <row r="624" spans="1:21" ht="14.25" customHeight="1" x14ac:dyDescent="0.3">
      <c r="A624" s="26" t="str">
        <f ca="1">IF(Calculation!T627&lt;=Calculation!$H$4,Calculation!T627,"")</f>
        <v/>
      </c>
      <c r="B624" s="4" t="str">
        <f ca="1">VLOOKUP(A624,Calculation!$E$6:$J$1004,4,FALSE)</f>
        <v/>
      </c>
      <c r="C624" s="4" t="str">
        <f ca="1">VLOOKUP(A624,Calculation!$E$6:$J$1004,5,FALSE)</f>
        <v/>
      </c>
      <c r="D624" s="4" t="str">
        <f ca="1">VLOOKUP(A624,Calculation!$E$6:$J$1004,6,FALSE)</f>
        <v/>
      </c>
      <c r="E624" s="42" t="str">
        <f t="shared" ca="1" si="4"/>
        <v/>
      </c>
      <c r="G624" s="29" t="str">
        <f ca="1">VLOOKUP(A624,Calculation!$F$6:$J$1004,3,FALSE)</f>
        <v/>
      </c>
      <c r="H624" s="4" t="str">
        <f ca="1">VLOOKUP(A624,Calculation!$F$6:$J$1004,4,FALSE)</f>
        <v/>
      </c>
      <c r="I624" s="4" t="str">
        <f ca="1">VLOOKUP(A624,Calculation!$F$6:$J$1004,5,FALSE)</f>
        <v/>
      </c>
      <c r="J624" s="43" t="str">
        <f t="shared" ca="1" si="5"/>
        <v/>
      </c>
      <c r="L624" s="29" t="str">
        <f ca="1">VLOOKUP(A624,Calculation!$G$6:$S$1004,2,FALSE)</f>
        <v/>
      </c>
      <c r="M624" s="4" t="str">
        <f ca="1">IFERROR(VLOOKUP($L624,Calculation!$H$6:$S$1005,HLOOKUP(M$2,Calculation!$M$4:$S$5,2,FALSE)+5,FALSE),"")</f>
        <v/>
      </c>
      <c r="N624" s="4" t="str">
        <f ca="1">IFERROR(VLOOKUP($L624,Calculation!$H$6:$S$1005,HLOOKUP(N$2,Calculation!$M$4:$S$5,2,FALSE)+5,FALSE),"")</f>
        <v/>
      </c>
      <c r="O624" s="4" t="str">
        <f ca="1">IFERROR(VLOOKUP($L624,Calculation!$H$6:$S$1005,HLOOKUP(O$2,Calculation!$M$4:$S$5,2,FALSE)+5,FALSE),"")</f>
        <v/>
      </c>
      <c r="P624" s="4" t="str">
        <f ca="1">IFERROR(VLOOKUP($L624,Calculation!$H$6:$S$1005,HLOOKUP(P$2,Calculation!$M$4:$S$5,2,FALSE)+5,FALSE),"")</f>
        <v/>
      </c>
      <c r="Q624" s="4" t="str">
        <f ca="1">IFERROR(VLOOKUP($L624,Calculation!$H$6:$S$1005,HLOOKUP(Q$2,Calculation!$M$4:$S$5,2,FALSE)+5,FALSE),"")</f>
        <v/>
      </c>
      <c r="R624" s="27" t="str">
        <f ca="1">IFERROR(VLOOKUP($L624,Calculation!$H$6:$S$1005,HLOOKUP(R$2,Calculation!$M$4:$S$5,2,FALSE)+5,FALSE),"")</f>
        <v/>
      </c>
      <c r="S624" s="4" t="str">
        <f ca="1">IFERROR(VLOOKUP($L624,Calculation!$H$6:$S$1005,HLOOKUP(S$2,Calculation!$M$4:$S$5,2,FALSE)+5,FALSE),"")</f>
        <v/>
      </c>
      <c r="T624" s="29"/>
      <c r="U624" s="43" t="str">
        <f>IFERROR(VLOOKUP(T624,Calculation!$U$6:$V$11,2,FALSE),"")</f>
        <v/>
      </c>
    </row>
    <row r="625" spans="1:21" ht="14.25" customHeight="1" x14ac:dyDescent="0.3">
      <c r="A625" s="26" t="str">
        <f ca="1">IF(Calculation!T628&lt;=Calculation!$H$4,Calculation!T628,"")</f>
        <v/>
      </c>
      <c r="B625" s="4" t="str">
        <f ca="1">VLOOKUP(A625,Calculation!$E$6:$J$1004,4,FALSE)</f>
        <v/>
      </c>
      <c r="C625" s="4" t="str">
        <f ca="1">VLOOKUP(A625,Calculation!$E$6:$J$1004,5,FALSE)</f>
        <v/>
      </c>
      <c r="D625" s="4" t="str">
        <f ca="1">VLOOKUP(A625,Calculation!$E$6:$J$1004,6,FALSE)</f>
        <v/>
      </c>
      <c r="E625" s="42" t="str">
        <f t="shared" ca="1" si="4"/>
        <v/>
      </c>
      <c r="G625" s="29" t="str">
        <f ca="1">VLOOKUP(A625,Calculation!$F$6:$J$1004,3,FALSE)</f>
        <v/>
      </c>
      <c r="H625" s="4" t="str">
        <f ca="1">VLOOKUP(A625,Calculation!$F$6:$J$1004,4,FALSE)</f>
        <v/>
      </c>
      <c r="I625" s="4" t="str">
        <f ca="1">VLOOKUP(A625,Calculation!$F$6:$J$1004,5,FALSE)</f>
        <v/>
      </c>
      <c r="J625" s="43" t="str">
        <f t="shared" ca="1" si="5"/>
        <v/>
      </c>
      <c r="L625" s="29" t="str">
        <f ca="1">VLOOKUP(A625,Calculation!$G$6:$S$1004,2,FALSE)</f>
        <v/>
      </c>
      <c r="M625" s="4" t="str">
        <f ca="1">IFERROR(VLOOKUP($L625,Calculation!$H$6:$S$1005,HLOOKUP(M$2,Calculation!$M$4:$S$5,2,FALSE)+5,FALSE),"")</f>
        <v/>
      </c>
      <c r="N625" s="4" t="str">
        <f ca="1">IFERROR(VLOOKUP($L625,Calculation!$H$6:$S$1005,HLOOKUP(N$2,Calculation!$M$4:$S$5,2,FALSE)+5,FALSE),"")</f>
        <v/>
      </c>
      <c r="O625" s="4" t="str">
        <f ca="1">IFERROR(VLOOKUP($L625,Calculation!$H$6:$S$1005,HLOOKUP(O$2,Calculation!$M$4:$S$5,2,FALSE)+5,FALSE),"")</f>
        <v/>
      </c>
      <c r="P625" s="4" t="str">
        <f ca="1">IFERROR(VLOOKUP($L625,Calculation!$H$6:$S$1005,HLOOKUP(P$2,Calculation!$M$4:$S$5,2,FALSE)+5,FALSE),"")</f>
        <v/>
      </c>
      <c r="Q625" s="4" t="str">
        <f ca="1">IFERROR(VLOOKUP($L625,Calculation!$H$6:$S$1005,HLOOKUP(Q$2,Calculation!$M$4:$S$5,2,FALSE)+5,FALSE),"")</f>
        <v/>
      </c>
      <c r="R625" s="27" t="str">
        <f ca="1">IFERROR(VLOOKUP($L625,Calculation!$H$6:$S$1005,HLOOKUP(R$2,Calculation!$M$4:$S$5,2,FALSE)+5,FALSE),"")</f>
        <v/>
      </c>
      <c r="S625" s="4" t="str">
        <f ca="1">IFERROR(VLOOKUP($L625,Calculation!$H$6:$S$1005,HLOOKUP(S$2,Calculation!$M$4:$S$5,2,FALSE)+5,FALSE),"")</f>
        <v/>
      </c>
      <c r="T625" s="29"/>
      <c r="U625" s="43" t="str">
        <f>IFERROR(VLOOKUP(T625,Calculation!$U$6:$V$11,2,FALSE),"")</f>
        <v/>
      </c>
    </row>
    <row r="626" spans="1:21" ht="14.25" customHeight="1" x14ac:dyDescent="0.3">
      <c r="A626" s="26" t="str">
        <f ca="1">IF(Calculation!T629&lt;=Calculation!$H$4,Calculation!T629,"")</f>
        <v/>
      </c>
      <c r="B626" s="4" t="str">
        <f ca="1">VLOOKUP(A626,Calculation!$E$6:$J$1004,4,FALSE)</f>
        <v/>
      </c>
      <c r="C626" s="4" t="str">
        <f ca="1">VLOOKUP(A626,Calculation!$E$6:$J$1004,5,FALSE)</f>
        <v/>
      </c>
      <c r="D626" s="4" t="str">
        <f ca="1">VLOOKUP(A626,Calculation!$E$6:$J$1004,6,FALSE)</f>
        <v/>
      </c>
      <c r="E626" s="42" t="str">
        <f t="shared" ca="1" si="4"/>
        <v/>
      </c>
      <c r="G626" s="29" t="str">
        <f ca="1">VLOOKUP(A626,Calculation!$F$6:$J$1004,3,FALSE)</f>
        <v/>
      </c>
      <c r="H626" s="4" t="str">
        <f ca="1">VLOOKUP(A626,Calculation!$F$6:$J$1004,4,FALSE)</f>
        <v/>
      </c>
      <c r="I626" s="4" t="str">
        <f ca="1">VLOOKUP(A626,Calculation!$F$6:$J$1004,5,FALSE)</f>
        <v/>
      </c>
      <c r="J626" s="43" t="str">
        <f t="shared" ca="1" si="5"/>
        <v/>
      </c>
      <c r="L626" s="29" t="str">
        <f ca="1">VLOOKUP(A626,Calculation!$G$6:$S$1004,2,FALSE)</f>
        <v/>
      </c>
      <c r="M626" s="4" t="str">
        <f ca="1">IFERROR(VLOOKUP($L626,Calculation!$H$6:$S$1005,HLOOKUP(M$2,Calculation!$M$4:$S$5,2,FALSE)+5,FALSE),"")</f>
        <v/>
      </c>
      <c r="N626" s="4" t="str">
        <f ca="1">IFERROR(VLOOKUP($L626,Calculation!$H$6:$S$1005,HLOOKUP(N$2,Calculation!$M$4:$S$5,2,FALSE)+5,FALSE),"")</f>
        <v/>
      </c>
      <c r="O626" s="4" t="str">
        <f ca="1">IFERROR(VLOOKUP($L626,Calculation!$H$6:$S$1005,HLOOKUP(O$2,Calculation!$M$4:$S$5,2,FALSE)+5,FALSE),"")</f>
        <v/>
      </c>
      <c r="P626" s="4" t="str">
        <f ca="1">IFERROR(VLOOKUP($L626,Calculation!$H$6:$S$1005,HLOOKUP(P$2,Calculation!$M$4:$S$5,2,FALSE)+5,FALSE),"")</f>
        <v/>
      </c>
      <c r="Q626" s="4" t="str">
        <f ca="1">IFERROR(VLOOKUP($L626,Calculation!$H$6:$S$1005,HLOOKUP(Q$2,Calculation!$M$4:$S$5,2,FALSE)+5,FALSE),"")</f>
        <v/>
      </c>
      <c r="R626" s="27" t="str">
        <f ca="1">IFERROR(VLOOKUP($L626,Calculation!$H$6:$S$1005,HLOOKUP(R$2,Calculation!$M$4:$S$5,2,FALSE)+5,FALSE),"")</f>
        <v/>
      </c>
      <c r="S626" s="4" t="str">
        <f ca="1">IFERROR(VLOOKUP($L626,Calculation!$H$6:$S$1005,HLOOKUP(S$2,Calculation!$M$4:$S$5,2,FALSE)+5,FALSE),"")</f>
        <v/>
      </c>
      <c r="T626" s="29"/>
      <c r="U626" s="43" t="str">
        <f>IFERROR(VLOOKUP(T626,Calculation!$U$6:$V$11,2,FALSE),"")</f>
        <v/>
      </c>
    </row>
    <row r="627" spans="1:21" ht="14.25" customHeight="1" x14ac:dyDescent="0.3">
      <c r="A627" s="26" t="str">
        <f ca="1">IF(Calculation!T630&lt;=Calculation!$H$4,Calculation!T630,"")</f>
        <v/>
      </c>
      <c r="B627" s="4" t="str">
        <f ca="1">VLOOKUP(A627,Calculation!$E$6:$J$1004,4,FALSE)</f>
        <v/>
      </c>
      <c r="C627" s="4" t="str">
        <f ca="1">VLOOKUP(A627,Calculation!$E$6:$J$1004,5,FALSE)</f>
        <v/>
      </c>
      <c r="D627" s="4" t="str">
        <f ca="1">VLOOKUP(A627,Calculation!$E$6:$J$1004,6,FALSE)</f>
        <v/>
      </c>
      <c r="E627" s="42" t="str">
        <f t="shared" ca="1" si="4"/>
        <v/>
      </c>
      <c r="G627" s="29" t="str">
        <f ca="1">VLOOKUP(A627,Calculation!$F$6:$J$1004,3,FALSE)</f>
        <v/>
      </c>
      <c r="H627" s="4" t="str">
        <f ca="1">VLOOKUP(A627,Calculation!$F$6:$J$1004,4,FALSE)</f>
        <v/>
      </c>
      <c r="I627" s="4" t="str">
        <f ca="1">VLOOKUP(A627,Calculation!$F$6:$J$1004,5,FALSE)</f>
        <v/>
      </c>
      <c r="J627" s="43" t="str">
        <f t="shared" ca="1" si="5"/>
        <v/>
      </c>
      <c r="L627" s="29" t="str">
        <f ca="1">VLOOKUP(A627,Calculation!$G$6:$S$1004,2,FALSE)</f>
        <v/>
      </c>
      <c r="M627" s="4" t="str">
        <f ca="1">IFERROR(VLOOKUP($L627,Calculation!$H$6:$S$1005,HLOOKUP(M$2,Calculation!$M$4:$S$5,2,FALSE)+5,FALSE),"")</f>
        <v/>
      </c>
      <c r="N627" s="4" t="str">
        <f ca="1">IFERROR(VLOOKUP($L627,Calculation!$H$6:$S$1005,HLOOKUP(N$2,Calculation!$M$4:$S$5,2,FALSE)+5,FALSE),"")</f>
        <v/>
      </c>
      <c r="O627" s="4" t="str">
        <f ca="1">IFERROR(VLOOKUP($L627,Calculation!$H$6:$S$1005,HLOOKUP(O$2,Calculation!$M$4:$S$5,2,FALSE)+5,FALSE),"")</f>
        <v/>
      </c>
      <c r="P627" s="4" t="str">
        <f ca="1">IFERROR(VLOOKUP($L627,Calculation!$H$6:$S$1005,HLOOKUP(P$2,Calculation!$M$4:$S$5,2,FALSE)+5,FALSE),"")</f>
        <v/>
      </c>
      <c r="Q627" s="4" t="str">
        <f ca="1">IFERROR(VLOOKUP($L627,Calculation!$H$6:$S$1005,HLOOKUP(Q$2,Calculation!$M$4:$S$5,2,FALSE)+5,FALSE),"")</f>
        <v/>
      </c>
      <c r="R627" s="27" t="str">
        <f ca="1">IFERROR(VLOOKUP($L627,Calculation!$H$6:$S$1005,HLOOKUP(R$2,Calculation!$M$4:$S$5,2,FALSE)+5,FALSE),"")</f>
        <v/>
      </c>
      <c r="S627" s="4" t="str">
        <f ca="1">IFERROR(VLOOKUP($L627,Calculation!$H$6:$S$1005,HLOOKUP(S$2,Calculation!$M$4:$S$5,2,FALSE)+5,FALSE),"")</f>
        <v/>
      </c>
      <c r="T627" s="29"/>
      <c r="U627" s="43" t="str">
        <f>IFERROR(VLOOKUP(T627,Calculation!$U$6:$V$11,2,FALSE),"")</f>
        <v/>
      </c>
    </row>
    <row r="628" spans="1:21" ht="14.25" customHeight="1" x14ac:dyDescent="0.3">
      <c r="A628" s="26" t="str">
        <f ca="1">IF(Calculation!T631&lt;=Calculation!$H$4,Calculation!T631,"")</f>
        <v/>
      </c>
      <c r="B628" s="4" t="str">
        <f ca="1">VLOOKUP(A628,Calculation!$E$6:$J$1004,4,FALSE)</f>
        <v/>
      </c>
      <c r="C628" s="4" t="str">
        <f ca="1">VLOOKUP(A628,Calculation!$E$6:$J$1004,5,FALSE)</f>
        <v/>
      </c>
      <c r="D628" s="4" t="str">
        <f ca="1">VLOOKUP(A628,Calculation!$E$6:$J$1004,6,FALSE)</f>
        <v/>
      </c>
      <c r="E628" s="42" t="str">
        <f t="shared" ca="1" si="4"/>
        <v/>
      </c>
      <c r="G628" s="29" t="str">
        <f ca="1">VLOOKUP(A628,Calculation!$F$6:$J$1004,3,FALSE)</f>
        <v/>
      </c>
      <c r="H628" s="4" t="str">
        <f ca="1">VLOOKUP(A628,Calculation!$F$6:$J$1004,4,FALSE)</f>
        <v/>
      </c>
      <c r="I628" s="4" t="str">
        <f ca="1">VLOOKUP(A628,Calculation!$F$6:$J$1004,5,FALSE)</f>
        <v/>
      </c>
      <c r="J628" s="43" t="str">
        <f t="shared" ca="1" si="5"/>
        <v/>
      </c>
      <c r="L628" s="29" t="str">
        <f ca="1">VLOOKUP(A628,Calculation!$G$6:$S$1004,2,FALSE)</f>
        <v/>
      </c>
      <c r="M628" s="4" t="str">
        <f ca="1">IFERROR(VLOOKUP($L628,Calculation!$H$6:$S$1005,HLOOKUP(M$2,Calculation!$M$4:$S$5,2,FALSE)+5,FALSE),"")</f>
        <v/>
      </c>
      <c r="N628" s="4" t="str">
        <f ca="1">IFERROR(VLOOKUP($L628,Calculation!$H$6:$S$1005,HLOOKUP(N$2,Calculation!$M$4:$S$5,2,FALSE)+5,FALSE),"")</f>
        <v/>
      </c>
      <c r="O628" s="4" t="str">
        <f ca="1">IFERROR(VLOOKUP($L628,Calculation!$H$6:$S$1005,HLOOKUP(O$2,Calculation!$M$4:$S$5,2,FALSE)+5,FALSE),"")</f>
        <v/>
      </c>
      <c r="P628" s="4" t="str">
        <f ca="1">IFERROR(VLOOKUP($L628,Calculation!$H$6:$S$1005,HLOOKUP(P$2,Calculation!$M$4:$S$5,2,FALSE)+5,FALSE),"")</f>
        <v/>
      </c>
      <c r="Q628" s="4" t="str">
        <f ca="1">IFERROR(VLOOKUP($L628,Calculation!$H$6:$S$1005,HLOOKUP(Q$2,Calculation!$M$4:$S$5,2,FALSE)+5,FALSE),"")</f>
        <v/>
      </c>
      <c r="R628" s="27" t="str">
        <f ca="1">IFERROR(VLOOKUP($L628,Calculation!$H$6:$S$1005,HLOOKUP(R$2,Calculation!$M$4:$S$5,2,FALSE)+5,FALSE),"")</f>
        <v/>
      </c>
      <c r="S628" s="4" t="str">
        <f ca="1">IFERROR(VLOOKUP($L628,Calculation!$H$6:$S$1005,HLOOKUP(S$2,Calculation!$M$4:$S$5,2,FALSE)+5,FALSE),"")</f>
        <v/>
      </c>
      <c r="T628" s="29"/>
      <c r="U628" s="43" t="str">
        <f>IFERROR(VLOOKUP(T628,Calculation!$U$6:$V$11,2,FALSE),"")</f>
        <v/>
      </c>
    </row>
    <row r="629" spans="1:21" ht="14.25" customHeight="1" x14ac:dyDescent="0.3">
      <c r="A629" s="26" t="str">
        <f ca="1">IF(Calculation!T632&lt;=Calculation!$H$4,Calculation!T632,"")</f>
        <v/>
      </c>
      <c r="B629" s="4" t="str">
        <f ca="1">VLOOKUP(A629,Calculation!$E$6:$J$1004,4,FALSE)</f>
        <v/>
      </c>
      <c r="C629" s="4" t="str">
        <f ca="1">VLOOKUP(A629,Calculation!$E$6:$J$1004,5,FALSE)</f>
        <v/>
      </c>
      <c r="D629" s="4" t="str">
        <f ca="1">VLOOKUP(A629,Calculation!$E$6:$J$1004,6,FALSE)</f>
        <v/>
      </c>
      <c r="E629" s="42" t="str">
        <f t="shared" ca="1" si="4"/>
        <v/>
      </c>
      <c r="G629" s="29" t="str">
        <f ca="1">VLOOKUP(A629,Calculation!$F$6:$J$1004,3,FALSE)</f>
        <v/>
      </c>
      <c r="H629" s="4" t="str">
        <f ca="1">VLOOKUP(A629,Calculation!$F$6:$J$1004,4,FALSE)</f>
        <v/>
      </c>
      <c r="I629" s="4" t="str">
        <f ca="1">VLOOKUP(A629,Calculation!$F$6:$J$1004,5,FALSE)</f>
        <v/>
      </c>
      <c r="J629" s="43" t="str">
        <f t="shared" ca="1" si="5"/>
        <v/>
      </c>
      <c r="L629" s="29" t="str">
        <f ca="1">VLOOKUP(A629,Calculation!$G$6:$S$1004,2,FALSE)</f>
        <v/>
      </c>
      <c r="M629" s="4" t="str">
        <f ca="1">IFERROR(VLOOKUP($L629,Calculation!$H$6:$S$1005,HLOOKUP(M$2,Calculation!$M$4:$S$5,2,FALSE)+5,FALSE),"")</f>
        <v/>
      </c>
      <c r="N629" s="4" t="str">
        <f ca="1">IFERROR(VLOOKUP($L629,Calculation!$H$6:$S$1005,HLOOKUP(N$2,Calculation!$M$4:$S$5,2,FALSE)+5,FALSE),"")</f>
        <v/>
      </c>
      <c r="O629" s="4" t="str">
        <f ca="1">IFERROR(VLOOKUP($L629,Calculation!$H$6:$S$1005,HLOOKUP(O$2,Calculation!$M$4:$S$5,2,FALSE)+5,FALSE),"")</f>
        <v/>
      </c>
      <c r="P629" s="4" t="str">
        <f ca="1">IFERROR(VLOOKUP($L629,Calculation!$H$6:$S$1005,HLOOKUP(P$2,Calculation!$M$4:$S$5,2,FALSE)+5,FALSE),"")</f>
        <v/>
      </c>
      <c r="Q629" s="4" t="str">
        <f ca="1">IFERROR(VLOOKUP($L629,Calculation!$H$6:$S$1005,HLOOKUP(Q$2,Calculation!$M$4:$S$5,2,FALSE)+5,FALSE),"")</f>
        <v/>
      </c>
      <c r="R629" s="27" t="str">
        <f ca="1">IFERROR(VLOOKUP($L629,Calculation!$H$6:$S$1005,HLOOKUP(R$2,Calculation!$M$4:$S$5,2,FALSE)+5,FALSE),"")</f>
        <v/>
      </c>
      <c r="S629" s="4" t="str">
        <f ca="1">IFERROR(VLOOKUP($L629,Calculation!$H$6:$S$1005,HLOOKUP(S$2,Calculation!$M$4:$S$5,2,FALSE)+5,FALSE),"")</f>
        <v/>
      </c>
      <c r="T629" s="29"/>
      <c r="U629" s="43" t="str">
        <f>IFERROR(VLOOKUP(T629,Calculation!$U$6:$V$11,2,FALSE),"")</f>
        <v/>
      </c>
    </row>
    <row r="630" spans="1:21" ht="14.25" customHeight="1" x14ac:dyDescent="0.3">
      <c r="A630" s="26" t="str">
        <f ca="1">IF(Calculation!T633&lt;=Calculation!$H$4,Calculation!T633,"")</f>
        <v/>
      </c>
      <c r="B630" s="4" t="str">
        <f ca="1">VLOOKUP(A630,Calculation!$E$6:$J$1004,4,FALSE)</f>
        <v/>
      </c>
      <c r="C630" s="4" t="str">
        <f ca="1">VLOOKUP(A630,Calculation!$E$6:$J$1004,5,FALSE)</f>
        <v/>
      </c>
      <c r="D630" s="4" t="str">
        <f ca="1">VLOOKUP(A630,Calculation!$E$6:$J$1004,6,FALSE)</f>
        <v/>
      </c>
      <c r="E630" s="42" t="str">
        <f t="shared" ca="1" si="4"/>
        <v/>
      </c>
      <c r="G630" s="29" t="str">
        <f ca="1">VLOOKUP(A630,Calculation!$F$6:$J$1004,3,FALSE)</f>
        <v/>
      </c>
      <c r="H630" s="4" t="str">
        <f ca="1">VLOOKUP(A630,Calculation!$F$6:$J$1004,4,FALSE)</f>
        <v/>
      </c>
      <c r="I630" s="4" t="str">
        <f ca="1">VLOOKUP(A630,Calculation!$F$6:$J$1004,5,FALSE)</f>
        <v/>
      </c>
      <c r="J630" s="43" t="str">
        <f t="shared" ca="1" si="5"/>
        <v/>
      </c>
      <c r="L630" s="29" t="str">
        <f ca="1">VLOOKUP(A630,Calculation!$G$6:$S$1004,2,FALSE)</f>
        <v/>
      </c>
      <c r="M630" s="4" t="str">
        <f ca="1">IFERROR(VLOOKUP($L630,Calculation!$H$6:$S$1005,HLOOKUP(M$2,Calculation!$M$4:$S$5,2,FALSE)+5,FALSE),"")</f>
        <v/>
      </c>
      <c r="N630" s="4" t="str">
        <f ca="1">IFERROR(VLOOKUP($L630,Calculation!$H$6:$S$1005,HLOOKUP(N$2,Calculation!$M$4:$S$5,2,FALSE)+5,FALSE),"")</f>
        <v/>
      </c>
      <c r="O630" s="4" t="str">
        <f ca="1">IFERROR(VLOOKUP($L630,Calculation!$H$6:$S$1005,HLOOKUP(O$2,Calculation!$M$4:$S$5,2,FALSE)+5,FALSE),"")</f>
        <v/>
      </c>
      <c r="P630" s="4" t="str">
        <f ca="1">IFERROR(VLOOKUP($L630,Calculation!$H$6:$S$1005,HLOOKUP(P$2,Calculation!$M$4:$S$5,2,FALSE)+5,FALSE),"")</f>
        <v/>
      </c>
      <c r="Q630" s="4" t="str">
        <f ca="1">IFERROR(VLOOKUP($L630,Calculation!$H$6:$S$1005,HLOOKUP(Q$2,Calculation!$M$4:$S$5,2,FALSE)+5,FALSE),"")</f>
        <v/>
      </c>
      <c r="R630" s="27" t="str">
        <f ca="1">IFERROR(VLOOKUP($L630,Calculation!$H$6:$S$1005,HLOOKUP(R$2,Calculation!$M$4:$S$5,2,FALSE)+5,FALSE),"")</f>
        <v/>
      </c>
      <c r="S630" s="4" t="str">
        <f ca="1">IFERROR(VLOOKUP($L630,Calculation!$H$6:$S$1005,HLOOKUP(S$2,Calculation!$M$4:$S$5,2,FALSE)+5,FALSE),"")</f>
        <v/>
      </c>
      <c r="T630" s="29"/>
      <c r="U630" s="43" t="str">
        <f>IFERROR(VLOOKUP(T630,Calculation!$U$6:$V$11,2,FALSE),"")</f>
        <v/>
      </c>
    </row>
    <row r="631" spans="1:21" ht="14.25" customHeight="1" x14ac:dyDescent="0.3">
      <c r="A631" s="26" t="str">
        <f ca="1">IF(Calculation!T634&lt;=Calculation!$H$4,Calculation!T634,"")</f>
        <v/>
      </c>
      <c r="B631" s="4" t="str">
        <f ca="1">VLOOKUP(A631,Calculation!$E$6:$J$1004,4,FALSE)</f>
        <v/>
      </c>
      <c r="C631" s="4" t="str">
        <f ca="1">VLOOKUP(A631,Calculation!$E$6:$J$1004,5,FALSE)</f>
        <v/>
      </c>
      <c r="D631" s="4" t="str">
        <f ca="1">VLOOKUP(A631,Calculation!$E$6:$J$1004,6,FALSE)</f>
        <v/>
      </c>
      <c r="E631" s="42" t="str">
        <f t="shared" ca="1" si="4"/>
        <v/>
      </c>
      <c r="G631" s="29" t="str">
        <f ca="1">VLOOKUP(A631,Calculation!$F$6:$J$1004,3,FALSE)</f>
        <v/>
      </c>
      <c r="H631" s="4" t="str">
        <f ca="1">VLOOKUP(A631,Calculation!$F$6:$J$1004,4,FALSE)</f>
        <v/>
      </c>
      <c r="I631" s="4" t="str">
        <f ca="1">VLOOKUP(A631,Calculation!$F$6:$J$1004,5,FALSE)</f>
        <v/>
      </c>
      <c r="J631" s="43" t="str">
        <f t="shared" ca="1" si="5"/>
        <v/>
      </c>
      <c r="L631" s="29" t="str">
        <f ca="1">VLOOKUP(A631,Calculation!$G$6:$S$1004,2,FALSE)</f>
        <v/>
      </c>
      <c r="M631" s="4" t="str">
        <f ca="1">IFERROR(VLOOKUP($L631,Calculation!$H$6:$S$1005,HLOOKUP(M$2,Calculation!$M$4:$S$5,2,FALSE)+5,FALSE),"")</f>
        <v/>
      </c>
      <c r="N631" s="4" t="str">
        <f ca="1">IFERROR(VLOOKUP($L631,Calculation!$H$6:$S$1005,HLOOKUP(N$2,Calculation!$M$4:$S$5,2,FALSE)+5,FALSE),"")</f>
        <v/>
      </c>
      <c r="O631" s="4" t="str">
        <f ca="1">IFERROR(VLOOKUP($L631,Calculation!$H$6:$S$1005,HLOOKUP(O$2,Calculation!$M$4:$S$5,2,FALSE)+5,FALSE),"")</f>
        <v/>
      </c>
      <c r="P631" s="4" t="str">
        <f ca="1">IFERROR(VLOOKUP($L631,Calculation!$H$6:$S$1005,HLOOKUP(P$2,Calculation!$M$4:$S$5,2,FALSE)+5,FALSE),"")</f>
        <v/>
      </c>
      <c r="Q631" s="4" t="str">
        <f ca="1">IFERROR(VLOOKUP($L631,Calculation!$H$6:$S$1005,HLOOKUP(Q$2,Calculation!$M$4:$S$5,2,FALSE)+5,FALSE),"")</f>
        <v/>
      </c>
      <c r="R631" s="27" t="str">
        <f ca="1">IFERROR(VLOOKUP($L631,Calculation!$H$6:$S$1005,HLOOKUP(R$2,Calculation!$M$4:$S$5,2,FALSE)+5,FALSE),"")</f>
        <v/>
      </c>
      <c r="S631" s="4" t="str">
        <f ca="1">IFERROR(VLOOKUP($L631,Calculation!$H$6:$S$1005,HLOOKUP(S$2,Calculation!$M$4:$S$5,2,FALSE)+5,FALSE),"")</f>
        <v/>
      </c>
      <c r="T631" s="29"/>
      <c r="U631" s="43" t="str">
        <f>IFERROR(VLOOKUP(T631,Calculation!$U$6:$V$11,2,FALSE),"")</f>
        <v/>
      </c>
    </row>
    <row r="632" spans="1:21" ht="14.25" customHeight="1" x14ac:dyDescent="0.3">
      <c r="A632" s="26" t="str">
        <f ca="1">IF(Calculation!T635&lt;=Calculation!$H$4,Calculation!T635,"")</f>
        <v/>
      </c>
      <c r="B632" s="4" t="str">
        <f ca="1">VLOOKUP(A632,Calculation!$E$6:$J$1004,4,FALSE)</f>
        <v/>
      </c>
      <c r="C632" s="4" t="str">
        <f ca="1">VLOOKUP(A632,Calculation!$E$6:$J$1004,5,FALSE)</f>
        <v/>
      </c>
      <c r="D632" s="4" t="str">
        <f ca="1">VLOOKUP(A632,Calculation!$E$6:$J$1004,6,FALSE)</f>
        <v/>
      </c>
      <c r="E632" s="42" t="str">
        <f t="shared" ca="1" si="4"/>
        <v/>
      </c>
      <c r="G632" s="29" t="str">
        <f ca="1">VLOOKUP(A632,Calculation!$F$6:$J$1004,3,FALSE)</f>
        <v/>
      </c>
      <c r="H632" s="4" t="str">
        <f ca="1">VLOOKUP(A632,Calculation!$F$6:$J$1004,4,FALSE)</f>
        <v/>
      </c>
      <c r="I632" s="4" t="str">
        <f ca="1">VLOOKUP(A632,Calculation!$F$6:$J$1004,5,FALSE)</f>
        <v/>
      </c>
      <c r="J632" s="43" t="str">
        <f t="shared" ca="1" si="5"/>
        <v/>
      </c>
      <c r="L632" s="29" t="str">
        <f ca="1">VLOOKUP(A632,Calculation!$G$6:$S$1004,2,FALSE)</f>
        <v/>
      </c>
      <c r="M632" s="4" t="str">
        <f ca="1">IFERROR(VLOOKUP($L632,Calculation!$H$6:$S$1005,HLOOKUP(M$2,Calculation!$M$4:$S$5,2,FALSE)+5,FALSE),"")</f>
        <v/>
      </c>
      <c r="N632" s="4" t="str">
        <f ca="1">IFERROR(VLOOKUP($L632,Calculation!$H$6:$S$1005,HLOOKUP(N$2,Calculation!$M$4:$S$5,2,FALSE)+5,FALSE),"")</f>
        <v/>
      </c>
      <c r="O632" s="4" t="str">
        <f ca="1">IFERROR(VLOOKUP($L632,Calculation!$H$6:$S$1005,HLOOKUP(O$2,Calculation!$M$4:$S$5,2,FALSE)+5,FALSE),"")</f>
        <v/>
      </c>
      <c r="P632" s="4" t="str">
        <f ca="1">IFERROR(VLOOKUP($L632,Calculation!$H$6:$S$1005,HLOOKUP(P$2,Calculation!$M$4:$S$5,2,FALSE)+5,FALSE),"")</f>
        <v/>
      </c>
      <c r="Q632" s="4" t="str">
        <f ca="1">IFERROR(VLOOKUP($L632,Calculation!$H$6:$S$1005,HLOOKUP(Q$2,Calculation!$M$4:$S$5,2,FALSE)+5,FALSE),"")</f>
        <v/>
      </c>
      <c r="R632" s="27" t="str">
        <f ca="1">IFERROR(VLOOKUP($L632,Calculation!$H$6:$S$1005,HLOOKUP(R$2,Calculation!$M$4:$S$5,2,FALSE)+5,FALSE),"")</f>
        <v/>
      </c>
      <c r="S632" s="4" t="str">
        <f ca="1">IFERROR(VLOOKUP($L632,Calculation!$H$6:$S$1005,HLOOKUP(S$2,Calculation!$M$4:$S$5,2,FALSE)+5,FALSE),"")</f>
        <v/>
      </c>
      <c r="T632" s="29"/>
      <c r="U632" s="43" t="str">
        <f>IFERROR(VLOOKUP(T632,Calculation!$U$6:$V$11,2,FALSE),"")</f>
        <v/>
      </c>
    </row>
    <row r="633" spans="1:21" ht="14.25" customHeight="1" x14ac:dyDescent="0.3">
      <c r="A633" s="26" t="str">
        <f ca="1">IF(Calculation!T636&lt;=Calculation!$H$4,Calculation!T636,"")</f>
        <v/>
      </c>
      <c r="B633" s="4" t="str">
        <f ca="1">VLOOKUP(A633,Calculation!$E$6:$J$1004,4,FALSE)</f>
        <v/>
      </c>
      <c r="C633" s="4" t="str">
        <f ca="1">VLOOKUP(A633,Calculation!$E$6:$J$1004,5,FALSE)</f>
        <v/>
      </c>
      <c r="D633" s="4" t="str">
        <f ca="1">VLOOKUP(A633,Calculation!$E$6:$J$1004,6,FALSE)</f>
        <v/>
      </c>
      <c r="E633" s="42" t="str">
        <f t="shared" ca="1" si="4"/>
        <v/>
      </c>
      <c r="G633" s="29" t="str">
        <f ca="1">VLOOKUP(A633,Calculation!$F$6:$J$1004,3,FALSE)</f>
        <v/>
      </c>
      <c r="H633" s="4" t="str">
        <f ca="1">VLOOKUP(A633,Calculation!$F$6:$J$1004,4,FALSE)</f>
        <v/>
      </c>
      <c r="I633" s="4" t="str">
        <f ca="1">VLOOKUP(A633,Calculation!$F$6:$J$1004,5,FALSE)</f>
        <v/>
      </c>
      <c r="J633" s="43" t="str">
        <f t="shared" ca="1" si="5"/>
        <v/>
      </c>
      <c r="L633" s="29" t="str">
        <f ca="1">VLOOKUP(A633,Calculation!$G$6:$S$1004,2,FALSE)</f>
        <v/>
      </c>
      <c r="M633" s="4" t="str">
        <f ca="1">IFERROR(VLOOKUP($L633,Calculation!$H$6:$S$1005,HLOOKUP(M$2,Calculation!$M$4:$S$5,2,FALSE)+5,FALSE),"")</f>
        <v/>
      </c>
      <c r="N633" s="4" t="str">
        <f ca="1">IFERROR(VLOOKUP($L633,Calculation!$H$6:$S$1005,HLOOKUP(N$2,Calculation!$M$4:$S$5,2,FALSE)+5,FALSE),"")</f>
        <v/>
      </c>
      <c r="O633" s="4" t="str">
        <f ca="1">IFERROR(VLOOKUP($L633,Calculation!$H$6:$S$1005,HLOOKUP(O$2,Calculation!$M$4:$S$5,2,FALSE)+5,FALSE),"")</f>
        <v/>
      </c>
      <c r="P633" s="4" t="str">
        <f ca="1">IFERROR(VLOOKUP($L633,Calculation!$H$6:$S$1005,HLOOKUP(P$2,Calculation!$M$4:$S$5,2,FALSE)+5,FALSE),"")</f>
        <v/>
      </c>
      <c r="Q633" s="4" t="str">
        <f ca="1">IFERROR(VLOOKUP($L633,Calculation!$H$6:$S$1005,HLOOKUP(Q$2,Calculation!$M$4:$S$5,2,FALSE)+5,FALSE),"")</f>
        <v/>
      </c>
      <c r="R633" s="27" t="str">
        <f ca="1">IFERROR(VLOOKUP($L633,Calculation!$H$6:$S$1005,HLOOKUP(R$2,Calculation!$M$4:$S$5,2,FALSE)+5,FALSE),"")</f>
        <v/>
      </c>
      <c r="S633" s="4" t="str">
        <f ca="1">IFERROR(VLOOKUP($L633,Calculation!$H$6:$S$1005,HLOOKUP(S$2,Calculation!$M$4:$S$5,2,FALSE)+5,FALSE),"")</f>
        <v/>
      </c>
      <c r="T633" s="29"/>
      <c r="U633" s="43" t="str">
        <f>IFERROR(VLOOKUP(T633,Calculation!$U$6:$V$11,2,FALSE),"")</f>
        <v/>
      </c>
    </row>
    <row r="634" spans="1:21" ht="14.25" customHeight="1" x14ac:dyDescent="0.3">
      <c r="A634" s="26" t="str">
        <f ca="1">IF(Calculation!T637&lt;=Calculation!$H$4,Calculation!T637,"")</f>
        <v/>
      </c>
      <c r="B634" s="4" t="str">
        <f ca="1">VLOOKUP(A634,Calculation!$E$6:$J$1004,4,FALSE)</f>
        <v/>
      </c>
      <c r="C634" s="4" t="str">
        <f ca="1">VLOOKUP(A634,Calculation!$E$6:$J$1004,5,FALSE)</f>
        <v/>
      </c>
      <c r="D634" s="4" t="str">
        <f ca="1">VLOOKUP(A634,Calculation!$E$6:$J$1004,6,FALSE)</f>
        <v/>
      </c>
      <c r="E634" s="42" t="str">
        <f t="shared" ca="1" si="4"/>
        <v/>
      </c>
      <c r="G634" s="29" t="str">
        <f ca="1">VLOOKUP(A634,Calculation!$F$6:$J$1004,3,FALSE)</f>
        <v/>
      </c>
      <c r="H634" s="4" t="str">
        <f ca="1">VLOOKUP(A634,Calculation!$F$6:$J$1004,4,FALSE)</f>
        <v/>
      </c>
      <c r="I634" s="4" t="str">
        <f ca="1">VLOOKUP(A634,Calculation!$F$6:$J$1004,5,FALSE)</f>
        <v/>
      </c>
      <c r="J634" s="43" t="str">
        <f t="shared" ca="1" si="5"/>
        <v/>
      </c>
      <c r="L634" s="29" t="str">
        <f ca="1">VLOOKUP(A634,Calculation!$G$6:$S$1004,2,FALSE)</f>
        <v/>
      </c>
      <c r="M634" s="4" t="str">
        <f ca="1">IFERROR(VLOOKUP($L634,Calculation!$H$6:$S$1005,HLOOKUP(M$2,Calculation!$M$4:$S$5,2,FALSE)+5,FALSE),"")</f>
        <v/>
      </c>
      <c r="N634" s="4" t="str">
        <f ca="1">IFERROR(VLOOKUP($L634,Calculation!$H$6:$S$1005,HLOOKUP(N$2,Calculation!$M$4:$S$5,2,FALSE)+5,FALSE),"")</f>
        <v/>
      </c>
      <c r="O634" s="4" t="str">
        <f ca="1">IFERROR(VLOOKUP($L634,Calculation!$H$6:$S$1005,HLOOKUP(O$2,Calculation!$M$4:$S$5,2,FALSE)+5,FALSE),"")</f>
        <v/>
      </c>
      <c r="P634" s="4" t="str">
        <f ca="1">IFERROR(VLOOKUP($L634,Calculation!$H$6:$S$1005,HLOOKUP(P$2,Calculation!$M$4:$S$5,2,FALSE)+5,FALSE),"")</f>
        <v/>
      </c>
      <c r="Q634" s="4" t="str">
        <f ca="1">IFERROR(VLOOKUP($L634,Calculation!$H$6:$S$1005,HLOOKUP(Q$2,Calculation!$M$4:$S$5,2,FALSE)+5,FALSE),"")</f>
        <v/>
      </c>
      <c r="R634" s="27" t="str">
        <f ca="1">IFERROR(VLOOKUP($L634,Calculation!$H$6:$S$1005,HLOOKUP(R$2,Calculation!$M$4:$S$5,2,FALSE)+5,FALSE),"")</f>
        <v/>
      </c>
      <c r="S634" s="4" t="str">
        <f ca="1">IFERROR(VLOOKUP($L634,Calculation!$H$6:$S$1005,HLOOKUP(S$2,Calculation!$M$4:$S$5,2,FALSE)+5,FALSE),"")</f>
        <v/>
      </c>
      <c r="T634" s="29"/>
      <c r="U634" s="43" t="str">
        <f>IFERROR(VLOOKUP(T634,Calculation!$U$6:$V$11,2,FALSE),"")</f>
        <v/>
      </c>
    </row>
    <row r="635" spans="1:21" ht="14.25" customHeight="1" x14ac:dyDescent="0.3">
      <c r="A635" s="26" t="str">
        <f ca="1">IF(Calculation!T638&lt;=Calculation!$H$4,Calculation!T638,"")</f>
        <v/>
      </c>
      <c r="B635" s="4" t="str">
        <f ca="1">VLOOKUP(A635,Calculation!$E$6:$J$1004,4,FALSE)</f>
        <v/>
      </c>
      <c r="C635" s="4" t="str">
        <f ca="1">VLOOKUP(A635,Calculation!$E$6:$J$1004,5,FALSE)</f>
        <v/>
      </c>
      <c r="D635" s="4" t="str">
        <f ca="1">VLOOKUP(A635,Calculation!$E$6:$J$1004,6,FALSE)</f>
        <v/>
      </c>
      <c r="E635" s="42" t="str">
        <f t="shared" ca="1" si="4"/>
        <v/>
      </c>
      <c r="G635" s="29" t="str">
        <f ca="1">VLOOKUP(A635,Calculation!$F$6:$J$1004,3,FALSE)</f>
        <v/>
      </c>
      <c r="H635" s="4" t="str">
        <f ca="1">VLOOKUP(A635,Calculation!$F$6:$J$1004,4,FALSE)</f>
        <v/>
      </c>
      <c r="I635" s="4" t="str">
        <f ca="1">VLOOKUP(A635,Calculation!$F$6:$J$1004,5,FALSE)</f>
        <v/>
      </c>
      <c r="J635" s="43" t="str">
        <f t="shared" ca="1" si="5"/>
        <v/>
      </c>
      <c r="L635" s="29" t="str">
        <f ca="1">VLOOKUP(A635,Calculation!$G$6:$S$1004,2,FALSE)</f>
        <v/>
      </c>
      <c r="M635" s="4" t="str">
        <f ca="1">IFERROR(VLOOKUP($L635,Calculation!$H$6:$S$1005,HLOOKUP(M$2,Calculation!$M$4:$S$5,2,FALSE)+5,FALSE),"")</f>
        <v/>
      </c>
      <c r="N635" s="4" t="str">
        <f ca="1">IFERROR(VLOOKUP($L635,Calculation!$H$6:$S$1005,HLOOKUP(N$2,Calculation!$M$4:$S$5,2,FALSE)+5,FALSE),"")</f>
        <v/>
      </c>
      <c r="O635" s="4" t="str">
        <f ca="1">IFERROR(VLOOKUP($L635,Calculation!$H$6:$S$1005,HLOOKUP(O$2,Calculation!$M$4:$S$5,2,FALSE)+5,FALSE),"")</f>
        <v/>
      </c>
      <c r="P635" s="4" t="str">
        <f ca="1">IFERROR(VLOOKUP($L635,Calculation!$H$6:$S$1005,HLOOKUP(P$2,Calculation!$M$4:$S$5,2,FALSE)+5,FALSE),"")</f>
        <v/>
      </c>
      <c r="Q635" s="4" t="str">
        <f ca="1">IFERROR(VLOOKUP($L635,Calculation!$H$6:$S$1005,HLOOKUP(Q$2,Calculation!$M$4:$S$5,2,FALSE)+5,FALSE),"")</f>
        <v/>
      </c>
      <c r="R635" s="27" t="str">
        <f ca="1">IFERROR(VLOOKUP($L635,Calculation!$H$6:$S$1005,HLOOKUP(R$2,Calculation!$M$4:$S$5,2,FALSE)+5,FALSE),"")</f>
        <v/>
      </c>
      <c r="S635" s="4" t="str">
        <f ca="1">IFERROR(VLOOKUP($L635,Calculation!$H$6:$S$1005,HLOOKUP(S$2,Calculation!$M$4:$S$5,2,FALSE)+5,FALSE),"")</f>
        <v/>
      </c>
      <c r="T635" s="29"/>
      <c r="U635" s="43" t="str">
        <f>IFERROR(VLOOKUP(T635,Calculation!$U$6:$V$11,2,FALSE),"")</f>
        <v/>
      </c>
    </row>
    <row r="636" spans="1:21" ht="14.25" customHeight="1" x14ac:dyDescent="0.3">
      <c r="A636" s="26" t="str">
        <f ca="1">IF(Calculation!T639&lt;=Calculation!$H$4,Calculation!T639,"")</f>
        <v/>
      </c>
      <c r="B636" s="4" t="str">
        <f ca="1">VLOOKUP(A636,Calculation!$E$6:$J$1004,4,FALSE)</f>
        <v/>
      </c>
      <c r="C636" s="4" t="str">
        <f ca="1">VLOOKUP(A636,Calculation!$E$6:$J$1004,5,FALSE)</f>
        <v/>
      </c>
      <c r="D636" s="4" t="str">
        <f ca="1">VLOOKUP(A636,Calculation!$E$6:$J$1004,6,FALSE)</f>
        <v/>
      </c>
      <c r="E636" s="42" t="str">
        <f t="shared" ca="1" si="4"/>
        <v/>
      </c>
      <c r="G636" s="29" t="str">
        <f ca="1">VLOOKUP(A636,Calculation!$F$6:$J$1004,3,FALSE)</f>
        <v/>
      </c>
      <c r="H636" s="4" t="str">
        <f ca="1">VLOOKUP(A636,Calculation!$F$6:$J$1004,4,FALSE)</f>
        <v/>
      </c>
      <c r="I636" s="4" t="str">
        <f ca="1">VLOOKUP(A636,Calculation!$F$6:$J$1004,5,FALSE)</f>
        <v/>
      </c>
      <c r="J636" s="43" t="str">
        <f t="shared" ca="1" si="5"/>
        <v/>
      </c>
      <c r="L636" s="29" t="str">
        <f ca="1">VLOOKUP(A636,Calculation!$G$6:$S$1004,2,FALSE)</f>
        <v/>
      </c>
      <c r="M636" s="4" t="str">
        <f ca="1">IFERROR(VLOOKUP($L636,Calculation!$H$6:$S$1005,HLOOKUP(M$2,Calculation!$M$4:$S$5,2,FALSE)+5,FALSE),"")</f>
        <v/>
      </c>
      <c r="N636" s="4" t="str">
        <f ca="1">IFERROR(VLOOKUP($L636,Calculation!$H$6:$S$1005,HLOOKUP(N$2,Calculation!$M$4:$S$5,2,FALSE)+5,FALSE),"")</f>
        <v/>
      </c>
      <c r="O636" s="4" t="str">
        <f ca="1">IFERROR(VLOOKUP($L636,Calculation!$H$6:$S$1005,HLOOKUP(O$2,Calculation!$M$4:$S$5,2,FALSE)+5,FALSE),"")</f>
        <v/>
      </c>
      <c r="P636" s="4" t="str">
        <f ca="1">IFERROR(VLOOKUP($L636,Calculation!$H$6:$S$1005,HLOOKUP(P$2,Calculation!$M$4:$S$5,2,FALSE)+5,FALSE),"")</f>
        <v/>
      </c>
      <c r="Q636" s="4" t="str">
        <f ca="1">IFERROR(VLOOKUP($L636,Calculation!$H$6:$S$1005,HLOOKUP(Q$2,Calculation!$M$4:$S$5,2,FALSE)+5,FALSE),"")</f>
        <v/>
      </c>
      <c r="R636" s="27" t="str">
        <f ca="1">IFERROR(VLOOKUP($L636,Calculation!$H$6:$S$1005,HLOOKUP(R$2,Calculation!$M$4:$S$5,2,FALSE)+5,FALSE),"")</f>
        <v/>
      </c>
      <c r="S636" s="4" t="str">
        <f ca="1">IFERROR(VLOOKUP($L636,Calculation!$H$6:$S$1005,HLOOKUP(S$2,Calculation!$M$4:$S$5,2,FALSE)+5,FALSE),"")</f>
        <v/>
      </c>
      <c r="T636" s="29"/>
      <c r="U636" s="43" t="str">
        <f>IFERROR(VLOOKUP(T636,Calculation!$U$6:$V$11,2,FALSE),"")</f>
        <v/>
      </c>
    </row>
    <row r="637" spans="1:21" ht="14.25" customHeight="1" x14ac:dyDescent="0.3">
      <c r="A637" s="26" t="str">
        <f ca="1">IF(Calculation!T640&lt;=Calculation!$H$4,Calculation!T640,"")</f>
        <v/>
      </c>
      <c r="B637" s="4" t="str">
        <f ca="1">VLOOKUP(A637,Calculation!$E$6:$J$1004,4,FALSE)</f>
        <v/>
      </c>
      <c r="C637" s="4" t="str">
        <f ca="1">VLOOKUP(A637,Calculation!$E$6:$J$1004,5,FALSE)</f>
        <v/>
      </c>
      <c r="D637" s="4" t="str">
        <f ca="1">VLOOKUP(A637,Calculation!$E$6:$J$1004,6,FALSE)</f>
        <v/>
      </c>
      <c r="E637" s="42" t="str">
        <f t="shared" ca="1" si="4"/>
        <v/>
      </c>
      <c r="G637" s="29" t="str">
        <f ca="1">VLOOKUP(A637,Calculation!$F$6:$J$1004,3,FALSE)</f>
        <v/>
      </c>
      <c r="H637" s="4" t="str">
        <f ca="1">VLOOKUP(A637,Calculation!$F$6:$J$1004,4,FALSE)</f>
        <v/>
      </c>
      <c r="I637" s="4" t="str">
        <f ca="1">VLOOKUP(A637,Calculation!$F$6:$J$1004,5,FALSE)</f>
        <v/>
      </c>
      <c r="J637" s="43" t="str">
        <f t="shared" ca="1" si="5"/>
        <v/>
      </c>
      <c r="L637" s="29" t="str">
        <f ca="1">VLOOKUP(A637,Calculation!$G$6:$S$1004,2,FALSE)</f>
        <v/>
      </c>
      <c r="M637" s="4" t="str">
        <f ca="1">IFERROR(VLOOKUP($L637,Calculation!$H$6:$S$1005,HLOOKUP(M$2,Calculation!$M$4:$S$5,2,FALSE)+5,FALSE),"")</f>
        <v/>
      </c>
      <c r="N637" s="4" t="str">
        <f ca="1">IFERROR(VLOOKUP($L637,Calculation!$H$6:$S$1005,HLOOKUP(N$2,Calculation!$M$4:$S$5,2,FALSE)+5,FALSE),"")</f>
        <v/>
      </c>
      <c r="O637" s="4" t="str">
        <f ca="1">IFERROR(VLOOKUP($L637,Calculation!$H$6:$S$1005,HLOOKUP(O$2,Calculation!$M$4:$S$5,2,FALSE)+5,FALSE),"")</f>
        <v/>
      </c>
      <c r="P637" s="4" t="str">
        <f ca="1">IFERROR(VLOOKUP($L637,Calculation!$H$6:$S$1005,HLOOKUP(P$2,Calculation!$M$4:$S$5,2,FALSE)+5,FALSE),"")</f>
        <v/>
      </c>
      <c r="Q637" s="4" t="str">
        <f ca="1">IFERROR(VLOOKUP($L637,Calculation!$H$6:$S$1005,HLOOKUP(Q$2,Calculation!$M$4:$S$5,2,FALSE)+5,FALSE),"")</f>
        <v/>
      </c>
      <c r="R637" s="27" t="str">
        <f ca="1">IFERROR(VLOOKUP($L637,Calculation!$H$6:$S$1005,HLOOKUP(R$2,Calculation!$M$4:$S$5,2,FALSE)+5,FALSE),"")</f>
        <v/>
      </c>
      <c r="S637" s="4" t="str">
        <f ca="1">IFERROR(VLOOKUP($L637,Calculation!$H$6:$S$1005,HLOOKUP(S$2,Calculation!$M$4:$S$5,2,FALSE)+5,FALSE),"")</f>
        <v/>
      </c>
      <c r="T637" s="29"/>
      <c r="U637" s="43" t="str">
        <f>IFERROR(VLOOKUP(T637,Calculation!$U$6:$V$11,2,FALSE),"")</f>
        <v/>
      </c>
    </row>
    <row r="638" spans="1:21" ht="14.25" customHeight="1" x14ac:dyDescent="0.3">
      <c r="A638" s="26" t="str">
        <f ca="1">IF(Calculation!T641&lt;=Calculation!$H$4,Calculation!T641,"")</f>
        <v/>
      </c>
      <c r="B638" s="4" t="str">
        <f ca="1">VLOOKUP(A638,Calculation!$E$6:$J$1004,4,FALSE)</f>
        <v/>
      </c>
      <c r="C638" s="4" t="str">
        <f ca="1">VLOOKUP(A638,Calculation!$E$6:$J$1004,5,FALSE)</f>
        <v/>
      </c>
      <c r="D638" s="4" t="str">
        <f ca="1">VLOOKUP(A638,Calculation!$E$6:$J$1004,6,FALSE)</f>
        <v/>
      </c>
      <c r="E638" s="42" t="str">
        <f t="shared" ca="1" si="4"/>
        <v/>
      </c>
      <c r="G638" s="29" t="str">
        <f ca="1">VLOOKUP(A638,Calculation!$F$6:$J$1004,3,FALSE)</f>
        <v/>
      </c>
      <c r="H638" s="4" t="str">
        <f ca="1">VLOOKUP(A638,Calculation!$F$6:$J$1004,4,FALSE)</f>
        <v/>
      </c>
      <c r="I638" s="4" t="str">
        <f ca="1">VLOOKUP(A638,Calculation!$F$6:$J$1004,5,FALSE)</f>
        <v/>
      </c>
      <c r="J638" s="43" t="str">
        <f t="shared" ca="1" si="5"/>
        <v/>
      </c>
      <c r="L638" s="29" t="str">
        <f ca="1">VLOOKUP(A638,Calculation!$G$6:$S$1004,2,FALSE)</f>
        <v/>
      </c>
      <c r="M638" s="4" t="str">
        <f ca="1">IFERROR(VLOOKUP($L638,Calculation!$H$6:$S$1005,HLOOKUP(M$2,Calculation!$M$4:$S$5,2,FALSE)+5,FALSE),"")</f>
        <v/>
      </c>
      <c r="N638" s="4" t="str">
        <f ca="1">IFERROR(VLOOKUP($L638,Calculation!$H$6:$S$1005,HLOOKUP(N$2,Calculation!$M$4:$S$5,2,FALSE)+5,FALSE),"")</f>
        <v/>
      </c>
      <c r="O638" s="4" t="str">
        <f ca="1">IFERROR(VLOOKUP($L638,Calculation!$H$6:$S$1005,HLOOKUP(O$2,Calculation!$M$4:$S$5,2,FALSE)+5,FALSE),"")</f>
        <v/>
      </c>
      <c r="P638" s="4" t="str">
        <f ca="1">IFERROR(VLOOKUP($L638,Calculation!$H$6:$S$1005,HLOOKUP(P$2,Calculation!$M$4:$S$5,2,FALSE)+5,FALSE),"")</f>
        <v/>
      </c>
      <c r="Q638" s="4" t="str">
        <f ca="1">IFERROR(VLOOKUP($L638,Calculation!$H$6:$S$1005,HLOOKUP(Q$2,Calculation!$M$4:$S$5,2,FALSE)+5,FALSE),"")</f>
        <v/>
      </c>
      <c r="R638" s="27" t="str">
        <f ca="1">IFERROR(VLOOKUP($L638,Calculation!$H$6:$S$1005,HLOOKUP(R$2,Calculation!$M$4:$S$5,2,FALSE)+5,FALSE),"")</f>
        <v/>
      </c>
      <c r="S638" s="4" t="str">
        <f ca="1">IFERROR(VLOOKUP($L638,Calculation!$H$6:$S$1005,HLOOKUP(S$2,Calculation!$M$4:$S$5,2,FALSE)+5,FALSE),"")</f>
        <v/>
      </c>
      <c r="T638" s="29"/>
      <c r="U638" s="43" t="str">
        <f>IFERROR(VLOOKUP(T638,Calculation!$U$6:$V$11,2,FALSE),"")</f>
        <v/>
      </c>
    </row>
    <row r="639" spans="1:21" ht="14.25" customHeight="1" x14ac:dyDescent="0.3">
      <c r="A639" s="26" t="str">
        <f ca="1">IF(Calculation!T642&lt;=Calculation!$H$4,Calculation!T642,"")</f>
        <v/>
      </c>
      <c r="B639" s="4" t="str">
        <f ca="1">VLOOKUP(A639,Calculation!$E$6:$J$1004,4,FALSE)</f>
        <v/>
      </c>
      <c r="C639" s="4" t="str">
        <f ca="1">VLOOKUP(A639,Calculation!$E$6:$J$1004,5,FALSE)</f>
        <v/>
      </c>
      <c r="D639" s="4" t="str">
        <f ca="1">VLOOKUP(A639,Calculation!$E$6:$J$1004,6,FALSE)</f>
        <v/>
      </c>
      <c r="E639" s="42" t="str">
        <f t="shared" ca="1" si="4"/>
        <v/>
      </c>
      <c r="G639" s="29" t="str">
        <f ca="1">VLOOKUP(A639,Calculation!$F$6:$J$1004,3,FALSE)</f>
        <v/>
      </c>
      <c r="H639" s="4" t="str">
        <f ca="1">VLOOKUP(A639,Calculation!$F$6:$J$1004,4,FALSE)</f>
        <v/>
      </c>
      <c r="I639" s="4" t="str">
        <f ca="1">VLOOKUP(A639,Calculation!$F$6:$J$1004,5,FALSE)</f>
        <v/>
      </c>
      <c r="J639" s="43" t="str">
        <f t="shared" ca="1" si="5"/>
        <v/>
      </c>
      <c r="L639" s="29" t="str">
        <f ca="1">VLOOKUP(A639,Calculation!$G$6:$S$1004,2,FALSE)</f>
        <v/>
      </c>
      <c r="M639" s="4" t="str">
        <f ca="1">IFERROR(VLOOKUP($L639,Calculation!$H$6:$S$1005,HLOOKUP(M$2,Calculation!$M$4:$S$5,2,FALSE)+5,FALSE),"")</f>
        <v/>
      </c>
      <c r="N639" s="4" t="str">
        <f ca="1">IFERROR(VLOOKUP($L639,Calculation!$H$6:$S$1005,HLOOKUP(N$2,Calculation!$M$4:$S$5,2,FALSE)+5,FALSE),"")</f>
        <v/>
      </c>
      <c r="O639" s="4" t="str">
        <f ca="1">IFERROR(VLOOKUP($L639,Calculation!$H$6:$S$1005,HLOOKUP(O$2,Calculation!$M$4:$S$5,2,FALSE)+5,FALSE),"")</f>
        <v/>
      </c>
      <c r="P639" s="4" t="str">
        <f ca="1">IFERROR(VLOOKUP($L639,Calculation!$H$6:$S$1005,HLOOKUP(P$2,Calculation!$M$4:$S$5,2,FALSE)+5,FALSE),"")</f>
        <v/>
      </c>
      <c r="Q639" s="4" t="str">
        <f ca="1">IFERROR(VLOOKUP($L639,Calculation!$H$6:$S$1005,HLOOKUP(Q$2,Calculation!$M$4:$S$5,2,FALSE)+5,FALSE),"")</f>
        <v/>
      </c>
      <c r="R639" s="27" t="str">
        <f ca="1">IFERROR(VLOOKUP($L639,Calculation!$H$6:$S$1005,HLOOKUP(R$2,Calculation!$M$4:$S$5,2,FALSE)+5,FALSE),"")</f>
        <v/>
      </c>
      <c r="S639" s="4" t="str">
        <f ca="1">IFERROR(VLOOKUP($L639,Calculation!$H$6:$S$1005,HLOOKUP(S$2,Calculation!$M$4:$S$5,2,FALSE)+5,FALSE),"")</f>
        <v/>
      </c>
      <c r="T639" s="29"/>
      <c r="U639" s="43" t="str">
        <f>IFERROR(VLOOKUP(T639,Calculation!$U$6:$V$11,2,FALSE),"")</f>
        <v/>
      </c>
    </row>
    <row r="640" spans="1:21" ht="14.25" customHeight="1" x14ac:dyDescent="0.3">
      <c r="A640" s="26" t="str">
        <f ca="1">IF(Calculation!T643&lt;=Calculation!$H$4,Calculation!T643,"")</f>
        <v/>
      </c>
      <c r="B640" s="4" t="str">
        <f ca="1">VLOOKUP(A640,Calculation!$E$6:$J$1004,4,FALSE)</f>
        <v/>
      </c>
      <c r="C640" s="4" t="str">
        <f ca="1">VLOOKUP(A640,Calculation!$E$6:$J$1004,5,FALSE)</f>
        <v/>
      </c>
      <c r="D640" s="4" t="str">
        <f ca="1">VLOOKUP(A640,Calculation!$E$6:$J$1004,6,FALSE)</f>
        <v/>
      </c>
      <c r="E640" s="42" t="str">
        <f t="shared" ca="1" si="4"/>
        <v/>
      </c>
      <c r="G640" s="29" t="str">
        <f ca="1">VLOOKUP(A640,Calculation!$F$6:$J$1004,3,FALSE)</f>
        <v/>
      </c>
      <c r="H640" s="4" t="str">
        <f ca="1">VLOOKUP(A640,Calculation!$F$6:$J$1004,4,FALSE)</f>
        <v/>
      </c>
      <c r="I640" s="4" t="str">
        <f ca="1">VLOOKUP(A640,Calculation!$F$6:$J$1004,5,FALSE)</f>
        <v/>
      </c>
      <c r="J640" s="43" t="str">
        <f t="shared" ca="1" si="5"/>
        <v/>
      </c>
      <c r="L640" s="29" t="str">
        <f ca="1">VLOOKUP(A640,Calculation!$G$6:$S$1004,2,FALSE)</f>
        <v/>
      </c>
      <c r="M640" s="4" t="str">
        <f ca="1">IFERROR(VLOOKUP($L640,Calculation!$H$6:$S$1005,HLOOKUP(M$2,Calculation!$M$4:$S$5,2,FALSE)+5,FALSE),"")</f>
        <v/>
      </c>
      <c r="N640" s="4" t="str">
        <f ca="1">IFERROR(VLOOKUP($L640,Calculation!$H$6:$S$1005,HLOOKUP(N$2,Calculation!$M$4:$S$5,2,FALSE)+5,FALSE),"")</f>
        <v/>
      </c>
      <c r="O640" s="4" t="str">
        <f ca="1">IFERROR(VLOOKUP($L640,Calculation!$H$6:$S$1005,HLOOKUP(O$2,Calculation!$M$4:$S$5,2,FALSE)+5,FALSE),"")</f>
        <v/>
      </c>
      <c r="P640" s="4" t="str">
        <f ca="1">IFERROR(VLOOKUP($L640,Calculation!$H$6:$S$1005,HLOOKUP(P$2,Calculation!$M$4:$S$5,2,FALSE)+5,FALSE),"")</f>
        <v/>
      </c>
      <c r="Q640" s="4" t="str">
        <f ca="1">IFERROR(VLOOKUP($L640,Calculation!$H$6:$S$1005,HLOOKUP(Q$2,Calculation!$M$4:$S$5,2,FALSE)+5,FALSE),"")</f>
        <v/>
      </c>
      <c r="R640" s="27" t="str">
        <f ca="1">IFERROR(VLOOKUP($L640,Calculation!$H$6:$S$1005,HLOOKUP(R$2,Calculation!$M$4:$S$5,2,FALSE)+5,FALSE),"")</f>
        <v/>
      </c>
      <c r="S640" s="4" t="str">
        <f ca="1">IFERROR(VLOOKUP($L640,Calculation!$H$6:$S$1005,HLOOKUP(S$2,Calculation!$M$4:$S$5,2,FALSE)+5,FALSE),"")</f>
        <v/>
      </c>
      <c r="T640" s="29"/>
      <c r="U640" s="43" t="str">
        <f>IFERROR(VLOOKUP(T640,Calculation!$U$6:$V$11,2,FALSE),"")</f>
        <v/>
      </c>
    </row>
    <row r="641" spans="1:21" ht="14.25" customHeight="1" x14ac:dyDescent="0.3">
      <c r="A641" s="26" t="str">
        <f ca="1">IF(Calculation!T644&lt;=Calculation!$H$4,Calculation!T644,"")</f>
        <v/>
      </c>
      <c r="B641" s="4" t="str">
        <f ca="1">VLOOKUP(A641,Calculation!$E$6:$J$1004,4,FALSE)</f>
        <v/>
      </c>
      <c r="C641" s="4" t="str">
        <f ca="1">VLOOKUP(A641,Calculation!$E$6:$J$1004,5,FALSE)</f>
        <v/>
      </c>
      <c r="D641" s="4" t="str">
        <f ca="1">VLOOKUP(A641,Calculation!$E$6:$J$1004,6,FALSE)</f>
        <v/>
      </c>
      <c r="E641" s="42" t="str">
        <f t="shared" ca="1" si="4"/>
        <v/>
      </c>
      <c r="G641" s="29" t="str">
        <f ca="1">VLOOKUP(A641,Calculation!$F$6:$J$1004,3,FALSE)</f>
        <v/>
      </c>
      <c r="H641" s="4" t="str">
        <f ca="1">VLOOKUP(A641,Calculation!$F$6:$J$1004,4,FALSE)</f>
        <v/>
      </c>
      <c r="I641" s="4" t="str">
        <f ca="1">VLOOKUP(A641,Calculation!$F$6:$J$1004,5,FALSE)</f>
        <v/>
      </c>
      <c r="J641" s="43" t="str">
        <f t="shared" ca="1" si="5"/>
        <v/>
      </c>
      <c r="L641" s="29" t="str">
        <f ca="1">VLOOKUP(A641,Calculation!$G$6:$S$1004,2,FALSE)</f>
        <v/>
      </c>
      <c r="M641" s="4" t="str">
        <f ca="1">IFERROR(VLOOKUP($L641,Calculation!$H$6:$S$1005,HLOOKUP(M$2,Calculation!$M$4:$S$5,2,FALSE)+5,FALSE),"")</f>
        <v/>
      </c>
      <c r="N641" s="4" t="str">
        <f ca="1">IFERROR(VLOOKUP($L641,Calculation!$H$6:$S$1005,HLOOKUP(N$2,Calculation!$M$4:$S$5,2,FALSE)+5,FALSE),"")</f>
        <v/>
      </c>
      <c r="O641" s="4" t="str">
        <f ca="1">IFERROR(VLOOKUP($L641,Calculation!$H$6:$S$1005,HLOOKUP(O$2,Calculation!$M$4:$S$5,2,FALSE)+5,FALSE),"")</f>
        <v/>
      </c>
      <c r="P641" s="4" t="str">
        <f ca="1">IFERROR(VLOOKUP($L641,Calculation!$H$6:$S$1005,HLOOKUP(P$2,Calculation!$M$4:$S$5,2,FALSE)+5,FALSE),"")</f>
        <v/>
      </c>
      <c r="Q641" s="4" t="str">
        <f ca="1">IFERROR(VLOOKUP($L641,Calculation!$H$6:$S$1005,HLOOKUP(Q$2,Calculation!$M$4:$S$5,2,FALSE)+5,FALSE),"")</f>
        <v/>
      </c>
      <c r="R641" s="27" t="str">
        <f ca="1">IFERROR(VLOOKUP($L641,Calculation!$H$6:$S$1005,HLOOKUP(R$2,Calculation!$M$4:$S$5,2,FALSE)+5,FALSE),"")</f>
        <v/>
      </c>
      <c r="S641" s="4" t="str">
        <f ca="1">IFERROR(VLOOKUP($L641,Calculation!$H$6:$S$1005,HLOOKUP(S$2,Calculation!$M$4:$S$5,2,FALSE)+5,FALSE),"")</f>
        <v/>
      </c>
      <c r="T641" s="29"/>
      <c r="U641" s="43" t="str">
        <f>IFERROR(VLOOKUP(T641,Calculation!$U$6:$V$11,2,FALSE),"")</f>
        <v/>
      </c>
    </row>
    <row r="642" spans="1:21" ht="14.25" customHeight="1" x14ac:dyDescent="0.3">
      <c r="A642" s="26" t="str">
        <f ca="1">IF(Calculation!T645&lt;=Calculation!$H$4,Calculation!T645,"")</f>
        <v/>
      </c>
      <c r="B642" s="4" t="str">
        <f ca="1">VLOOKUP(A642,Calculation!$E$6:$J$1004,4,FALSE)</f>
        <v/>
      </c>
      <c r="C642" s="4" t="str">
        <f ca="1">VLOOKUP(A642,Calculation!$E$6:$J$1004,5,FALSE)</f>
        <v/>
      </c>
      <c r="D642" s="4" t="str">
        <f ca="1">VLOOKUP(A642,Calculation!$E$6:$J$1004,6,FALSE)</f>
        <v/>
      </c>
      <c r="E642" s="42" t="str">
        <f t="shared" ca="1" si="4"/>
        <v/>
      </c>
      <c r="G642" s="29" t="str">
        <f ca="1">VLOOKUP(A642,Calculation!$F$6:$J$1004,3,FALSE)</f>
        <v/>
      </c>
      <c r="H642" s="4" t="str">
        <f ca="1">VLOOKUP(A642,Calculation!$F$6:$J$1004,4,FALSE)</f>
        <v/>
      </c>
      <c r="I642" s="4" t="str">
        <f ca="1">VLOOKUP(A642,Calculation!$F$6:$J$1004,5,FALSE)</f>
        <v/>
      </c>
      <c r="J642" s="43" t="str">
        <f t="shared" ca="1" si="5"/>
        <v/>
      </c>
      <c r="L642" s="29" t="str">
        <f ca="1">VLOOKUP(A642,Calculation!$G$6:$S$1004,2,FALSE)</f>
        <v/>
      </c>
      <c r="M642" s="4" t="str">
        <f ca="1">IFERROR(VLOOKUP($L642,Calculation!$H$6:$S$1005,HLOOKUP(M$2,Calculation!$M$4:$S$5,2,FALSE)+5,FALSE),"")</f>
        <v/>
      </c>
      <c r="N642" s="4" t="str">
        <f ca="1">IFERROR(VLOOKUP($L642,Calculation!$H$6:$S$1005,HLOOKUP(N$2,Calculation!$M$4:$S$5,2,FALSE)+5,FALSE),"")</f>
        <v/>
      </c>
      <c r="O642" s="4" t="str">
        <f ca="1">IFERROR(VLOOKUP($L642,Calculation!$H$6:$S$1005,HLOOKUP(O$2,Calculation!$M$4:$S$5,2,FALSE)+5,FALSE),"")</f>
        <v/>
      </c>
      <c r="P642" s="4" t="str">
        <f ca="1">IFERROR(VLOOKUP($L642,Calculation!$H$6:$S$1005,HLOOKUP(P$2,Calculation!$M$4:$S$5,2,FALSE)+5,FALSE),"")</f>
        <v/>
      </c>
      <c r="Q642" s="4" t="str">
        <f ca="1">IFERROR(VLOOKUP($L642,Calculation!$H$6:$S$1005,HLOOKUP(Q$2,Calculation!$M$4:$S$5,2,FALSE)+5,FALSE),"")</f>
        <v/>
      </c>
      <c r="R642" s="27" t="str">
        <f ca="1">IFERROR(VLOOKUP($L642,Calculation!$H$6:$S$1005,HLOOKUP(R$2,Calculation!$M$4:$S$5,2,FALSE)+5,FALSE),"")</f>
        <v/>
      </c>
      <c r="S642" s="4" t="str">
        <f ca="1">IFERROR(VLOOKUP($L642,Calculation!$H$6:$S$1005,HLOOKUP(S$2,Calculation!$M$4:$S$5,2,FALSE)+5,FALSE),"")</f>
        <v/>
      </c>
      <c r="T642" s="29"/>
      <c r="U642" s="43" t="str">
        <f>IFERROR(VLOOKUP(T642,Calculation!$U$6:$V$11,2,FALSE),"")</f>
        <v/>
      </c>
    </row>
    <row r="643" spans="1:21" ht="14.25" customHeight="1" x14ac:dyDescent="0.3">
      <c r="A643" s="26" t="str">
        <f ca="1">IF(Calculation!T646&lt;=Calculation!$H$4,Calculation!T646,"")</f>
        <v/>
      </c>
      <c r="B643" s="4" t="str">
        <f ca="1">VLOOKUP(A643,Calculation!$E$6:$J$1004,4,FALSE)</f>
        <v/>
      </c>
      <c r="C643" s="4" t="str">
        <f ca="1">VLOOKUP(A643,Calculation!$E$6:$J$1004,5,FALSE)</f>
        <v/>
      </c>
      <c r="D643" s="4" t="str">
        <f ca="1">VLOOKUP(A643,Calculation!$E$6:$J$1004,6,FALSE)</f>
        <v/>
      </c>
      <c r="E643" s="42" t="str">
        <f t="shared" ca="1" si="4"/>
        <v/>
      </c>
      <c r="G643" s="29" t="str">
        <f ca="1">VLOOKUP(A643,Calculation!$F$6:$J$1004,3,FALSE)</f>
        <v/>
      </c>
      <c r="H643" s="4" t="str">
        <f ca="1">VLOOKUP(A643,Calculation!$F$6:$J$1004,4,FALSE)</f>
        <v/>
      </c>
      <c r="I643" s="4" t="str">
        <f ca="1">VLOOKUP(A643,Calculation!$F$6:$J$1004,5,FALSE)</f>
        <v/>
      </c>
      <c r="J643" s="43" t="str">
        <f t="shared" ca="1" si="5"/>
        <v/>
      </c>
      <c r="L643" s="29" t="str">
        <f ca="1">VLOOKUP(A643,Calculation!$G$6:$S$1004,2,FALSE)</f>
        <v/>
      </c>
      <c r="M643" s="4" t="str">
        <f ca="1">IFERROR(VLOOKUP($L643,Calculation!$H$6:$S$1005,HLOOKUP(M$2,Calculation!$M$4:$S$5,2,FALSE)+5,FALSE),"")</f>
        <v/>
      </c>
      <c r="N643" s="4" t="str">
        <f ca="1">IFERROR(VLOOKUP($L643,Calculation!$H$6:$S$1005,HLOOKUP(N$2,Calculation!$M$4:$S$5,2,FALSE)+5,FALSE),"")</f>
        <v/>
      </c>
      <c r="O643" s="4" t="str">
        <f ca="1">IFERROR(VLOOKUP($L643,Calculation!$H$6:$S$1005,HLOOKUP(O$2,Calculation!$M$4:$S$5,2,FALSE)+5,FALSE),"")</f>
        <v/>
      </c>
      <c r="P643" s="4" t="str">
        <f ca="1">IFERROR(VLOOKUP($L643,Calculation!$H$6:$S$1005,HLOOKUP(P$2,Calculation!$M$4:$S$5,2,FALSE)+5,FALSE),"")</f>
        <v/>
      </c>
      <c r="Q643" s="4" t="str">
        <f ca="1">IFERROR(VLOOKUP($L643,Calculation!$H$6:$S$1005,HLOOKUP(Q$2,Calculation!$M$4:$S$5,2,FALSE)+5,FALSE),"")</f>
        <v/>
      </c>
      <c r="R643" s="27" t="str">
        <f ca="1">IFERROR(VLOOKUP($L643,Calculation!$H$6:$S$1005,HLOOKUP(R$2,Calculation!$M$4:$S$5,2,FALSE)+5,FALSE),"")</f>
        <v/>
      </c>
      <c r="S643" s="4" t="str">
        <f ca="1">IFERROR(VLOOKUP($L643,Calculation!$H$6:$S$1005,HLOOKUP(S$2,Calculation!$M$4:$S$5,2,FALSE)+5,FALSE),"")</f>
        <v/>
      </c>
      <c r="T643" s="29"/>
      <c r="U643" s="43" t="str">
        <f>IFERROR(VLOOKUP(T643,Calculation!$U$6:$V$11,2,FALSE),"")</f>
        <v/>
      </c>
    </row>
    <row r="644" spans="1:21" ht="14.25" customHeight="1" x14ac:dyDescent="0.3">
      <c r="A644" s="26" t="str">
        <f ca="1">IF(Calculation!T647&lt;=Calculation!$H$4,Calculation!T647,"")</f>
        <v/>
      </c>
      <c r="B644" s="4" t="str">
        <f ca="1">VLOOKUP(A644,Calculation!$E$6:$J$1004,4,FALSE)</f>
        <v/>
      </c>
      <c r="C644" s="4" t="str">
        <f ca="1">VLOOKUP(A644,Calculation!$E$6:$J$1004,5,FALSE)</f>
        <v/>
      </c>
      <c r="D644" s="4" t="str">
        <f ca="1">VLOOKUP(A644,Calculation!$E$6:$J$1004,6,FALSE)</f>
        <v/>
      </c>
      <c r="E644" s="42" t="str">
        <f t="shared" ca="1" si="4"/>
        <v/>
      </c>
      <c r="G644" s="29" t="str">
        <f ca="1">VLOOKUP(A644,Calculation!$F$6:$J$1004,3,FALSE)</f>
        <v/>
      </c>
      <c r="H644" s="4" t="str">
        <f ca="1">VLOOKUP(A644,Calculation!$F$6:$J$1004,4,FALSE)</f>
        <v/>
      </c>
      <c r="I644" s="4" t="str">
        <f ca="1">VLOOKUP(A644,Calculation!$F$6:$J$1004,5,FALSE)</f>
        <v/>
      </c>
      <c r="J644" s="43" t="str">
        <f t="shared" ca="1" si="5"/>
        <v/>
      </c>
      <c r="L644" s="29" t="str">
        <f ca="1">VLOOKUP(A644,Calculation!$G$6:$S$1004,2,FALSE)</f>
        <v/>
      </c>
      <c r="M644" s="4" t="str">
        <f ca="1">IFERROR(VLOOKUP($L644,Calculation!$H$6:$S$1005,HLOOKUP(M$2,Calculation!$M$4:$S$5,2,FALSE)+5,FALSE),"")</f>
        <v/>
      </c>
      <c r="N644" s="4" t="str">
        <f ca="1">IFERROR(VLOOKUP($L644,Calculation!$H$6:$S$1005,HLOOKUP(N$2,Calculation!$M$4:$S$5,2,FALSE)+5,FALSE),"")</f>
        <v/>
      </c>
      <c r="O644" s="4" t="str">
        <f ca="1">IFERROR(VLOOKUP($L644,Calculation!$H$6:$S$1005,HLOOKUP(O$2,Calculation!$M$4:$S$5,2,FALSE)+5,FALSE),"")</f>
        <v/>
      </c>
      <c r="P644" s="4" t="str">
        <f ca="1">IFERROR(VLOOKUP($L644,Calculation!$H$6:$S$1005,HLOOKUP(P$2,Calculation!$M$4:$S$5,2,FALSE)+5,FALSE),"")</f>
        <v/>
      </c>
      <c r="Q644" s="4" t="str">
        <f ca="1">IFERROR(VLOOKUP($L644,Calculation!$H$6:$S$1005,HLOOKUP(Q$2,Calculation!$M$4:$S$5,2,FALSE)+5,FALSE),"")</f>
        <v/>
      </c>
      <c r="R644" s="27" t="str">
        <f ca="1">IFERROR(VLOOKUP($L644,Calculation!$H$6:$S$1005,HLOOKUP(R$2,Calculation!$M$4:$S$5,2,FALSE)+5,FALSE),"")</f>
        <v/>
      </c>
      <c r="S644" s="4" t="str">
        <f ca="1">IFERROR(VLOOKUP($L644,Calculation!$H$6:$S$1005,HLOOKUP(S$2,Calculation!$M$4:$S$5,2,FALSE)+5,FALSE),"")</f>
        <v/>
      </c>
      <c r="T644" s="29"/>
      <c r="U644" s="43" t="str">
        <f>IFERROR(VLOOKUP(T644,Calculation!$U$6:$V$11,2,FALSE),"")</f>
        <v/>
      </c>
    </row>
    <row r="645" spans="1:21" ht="14.25" customHeight="1" x14ac:dyDescent="0.3">
      <c r="A645" s="26" t="str">
        <f ca="1">IF(Calculation!T648&lt;=Calculation!$H$4,Calculation!T648,"")</f>
        <v/>
      </c>
      <c r="B645" s="4" t="str">
        <f ca="1">VLOOKUP(A645,Calculation!$E$6:$J$1004,4,FALSE)</f>
        <v/>
      </c>
      <c r="C645" s="4" t="str">
        <f ca="1">VLOOKUP(A645,Calculation!$E$6:$J$1004,5,FALSE)</f>
        <v/>
      </c>
      <c r="D645" s="4" t="str">
        <f ca="1">VLOOKUP(A645,Calculation!$E$6:$J$1004,6,FALSE)</f>
        <v/>
      </c>
      <c r="E645" s="42" t="str">
        <f t="shared" ca="1" si="4"/>
        <v/>
      </c>
      <c r="G645" s="29" t="str">
        <f ca="1">VLOOKUP(A645,Calculation!$F$6:$J$1004,3,FALSE)</f>
        <v/>
      </c>
      <c r="H645" s="4" t="str">
        <f ca="1">VLOOKUP(A645,Calculation!$F$6:$J$1004,4,FALSE)</f>
        <v/>
      </c>
      <c r="I645" s="4" t="str">
        <f ca="1">VLOOKUP(A645,Calculation!$F$6:$J$1004,5,FALSE)</f>
        <v/>
      </c>
      <c r="J645" s="43" t="str">
        <f t="shared" ca="1" si="5"/>
        <v/>
      </c>
      <c r="L645" s="29" t="str">
        <f ca="1">VLOOKUP(A645,Calculation!$G$6:$S$1004,2,FALSE)</f>
        <v/>
      </c>
      <c r="M645" s="4" t="str">
        <f ca="1">IFERROR(VLOOKUP($L645,Calculation!$H$6:$S$1005,HLOOKUP(M$2,Calculation!$M$4:$S$5,2,FALSE)+5,FALSE),"")</f>
        <v/>
      </c>
      <c r="N645" s="4" t="str">
        <f ca="1">IFERROR(VLOOKUP($L645,Calculation!$H$6:$S$1005,HLOOKUP(N$2,Calculation!$M$4:$S$5,2,FALSE)+5,FALSE),"")</f>
        <v/>
      </c>
      <c r="O645" s="4" t="str">
        <f ca="1">IFERROR(VLOOKUP($L645,Calculation!$H$6:$S$1005,HLOOKUP(O$2,Calculation!$M$4:$S$5,2,FALSE)+5,FALSE),"")</f>
        <v/>
      </c>
      <c r="P645" s="4" t="str">
        <f ca="1">IFERROR(VLOOKUP($L645,Calculation!$H$6:$S$1005,HLOOKUP(P$2,Calculation!$M$4:$S$5,2,FALSE)+5,FALSE),"")</f>
        <v/>
      </c>
      <c r="Q645" s="4" t="str">
        <f ca="1">IFERROR(VLOOKUP($L645,Calculation!$H$6:$S$1005,HLOOKUP(Q$2,Calculation!$M$4:$S$5,2,FALSE)+5,FALSE),"")</f>
        <v/>
      </c>
      <c r="R645" s="27" t="str">
        <f ca="1">IFERROR(VLOOKUP($L645,Calculation!$H$6:$S$1005,HLOOKUP(R$2,Calculation!$M$4:$S$5,2,FALSE)+5,FALSE),"")</f>
        <v/>
      </c>
      <c r="S645" s="4" t="str">
        <f ca="1">IFERROR(VLOOKUP($L645,Calculation!$H$6:$S$1005,HLOOKUP(S$2,Calculation!$M$4:$S$5,2,FALSE)+5,FALSE),"")</f>
        <v/>
      </c>
      <c r="T645" s="29"/>
      <c r="U645" s="43" t="str">
        <f>IFERROR(VLOOKUP(T645,Calculation!$U$6:$V$11,2,FALSE),"")</f>
        <v/>
      </c>
    </row>
    <row r="646" spans="1:21" ht="14.25" customHeight="1" x14ac:dyDescent="0.3">
      <c r="A646" s="26" t="str">
        <f ca="1">IF(Calculation!T649&lt;=Calculation!$H$4,Calculation!T649,"")</f>
        <v/>
      </c>
      <c r="B646" s="4" t="str">
        <f ca="1">VLOOKUP(A646,Calculation!$E$6:$J$1004,4,FALSE)</f>
        <v/>
      </c>
      <c r="C646" s="4" t="str">
        <f ca="1">VLOOKUP(A646,Calculation!$E$6:$J$1004,5,FALSE)</f>
        <v/>
      </c>
      <c r="D646" s="4" t="str">
        <f ca="1">VLOOKUP(A646,Calculation!$E$6:$J$1004,6,FALSE)</f>
        <v/>
      </c>
      <c r="E646" s="42" t="str">
        <f t="shared" ca="1" si="4"/>
        <v/>
      </c>
      <c r="G646" s="29" t="str">
        <f ca="1">VLOOKUP(A646,Calculation!$F$6:$J$1004,3,FALSE)</f>
        <v/>
      </c>
      <c r="H646" s="4" t="str">
        <f ca="1">VLOOKUP(A646,Calculation!$F$6:$J$1004,4,FALSE)</f>
        <v/>
      </c>
      <c r="I646" s="4" t="str">
        <f ca="1">VLOOKUP(A646,Calculation!$F$6:$J$1004,5,FALSE)</f>
        <v/>
      </c>
      <c r="J646" s="43" t="str">
        <f t="shared" ca="1" si="5"/>
        <v/>
      </c>
      <c r="L646" s="29" t="str">
        <f ca="1">VLOOKUP(A646,Calculation!$G$6:$S$1004,2,FALSE)</f>
        <v/>
      </c>
      <c r="M646" s="4" t="str">
        <f ca="1">IFERROR(VLOOKUP($L646,Calculation!$H$6:$S$1005,HLOOKUP(M$2,Calculation!$M$4:$S$5,2,FALSE)+5,FALSE),"")</f>
        <v/>
      </c>
      <c r="N646" s="4" t="str">
        <f ca="1">IFERROR(VLOOKUP($L646,Calculation!$H$6:$S$1005,HLOOKUP(N$2,Calculation!$M$4:$S$5,2,FALSE)+5,FALSE),"")</f>
        <v/>
      </c>
      <c r="O646" s="4" t="str">
        <f ca="1">IFERROR(VLOOKUP($L646,Calculation!$H$6:$S$1005,HLOOKUP(O$2,Calculation!$M$4:$S$5,2,FALSE)+5,FALSE),"")</f>
        <v/>
      </c>
      <c r="P646" s="4" t="str">
        <f ca="1">IFERROR(VLOOKUP($L646,Calculation!$H$6:$S$1005,HLOOKUP(P$2,Calculation!$M$4:$S$5,2,FALSE)+5,FALSE),"")</f>
        <v/>
      </c>
      <c r="Q646" s="4" t="str">
        <f ca="1">IFERROR(VLOOKUP($L646,Calculation!$H$6:$S$1005,HLOOKUP(Q$2,Calculation!$M$4:$S$5,2,FALSE)+5,FALSE),"")</f>
        <v/>
      </c>
      <c r="R646" s="27" t="str">
        <f ca="1">IFERROR(VLOOKUP($L646,Calculation!$H$6:$S$1005,HLOOKUP(R$2,Calculation!$M$4:$S$5,2,FALSE)+5,FALSE),"")</f>
        <v/>
      </c>
      <c r="S646" s="4" t="str">
        <f ca="1">IFERROR(VLOOKUP($L646,Calculation!$H$6:$S$1005,HLOOKUP(S$2,Calculation!$M$4:$S$5,2,FALSE)+5,FALSE),"")</f>
        <v/>
      </c>
      <c r="T646" s="29"/>
      <c r="U646" s="43" t="str">
        <f>IFERROR(VLOOKUP(T646,Calculation!$U$6:$V$11,2,FALSE),"")</f>
        <v/>
      </c>
    </row>
    <row r="647" spans="1:21" ht="14.25" customHeight="1" x14ac:dyDescent="0.3">
      <c r="A647" s="26" t="str">
        <f ca="1">IF(Calculation!T650&lt;=Calculation!$H$4,Calculation!T650,"")</f>
        <v/>
      </c>
      <c r="B647" s="4" t="str">
        <f ca="1">VLOOKUP(A647,Calculation!$E$6:$J$1004,4,FALSE)</f>
        <v/>
      </c>
      <c r="C647" s="4" t="str">
        <f ca="1">VLOOKUP(A647,Calculation!$E$6:$J$1004,5,FALSE)</f>
        <v/>
      </c>
      <c r="D647" s="4" t="str">
        <f ca="1">VLOOKUP(A647,Calculation!$E$6:$J$1004,6,FALSE)</f>
        <v/>
      </c>
      <c r="E647" s="42" t="str">
        <f t="shared" ca="1" si="4"/>
        <v/>
      </c>
      <c r="G647" s="29" t="str">
        <f ca="1">VLOOKUP(A647,Calculation!$F$6:$J$1004,3,FALSE)</f>
        <v/>
      </c>
      <c r="H647" s="4" t="str">
        <f ca="1">VLOOKUP(A647,Calculation!$F$6:$J$1004,4,FALSE)</f>
        <v/>
      </c>
      <c r="I647" s="4" t="str">
        <f ca="1">VLOOKUP(A647,Calculation!$F$6:$J$1004,5,FALSE)</f>
        <v/>
      </c>
      <c r="J647" s="43" t="str">
        <f t="shared" ca="1" si="5"/>
        <v/>
      </c>
      <c r="L647" s="29" t="str">
        <f ca="1">VLOOKUP(A647,Calculation!$G$6:$S$1004,2,FALSE)</f>
        <v/>
      </c>
      <c r="M647" s="4" t="str">
        <f ca="1">IFERROR(VLOOKUP($L647,Calculation!$H$6:$S$1005,HLOOKUP(M$2,Calculation!$M$4:$S$5,2,FALSE)+5,FALSE),"")</f>
        <v/>
      </c>
      <c r="N647" s="4" t="str">
        <f ca="1">IFERROR(VLOOKUP($L647,Calculation!$H$6:$S$1005,HLOOKUP(N$2,Calculation!$M$4:$S$5,2,FALSE)+5,FALSE),"")</f>
        <v/>
      </c>
      <c r="O647" s="4" t="str">
        <f ca="1">IFERROR(VLOOKUP($L647,Calculation!$H$6:$S$1005,HLOOKUP(O$2,Calculation!$M$4:$S$5,2,FALSE)+5,FALSE),"")</f>
        <v/>
      </c>
      <c r="P647" s="4" t="str">
        <f ca="1">IFERROR(VLOOKUP($L647,Calculation!$H$6:$S$1005,HLOOKUP(P$2,Calculation!$M$4:$S$5,2,FALSE)+5,FALSE),"")</f>
        <v/>
      </c>
      <c r="Q647" s="4" t="str">
        <f ca="1">IFERROR(VLOOKUP($L647,Calculation!$H$6:$S$1005,HLOOKUP(Q$2,Calculation!$M$4:$S$5,2,FALSE)+5,FALSE),"")</f>
        <v/>
      </c>
      <c r="R647" s="27" t="str">
        <f ca="1">IFERROR(VLOOKUP($L647,Calculation!$H$6:$S$1005,HLOOKUP(R$2,Calculation!$M$4:$S$5,2,FALSE)+5,FALSE),"")</f>
        <v/>
      </c>
      <c r="S647" s="4" t="str">
        <f ca="1">IFERROR(VLOOKUP($L647,Calculation!$H$6:$S$1005,HLOOKUP(S$2,Calculation!$M$4:$S$5,2,FALSE)+5,FALSE),"")</f>
        <v/>
      </c>
      <c r="T647" s="29"/>
      <c r="U647" s="43" t="str">
        <f>IFERROR(VLOOKUP(T647,Calculation!$U$6:$V$11,2,FALSE),"")</f>
        <v/>
      </c>
    </row>
    <row r="648" spans="1:21" ht="14.25" customHeight="1" x14ac:dyDescent="0.3">
      <c r="A648" s="26" t="str">
        <f ca="1">IF(Calculation!T651&lt;=Calculation!$H$4,Calculation!T651,"")</f>
        <v/>
      </c>
      <c r="B648" s="4" t="str">
        <f ca="1">VLOOKUP(A648,Calculation!$E$6:$J$1004,4,FALSE)</f>
        <v/>
      </c>
      <c r="C648" s="4" t="str">
        <f ca="1">VLOOKUP(A648,Calculation!$E$6:$J$1004,5,FALSE)</f>
        <v/>
      </c>
      <c r="D648" s="4" t="str">
        <f ca="1">VLOOKUP(A648,Calculation!$E$6:$J$1004,6,FALSE)</f>
        <v/>
      </c>
      <c r="E648" s="42" t="str">
        <f t="shared" ca="1" si="4"/>
        <v/>
      </c>
      <c r="G648" s="29" t="str">
        <f ca="1">VLOOKUP(A648,Calculation!$F$6:$J$1004,3,FALSE)</f>
        <v/>
      </c>
      <c r="H648" s="4" t="str">
        <f ca="1">VLOOKUP(A648,Calculation!$F$6:$J$1004,4,FALSE)</f>
        <v/>
      </c>
      <c r="I648" s="4" t="str">
        <f ca="1">VLOOKUP(A648,Calculation!$F$6:$J$1004,5,FALSE)</f>
        <v/>
      </c>
      <c r="J648" s="43" t="str">
        <f t="shared" ca="1" si="5"/>
        <v/>
      </c>
      <c r="L648" s="29" t="str">
        <f ca="1">VLOOKUP(A648,Calculation!$G$6:$S$1004,2,FALSE)</f>
        <v/>
      </c>
      <c r="M648" s="4" t="str">
        <f ca="1">IFERROR(VLOOKUP($L648,Calculation!$H$6:$S$1005,HLOOKUP(M$2,Calculation!$M$4:$S$5,2,FALSE)+5,FALSE),"")</f>
        <v/>
      </c>
      <c r="N648" s="4" t="str">
        <f ca="1">IFERROR(VLOOKUP($L648,Calculation!$H$6:$S$1005,HLOOKUP(N$2,Calculation!$M$4:$S$5,2,FALSE)+5,FALSE),"")</f>
        <v/>
      </c>
      <c r="O648" s="4" t="str">
        <f ca="1">IFERROR(VLOOKUP($L648,Calculation!$H$6:$S$1005,HLOOKUP(O$2,Calculation!$M$4:$S$5,2,FALSE)+5,FALSE),"")</f>
        <v/>
      </c>
      <c r="P648" s="4" t="str">
        <f ca="1">IFERROR(VLOOKUP($L648,Calculation!$H$6:$S$1005,HLOOKUP(P$2,Calculation!$M$4:$S$5,2,FALSE)+5,FALSE),"")</f>
        <v/>
      </c>
      <c r="Q648" s="4" t="str">
        <f ca="1">IFERROR(VLOOKUP($L648,Calculation!$H$6:$S$1005,HLOOKUP(Q$2,Calculation!$M$4:$S$5,2,FALSE)+5,FALSE),"")</f>
        <v/>
      </c>
      <c r="R648" s="27" t="str">
        <f ca="1">IFERROR(VLOOKUP($L648,Calculation!$H$6:$S$1005,HLOOKUP(R$2,Calculation!$M$4:$S$5,2,FALSE)+5,FALSE),"")</f>
        <v/>
      </c>
      <c r="S648" s="4" t="str">
        <f ca="1">IFERROR(VLOOKUP($L648,Calculation!$H$6:$S$1005,HLOOKUP(S$2,Calculation!$M$4:$S$5,2,FALSE)+5,FALSE),"")</f>
        <v/>
      </c>
      <c r="T648" s="29"/>
      <c r="U648" s="43" t="str">
        <f>IFERROR(VLOOKUP(T648,Calculation!$U$6:$V$11,2,FALSE),"")</f>
        <v/>
      </c>
    </row>
    <row r="649" spans="1:21" ht="14.25" customHeight="1" x14ac:dyDescent="0.3">
      <c r="A649" s="26" t="str">
        <f ca="1">IF(Calculation!T652&lt;=Calculation!$H$4,Calculation!T652,"")</f>
        <v/>
      </c>
      <c r="B649" s="4" t="str">
        <f ca="1">VLOOKUP(A649,Calculation!$E$6:$J$1004,4,FALSE)</f>
        <v/>
      </c>
      <c r="C649" s="4" t="str">
        <f ca="1">VLOOKUP(A649,Calculation!$E$6:$J$1004,5,FALSE)</f>
        <v/>
      </c>
      <c r="D649" s="4" t="str">
        <f ca="1">VLOOKUP(A649,Calculation!$E$6:$J$1004,6,FALSE)</f>
        <v/>
      </c>
      <c r="E649" s="42" t="str">
        <f t="shared" ca="1" si="4"/>
        <v/>
      </c>
      <c r="G649" s="29" t="str">
        <f ca="1">VLOOKUP(A649,Calculation!$F$6:$J$1004,3,FALSE)</f>
        <v/>
      </c>
      <c r="H649" s="4" t="str">
        <f ca="1">VLOOKUP(A649,Calculation!$F$6:$J$1004,4,FALSE)</f>
        <v/>
      </c>
      <c r="I649" s="4" t="str">
        <f ca="1">VLOOKUP(A649,Calculation!$F$6:$J$1004,5,FALSE)</f>
        <v/>
      </c>
      <c r="J649" s="43" t="str">
        <f t="shared" ca="1" si="5"/>
        <v/>
      </c>
      <c r="L649" s="29" t="str">
        <f ca="1">VLOOKUP(A649,Calculation!$G$6:$S$1004,2,FALSE)</f>
        <v/>
      </c>
      <c r="M649" s="4" t="str">
        <f ca="1">IFERROR(VLOOKUP($L649,Calculation!$H$6:$S$1005,HLOOKUP(M$2,Calculation!$M$4:$S$5,2,FALSE)+5,FALSE),"")</f>
        <v/>
      </c>
      <c r="N649" s="4" t="str">
        <f ca="1">IFERROR(VLOOKUP($L649,Calculation!$H$6:$S$1005,HLOOKUP(N$2,Calculation!$M$4:$S$5,2,FALSE)+5,FALSE),"")</f>
        <v/>
      </c>
      <c r="O649" s="4" t="str">
        <f ca="1">IFERROR(VLOOKUP($L649,Calculation!$H$6:$S$1005,HLOOKUP(O$2,Calculation!$M$4:$S$5,2,FALSE)+5,FALSE),"")</f>
        <v/>
      </c>
      <c r="P649" s="4" t="str">
        <f ca="1">IFERROR(VLOOKUP($L649,Calculation!$H$6:$S$1005,HLOOKUP(P$2,Calculation!$M$4:$S$5,2,FALSE)+5,FALSE),"")</f>
        <v/>
      </c>
      <c r="Q649" s="4" t="str">
        <f ca="1">IFERROR(VLOOKUP($L649,Calculation!$H$6:$S$1005,HLOOKUP(Q$2,Calculation!$M$4:$S$5,2,FALSE)+5,FALSE),"")</f>
        <v/>
      </c>
      <c r="R649" s="27" t="str">
        <f ca="1">IFERROR(VLOOKUP($L649,Calculation!$H$6:$S$1005,HLOOKUP(R$2,Calculation!$M$4:$S$5,2,FALSE)+5,FALSE),"")</f>
        <v/>
      </c>
      <c r="S649" s="4" t="str">
        <f ca="1">IFERROR(VLOOKUP($L649,Calculation!$H$6:$S$1005,HLOOKUP(S$2,Calculation!$M$4:$S$5,2,FALSE)+5,FALSE),"")</f>
        <v/>
      </c>
      <c r="T649" s="29"/>
      <c r="U649" s="43" t="str">
        <f>IFERROR(VLOOKUP(T649,Calculation!$U$6:$V$11,2,FALSE),"")</f>
        <v/>
      </c>
    </row>
    <row r="650" spans="1:21" ht="14.25" customHeight="1" x14ac:dyDescent="0.3">
      <c r="A650" s="26" t="str">
        <f ca="1">IF(Calculation!T653&lt;=Calculation!$H$4,Calculation!T653,"")</f>
        <v/>
      </c>
      <c r="B650" s="4" t="str">
        <f ca="1">VLOOKUP(A650,Calculation!$E$6:$J$1004,4,FALSE)</f>
        <v/>
      </c>
      <c r="C650" s="4" t="str">
        <f ca="1">VLOOKUP(A650,Calculation!$E$6:$J$1004,5,FALSE)</f>
        <v/>
      </c>
      <c r="D650" s="4" t="str">
        <f ca="1">VLOOKUP(A650,Calculation!$E$6:$J$1004,6,FALSE)</f>
        <v/>
      </c>
      <c r="E650" s="42" t="str">
        <f t="shared" ca="1" si="4"/>
        <v/>
      </c>
      <c r="G650" s="29" t="str">
        <f ca="1">VLOOKUP(A650,Calculation!$F$6:$J$1004,3,FALSE)</f>
        <v/>
      </c>
      <c r="H650" s="4" t="str">
        <f ca="1">VLOOKUP(A650,Calculation!$F$6:$J$1004,4,FALSE)</f>
        <v/>
      </c>
      <c r="I650" s="4" t="str">
        <f ca="1">VLOOKUP(A650,Calculation!$F$6:$J$1004,5,FALSE)</f>
        <v/>
      </c>
      <c r="J650" s="43" t="str">
        <f t="shared" ca="1" si="5"/>
        <v/>
      </c>
      <c r="L650" s="29" t="str">
        <f ca="1">VLOOKUP(A650,Calculation!$G$6:$S$1004,2,FALSE)</f>
        <v/>
      </c>
      <c r="M650" s="4" t="str">
        <f ca="1">IFERROR(VLOOKUP($L650,Calculation!$H$6:$S$1005,HLOOKUP(M$2,Calculation!$M$4:$S$5,2,FALSE)+5,FALSE),"")</f>
        <v/>
      </c>
      <c r="N650" s="4" t="str">
        <f ca="1">IFERROR(VLOOKUP($L650,Calculation!$H$6:$S$1005,HLOOKUP(N$2,Calculation!$M$4:$S$5,2,FALSE)+5,FALSE),"")</f>
        <v/>
      </c>
      <c r="O650" s="4" t="str">
        <f ca="1">IFERROR(VLOOKUP($L650,Calculation!$H$6:$S$1005,HLOOKUP(O$2,Calculation!$M$4:$S$5,2,FALSE)+5,FALSE),"")</f>
        <v/>
      </c>
      <c r="P650" s="4" t="str">
        <f ca="1">IFERROR(VLOOKUP($L650,Calculation!$H$6:$S$1005,HLOOKUP(P$2,Calculation!$M$4:$S$5,2,FALSE)+5,FALSE),"")</f>
        <v/>
      </c>
      <c r="Q650" s="4" t="str">
        <f ca="1">IFERROR(VLOOKUP($L650,Calculation!$H$6:$S$1005,HLOOKUP(Q$2,Calculation!$M$4:$S$5,2,FALSE)+5,FALSE),"")</f>
        <v/>
      </c>
      <c r="R650" s="27" t="str">
        <f ca="1">IFERROR(VLOOKUP($L650,Calculation!$H$6:$S$1005,HLOOKUP(R$2,Calculation!$M$4:$S$5,2,FALSE)+5,FALSE),"")</f>
        <v/>
      </c>
      <c r="S650" s="4" t="str">
        <f ca="1">IFERROR(VLOOKUP($L650,Calculation!$H$6:$S$1005,HLOOKUP(S$2,Calculation!$M$4:$S$5,2,FALSE)+5,FALSE),"")</f>
        <v/>
      </c>
      <c r="T650" s="29"/>
      <c r="U650" s="43" t="str">
        <f>IFERROR(VLOOKUP(T650,Calculation!$U$6:$V$11,2,FALSE),"")</f>
        <v/>
      </c>
    </row>
    <row r="651" spans="1:21" ht="14.25" customHeight="1" x14ac:dyDescent="0.3">
      <c r="A651" s="26" t="str">
        <f ca="1">IF(Calculation!T654&lt;=Calculation!$H$4,Calculation!T654,"")</f>
        <v/>
      </c>
      <c r="B651" s="4" t="str">
        <f ca="1">VLOOKUP(A651,Calculation!$E$6:$J$1004,4,FALSE)</f>
        <v/>
      </c>
      <c r="C651" s="4" t="str">
        <f ca="1">VLOOKUP(A651,Calculation!$E$6:$J$1004,5,FALSE)</f>
        <v/>
      </c>
      <c r="D651" s="4" t="str">
        <f ca="1">VLOOKUP(A651,Calculation!$E$6:$J$1004,6,FALSE)</f>
        <v/>
      </c>
      <c r="E651" s="42" t="str">
        <f t="shared" ca="1" si="4"/>
        <v/>
      </c>
      <c r="G651" s="29" t="str">
        <f ca="1">VLOOKUP(A651,Calculation!$F$6:$J$1004,3,FALSE)</f>
        <v/>
      </c>
      <c r="H651" s="4" t="str">
        <f ca="1">VLOOKUP(A651,Calculation!$F$6:$J$1004,4,FALSE)</f>
        <v/>
      </c>
      <c r="I651" s="4" t="str">
        <f ca="1">VLOOKUP(A651,Calculation!$F$6:$J$1004,5,FALSE)</f>
        <v/>
      </c>
      <c r="J651" s="43" t="str">
        <f t="shared" ca="1" si="5"/>
        <v/>
      </c>
      <c r="L651" s="29" t="str">
        <f ca="1">VLOOKUP(A651,Calculation!$G$6:$S$1004,2,FALSE)</f>
        <v/>
      </c>
      <c r="M651" s="4" t="str">
        <f ca="1">IFERROR(VLOOKUP($L651,Calculation!$H$6:$S$1005,HLOOKUP(M$2,Calculation!$M$4:$S$5,2,FALSE)+5,FALSE),"")</f>
        <v/>
      </c>
      <c r="N651" s="4" t="str">
        <f ca="1">IFERROR(VLOOKUP($L651,Calculation!$H$6:$S$1005,HLOOKUP(N$2,Calculation!$M$4:$S$5,2,FALSE)+5,FALSE),"")</f>
        <v/>
      </c>
      <c r="O651" s="4" t="str">
        <f ca="1">IFERROR(VLOOKUP($L651,Calculation!$H$6:$S$1005,HLOOKUP(O$2,Calculation!$M$4:$S$5,2,FALSE)+5,FALSE),"")</f>
        <v/>
      </c>
      <c r="P651" s="4" t="str">
        <f ca="1">IFERROR(VLOOKUP($L651,Calculation!$H$6:$S$1005,HLOOKUP(P$2,Calculation!$M$4:$S$5,2,FALSE)+5,FALSE),"")</f>
        <v/>
      </c>
      <c r="Q651" s="4" t="str">
        <f ca="1">IFERROR(VLOOKUP($L651,Calculation!$H$6:$S$1005,HLOOKUP(Q$2,Calculation!$M$4:$S$5,2,FALSE)+5,FALSE),"")</f>
        <v/>
      </c>
      <c r="R651" s="27" t="str">
        <f ca="1">IFERROR(VLOOKUP($L651,Calculation!$H$6:$S$1005,HLOOKUP(R$2,Calculation!$M$4:$S$5,2,FALSE)+5,FALSE),"")</f>
        <v/>
      </c>
      <c r="S651" s="4" t="str">
        <f ca="1">IFERROR(VLOOKUP($L651,Calculation!$H$6:$S$1005,HLOOKUP(S$2,Calculation!$M$4:$S$5,2,FALSE)+5,FALSE),"")</f>
        <v/>
      </c>
      <c r="T651" s="29"/>
      <c r="U651" s="43" t="str">
        <f>IFERROR(VLOOKUP(T651,Calculation!$U$6:$V$11,2,FALSE),"")</f>
        <v/>
      </c>
    </row>
    <row r="652" spans="1:21" ht="14.25" customHeight="1" x14ac:dyDescent="0.3">
      <c r="A652" s="26" t="str">
        <f ca="1">IF(Calculation!T655&lt;=Calculation!$H$4,Calculation!T655,"")</f>
        <v/>
      </c>
      <c r="B652" s="4" t="str">
        <f ca="1">VLOOKUP(A652,Calculation!$E$6:$J$1004,4,FALSE)</f>
        <v/>
      </c>
      <c r="C652" s="4" t="str">
        <f ca="1">VLOOKUP(A652,Calculation!$E$6:$J$1004,5,FALSE)</f>
        <v/>
      </c>
      <c r="D652" s="4" t="str">
        <f ca="1">VLOOKUP(A652,Calculation!$E$6:$J$1004,6,FALSE)</f>
        <v/>
      </c>
      <c r="E652" s="42" t="str">
        <f t="shared" ca="1" si="4"/>
        <v/>
      </c>
      <c r="G652" s="29" t="str">
        <f ca="1">VLOOKUP(A652,Calculation!$F$6:$J$1004,3,FALSE)</f>
        <v/>
      </c>
      <c r="H652" s="4" t="str">
        <f ca="1">VLOOKUP(A652,Calculation!$F$6:$J$1004,4,FALSE)</f>
        <v/>
      </c>
      <c r="I652" s="4" t="str">
        <f ca="1">VLOOKUP(A652,Calculation!$F$6:$J$1004,5,FALSE)</f>
        <v/>
      </c>
      <c r="J652" s="43" t="str">
        <f t="shared" ca="1" si="5"/>
        <v/>
      </c>
      <c r="L652" s="29" t="str">
        <f ca="1">VLOOKUP(A652,Calculation!$G$6:$S$1004,2,FALSE)</f>
        <v/>
      </c>
      <c r="M652" s="4" t="str">
        <f ca="1">IFERROR(VLOOKUP($L652,Calculation!$H$6:$S$1005,HLOOKUP(M$2,Calculation!$M$4:$S$5,2,FALSE)+5,FALSE),"")</f>
        <v/>
      </c>
      <c r="N652" s="4" t="str">
        <f ca="1">IFERROR(VLOOKUP($L652,Calculation!$H$6:$S$1005,HLOOKUP(N$2,Calculation!$M$4:$S$5,2,FALSE)+5,FALSE),"")</f>
        <v/>
      </c>
      <c r="O652" s="4" t="str">
        <f ca="1">IFERROR(VLOOKUP($L652,Calculation!$H$6:$S$1005,HLOOKUP(O$2,Calculation!$M$4:$S$5,2,FALSE)+5,FALSE),"")</f>
        <v/>
      </c>
      <c r="P652" s="4" t="str">
        <f ca="1">IFERROR(VLOOKUP($L652,Calculation!$H$6:$S$1005,HLOOKUP(P$2,Calculation!$M$4:$S$5,2,FALSE)+5,FALSE),"")</f>
        <v/>
      </c>
      <c r="Q652" s="4" t="str">
        <f ca="1">IFERROR(VLOOKUP($L652,Calculation!$H$6:$S$1005,HLOOKUP(Q$2,Calculation!$M$4:$S$5,2,FALSE)+5,FALSE),"")</f>
        <v/>
      </c>
      <c r="R652" s="27" t="str">
        <f ca="1">IFERROR(VLOOKUP($L652,Calculation!$H$6:$S$1005,HLOOKUP(R$2,Calculation!$M$4:$S$5,2,FALSE)+5,FALSE),"")</f>
        <v/>
      </c>
      <c r="S652" s="4" t="str">
        <f ca="1">IFERROR(VLOOKUP($L652,Calculation!$H$6:$S$1005,HLOOKUP(S$2,Calculation!$M$4:$S$5,2,FALSE)+5,FALSE),"")</f>
        <v/>
      </c>
      <c r="T652" s="29"/>
      <c r="U652" s="43" t="str">
        <f>IFERROR(VLOOKUP(T652,Calculation!$U$6:$V$11,2,FALSE),"")</f>
        <v/>
      </c>
    </row>
    <row r="653" spans="1:21" ht="14.25" customHeight="1" x14ac:dyDescent="0.3">
      <c r="A653" s="26" t="str">
        <f ca="1">IF(Calculation!T656&lt;=Calculation!$H$4,Calculation!T656,"")</f>
        <v/>
      </c>
      <c r="B653" s="4" t="str">
        <f ca="1">VLOOKUP(A653,Calculation!$E$6:$J$1004,4,FALSE)</f>
        <v/>
      </c>
      <c r="C653" s="4" t="str">
        <f ca="1">VLOOKUP(A653,Calculation!$E$6:$J$1004,5,FALSE)</f>
        <v/>
      </c>
      <c r="D653" s="4" t="str">
        <f ca="1">VLOOKUP(A653,Calculation!$E$6:$J$1004,6,FALSE)</f>
        <v/>
      </c>
      <c r="E653" s="42" t="str">
        <f t="shared" ca="1" si="4"/>
        <v/>
      </c>
      <c r="G653" s="29" t="str">
        <f ca="1">VLOOKUP(A653,Calculation!$F$6:$J$1004,3,FALSE)</f>
        <v/>
      </c>
      <c r="H653" s="4" t="str">
        <f ca="1">VLOOKUP(A653,Calculation!$F$6:$J$1004,4,FALSE)</f>
        <v/>
      </c>
      <c r="I653" s="4" t="str">
        <f ca="1">VLOOKUP(A653,Calculation!$F$6:$J$1004,5,FALSE)</f>
        <v/>
      </c>
      <c r="J653" s="43" t="str">
        <f t="shared" ca="1" si="5"/>
        <v/>
      </c>
      <c r="L653" s="29" t="str">
        <f ca="1">VLOOKUP(A653,Calculation!$G$6:$S$1004,2,FALSE)</f>
        <v/>
      </c>
      <c r="M653" s="4" t="str">
        <f ca="1">IFERROR(VLOOKUP($L653,Calculation!$H$6:$S$1005,HLOOKUP(M$2,Calculation!$M$4:$S$5,2,FALSE)+5,FALSE),"")</f>
        <v/>
      </c>
      <c r="N653" s="4" t="str">
        <f ca="1">IFERROR(VLOOKUP($L653,Calculation!$H$6:$S$1005,HLOOKUP(N$2,Calculation!$M$4:$S$5,2,FALSE)+5,FALSE),"")</f>
        <v/>
      </c>
      <c r="O653" s="4" t="str">
        <f ca="1">IFERROR(VLOOKUP($L653,Calculation!$H$6:$S$1005,HLOOKUP(O$2,Calculation!$M$4:$S$5,2,FALSE)+5,FALSE),"")</f>
        <v/>
      </c>
      <c r="P653" s="4" t="str">
        <f ca="1">IFERROR(VLOOKUP($L653,Calculation!$H$6:$S$1005,HLOOKUP(P$2,Calculation!$M$4:$S$5,2,FALSE)+5,FALSE),"")</f>
        <v/>
      </c>
      <c r="Q653" s="4" t="str">
        <f ca="1">IFERROR(VLOOKUP($L653,Calculation!$H$6:$S$1005,HLOOKUP(Q$2,Calculation!$M$4:$S$5,2,FALSE)+5,FALSE),"")</f>
        <v/>
      </c>
      <c r="R653" s="27" t="str">
        <f ca="1">IFERROR(VLOOKUP($L653,Calculation!$H$6:$S$1005,HLOOKUP(R$2,Calculation!$M$4:$S$5,2,FALSE)+5,FALSE),"")</f>
        <v/>
      </c>
      <c r="S653" s="4" t="str">
        <f ca="1">IFERROR(VLOOKUP($L653,Calculation!$H$6:$S$1005,HLOOKUP(S$2,Calculation!$M$4:$S$5,2,FALSE)+5,FALSE),"")</f>
        <v/>
      </c>
      <c r="T653" s="29"/>
      <c r="U653" s="43" t="str">
        <f>IFERROR(VLOOKUP(T653,Calculation!$U$6:$V$11,2,FALSE),"")</f>
        <v/>
      </c>
    </row>
    <row r="654" spans="1:21" ht="14.25" customHeight="1" x14ac:dyDescent="0.3">
      <c r="A654" s="26" t="str">
        <f ca="1">IF(Calculation!T657&lt;=Calculation!$H$4,Calculation!T657,"")</f>
        <v/>
      </c>
      <c r="B654" s="4" t="str">
        <f ca="1">VLOOKUP(A654,Calculation!$E$6:$J$1004,4,FALSE)</f>
        <v/>
      </c>
      <c r="C654" s="4" t="str">
        <f ca="1">VLOOKUP(A654,Calculation!$E$6:$J$1004,5,FALSE)</f>
        <v/>
      </c>
      <c r="D654" s="4" t="str">
        <f ca="1">VLOOKUP(A654,Calculation!$E$6:$J$1004,6,FALSE)</f>
        <v/>
      </c>
      <c r="E654" s="42" t="str">
        <f t="shared" ca="1" si="4"/>
        <v/>
      </c>
      <c r="G654" s="29" t="str">
        <f ca="1">VLOOKUP(A654,Calculation!$F$6:$J$1004,3,FALSE)</f>
        <v/>
      </c>
      <c r="H654" s="4" t="str">
        <f ca="1">VLOOKUP(A654,Calculation!$F$6:$J$1004,4,FALSE)</f>
        <v/>
      </c>
      <c r="I654" s="4" t="str">
        <f ca="1">VLOOKUP(A654,Calculation!$F$6:$J$1004,5,FALSE)</f>
        <v/>
      </c>
      <c r="J654" s="43" t="str">
        <f t="shared" ca="1" si="5"/>
        <v/>
      </c>
      <c r="L654" s="29" t="str">
        <f ca="1">VLOOKUP(A654,Calculation!$G$6:$S$1004,2,FALSE)</f>
        <v/>
      </c>
      <c r="M654" s="4" t="str">
        <f ca="1">IFERROR(VLOOKUP($L654,Calculation!$H$6:$S$1005,HLOOKUP(M$2,Calculation!$M$4:$S$5,2,FALSE)+5,FALSE),"")</f>
        <v/>
      </c>
      <c r="N654" s="4" t="str">
        <f ca="1">IFERROR(VLOOKUP($L654,Calculation!$H$6:$S$1005,HLOOKUP(N$2,Calculation!$M$4:$S$5,2,FALSE)+5,FALSE),"")</f>
        <v/>
      </c>
      <c r="O654" s="4" t="str">
        <f ca="1">IFERROR(VLOOKUP($L654,Calculation!$H$6:$S$1005,HLOOKUP(O$2,Calculation!$M$4:$S$5,2,FALSE)+5,FALSE),"")</f>
        <v/>
      </c>
      <c r="P654" s="4" t="str">
        <f ca="1">IFERROR(VLOOKUP($L654,Calculation!$H$6:$S$1005,HLOOKUP(P$2,Calculation!$M$4:$S$5,2,FALSE)+5,FALSE),"")</f>
        <v/>
      </c>
      <c r="Q654" s="4" t="str">
        <f ca="1">IFERROR(VLOOKUP($L654,Calculation!$H$6:$S$1005,HLOOKUP(Q$2,Calculation!$M$4:$S$5,2,FALSE)+5,FALSE),"")</f>
        <v/>
      </c>
      <c r="R654" s="27" t="str">
        <f ca="1">IFERROR(VLOOKUP($L654,Calculation!$H$6:$S$1005,HLOOKUP(R$2,Calculation!$M$4:$S$5,2,FALSE)+5,FALSE),"")</f>
        <v/>
      </c>
      <c r="S654" s="4" t="str">
        <f ca="1">IFERROR(VLOOKUP($L654,Calculation!$H$6:$S$1005,HLOOKUP(S$2,Calculation!$M$4:$S$5,2,FALSE)+5,FALSE),"")</f>
        <v/>
      </c>
      <c r="T654" s="29"/>
      <c r="U654" s="43" t="str">
        <f>IFERROR(VLOOKUP(T654,Calculation!$U$6:$V$11,2,FALSE),"")</f>
        <v/>
      </c>
    </row>
    <row r="655" spans="1:21" ht="14.25" customHeight="1" x14ac:dyDescent="0.3">
      <c r="A655" s="26" t="str">
        <f ca="1">IF(Calculation!T658&lt;=Calculation!$H$4,Calculation!T658,"")</f>
        <v/>
      </c>
      <c r="B655" s="4" t="str">
        <f ca="1">VLOOKUP(A655,Calculation!$E$6:$J$1004,4,FALSE)</f>
        <v/>
      </c>
      <c r="C655" s="4" t="str">
        <f ca="1">VLOOKUP(A655,Calculation!$E$6:$J$1004,5,FALSE)</f>
        <v/>
      </c>
      <c r="D655" s="4" t="str">
        <f ca="1">VLOOKUP(A655,Calculation!$E$6:$J$1004,6,FALSE)</f>
        <v/>
      </c>
      <c r="E655" s="42" t="str">
        <f t="shared" ca="1" si="4"/>
        <v/>
      </c>
      <c r="G655" s="29" t="str">
        <f ca="1">VLOOKUP(A655,Calculation!$F$6:$J$1004,3,FALSE)</f>
        <v/>
      </c>
      <c r="H655" s="4" t="str">
        <f ca="1">VLOOKUP(A655,Calculation!$F$6:$J$1004,4,FALSE)</f>
        <v/>
      </c>
      <c r="I655" s="4" t="str">
        <f ca="1">VLOOKUP(A655,Calculation!$F$6:$J$1004,5,FALSE)</f>
        <v/>
      </c>
      <c r="J655" s="43" t="str">
        <f t="shared" ca="1" si="5"/>
        <v/>
      </c>
      <c r="L655" s="29" t="str">
        <f ca="1">VLOOKUP(A655,Calculation!$G$6:$S$1004,2,FALSE)</f>
        <v/>
      </c>
      <c r="M655" s="4" t="str">
        <f ca="1">IFERROR(VLOOKUP($L655,Calculation!$H$6:$S$1005,HLOOKUP(M$2,Calculation!$M$4:$S$5,2,FALSE)+5,FALSE),"")</f>
        <v/>
      </c>
      <c r="N655" s="4" t="str">
        <f ca="1">IFERROR(VLOOKUP($L655,Calculation!$H$6:$S$1005,HLOOKUP(N$2,Calculation!$M$4:$S$5,2,FALSE)+5,FALSE),"")</f>
        <v/>
      </c>
      <c r="O655" s="4" t="str">
        <f ca="1">IFERROR(VLOOKUP($L655,Calculation!$H$6:$S$1005,HLOOKUP(O$2,Calculation!$M$4:$S$5,2,FALSE)+5,FALSE),"")</f>
        <v/>
      </c>
      <c r="P655" s="4" t="str">
        <f ca="1">IFERROR(VLOOKUP($L655,Calculation!$H$6:$S$1005,HLOOKUP(P$2,Calculation!$M$4:$S$5,2,FALSE)+5,FALSE),"")</f>
        <v/>
      </c>
      <c r="Q655" s="4" t="str">
        <f ca="1">IFERROR(VLOOKUP($L655,Calculation!$H$6:$S$1005,HLOOKUP(Q$2,Calculation!$M$4:$S$5,2,FALSE)+5,FALSE),"")</f>
        <v/>
      </c>
      <c r="R655" s="27" t="str">
        <f ca="1">IFERROR(VLOOKUP($L655,Calculation!$H$6:$S$1005,HLOOKUP(R$2,Calculation!$M$4:$S$5,2,FALSE)+5,FALSE),"")</f>
        <v/>
      </c>
      <c r="S655" s="4" t="str">
        <f ca="1">IFERROR(VLOOKUP($L655,Calculation!$H$6:$S$1005,HLOOKUP(S$2,Calculation!$M$4:$S$5,2,FALSE)+5,FALSE),"")</f>
        <v/>
      </c>
      <c r="T655" s="29"/>
      <c r="U655" s="43" t="str">
        <f>IFERROR(VLOOKUP(T655,Calculation!$U$6:$V$11,2,FALSE),"")</f>
        <v/>
      </c>
    </row>
    <row r="656" spans="1:21" ht="14.25" customHeight="1" x14ac:dyDescent="0.3">
      <c r="A656" s="26" t="str">
        <f ca="1">IF(Calculation!T659&lt;=Calculation!$H$4,Calculation!T659,"")</f>
        <v/>
      </c>
      <c r="B656" s="4" t="str">
        <f ca="1">VLOOKUP(A656,Calculation!$E$6:$J$1004,4,FALSE)</f>
        <v/>
      </c>
      <c r="C656" s="4" t="str">
        <f ca="1">VLOOKUP(A656,Calculation!$E$6:$J$1004,5,FALSE)</f>
        <v/>
      </c>
      <c r="D656" s="4" t="str">
        <f ca="1">VLOOKUP(A656,Calculation!$E$6:$J$1004,6,FALSE)</f>
        <v/>
      </c>
      <c r="E656" s="42" t="str">
        <f t="shared" ca="1" si="4"/>
        <v/>
      </c>
      <c r="G656" s="29" t="str">
        <f ca="1">VLOOKUP(A656,Calculation!$F$6:$J$1004,3,FALSE)</f>
        <v/>
      </c>
      <c r="H656" s="4" t="str">
        <f ca="1">VLOOKUP(A656,Calculation!$F$6:$J$1004,4,FALSE)</f>
        <v/>
      </c>
      <c r="I656" s="4" t="str">
        <f ca="1">VLOOKUP(A656,Calculation!$F$6:$J$1004,5,FALSE)</f>
        <v/>
      </c>
      <c r="J656" s="43" t="str">
        <f t="shared" ca="1" si="5"/>
        <v/>
      </c>
      <c r="L656" s="29" t="str">
        <f ca="1">VLOOKUP(A656,Calculation!$G$6:$S$1004,2,FALSE)</f>
        <v/>
      </c>
      <c r="M656" s="4" t="str">
        <f ca="1">IFERROR(VLOOKUP($L656,Calculation!$H$6:$S$1005,HLOOKUP(M$2,Calculation!$M$4:$S$5,2,FALSE)+5,FALSE),"")</f>
        <v/>
      </c>
      <c r="N656" s="4" t="str">
        <f ca="1">IFERROR(VLOOKUP($L656,Calculation!$H$6:$S$1005,HLOOKUP(N$2,Calculation!$M$4:$S$5,2,FALSE)+5,FALSE),"")</f>
        <v/>
      </c>
      <c r="O656" s="4" t="str">
        <f ca="1">IFERROR(VLOOKUP($L656,Calculation!$H$6:$S$1005,HLOOKUP(O$2,Calculation!$M$4:$S$5,2,FALSE)+5,FALSE),"")</f>
        <v/>
      </c>
      <c r="P656" s="4" t="str">
        <f ca="1">IFERROR(VLOOKUP($L656,Calculation!$H$6:$S$1005,HLOOKUP(P$2,Calculation!$M$4:$S$5,2,FALSE)+5,FALSE),"")</f>
        <v/>
      </c>
      <c r="Q656" s="4" t="str">
        <f ca="1">IFERROR(VLOOKUP($L656,Calculation!$H$6:$S$1005,HLOOKUP(Q$2,Calculation!$M$4:$S$5,2,FALSE)+5,FALSE),"")</f>
        <v/>
      </c>
      <c r="R656" s="27" t="str">
        <f ca="1">IFERROR(VLOOKUP($L656,Calculation!$H$6:$S$1005,HLOOKUP(R$2,Calculation!$M$4:$S$5,2,FALSE)+5,FALSE),"")</f>
        <v/>
      </c>
      <c r="S656" s="4" t="str">
        <f ca="1">IFERROR(VLOOKUP($L656,Calculation!$H$6:$S$1005,HLOOKUP(S$2,Calculation!$M$4:$S$5,2,FALSE)+5,FALSE),"")</f>
        <v/>
      </c>
      <c r="T656" s="29"/>
      <c r="U656" s="43" t="str">
        <f>IFERROR(VLOOKUP(T656,Calculation!$U$6:$V$11,2,FALSE),"")</f>
        <v/>
      </c>
    </row>
    <row r="657" spans="1:21" ht="14.25" customHeight="1" x14ac:dyDescent="0.3">
      <c r="A657" s="26" t="str">
        <f ca="1">IF(Calculation!T660&lt;=Calculation!$H$4,Calculation!T660,"")</f>
        <v/>
      </c>
      <c r="B657" s="4" t="str">
        <f ca="1">VLOOKUP(A657,Calculation!$E$6:$J$1004,4,FALSE)</f>
        <v/>
      </c>
      <c r="C657" s="4" t="str">
        <f ca="1">VLOOKUP(A657,Calculation!$E$6:$J$1004,5,FALSE)</f>
        <v/>
      </c>
      <c r="D657" s="4" t="str">
        <f ca="1">VLOOKUP(A657,Calculation!$E$6:$J$1004,6,FALSE)</f>
        <v/>
      </c>
      <c r="E657" s="42" t="str">
        <f t="shared" ca="1" si="4"/>
        <v/>
      </c>
      <c r="G657" s="29" t="str">
        <f ca="1">VLOOKUP(A657,Calculation!$F$6:$J$1004,3,FALSE)</f>
        <v/>
      </c>
      <c r="H657" s="4" t="str">
        <f ca="1">VLOOKUP(A657,Calculation!$F$6:$J$1004,4,FALSE)</f>
        <v/>
      </c>
      <c r="I657" s="4" t="str">
        <f ca="1">VLOOKUP(A657,Calculation!$F$6:$J$1004,5,FALSE)</f>
        <v/>
      </c>
      <c r="J657" s="43" t="str">
        <f t="shared" ca="1" si="5"/>
        <v/>
      </c>
      <c r="L657" s="29" t="str">
        <f ca="1">VLOOKUP(A657,Calculation!$G$6:$S$1004,2,FALSE)</f>
        <v/>
      </c>
      <c r="M657" s="4" t="str">
        <f ca="1">IFERROR(VLOOKUP($L657,Calculation!$H$6:$S$1005,HLOOKUP(M$2,Calculation!$M$4:$S$5,2,FALSE)+5,FALSE),"")</f>
        <v/>
      </c>
      <c r="N657" s="4" t="str">
        <f ca="1">IFERROR(VLOOKUP($L657,Calculation!$H$6:$S$1005,HLOOKUP(N$2,Calculation!$M$4:$S$5,2,FALSE)+5,FALSE),"")</f>
        <v/>
      </c>
      <c r="O657" s="4" t="str">
        <f ca="1">IFERROR(VLOOKUP($L657,Calculation!$H$6:$S$1005,HLOOKUP(O$2,Calculation!$M$4:$S$5,2,FALSE)+5,FALSE),"")</f>
        <v/>
      </c>
      <c r="P657" s="4" t="str">
        <f ca="1">IFERROR(VLOOKUP($L657,Calculation!$H$6:$S$1005,HLOOKUP(P$2,Calculation!$M$4:$S$5,2,FALSE)+5,FALSE),"")</f>
        <v/>
      </c>
      <c r="Q657" s="4" t="str">
        <f ca="1">IFERROR(VLOOKUP($L657,Calculation!$H$6:$S$1005,HLOOKUP(Q$2,Calculation!$M$4:$S$5,2,FALSE)+5,FALSE),"")</f>
        <v/>
      </c>
      <c r="R657" s="27" t="str">
        <f ca="1">IFERROR(VLOOKUP($L657,Calculation!$H$6:$S$1005,HLOOKUP(R$2,Calculation!$M$4:$S$5,2,FALSE)+5,FALSE),"")</f>
        <v/>
      </c>
      <c r="S657" s="4" t="str">
        <f ca="1">IFERROR(VLOOKUP($L657,Calculation!$H$6:$S$1005,HLOOKUP(S$2,Calculation!$M$4:$S$5,2,FALSE)+5,FALSE),"")</f>
        <v/>
      </c>
      <c r="T657" s="29"/>
      <c r="U657" s="43" t="str">
        <f>IFERROR(VLOOKUP(T657,Calculation!$U$6:$V$11,2,FALSE),"")</f>
        <v/>
      </c>
    </row>
    <row r="658" spans="1:21" ht="14.25" customHeight="1" x14ac:dyDescent="0.3">
      <c r="A658" s="26" t="str">
        <f ca="1">IF(Calculation!T661&lt;=Calculation!$H$4,Calculation!T661,"")</f>
        <v/>
      </c>
      <c r="B658" s="4" t="str">
        <f ca="1">VLOOKUP(A658,Calculation!$E$6:$J$1004,4,FALSE)</f>
        <v/>
      </c>
      <c r="C658" s="4" t="str">
        <f ca="1">VLOOKUP(A658,Calculation!$E$6:$J$1004,5,FALSE)</f>
        <v/>
      </c>
      <c r="D658" s="4" t="str">
        <f ca="1">VLOOKUP(A658,Calculation!$E$6:$J$1004,6,FALSE)</f>
        <v/>
      </c>
      <c r="E658" s="42" t="str">
        <f t="shared" ca="1" si="4"/>
        <v/>
      </c>
      <c r="G658" s="29" t="str">
        <f ca="1">VLOOKUP(A658,Calculation!$F$6:$J$1004,3,FALSE)</f>
        <v/>
      </c>
      <c r="H658" s="4" t="str">
        <f ca="1">VLOOKUP(A658,Calculation!$F$6:$J$1004,4,FALSE)</f>
        <v/>
      </c>
      <c r="I658" s="4" t="str">
        <f ca="1">VLOOKUP(A658,Calculation!$F$6:$J$1004,5,FALSE)</f>
        <v/>
      </c>
      <c r="J658" s="43" t="str">
        <f t="shared" ca="1" si="5"/>
        <v/>
      </c>
      <c r="L658" s="29" t="str">
        <f ca="1">VLOOKUP(A658,Calculation!$G$6:$S$1004,2,FALSE)</f>
        <v/>
      </c>
      <c r="M658" s="4" t="str">
        <f ca="1">IFERROR(VLOOKUP($L658,Calculation!$H$6:$S$1005,HLOOKUP(M$2,Calculation!$M$4:$S$5,2,FALSE)+5,FALSE),"")</f>
        <v/>
      </c>
      <c r="N658" s="4" t="str">
        <f ca="1">IFERROR(VLOOKUP($L658,Calculation!$H$6:$S$1005,HLOOKUP(N$2,Calculation!$M$4:$S$5,2,FALSE)+5,FALSE),"")</f>
        <v/>
      </c>
      <c r="O658" s="4" t="str">
        <f ca="1">IFERROR(VLOOKUP($L658,Calculation!$H$6:$S$1005,HLOOKUP(O$2,Calculation!$M$4:$S$5,2,FALSE)+5,FALSE),"")</f>
        <v/>
      </c>
      <c r="P658" s="4" t="str">
        <f ca="1">IFERROR(VLOOKUP($L658,Calculation!$H$6:$S$1005,HLOOKUP(P$2,Calculation!$M$4:$S$5,2,FALSE)+5,FALSE),"")</f>
        <v/>
      </c>
      <c r="Q658" s="4" t="str">
        <f ca="1">IFERROR(VLOOKUP($L658,Calculation!$H$6:$S$1005,HLOOKUP(Q$2,Calculation!$M$4:$S$5,2,FALSE)+5,FALSE),"")</f>
        <v/>
      </c>
      <c r="R658" s="27" t="str">
        <f ca="1">IFERROR(VLOOKUP($L658,Calculation!$H$6:$S$1005,HLOOKUP(R$2,Calculation!$M$4:$S$5,2,FALSE)+5,FALSE),"")</f>
        <v/>
      </c>
      <c r="S658" s="4" t="str">
        <f ca="1">IFERROR(VLOOKUP($L658,Calculation!$H$6:$S$1005,HLOOKUP(S$2,Calculation!$M$4:$S$5,2,FALSE)+5,FALSE),"")</f>
        <v/>
      </c>
      <c r="T658" s="29"/>
      <c r="U658" s="43" t="str">
        <f>IFERROR(VLOOKUP(T658,Calculation!$U$6:$V$11,2,FALSE),"")</f>
        <v/>
      </c>
    </row>
    <row r="659" spans="1:21" ht="14.25" customHeight="1" x14ac:dyDescent="0.3">
      <c r="A659" s="26" t="str">
        <f ca="1">IF(Calculation!T662&lt;=Calculation!$H$4,Calculation!T662,"")</f>
        <v/>
      </c>
      <c r="B659" s="4" t="str">
        <f ca="1">VLOOKUP(A659,Calculation!$E$6:$J$1004,4,FALSE)</f>
        <v/>
      </c>
      <c r="C659" s="4" t="str">
        <f ca="1">VLOOKUP(A659,Calculation!$E$6:$J$1004,5,FALSE)</f>
        <v/>
      </c>
      <c r="D659" s="4" t="str">
        <f ca="1">VLOOKUP(A659,Calculation!$E$6:$J$1004,6,FALSE)</f>
        <v/>
      </c>
      <c r="E659" s="42" t="str">
        <f t="shared" ca="1" si="4"/>
        <v/>
      </c>
      <c r="G659" s="29" t="str">
        <f ca="1">VLOOKUP(A659,Calculation!$F$6:$J$1004,3,FALSE)</f>
        <v/>
      </c>
      <c r="H659" s="4" t="str">
        <f ca="1">VLOOKUP(A659,Calculation!$F$6:$J$1004,4,FALSE)</f>
        <v/>
      </c>
      <c r="I659" s="4" t="str">
        <f ca="1">VLOOKUP(A659,Calculation!$F$6:$J$1004,5,FALSE)</f>
        <v/>
      </c>
      <c r="J659" s="43" t="str">
        <f t="shared" ca="1" si="5"/>
        <v/>
      </c>
      <c r="L659" s="29" t="str">
        <f ca="1">VLOOKUP(A659,Calculation!$G$6:$S$1004,2,FALSE)</f>
        <v/>
      </c>
      <c r="M659" s="4" t="str">
        <f ca="1">IFERROR(VLOOKUP($L659,Calculation!$H$6:$S$1005,HLOOKUP(M$2,Calculation!$M$4:$S$5,2,FALSE)+5,FALSE),"")</f>
        <v/>
      </c>
      <c r="N659" s="4" t="str">
        <f ca="1">IFERROR(VLOOKUP($L659,Calculation!$H$6:$S$1005,HLOOKUP(N$2,Calculation!$M$4:$S$5,2,FALSE)+5,FALSE),"")</f>
        <v/>
      </c>
      <c r="O659" s="4" t="str">
        <f ca="1">IFERROR(VLOOKUP($L659,Calculation!$H$6:$S$1005,HLOOKUP(O$2,Calculation!$M$4:$S$5,2,FALSE)+5,FALSE),"")</f>
        <v/>
      </c>
      <c r="P659" s="4" t="str">
        <f ca="1">IFERROR(VLOOKUP($L659,Calculation!$H$6:$S$1005,HLOOKUP(P$2,Calculation!$M$4:$S$5,2,FALSE)+5,FALSE),"")</f>
        <v/>
      </c>
      <c r="Q659" s="4" t="str">
        <f ca="1">IFERROR(VLOOKUP($L659,Calculation!$H$6:$S$1005,HLOOKUP(Q$2,Calculation!$M$4:$S$5,2,FALSE)+5,FALSE),"")</f>
        <v/>
      </c>
      <c r="R659" s="27" t="str">
        <f ca="1">IFERROR(VLOOKUP($L659,Calculation!$H$6:$S$1005,HLOOKUP(R$2,Calculation!$M$4:$S$5,2,FALSE)+5,FALSE),"")</f>
        <v/>
      </c>
      <c r="S659" s="4" t="str">
        <f ca="1">IFERROR(VLOOKUP($L659,Calculation!$H$6:$S$1005,HLOOKUP(S$2,Calculation!$M$4:$S$5,2,FALSE)+5,FALSE),"")</f>
        <v/>
      </c>
      <c r="T659" s="29"/>
      <c r="U659" s="43" t="str">
        <f>IFERROR(VLOOKUP(T659,Calculation!$U$6:$V$11,2,FALSE),"")</f>
        <v/>
      </c>
    </row>
    <row r="660" spans="1:21" ht="14.25" customHeight="1" x14ac:dyDescent="0.3">
      <c r="A660" s="26" t="str">
        <f ca="1">IF(Calculation!T663&lt;=Calculation!$H$4,Calculation!T663,"")</f>
        <v/>
      </c>
      <c r="B660" s="4" t="str">
        <f ca="1">VLOOKUP(A660,Calculation!$E$6:$J$1004,4,FALSE)</f>
        <v/>
      </c>
      <c r="C660" s="4" t="str">
        <f ca="1">VLOOKUP(A660,Calculation!$E$6:$J$1004,5,FALSE)</f>
        <v/>
      </c>
      <c r="D660" s="4" t="str">
        <f ca="1">VLOOKUP(A660,Calculation!$E$6:$J$1004,6,FALSE)</f>
        <v/>
      </c>
      <c r="E660" s="42" t="str">
        <f t="shared" ca="1" si="4"/>
        <v/>
      </c>
      <c r="G660" s="29" t="str">
        <f ca="1">VLOOKUP(A660,Calculation!$F$6:$J$1004,3,FALSE)</f>
        <v/>
      </c>
      <c r="H660" s="4" t="str">
        <f ca="1">VLOOKUP(A660,Calculation!$F$6:$J$1004,4,FALSE)</f>
        <v/>
      </c>
      <c r="I660" s="4" t="str">
        <f ca="1">VLOOKUP(A660,Calculation!$F$6:$J$1004,5,FALSE)</f>
        <v/>
      </c>
      <c r="J660" s="43" t="str">
        <f t="shared" ca="1" si="5"/>
        <v/>
      </c>
      <c r="L660" s="29" t="str">
        <f ca="1">VLOOKUP(A660,Calculation!$G$6:$S$1004,2,FALSE)</f>
        <v/>
      </c>
      <c r="M660" s="4" t="str">
        <f ca="1">IFERROR(VLOOKUP($L660,Calculation!$H$6:$S$1005,HLOOKUP(M$2,Calculation!$M$4:$S$5,2,FALSE)+5,FALSE),"")</f>
        <v/>
      </c>
      <c r="N660" s="4" t="str">
        <f ca="1">IFERROR(VLOOKUP($L660,Calculation!$H$6:$S$1005,HLOOKUP(N$2,Calculation!$M$4:$S$5,2,FALSE)+5,FALSE),"")</f>
        <v/>
      </c>
      <c r="O660" s="4" t="str">
        <f ca="1">IFERROR(VLOOKUP($L660,Calculation!$H$6:$S$1005,HLOOKUP(O$2,Calculation!$M$4:$S$5,2,FALSE)+5,FALSE),"")</f>
        <v/>
      </c>
      <c r="P660" s="4" t="str">
        <f ca="1">IFERROR(VLOOKUP($L660,Calculation!$H$6:$S$1005,HLOOKUP(P$2,Calculation!$M$4:$S$5,2,FALSE)+5,FALSE),"")</f>
        <v/>
      </c>
      <c r="Q660" s="4" t="str">
        <f ca="1">IFERROR(VLOOKUP($L660,Calculation!$H$6:$S$1005,HLOOKUP(Q$2,Calculation!$M$4:$S$5,2,FALSE)+5,FALSE),"")</f>
        <v/>
      </c>
      <c r="R660" s="27" t="str">
        <f ca="1">IFERROR(VLOOKUP($L660,Calculation!$H$6:$S$1005,HLOOKUP(R$2,Calculation!$M$4:$S$5,2,FALSE)+5,FALSE),"")</f>
        <v/>
      </c>
      <c r="S660" s="4" t="str">
        <f ca="1">IFERROR(VLOOKUP($L660,Calculation!$H$6:$S$1005,HLOOKUP(S$2,Calculation!$M$4:$S$5,2,FALSE)+5,FALSE),"")</f>
        <v/>
      </c>
      <c r="T660" s="29"/>
      <c r="U660" s="43" t="str">
        <f>IFERROR(VLOOKUP(T660,Calculation!$U$6:$V$11,2,FALSE),"")</f>
        <v/>
      </c>
    </row>
    <row r="661" spans="1:21" ht="14.25" customHeight="1" x14ac:dyDescent="0.3">
      <c r="A661" s="26" t="str">
        <f ca="1">IF(Calculation!T664&lt;=Calculation!$H$4,Calculation!T664,"")</f>
        <v/>
      </c>
      <c r="B661" s="4" t="str">
        <f ca="1">VLOOKUP(A661,Calculation!$E$6:$J$1004,4,FALSE)</f>
        <v/>
      </c>
      <c r="C661" s="4" t="str">
        <f ca="1">VLOOKUP(A661,Calculation!$E$6:$J$1004,5,FALSE)</f>
        <v/>
      </c>
      <c r="D661" s="4" t="str">
        <f ca="1">VLOOKUP(A661,Calculation!$E$6:$J$1004,6,FALSE)</f>
        <v/>
      </c>
      <c r="E661" s="42" t="str">
        <f t="shared" ca="1" si="4"/>
        <v/>
      </c>
      <c r="G661" s="29" t="str">
        <f ca="1">VLOOKUP(A661,Calculation!$F$6:$J$1004,3,FALSE)</f>
        <v/>
      </c>
      <c r="H661" s="4" t="str">
        <f ca="1">VLOOKUP(A661,Calculation!$F$6:$J$1004,4,FALSE)</f>
        <v/>
      </c>
      <c r="I661" s="4" t="str">
        <f ca="1">VLOOKUP(A661,Calculation!$F$6:$J$1004,5,FALSE)</f>
        <v/>
      </c>
      <c r="J661" s="43" t="str">
        <f t="shared" ca="1" si="5"/>
        <v/>
      </c>
      <c r="L661" s="29" t="str">
        <f ca="1">VLOOKUP(A661,Calculation!$G$6:$S$1004,2,FALSE)</f>
        <v/>
      </c>
      <c r="M661" s="4" t="str">
        <f ca="1">IFERROR(VLOOKUP($L661,Calculation!$H$6:$S$1005,HLOOKUP(M$2,Calculation!$M$4:$S$5,2,FALSE)+5,FALSE),"")</f>
        <v/>
      </c>
      <c r="N661" s="4" t="str">
        <f ca="1">IFERROR(VLOOKUP($L661,Calculation!$H$6:$S$1005,HLOOKUP(N$2,Calculation!$M$4:$S$5,2,FALSE)+5,FALSE),"")</f>
        <v/>
      </c>
      <c r="O661" s="4" t="str">
        <f ca="1">IFERROR(VLOOKUP($L661,Calculation!$H$6:$S$1005,HLOOKUP(O$2,Calculation!$M$4:$S$5,2,FALSE)+5,FALSE),"")</f>
        <v/>
      </c>
      <c r="P661" s="4" t="str">
        <f ca="1">IFERROR(VLOOKUP($L661,Calculation!$H$6:$S$1005,HLOOKUP(P$2,Calculation!$M$4:$S$5,2,FALSE)+5,FALSE),"")</f>
        <v/>
      </c>
      <c r="Q661" s="4" t="str">
        <f ca="1">IFERROR(VLOOKUP($L661,Calculation!$H$6:$S$1005,HLOOKUP(Q$2,Calculation!$M$4:$S$5,2,FALSE)+5,FALSE),"")</f>
        <v/>
      </c>
      <c r="R661" s="27" t="str">
        <f ca="1">IFERROR(VLOOKUP($L661,Calculation!$H$6:$S$1005,HLOOKUP(R$2,Calculation!$M$4:$S$5,2,FALSE)+5,FALSE),"")</f>
        <v/>
      </c>
      <c r="S661" s="4" t="str">
        <f ca="1">IFERROR(VLOOKUP($L661,Calculation!$H$6:$S$1005,HLOOKUP(S$2,Calculation!$M$4:$S$5,2,FALSE)+5,FALSE),"")</f>
        <v/>
      </c>
      <c r="T661" s="29"/>
      <c r="U661" s="43" t="str">
        <f>IFERROR(VLOOKUP(T661,Calculation!$U$6:$V$11,2,FALSE),"")</f>
        <v/>
      </c>
    </row>
    <row r="662" spans="1:21" ht="14.25" customHeight="1" x14ac:dyDescent="0.3">
      <c r="A662" s="26" t="str">
        <f ca="1">IF(Calculation!T665&lt;=Calculation!$H$4,Calculation!T665,"")</f>
        <v/>
      </c>
      <c r="B662" s="4" t="str">
        <f ca="1">VLOOKUP(A662,Calculation!$E$6:$J$1004,4,FALSE)</f>
        <v/>
      </c>
      <c r="C662" s="4" t="str">
        <f ca="1">VLOOKUP(A662,Calculation!$E$6:$J$1004,5,FALSE)</f>
        <v/>
      </c>
      <c r="D662" s="4" t="str">
        <f ca="1">VLOOKUP(A662,Calculation!$E$6:$J$1004,6,FALSE)</f>
        <v/>
      </c>
      <c r="E662" s="42" t="str">
        <f t="shared" ca="1" si="4"/>
        <v/>
      </c>
      <c r="G662" s="29" t="str">
        <f ca="1">VLOOKUP(A662,Calculation!$F$6:$J$1004,3,FALSE)</f>
        <v/>
      </c>
      <c r="H662" s="4" t="str">
        <f ca="1">VLOOKUP(A662,Calculation!$F$6:$J$1004,4,FALSE)</f>
        <v/>
      </c>
      <c r="I662" s="4" t="str">
        <f ca="1">VLOOKUP(A662,Calculation!$F$6:$J$1004,5,FALSE)</f>
        <v/>
      </c>
      <c r="J662" s="43" t="str">
        <f t="shared" ca="1" si="5"/>
        <v/>
      </c>
      <c r="L662" s="29" t="str">
        <f ca="1">VLOOKUP(A662,Calculation!$G$6:$S$1004,2,FALSE)</f>
        <v/>
      </c>
      <c r="M662" s="4" t="str">
        <f ca="1">IFERROR(VLOOKUP($L662,Calculation!$H$6:$S$1005,HLOOKUP(M$2,Calculation!$M$4:$S$5,2,FALSE)+5,FALSE),"")</f>
        <v/>
      </c>
      <c r="N662" s="4" t="str">
        <f ca="1">IFERROR(VLOOKUP($L662,Calculation!$H$6:$S$1005,HLOOKUP(N$2,Calculation!$M$4:$S$5,2,FALSE)+5,FALSE),"")</f>
        <v/>
      </c>
      <c r="O662" s="4" t="str">
        <f ca="1">IFERROR(VLOOKUP($L662,Calculation!$H$6:$S$1005,HLOOKUP(O$2,Calculation!$M$4:$S$5,2,FALSE)+5,FALSE),"")</f>
        <v/>
      </c>
      <c r="P662" s="4" t="str">
        <f ca="1">IFERROR(VLOOKUP($L662,Calculation!$H$6:$S$1005,HLOOKUP(P$2,Calculation!$M$4:$S$5,2,FALSE)+5,FALSE),"")</f>
        <v/>
      </c>
      <c r="Q662" s="4" t="str">
        <f ca="1">IFERROR(VLOOKUP($L662,Calculation!$H$6:$S$1005,HLOOKUP(Q$2,Calculation!$M$4:$S$5,2,FALSE)+5,FALSE),"")</f>
        <v/>
      </c>
      <c r="R662" s="27" t="str">
        <f ca="1">IFERROR(VLOOKUP($L662,Calculation!$H$6:$S$1005,HLOOKUP(R$2,Calculation!$M$4:$S$5,2,FALSE)+5,FALSE),"")</f>
        <v/>
      </c>
      <c r="S662" s="4" t="str">
        <f ca="1">IFERROR(VLOOKUP($L662,Calculation!$H$6:$S$1005,HLOOKUP(S$2,Calculation!$M$4:$S$5,2,FALSE)+5,FALSE),"")</f>
        <v/>
      </c>
      <c r="T662" s="29"/>
      <c r="U662" s="43" t="str">
        <f>IFERROR(VLOOKUP(T662,Calculation!$U$6:$V$11,2,FALSE),"")</f>
        <v/>
      </c>
    </row>
    <row r="663" spans="1:21" ht="14.25" customHeight="1" x14ac:dyDescent="0.3">
      <c r="A663" s="26" t="str">
        <f ca="1">IF(Calculation!T666&lt;=Calculation!$H$4,Calculation!T666,"")</f>
        <v/>
      </c>
      <c r="B663" s="4" t="str">
        <f ca="1">VLOOKUP(A663,Calculation!$E$6:$J$1004,4,FALSE)</f>
        <v/>
      </c>
      <c r="C663" s="4" t="str">
        <f ca="1">VLOOKUP(A663,Calculation!$E$6:$J$1004,5,FALSE)</f>
        <v/>
      </c>
      <c r="D663" s="4" t="str">
        <f ca="1">VLOOKUP(A663,Calculation!$E$6:$J$1004,6,FALSE)</f>
        <v/>
      </c>
      <c r="E663" s="42" t="str">
        <f t="shared" ca="1" si="4"/>
        <v/>
      </c>
      <c r="G663" s="29" t="str">
        <f ca="1">VLOOKUP(A663,Calculation!$F$6:$J$1004,3,FALSE)</f>
        <v/>
      </c>
      <c r="H663" s="4" t="str">
        <f ca="1">VLOOKUP(A663,Calculation!$F$6:$J$1004,4,FALSE)</f>
        <v/>
      </c>
      <c r="I663" s="4" t="str">
        <f ca="1">VLOOKUP(A663,Calculation!$F$6:$J$1004,5,FALSE)</f>
        <v/>
      </c>
      <c r="J663" s="43" t="str">
        <f t="shared" ca="1" si="5"/>
        <v/>
      </c>
      <c r="L663" s="29" t="str">
        <f ca="1">VLOOKUP(A663,Calculation!$G$6:$S$1004,2,FALSE)</f>
        <v/>
      </c>
      <c r="M663" s="4" t="str">
        <f ca="1">IFERROR(VLOOKUP($L663,Calculation!$H$6:$S$1005,HLOOKUP(M$2,Calculation!$M$4:$S$5,2,FALSE)+5,FALSE),"")</f>
        <v/>
      </c>
      <c r="N663" s="4" t="str">
        <f ca="1">IFERROR(VLOOKUP($L663,Calculation!$H$6:$S$1005,HLOOKUP(N$2,Calculation!$M$4:$S$5,2,FALSE)+5,FALSE),"")</f>
        <v/>
      </c>
      <c r="O663" s="4" t="str">
        <f ca="1">IFERROR(VLOOKUP($L663,Calculation!$H$6:$S$1005,HLOOKUP(O$2,Calculation!$M$4:$S$5,2,FALSE)+5,FALSE),"")</f>
        <v/>
      </c>
      <c r="P663" s="4" t="str">
        <f ca="1">IFERROR(VLOOKUP($L663,Calculation!$H$6:$S$1005,HLOOKUP(P$2,Calculation!$M$4:$S$5,2,FALSE)+5,FALSE),"")</f>
        <v/>
      </c>
      <c r="Q663" s="4" t="str">
        <f ca="1">IFERROR(VLOOKUP($L663,Calculation!$H$6:$S$1005,HLOOKUP(Q$2,Calculation!$M$4:$S$5,2,FALSE)+5,FALSE),"")</f>
        <v/>
      </c>
      <c r="R663" s="27" t="str">
        <f ca="1">IFERROR(VLOOKUP($L663,Calculation!$H$6:$S$1005,HLOOKUP(R$2,Calculation!$M$4:$S$5,2,FALSE)+5,FALSE),"")</f>
        <v/>
      </c>
      <c r="S663" s="4" t="str">
        <f ca="1">IFERROR(VLOOKUP($L663,Calculation!$H$6:$S$1005,HLOOKUP(S$2,Calculation!$M$4:$S$5,2,FALSE)+5,FALSE),"")</f>
        <v/>
      </c>
      <c r="T663" s="29"/>
      <c r="U663" s="43" t="str">
        <f>IFERROR(VLOOKUP(T663,Calculation!$U$6:$V$11,2,FALSE),"")</f>
        <v/>
      </c>
    </row>
    <row r="664" spans="1:21" ht="14.25" customHeight="1" x14ac:dyDescent="0.3">
      <c r="A664" s="26" t="str">
        <f ca="1">IF(Calculation!T667&lt;=Calculation!$H$4,Calculation!T667,"")</f>
        <v/>
      </c>
      <c r="B664" s="4" t="str">
        <f ca="1">VLOOKUP(A664,Calculation!$E$6:$J$1004,4,FALSE)</f>
        <v/>
      </c>
      <c r="C664" s="4" t="str">
        <f ca="1">VLOOKUP(A664,Calculation!$E$6:$J$1004,5,FALSE)</f>
        <v/>
      </c>
      <c r="D664" s="4" t="str">
        <f ca="1">VLOOKUP(A664,Calculation!$E$6:$J$1004,6,FALSE)</f>
        <v/>
      </c>
      <c r="E664" s="42" t="str">
        <f t="shared" ca="1" si="4"/>
        <v/>
      </c>
      <c r="G664" s="29" t="str">
        <f ca="1">VLOOKUP(A664,Calculation!$F$6:$J$1004,3,FALSE)</f>
        <v/>
      </c>
      <c r="H664" s="4" t="str">
        <f ca="1">VLOOKUP(A664,Calculation!$F$6:$J$1004,4,FALSE)</f>
        <v/>
      </c>
      <c r="I664" s="4" t="str">
        <f ca="1">VLOOKUP(A664,Calculation!$F$6:$J$1004,5,FALSE)</f>
        <v/>
      </c>
      <c r="J664" s="43" t="str">
        <f t="shared" ca="1" si="5"/>
        <v/>
      </c>
      <c r="L664" s="29" t="str">
        <f ca="1">VLOOKUP(A664,Calculation!$G$6:$S$1004,2,FALSE)</f>
        <v/>
      </c>
      <c r="M664" s="4" t="str">
        <f ca="1">IFERROR(VLOOKUP($L664,Calculation!$H$6:$S$1005,HLOOKUP(M$2,Calculation!$M$4:$S$5,2,FALSE)+5,FALSE),"")</f>
        <v/>
      </c>
      <c r="N664" s="4" t="str">
        <f ca="1">IFERROR(VLOOKUP($L664,Calculation!$H$6:$S$1005,HLOOKUP(N$2,Calculation!$M$4:$S$5,2,FALSE)+5,FALSE),"")</f>
        <v/>
      </c>
      <c r="O664" s="4" t="str">
        <f ca="1">IFERROR(VLOOKUP($L664,Calculation!$H$6:$S$1005,HLOOKUP(O$2,Calculation!$M$4:$S$5,2,FALSE)+5,FALSE),"")</f>
        <v/>
      </c>
      <c r="P664" s="4" t="str">
        <f ca="1">IFERROR(VLOOKUP($L664,Calculation!$H$6:$S$1005,HLOOKUP(P$2,Calculation!$M$4:$S$5,2,FALSE)+5,FALSE),"")</f>
        <v/>
      </c>
      <c r="Q664" s="4" t="str">
        <f ca="1">IFERROR(VLOOKUP($L664,Calculation!$H$6:$S$1005,HLOOKUP(Q$2,Calculation!$M$4:$S$5,2,FALSE)+5,FALSE),"")</f>
        <v/>
      </c>
      <c r="R664" s="27" t="str">
        <f ca="1">IFERROR(VLOOKUP($L664,Calculation!$H$6:$S$1005,HLOOKUP(R$2,Calculation!$M$4:$S$5,2,FALSE)+5,FALSE),"")</f>
        <v/>
      </c>
      <c r="S664" s="4" t="str">
        <f ca="1">IFERROR(VLOOKUP($L664,Calculation!$H$6:$S$1005,HLOOKUP(S$2,Calculation!$M$4:$S$5,2,FALSE)+5,FALSE),"")</f>
        <v/>
      </c>
      <c r="T664" s="29"/>
      <c r="U664" s="43" t="str">
        <f>IFERROR(VLOOKUP(T664,Calculation!$U$6:$V$11,2,FALSE),"")</f>
        <v/>
      </c>
    </row>
    <row r="665" spans="1:21" ht="14.25" customHeight="1" x14ac:dyDescent="0.3">
      <c r="A665" s="26" t="str">
        <f ca="1">IF(Calculation!T668&lt;=Calculation!$H$4,Calculation!T668,"")</f>
        <v/>
      </c>
      <c r="B665" s="4" t="str">
        <f ca="1">VLOOKUP(A665,Calculation!$E$6:$J$1004,4,FALSE)</f>
        <v/>
      </c>
      <c r="C665" s="4" t="str">
        <f ca="1">VLOOKUP(A665,Calculation!$E$6:$J$1004,5,FALSE)</f>
        <v/>
      </c>
      <c r="D665" s="4" t="str">
        <f ca="1">VLOOKUP(A665,Calculation!$E$6:$J$1004,6,FALSE)</f>
        <v/>
      </c>
      <c r="E665" s="42" t="str">
        <f t="shared" ca="1" si="4"/>
        <v/>
      </c>
      <c r="G665" s="29" t="str">
        <f ca="1">VLOOKUP(A665,Calculation!$F$6:$J$1004,3,FALSE)</f>
        <v/>
      </c>
      <c r="H665" s="4" t="str">
        <f ca="1">VLOOKUP(A665,Calculation!$F$6:$J$1004,4,FALSE)</f>
        <v/>
      </c>
      <c r="I665" s="4" t="str">
        <f ca="1">VLOOKUP(A665,Calculation!$F$6:$J$1004,5,FALSE)</f>
        <v/>
      </c>
      <c r="J665" s="43" t="str">
        <f t="shared" ca="1" si="5"/>
        <v/>
      </c>
      <c r="L665" s="29" t="str">
        <f ca="1">VLOOKUP(A665,Calculation!$G$6:$S$1004,2,FALSE)</f>
        <v/>
      </c>
      <c r="M665" s="4" t="str">
        <f ca="1">IFERROR(VLOOKUP($L665,Calculation!$H$6:$S$1005,HLOOKUP(M$2,Calculation!$M$4:$S$5,2,FALSE)+5,FALSE),"")</f>
        <v/>
      </c>
      <c r="N665" s="4" t="str">
        <f ca="1">IFERROR(VLOOKUP($L665,Calculation!$H$6:$S$1005,HLOOKUP(N$2,Calculation!$M$4:$S$5,2,FALSE)+5,FALSE),"")</f>
        <v/>
      </c>
      <c r="O665" s="4" t="str">
        <f ca="1">IFERROR(VLOOKUP($L665,Calculation!$H$6:$S$1005,HLOOKUP(O$2,Calculation!$M$4:$S$5,2,FALSE)+5,FALSE),"")</f>
        <v/>
      </c>
      <c r="P665" s="4" t="str">
        <f ca="1">IFERROR(VLOOKUP($L665,Calculation!$H$6:$S$1005,HLOOKUP(P$2,Calculation!$M$4:$S$5,2,FALSE)+5,FALSE),"")</f>
        <v/>
      </c>
      <c r="Q665" s="4" t="str">
        <f ca="1">IFERROR(VLOOKUP($L665,Calculation!$H$6:$S$1005,HLOOKUP(Q$2,Calculation!$M$4:$S$5,2,FALSE)+5,FALSE),"")</f>
        <v/>
      </c>
      <c r="R665" s="27" t="str">
        <f ca="1">IFERROR(VLOOKUP($L665,Calculation!$H$6:$S$1005,HLOOKUP(R$2,Calculation!$M$4:$S$5,2,FALSE)+5,FALSE),"")</f>
        <v/>
      </c>
      <c r="S665" s="4" t="str">
        <f ca="1">IFERROR(VLOOKUP($L665,Calculation!$H$6:$S$1005,HLOOKUP(S$2,Calculation!$M$4:$S$5,2,FALSE)+5,FALSE),"")</f>
        <v/>
      </c>
      <c r="T665" s="29"/>
      <c r="U665" s="43" t="str">
        <f>IFERROR(VLOOKUP(T665,Calculation!$U$6:$V$11,2,FALSE),"")</f>
        <v/>
      </c>
    </row>
    <row r="666" spans="1:21" ht="14.25" customHeight="1" x14ac:dyDescent="0.3">
      <c r="A666" s="26" t="str">
        <f ca="1">IF(Calculation!T669&lt;=Calculation!$H$4,Calculation!T669,"")</f>
        <v/>
      </c>
      <c r="B666" s="4" t="str">
        <f ca="1">VLOOKUP(A666,Calculation!$E$6:$J$1004,4,FALSE)</f>
        <v/>
      </c>
      <c r="C666" s="4" t="str">
        <f ca="1">VLOOKUP(A666,Calculation!$E$6:$J$1004,5,FALSE)</f>
        <v/>
      </c>
      <c r="D666" s="4" t="str">
        <f ca="1">VLOOKUP(A666,Calculation!$E$6:$J$1004,6,FALSE)</f>
        <v/>
      </c>
      <c r="E666" s="42" t="str">
        <f t="shared" ca="1" si="4"/>
        <v/>
      </c>
      <c r="G666" s="29" t="str">
        <f ca="1">VLOOKUP(A666,Calculation!$F$6:$J$1004,3,FALSE)</f>
        <v/>
      </c>
      <c r="H666" s="4" t="str">
        <f ca="1">VLOOKUP(A666,Calculation!$F$6:$J$1004,4,FALSE)</f>
        <v/>
      </c>
      <c r="I666" s="4" t="str">
        <f ca="1">VLOOKUP(A666,Calculation!$F$6:$J$1004,5,FALSE)</f>
        <v/>
      </c>
      <c r="J666" s="43" t="str">
        <f t="shared" ca="1" si="5"/>
        <v/>
      </c>
      <c r="L666" s="29" t="str">
        <f ca="1">VLOOKUP(A666,Calculation!$G$6:$S$1004,2,FALSE)</f>
        <v/>
      </c>
      <c r="M666" s="4" t="str">
        <f ca="1">IFERROR(VLOOKUP($L666,Calculation!$H$6:$S$1005,HLOOKUP(M$2,Calculation!$M$4:$S$5,2,FALSE)+5,FALSE),"")</f>
        <v/>
      </c>
      <c r="N666" s="4" t="str">
        <f ca="1">IFERROR(VLOOKUP($L666,Calculation!$H$6:$S$1005,HLOOKUP(N$2,Calculation!$M$4:$S$5,2,FALSE)+5,FALSE),"")</f>
        <v/>
      </c>
      <c r="O666" s="4" t="str">
        <f ca="1">IFERROR(VLOOKUP($L666,Calculation!$H$6:$S$1005,HLOOKUP(O$2,Calculation!$M$4:$S$5,2,FALSE)+5,FALSE),"")</f>
        <v/>
      </c>
      <c r="P666" s="4" t="str">
        <f ca="1">IFERROR(VLOOKUP($L666,Calculation!$H$6:$S$1005,HLOOKUP(P$2,Calculation!$M$4:$S$5,2,FALSE)+5,FALSE),"")</f>
        <v/>
      </c>
      <c r="Q666" s="4" t="str">
        <f ca="1">IFERROR(VLOOKUP($L666,Calculation!$H$6:$S$1005,HLOOKUP(Q$2,Calculation!$M$4:$S$5,2,FALSE)+5,FALSE),"")</f>
        <v/>
      </c>
      <c r="R666" s="27" t="str">
        <f ca="1">IFERROR(VLOOKUP($L666,Calculation!$H$6:$S$1005,HLOOKUP(R$2,Calculation!$M$4:$S$5,2,FALSE)+5,FALSE),"")</f>
        <v/>
      </c>
      <c r="S666" s="4" t="str">
        <f ca="1">IFERROR(VLOOKUP($L666,Calculation!$H$6:$S$1005,HLOOKUP(S$2,Calculation!$M$4:$S$5,2,FALSE)+5,FALSE),"")</f>
        <v/>
      </c>
      <c r="T666" s="29"/>
      <c r="U666" s="43" t="str">
        <f>IFERROR(VLOOKUP(T666,Calculation!$U$6:$V$11,2,FALSE),"")</f>
        <v/>
      </c>
    </row>
    <row r="667" spans="1:21" ht="14.25" customHeight="1" x14ac:dyDescent="0.3">
      <c r="A667" s="26" t="str">
        <f ca="1">IF(Calculation!T670&lt;=Calculation!$H$4,Calculation!T670,"")</f>
        <v/>
      </c>
      <c r="B667" s="4" t="str">
        <f ca="1">VLOOKUP(A667,Calculation!$E$6:$J$1004,4,FALSE)</f>
        <v/>
      </c>
      <c r="C667" s="4" t="str">
        <f ca="1">VLOOKUP(A667,Calculation!$E$6:$J$1004,5,FALSE)</f>
        <v/>
      </c>
      <c r="D667" s="4" t="str">
        <f ca="1">VLOOKUP(A667,Calculation!$E$6:$J$1004,6,FALSE)</f>
        <v/>
      </c>
      <c r="E667" s="42" t="str">
        <f t="shared" ca="1" si="4"/>
        <v/>
      </c>
      <c r="G667" s="29" t="str">
        <f ca="1">VLOOKUP(A667,Calculation!$F$6:$J$1004,3,FALSE)</f>
        <v/>
      </c>
      <c r="H667" s="4" t="str">
        <f ca="1">VLOOKUP(A667,Calculation!$F$6:$J$1004,4,FALSE)</f>
        <v/>
      </c>
      <c r="I667" s="4" t="str">
        <f ca="1">VLOOKUP(A667,Calculation!$F$6:$J$1004,5,FALSE)</f>
        <v/>
      </c>
      <c r="J667" s="43" t="str">
        <f t="shared" ca="1" si="5"/>
        <v/>
      </c>
      <c r="L667" s="29" t="str">
        <f ca="1">VLOOKUP(A667,Calculation!$G$6:$S$1004,2,FALSE)</f>
        <v/>
      </c>
      <c r="M667" s="4" t="str">
        <f ca="1">IFERROR(VLOOKUP($L667,Calculation!$H$6:$S$1005,HLOOKUP(M$2,Calculation!$M$4:$S$5,2,FALSE)+5,FALSE),"")</f>
        <v/>
      </c>
      <c r="N667" s="4" t="str">
        <f ca="1">IFERROR(VLOOKUP($L667,Calculation!$H$6:$S$1005,HLOOKUP(N$2,Calculation!$M$4:$S$5,2,FALSE)+5,FALSE),"")</f>
        <v/>
      </c>
      <c r="O667" s="4" t="str">
        <f ca="1">IFERROR(VLOOKUP($L667,Calculation!$H$6:$S$1005,HLOOKUP(O$2,Calculation!$M$4:$S$5,2,FALSE)+5,FALSE),"")</f>
        <v/>
      </c>
      <c r="P667" s="4" t="str">
        <f ca="1">IFERROR(VLOOKUP($L667,Calculation!$H$6:$S$1005,HLOOKUP(P$2,Calculation!$M$4:$S$5,2,FALSE)+5,FALSE),"")</f>
        <v/>
      </c>
      <c r="Q667" s="4" t="str">
        <f ca="1">IFERROR(VLOOKUP($L667,Calculation!$H$6:$S$1005,HLOOKUP(Q$2,Calculation!$M$4:$S$5,2,FALSE)+5,FALSE),"")</f>
        <v/>
      </c>
      <c r="R667" s="27" t="str">
        <f ca="1">IFERROR(VLOOKUP($L667,Calculation!$H$6:$S$1005,HLOOKUP(R$2,Calculation!$M$4:$S$5,2,FALSE)+5,FALSE),"")</f>
        <v/>
      </c>
      <c r="S667" s="4" t="str">
        <f ca="1">IFERROR(VLOOKUP($L667,Calculation!$H$6:$S$1005,HLOOKUP(S$2,Calculation!$M$4:$S$5,2,FALSE)+5,FALSE),"")</f>
        <v/>
      </c>
      <c r="T667" s="29"/>
      <c r="U667" s="43" t="str">
        <f>IFERROR(VLOOKUP(T667,Calculation!$U$6:$V$11,2,FALSE),"")</f>
        <v/>
      </c>
    </row>
    <row r="668" spans="1:21" ht="14.25" customHeight="1" x14ac:dyDescent="0.3">
      <c r="A668" s="26" t="str">
        <f ca="1">IF(Calculation!T671&lt;=Calculation!$H$4,Calculation!T671,"")</f>
        <v/>
      </c>
      <c r="B668" s="4" t="str">
        <f ca="1">VLOOKUP(A668,Calculation!$E$6:$J$1004,4,FALSE)</f>
        <v/>
      </c>
      <c r="C668" s="4" t="str">
        <f ca="1">VLOOKUP(A668,Calculation!$E$6:$J$1004,5,FALSE)</f>
        <v/>
      </c>
      <c r="D668" s="4" t="str">
        <f ca="1">VLOOKUP(A668,Calculation!$E$6:$J$1004,6,FALSE)</f>
        <v/>
      </c>
      <c r="E668" s="42" t="str">
        <f t="shared" ca="1" si="4"/>
        <v/>
      </c>
      <c r="G668" s="29" t="str">
        <f ca="1">VLOOKUP(A668,Calculation!$F$6:$J$1004,3,FALSE)</f>
        <v/>
      </c>
      <c r="H668" s="4" t="str">
        <f ca="1">VLOOKUP(A668,Calculation!$F$6:$J$1004,4,FALSE)</f>
        <v/>
      </c>
      <c r="I668" s="4" t="str">
        <f ca="1">VLOOKUP(A668,Calculation!$F$6:$J$1004,5,FALSE)</f>
        <v/>
      </c>
      <c r="J668" s="43" t="str">
        <f t="shared" ca="1" si="5"/>
        <v/>
      </c>
      <c r="L668" s="29" t="str">
        <f ca="1">VLOOKUP(A668,Calculation!$G$6:$S$1004,2,FALSE)</f>
        <v/>
      </c>
      <c r="M668" s="4" t="str">
        <f ca="1">IFERROR(VLOOKUP($L668,Calculation!$H$6:$S$1005,HLOOKUP(M$2,Calculation!$M$4:$S$5,2,FALSE)+5,FALSE),"")</f>
        <v/>
      </c>
      <c r="N668" s="4" t="str">
        <f ca="1">IFERROR(VLOOKUP($L668,Calculation!$H$6:$S$1005,HLOOKUP(N$2,Calculation!$M$4:$S$5,2,FALSE)+5,FALSE),"")</f>
        <v/>
      </c>
      <c r="O668" s="4" t="str">
        <f ca="1">IFERROR(VLOOKUP($L668,Calculation!$H$6:$S$1005,HLOOKUP(O$2,Calculation!$M$4:$S$5,2,FALSE)+5,FALSE),"")</f>
        <v/>
      </c>
      <c r="P668" s="4" t="str">
        <f ca="1">IFERROR(VLOOKUP($L668,Calculation!$H$6:$S$1005,HLOOKUP(P$2,Calculation!$M$4:$S$5,2,FALSE)+5,FALSE),"")</f>
        <v/>
      </c>
      <c r="Q668" s="4" t="str">
        <f ca="1">IFERROR(VLOOKUP($L668,Calculation!$H$6:$S$1005,HLOOKUP(Q$2,Calculation!$M$4:$S$5,2,FALSE)+5,FALSE),"")</f>
        <v/>
      </c>
      <c r="R668" s="27" t="str">
        <f ca="1">IFERROR(VLOOKUP($L668,Calculation!$H$6:$S$1005,HLOOKUP(R$2,Calculation!$M$4:$S$5,2,FALSE)+5,FALSE),"")</f>
        <v/>
      </c>
      <c r="S668" s="4" t="str">
        <f ca="1">IFERROR(VLOOKUP($L668,Calculation!$H$6:$S$1005,HLOOKUP(S$2,Calculation!$M$4:$S$5,2,FALSE)+5,FALSE),"")</f>
        <v/>
      </c>
      <c r="T668" s="29"/>
      <c r="U668" s="43" t="str">
        <f>IFERROR(VLOOKUP(T668,Calculation!$U$6:$V$11,2,FALSE),"")</f>
        <v/>
      </c>
    </row>
    <row r="669" spans="1:21" ht="14.25" customHeight="1" x14ac:dyDescent="0.3">
      <c r="A669" s="26" t="str">
        <f ca="1">IF(Calculation!T672&lt;=Calculation!$H$4,Calculation!T672,"")</f>
        <v/>
      </c>
      <c r="B669" s="4" t="str">
        <f ca="1">VLOOKUP(A669,Calculation!$E$6:$J$1004,4,FALSE)</f>
        <v/>
      </c>
      <c r="C669" s="4" t="str">
        <f ca="1">VLOOKUP(A669,Calculation!$E$6:$J$1004,5,FALSE)</f>
        <v/>
      </c>
      <c r="D669" s="4" t="str">
        <f ca="1">VLOOKUP(A669,Calculation!$E$6:$J$1004,6,FALSE)</f>
        <v/>
      </c>
      <c r="E669" s="42" t="str">
        <f t="shared" ca="1" si="4"/>
        <v/>
      </c>
      <c r="G669" s="29" t="str">
        <f ca="1">VLOOKUP(A669,Calculation!$F$6:$J$1004,3,FALSE)</f>
        <v/>
      </c>
      <c r="H669" s="4" t="str">
        <f ca="1">VLOOKUP(A669,Calculation!$F$6:$J$1004,4,FALSE)</f>
        <v/>
      </c>
      <c r="I669" s="4" t="str">
        <f ca="1">VLOOKUP(A669,Calculation!$F$6:$J$1004,5,FALSE)</f>
        <v/>
      </c>
      <c r="J669" s="43" t="str">
        <f t="shared" ca="1" si="5"/>
        <v/>
      </c>
      <c r="L669" s="29" t="str">
        <f ca="1">VLOOKUP(A669,Calculation!$G$6:$S$1004,2,FALSE)</f>
        <v/>
      </c>
      <c r="M669" s="4" t="str">
        <f ca="1">IFERROR(VLOOKUP($L669,Calculation!$H$6:$S$1005,HLOOKUP(M$2,Calculation!$M$4:$S$5,2,FALSE)+5,FALSE),"")</f>
        <v/>
      </c>
      <c r="N669" s="4" t="str">
        <f ca="1">IFERROR(VLOOKUP($L669,Calculation!$H$6:$S$1005,HLOOKUP(N$2,Calculation!$M$4:$S$5,2,FALSE)+5,FALSE),"")</f>
        <v/>
      </c>
      <c r="O669" s="4" t="str">
        <f ca="1">IFERROR(VLOOKUP($L669,Calculation!$H$6:$S$1005,HLOOKUP(O$2,Calculation!$M$4:$S$5,2,FALSE)+5,FALSE),"")</f>
        <v/>
      </c>
      <c r="P669" s="4" t="str">
        <f ca="1">IFERROR(VLOOKUP($L669,Calculation!$H$6:$S$1005,HLOOKUP(P$2,Calculation!$M$4:$S$5,2,FALSE)+5,FALSE),"")</f>
        <v/>
      </c>
      <c r="Q669" s="4" t="str">
        <f ca="1">IFERROR(VLOOKUP($L669,Calculation!$H$6:$S$1005,HLOOKUP(Q$2,Calculation!$M$4:$S$5,2,FALSE)+5,FALSE),"")</f>
        <v/>
      </c>
      <c r="R669" s="27" t="str">
        <f ca="1">IFERROR(VLOOKUP($L669,Calculation!$H$6:$S$1005,HLOOKUP(R$2,Calculation!$M$4:$S$5,2,FALSE)+5,FALSE),"")</f>
        <v/>
      </c>
      <c r="S669" s="4" t="str">
        <f ca="1">IFERROR(VLOOKUP($L669,Calculation!$H$6:$S$1005,HLOOKUP(S$2,Calculation!$M$4:$S$5,2,FALSE)+5,FALSE),"")</f>
        <v/>
      </c>
      <c r="T669" s="29"/>
      <c r="U669" s="43" t="str">
        <f>IFERROR(VLOOKUP(T669,Calculation!$U$6:$V$11,2,FALSE),"")</f>
        <v/>
      </c>
    </row>
    <row r="670" spans="1:21" ht="14.25" customHeight="1" x14ac:dyDescent="0.3">
      <c r="A670" s="26" t="str">
        <f ca="1">IF(Calculation!T673&lt;=Calculation!$H$4,Calculation!T673,"")</f>
        <v/>
      </c>
      <c r="B670" s="4" t="str">
        <f ca="1">VLOOKUP(A670,Calculation!$E$6:$J$1004,4,FALSE)</f>
        <v/>
      </c>
      <c r="C670" s="4" t="str">
        <f ca="1">VLOOKUP(A670,Calculation!$E$6:$J$1004,5,FALSE)</f>
        <v/>
      </c>
      <c r="D670" s="4" t="str">
        <f ca="1">VLOOKUP(A670,Calculation!$E$6:$J$1004,6,FALSE)</f>
        <v/>
      </c>
      <c r="E670" s="42" t="str">
        <f t="shared" ca="1" si="4"/>
        <v/>
      </c>
      <c r="G670" s="29" t="str">
        <f ca="1">VLOOKUP(A670,Calculation!$F$6:$J$1004,3,FALSE)</f>
        <v/>
      </c>
      <c r="H670" s="4" t="str">
        <f ca="1">VLOOKUP(A670,Calculation!$F$6:$J$1004,4,FALSE)</f>
        <v/>
      </c>
      <c r="I670" s="4" t="str">
        <f ca="1">VLOOKUP(A670,Calculation!$F$6:$J$1004,5,FALSE)</f>
        <v/>
      </c>
      <c r="J670" s="43" t="str">
        <f t="shared" ca="1" si="5"/>
        <v/>
      </c>
      <c r="L670" s="29" t="str">
        <f ca="1">VLOOKUP(A670,Calculation!$G$6:$S$1004,2,FALSE)</f>
        <v/>
      </c>
      <c r="M670" s="4" t="str">
        <f ca="1">IFERROR(VLOOKUP($L670,Calculation!$H$6:$S$1005,HLOOKUP(M$2,Calculation!$M$4:$S$5,2,FALSE)+5,FALSE),"")</f>
        <v/>
      </c>
      <c r="N670" s="4" t="str">
        <f ca="1">IFERROR(VLOOKUP($L670,Calculation!$H$6:$S$1005,HLOOKUP(N$2,Calculation!$M$4:$S$5,2,FALSE)+5,FALSE),"")</f>
        <v/>
      </c>
      <c r="O670" s="4" t="str">
        <f ca="1">IFERROR(VLOOKUP($L670,Calculation!$H$6:$S$1005,HLOOKUP(O$2,Calculation!$M$4:$S$5,2,FALSE)+5,FALSE),"")</f>
        <v/>
      </c>
      <c r="P670" s="4" t="str">
        <f ca="1">IFERROR(VLOOKUP($L670,Calculation!$H$6:$S$1005,HLOOKUP(P$2,Calculation!$M$4:$S$5,2,FALSE)+5,FALSE),"")</f>
        <v/>
      </c>
      <c r="Q670" s="4" t="str">
        <f ca="1">IFERROR(VLOOKUP($L670,Calculation!$H$6:$S$1005,HLOOKUP(Q$2,Calculation!$M$4:$S$5,2,FALSE)+5,FALSE),"")</f>
        <v/>
      </c>
      <c r="R670" s="27" t="str">
        <f ca="1">IFERROR(VLOOKUP($L670,Calculation!$H$6:$S$1005,HLOOKUP(R$2,Calculation!$M$4:$S$5,2,FALSE)+5,FALSE),"")</f>
        <v/>
      </c>
      <c r="S670" s="4" t="str">
        <f ca="1">IFERROR(VLOOKUP($L670,Calculation!$H$6:$S$1005,HLOOKUP(S$2,Calculation!$M$4:$S$5,2,FALSE)+5,FALSE),"")</f>
        <v/>
      </c>
      <c r="T670" s="29"/>
      <c r="U670" s="43" t="str">
        <f>IFERROR(VLOOKUP(T670,Calculation!$U$6:$V$11,2,FALSE),"")</f>
        <v/>
      </c>
    </row>
    <row r="671" spans="1:21" ht="14.25" customHeight="1" x14ac:dyDescent="0.3">
      <c r="A671" s="26" t="str">
        <f ca="1">IF(Calculation!T674&lt;=Calculation!$H$4,Calculation!T674,"")</f>
        <v/>
      </c>
      <c r="B671" s="4" t="str">
        <f ca="1">VLOOKUP(A671,Calculation!$E$6:$J$1004,4,FALSE)</f>
        <v/>
      </c>
      <c r="C671" s="4" t="str">
        <f ca="1">VLOOKUP(A671,Calculation!$E$6:$J$1004,5,FALSE)</f>
        <v/>
      </c>
      <c r="D671" s="4" t="str">
        <f ca="1">VLOOKUP(A671,Calculation!$E$6:$J$1004,6,FALSE)</f>
        <v/>
      </c>
      <c r="E671" s="42" t="str">
        <f t="shared" ca="1" si="4"/>
        <v/>
      </c>
      <c r="G671" s="29" t="str">
        <f ca="1">VLOOKUP(A671,Calculation!$F$6:$J$1004,3,FALSE)</f>
        <v/>
      </c>
      <c r="H671" s="4" t="str">
        <f ca="1">VLOOKUP(A671,Calculation!$F$6:$J$1004,4,FALSE)</f>
        <v/>
      </c>
      <c r="I671" s="4" t="str">
        <f ca="1">VLOOKUP(A671,Calculation!$F$6:$J$1004,5,FALSE)</f>
        <v/>
      </c>
      <c r="J671" s="43" t="str">
        <f t="shared" ca="1" si="5"/>
        <v/>
      </c>
      <c r="L671" s="29" t="str">
        <f ca="1">VLOOKUP(A671,Calculation!$G$6:$S$1004,2,FALSE)</f>
        <v/>
      </c>
      <c r="M671" s="4" t="str">
        <f ca="1">IFERROR(VLOOKUP($L671,Calculation!$H$6:$S$1005,HLOOKUP(M$2,Calculation!$M$4:$S$5,2,FALSE)+5,FALSE),"")</f>
        <v/>
      </c>
      <c r="N671" s="4" t="str">
        <f ca="1">IFERROR(VLOOKUP($L671,Calculation!$H$6:$S$1005,HLOOKUP(N$2,Calculation!$M$4:$S$5,2,FALSE)+5,FALSE),"")</f>
        <v/>
      </c>
      <c r="O671" s="4" t="str">
        <f ca="1">IFERROR(VLOOKUP($L671,Calculation!$H$6:$S$1005,HLOOKUP(O$2,Calculation!$M$4:$S$5,2,FALSE)+5,FALSE),"")</f>
        <v/>
      </c>
      <c r="P671" s="4" t="str">
        <f ca="1">IFERROR(VLOOKUP($L671,Calculation!$H$6:$S$1005,HLOOKUP(P$2,Calculation!$M$4:$S$5,2,FALSE)+5,FALSE),"")</f>
        <v/>
      </c>
      <c r="Q671" s="4" t="str">
        <f ca="1">IFERROR(VLOOKUP($L671,Calculation!$H$6:$S$1005,HLOOKUP(Q$2,Calculation!$M$4:$S$5,2,FALSE)+5,FALSE),"")</f>
        <v/>
      </c>
      <c r="R671" s="27" t="str">
        <f ca="1">IFERROR(VLOOKUP($L671,Calculation!$H$6:$S$1005,HLOOKUP(R$2,Calculation!$M$4:$S$5,2,FALSE)+5,FALSE),"")</f>
        <v/>
      </c>
      <c r="S671" s="4" t="str">
        <f ca="1">IFERROR(VLOOKUP($L671,Calculation!$H$6:$S$1005,HLOOKUP(S$2,Calculation!$M$4:$S$5,2,FALSE)+5,FALSE),"")</f>
        <v/>
      </c>
      <c r="T671" s="29"/>
      <c r="U671" s="43" t="str">
        <f>IFERROR(VLOOKUP(T671,Calculation!$U$6:$V$11,2,FALSE),"")</f>
        <v/>
      </c>
    </row>
    <row r="672" spans="1:21" ht="14.25" customHeight="1" x14ac:dyDescent="0.3">
      <c r="A672" s="26" t="str">
        <f ca="1">IF(Calculation!T675&lt;=Calculation!$H$4,Calculation!T675,"")</f>
        <v/>
      </c>
      <c r="B672" s="4" t="str">
        <f ca="1">VLOOKUP(A672,Calculation!$E$6:$J$1004,4,FALSE)</f>
        <v/>
      </c>
      <c r="C672" s="4" t="str">
        <f ca="1">VLOOKUP(A672,Calculation!$E$6:$J$1004,5,FALSE)</f>
        <v/>
      </c>
      <c r="D672" s="4" t="str">
        <f ca="1">VLOOKUP(A672,Calculation!$E$6:$J$1004,6,FALSE)</f>
        <v/>
      </c>
      <c r="E672" s="42" t="str">
        <f t="shared" ca="1" si="4"/>
        <v/>
      </c>
      <c r="G672" s="29" t="str">
        <f ca="1">VLOOKUP(A672,Calculation!$F$6:$J$1004,3,FALSE)</f>
        <v/>
      </c>
      <c r="H672" s="4" t="str">
        <f ca="1">VLOOKUP(A672,Calculation!$F$6:$J$1004,4,FALSE)</f>
        <v/>
      </c>
      <c r="I672" s="4" t="str">
        <f ca="1">VLOOKUP(A672,Calculation!$F$6:$J$1004,5,FALSE)</f>
        <v/>
      </c>
      <c r="J672" s="43" t="str">
        <f t="shared" ca="1" si="5"/>
        <v/>
      </c>
      <c r="L672" s="29" t="str">
        <f ca="1">VLOOKUP(A672,Calculation!$G$6:$S$1004,2,FALSE)</f>
        <v/>
      </c>
      <c r="M672" s="4" t="str">
        <f ca="1">IFERROR(VLOOKUP($L672,Calculation!$H$6:$S$1005,HLOOKUP(M$2,Calculation!$M$4:$S$5,2,FALSE)+5,FALSE),"")</f>
        <v/>
      </c>
      <c r="N672" s="4" t="str">
        <f ca="1">IFERROR(VLOOKUP($L672,Calculation!$H$6:$S$1005,HLOOKUP(N$2,Calculation!$M$4:$S$5,2,FALSE)+5,FALSE),"")</f>
        <v/>
      </c>
      <c r="O672" s="4" t="str">
        <f ca="1">IFERROR(VLOOKUP($L672,Calculation!$H$6:$S$1005,HLOOKUP(O$2,Calculation!$M$4:$S$5,2,FALSE)+5,FALSE),"")</f>
        <v/>
      </c>
      <c r="P672" s="4" t="str">
        <f ca="1">IFERROR(VLOOKUP($L672,Calculation!$H$6:$S$1005,HLOOKUP(P$2,Calculation!$M$4:$S$5,2,FALSE)+5,FALSE),"")</f>
        <v/>
      </c>
      <c r="Q672" s="4" t="str">
        <f ca="1">IFERROR(VLOOKUP($L672,Calculation!$H$6:$S$1005,HLOOKUP(Q$2,Calculation!$M$4:$S$5,2,FALSE)+5,FALSE),"")</f>
        <v/>
      </c>
      <c r="R672" s="27" t="str">
        <f ca="1">IFERROR(VLOOKUP($L672,Calculation!$H$6:$S$1005,HLOOKUP(R$2,Calculation!$M$4:$S$5,2,FALSE)+5,FALSE),"")</f>
        <v/>
      </c>
      <c r="S672" s="4" t="str">
        <f ca="1">IFERROR(VLOOKUP($L672,Calculation!$H$6:$S$1005,HLOOKUP(S$2,Calculation!$M$4:$S$5,2,FALSE)+5,FALSE),"")</f>
        <v/>
      </c>
      <c r="T672" s="29"/>
      <c r="U672" s="43" t="str">
        <f>IFERROR(VLOOKUP(T672,Calculation!$U$6:$V$11,2,FALSE),"")</f>
        <v/>
      </c>
    </row>
    <row r="673" spans="1:21" ht="14.25" customHeight="1" x14ac:dyDescent="0.3">
      <c r="A673" s="26" t="str">
        <f ca="1">IF(Calculation!T676&lt;=Calculation!$H$4,Calculation!T676,"")</f>
        <v/>
      </c>
      <c r="B673" s="4" t="str">
        <f ca="1">VLOOKUP(A673,Calculation!$E$6:$J$1004,4,FALSE)</f>
        <v/>
      </c>
      <c r="C673" s="4" t="str">
        <f ca="1">VLOOKUP(A673,Calculation!$E$6:$J$1004,5,FALSE)</f>
        <v/>
      </c>
      <c r="D673" s="4" t="str">
        <f ca="1">VLOOKUP(A673,Calculation!$E$6:$J$1004,6,FALSE)</f>
        <v/>
      </c>
      <c r="E673" s="42" t="str">
        <f t="shared" ca="1" si="4"/>
        <v/>
      </c>
      <c r="G673" s="29" t="str">
        <f ca="1">VLOOKUP(A673,Calculation!$F$6:$J$1004,3,FALSE)</f>
        <v/>
      </c>
      <c r="H673" s="4" t="str">
        <f ca="1">VLOOKUP(A673,Calculation!$F$6:$J$1004,4,FALSE)</f>
        <v/>
      </c>
      <c r="I673" s="4" t="str">
        <f ca="1">VLOOKUP(A673,Calculation!$F$6:$J$1004,5,FALSE)</f>
        <v/>
      </c>
      <c r="J673" s="43" t="str">
        <f t="shared" ca="1" si="5"/>
        <v/>
      </c>
      <c r="L673" s="29" t="str">
        <f ca="1">VLOOKUP(A673,Calculation!$G$6:$S$1004,2,FALSE)</f>
        <v/>
      </c>
      <c r="M673" s="4" t="str">
        <f ca="1">IFERROR(VLOOKUP($L673,Calculation!$H$6:$S$1005,HLOOKUP(M$2,Calculation!$M$4:$S$5,2,FALSE)+5,FALSE),"")</f>
        <v/>
      </c>
      <c r="N673" s="4" t="str">
        <f ca="1">IFERROR(VLOOKUP($L673,Calculation!$H$6:$S$1005,HLOOKUP(N$2,Calculation!$M$4:$S$5,2,FALSE)+5,FALSE),"")</f>
        <v/>
      </c>
      <c r="O673" s="4" t="str">
        <f ca="1">IFERROR(VLOOKUP($L673,Calculation!$H$6:$S$1005,HLOOKUP(O$2,Calculation!$M$4:$S$5,2,FALSE)+5,FALSE),"")</f>
        <v/>
      </c>
      <c r="P673" s="4" t="str">
        <f ca="1">IFERROR(VLOOKUP($L673,Calculation!$H$6:$S$1005,HLOOKUP(P$2,Calculation!$M$4:$S$5,2,FALSE)+5,FALSE),"")</f>
        <v/>
      </c>
      <c r="Q673" s="4" t="str">
        <f ca="1">IFERROR(VLOOKUP($L673,Calculation!$H$6:$S$1005,HLOOKUP(Q$2,Calculation!$M$4:$S$5,2,FALSE)+5,FALSE),"")</f>
        <v/>
      </c>
      <c r="R673" s="27" t="str">
        <f ca="1">IFERROR(VLOOKUP($L673,Calculation!$H$6:$S$1005,HLOOKUP(R$2,Calculation!$M$4:$S$5,2,FALSE)+5,FALSE),"")</f>
        <v/>
      </c>
      <c r="S673" s="4" t="str">
        <f ca="1">IFERROR(VLOOKUP($L673,Calculation!$H$6:$S$1005,HLOOKUP(S$2,Calculation!$M$4:$S$5,2,FALSE)+5,FALSE),"")</f>
        <v/>
      </c>
      <c r="T673" s="29"/>
      <c r="U673" s="43" t="str">
        <f>IFERROR(VLOOKUP(T673,Calculation!$U$6:$V$11,2,FALSE),"")</f>
        <v/>
      </c>
    </row>
    <row r="674" spans="1:21" ht="14.25" customHeight="1" x14ac:dyDescent="0.3">
      <c r="A674" s="26" t="str">
        <f ca="1">IF(Calculation!T677&lt;=Calculation!$H$4,Calculation!T677,"")</f>
        <v/>
      </c>
      <c r="B674" s="4" t="str">
        <f ca="1">VLOOKUP(A674,Calculation!$E$6:$J$1004,4,FALSE)</f>
        <v/>
      </c>
      <c r="C674" s="4" t="str">
        <f ca="1">VLOOKUP(A674,Calculation!$E$6:$J$1004,5,FALSE)</f>
        <v/>
      </c>
      <c r="D674" s="4" t="str">
        <f ca="1">VLOOKUP(A674,Calculation!$E$6:$J$1004,6,FALSE)</f>
        <v/>
      </c>
      <c r="E674" s="42" t="str">
        <f t="shared" ca="1" si="4"/>
        <v/>
      </c>
      <c r="G674" s="29" t="str">
        <f ca="1">VLOOKUP(A674,Calculation!$F$6:$J$1004,3,FALSE)</f>
        <v/>
      </c>
      <c r="H674" s="4" t="str">
        <f ca="1">VLOOKUP(A674,Calculation!$F$6:$J$1004,4,FALSE)</f>
        <v/>
      </c>
      <c r="I674" s="4" t="str">
        <f ca="1">VLOOKUP(A674,Calculation!$F$6:$J$1004,5,FALSE)</f>
        <v/>
      </c>
      <c r="J674" s="43" t="str">
        <f t="shared" ca="1" si="5"/>
        <v/>
      </c>
      <c r="L674" s="29" t="str">
        <f ca="1">VLOOKUP(A674,Calculation!$G$6:$S$1004,2,FALSE)</f>
        <v/>
      </c>
      <c r="M674" s="4" t="str">
        <f ca="1">IFERROR(VLOOKUP($L674,Calculation!$H$6:$S$1005,HLOOKUP(M$2,Calculation!$M$4:$S$5,2,FALSE)+5,FALSE),"")</f>
        <v/>
      </c>
      <c r="N674" s="4" t="str">
        <f ca="1">IFERROR(VLOOKUP($L674,Calculation!$H$6:$S$1005,HLOOKUP(N$2,Calculation!$M$4:$S$5,2,FALSE)+5,FALSE),"")</f>
        <v/>
      </c>
      <c r="O674" s="4" t="str">
        <f ca="1">IFERROR(VLOOKUP($L674,Calculation!$H$6:$S$1005,HLOOKUP(O$2,Calculation!$M$4:$S$5,2,FALSE)+5,FALSE),"")</f>
        <v/>
      </c>
      <c r="P674" s="4" t="str">
        <f ca="1">IFERROR(VLOOKUP($L674,Calculation!$H$6:$S$1005,HLOOKUP(P$2,Calculation!$M$4:$S$5,2,FALSE)+5,FALSE),"")</f>
        <v/>
      </c>
      <c r="Q674" s="4" t="str">
        <f ca="1">IFERROR(VLOOKUP($L674,Calculation!$H$6:$S$1005,HLOOKUP(Q$2,Calculation!$M$4:$S$5,2,FALSE)+5,FALSE),"")</f>
        <v/>
      </c>
      <c r="R674" s="27" t="str">
        <f ca="1">IFERROR(VLOOKUP($L674,Calculation!$H$6:$S$1005,HLOOKUP(R$2,Calculation!$M$4:$S$5,2,FALSE)+5,FALSE),"")</f>
        <v/>
      </c>
      <c r="S674" s="4" t="str">
        <f ca="1">IFERROR(VLOOKUP($L674,Calculation!$H$6:$S$1005,HLOOKUP(S$2,Calculation!$M$4:$S$5,2,FALSE)+5,FALSE),"")</f>
        <v/>
      </c>
      <c r="T674" s="29"/>
      <c r="U674" s="43" t="str">
        <f>IFERROR(VLOOKUP(T674,Calculation!$U$6:$V$11,2,FALSE),"")</f>
        <v/>
      </c>
    </row>
    <row r="675" spans="1:21" ht="14.25" customHeight="1" x14ac:dyDescent="0.3">
      <c r="A675" s="26" t="str">
        <f ca="1">IF(Calculation!T678&lt;=Calculation!$H$4,Calculation!T678,"")</f>
        <v/>
      </c>
      <c r="B675" s="4" t="str">
        <f ca="1">VLOOKUP(A675,Calculation!$E$6:$J$1004,4,FALSE)</f>
        <v/>
      </c>
      <c r="C675" s="4" t="str">
        <f ca="1">VLOOKUP(A675,Calculation!$E$6:$J$1004,5,FALSE)</f>
        <v/>
      </c>
      <c r="D675" s="4" t="str">
        <f ca="1">VLOOKUP(A675,Calculation!$E$6:$J$1004,6,FALSE)</f>
        <v/>
      </c>
      <c r="E675" s="42" t="str">
        <f t="shared" ca="1" si="4"/>
        <v/>
      </c>
      <c r="G675" s="29" t="str">
        <f ca="1">VLOOKUP(A675,Calculation!$F$6:$J$1004,3,FALSE)</f>
        <v/>
      </c>
      <c r="H675" s="4" t="str">
        <f ca="1">VLOOKUP(A675,Calculation!$F$6:$J$1004,4,FALSE)</f>
        <v/>
      </c>
      <c r="I675" s="4" t="str">
        <f ca="1">VLOOKUP(A675,Calculation!$F$6:$J$1004,5,FALSE)</f>
        <v/>
      </c>
      <c r="J675" s="43" t="str">
        <f t="shared" ca="1" si="5"/>
        <v/>
      </c>
      <c r="L675" s="29" t="str">
        <f ca="1">VLOOKUP(A675,Calculation!$G$6:$S$1004,2,FALSE)</f>
        <v/>
      </c>
      <c r="M675" s="4" t="str">
        <f ca="1">IFERROR(VLOOKUP($L675,Calculation!$H$6:$S$1005,HLOOKUP(M$2,Calculation!$M$4:$S$5,2,FALSE)+5,FALSE),"")</f>
        <v/>
      </c>
      <c r="N675" s="4" t="str">
        <f ca="1">IFERROR(VLOOKUP($L675,Calculation!$H$6:$S$1005,HLOOKUP(N$2,Calculation!$M$4:$S$5,2,FALSE)+5,FALSE),"")</f>
        <v/>
      </c>
      <c r="O675" s="4" t="str">
        <f ca="1">IFERROR(VLOOKUP($L675,Calculation!$H$6:$S$1005,HLOOKUP(O$2,Calculation!$M$4:$S$5,2,FALSE)+5,FALSE),"")</f>
        <v/>
      </c>
      <c r="P675" s="4" t="str">
        <f ca="1">IFERROR(VLOOKUP($L675,Calculation!$H$6:$S$1005,HLOOKUP(P$2,Calculation!$M$4:$S$5,2,FALSE)+5,FALSE),"")</f>
        <v/>
      </c>
      <c r="Q675" s="4" t="str">
        <f ca="1">IFERROR(VLOOKUP($L675,Calculation!$H$6:$S$1005,HLOOKUP(Q$2,Calculation!$M$4:$S$5,2,FALSE)+5,FALSE),"")</f>
        <v/>
      </c>
      <c r="R675" s="27" t="str">
        <f ca="1">IFERROR(VLOOKUP($L675,Calculation!$H$6:$S$1005,HLOOKUP(R$2,Calculation!$M$4:$S$5,2,FALSE)+5,FALSE),"")</f>
        <v/>
      </c>
      <c r="S675" s="4" t="str">
        <f ca="1">IFERROR(VLOOKUP($L675,Calculation!$H$6:$S$1005,HLOOKUP(S$2,Calculation!$M$4:$S$5,2,FALSE)+5,FALSE),"")</f>
        <v/>
      </c>
      <c r="T675" s="29"/>
      <c r="U675" s="43" t="str">
        <f>IFERROR(VLOOKUP(T675,Calculation!$U$6:$V$11,2,FALSE),"")</f>
        <v/>
      </c>
    </row>
    <row r="676" spans="1:21" ht="14.25" customHeight="1" x14ac:dyDescent="0.3">
      <c r="A676" s="26" t="str">
        <f ca="1">IF(Calculation!T679&lt;=Calculation!$H$4,Calculation!T679,"")</f>
        <v/>
      </c>
      <c r="B676" s="4" t="str">
        <f ca="1">VLOOKUP(A676,Calculation!$E$6:$J$1004,4,FALSE)</f>
        <v/>
      </c>
      <c r="C676" s="4" t="str">
        <f ca="1">VLOOKUP(A676,Calculation!$E$6:$J$1004,5,FALSE)</f>
        <v/>
      </c>
      <c r="D676" s="4" t="str">
        <f ca="1">VLOOKUP(A676,Calculation!$E$6:$J$1004,6,FALSE)</f>
        <v/>
      </c>
      <c r="E676" s="42" t="str">
        <f t="shared" ca="1" si="4"/>
        <v/>
      </c>
      <c r="G676" s="29" t="str">
        <f ca="1">VLOOKUP(A676,Calculation!$F$6:$J$1004,3,FALSE)</f>
        <v/>
      </c>
      <c r="H676" s="4" t="str">
        <f ca="1">VLOOKUP(A676,Calculation!$F$6:$J$1004,4,FALSE)</f>
        <v/>
      </c>
      <c r="I676" s="4" t="str">
        <f ca="1">VLOOKUP(A676,Calculation!$F$6:$J$1004,5,FALSE)</f>
        <v/>
      </c>
      <c r="J676" s="43" t="str">
        <f t="shared" ca="1" si="5"/>
        <v/>
      </c>
      <c r="L676" s="29" t="str">
        <f ca="1">VLOOKUP(A676,Calculation!$G$6:$S$1004,2,FALSE)</f>
        <v/>
      </c>
      <c r="M676" s="4" t="str">
        <f ca="1">IFERROR(VLOOKUP($L676,Calculation!$H$6:$S$1005,HLOOKUP(M$2,Calculation!$M$4:$S$5,2,FALSE)+5,FALSE),"")</f>
        <v/>
      </c>
      <c r="N676" s="4" t="str">
        <f ca="1">IFERROR(VLOOKUP($L676,Calculation!$H$6:$S$1005,HLOOKUP(N$2,Calculation!$M$4:$S$5,2,FALSE)+5,FALSE),"")</f>
        <v/>
      </c>
      <c r="O676" s="4" t="str">
        <f ca="1">IFERROR(VLOOKUP($L676,Calculation!$H$6:$S$1005,HLOOKUP(O$2,Calculation!$M$4:$S$5,2,FALSE)+5,FALSE),"")</f>
        <v/>
      </c>
      <c r="P676" s="4" t="str">
        <f ca="1">IFERROR(VLOOKUP($L676,Calculation!$H$6:$S$1005,HLOOKUP(P$2,Calculation!$M$4:$S$5,2,FALSE)+5,FALSE),"")</f>
        <v/>
      </c>
      <c r="Q676" s="4" t="str">
        <f ca="1">IFERROR(VLOOKUP($L676,Calculation!$H$6:$S$1005,HLOOKUP(Q$2,Calculation!$M$4:$S$5,2,FALSE)+5,FALSE),"")</f>
        <v/>
      </c>
      <c r="R676" s="27" t="str">
        <f ca="1">IFERROR(VLOOKUP($L676,Calculation!$H$6:$S$1005,HLOOKUP(R$2,Calculation!$M$4:$S$5,2,FALSE)+5,FALSE),"")</f>
        <v/>
      </c>
      <c r="S676" s="4" t="str">
        <f ca="1">IFERROR(VLOOKUP($L676,Calculation!$H$6:$S$1005,HLOOKUP(S$2,Calculation!$M$4:$S$5,2,FALSE)+5,FALSE),"")</f>
        <v/>
      </c>
      <c r="T676" s="29"/>
      <c r="U676" s="43" t="str">
        <f>IFERROR(VLOOKUP(T676,Calculation!$U$6:$V$11,2,FALSE),"")</f>
        <v/>
      </c>
    </row>
    <row r="677" spans="1:21" ht="14.25" customHeight="1" x14ac:dyDescent="0.3">
      <c r="A677" s="26" t="str">
        <f ca="1">IF(Calculation!T680&lt;=Calculation!$H$4,Calculation!T680,"")</f>
        <v/>
      </c>
      <c r="B677" s="4" t="str">
        <f ca="1">VLOOKUP(A677,Calculation!$E$6:$J$1004,4,FALSE)</f>
        <v/>
      </c>
      <c r="C677" s="4" t="str">
        <f ca="1">VLOOKUP(A677,Calculation!$E$6:$J$1004,5,FALSE)</f>
        <v/>
      </c>
      <c r="D677" s="4" t="str">
        <f ca="1">VLOOKUP(A677,Calculation!$E$6:$J$1004,6,FALSE)</f>
        <v/>
      </c>
      <c r="E677" s="42" t="str">
        <f t="shared" ca="1" si="4"/>
        <v/>
      </c>
      <c r="G677" s="29" t="str">
        <f ca="1">VLOOKUP(A677,Calculation!$F$6:$J$1004,3,FALSE)</f>
        <v/>
      </c>
      <c r="H677" s="4" t="str">
        <f ca="1">VLOOKUP(A677,Calculation!$F$6:$J$1004,4,FALSE)</f>
        <v/>
      </c>
      <c r="I677" s="4" t="str">
        <f ca="1">VLOOKUP(A677,Calculation!$F$6:$J$1004,5,FALSE)</f>
        <v/>
      </c>
      <c r="J677" s="43" t="str">
        <f t="shared" ca="1" si="5"/>
        <v/>
      </c>
      <c r="L677" s="29" t="str">
        <f ca="1">VLOOKUP(A677,Calculation!$G$6:$S$1004,2,FALSE)</f>
        <v/>
      </c>
      <c r="M677" s="4" t="str">
        <f ca="1">IFERROR(VLOOKUP($L677,Calculation!$H$6:$S$1005,HLOOKUP(M$2,Calculation!$M$4:$S$5,2,FALSE)+5,FALSE),"")</f>
        <v/>
      </c>
      <c r="N677" s="4" t="str">
        <f ca="1">IFERROR(VLOOKUP($L677,Calculation!$H$6:$S$1005,HLOOKUP(N$2,Calculation!$M$4:$S$5,2,FALSE)+5,FALSE),"")</f>
        <v/>
      </c>
      <c r="O677" s="4" t="str">
        <f ca="1">IFERROR(VLOOKUP($L677,Calculation!$H$6:$S$1005,HLOOKUP(O$2,Calculation!$M$4:$S$5,2,FALSE)+5,FALSE),"")</f>
        <v/>
      </c>
      <c r="P677" s="4" t="str">
        <f ca="1">IFERROR(VLOOKUP($L677,Calculation!$H$6:$S$1005,HLOOKUP(P$2,Calculation!$M$4:$S$5,2,FALSE)+5,FALSE),"")</f>
        <v/>
      </c>
      <c r="Q677" s="4" t="str">
        <f ca="1">IFERROR(VLOOKUP($L677,Calculation!$H$6:$S$1005,HLOOKUP(Q$2,Calculation!$M$4:$S$5,2,FALSE)+5,FALSE),"")</f>
        <v/>
      </c>
      <c r="R677" s="27" t="str">
        <f ca="1">IFERROR(VLOOKUP($L677,Calculation!$H$6:$S$1005,HLOOKUP(R$2,Calculation!$M$4:$S$5,2,FALSE)+5,FALSE),"")</f>
        <v/>
      </c>
      <c r="S677" s="4" t="str">
        <f ca="1">IFERROR(VLOOKUP($L677,Calculation!$H$6:$S$1005,HLOOKUP(S$2,Calculation!$M$4:$S$5,2,FALSE)+5,FALSE),"")</f>
        <v/>
      </c>
      <c r="T677" s="29"/>
      <c r="U677" s="43" t="str">
        <f>IFERROR(VLOOKUP(T677,Calculation!$U$6:$V$11,2,FALSE),"")</f>
        <v/>
      </c>
    </row>
    <row r="678" spans="1:21" ht="14.25" customHeight="1" x14ac:dyDescent="0.3">
      <c r="A678" s="26" t="str">
        <f ca="1">IF(Calculation!T681&lt;=Calculation!$H$4,Calculation!T681,"")</f>
        <v/>
      </c>
      <c r="B678" s="4" t="str">
        <f ca="1">VLOOKUP(A678,Calculation!$E$6:$J$1004,4,FALSE)</f>
        <v/>
      </c>
      <c r="C678" s="4" t="str">
        <f ca="1">VLOOKUP(A678,Calculation!$E$6:$J$1004,5,FALSE)</f>
        <v/>
      </c>
      <c r="D678" s="4" t="str">
        <f ca="1">VLOOKUP(A678,Calculation!$E$6:$J$1004,6,FALSE)</f>
        <v/>
      </c>
      <c r="E678" s="42" t="str">
        <f t="shared" ca="1" si="4"/>
        <v/>
      </c>
      <c r="G678" s="29" t="str">
        <f ca="1">VLOOKUP(A678,Calculation!$F$6:$J$1004,3,FALSE)</f>
        <v/>
      </c>
      <c r="H678" s="4" t="str">
        <f ca="1">VLOOKUP(A678,Calculation!$F$6:$J$1004,4,FALSE)</f>
        <v/>
      </c>
      <c r="I678" s="4" t="str">
        <f ca="1">VLOOKUP(A678,Calculation!$F$6:$J$1004,5,FALSE)</f>
        <v/>
      </c>
      <c r="J678" s="43" t="str">
        <f t="shared" ca="1" si="5"/>
        <v/>
      </c>
      <c r="L678" s="29" t="str">
        <f ca="1">VLOOKUP(A678,Calculation!$G$6:$S$1004,2,FALSE)</f>
        <v/>
      </c>
      <c r="M678" s="4" t="str">
        <f ca="1">IFERROR(VLOOKUP($L678,Calculation!$H$6:$S$1005,HLOOKUP(M$2,Calculation!$M$4:$S$5,2,FALSE)+5,FALSE),"")</f>
        <v/>
      </c>
      <c r="N678" s="4" t="str">
        <f ca="1">IFERROR(VLOOKUP($L678,Calculation!$H$6:$S$1005,HLOOKUP(N$2,Calculation!$M$4:$S$5,2,FALSE)+5,FALSE),"")</f>
        <v/>
      </c>
      <c r="O678" s="4" t="str">
        <f ca="1">IFERROR(VLOOKUP($L678,Calculation!$H$6:$S$1005,HLOOKUP(O$2,Calculation!$M$4:$S$5,2,FALSE)+5,FALSE),"")</f>
        <v/>
      </c>
      <c r="P678" s="4" t="str">
        <f ca="1">IFERROR(VLOOKUP($L678,Calculation!$H$6:$S$1005,HLOOKUP(P$2,Calculation!$M$4:$S$5,2,FALSE)+5,FALSE),"")</f>
        <v/>
      </c>
      <c r="Q678" s="4" t="str">
        <f ca="1">IFERROR(VLOOKUP($L678,Calculation!$H$6:$S$1005,HLOOKUP(Q$2,Calculation!$M$4:$S$5,2,FALSE)+5,FALSE),"")</f>
        <v/>
      </c>
      <c r="R678" s="27" t="str">
        <f ca="1">IFERROR(VLOOKUP($L678,Calculation!$H$6:$S$1005,HLOOKUP(R$2,Calculation!$M$4:$S$5,2,FALSE)+5,FALSE),"")</f>
        <v/>
      </c>
      <c r="S678" s="4" t="str">
        <f ca="1">IFERROR(VLOOKUP($L678,Calculation!$H$6:$S$1005,HLOOKUP(S$2,Calculation!$M$4:$S$5,2,FALSE)+5,FALSE),"")</f>
        <v/>
      </c>
      <c r="T678" s="29"/>
      <c r="U678" s="43" t="str">
        <f>IFERROR(VLOOKUP(T678,Calculation!$U$6:$V$11,2,FALSE),"")</f>
        <v/>
      </c>
    </row>
    <row r="679" spans="1:21" ht="14.25" customHeight="1" x14ac:dyDescent="0.3">
      <c r="A679" s="26" t="str">
        <f ca="1">IF(Calculation!T682&lt;=Calculation!$H$4,Calculation!T682,"")</f>
        <v/>
      </c>
      <c r="B679" s="4" t="str">
        <f ca="1">VLOOKUP(A679,Calculation!$E$6:$J$1004,4,FALSE)</f>
        <v/>
      </c>
      <c r="C679" s="4" t="str">
        <f ca="1">VLOOKUP(A679,Calculation!$E$6:$J$1004,5,FALSE)</f>
        <v/>
      </c>
      <c r="D679" s="4" t="str">
        <f ca="1">VLOOKUP(A679,Calculation!$E$6:$J$1004,6,FALSE)</f>
        <v/>
      </c>
      <c r="E679" s="42" t="str">
        <f t="shared" ca="1" si="4"/>
        <v/>
      </c>
      <c r="G679" s="29" t="str">
        <f ca="1">VLOOKUP(A679,Calculation!$F$6:$J$1004,3,FALSE)</f>
        <v/>
      </c>
      <c r="H679" s="4" t="str">
        <f ca="1">VLOOKUP(A679,Calculation!$F$6:$J$1004,4,FALSE)</f>
        <v/>
      </c>
      <c r="I679" s="4" t="str">
        <f ca="1">VLOOKUP(A679,Calculation!$F$6:$J$1004,5,FALSE)</f>
        <v/>
      </c>
      <c r="J679" s="43" t="str">
        <f t="shared" ca="1" si="5"/>
        <v/>
      </c>
      <c r="L679" s="29" t="str">
        <f ca="1">VLOOKUP(A679,Calculation!$G$6:$S$1004,2,FALSE)</f>
        <v/>
      </c>
      <c r="M679" s="4" t="str">
        <f ca="1">IFERROR(VLOOKUP($L679,Calculation!$H$6:$S$1005,HLOOKUP(M$2,Calculation!$M$4:$S$5,2,FALSE)+5,FALSE),"")</f>
        <v/>
      </c>
      <c r="N679" s="4" t="str">
        <f ca="1">IFERROR(VLOOKUP($L679,Calculation!$H$6:$S$1005,HLOOKUP(N$2,Calculation!$M$4:$S$5,2,FALSE)+5,FALSE),"")</f>
        <v/>
      </c>
      <c r="O679" s="4" t="str">
        <f ca="1">IFERROR(VLOOKUP($L679,Calculation!$H$6:$S$1005,HLOOKUP(O$2,Calculation!$M$4:$S$5,2,FALSE)+5,FALSE),"")</f>
        <v/>
      </c>
      <c r="P679" s="4" t="str">
        <f ca="1">IFERROR(VLOOKUP($L679,Calculation!$H$6:$S$1005,HLOOKUP(P$2,Calculation!$M$4:$S$5,2,FALSE)+5,FALSE),"")</f>
        <v/>
      </c>
      <c r="Q679" s="4" t="str">
        <f ca="1">IFERROR(VLOOKUP($L679,Calculation!$H$6:$S$1005,HLOOKUP(Q$2,Calculation!$M$4:$S$5,2,FALSE)+5,FALSE),"")</f>
        <v/>
      </c>
      <c r="R679" s="27" t="str">
        <f ca="1">IFERROR(VLOOKUP($L679,Calculation!$H$6:$S$1005,HLOOKUP(R$2,Calculation!$M$4:$S$5,2,FALSE)+5,FALSE),"")</f>
        <v/>
      </c>
      <c r="S679" s="4" t="str">
        <f ca="1">IFERROR(VLOOKUP($L679,Calculation!$H$6:$S$1005,HLOOKUP(S$2,Calculation!$M$4:$S$5,2,FALSE)+5,FALSE),"")</f>
        <v/>
      </c>
      <c r="T679" s="29"/>
      <c r="U679" s="43" t="str">
        <f>IFERROR(VLOOKUP(T679,Calculation!$U$6:$V$11,2,FALSE),"")</f>
        <v/>
      </c>
    </row>
    <row r="680" spans="1:21" ht="14.25" customHeight="1" x14ac:dyDescent="0.3">
      <c r="A680" s="26" t="str">
        <f ca="1">IF(Calculation!T683&lt;=Calculation!$H$4,Calculation!T683,"")</f>
        <v/>
      </c>
      <c r="B680" s="4" t="str">
        <f ca="1">VLOOKUP(A680,Calculation!$E$6:$J$1004,4,FALSE)</f>
        <v/>
      </c>
      <c r="C680" s="4" t="str">
        <f ca="1">VLOOKUP(A680,Calculation!$E$6:$J$1004,5,FALSE)</f>
        <v/>
      </c>
      <c r="D680" s="4" t="str">
        <f ca="1">VLOOKUP(A680,Calculation!$E$6:$J$1004,6,FALSE)</f>
        <v/>
      </c>
      <c r="E680" s="42" t="str">
        <f t="shared" ca="1" si="4"/>
        <v/>
      </c>
      <c r="G680" s="29" t="str">
        <f ca="1">VLOOKUP(A680,Calculation!$F$6:$J$1004,3,FALSE)</f>
        <v/>
      </c>
      <c r="H680" s="4" t="str">
        <f ca="1">VLOOKUP(A680,Calculation!$F$6:$J$1004,4,FALSE)</f>
        <v/>
      </c>
      <c r="I680" s="4" t="str">
        <f ca="1">VLOOKUP(A680,Calculation!$F$6:$J$1004,5,FALSE)</f>
        <v/>
      </c>
      <c r="J680" s="43" t="str">
        <f t="shared" ca="1" si="5"/>
        <v/>
      </c>
      <c r="L680" s="29" t="str">
        <f ca="1">VLOOKUP(A680,Calculation!$G$6:$S$1004,2,FALSE)</f>
        <v/>
      </c>
      <c r="M680" s="4" t="str">
        <f ca="1">IFERROR(VLOOKUP($L680,Calculation!$H$6:$S$1005,HLOOKUP(M$2,Calculation!$M$4:$S$5,2,FALSE)+5,FALSE),"")</f>
        <v/>
      </c>
      <c r="N680" s="4" t="str">
        <f ca="1">IFERROR(VLOOKUP($L680,Calculation!$H$6:$S$1005,HLOOKUP(N$2,Calculation!$M$4:$S$5,2,FALSE)+5,FALSE),"")</f>
        <v/>
      </c>
      <c r="O680" s="4" t="str">
        <f ca="1">IFERROR(VLOOKUP($L680,Calculation!$H$6:$S$1005,HLOOKUP(O$2,Calculation!$M$4:$S$5,2,FALSE)+5,FALSE),"")</f>
        <v/>
      </c>
      <c r="P680" s="4" t="str">
        <f ca="1">IFERROR(VLOOKUP($L680,Calculation!$H$6:$S$1005,HLOOKUP(P$2,Calculation!$M$4:$S$5,2,FALSE)+5,FALSE),"")</f>
        <v/>
      </c>
      <c r="Q680" s="4" t="str">
        <f ca="1">IFERROR(VLOOKUP($L680,Calculation!$H$6:$S$1005,HLOOKUP(Q$2,Calculation!$M$4:$S$5,2,FALSE)+5,FALSE),"")</f>
        <v/>
      </c>
      <c r="R680" s="27" t="str">
        <f ca="1">IFERROR(VLOOKUP($L680,Calculation!$H$6:$S$1005,HLOOKUP(R$2,Calculation!$M$4:$S$5,2,FALSE)+5,FALSE),"")</f>
        <v/>
      </c>
      <c r="S680" s="4" t="str">
        <f ca="1">IFERROR(VLOOKUP($L680,Calculation!$H$6:$S$1005,HLOOKUP(S$2,Calculation!$M$4:$S$5,2,FALSE)+5,FALSE),"")</f>
        <v/>
      </c>
      <c r="T680" s="29"/>
      <c r="U680" s="43" t="str">
        <f>IFERROR(VLOOKUP(T680,Calculation!$U$6:$V$11,2,FALSE),"")</f>
        <v/>
      </c>
    </row>
    <row r="681" spans="1:21" ht="14.25" customHeight="1" x14ac:dyDescent="0.3">
      <c r="A681" s="26" t="str">
        <f ca="1">IF(Calculation!T684&lt;=Calculation!$H$4,Calculation!T684,"")</f>
        <v/>
      </c>
      <c r="B681" s="4" t="str">
        <f ca="1">VLOOKUP(A681,Calculation!$E$6:$J$1004,4,FALSE)</f>
        <v/>
      </c>
      <c r="C681" s="4" t="str">
        <f ca="1">VLOOKUP(A681,Calculation!$E$6:$J$1004,5,FALSE)</f>
        <v/>
      </c>
      <c r="D681" s="4" t="str">
        <f ca="1">VLOOKUP(A681,Calculation!$E$6:$J$1004,6,FALSE)</f>
        <v/>
      </c>
      <c r="E681" s="42" t="str">
        <f t="shared" ca="1" si="4"/>
        <v/>
      </c>
      <c r="G681" s="29" t="str">
        <f ca="1">VLOOKUP(A681,Calculation!$F$6:$J$1004,3,FALSE)</f>
        <v/>
      </c>
      <c r="H681" s="4" t="str">
        <f ca="1">VLOOKUP(A681,Calculation!$F$6:$J$1004,4,FALSE)</f>
        <v/>
      </c>
      <c r="I681" s="4" t="str">
        <f ca="1">VLOOKUP(A681,Calculation!$F$6:$J$1004,5,FALSE)</f>
        <v/>
      </c>
      <c r="J681" s="43" t="str">
        <f t="shared" ca="1" si="5"/>
        <v/>
      </c>
      <c r="L681" s="29" t="str">
        <f ca="1">VLOOKUP(A681,Calculation!$G$6:$S$1004,2,FALSE)</f>
        <v/>
      </c>
      <c r="M681" s="4" t="str">
        <f ca="1">IFERROR(VLOOKUP($L681,Calculation!$H$6:$S$1005,HLOOKUP(M$2,Calculation!$M$4:$S$5,2,FALSE)+5,FALSE),"")</f>
        <v/>
      </c>
      <c r="N681" s="4" t="str">
        <f ca="1">IFERROR(VLOOKUP($L681,Calculation!$H$6:$S$1005,HLOOKUP(N$2,Calculation!$M$4:$S$5,2,FALSE)+5,FALSE),"")</f>
        <v/>
      </c>
      <c r="O681" s="4" t="str">
        <f ca="1">IFERROR(VLOOKUP($L681,Calculation!$H$6:$S$1005,HLOOKUP(O$2,Calculation!$M$4:$S$5,2,FALSE)+5,FALSE),"")</f>
        <v/>
      </c>
      <c r="P681" s="4" t="str">
        <f ca="1">IFERROR(VLOOKUP($L681,Calculation!$H$6:$S$1005,HLOOKUP(P$2,Calculation!$M$4:$S$5,2,FALSE)+5,FALSE),"")</f>
        <v/>
      </c>
      <c r="Q681" s="4" t="str">
        <f ca="1">IFERROR(VLOOKUP($L681,Calculation!$H$6:$S$1005,HLOOKUP(Q$2,Calculation!$M$4:$S$5,2,FALSE)+5,FALSE),"")</f>
        <v/>
      </c>
      <c r="R681" s="27" t="str">
        <f ca="1">IFERROR(VLOOKUP($L681,Calculation!$H$6:$S$1005,HLOOKUP(R$2,Calculation!$M$4:$S$5,2,FALSE)+5,FALSE),"")</f>
        <v/>
      </c>
      <c r="S681" s="4" t="str">
        <f ca="1">IFERROR(VLOOKUP($L681,Calculation!$H$6:$S$1005,HLOOKUP(S$2,Calculation!$M$4:$S$5,2,FALSE)+5,FALSE),"")</f>
        <v/>
      </c>
      <c r="T681" s="29"/>
      <c r="U681" s="43" t="str">
        <f>IFERROR(VLOOKUP(T681,Calculation!$U$6:$V$11,2,FALSE),"")</f>
        <v/>
      </c>
    </row>
    <row r="682" spans="1:21" ht="14.25" customHeight="1" x14ac:dyDescent="0.3">
      <c r="A682" s="26" t="str">
        <f ca="1">IF(Calculation!T685&lt;=Calculation!$H$4,Calculation!T685,"")</f>
        <v/>
      </c>
      <c r="B682" s="4" t="str">
        <f ca="1">VLOOKUP(A682,Calculation!$E$6:$J$1004,4,FALSE)</f>
        <v/>
      </c>
      <c r="C682" s="4" t="str">
        <f ca="1">VLOOKUP(A682,Calculation!$E$6:$J$1004,5,FALSE)</f>
        <v/>
      </c>
      <c r="D682" s="4" t="str">
        <f ca="1">VLOOKUP(A682,Calculation!$E$6:$J$1004,6,FALSE)</f>
        <v/>
      </c>
      <c r="E682" s="42" t="str">
        <f t="shared" ca="1" si="4"/>
        <v/>
      </c>
      <c r="G682" s="29" t="str">
        <f ca="1">VLOOKUP(A682,Calculation!$F$6:$J$1004,3,FALSE)</f>
        <v/>
      </c>
      <c r="H682" s="4" t="str">
        <f ca="1">VLOOKUP(A682,Calculation!$F$6:$J$1004,4,FALSE)</f>
        <v/>
      </c>
      <c r="I682" s="4" t="str">
        <f ca="1">VLOOKUP(A682,Calculation!$F$6:$J$1004,5,FALSE)</f>
        <v/>
      </c>
      <c r="J682" s="43" t="str">
        <f t="shared" ca="1" si="5"/>
        <v/>
      </c>
      <c r="L682" s="29" t="str">
        <f ca="1">VLOOKUP(A682,Calculation!$G$6:$S$1004,2,FALSE)</f>
        <v/>
      </c>
      <c r="M682" s="4" t="str">
        <f ca="1">IFERROR(VLOOKUP($L682,Calculation!$H$6:$S$1005,HLOOKUP(M$2,Calculation!$M$4:$S$5,2,FALSE)+5,FALSE),"")</f>
        <v/>
      </c>
      <c r="N682" s="4" t="str">
        <f ca="1">IFERROR(VLOOKUP($L682,Calculation!$H$6:$S$1005,HLOOKUP(N$2,Calculation!$M$4:$S$5,2,FALSE)+5,FALSE),"")</f>
        <v/>
      </c>
      <c r="O682" s="4" t="str">
        <f ca="1">IFERROR(VLOOKUP($L682,Calculation!$H$6:$S$1005,HLOOKUP(O$2,Calculation!$M$4:$S$5,2,FALSE)+5,FALSE),"")</f>
        <v/>
      </c>
      <c r="P682" s="4" t="str">
        <f ca="1">IFERROR(VLOOKUP($L682,Calculation!$H$6:$S$1005,HLOOKUP(P$2,Calculation!$M$4:$S$5,2,FALSE)+5,FALSE),"")</f>
        <v/>
      </c>
      <c r="Q682" s="4" t="str">
        <f ca="1">IFERROR(VLOOKUP($L682,Calculation!$H$6:$S$1005,HLOOKUP(Q$2,Calculation!$M$4:$S$5,2,FALSE)+5,FALSE),"")</f>
        <v/>
      </c>
      <c r="R682" s="27" t="str">
        <f ca="1">IFERROR(VLOOKUP($L682,Calculation!$H$6:$S$1005,HLOOKUP(R$2,Calculation!$M$4:$S$5,2,FALSE)+5,FALSE),"")</f>
        <v/>
      </c>
      <c r="S682" s="4" t="str">
        <f ca="1">IFERROR(VLOOKUP($L682,Calculation!$H$6:$S$1005,HLOOKUP(S$2,Calculation!$M$4:$S$5,2,FALSE)+5,FALSE),"")</f>
        <v/>
      </c>
      <c r="T682" s="29"/>
      <c r="U682" s="43" t="str">
        <f>IFERROR(VLOOKUP(T682,Calculation!$U$6:$V$11,2,FALSE),"")</f>
        <v/>
      </c>
    </row>
    <row r="683" spans="1:21" ht="14.25" customHeight="1" x14ac:dyDescent="0.3">
      <c r="A683" s="26" t="str">
        <f ca="1">IF(Calculation!T686&lt;=Calculation!$H$4,Calculation!T686,"")</f>
        <v/>
      </c>
      <c r="B683" s="4" t="str">
        <f ca="1">VLOOKUP(A683,Calculation!$E$6:$J$1004,4,FALSE)</f>
        <v/>
      </c>
      <c r="C683" s="4" t="str">
        <f ca="1">VLOOKUP(A683,Calculation!$E$6:$J$1004,5,FALSE)</f>
        <v/>
      </c>
      <c r="D683" s="4" t="str">
        <f ca="1">VLOOKUP(A683,Calculation!$E$6:$J$1004,6,FALSE)</f>
        <v/>
      </c>
      <c r="E683" s="42" t="str">
        <f t="shared" ca="1" si="4"/>
        <v/>
      </c>
      <c r="G683" s="29" t="str">
        <f ca="1">VLOOKUP(A683,Calculation!$F$6:$J$1004,3,FALSE)</f>
        <v/>
      </c>
      <c r="H683" s="4" t="str">
        <f ca="1">VLOOKUP(A683,Calculation!$F$6:$J$1004,4,FALSE)</f>
        <v/>
      </c>
      <c r="I683" s="4" t="str">
        <f ca="1">VLOOKUP(A683,Calculation!$F$6:$J$1004,5,FALSE)</f>
        <v/>
      </c>
      <c r="J683" s="43" t="str">
        <f t="shared" ca="1" si="5"/>
        <v/>
      </c>
      <c r="L683" s="29" t="str">
        <f ca="1">VLOOKUP(A683,Calculation!$G$6:$S$1004,2,FALSE)</f>
        <v/>
      </c>
      <c r="M683" s="4" t="str">
        <f ca="1">IFERROR(VLOOKUP($L683,Calculation!$H$6:$S$1005,HLOOKUP(M$2,Calculation!$M$4:$S$5,2,FALSE)+5,FALSE),"")</f>
        <v/>
      </c>
      <c r="N683" s="4" t="str">
        <f ca="1">IFERROR(VLOOKUP($L683,Calculation!$H$6:$S$1005,HLOOKUP(N$2,Calculation!$M$4:$S$5,2,FALSE)+5,FALSE),"")</f>
        <v/>
      </c>
      <c r="O683" s="4" t="str">
        <f ca="1">IFERROR(VLOOKUP($L683,Calculation!$H$6:$S$1005,HLOOKUP(O$2,Calculation!$M$4:$S$5,2,FALSE)+5,FALSE),"")</f>
        <v/>
      </c>
      <c r="P683" s="4" t="str">
        <f ca="1">IFERROR(VLOOKUP($L683,Calculation!$H$6:$S$1005,HLOOKUP(P$2,Calculation!$M$4:$S$5,2,FALSE)+5,FALSE),"")</f>
        <v/>
      </c>
      <c r="Q683" s="4" t="str">
        <f ca="1">IFERROR(VLOOKUP($L683,Calculation!$H$6:$S$1005,HLOOKUP(Q$2,Calculation!$M$4:$S$5,2,FALSE)+5,FALSE),"")</f>
        <v/>
      </c>
      <c r="R683" s="27" t="str">
        <f ca="1">IFERROR(VLOOKUP($L683,Calculation!$H$6:$S$1005,HLOOKUP(R$2,Calculation!$M$4:$S$5,2,FALSE)+5,FALSE),"")</f>
        <v/>
      </c>
      <c r="S683" s="4" t="str">
        <f ca="1">IFERROR(VLOOKUP($L683,Calculation!$H$6:$S$1005,HLOOKUP(S$2,Calculation!$M$4:$S$5,2,FALSE)+5,FALSE),"")</f>
        <v/>
      </c>
      <c r="T683" s="29"/>
      <c r="U683" s="43" t="str">
        <f>IFERROR(VLOOKUP(T683,Calculation!$U$6:$V$11,2,FALSE),"")</f>
        <v/>
      </c>
    </row>
    <row r="684" spans="1:21" ht="14.25" customHeight="1" x14ac:dyDescent="0.3">
      <c r="A684" s="26" t="str">
        <f ca="1">IF(Calculation!T687&lt;=Calculation!$H$4,Calculation!T687,"")</f>
        <v/>
      </c>
      <c r="B684" s="4" t="str">
        <f ca="1">VLOOKUP(A684,Calculation!$E$6:$J$1004,4,FALSE)</f>
        <v/>
      </c>
      <c r="C684" s="4" t="str">
        <f ca="1">VLOOKUP(A684,Calculation!$E$6:$J$1004,5,FALSE)</f>
        <v/>
      </c>
      <c r="D684" s="4" t="str">
        <f ca="1">VLOOKUP(A684,Calculation!$E$6:$J$1004,6,FALSE)</f>
        <v/>
      </c>
      <c r="E684" s="42" t="str">
        <f t="shared" ca="1" si="4"/>
        <v/>
      </c>
      <c r="G684" s="29" t="str">
        <f ca="1">VLOOKUP(A684,Calculation!$F$6:$J$1004,3,FALSE)</f>
        <v/>
      </c>
      <c r="H684" s="4" t="str">
        <f ca="1">VLOOKUP(A684,Calculation!$F$6:$J$1004,4,FALSE)</f>
        <v/>
      </c>
      <c r="I684" s="4" t="str">
        <f ca="1">VLOOKUP(A684,Calculation!$F$6:$J$1004,5,FALSE)</f>
        <v/>
      </c>
      <c r="J684" s="43" t="str">
        <f t="shared" ca="1" si="5"/>
        <v/>
      </c>
      <c r="L684" s="29" t="str">
        <f ca="1">VLOOKUP(A684,Calculation!$G$6:$S$1004,2,FALSE)</f>
        <v/>
      </c>
      <c r="M684" s="4" t="str">
        <f ca="1">IFERROR(VLOOKUP($L684,Calculation!$H$6:$S$1005,HLOOKUP(M$2,Calculation!$M$4:$S$5,2,FALSE)+5,FALSE),"")</f>
        <v/>
      </c>
      <c r="N684" s="4" t="str">
        <f ca="1">IFERROR(VLOOKUP($L684,Calculation!$H$6:$S$1005,HLOOKUP(N$2,Calculation!$M$4:$S$5,2,FALSE)+5,FALSE),"")</f>
        <v/>
      </c>
      <c r="O684" s="4" t="str">
        <f ca="1">IFERROR(VLOOKUP($L684,Calculation!$H$6:$S$1005,HLOOKUP(O$2,Calculation!$M$4:$S$5,2,FALSE)+5,FALSE),"")</f>
        <v/>
      </c>
      <c r="P684" s="4" t="str">
        <f ca="1">IFERROR(VLOOKUP($L684,Calculation!$H$6:$S$1005,HLOOKUP(P$2,Calculation!$M$4:$S$5,2,FALSE)+5,FALSE),"")</f>
        <v/>
      </c>
      <c r="Q684" s="4" t="str">
        <f ca="1">IFERROR(VLOOKUP($L684,Calculation!$H$6:$S$1005,HLOOKUP(Q$2,Calculation!$M$4:$S$5,2,FALSE)+5,FALSE),"")</f>
        <v/>
      </c>
      <c r="R684" s="27" t="str">
        <f ca="1">IFERROR(VLOOKUP($L684,Calculation!$H$6:$S$1005,HLOOKUP(R$2,Calculation!$M$4:$S$5,2,FALSE)+5,FALSE),"")</f>
        <v/>
      </c>
      <c r="S684" s="4" t="str">
        <f ca="1">IFERROR(VLOOKUP($L684,Calculation!$H$6:$S$1005,HLOOKUP(S$2,Calculation!$M$4:$S$5,2,FALSE)+5,FALSE),"")</f>
        <v/>
      </c>
      <c r="T684" s="29"/>
      <c r="U684" s="43" t="str">
        <f>IFERROR(VLOOKUP(T684,Calculation!$U$6:$V$11,2,FALSE),"")</f>
        <v/>
      </c>
    </row>
    <row r="685" spans="1:21" ht="14.25" customHeight="1" x14ac:dyDescent="0.3">
      <c r="A685" s="26" t="str">
        <f ca="1">IF(Calculation!T688&lt;=Calculation!$H$4,Calculation!T688,"")</f>
        <v/>
      </c>
      <c r="B685" s="4" t="str">
        <f ca="1">VLOOKUP(A685,Calculation!$E$6:$J$1004,4,FALSE)</f>
        <v/>
      </c>
      <c r="C685" s="4" t="str">
        <f ca="1">VLOOKUP(A685,Calculation!$E$6:$J$1004,5,FALSE)</f>
        <v/>
      </c>
      <c r="D685" s="4" t="str">
        <f ca="1">VLOOKUP(A685,Calculation!$E$6:$J$1004,6,FALSE)</f>
        <v/>
      </c>
      <c r="E685" s="42" t="str">
        <f t="shared" ca="1" si="4"/>
        <v/>
      </c>
      <c r="G685" s="29" t="str">
        <f ca="1">VLOOKUP(A685,Calculation!$F$6:$J$1004,3,FALSE)</f>
        <v/>
      </c>
      <c r="H685" s="4" t="str">
        <f ca="1">VLOOKUP(A685,Calculation!$F$6:$J$1004,4,FALSE)</f>
        <v/>
      </c>
      <c r="I685" s="4" t="str">
        <f ca="1">VLOOKUP(A685,Calculation!$F$6:$J$1004,5,FALSE)</f>
        <v/>
      </c>
      <c r="J685" s="43" t="str">
        <f t="shared" ca="1" si="5"/>
        <v/>
      </c>
      <c r="L685" s="29" t="str">
        <f ca="1">VLOOKUP(A685,Calculation!$G$6:$S$1004,2,FALSE)</f>
        <v/>
      </c>
      <c r="M685" s="4" t="str">
        <f ca="1">IFERROR(VLOOKUP($L685,Calculation!$H$6:$S$1005,HLOOKUP(M$2,Calculation!$M$4:$S$5,2,FALSE)+5,FALSE),"")</f>
        <v/>
      </c>
      <c r="N685" s="4" t="str">
        <f ca="1">IFERROR(VLOOKUP($L685,Calculation!$H$6:$S$1005,HLOOKUP(N$2,Calculation!$M$4:$S$5,2,FALSE)+5,FALSE),"")</f>
        <v/>
      </c>
      <c r="O685" s="4" t="str">
        <f ca="1">IFERROR(VLOOKUP($L685,Calculation!$H$6:$S$1005,HLOOKUP(O$2,Calculation!$M$4:$S$5,2,FALSE)+5,FALSE),"")</f>
        <v/>
      </c>
      <c r="P685" s="4" t="str">
        <f ca="1">IFERROR(VLOOKUP($L685,Calculation!$H$6:$S$1005,HLOOKUP(P$2,Calculation!$M$4:$S$5,2,FALSE)+5,FALSE),"")</f>
        <v/>
      </c>
      <c r="Q685" s="4" t="str">
        <f ca="1">IFERROR(VLOOKUP($L685,Calculation!$H$6:$S$1005,HLOOKUP(Q$2,Calculation!$M$4:$S$5,2,FALSE)+5,FALSE),"")</f>
        <v/>
      </c>
      <c r="R685" s="27" t="str">
        <f ca="1">IFERROR(VLOOKUP($L685,Calculation!$H$6:$S$1005,HLOOKUP(R$2,Calculation!$M$4:$S$5,2,FALSE)+5,FALSE),"")</f>
        <v/>
      </c>
      <c r="S685" s="4" t="str">
        <f ca="1">IFERROR(VLOOKUP($L685,Calculation!$H$6:$S$1005,HLOOKUP(S$2,Calculation!$M$4:$S$5,2,FALSE)+5,FALSE),"")</f>
        <v/>
      </c>
      <c r="T685" s="29"/>
      <c r="U685" s="43" t="str">
        <f>IFERROR(VLOOKUP(T685,Calculation!$U$6:$V$11,2,FALSE),"")</f>
        <v/>
      </c>
    </row>
    <row r="686" spans="1:21" ht="14.25" customHeight="1" x14ac:dyDescent="0.3">
      <c r="A686" s="26" t="str">
        <f ca="1">IF(Calculation!T689&lt;=Calculation!$H$4,Calculation!T689,"")</f>
        <v/>
      </c>
      <c r="B686" s="4" t="str">
        <f ca="1">VLOOKUP(A686,Calculation!$E$6:$J$1004,4,FALSE)</f>
        <v/>
      </c>
      <c r="C686" s="4" t="str">
        <f ca="1">VLOOKUP(A686,Calculation!$E$6:$J$1004,5,FALSE)</f>
        <v/>
      </c>
      <c r="D686" s="4" t="str">
        <f ca="1">VLOOKUP(A686,Calculation!$E$6:$J$1004,6,FALSE)</f>
        <v/>
      </c>
      <c r="E686" s="42" t="str">
        <f t="shared" ca="1" si="4"/>
        <v/>
      </c>
      <c r="G686" s="29" t="str">
        <f ca="1">VLOOKUP(A686,Calculation!$F$6:$J$1004,3,FALSE)</f>
        <v/>
      </c>
      <c r="H686" s="4" t="str">
        <f ca="1">VLOOKUP(A686,Calculation!$F$6:$J$1004,4,FALSE)</f>
        <v/>
      </c>
      <c r="I686" s="4" t="str">
        <f ca="1">VLOOKUP(A686,Calculation!$F$6:$J$1004,5,FALSE)</f>
        <v/>
      </c>
      <c r="J686" s="43" t="str">
        <f t="shared" ca="1" si="5"/>
        <v/>
      </c>
      <c r="L686" s="29" t="str">
        <f ca="1">VLOOKUP(A686,Calculation!$G$6:$S$1004,2,FALSE)</f>
        <v/>
      </c>
      <c r="M686" s="4" t="str">
        <f ca="1">IFERROR(VLOOKUP($L686,Calculation!$H$6:$S$1005,HLOOKUP(M$2,Calculation!$M$4:$S$5,2,FALSE)+5,FALSE),"")</f>
        <v/>
      </c>
      <c r="N686" s="4" t="str">
        <f ca="1">IFERROR(VLOOKUP($L686,Calculation!$H$6:$S$1005,HLOOKUP(N$2,Calculation!$M$4:$S$5,2,FALSE)+5,FALSE),"")</f>
        <v/>
      </c>
      <c r="O686" s="4" t="str">
        <f ca="1">IFERROR(VLOOKUP($L686,Calculation!$H$6:$S$1005,HLOOKUP(O$2,Calculation!$M$4:$S$5,2,FALSE)+5,FALSE),"")</f>
        <v/>
      </c>
      <c r="P686" s="4" t="str">
        <f ca="1">IFERROR(VLOOKUP($L686,Calculation!$H$6:$S$1005,HLOOKUP(P$2,Calculation!$M$4:$S$5,2,FALSE)+5,FALSE),"")</f>
        <v/>
      </c>
      <c r="Q686" s="4" t="str">
        <f ca="1">IFERROR(VLOOKUP($L686,Calculation!$H$6:$S$1005,HLOOKUP(Q$2,Calculation!$M$4:$S$5,2,FALSE)+5,FALSE),"")</f>
        <v/>
      </c>
      <c r="R686" s="27" t="str">
        <f ca="1">IFERROR(VLOOKUP($L686,Calculation!$H$6:$S$1005,HLOOKUP(R$2,Calculation!$M$4:$S$5,2,FALSE)+5,FALSE),"")</f>
        <v/>
      </c>
      <c r="S686" s="4" t="str">
        <f ca="1">IFERROR(VLOOKUP($L686,Calculation!$H$6:$S$1005,HLOOKUP(S$2,Calculation!$M$4:$S$5,2,FALSE)+5,FALSE),"")</f>
        <v/>
      </c>
      <c r="T686" s="29"/>
      <c r="U686" s="43" t="str">
        <f>IFERROR(VLOOKUP(T686,Calculation!$U$6:$V$11,2,FALSE),"")</f>
        <v/>
      </c>
    </row>
    <row r="687" spans="1:21" ht="14.25" customHeight="1" x14ac:dyDescent="0.3">
      <c r="A687" s="26" t="str">
        <f ca="1">IF(Calculation!T690&lt;=Calculation!$H$4,Calculation!T690,"")</f>
        <v/>
      </c>
      <c r="B687" s="4" t="str">
        <f ca="1">VLOOKUP(A687,Calculation!$E$6:$J$1004,4,FALSE)</f>
        <v/>
      </c>
      <c r="C687" s="4" t="str">
        <f ca="1">VLOOKUP(A687,Calculation!$E$6:$J$1004,5,FALSE)</f>
        <v/>
      </c>
      <c r="D687" s="4" t="str">
        <f ca="1">VLOOKUP(A687,Calculation!$E$6:$J$1004,6,FALSE)</f>
        <v/>
      </c>
      <c r="E687" s="42" t="str">
        <f t="shared" ca="1" si="4"/>
        <v/>
      </c>
      <c r="G687" s="29" t="str">
        <f ca="1">VLOOKUP(A687,Calculation!$F$6:$J$1004,3,FALSE)</f>
        <v/>
      </c>
      <c r="H687" s="4" t="str">
        <f ca="1">VLOOKUP(A687,Calculation!$F$6:$J$1004,4,FALSE)</f>
        <v/>
      </c>
      <c r="I687" s="4" t="str">
        <f ca="1">VLOOKUP(A687,Calculation!$F$6:$J$1004,5,FALSE)</f>
        <v/>
      </c>
      <c r="J687" s="43" t="str">
        <f t="shared" ca="1" si="5"/>
        <v/>
      </c>
      <c r="L687" s="29" t="str">
        <f ca="1">VLOOKUP(A687,Calculation!$G$6:$S$1004,2,FALSE)</f>
        <v/>
      </c>
      <c r="M687" s="4" t="str">
        <f ca="1">IFERROR(VLOOKUP($L687,Calculation!$H$6:$S$1005,HLOOKUP(M$2,Calculation!$M$4:$S$5,2,FALSE)+5,FALSE),"")</f>
        <v/>
      </c>
      <c r="N687" s="4" t="str">
        <f ca="1">IFERROR(VLOOKUP($L687,Calculation!$H$6:$S$1005,HLOOKUP(N$2,Calculation!$M$4:$S$5,2,FALSE)+5,FALSE),"")</f>
        <v/>
      </c>
      <c r="O687" s="4" t="str">
        <f ca="1">IFERROR(VLOOKUP($L687,Calculation!$H$6:$S$1005,HLOOKUP(O$2,Calculation!$M$4:$S$5,2,FALSE)+5,FALSE),"")</f>
        <v/>
      </c>
      <c r="P687" s="4" t="str">
        <f ca="1">IFERROR(VLOOKUP($L687,Calculation!$H$6:$S$1005,HLOOKUP(P$2,Calculation!$M$4:$S$5,2,FALSE)+5,FALSE),"")</f>
        <v/>
      </c>
      <c r="Q687" s="4" t="str">
        <f ca="1">IFERROR(VLOOKUP($L687,Calculation!$H$6:$S$1005,HLOOKUP(Q$2,Calculation!$M$4:$S$5,2,FALSE)+5,FALSE),"")</f>
        <v/>
      </c>
      <c r="R687" s="27" t="str">
        <f ca="1">IFERROR(VLOOKUP($L687,Calculation!$H$6:$S$1005,HLOOKUP(R$2,Calculation!$M$4:$S$5,2,FALSE)+5,FALSE),"")</f>
        <v/>
      </c>
      <c r="S687" s="4" t="str">
        <f ca="1">IFERROR(VLOOKUP($L687,Calculation!$H$6:$S$1005,HLOOKUP(S$2,Calculation!$M$4:$S$5,2,FALSE)+5,FALSE),"")</f>
        <v/>
      </c>
      <c r="T687" s="29"/>
      <c r="U687" s="43" t="str">
        <f>IFERROR(VLOOKUP(T687,Calculation!$U$6:$V$11,2,FALSE),"")</f>
        <v/>
      </c>
    </row>
    <row r="688" spans="1:21" ht="14.25" customHeight="1" x14ac:dyDescent="0.3">
      <c r="A688" s="26" t="str">
        <f ca="1">IF(Calculation!T691&lt;=Calculation!$H$4,Calculation!T691,"")</f>
        <v/>
      </c>
      <c r="B688" s="4" t="str">
        <f ca="1">VLOOKUP(A688,Calculation!$E$6:$J$1004,4,FALSE)</f>
        <v/>
      </c>
      <c r="C688" s="4" t="str">
        <f ca="1">VLOOKUP(A688,Calculation!$E$6:$J$1004,5,FALSE)</f>
        <v/>
      </c>
      <c r="D688" s="4" t="str">
        <f ca="1">VLOOKUP(A688,Calculation!$E$6:$J$1004,6,FALSE)</f>
        <v/>
      </c>
      <c r="E688" s="42" t="str">
        <f t="shared" ca="1" si="4"/>
        <v/>
      </c>
      <c r="G688" s="29" t="str">
        <f ca="1">VLOOKUP(A688,Calculation!$F$6:$J$1004,3,FALSE)</f>
        <v/>
      </c>
      <c r="H688" s="4" t="str">
        <f ca="1">VLOOKUP(A688,Calculation!$F$6:$J$1004,4,FALSE)</f>
        <v/>
      </c>
      <c r="I688" s="4" t="str">
        <f ca="1">VLOOKUP(A688,Calculation!$F$6:$J$1004,5,FALSE)</f>
        <v/>
      </c>
      <c r="J688" s="43" t="str">
        <f t="shared" ca="1" si="5"/>
        <v/>
      </c>
      <c r="L688" s="29" t="str">
        <f ca="1">VLOOKUP(A688,Calculation!$G$6:$S$1004,2,FALSE)</f>
        <v/>
      </c>
      <c r="M688" s="4" t="str">
        <f ca="1">IFERROR(VLOOKUP($L688,Calculation!$H$6:$S$1005,HLOOKUP(M$2,Calculation!$M$4:$S$5,2,FALSE)+5,FALSE),"")</f>
        <v/>
      </c>
      <c r="N688" s="4" t="str">
        <f ca="1">IFERROR(VLOOKUP($L688,Calculation!$H$6:$S$1005,HLOOKUP(N$2,Calculation!$M$4:$S$5,2,FALSE)+5,FALSE),"")</f>
        <v/>
      </c>
      <c r="O688" s="4" t="str">
        <f ca="1">IFERROR(VLOOKUP($L688,Calculation!$H$6:$S$1005,HLOOKUP(O$2,Calculation!$M$4:$S$5,2,FALSE)+5,FALSE),"")</f>
        <v/>
      </c>
      <c r="P688" s="4" t="str">
        <f ca="1">IFERROR(VLOOKUP($L688,Calculation!$H$6:$S$1005,HLOOKUP(P$2,Calculation!$M$4:$S$5,2,FALSE)+5,FALSE),"")</f>
        <v/>
      </c>
      <c r="Q688" s="4" t="str">
        <f ca="1">IFERROR(VLOOKUP($L688,Calculation!$H$6:$S$1005,HLOOKUP(Q$2,Calculation!$M$4:$S$5,2,FALSE)+5,FALSE),"")</f>
        <v/>
      </c>
      <c r="R688" s="27" t="str">
        <f ca="1">IFERROR(VLOOKUP($L688,Calculation!$H$6:$S$1005,HLOOKUP(R$2,Calculation!$M$4:$S$5,2,FALSE)+5,FALSE),"")</f>
        <v/>
      </c>
      <c r="S688" s="4" t="str">
        <f ca="1">IFERROR(VLOOKUP($L688,Calculation!$H$6:$S$1005,HLOOKUP(S$2,Calculation!$M$4:$S$5,2,FALSE)+5,FALSE),"")</f>
        <v/>
      </c>
      <c r="T688" s="29"/>
      <c r="U688" s="43" t="str">
        <f>IFERROR(VLOOKUP(T688,Calculation!$U$6:$V$11,2,FALSE),"")</f>
        <v/>
      </c>
    </row>
    <row r="689" spans="1:21" ht="14.25" customHeight="1" x14ac:dyDescent="0.3">
      <c r="A689" s="26" t="str">
        <f ca="1">IF(Calculation!T692&lt;=Calculation!$H$4,Calculation!T692,"")</f>
        <v/>
      </c>
      <c r="B689" s="4" t="str">
        <f ca="1">VLOOKUP(A689,Calculation!$E$6:$J$1004,4,FALSE)</f>
        <v/>
      </c>
      <c r="C689" s="4" t="str">
        <f ca="1">VLOOKUP(A689,Calculation!$E$6:$J$1004,5,FALSE)</f>
        <v/>
      </c>
      <c r="D689" s="4" t="str">
        <f ca="1">VLOOKUP(A689,Calculation!$E$6:$J$1004,6,FALSE)</f>
        <v/>
      </c>
      <c r="E689" s="42" t="str">
        <f t="shared" ca="1" si="4"/>
        <v/>
      </c>
      <c r="G689" s="29" t="str">
        <f ca="1">VLOOKUP(A689,Calculation!$F$6:$J$1004,3,FALSE)</f>
        <v/>
      </c>
      <c r="H689" s="4" t="str">
        <f ca="1">VLOOKUP(A689,Calculation!$F$6:$J$1004,4,FALSE)</f>
        <v/>
      </c>
      <c r="I689" s="4" t="str">
        <f ca="1">VLOOKUP(A689,Calculation!$F$6:$J$1004,5,FALSE)</f>
        <v/>
      </c>
      <c r="J689" s="43" t="str">
        <f t="shared" ca="1" si="5"/>
        <v/>
      </c>
      <c r="L689" s="29" t="str">
        <f ca="1">VLOOKUP(A689,Calculation!$G$6:$S$1004,2,FALSE)</f>
        <v/>
      </c>
      <c r="M689" s="4" t="str">
        <f ca="1">IFERROR(VLOOKUP($L689,Calculation!$H$6:$S$1005,HLOOKUP(M$2,Calculation!$M$4:$S$5,2,FALSE)+5,FALSE),"")</f>
        <v/>
      </c>
      <c r="N689" s="4" t="str">
        <f ca="1">IFERROR(VLOOKUP($L689,Calculation!$H$6:$S$1005,HLOOKUP(N$2,Calculation!$M$4:$S$5,2,FALSE)+5,FALSE),"")</f>
        <v/>
      </c>
      <c r="O689" s="4" t="str">
        <f ca="1">IFERROR(VLOOKUP($L689,Calculation!$H$6:$S$1005,HLOOKUP(O$2,Calculation!$M$4:$S$5,2,FALSE)+5,FALSE),"")</f>
        <v/>
      </c>
      <c r="P689" s="4" t="str">
        <f ca="1">IFERROR(VLOOKUP($L689,Calculation!$H$6:$S$1005,HLOOKUP(P$2,Calculation!$M$4:$S$5,2,FALSE)+5,FALSE),"")</f>
        <v/>
      </c>
      <c r="Q689" s="4" t="str">
        <f ca="1">IFERROR(VLOOKUP($L689,Calculation!$H$6:$S$1005,HLOOKUP(Q$2,Calculation!$M$4:$S$5,2,FALSE)+5,FALSE),"")</f>
        <v/>
      </c>
      <c r="R689" s="27" t="str">
        <f ca="1">IFERROR(VLOOKUP($L689,Calculation!$H$6:$S$1005,HLOOKUP(R$2,Calculation!$M$4:$S$5,2,FALSE)+5,FALSE),"")</f>
        <v/>
      </c>
      <c r="S689" s="4" t="str">
        <f ca="1">IFERROR(VLOOKUP($L689,Calculation!$H$6:$S$1005,HLOOKUP(S$2,Calculation!$M$4:$S$5,2,FALSE)+5,FALSE),"")</f>
        <v/>
      </c>
      <c r="T689" s="29"/>
      <c r="U689" s="43" t="str">
        <f>IFERROR(VLOOKUP(T689,Calculation!$U$6:$V$11,2,FALSE),"")</f>
        <v/>
      </c>
    </row>
    <row r="690" spans="1:21" ht="14.25" customHeight="1" x14ac:dyDescent="0.3">
      <c r="A690" s="26" t="str">
        <f ca="1">IF(Calculation!T693&lt;=Calculation!$H$4,Calculation!T693,"")</f>
        <v/>
      </c>
      <c r="B690" s="4" t="str">
        <f ca="1">VLOOKUP(A690,Calculation!$E$6:$J$1004,4,FALSE)</f>
        <v/>
      </c>
      <c r="C690" s="4" t="str">
        <f ca="1">VLOOKUP(A690,Calculation!$E$6:$J$1004,5,FALSE)</f>
        <v/>
      </c>
      <c r="D690" s="4" t="str">
        <f ca="1">VLOOKUP(A690,Calculation!$E$6:$J$1004,6,FALSE)</f>
        <v/>
      </c>
      <c r="E690" s="42" t="str">
        <f t="shared" ca="1" si="4"/>
        <v/>
      </c>
      <c r="G690" s="29" t="str">
        <f ca="1">VLOOKUP(A690,Calculation!$F$6:$J$1004,3,FALSE)</f>
        <v/>
      </c>
      <c r="H690" s="4" t="str">
        <f ca="1">VLOOKUP(A690,Calculation!$F$6:$J$1004,4,FALSE)</f>
        <v/>
      </c>
      <c r="I690" s="4" t="str">
        <f ca="1">VLOOKUP(A690,Calculation!$F$6:$J$1004,5,FALSE)</f>
        <v/>
      </c>
      <c r="J690" s="43" t="str">
        <f t="shared" ca="1" si="5"/>
        <v/>
      </c>
      <c r="L690" s="29" t="str">
        <f ca="1">VLOOKUP(A690,Calculation!$G$6:$S$1004,2,FALSE)</f>
        <v/>
      </c>
      <c r="M690" s="4" t="str">
        <f ca="1">IFERROR(VLOOKUP($L690,Calculation!$H$6:$S$1005,HLOOKUP(M$2,Calculation!$M$4:$S$5,2,FALSE)+5,FALSE),"")</f>
        <v/>
      </c>
      <c r="N690" s="4" t="str">
        <f ca="1">IFERROR(VLOOKUP($L690,Calculation!$H$6:$S$1005,HLOOKUP(N$2,Calculation!$M$4:$S$5,2,FALSE)+5,FALSE),"")</f>
        <v/>
      </c>
      <c r="O690" s="4" t="str">
        <f ca="1">IFERROR(VLOOKUP($L690,Calculation!$H$6:$S$1005,HLOOKUP(O$2,Calculation!$M$4:$S$5,2,FALSE)+5,FALSE),"")</f>
        <v/>
      </c>
      <c r="P690" s="4" t="str">
        <f ca="1">IFERROR(VLOOKUP($L690,Calculation!$H$6:$S$1005,HLOOKUP(P$2,Calculation!$M$4:$S$5,2,FALSE)+5,FALSE),"")</f>
        <v/>
      </c>
      <c r="Q690" s="4" t="str">
        <f ca="1">IFERROR(VLOOKUP($L690,Calculation!$H$6:$S$1005,HLOOKUP(Q$2,Calculation!$M$4:$S$5,2,FALSE)+5,FALSE),"")</f>
        <v/>
      </c>
      <c r="R690" s="27" t="str">
        <f ca="1">IFERROR(VLOOKUP($L690,Calculation!$H$6:$S$1005,HLOOKUP(R$2,Calculation!$M$4:$S$5,2,FALSE)+5,FALSE),"")</f>
        <v/>
      </c>
      <c r="S690" s="4" t="str">
        <f ca="1">IFERROR(VLOOKUP($L690,Calculation!$H$6:$S$1005,HLOOKUP(S$2,Calculation!$M$4:$S$5,2,FALSE)+5,FALSE),"")</f>
        <v/>
      </c>
      <c r="T690" s="29"/>
      <c r="U690" s="43" t="str">
        <f>IFERROR(VLOOKUP(T690,Calculation!$U$6:$V$11,2,FALSE),"")</f>
        <v/>
      </c>
    </row>
    <row r="691" spans="1:21" ht="14.25" customHeight="1" x14ac:dyDescent="0.3">
      <c r="A691" s="26" t="str">
        <f ca="1">IF(Calculation!T694&lt;=Calculation!$H$4,Calculation!T694,"")</f>
        <v/>
      </c>
      <c r="B691" s="4" t="str">
        <f ca="1">VLOOKUP(A691,Calculation!$E$6:$J$1004,4,FALSE)</f>
        <v/>
      </c>
      <c r="C691" s="4" t="str">
        <f ca="1">VLOOKUP(A691,Calculation!$E$6:$J$1004,5,FALSE)</f>
        <v/>
      </c>
      <c r="D691" s="4" t="str">
        <f ca="1">VLOOKUP(A691,Calculation!$E$6:$J$1004,6,FALSE)</f>
        <v/>
      </c>
      <c r="E691" s="42" t="str">
        <f t="shared" ca="1" si="4"/>
        <v/>
      </c>
      <c r="G691" s="29" t="str">
        <f ca="1">VLOOKUP(A691,Calculation!$F$6:$J$1004,3,FALSE)</f>
        <v/>
      </c>
      <c r="H691" s="4" t="str">
        <f ca="1">VLOOKUP(A691,Calculation!$F$6:$J$1004,4,FALSE)</f>
        <v/>
      </c>
      <c r="I691" s="4" t="str">
        <f ca="1">VLOOKUP(A691,Calculation!$F$6:$J$1004,5,FALSE)</f>
        <v/>
      </c>
      <c r="J691" s="43" t="str">
        <f t="shared" ca="1" si="5"/>
        <v/>
      </c>
      <c r="L691" s="29" t="str">
        <f ca="1">VLOOKUP(A691,Calculation!$G$6:$S$1004,2,FALSE)</f>
        <v/>
      </c>
      <c r="M691" s="4" t="str">
        <f ca="1">IFERROR(VLOOKUP($L691,Calculation!$H$6:$S$1005,HLOOKUP(M$2,Calculation!$M$4:$S$5,2,FALSE)+5,FALSE),"")</f>
        <v/>
      </c>
      <c r="N691" s="4" t="str">
        <f ca="1">IFERROR(VLOOKUP($L691,Calculation!$H$6:$S$1005,HLOOKUP(N$2,Calculation!$M$4:$S$5,2,FALSE)+5,FALSE),"")</f>
        <v/>
      </c>
      <c r="O691" s="4" t="str">
        <f ca="1">IFERROR(VLOOKUP($L691,Calculation!$H$6:$S$1005,HLOOKUP(O$2,Calculation!$M$4:$S$5,2,FALSE)+5,FALSE),"")</f>
        <v/>
      </c>
      <c r="P691" s="4" t="str">
        <f ca="1">IFERROR(VLOOKUP($L691,Calculation!$H$6:$S$1005,HLOOKUP(P$2,Calculation!$M$4:$S$5,2,FALSE)+5,FALSE),"")</f>
        <v/>
      </c>
      <c r="Q691" s="4" t="str">
        <f ca="1">IFERROR(VLOOKUP($L691,Calculation!$H$6:$S$1005,HLOOKUP(Q$2,Calculation!$M$4:$S$5,2,FALSE)+5,FALSE),"")</f>
        <v/>
      </c>
      <c r="R691" s="27" t="str">
        <f ca="1">IFERROR(VLOOKUP($L691,Calculation!$H$6:$S$1005,HLOOKUP(R$2,Calculation!$M$4:$S$5,2,FALSE)+5,FALSE),"")</f>
        <v/>
      </c>
      <c r="S691" s="4" t="str">
        <f ca="1">IFERROR(VLOOKUP($L691,Calculation!$H$6:$S$1005,HLOOKUP(S$2,Calculation!$M$4:$S$5,2,FALSE)+5,FALSE),"")</f>
        <v/>
      </c>
      <c r="T691" s="29"/>
      <c r="U691" s="43" t="str">
        <f>IFERROR(VLOOKUP(T691,Calculation!$U$6:$V$11,2,FALSE),"")</f>
        <v/>
      </c>
    </row>
    <row r="692" spans="1:21" ht="14.25" customHeight="1" x14ac:dyDescent="0.3">
      <c r="A692" s="26" t="str">
        <f ca="1">IF(Calculation!T695&lt;=Calculation!$H$4,Calculation!T695,"")</f>
        <v/>
      </c>
      <c r="B692" s="4" t="str">
        <f ca="1">VLOOKUP(A692,Calculation!$E$6:$J$1004,4,FALSE)</f>
        <v/>
      </c>
      <c r="C692" s="4" t="str">
        <f ca="1">VLOOKUP(A692,Calculation!$E$6:$J$1004,5,FALSE)</f>
        <v/>
      </c>
      <c r="D692" s="4" t="str">
        <f ca="1">VLOOKUP(A692,Calculation!$E$6:$J$1004,6,FALSE)</f>
        <v/>
      </c>
      <c r="E692" s="42" t="str">
        <f t="shared" ca="1" si="4"/>
        <v/>
      </c>
      <c r="G692" s="29" t="str">
        <f ca="1">VLOOKUP(A692,Calculation!$F$6:$J$1004,3,FALSE)</f>
        <v/>
      </c>
      <c r="H692" s="4" t="str">
        <f ca="1">VLOOKUP(A692,Calculation!$F$6:$J$1004,4,FALSE)</f>
        <v/>
      </c>
      <c r="I692" s="4" t="str">
        <f ca="1">VLOOKUP(A692,Calculation!$F$6:$J$1004,5,FALSE)</f>
        <v/>
      </c>
      <c r="J692" s="43" t="str">
        <f t="shared" ca="1" si="5"/>
        <v/>
      </c>
      <c r="L692" s="29" t="str">
        <f ca="1">VLOOKUP(A692,Calculation!$G$6:$S$1004,2,FALSE)</f>
        <v/>
      </c>
      <c r="M692" s="4" t="str">
        <f ca="1">IFERROR(VLOOKUP($L692,Calculation!$H$6:$S$1005,HLOOKUP(M$2,Calculation!$M$4:$S$5,2,FALSE)+5,FALSE),"")</f>
        <v/>
      </c>
      <c r="N692" s="4" t="str">
        <f ca="1">IFERROR(VLOOKUP($L692,Calculation!$H$6:$S$1005,HLOOKUP(N$2,Calculation!$M$4:$S$5,2,FALSE)+5,FALSE),"")</f>
        <v/>
      </c>
      <c r="O692" s="4" t="str">
        <f ca="1">IFERROR(VLOOKUP($L692,Calculation!$H$6:$S$1005,HLOOKUP(O$2,Calculation!$M$4:$S$5,2,FALSE)+5,FALSE),"")</f>
        <v/>
      </c>
      <c r="P692" s="4" t="str">
        <f ca="1">IFERROR(VLOOKUP($L692,Calculation!$H$6:$S$1005,HLOOKUP(P$2,Calculation!$M$4:$S$5,2,FALSE)+5,FALSE),"")</f>
        <v/>
      </c>
      <c r="Q692" s="4" t="str">
        <f ca="1">IFERROR(VLOOKUP($L692,Calculation!$H$6:$S$1005,HLOOKUP(Q$2,Calculation!$M$4:$S$5,2,FALSE)+5,FALSE),"")</f>
        <v/>
      </c>
      <c r="R692" s="27" t="str">
        <f ca="1">IFERROR(VLOOKUP($L692,Calculation!$H$6:$S$1005,HLOOKUP(R$2,Calculation!$M$4:$S$5,2,FALSE)+5,FALSE),"")</f>
        <v/>
      </c>
      <c r="S692" s="4" t="str">
        <f ca="1">IFERROR(VLOOKUP($L692,Calculation!$H$6:$S$1005,HLOOKUP(S$2,Calculation!$M$4:$S$5,2,FALSE)+5,FALSE),"")</f>
        <v/>
      </c>
      <c r="T692" s="29"/>
      <c r="U692" s="43" t="str">
        <f>IFERROR(VLOOKUP(T692,Calculation!$U$6:$V$11,2,FALSE),"")</f>
        <v/>
      </c>
    </row>
    <row r="693" spans="1:21" ht="14.25" customHeight="1" x14ac:dyDescent="0.3">
      <c r="A693" s="26" t="str">
        <f ca="1">IF(Calculation!T696&lt;=Calculation!$H$4,Calculation!T696,"")</f>
        <v/>
      </c>
      <c r="B693" s="4" t="str">
        <f ca="1">VLOOKUP(A693,Calculation!$E$6:$J$1004,4,FALSE)</f>
        <v/>
      </c>
      <c r="C693" s="4" t="str">
        <f ca="1">VLOOKUP(A693,Calculation!$E$6:$J$1004,5,FALSE)</f>
        <v/>
      </c>
      <c r="D693" s="4" t="str">
        <f ca="1">VLOOKUP(A693,Calculation!$E$6:$J$1004,6,FALSE)</f>
        <v/>
      </c>
      <c r="E693" s="42" t="str">
        <f t="shared" ca="1" si="4"/>
        <v/>
      </c>
      <c r="G693" s="29" t="str">
        <f ca="1">VLOOKUP(A693,Calculation!$F$6:$J$1004,3,FALSE)</f>
        <v/>
      </c>
      <c r="H693" s="4" t="str">
        <f ca="1">VLOOKUP(A693,Calculation!$F$6:$J$1004,4,FALSE)</f>
        <v/>
      </c>
      <c r="I693" s="4" t="str">
        <f ca="1">VLOOKUP(A693,Calculation!$F$6:$J$1004,5,FALSE)</f>
        <v/>
      </c>
      <c r="J693" s="43" t="str">
        <f t="shared" ca="1" si="5"/>
        <v/>
      </c>
      <c r="L693" s="29" t="str">
        <f ca="1">VLOOKUP(A693,Calculation!$G$6:$S$1004,2,FALSE)</f>
        <v/>
      </c>
      <c r="M693" s="4" t="str">
        <f ca="1">IFERROR(VLOOKUP($L693,Calculation!$H$6:$S$1005,HLOOKUP(M$2,Calculation!$M$4:$S$5,2,FALSE)+5,FALSE),"")</f>
        <v/>
      </c>
      <c r="N693" s="4" t="str">
        <f ca="1">IFERROR(VLOOKUP($L693,Calculation!$H$6:$S$1005,HLOOKUP(N$2,Calculation!$M$4:$S$5,2,FALSE)+5,FALSE),"")</f>
        <v/>
      </c>
      <c r="O693" s="4" t="str">
        <f ca="1">IFERROR(VLOOKUP($L693,Calculation!$H$6:$S$1005,HLOOKUP(O$2,Calculation!$M$4:$S$5,2,FALSE)+5,FALSE),"")</f>
        <v/>
      </c>
      <c r="P693" s="4" t="str">
        <f ca="1">IFERROR(VLOOKUP($L693,Calculation!$H$6:$S$1005,HLOOKUP(P$2,Calculation!$M$4:$S$5,2,FALSE)+5,FALSE),"")</f>
        <v/>
      </c>
      <c r="Q693" s="4" t="str">
        <f ca="1">IFERROR(VLOOKUP($L693,Calculation!$H$6:$S$1005,HLOOKUP(Q$2,Calculation!$M$4:$S$5,2,FALSE)+5,FALSE),"")</f>
        <v/>
      </c>
      <c r="R693" s="27" t="str">
        <f ca="1">IFERROR(VLOOKUP($L693,Calculation!$H$6:$S$1005,HLOOKUP(R$2,Calculation!$M$4:$S$5,2,FALSE)+5,FALSE),"")</f>
        <v/>
      </c>
      <c r="S693" s="4" t="str">
        <f ca="1">IFERROR(VLOOKUP($L693,Calculation!$H$6:$S$1005,HLOOKUP(S$2,Calculation!$M$4:$S$5,2,FALSE)+5,FALSE),"")</f>
        <v/>
      </c>
      <c r="T693" s="29"/>
      <c r="U693" s="43" t="str">
        <f>IFERROR(VLOOKUP(T693,Calculation!$U$6:$V$11,2,FALSE),"")</f>
        <v/>
      </c>
    </row>
    <row r="694" spans="1:21" ht="14.25" customHeight="1" x14ac:dyDescent="0.3">
      <c r="A694" s="26" t="str">
        <f ca="1">IF(Calculation!T697&lt;=Calculation!$H$4,Calculation!T697,"")</f>
        <v/>
      </c>
      <c r="B694" s="4" t="str">
        <f ca="1">VLOOKUP(A694,Calculation!$E$6:$J$1004,4,FALSE)</f>
        <v/>
      </c>
      <c r="C694" s="4" t="str">
        <f ca="1">VLOOKUP(A694,Calculation!$E$6:$J$1004,5,FALSE)</f>
        <v/>
      </c>
      <c r="D694" s="4" t="str">
        <f ca="1">VLOOKUP(A694,Calculation!$E$6:$J$1004,6,FALSE)</f>
        <v/>
      </c>
      <c r="E694" s="42" t="str">
        <f t="shared" ca="1" si="4"/>
        <v/>
      </c>
      <c r="G694" s="29" t="str">
        <f ca="1">VLOOKUP(A694,Calculation!$F$6:$J$1004,3,FALSE)</f>
        <v/>
      </c>
      <c r="H694" s="4" t="str">
        <f ca="1">VLOOKUP(A694,Calculation!$F$6:$J$1004,4,FALSE)</f>
        <v/>
      </c>
      <c r="I694" s="4" t="str">
        <f ca="1">VLOOKUP(A694,Calculation!$F$6:$J$1004,5,FALSE)</f>
        <v/>
      </c>
      <c r="J694" s="43" t="str">
        <f t="shared" ca="1" si="5"/>
        <v/>
      </c>
      <c r="L694" s="29" t="str">
        <f ca="1">VLOOKUP(A694,Calculation!$G$6:$S$1004,2,FALSE)</f>
        <v/>
      </c>
      <c r="M694" s="4" t="str">
        <f ca="1">IFERROR(VLOOKUP($L694,Calculation!$H$6:$S$1005,HLOOKUP(M$2,Calculation!$M$4:$S$5,2,FALSE)+5,FALSE),"")</f>
        <v/>
      </c>
      <c r="N694" s="4" t="str">
        <f ca="1">IFERROR(VLOOKUP($L694,Calculation!$H$6:$S$1005,HLOOKUP(N$2,Calculation!$M$4:$S$5,2,FALSE)+5,FALSE),"")</f>
        <v/>
      </c>
      <c r="O694" s="4" t="str">
        <f ca="1">IFERROR(VLOOKUP($L694,Calculation!$H$6:$S$1005,HLOOKUP(O$2,Calculation!$M$4:$S$5,2,FALSE)+5,FALSE),"")</f>
        <v/>
      </c>
      <c r="P694" s="4" t="str">
        <f ca="1">IFERROR(VLOOKUP($L694,Calculation!$H$6:$S$1005,HLOOKUP(P$2,Calculation!$M$4:$S$5,2,FALSE)+5,FALSE),"")</f>
        <v/>
      </c>
      <c r="Q694" s="4" t="str">
        <f ca="1">IFERROR(VLOOKUP($L694,Calculation!$H$6:$S$1005,HLOOKUP(Q$2,Calculation!$M$4:$S$5,2,FALSE)+5,FALSE),"")</f>
        <v/>
      </c>
      <c r="R694" s="27" t="str">
        <f ca="1">IFERROR(VLOOKUP($L694,Calculation!$H$6:$S$1005,HLOOKUP(R$2,Calculation!$M$4:$S$5,2,FALSE)+5,FALSE),"")</f>
        <v/>
      </c>
      <c r="S694" s="4" t="str">
        <f ca="1">IFERROR(VLOOKUP($L694,Calculation!$H$6:$S$1005,HLOOKUP(S$2,Calculation!$M$4:$S$5,2,FALSE)+5,FALSE),"")</f>
        <v/>
      </c>
      <c r="T694" s="29"/>
      <c r="U694" s="43" t="str">
        <f>IFERROR(VLOOKUP(T694,Calculation!$U$6:$V$11,2,FALSE),"")</f>
        <v/>
      </c>
    </row>
    <row r="695" spans="1:21" ht="14.25" customHeight="1" x14ac:dyDescent="0.3">
      <c r="A695" s="26" t="str">
        <f ca="1">IF(Calculation!T698&lt;=Calculation!$H$4,Calculation!T698,"")</f>
        <v/>
      </c>
      <c r="B695" s="4" t="str">
        <f ca="1">VLOOKUP(A695,Calculation!$E$6:$J$1004,4,FALSE)</f>
        <v/>
      </c>
      <c r="C695" s="4" t="str">
        <f ca="1">VLOOKUP(A695,Calculation!$E$6:$J$1004,5,FALSE)</f>
        <v/>
      </c>
      <c r="D695" s="4" t="str">
        <f ca="1">VLOOKUP(A695,Calculation!$E$6:$J$1004,6,FALSE)</f>
        <v/>
      </c>
      <c r="E695" s="42" t="str">
        <f t="shared" ca="1" si="4"/>
        <v/>
      </c>
      <c r="G695" s="29" t="str">
        <f ca="1">VLOOKUP(A695,Calculation!$F$6:$J$1004,3,FALSE)</f>
        <v/>
      </c>
      <c r="H695" s="4" t="str">
        <f ca="1">VLOOKUP(A695,Calculation!$F$6:$J$1004,4,FALSE)</f>
        <v/>
      </c>
      <c r="I695" s="4" t="str">
        <f ca="1">VLOOKUP(A695,Calculation!$F$6:$J$1004,5,FALSE)</f>
        <v/>
      </c>
      <c r="J695" s="43" t="str">
        <f t="shared" ca="1" si="5"/>
        <v/>
      </c>
      <c r="L695" s="29" t="str">
        <f ca="1">VLOOKUP(A695,Calculation!$G$6:$S$1004,2,FALSE)</f>
        <v/>
      </c>
      <c r="M695" s="4" t="str">
        <f ca="1">IFERROR(VLOOKUP($L695,Calculation!$H$6:$S$1005,HLOOKUP(M$2,Calculation!$M$4:$S$5,2,FALSE)+5,FALSE),"")</f>
        <v/>
      </c>
      <c r="N695" s="4" t="str">
        <f ca="1">IFERROR(VLOOKUP($L695,Calculation!$H$6:$S$1005,HLOOKUP(N$2,Calculation!$M$4:$S$5,2,FALSE)+5,FALSE),"")</f>
        <v/>
      </c>
      <c r="O695" s="4" t="str">
        <f ca="1">IFERROR(VLOOKUP($L695,Calculation!$H$6:$S$1005,HLOOKUP(O$2,Calculation!$M$4:$S$5,2,FALSE)+5,FALSE),"")</f>
        <v/>
      </c>
      <c r="P695" s="4" t="str">
        <f ca="1">IFERROR(VLOOKUP($L695,Calculation!$H$6:$S$1005,HLOOKUP(P$2,Calculation!$M$4:$S$5,2,FALSE)+5,FALSE),"")</f>
        <v/>
      </c>
      <c r="Q695" s="4" t="str">
        <f ca="1">IFERROR(VLOOKUP($L695,Calculation!$H$6:$S$1005,HLOOKUP(Q$2,Calculation!$M$4:$S$5,2,FALSE)+5,FALSE),"")</f>
        <v/>
      </c>
      <c r="R695" s="27" t="str">
        <f ca="1">IFERROR(VLOOKUP($L695,Calculation!$H$6:$S$1005,HLOOKUP(R$2,Calculation!$M$4:$S$5,2,FALSE)+5,FALSE),"")</f>
        <v/>
      </c>
      <c r="S695" s="4" t="str">
        <f ca="1">IFERROR(VLOOKUP($L695,Calculation!$H$6:$S$1005,HLOOKUP(S$2,Calculation!$M$4:$S$5,2,FALSE)+5,FALSE),"")</f>
        <v/>
      </c>
      <c r="T695" s="29"/>
      <c r="U695" s="43" t="str">
        <f>IFERROR(VLOOKUP(T695,Calculation!$U$6:$V$11,2,FALSE),"")</f>
        <v/>
      </c>
    </row>
    <row r="696" spans="1:21" ht="14.25" customHeight="1" x14ac:dyDescent="0.3">
      <c r="A696" s="26" t="str">
        <f ca="1">IF(Calculation!T699&lt;=Calculation!$H$4,Calculation!T699,"")</f>
        <v/>
      </c>
      <c r="B696" s="4" t="str">
        <f ca="1">VLOOKUP(A696,Calculation!$E$6:$J$1004,4,FALSE)</f>
        <v/>
      </c>
      <c r="C696" s="4" t="str">
        <f ca="1">VLOOKUP(A696,Calculation!$E$6:$J$1004,5,FALSE)</f>
        <v/>
      </c>
      <c r="D696" s="4" t="str">
        <f ca="1">VLOOKUP(A696,Calculation!$E$6:$J$1004,6,FALSE)</f>
        <v/>
      </c>
      <c r="E696" s="42" t="str">
        <f t="shared" ca="1" si="4"/>
        <v/>
      </c>
      <c r="G696" s="29" t="str">
        <f ca="1">VLOOKUP(A696,Calculation!$F$6:$J$1004,3,FALSE)</f>
        <v/>
      </c>
      <c r="H696" s="4" t="str">
        <f ca="1">VLOOKUP(A696,Calculation!$F$6:$J$1004,4,FALSE)</f>
        <v/>
      </c>
      <c r="I696" s="4" t="str">
        <f ca="1">VLOOKUP(A696,Calculation!$F$6:$J$1004,5,FALSE)</f>
        <v/>
      </c>
      <c r="J696" s="43" t="str">
        <f t="shared" ca="1" si="5"/>
        <v/>
      </c>
      <c r="L696" s="29" t="str">
        <f ca="1">VLOOKUP(A696,Calculation!$G$6:$S$1004,2,FALSE)</f>
        <v/>
      </c>
      <c r="M696" s="4" t="str">
        <f ca="1">IFERROR(VLOOKUP($L696,Calculation!$H$6:$S$1005,HLOOKUP(M$2,Calculation!$M$4:$S$5,2,FALSE)+5,FALSE),"")</f>
        <v/>
      </c>
      <c r="N696" s="4" t="str">
        <f ca="1">IFERROR(VLOOKUP($L696,Calculation!$H$6:$S$1005,HLOOKUP(N$2,Calculation!$M$4:$S$5,2,FALSE)+5,FALSE),"")</f>
        <v/>
      </c>
      <c r="O696" s="4" t="str">
        <f ca="1">IFERROR(VLOOKUP($L696,Calculation!$H$6:$S$1005,HLOOKUP(O$2,Calculation!$M$4:$S$5,2,FALSE)+5,FALSE),"")</f>
        <v/>
      </c>
      <c r="P696" s="4" t="str">
        <f ca="1">IFERROR(VLOOKUP($L696,Calculation!$H$6:$S$1005,HLOOKUP(P$2,Calculation!$M$4:$S$5,2,FALSE)+5,FALSE),"")</f>
        <v/>
      </c>
      <c r="Q696" s="4" t="str">
        <f ca="1">IFERROR(VLOOKUP($L696,Calculation!$H$6:$S$1005,HLOOKUP(Q$2,Calculation!$M$4:$S$5,2,FALSE)+5,FALSE),"")</f>
        <v/>
      </c>
      <c r="R696" s="27" t="str">
        <f ca="1">IFERROR(VLOOKUP($L696,Calculation!$H$6:$S$1005,HLOOKUP(R$2,Calculation!$M$4:$S$5,2,FALSE)+5,FALSE),"")</f>
        <v/>
      </c>
      <c r="S696" s="4" t="str">
        <f ca="1">IFERROR(VLOOKUP($L696,Calculation!$H$6:$S$1005,HLOOKUP(S$2,Calculation!$M$4:$S$5,2,FALSE)+5,FALSE),"")</f>
        <v/>
      </c>
      <c r="T696" s="29"/>
      <c r="U696" s="43" t="str">
        <f>IFERROR(VLOOKUP(T696,Calculation!$U$6:$V$11,2,FALSE),"")</f>
        <v/>
      </c>
    </row>
    <row r="697" spans="1:21" ht="14.25" customHeight="1" x14ac:dyDescent="0.3">
      <c r="A697" s="26" t="str">
        <f ca="1">IF(Calculation!T700&lt;=Calculation!$H$4,Calculation!T700,"")</f>
        <v/>
      </c>
      <c r="B697" s="4" t="str">
        <f ca="1">VLOOKUP(A697,Calculation!$E$6:$J$1004,4,FALSE)</f>
        <v/>
      </c>
      <c r="C697" s="4" t="str">
        <f ca="1">VLOOKUP(A697,Calculation!$E$6:$J$1004,5,FALSE)</f>
        <v/>
      </c>
      <c r="D697" s="4" t="str">
        <f ca="1">VLOOKUP(A697,Calculation!$E$6:$J$1004,6,FALSE)</f>
        <v/>
      </c>
      <c r="E697" s="42" t="str">
        <f t="shared" ca="1" si="4"/>
        <v/>
      </c>
      <c r="G697" s="29" t="str">
        <f ca="1">VLOOKUP(A697,Calculation!$F$6:$J$1004,3,FALSE)</f>
        <v/>
      </c>
      <c r="H697" s="4" t="str">
        <f ca="1">VLOOKUP(A697,Calculation!$F$6:$J$1004,4,FALSE)</f>
        <v/>
      </c>
      <c r="I697" s="4" t="str">
        <f ca="1">VLOOKUP(A697,Calculation!$F$6:$J$1004,5,FALSE)</f>
        <v/>
      </c>
      <c r="J697" s="43" t="str">
        <f t="shared" ca="1" si="5"/>
        <v/>
      </c>
      <c r="L697" s="29" t="str">
        <f ca="1">VLOOKUP(A697,Calculation!$G$6:$S$1004,2,FALSE)</f>
        <v/>
      </c>
      <c r="M697" s="4" t="str">
        <f ca="1">IFERROR(VLOOKUP($L697,Calculation!$H$6:$S$1005,HLOOKUP(M$2,Calculation!$M$4:$S$5,2,FALSE)+5,FALSE),"")</f>
        <v/>
      </c>
      <c r="N697" s="4" t="str">
        <f ca="1">IFERROR(VLOOKUP($L697,Calculation!$H$6:$S$1005,HLOOKUP(N$2,Calculation!$M$4:$S$5,2,FALSE)+5,FALSE),"")</f>
        <v/>
      </c>
      <c r="O697" s="4" t="str">
        <f ca="1">IFERROR(VLOOKUP($L697,Calculation!$H$6:$S$1005,HLOOKUP(O$2,Calculation!$M$4:$S$5,2,FALSE)+5,FALSE),"")</f>
        <v/>
      </c>
      <c r="P697" s="4" t="str">
        <f ca="1">IFERROR(VLOOKUP($L697,Calculation!$H$6:$S$1005,HLOOKUP(P$2,Calculation!$M$4:$S$5,2,FALSE)+5,FALSE),"")</f>
        <v/>
      </c>
      <c r="Q697" s="4" t="str">
        <f ca="1">IFERROR(VLOOKUP($L697,Calculation!$H$6:$S$1005,HLOOKUP(Q$2,Calculation!$M$4:$S$5,2,FALSE)+5,FALSE),"")</f>
        <v/>
      </c>
      <c r="R697" s="27" t="str">
        <f ca="1">IFERROR(VLOOKUP($L697,Calculation!$H$6:$S$1005,HLOOKUP(R$2,Calculation!$M$4:$S$5,2,FALSE)+5,FALSE),"")</f>
        <v/>
      </c>
      <c r="S697" s="4" t="str">
        <f ca="1">IFERROR(VLOOKUP($L697,Calculation!$H$6:$S$1005,HLOOKUP(S$2,Calculation!$M$4:$S$5,2,FALSE)+5,FALSE),"")</f>
        <v/>
      </c>
      <c r="T697" s="29"/>
      <c r="U697" s="43" t="str">
        <f>IFERROR(VLOOKUP(T697,Calculation!$U$6:$V$11,2,FALSE),"")</f>
        <v/>
      </c>
    </row>
    <row r="698" spans="1:21" ht="14.25" customHeight="1" x14ac:dyDescent="0.3">
      <c r="A698" s="26" t="str">
        <f ca="1">IF(Calculation!T701&lt;=Calculation!$H$4,Calculation!T701,"")</f>
        <v/>
      </c>
      <c r="B698" s="4" t="str">
        <f ca="1">VLOOKUP(A698,Calculation!$E$6:$J$1004,4,FALSE)</f>
        <v/>
      </c>
      <c r="C698" s="4" t="str">
        <f ca="1">VLOOKUP(A698,Calculation!$E$6:$J$1004,5,FALSE)</f>
        <v/>
      </c>
      <c r="D698" s="4" t="str">
        <f ca="1">VLOOKUP(A698,Calculation!$E$6:$J$1004,6,FALSE)</f>
        <v/>
      </c>
      <c r="E698" s="42" t="str">
        <f t="shared" ca="1" si="4"/>
        <v/>
      </c>
      <c r="G698" s="29" t="str">
        <f ca="1">VLOOKUP(A698,Calculation!$F$6:$J$1004,3,FALSE)</f>
        <v/>
      </c>
      <c r="H698" s="4" t="str">
        <f ca="1">VLOOKUP(A698,Calculation!$F$6:$J$1004,4,FALSE)</f>
        <v/>
      </c>
      <c r="I698" s="4" t="str">
        <f ca="1">VLOOKUP(A698,Calculation!$F$6:$J$1004,5,FALSE)</f>
        <v/>
      </c>
      <c r="J698" s="43" t="str">
        <f t="shared" ca="1" si="5"/>
        <v/>
      </c>
      <c r="L698" s="29" t="str">
        <f ca="1">VLOOKUP(A698,Calculation!$G$6:$S$1004,2,FALSE)</f>
        <v/>
      </c>
      <c r="M698" s="4" t="str">
        <f ca="1">IFERROR(VLOOKUP($L698,Calculation!$H$6:$S$1005,HLOOKUP(M$2,Calculation!$M$4:$S$5,2,FALSE)+5,FALSE),"")</f>
        <v/>
      </c>
      <c r="N698" s="4" t="str">
        <f ca="1">IFERROR(VLOOKUP($L698,Calculation!$H$6:$S$1005,HLOOKUP(N$2,Calculation!$M$4:$S$5,2,FALSE)+5,FALSE),"")</f>
        <v/>
      </c>
      <c r="O698" s="4" t="str">
        <f ca="1">IFERROR(VLOOKUP($L698,Calculation!$H$6:$S$1005,HLOOKUP(O$2,Calculation!$M$4:$S$5,2,FALSE)+5,FALSE),"")</f>
        <v/>
      </c>
      <c r="P698" s="4" t="str">
        <f ca="1">IFERROR(VLOOKUP($L698,Calculation!$H$6:$S$1005,HLOOKUP(P$2,Calculation!$M$4:$S$5,2,FALSE)+5,FALSE),"")</f>
        <v/>
      </c>
      <c r="Q698" s="4" t="str">
        <f ca="1">IFERROR(VLOOKUP($L698,Calculation!$H$6:$S$1005,HLOOKUP(Q$2,Calculation!$M$4:$S$5,2,FALSE)+5,FALSE),"")</f>
        <v/>
      </c>
      <c r="R698" s="27" t="str">
        <f ca="1">IFERROR(VLOOKUP($L698,Calculation!$H$6:$S$1005,HLOOKUP(R$2,Calculation!$M$4:$S$5,2,FALSE)+5,FALSE),"")</f>
        <v/>
      </c>
      <c r="S698" s="4" t="str">
        <f ca="1">IFERROR(VLOOKUP($L698,Calculation!$H$6:$S$1005,HLOOKUP(S$2,Calculation!$M$4:$S$5,2,FALSE)+5,FALSE),"")</f>
        <v/>
      </c>
      <c r="T698" s="29"/>
      <c r="U698" s="43" t="str">
        <f>IFERROR(VLOOKUP(T698,Calculation!$U$6:$V$11,2,FALSE),"")</f>
        <v/>
      </c>
    </row>
    <row r="699" spans="1:21" ht="14.25" customHeight="1" x14ac:dyDescent="0.3">
      <c r="A699" s="26" t="str">
        <f ca="1">IF(Calculation!T702&lt;=Calculation!$H$4,Calculation!T702,"")</f>
        <v/>
      </c>
      <c r="B699" s="4" t="str">
        <f ca="1">VLOOKUP(A699,Calculation!$E$6:$J$1004,4,FALSE)</f>
        <v/>
      </c>
      <c r="C699" s="4" t="str">
        <f ca="1">VLOOKUP(A699,Calculation!$E$6:$J$1004,5,FALSE)</f>
        <v/>
      </c>
      <c r="D699" s="4" t="str">
        <f ca="1">VLOOKUP(A699,Calculation!$E$6:$J$1004,6,FALSE)</f>
        <v/>
      </c>
      <c r="E699" s="42" t="str">
        <f t="shared" ca="1" si="4"/>
        <v/>
      </c>
      <c r="G699" s="29" t="str">
        <f ca="1">VLOOKUP(A699,Calculation!$F$6:$J$1004,3,FALSE)</f>
        <v/>
      </c>
      <c r="H699" s="4" t="str">
        <f ca="1">VLOOKUP(A699,Calculation!$F$6:$J$1004,4,FALSE)</f>
        <v/>
      </c>
      <c r="I699" s="4" t="str">
        <f ca="1">VLOOKUP(A699,Calculation!$F$6:$J$1004,5,FALSE)</f>
        <v/>
      </c>
      <c r="J699" s="43" t="str">
        <f t="shared" ca="1" si="5"/>
        <v/>
      </c>
      <c r="L699" s="29" t="str">
        <f ca="1">VLOOKUP(A699,Calculation!$G$6:$S$1004,2,FALSE)</f>
        <v/>
      </c>
      <c r="M699" s="4" t="str">
        <f ca="1">IFERROR(VLOOKUP($L699,Calculation!$H$6:$S$1005,HLOOKUP(M$2,Calculation!$M$4:$S$5,2,FALSE)+5,FALSE),"")</f>
        <v/>
      </c>
      <c r="N699" s="4" t="str">
        <f ca="1">IFERROR(VLOOKUP($L699,Calculation!$H$6:$S$1005,HLOOKUP(N$2,Calculation!$M$4:$S$5,2,FALSE)+5,FALSE),"")</f>
        <v/>
      </c>
      <c r="O699" s="4" t="str">
        <f ca="1">IFERROR(VLOOKUP($L699,Calculation!$H$6:$S$1005,HLOOKUP(O$2,Calculation!$M$4:$S$5,2,FALSE)+5,FALSE),"")</f>
        <v/>
      </c>
      <c r="P699" s="4" t="str">
        <f ca="1">IFERROR(VLOOKUP($L699,Calculation!$H$6:$S$1005,HLOOKUP(P$2,Calculation!$M$4:$S$5,2,FALSE)+5,FALSE),"")</f>
        <v/>
      </c>
      <c r="Q699" s="4" t="str">
        <f ca="1">IFERROR(VLOOKUP($L699,Calculation!$H$6:$S$1005,HLOOKUP(Q$2,Calculation!$M$4:$S$5,2,FALSE)+5,FALSE),"")</f>
        <v/>
      </c>
      <c r="R699" s="27" t="str">
        <f ca="1">IFERROR(VLOOKUP($L699,Calculation!$H$6:$S$1005,HLOOKUP(R$2,Calculation!$M$4:$S$5,2,FALSE)+5,FALSE),"")</f>
        <v/>
      </c>
      <c r="S699" s="4" t="str">
        <f ca="1">IFERROR(VLOOKUP($L699,Calculation!$H$6:$S$1005,HLOOKUP(S$2,Calculation!$M$4:$S$5,2,FALSE)+5,FALSE),"")</f>
        <v/>
      </c>
      <c r="T699" s="29"/>
      <c r="U699" s="43" t="str">
        <f>IFERROR(VLOOKUP(T699,Calculation!$U$6:$V$11,2,FALSE),"")</f>
        <v/>
      </c>
    </row>
    <row r="700" spans="1:21" ht="14.25" customHeight="1" x14ac:dyDescent="0.3">
      <c r="A700" s="26" t="str">
        <f ca="1">IF(Calculation!T703&lt;=Calculation!$H$4,Calculation!T703,"")</f>
        <v/>
      </c>
      <c r="B700" s="4" t="str">
        <f ca="1">VLOOKUP(A700,Calculation!$E$6:$J$1004,4,FALSE)</f>
        <v/>
      </c>
      <c r="C700" s="4" t="str">
        <f ca="1">VLOOKUP(A700,Calculation!$E$6:$J$1004,5,FALSE)</f>
        <v/>
      </c>
      <c r="D700" s="4" t="str">
        <f ca="1">VLOOKUP(A700,Calculation!$E$6:$J$1004,6,FALSE)</f>
        <v/>
      </c>
      <c r="E700" s="42" t="str">
        <f t="shared" ca="1" si="4"/>
        <v/>
      </c>
      <c r="G700" s="29" t="str">
        <f ca="1">VLOOKUP(A700,Calculation!$F$6:$J$1004,3,FALSE)</f>
        <v/>
      </c>
      <c r="H700" s="4" t="str">
        <f ca="1">VLOOKUP(A700,Calculation!$F$6:$J$1004,4,FALSE)</f>
        <v/>
      </c>
      <c r="I700" s="4" t="str">
        <f ca="1">VLOOKUP(A700,Calculation!$F$6:$J$1004,5,FALSE)</f>
        <v/>
      </c>
      <c r="J700" s="43" t="str">
        <f t="shared" ca="1" si="5"/>
        <v/>
      </c>
      <c r="L700" s="29" t="str">
        <f ca="1">VLOOKUP(A700,Calculation!$G$6:$S$1004,2,FALSE)</f>
        <v/>
      </c>
      <c r="M700" s="4" t="str">
        <f ca="1">IFERROR(VLOOKUP($L700,Calculation!$H$6:$S$1005,HLOOKUP(M$2,Calculation!$M$4:$S$5,2,FALSE)+5,FALSE),"")</f>
        <v/>
      </c>
      <c r="N700" s="4" t="str">
        <f ca="1">IFERROR(VLOOKUP($L700,Calculation!$H$6:$S$1005,HLOOKUP(N$2,Calculation!$M$4:$S$5,2,FALSE)+5,FALSE),"")</f>
        <v/>
      </c>
      <c r="O700" s="4" t="str">
        <f ca="1">IFERROR(VLOOKUP($L700,Calculation!$H$6:$S$1005,HLOOKUP(O$2,Calculation!$M$4:$S$5,2,FALSE)+5,FALSE),"")</f>
        <v/>
      </c>
      <c r="P700" s="4" t="str">
        <f ca="1">IFERROR(VLOOKUP($L700,Calculation!$H$6:$S$1005,HLOOKUP(P$2,Calculation!$M$4:$S$5,2,FALSE)+5,FALSE),"")</f>
        <v/>
      </c>
      <c r="Q700" s="4" t="str">
        <f ca="1">IFERROR(VLOOKUP($L700,Calculation!$H$6:$S$1005,HLOOKUP(Q$2,Calculation!$M$4:$S$5,2,FALSE)+5,FALSE),"")</f>
        <v/>
      </c>
      <c r="R700" s="27" t="str">
        <f ca="1">IFERROR(VLOOKUP($L700,Calculation!$H$6:$S$1005,HLOOKUP(R$2,Calculation!$M$4:$S$5,2,FALSE)+5,FALSE),"")</f>
        <v/>
      </c>
      <c r="S700" s="4" t="str">
        <f ca="1">IFERROR(VLOOKUP($L700,Calculation!$H$6:$S$1005,HLOOKUP(S$2,Calculation!$M$4:$S$5,2,FALSE)+5,FALSE),"")</f>
        <v/>
      </c>
      <c r="T700" s="29"/>
      <c r="U700" s="43" t="str">
        <f>IFERROR(VLOOKUP(T700,Calculation!$U$6:$V$11,2,FALSE),"")</f>
        <v/>
      </c>
    </row>
    <row r="701" spans="1:21" ht="14.25" customHeight="1" x14ac:dyDescent="0.3">
      <c r="A701" s="26" t="str">
        <f ca="1">IF(Calculation!T704&lt;=Calculation!$H$4,Calculation!T704,"")</f>
        <v/>
      </c>
      <c r="B701" s="4" t="str">
        <f ca="1">VLOOKUP(A701,Calculation!$E$6:$J$1004,4,FALSE)</f>
        <v/>
      </c>
      <c r="C701" s="4" t="str">
        <f ca="1">VLOOKUP(A701,Calculation!$E$6:$J$1004,5,FALSE)</f>
        <v/>
      </c>
      <c r="D701" s="4" t="str">
        <f ca="1">VLOOKUP(A701,Calculation!$E$6:$J$1004,6,FALSE)</f>
        <v/>
      </c>
      <c r="E701" s="42" t="str">
        <f t="shared" ca="1" si="4"/>
        <v/>
      </c>
      <c r="G701" s="29" t="str">
        <f ca="1">VLOOKUP(A701,Calculation!$F$6:$J$1004,3,FALSE)</f>
        <v/>
      </c>
      <c r="H701" s="4" t="str">
        <f ca="1">VLOOKUP(A701,Calculation!$F$6:$J$1004,4,FALSE)</f>
        <v/>
      </c>
      <c r="I701" s="4" t="str">
        <f ca="1">VLOOKUP(A701,Calculation!$F$6:$J$1004,5,FALSE)</f>
        <v/>
      </c>
      <c r="J701" s="43" t="str">
        <f t="shared" ca="1" si="5"/>
        <v/>
      </c>
      <c r="L701" s="29" t="str">
        <f ca="1">VLOOKUP(A701,Calculation!$G$6:$S$1004,2,FALSE)</f>
        <v/>
      </c>
      <c r="M701" s="4" t="str">
        <f ca="1">IFERROR(VLOOKUP($L701,Calculation!$H$6:$S$1005,HLOOKUP(M$2,Calculation!$M$4:$S$5,2,FALSE)+5,FALSE),"")</f>
        <v/>
      </c>
      <c r="N701" s="4" t="str">
        <f ca="1">IFERROR(VLOOKUP($L701,Calculation!$H$6:$S$1005,HLOOKUP(N$2,Calculation!$M$4:$S$5,2,FALSE)+5,FALSE),"")</f>
        <v/>
      </c>
      <c r="O701" s="4" t="str">
        <f ca="1">IFERROR(VLOOKUP($L701,Calculation!$H$6:$S$1005,HLOOKUP(O$2,Calculation!$M$4:$S$5,2,FALSE)+5,FALSE),"")</f>
        <v/>
      </c>
      <c r="P701" s="4" t="str">
        <f ca="1">IFERROR(VLOOKUP($L701,Calculation!$H$6:$S$1005,HLOOKUP(P$2,Calculation!$M$4:$S$5,2,FALSE)+5,FALSE),"")</f>
        <v/>
      </c>
      <c r="Q701" s="4" t="str">
        <f ca="1">IFERROR(VLOOKUP($L701,Calculation!$H$6:$S$1005,HLOOKUP(Q$2,Calculation!$M$4:$S$5,2,FALSE)+5,FALSE),"")</f>
        <v/>
      </c>
      <c r="R701" s="27" t="str">
        <f ca="1">IFERROR(VLOOKUP($L701,Calculation!$H$6:$S$1005,HLOOKUP(R$2,Calculation!$M$4:$S$5,2,FALSE)+5,FALSE),"")</f>
        <v/>
      </c>
      <c r="S701" s="4" t="str">
        <f ca="1">IFERROR(VLOOKUP($L701,Calculation!$H$6:$S$1005,HLOOKUP(S$2,Calculation!$M$4:$S$5,2,FALSE)+5,FALSE),"")</f>
        <v/>
      </c>
      <c r="T701" s="29"/>
      <c r="U701" s="43" t="str">
        <f>IFERROR(VLOOKUP(T701,Calculation!$U$6:$V$11,2,FALSE),"")</f>
        <v/>
      </c>
    </row>
    <row r="702" spans="1:21" ht="14.25" customHeight="1" x14ac:dyDescent="0.3">
      <c r="A702" s="26" t="str">
        <f ca="1">IF(Calculation!T705&lt;=Calculation!$H$4,Calculation!T705,"")</f>
        <v/>
      </c>
      <c r="B702" s="4" t="str">
        <f ca="1">VLOOKUP(A702,Calculation!$E$6:$J$1004,4,FALSE)</f>
        <v/>
      </c>
      <c r="C702" s="4" t="str">
        <f ca="1">VLOOKUP(A702,Calculation!$E$6:$J$1004,5,FALSE)</f>
        <v/>
      </c>
      <c r="D702" s="4" t="str">
        <f ca="1">VLOOKUP(A702,Calculation!$E$6:$J$1004,6,FALSE)</f>
        <v/>
      </c>
      <c r="E702" s="42" t="str">
        <f t="shared" ca="1" si="4"/>
        <v/>
      </c>
      <c r="G702" s="29" t="str">
        <f ca="1">VLOOKUP(A702,Calculation!$F$6:$J$1004,3,FALSE)</f>
        <v/>
      </c>
      <c r="H702" s="4" t="str">
        <f ca="1">VLOOKUP(A702,Calculation!$F$6:$J$1004,4,FALSE)</f>
        <v/>
      </c>
      <c r="I702" s="4" t="str">
        <f ca="1">VLOOKUP(A702,Calculation!$F$6:$J$1004,5,FALSE)</f>
        <v/>
      </c>
      <c r="J702" s="43" t="str">
        <f t="shared" ca="1" si="5"/>
        <v/>
      </c>
      <c r="L702" s="29" t="str">
        <f ca="1">VLOOKUP(A702,Calculation!$G$6:$S$1004,2,FALSE)</f>
        <v/>
      </c>
      <c r="M702" s="4" t="str">
        <f ca="1">IFERROR(VLOOKUP($L702,Calculation!$H$6:$S$1005,HLOOKUP(M$2,Calculation!$M$4:$S$5,2,FALSE)+5,FALSE),"")</f>
        <v/>
      </c>
      <c r="N702" s="4" t="str">
        <f ca="1">IFERROR(VLOOKUP($L702,Calculation!$H$6:$S$1005,HLOOKUP(N$2,Calculation!$M$4:$S$5,2,FALSE)+5,FALSE),"")</f>
        <v/>
      </c>
      <c r="O702" s="4" t="str">
        <f ca="1">IFERROR(VLOOKUP($L702,Calculation!$H$6:$S$1005,HLOOKUP(O$2,Calculation!$M$4:$S$5,2,FALSE)+5,FALSE),"")</f>
        <v/>
      </c>
      <c r="P702" s="4" t="str">
        <f ca="1">IFERROR(VLOOKUP($L702,Calculation!$H$6:$S$1005,HLOOKUP(P$2,Calculation!$M$4:$S$5,2,FALSE)+5,FALSE),"")</f>
        <v/>
      </c>
      <c r="Q702" s="4" t="str">
        <f ca="1">IFERROR(VLOOKUP($L702,Calculation!$H$6:$S$1005,HLOOKUP(Q$2,Calculation!$M$4:$S$5,2,FALSE)+5,FALSE),"")</f>
        <v/>
      </c>
      <c r="R702" s="27" t="str">
        <f ca="1">IFERROR(VLOOKUP($L702,Calculation!$H$6:$S$1005,HLOOKUP(R$2,Calculation!$M$4:$S$5,2,FALSE)+5,FALSE),"")</f>
        <v/>
      </c>
      <c r="S702" s="4" t="str">
        <f ca="1">IFERROR(VLOOKUP($L702,Calculation!$H$6:$S$1005,HLOOKUP(S$2,Calculation!$M$4:$S$5,2,FALSE)+5,FALSE),"")</f>
        <v/>
      </c>
      <c r="T702" s="29"/>
      <c r="U702" s="43" t="str">
        <f>IFERROR(VLOOKUP(T702,Calculation!$U$6:$V$11,2,FALSE),"")</f>
        <v/>
      </c>
    </row>
    <row r="703" spans="1:21" ht="14.25" customHeight="1" x14ac:dyDescent="0.3">
      <c r="A703" s="26" t="str">
        <f ca="1">IF(Calculation!T706&lt;=Calculation!$H$4,Calculation!T706,"")</f>
        <v/>
      </c>
      <c r="B703" s="4" t="str">
        <f ca="1">VLOOKUP(A703,Calculation!$E$6:$J$1004,4,FALSE)</f>
        <v/>
      </c>
      <c r="C703" s="4" t="str">
        <f ca="1">VLOOKUP(A703,Calculation!$E$6:$J$1004,5,FALSE)</f>
        <v/>
      </c>
      <c r="D703" s="4" t="str">
        <f ca="1">VLOOKUP(A703,Calculation!$E$6:$J$1004,6,FALSE)</f>
        <v/>
      </c>
      <c r="E703" s="42" t="str">
        <f t="shared" ca="1" si="4"/>
        <v/>
      </c>
      <c r="G703" s="29" t="str">
        <f ca="1">VLOOKUP(A703,Calculation!$F$6:$J$1004,3,FALSE)</f>
        <v/>
      </c>
      <c r="H703" s="4" t="str">
        <f ca="1">VLOOKUP(A703,Calculation!$F$6:$J$1004,4,FALSE)</f>
        <v/>
      </c>
      <c r="I703" s="4" t="str">
        <f ca="1">VLOOKUP(A703,Calculation!$F$6:$J$1004,5,FALSE)</f>
        <v/>
      </c>
      <c r="J703" s="43" t="str">
        <f t="shared" ca="1" si="5"/>
        <v/>
      </c>
      <c r="L703" s="29" t="str">
        <f ca="1">VLOOKUP(A703,Calculation!$G$6:$S$1004,2,FALSE)</f>
        <v/>
      </c>
      <c r="M703" s="4" t="str">
        <f ca="1">IFERROR(VLOOKUP($L703,Calculation!$H$6:$S$1005,HLOOKUP(M$2,Calculation!$M$4:$S$5,2,FALSE)+5,FALSE),"")</f>
        <v/>
      </c>
      <c r="N703" s="4" t="str">
        <f ca="1">IFERROR(VLOOKUP($L703,Calculation!$H$6:$S$1005,HLOOKUP(N$2,Calculation!$M$4:$S$5,2,FALSE)+5,FALSE),"")</f>
        <v/>
      </c>
      <c r="O703" s="4" t="str">
        <f ca="1">IFERROR(VLOOKUP($L703,Calculation!$H$6:$S$1005,HLOOKUP(O$2,Calculation!$M$4:$S$5,2,FALSE)+5,FALSE),"")</f>
        <v/>
      </c>
      <c r="P703" s="4" t="str">
        <f ca="1">IFERROR(VLOOKUP($L703,Calculation!$H$6:$S$1005,HLOOKUP(P$2,Calculation!$M$4:$S$5,2,FALSE)+5,FALSE),"")</f>
        <v/>
      </c>
      <c r="Q703" s="4" t="str">
        <f ca="1">IFERROR(VLOOKUP($L703,Calculation!$H$6:$S$1005,HLOOKUP(Q$2,Calculation!$M$4:$S$5,2,FALSE)+5,FALSE),"")</f>
        <v/>
      </c>
      <c r="R703" s="27" t="str">
        <f ca="1">IFERROR(VLOOKUP($L703,Calculation!$H$6:$S$1005,HLOOKUP(R$2,Calculation!$M$4:$S$5,2,FALSE)+5,FALSE),"")</f>
        <v/>
      </c>
      <c r="S703" s="4" t="str">
        <f ca="1">IFERROR(VLOOKUP($L703,Calculation!$H$6:$S$1005,HLOOKUP(S$2,Calculation!$M$4:$S$5,2,FALSE)+5,FALSE),"")</f>
        <v/>
      </c>
      <c r="T703" s="29"/>
      <c r="U703" s="43" t="str">
        <f>IFERROR(VLOOKUP(T703,Calculation!$U$6:$V$11,2,FALSE),"")</f>
        <v/>
      </c>
    </row>
    <row r="704" spans="1:21" ht="14.25" customHeight="1" x14ac:dyDescent="0.3">
      <c r="A704" s="26" t="str">
        <f ca="1">IF(Calculation!T707&lt;=Calculation!$H$4,Calculation!T707,"")</f>
        <v/>
      </c>
      <c r="B704" s="4" t="str">
        <f ca="1">VLOOKUP(A704,Calculation!$E$6:$J$1004,4,FALSE)</f>
        <v/>
      </c>
      <c r="C704" s="4" t="str">
        <f ca="1">VLOOKUP(A704,Calculation!$E$6:$J$1004,5,FALSE)</f>
        <v/>
      </c>
      <c r="D704" s="4" t="str">
        <f ca="1">VLOOKUP(A704,Calculation!$E$6:$J$1004,6,FALSE)</f>
        <v/>
      </c>
      <c r="E704" s="42" t="str">
        <f t="shared" ca="1" si="4"/>
        <v/>
      </c>
      <c r="G704" s="29" t="str">
        <f ca="1">VLOOKUP(A704,Calculation!$F$6:$J$1004,3,FALSE)</f>
        <v/>
      </c>
      <c r="H704" s="4" t="str">
        <f ca="1">VLOOKUP(A704,Calculation!$F$6:$J$1004,4,FALSE)</f>
        <v/>
      </c>
      <c r="I704" s="4" t="str">
        <f ca="1">VLOOKUP(A704,Calculation!$F$6:$J$1004,5,FALSE)</f>
        <v/>
      </c>
      <c r="J704" s="43" t="str">
        <f t="shared" ca="1" si="5"/>
        <v/>
      </c>
      <c r="L704" s="29" t="str">
        <f ca="1">VLOOKUP(A704,Calculation!$G$6:$S$1004,2,FALSE)</f>
        <v/>
      </c>
      <c r="M704" s="4" t="str">
        <f ca="1">IFERROR(VLOOKUP($L704,Calculation!$H$6:$S$1005,HLOOKUP(M$2,Calculation!$M$4:$S$5,2,FALSE)+5,FALSE),"")</f>
        <v/>
      </c>
      <c r="N704" s="4" t="str">
        <f ca="1">IFERROR(VLOOKUP($L704,Calculation!$H$6:$S$1005,HLOOKUP(N$2,Calculation!$M$4:$S$5,2,FALSE)+5,FALSE),"")</f>
        <v/>
      </c>
      <c r="O704" s="4" t="str">
        <f ca="1">IFERROR(VLOOKUP($L704,Calculation!$H$6:$S$1005,HLOOKUP(O$2,Calculation!$M$4:$S$5,2,FALSE)+5,FALSE),"")</f>
        <v/>
      </c>
      <c r="P704" s="4" t="str">
        <f ca="1">IFERROR(VLOOKUP($L704,Calculation!$H$6:$S$1005,HLOOKUP(P$2,Calculation!$M$4:$S$5,2,FALSE)+5,FALSE),"")</f>
        <v/>
      </c>
      <c r="Q704" s="4" t="str">
        <f ca="1">IFERROR(VLOOKUP($L704,Calculation!$H$6:$S$1005,HLOOKUP(Q$2,Calculation!$M$4:$S$5,2,FALSE)+5,FALSE),"")</f>
        <v/>
      </c>
      <c r="R704" s="27" t="str">
        <f ca="1">IFERROR(VLOOKUP($L704,Calculation!$H$6:$S$1005,HLOOKUP(R$2,Calculation!$M$4:$S$5,2,FALSE)+5,FALSE),"")</f>
        <v/>
      </c>
      <c r="S704" s="4" t="str">
        <f ca="1">IFERROR(VLOOKUP($L704,Calculation!$H$6:$S$1005,HLOOKUP(S$2,Calculation!$M$4:$S$5,2,FALSE)+5,FALSE),"")</f>
        <v/>
      </c>
      <c r="T704" s="29"/>
      <c r="U704" s="43" t="str">
        <f>IFERROR(VLOOKUP(T704,Calculation!$U$6:$V$11,2,FALSE),"")</f>
        <v/>
      </c>
    </row>
    <row r="705" spans="1:21" ht="14.25" customHeight="1" x14ac:dyDescent="0.3">
      <c r="A705" s="26" t="str">
        <f ca="1">IF(Calculation!T708&lt;=Calculation!$H$4,Calculation!T708,"")</f>
        <v/>
      </c>
      <c r="B705" s="4" t="str">
        <f ca="1">VLOOKUP(A705,Calculation!$E$6:$J$1004,4,FALSE)</f>
        <v/>
      </c>
      <c r="C705" s="4" t="str">
        <f ca="1">VLOOKUP(A705,Calculation!$E$6:$J$1004,5,FALSE)</f>
        <v/>
      </c>
      <c r="D705" s="4" t="str">
        <f ca="1">VLOOKUP(A705,Calculation!$E$6:$J$1004,6,FALSE)</f>
        <v/>
      </c>
      <c r="E705" s="42" t="str">
        <f t="shared" ca="1" si="4"/>
        <v/>
      </c>
      <c r="G705" s="29" t="str">
        <f ca="1">VLOOKUP(A705,Calculation!$F$6:$J$1004,3,FALSE)</f>
        <v/>
      </c>
      <c r="H705" s="4" t="str">
        <f ca="1">VLOOKUP(A705,Calculation!$F$6:$J$1004,4,FALSE)</f>
        <v/>
      </c>
      <c r="I705" s="4" t="str">
        <f ca="1">VLOOKUP(A705,Calculation!$F$6:$J$1004,5,FALSE)</f>
        <v/>
      </c>
      <c r="J705" s="43" t="str">
        <f t="shared" ca="1" si="5"/>
        <v/>
      </c>
      <c r="L705" s="29" t="str">
        <f ca="1">VLOOKUP(A705,Calculation!$G$6:$S$1004,2,FALSE)</f>
        <v/>
      </c>
      <c r="M705" s="4" t="str">
        <f ca="1">IFERROR(VLOOKUP($L705,Calculation!$H$6:$S$1005,HLOOKUP(M$2,Calculation!$M$4:$S$5,2,FALSE)+5,FALSE),"")</f>
        <v/>
      </c>
      <c r="N705" s="4" t="str">
        <f ca="1">IFERROR(VLOOKUP($L705,Calculation!$H$6:$S$1005,HLOOKUP(N$2,Calculation!$M$4:$S$5,2,FALSE)+5,FALSE),"")</f>
        <v/>
      </c>
      <c r="O705" s="4" t="str">
        <f ca="1">IFERROR(VLOOKUP($L705,Calculation!$H$6:$S$1005,HLOOKUP(O$2,Calculation!$M$4:$S$5,2,FALSE)+5,FALSE),"")</f>
        <v/>
      </c>
      <c r="P705" s="4" t="str">
        <f ca="1">IFERROR(VLOOKUP($L705,Calculation!$H$6:$S$1005,HLOOKUP(P$2,Calculation!$M$4:$S$5,2,FALSE)+5,FALSE),"")</f>
        <v/>
      </c>
      <c r="Q705" s="4" t="str">
        <f ca="1">IFERROR(VLOOKUP($L705,Calculation!$H$6:$S$1005,HLOOKUP(Q$2,Calculation!$M$4:$S$5,2,FALSE)+5,FALSE),"")</f>
        <v/>
      </c>
      <c r="R705" s="27" t="str">
        <f ca="1">IFERROR(VLOOKUP($L705,Calculation!$H$6:$S$1005,HLOOKUP(R$2,Calculation!$M$4:$S$5,2,FALSE)+5,FALSE),"")</f>
        <v/>
      </c>
      <c r="S705" s="4" t="str">
        <f ca="1">IFERROR(VLOOKUP($L705,Calculation!$H$6:$S$1005,HLOOKUP(S$2,Calculation!$M$4:$S$5,2,FALSE)+5,FALSE),"")</f>
        <v/>
      </c>
      <c r="T705" s="29"/>
      <c r="U705" s="43" t="str">
        <f>IFERROR(VLOOKUP(T705,Calculation!$U$6:$V$11,2,FALSE),"")</f>
        <v/>
      </c>
    </row>
    <row r="706" spans="1:21" ht="14.25" customHeight="1" x14ac:dyDescent="0.3">
      <c r="A706" s="26" t="str">
        <f ca="1">IF(Calculation!T709&lt;=Calculation!$H$4,Calculation!T709,"")</f>
        <v/>
      </c>
      <c r="B706" s="4" t="str">
        <f ca="1">VLOOKUP(A706,Calculation!$E$6:$J$1004,4,FALSE)</f>
        <v/>
      </c>
      <c r="C706" s="4" t="str">
        <f ca="1">VLOOKUP(A706,Calculation!$E$6:$J$1004,5,FALSE)</f>
        <v/>
      </c>
      <c r="D706" s="4" t="str">
        <f ca="1">VLOOKUP(A706,Calculation!$E$6:$J$1004,6,FALSE)</f>
        <v/>
      </c>
      <c r="E706" s="42" t="str">
        <f t="shared" ca="1" si="4"/>
        <v/>
      </c>
      <c r="G706" s="29" t="str">
        <f ca="1">VLOOKUP(A706,Calculation!$F$6:$J$1004,3,FALSE)</f>
        <v/>
      </c>
      <c r="H706" s="4" t="str">
        <f ca="1">VLOOKUP(A706,Calculation!$F$6:$J$1004,4,FALSE)</f>
        <v/>
      </c>
      <c r="I706" s="4" t="str">
        <f ca="1">VLOOKUP(A706,Calculation!$F$6:$J$1004,5,FALSE)</f>
        <v/>
      </c>
      <c r="J706" s="43" t="str">
        <f t="shared" ca="1" si="5"/>
        <v/>
      </c>
      <c r="L706" s="29" t="str">
        <f ca="1">VLOOKUP(A706,Calculation!$G$6:$S$1004,2,FALSE)</f>
        <v/>
      </c>
      <c r="M706" s="4" t="str">
        <f ca="1">IFERROR(VLOOKUP($L706,Calculation!$H$6:$S$1005,HLOOKUP(M$2,Calculation!$M$4:$S$5,2,FALSE)+5,FALSE),"")</f>
        <v/>
      </c>
      <c r="N706" s="4" t="str">
        <f ca="1">IFERROR(VLOOKUP($L706,Calculation!$H$6:$S$1005,HLOOKUP(N$2,Calculation!$M$4:$S$5,2,FALSE)+5,FALSE),"")</f>
        <v/>
      </c>
      <c r="O706" s="4" t="str">
        <f ca="1">IFERROR(VLOOKUP($L706,Calculation!$H$6:$S$1005,HLOOKUP(O$2,Calculation!$M$4:$S$5,2,FALSE)+5,FALSE),"")</f>
        <v/>
      </c>
      <c r="P706" s="4" t="str">
        <f ca="1">IFERROR(VLOOKUP($L706,Calculation!$H$6:$S$1005,HLOOKUP(P$2,Calculation!$M$4:$S$5,2,FALSE)+5,FALSE),"")</f>
        <v/>
      </c>
      <c r="Q706" s="4" t="str">
        <f ca="1">IFERROR(VLOOKUP($L706,Calculation!$H$6:$S$1005,HLOOKUP(Q$2,Calculation!$M$4:$S$5,2,FALSE)+5,FALSE),"")</f>
        <v/>
      </c>
      <c r="R706" s="27" t="str">
        <f ca="1">IFERROR(VLOOKUP($L706,Calculation!$H$6:$S$1005,HLOOKUP(R$2,Calculation!$M$4:$S$5,2,FALSE)+5,FALSE),"")</f>
        <v/>
      </c>
      <c r="S706" s="4" t="str">
        <f ca="1">IFERROR(VLOOKUP($L706,Calculation!$H$6:$S$1005,HLOOKUP(S$2,Calculation!$M$4:$S$5,2,FALSE)+5,FALSE),"")</f>
        <v/>
      </c>
      <c r="T706" s="29"/>
      <c r="U706" s="43" t="str">
        <f>IFERROR(VLOOKUP(T706,Calculation!$U$6:$V$11,2,FALSE),"")</f>
        <v/>
      </c>
    </row>
    <row r="707" spans="1:21" ht="14.25" customHeight="1" x14ac:dyDescent="0.3">
      <c r="A707" s="26" t="str">
        <f ca="1">IF(Calculation!T710&lt;=Calculation!$H$4,Calculation!T710,"")</f>
        <v/>
      </c>
      <c r="B707" s="4" t="str">
        <f ca="1">VLOOKUP(A707,Calculation!$E$6:$J$1004,4,FALSE)</f>
        <v/>
      </c>
      <c r="C707" s="4" t="str">
        <f ca="1">VLOOKUP(A707,Calculation!$E$6:$J$1004,5,FALSE)</f>
        <v/>
      </c>
      <c r="D707" s="4" t="str">
        <f ca="1">VLOOKUP(A707,Calculation!$E$6:$J$1004,6,FALSE)</f>
        <v/>
      </c>
      <c r="E707" s="42" t="str">
        <f t="shared" ca="1" si="4"/>
        <v/>
      </c>
      <c r="G707" s="29" t="str">
        <f ca="1">VLOOKUP(A707,Calculation!$F$6:$J$1004,3,FALSE)</f>
        <v/>
      </c>
      <c r="H707" s="4" t="str">
        <f ca="1">VLOOKUP(A707,Calculation!$F$6:$J$1004,4,FALSE)</f>
        <v/>
      </c>
      <c r="I707" s="4" t="str">
        <f ca="1">VLOOKUP(A707,Calculation!$F$6:$J$1004,5,FALSE)</f>
        <v/>
      </c>
      <c r="J707" s="43" t="str">
        <f t="shared" ca="1" si="5"/>
        <v/>
      </c>
      <c r="L707" s="29" t="str">
        <f ca="1">VLOOKUP(A707,Calculation!$G$6:$S$1004,2,FALSE)</f>
        <v/>
      </c>
      <c r="M707" s="4" t="str">
        <f ca="1">IFERROR(VLOOKUP($L707,Calculation!$H$6:$S$1005,HLOOKUP(M$2,Calculation!$M$4:$S$5,2,FALSE)+5,FALSE),"")</f>
        <v/>
      </c>
      <c r="N707" s="4" t="str">
        <f ca="1">IFERROR(VLOOKUP($L707,Calculation!$H$6:$S$1005,HLOOKUP(N$2,Calculation!$M$4:$S$5,2,FALSE)+5,FALSE),"")</f>
        <v/>
      </c>
      <c r="O707" s="4" t="str">
        <f ca="1">IFERROR(VLOOKUP($L707,Calculation!$H$6:$S$1005,HLOOKUP(O$2,Calculation!$M$4:$S$5,2,FALSE)+5,FALSE),"")</f>
        <v/>
      </c>
      <c r="P707" s="4" t="str">
        <f ca="1">IFERROR(VLOOKUP($L707,Calculation!$H$6:$S$1005,HLOOKUP(P$2,Calculation!$M$4:$S$5,2,FALSE)+5,FALSE),"")</f>
        <v/>
      </c>
      <c r="Q707" s="4" t="str">
        <f ca="1">IFERROR(VLOOKUP($L707,Calculation!$H$6:$S$1005,HLOOKUP(Q$2,Calculation!$M$4:$S$5,2,FALSE)+5,FALSE),"")</f>
        <v/>
      </c>
      <c r="R707" s="27" t="str">
        <f ca="1">IFERROR(VLOOKUP($L707,Calculation!$H$6:$S$1005,HLOOKUP(R$2,Calculation!$M$4:$S$5,2,FALSE)+5,FALSE),"")</f>
        <v/>
      </c>
      <c r="S707" s="4" t="str">
        <f ca="1">IFERROR(VLOOKUP($L707,Calculation!$H$6:$S$1005,HLOOKUP(S$2,Calculation!$M$4:$S$5,2,FALSE)+5,FALSE),"")</f>
        <v/>
      </c>
      <c r="T707" s="29"/>
      <c r="U707" s="43" t="str">
        <f>IFERROR(VLOOKUP(T707,Calculation!$U$6:$V$11,2,FALSE),"")</f>
        <v/>
      </c>
    </row>
    <row r="708" spans="1:21" ht="14.25" customHeight="1" x14ac:dyDescent="0.3">
      <c r="A708" s="26" t="str">
        <f ca="1">IF(Calculation!T711&lt;=Calculation!$H$4,Calculation!T711,"")</f>
        <v/>
      </c>
      <c r="B708" s="4" t="str">
        <f ca="1">VLOOKUP(A708,Calculation!$E$6:$J$1004,4,FALSE)</f>
        <v/>
      </c>
      <c r="C708" s="4" t="str">
        <f ca="1">VLOOKUP(A708,Calculation!$E$6:$J$1004,5,FALSE)</f>
        <v/>
      </c>
      <c r="D708" s="4" t="str">
        <f ca="1">VLOOKUP(A708,Calculation!$E$6:$J$1004,6,FALSE)</f>
        <v/>
      </c>
      <c r="E708" s="42" t="str">
        <f t="shared" ca="1" si="4"/>
        <v/>
      </c>
      <c r="G708" s="29" t="str">
        <f ca="1">VLOOKUP(A708,Calculation!$F$6:$J$1004,3,FALSE)</f>
        <v/>
      </c>
      <c r="H708" s="4" t="str">
        <f ca="1">VLOOKUP(A708,Calculation!$F$6:$J$1004,4,FALSE)</f>
        <v/>
      </c>
      <c r="I708" s="4" t="str">
        <f ca="1">VLOOKUP(A708,Calculation!$F$6:$J$1004,5,FALSE)</f>
        <v/>
      </c>
      <c r="J708" s="43" t="str">
        <f t="shared" ca="1" si="5"/>
        <v/>
      </c>
      <c r="L708" s="29" t="str">
        <f ca="1">VLOOKUP(A708,Calculation!$G$6:$S$1004,2,FALSE)</f>
        <v/>
      </c>
      <c r="M708" s="4" t="str">
        <f ca="1">IFERROR(VLOOKUP($L708,Calculation!$H$6:$S$1005,HLOOKUP(M$2,Calculation!$M$4:$S$5,2,FALSE)+5,FALSE),"")</f>
        <v/>
      </c>
      <c r="N708" s="4" t="str">
        <f ca="1">IFERROR(VLOOKUP($L708,Calculation!$H$6:$S$1005,HLOOKUP(N$2,Calculation!$M$4:$S$5,2,FALSE)+5,FALSE),"")</f>
        <v/>
      </c>
      <c r="O708" s="4" t="str">
        <f ca="1">IFERROR(VLOOKUP($L708,Calculation!$H$6:$S$1005,HLOOKUP(O$2,Calculation!$M$4:$S$5,2,FALSE)+5,FALSE),"")</f>
        <v/>
      </c>
      <c r="P708" s="4" t="str">
        <f ca="1">IFERROR(VLOOKUP($L708,Calculation!$H$6:$S$1005,HLOOKUP(P$2,Calculation!$M$4:$S$5,2,FALSE)+5,FALSE),"")</f>
        <v/>
      </c>
      <c r="Q708" s="4" t="str">
        <f ca="1">IFERROR(VLOOKUP($L708,Calculation!$H$6:$S$1005,HLOOKUP(Q$2,Calculation!$M$4:$S$5,2,FALSE)+5,FALSE),"")</f>
        <v/>
      </c>
      <c r="R708" s="27" t="str">
        <f ca="1">IFERROR(VLOOKUP($L708,Calculation!$H$6:$S$1005,HLOOKUP(R$2,Calculation!$M$4:$S$5,2,FALSE)+5,FALSE),"")</f>
        <v/>
      </c>
      <c r="S708" s="4" t="str">
        <f ca="1">IFERROR(VLOOKUP($L708,Calculation!$H$6:$S$1005,HLOOKUP(S$2,Calculation!$M$4:$S$5,2,FALSE)+5,FALSE),"")</f>
        <v/>
      </c>
      <c r="T708" s="29"/>
      <c r="U708" s="43" t="str">
        <f>IFERROR(VLOOKUP(T708,Calculation!$U$6:$V$11,2,FALSE),"")</f>
        <v/>
      </c>
    </row>
    <row r="709" spans="1:21" ht="14.25" customHeight="1" x14ac:dyDescent="0.3">
      <c r="A709" s="26" t="str">
        <f ca="1">IF(Calculation!T712&lt;=Calculation!$H$4,Calculation!T712,"")</f>
        <v/>
      </c>
      <c r="B709" s="4" t="str">
        <f ca="1">VLOOKUP(A709,Calculation!$E$6:$J$1004,4,FALSE)</f>
        <v/>
      </c>
      <c r="C709" s="4" t="str">
        <f ca="1">VLOOKUP(A709,Calculation!$E$6:$J$1004,5,FALSE)</f>
        <v/>
      </c>
      <c r="D709" s="4" t="str">
        <f ca="1">VLOOKUP(A709,Calculation!$E$6:$J$1004,6,FALSE)</f>
        <v/>
      </c>
      <c r="E709" s="42" t="str">
        <f t="shared" ca="1" si="4"/>
        <v/>
      </c>
      <c r="G709" s="29" t="str">
        <f ca="1">VLOOKUP(A709,Calculation!$F$6:$J$1004,3,FALSE)</f>
        <v/>
      </c>
      <c r="H709" s="4" t="str">
        <f ca="1">VLOOKUP(A709,Calculation!$F$6:$J$1004,4,FALSE)</f>
        <v/>
      </c>
      <c r="I709" s="4" t="str">
        <f ca="1">VLOOKUP(A709,Calculation!$F$6:$J$1004,5,FALSE)</f>
        <v/>
      </c>
      <c r="J709" s="43" t="str">
        <f t="shared" ca="1" si="5"/>
        <v/>
      </c>
      <c r="L709" s="29" t="str">
        <f ca="1">VLOOKUP(A709,Calculation!$G$6:$S$1004,2,FALSE)</f>
        <v/>
      </c>
      <c r="M709" s="4" t="str">
        <f ca="1">IFERROR(VLOOKUP($L709,Calculation!$H$6:$S$1005,HLOOKUP(M$2,Calculation!$M$4:$S$5,2,FALSE)+5,FALSE),"")</f>
        <v/>
      </c>
      <c r="N709" s="4" t="str">
        <f ca="1">IFERROR(VLOOKUP($L709,Calculation!$H$6:$S$1005,HLOOKUP(N$2,Calculation!$M$4:$S$5,2,FALSE)+5,FALSE),"")</f>
        <v/>
      </c>
      <c r="O709" s="4" t="str">
        <f ca="1">IFERROR(VLOOKUP($L709,Calculation!$H$6:$S$1005,HLOOKUP(O$2,Calculation!$M$4:$S$5,2,FALSE)+5,FALSE),"")</f>
        <v/>
      </c>
      <c r="P709" s="4" t="str">
        <f ca="1">IFERROR(VLOOKUP($L709,Calculation!$H$6:$S$1005,HLOOKUP(P$2,Calculation!$M$4:$S$5,2,FALSE)+5,FALSE),"")</f>
        <v/>
      </c>
      <c r="Q709" s="4" t="str">
        <f ca="1">IFERROR(VLOOKUP($L709,Calculation!$H$6:$S$1005,HLOOKUP(Q$2,Calculation!$M$4:$S$5,2,FALSE)+5,FALSE),"")</f>
        <v/>
      </c>
      <c r="R709" s="27" t="str">
        <f ca="1">IFERROR(VLOOKUP($L709,Calculation!$H$6:$S$1005,HLOOKUP(R$2,Calculation!$M$4:$S$5,2,FALSE)+5,FALSE),"")</f>
        <v/>
      </c>
      <c r="S709" s="4" t="str">
        <f ca="1">IFERROR(VLOOKUP($L709,Calculation!$H$6:$S$1005,HLOOKUP(S$2,Calculation!$M$4:$S$5,2,FALSE)+5,FALSE),"")</f>
        <v/>
      </c>
      <c r="T709" s="29"/>
      <c r="U709" s="43" t="str">
        <f>IFERROR(VLOOKUP(T709,Calculation!$U$6:$V$11,2,FALSE),"")</f>
        <v/>
      </c>
    </row>
    <row r="710" spans="1:21" ht="14.25" customHeight="1" x14ac:dyDescent="0.3">
      <c r="A710" s="26" t="str">
        <f ca="1">IF(Calculation!T713&lt;=Calculation!$H$4,Calculation!T713,"")</f>
        <v/>
      </c>
      <c r="B710" s="4" t="str">
        <f ca="1">VLOOKUP(A710,Calculation!$E$6:$J$1004,4,FALSE)</f>
        <v/>
      </c>
      <c r="C710" s="4" t="str">
        <f ca="1">VLOOKUP(A710,Calculation!$E$6:$J$1004,5,FALSE)</f>
        <v/>
      </c>
      <c r="D710" s="4" t="str">
        <f ca="1">VLOOKUP(A710,Calculation!$E$6:$J$1004,6,FALSE)</f>
        <v/>
      </c>
      <c r="E710" s="42" t="str">
        <f t="shared" ca="1" si="4"/>
        <v/>
      </c>
      <c r="G710" s="29" t="str">
        <f ca="1">VLOOKUP(A710,Calculation!$F$6:$J$1004,3,FALSE)</f>
        <v/>
      </c>
      <c r="H710" s="4" t="str">
        <f ca="1">VLOOKUP(A710,Calculation!$F$6:$J$1004,4,FALSE)</f>
        <v/>
      </c>
      <c r="I710" s="4" t="str">
        <f ca="1">VLOOKUP(A710,Calculation!$F$6:$J$1004,5,FALSE)</f>
        <v/>
      </c>
      <c r="J710" s="43" t="str">
        <f t="shared" ca="1" si="5"/>
        <v/>
      </c>
      <c r="L710" s="29" t="str">
        <f ca="1">VLOOKUP(A710,Calculation!$G$6:$S$1004,2,FALSE)</f>
        <v/>
      </c>
      <c r="M710" s="4" t="str">
        <f ca="1">IFERROR(VLOOKUP($L710,Calculation!$H$6:$S$1005,HLOOKUP(M$2,Calculation!$M$4:$S$5,2,FALSE)+5,FALSE),"")</f>
        <v/>
      </c>
      <c r="N710" s="4" t="str">
        <f ca="1">IFERROR(VLOOKUP($L710,Calculation!$H$6:$S$1005,HLOOKUP(N$2,Calculation!$M$4:$S$5,2,FALSE)+5,FALSE),"")</f>
        <v/>
      </c>
      <c r="O710" s="4" t="str">
        <f ca="1">IFERROR(VLOOKUP($L710,Calculation!$H$6:$S$1005,HLOOKUP(O$2,Calculation!$M$4:$S$5,2,FALSE)+5,FALSE),"")</f>
        <v/>
      </c>
      <c r="P710" s="4" t="str">
        <f ca="1">IFERROR(VLOOKUP($L710,Calculation!$H$6:$S$1005,HLOOKUP(P$2,Calculation!$M$4:$S$5,2,FALSE)+5,FALSE),"")</f>
        <v/>
      </c>
      <c r="Q710" s="4" t="str">
        <f ca="1">IFERROR(VLOOKUP($L710,Calculation!$H$6:$S$1005,HLOOKUP(Q$2,Calculation!$M$4:$S$5,2,FALSE)+5,FALSE),"")</f>
        <v/>
      </c>
      <c r="R710" s="27" t="str">
        <f ca="1">IFERROR(VLOOKUP($L710,Calculation!$H$6:$S$1005,HLOOKUP(R$2,Calculation!$M$4:$S$5,2,FALSE)+5,FALSE),"")</f>
        <v/>
      </c>
      <c r="S710" s="4" t="str">
        <f ca="1">IFERROR(VLOOKUP($L710,Calculation!$H$6:$S$1005,HLOOKUP(S$2,Calculation!$M$4:$S$5,2,FALSE)+5,FALSE),"")</f>
        <v/>
      </c>
      <c r="T710" s="29"/>
      <c r="U710" s="43" t="str">
        <f>IFERROR(VLOOKUP(T710,Calculation!$U$6:$V$11,2,FALSE),"")</f>
        <v/>
      </c>
    </row>
    <row r="711" spans="1:21" ht="14.25" customHeight="1" x14ac:dyDescent="0.3">
      <c r="A711" s="26" t="str">
        <f ca="1">IF(Calculation!T714&lt;=Calculation!$H$4,Calculation!T714,"")</f>
        <v/>
      </c>
      <c r="B711" s="4" t="str">
        <f ca="1">VLOOKUP(A711,Calculation!$E$6:$J$1004,4,FALSE)</f>
        <v/>
      </c>
      <c r="C711" s="4" t="str">
        <f ca="1">VLOOKUP(A711,Calculation!$E$6:$J$1004,5,FALSE)</f>
        <v/>
      </c>
      <c r="D711" s="4" t="str">
        <f ca="1">VLOOKUP(A711,Calculation!$E$6:$J$1004,6,FALSE)</f>
        <v/>
      </c>
      <c r="E711" s="42" t="str">
        <f t="shared" ca="1" si="4"/>
        <v/>
      </c>
      <c r="G711" s="29" t="str">
        <f ca="1">VLOOKUP(A711,Calculation!$F$6:$J$1004,3,FALSE)</f>
        <v/>
      </c>
      <c r="H711" s="4" t="str">
        <f ca="1">VLOOKUP(A711,Calculation!$F$6:$J$1004,4,FALSE)</f>
        <v/>
      </c>
      <c r="I711" s="4" t="str">
        <f ca="1">VLOOKUP(A711,Calculation!$F$6:$J$1004,5,FALSE)</f>
        <v/>
      </c>
      <c r="J711" s="43" t="str">
        <f t="shared" ca="1" si="5"/>
        <v/>
      </c>
      <c r="L711" s="29" t="str">
        <f ca="1">VLOOKUP(A711,Calculation!$G$6:$S$1004,2,FALSE)</f>
        <v/>
      </c>
      <c r="M711" s="4" t="str">
        <f ca="1">IFERROR(VLOOKUP($L711,Calculation!$H$6:$S$1005,HLOOKUP(M$2,Calculation!$M$4:$S$5,2,FALSE)+5,FALSE),"")</f>
        <v/>
      </c>
      <c r="N711" s="4" t="str">
        <f ca="1">IFERROR(VLOOKUP($L711,Calculation!$H$6:$S$1005,HLOOKUP(N$2,Calculation!$M$4:$S$5,2,FALSE)+5,FALSE),"")</f>
        <v/>
      </c>
      <c r="O711" s="4" t="str">
        <f ca="1">IFERROR(VLOOKUP($L711,Calculation!$H$6:$S$1005,HLOOKUP(O$2,Calculation!$M$4:$S$5,2,FALSE)+5,FALSE),"")</f>
        <v/>
      </c>
      <c r="P711" s="4" t="str">
        <f ca="1">IFERROR(VLOOKUP($L711,Calculation!$H$6:$S$1005,HLOOKUP(P$2,Calculation!$M$4:$S$5,2,FALSE)+5,FALSE),"")</f>
        <v/>
      </c>
      <c r="Q711" s="4" t="str">
        <f ca="1">IFERROR(VLOOKUP($L711,Calculation!$H$6:$S$1005,HLOOKUP(Q$2,Calculation!$M$4:$S$5,2,FALSE)+5,FALSE),"")</f>
        <v/>
      </c>
      <c r="R711" s="27" t="str">
        <f ca="1">IFERROR(VLOOKUP($L711,Calculation!$H$6:$S$1005,HLOOKUP(R$2,Calculation!$M$4:$S$5,2,FALSE)+5,FALSE),"")</f>
        <v/>
      </c>
      <c r="S711" s="4" t="str">
        <f ca="1">IFERROR(VLOOKUP($L711,Calculation!$H$6:$S$1005,HLOOKUP(S$2,Calculation!$M$4:$S$5,2,FALSE)+5,FALSE),"")</f>
        <v/>
      </c>
      <c r="T711" s="29"/>
      <c r="U711" s="43" t="str">
        <f>IFERROR(VLOOKUP(T711,Calculation!$U$6:$V$11,2,FALSE),"")</f>
        <v/>
      </c>
    </row>
    <row r="712" spans="1:21" ht="14.25" customHeight="1" x14ac:dyDescent="0.3">
      <c r="A712" s="26" t="str">
        <f ca="1">IF(Calculation!T715&lt;=Calculation!$H$4,Calculation!T715,"")</f>
        <v/>
      </c>
      <c r="B712" s="4" t="str">
        <f ca="1">VLOOKUP(A712,Calculation!$E$6:$J$1004,4,FALSE)</f>
        <v/>
      </c>
      <c r="C712" s="4" t="str">
        <f ca="1">VLOOKUP(A712,Calculation!$E$6:$J$1004,5,FALSE)</f>
        <v/>
      </c>
      <c r="D712" s="4" t="str">
        <f ca="1">VLOOKUP(A712,Calculation!$E$6:$J$1004,6,FALSE)</f>
        <v/>
      </c>
      <c r="E712" s="42" t="str">
        <f t="shared" ca="1" si="4"/>
        <v/>
      </c>
      <c r="G712" s="29" t="str">
        <f ca="1">VLOOKUP(A712,Calculation!$F$6:$J$1004,3,FALSE)</f>
        <v/>
      </c>
      <c r="H712" s="4" t="str">
        <f ca="1">VLOOKUP(A712,Calculation!$F$6:$J$1004,4,FALSE)</f>
        <v/>
      </c>
      <c r="I712" s="4" t="str">
        <f ca="1">VLOOKUP(A712,Calculation!$F$6:$J$1004,5,FALSE)</f>
        <v/>
      </c>
      <c r="J712" s="43" t="str">
        <f t="shared" ca="1" si="5"/>
        <v/>
      </c>
      <c r="L712" s="29" t="str">
        <f ca="1">VLOOKUP(A712,Calculation!$G$6:$S$1004,2,FALSE)</f>
        <v/>
      </c>
      <c r="M712" s="4" t="str">
        <f ca="1">IFERROR(VLOOKUP($L712,Calculation!$H$6:$S$1005,HLOOKUP(M$2,Calculation!$M$4:$S$5,2,FALSE)+5,FALSE),"")</f>
        <v/>
      </c>
      <c r="N712" s="4" t="str">
        <f ca="1">IFERROR(VLOOKUP($L712,Calculation!$H$6:$S$1005,HLOOKUP(N$2,Calculation!$M$4:$S$5,2,FALSE)+5,FALSE),"")</f>
        <v/>
      </c>
      <c r="O712" s="4" t="str">
        <f ca="1">IFERROR(VLOOKUP($L712,Calculation!$H$6:$S$1005,HLOOKUP(O$2,Calculation!$M$4:$S$5,2,FALSE)+5,FALSE),"")</f>
        <v/>
      </c>
      <c r="P712" s="4" t="str">
        <f ca="1">IFERROR(VLOOKUP($L712,Calculation!$H$6:$S$1005,HLOOKUP(P$2,Calculation!$M$4:$S$5,2,FALSE)+5,FALSE),"")</f>
        <v/>
      </c>
      <c r="Q712" s="4" t="str">
        <f ca="1">IFERROR(VLOOKUP($L712,Calculation!$H$6:$S$1005,HLOOKUP(Q$2,Calculation!$M$4:$S$5,2,FALSE)+5,FALSE),"")</f>
        <v/>
      </c>
      <c r="R712" s="27" t="str">
        <f ca="1">IFERROR(VLOOKUP($L712,Calculation!$H$6:$S$1005,HLOOKUP(R$2,Calculation!$M$4:$S$5,2,FALSE)+5,FALSE),"")</f>
        <v/>
      </c>
      <c r="S712" s="4" t="str">
        <f ca="1">IFERROR(VLOOKUP($L712,Calculation!$H$6:$S$1005,HLOOKUP(S$2,Calculation!$M$4:$S$5,2,FALSE)+5,FALSE),"")</f>
        <v/>
      </c>
      <c r="T712" s="29"/>
      <c r="U712" s="43" t="str">
        <f>IFERROR(VLOOKUP(T712,Calculation!$U$6:$V$11,2,FALSE),"")</f>
        <v/>
      </c>
    </row>
    <row r="713" spans="1:21" ht="14.25" customHeight="1" x14ac:dyDescent="0.3">
      <c r="A713" s="26" t="str">
        <f ca="1">IF(Calculation!T716&lt;=Calculation!$H$4,Calculation!T716,"")</f>
        <v/>
      </c>
      <c r="B713" s="4" t="str">
        <f ca="1">VLOOKUP(A713,Calculation!$E$6:$J$1004,4,FALSE)</f>
        <v/>
      </c>
      <c r="C713" s="4" t="str">
        <f ca="1">VLOOKUP(A713,Calculation!$E$6:$J$1004,5,FALSE)</f>
        <v/>
      </c>
      <c r="D713" s="4" t="str">
        <f ca="1">VLOOKUP(A713,Calculation!$E$6:$J$1004,6,FALSE)</f>
        <v/>
      </c>
      <c r="E713" s="42" t="str">
        <f t="shared" ca="1" si="4"/>
        <v/>
      </c>
      <c r="G713" s="29" t="str">
        <f ca="1">VLOOKUP(A713,Calculation!$F$6:$J$1004,3,FALSE)</f>
        <v/>
      </c>
      <c r="H713" s="4" t="str">
        <f ca="1">VLOOKUP(A713,Calculation!$F$6:$J$1004,4,FALSE)</f>
        <v/>
      </c>
      <c r="I713" s="4" t="str">
        <f ca="1">VLOOKUP(A713,Calculation!$F$6:$J$1004,5,FALSE)</f>
        <v/>
      </c>
      <c r="J713" s="43" t="str">
        <f t="shared" ca="1" si="5"/>
        <v/>
      </c>
      <c r="L713" s="29" t="str">
        <f ca="1">VLOOKUP(A713,Calculation!$G$6:$S$1004,2,FALSE)</f>
        <v/>
      </c>
      <c r="M713" s="4" t="str">
        <f ca="1">IFERROR(VLOOKUP($L713,Calculation!$H$6:$S$1005,HLOOKUP(M$2,Calculation!$M$4:$S$5,2,FALSE)+5,FALSE),"")</f>
        <v/>
      </c>
      <c r="N713" s="4" t="str">
        <f ca="1">IFERROR(VLOOKUP($L713,Calculation!$H$6:$S$1005,HLOOKUP(N$2,Calculation!$M$4:$S$5,2,FALSE)+5,FALSE),"")</f>
        <v/>
      </c>
      <c r="O713" s="4" t="str">
        <f ca="1">IFERROR(VLOOKUP($L713,Calculation!$H$6:$S$1005,HLOOKUP(O$2,Calculation!$M$4:$S$5,2,FALSE)+5,FALSE),"")</f>
        <v/>
      </c>
      <c r="P713" s="4" t="str">
        <f ca="1">IFERROR(VLOOKUP($L713,Calculation!$H$6:$S$1005,HLOOKUP(P$2,Calculation!$M$4:$S$5,2,FALSE)+5,FALSE),"")</f>
        <v/>
      </c>
      <c r="Q713" s="4" t="str">
        <f ca="1">IFERROR(VLOOKUP($L713,Calculation!$H$6:$S$1005,HLOOKUP(Q$2,Calculation!$M$4:$S$5,2,FALSE)+5,FALSE),"")</f>
        <v/>
      </c>
      <c r="R713" s="27" t="str">
        <f ca="1">IFERROR(VLOOKUP($L713,Calculation!$H$6:$S$1005,HLOOKUP(R$2,Calculation!$M$4:$S$5,2,FALSE)+5,FALSE),"")</f>
        <v/>
      </c>
      <c r="S713" s="4" t="str">
        <f ca="1">IFERROR(VLOOKUP($L713,Calculation!$H$6:$S$1005,HLOOKUP(S$2,Calculation!$M$4:$S$5,2,FALSE)+5,FALSE),"")</f>
        <v/>
      </c>
      <c r="T713" s="29"/>
      <c r="U713" s="43" t="str">
        <f>IFERROR(VLOOKUP(T713,Calculation!$U$6:$V$11,2,FALSE),"")</f>
        <v/>
      </c>
    </row>
    <row r="714" spans="1:21" ht="14.25" customHeight="1" x14ac:dyDescent="0.3">
      <c r="A714" s="26" t="str">
        <f ca="1">IF(Calculation!T717&lt;=Calculation!$H$4,Calculation!T717,"")</f>
        <v/>
      </c>
      <c r="B714" s="4" t="str">
        <f ca="1">VLOOKUP(A714,Calculation!$E$6:$J$1004,4,FALSE)</f>
        <v/>
      </c>
      <c r="C714" s="4" t="str">
        <f ca="1">VLOOKUP(A714,Calculation!$E$6:$J$1004,5,FALSE)</f>
        <v/>
      </c>
      <c r="D714" s="4" t="str">
        <f ca="1">VLOOKUP(A714,Calculation!$E$6:$J$1004,6,FALSE)</f>
        <v/>
      </c>
      <c r="E714" s="42" t="str">
        <f t="shared" ca="1" si="4"/>
        <v/>
      </c>
      <c r="G714" s="29" t="str">
        <f ca="1">VLOOKUP(A714,Calculation!$F$6:$J$1004,3,FALSE)</f>
        <v/>
      </c>
      <c r="H714" s="4" t="str">
        <f ca="1">VLOOKUP(A714,Calculation!$F$6:$J$1004,4,FALSE)</f>
        <v/>
      </c>
      <c r="I714" s="4" t="str">
        <f ca="1">VLOOKUP(A714,Calculation!$F$6:$J$1004,5,FALSE)</f>
        <v/>
      </c>
      <c r="J714" s="43" t="str">
        <f t="shared" ca="1" si="5"/>
        <v/>
      </c>
      <c r="L714" s="29" t="str">
        <f ca="1">VLOOKUP(A714,Calculation!$G$6:$S$1004,2,FALSE)</f>
        <v/>
      </c>
      <c r="M714" s="4" t="str">
        <f ca="1">IFERROR(VLOOKUP($L714,Calculation!$H$6:$S$1005,HLOOKUP(M$2,Calculation!$M$4:$S$5,2,FALSE)+5,FALSE),"")</f>
        <v/>
      </c>
      <c r="N714" s="4" t="str">
        <f ca="1">IFERROR(VLOOKUP($L714,Calculation!$H$6:$S$1005,HLOOKUP(N$2,Calculation!$M$4:$S$5,2,FALSE)+5,FALSE),"")</f>
        <v/>
      </c>
      <c r="O714" s="4" t="str">
        <f ca="1">IFERROR(VLOOKUP($L714,Calculation!$H$6:$S$1005,HLOOKUP(O$2,Calculation!$M$4:$S$5,2,FALSE)+5,FALSE),"")</f>
        <v/>
      </c>
      <c r="P714" s="4" t="str">
        <f ca="1">IFERROR(VLOOKUP($L714,Calculation!$H$6:$S$1005,HLOOKUP(P$2,Calculation!$M$4:$S$5,2,FALSE)+5,FALSE),"")</f>
        <v/>
      </c>
      <c r="Q714" s="4" t="str">
        <f ca="1">IFERROR(VLOOKUP($L714,Calculation!$H$6:$S$1005,HLOOKUP(Q$2,Calculation!$M$4:$S$5,2,FALSE)+5,FALSE),"")</f>
        <v/>
      </c>
      <c r="R714" s="27" t="str">
        <f ca="1">IFERROR(VLOOKUP($L714,Calculation!$H$6:$S$1005,HLOOKUP(R$2,Calculation!$M$4:$S$5,2,FALSE)+5,FALSE),"")</f>
        <v/>
      </c>
      <c r="S714" s="4" t="str">
        <f ca="1">IFERROR(VLOOKUP($L714,Calculation!$H$6:$S$1005,HLOOKUP(S$2,Calculation!$M$4:$S$5,2,FALSE)+5,FALSE),"")</f>
        <v/>
      </c>
      <c r="T714" s="29"/>
      <c r="U714" s="43" t="str">
        <f>IFERROR(VLOOKUP(T714,Calculation!$U$6:$V$11,2,FALSE),"")</f>
        <v/>
      </c>
    </row>
    <row r="715" spans="1:21" ht="14.25" customHeight="1" x14ac:dyDescent="0.3">
      <c r="A715" s="26" t="str">
        <f ca="1">IF(Calculation!T718&lt;=Calculation!$H$4,Calculation!T718,"")</f>
        <v/>
      </c>
      <c r="B715" s="4" t="str">
        <f ca="1">VLOOKUP(A715,Calculation!$E$6:$J$1004,4,FALSE)</f>
        <v/>
      </c>
      <c r="C715" s="4" t="str">
        <f ca="1">VLOOKUP(A715,Calculation!$E$6:$J$1004,5,FALSE)</f>
        <v/>
      </c>
      <c r="D715" s="4" t="str">
        <f ca="1">VLOOKUP(A715,Calculation!$E$6:$J$1004,6,FALSE)</f>
        <v/>
      </c>
      <c r="E715" s="42" t="str">
        <f t="shared" ca="1" si="4"/>
        <v/>
      </c>
      <c r="G715" s="29" t="str">
        <f ca="1">VLOOKUP(A715,Calculation!$F$6:$J$1004,3,FALSE)</f>
        <v/>
      </c>
      <c r="H715" s="4" t="str">
        <f ca="1">VLOOKUP(A715,Calculation!$F$6:$J$1004,4,FALSE)</f>
        <v/>
      </c>
      <c r="I715" s="4" t="str">
        <f ca="1">VLOOKUP(A715,Calculation!$F$6:$J$1004,5,FALSE)</f>
        <v/>
      </c>
      <c r="J715" s="43" t="str">
        <f t="shared" ca="1" si="5"/>
        <v/>
      </c>
      <c r="L715" s="29" t="str">
        <f ca="1">VLOOKUP(A715,Calculation!$G$6:$S$1004,2,FALSE)</f>
        <v/>
      </c>
      <c r="M715" s="4" t="str">
        <f ca="1">IFERROR(VLOOKUP($L715,Calculation!$H$6:$S$1005,HLOOKUP(M$2,Calculation!$M$4:$S$5,2,FALSE)+5,FALSE),"")</f>
        <v/>
      </c>
      <c r="N715" s="4" t="str">
        <f ca="1">IFERROR(VLOOKUP($L715,Calculation!$H$6:$S$1005,HLOOKUP(N$2,Calculation!$M$4:$S$5,2,FALSE)+5,FALSE),"")</f>
        <v/>
      </c>
      <c r="O715" s="4" t="str">
        <f ca="1">IFERROR(VLOOKUP($L715,Calculation!$H$6:$S$1005,HLOOKUP(O$2,Calculation!$M$4:$S$5,2,FALSE)+5,FALSE),"")</f>
        <v/>
      </c>
      <c r="P715" s="4" t="str">
        <f ca="1">IFERROR(VLOOKUP($L715,Calculation!$H$6:$S$1005,HLOOKUP(P$2,Calculation!$M$4:$S$5,2,FALSE)+5,FALSE),"")</f>
        <v/>
      </c>
      <c r="Q715" s="4" t="str">
        <f ca="1">IFERROR(VLOOKUP($L715,Calculation!$H$6:$S$1005,HLOOKUP(Q$2,Calculation!$M$4:$S$5,2,FALSE)+5,FALSE),"")</f>
        <v/>
      </c>
      <c r="R715" s="27" t="str">
        <f ca="1">IFERROR(VLOOKUP($L715,Calculation!$H$6:$S$1005,HLOOKUP(R$2,Calculation!$M$4:$S$5,2,FALSE)+5,FALSE),"")</f>
        <v/>
      </c>
      <c r="S715" s="4" t="str">
        <f ca="1">IFERROR(VLOOKUP($L715,Calculation!$H$6:$S$1005,HLOOKUP(S$2,Calculation!$M$4:$S$5,2,FALSE)+5,FALSE),"")</f>
        <v/>
      </c>
      <c r="T715" s="29"/>
      <c r="U715" s="43" t="str">
        <f>IFERROR(VLOOKUP(T715,Calculation!$U$6:$V$11,2,FALSE),"")</f>
        <v/>
      </c>
    </row>
    <row r="716" spans="1:21" ht="14.25" customHeight="1" x14ac:dyDescent="0.3">
      <c r="A716" s="26" t="str">
        <f ca="1">IF(Calculation!T719&lt;=Calculation!$H$4,Calculation!T719,"")</f>
        <v/>
      </c>
      <c r="B716" s="4" t="str">
        <f ca="1">VLOOKUP(A716,Calculation!$E$6:$J$1004,4,FALSE)</f>
        <v/>
      </c>
      <c r="C716" s="4" t="str">
        <f ca="1">VLOOKUP(A716,Calculation!$E$6:$J$1004,5,FALSE)</f>
        <v/>
      </c>
      <c r="D716" s="4" t="str">
        <f ca="1">VLOOKUP(A716,Calculation!$E$6:$J$1004,6,FALSE)</f>
        <v/>
      </c>
      <c r="E716" s="42" t="str">
        <f t="shared" ca="1" si="4"/>
        <v/>
      </c>
      <c r="G716" s="29" t="str">
        <f ca="1">VLOOKUP(A716,Calculation!$F$6:$J$1004,3,FALSE)</f>
        <v/>
      </c>
      <c r="H716" s="4" t="str">
        <f ca="1">VLOOKUP(A716,Calculation!$F$6:$J$1004,4,FALSE)</f>
        <v/>
      </c>
      <c r="I716" s="4" t="str">
        <f ca="1">VLOOKUP(A716,Calculation!$F$6:$J$1004,5,FALSE)</f>
        <v/>
      </c>
      <c r="J716" s="43" t="str">
        <f t="shared" ca="1" si="5"/>
        <v/>
      </c>
      <c r="L716" s="29" t="str">
        <f ca="1">VLOOKUP(A716,Calculation!$G$6:$S$1004,2,FALSE)</f>
        <v/>
      </c>
      <c r="M716" s="4" t="str">
        <f ca="1">IFERROR(VLOOKUP($L716,Calculation!$H$6:$S$1005,HLOOKUP(M$2,Calculation!$M$4:$S$5,2,FALSE)+5,FALSE),"")</f>
        <v/>
      </c>
      <c r="N716" s="4" t="str">
        <f ca="1">IFERROR(VLOOKUP($L716,Calculation!$H$6:$S$1005,HLOOKUP(N$2,Calculation!$M$4:$S$5,2,FALSE)+5,FALSE),"")</f>
        <v/>
      </c>
      <c r="O716" s="4" t="str">
        <f ca="1">IFERROR(VLOOKUP($L716,Calculation!$H$6:$S$1005,HLOOKUP(O$2,Calculation!$M$4:$S$5,2,FALSE)+5,FALSE),"")</f>
        <v/>
      </c>
      <c r="P716" s="4" t="str">
        <f ca="1">IFERROR(VLOOKUP($L716,Calculation!$H$6:$S$1005,HLOOKUP(P$2,Calculation!$M$4:$S$5,2,FALSE)+5,FALSE),"")</f>
        <v/>
      </c>
      <c r="Q716" s="4" t="str">
        <f ca="1">IFERROR(VLOOKUP($L716,Calculation!$H$6:$S$1005,HLOOKUP(Q$2,Calculation!$M$4:$S$5,2,FALSE)+5,FALSE),"")</f>
        <v/>
      </c>
      <c r="R716" s="27" t="str">
        <f ca="1">IFERROR(VLOOKUP($L716,Calculation!$H$6:$S$1005,HLOOKUP(R$2,Calculation!$M$4:$S$5,2,FALSE)+5,FALSE),"")</f>
        <v/>
      </c>
      <c r="S716" s="4" t="str">
        <f ca="1">IFERROR(VLOOKUP($L716,Calculation!$H$6:$S$1005,HLOOKUP(S$2,Calculation!$M$4:$S$5,2,FALSE)+5,FALSE),"")</f>
        <v/>
      </c>
      <c r="T716" s="29"/>
      <c r="U716" s="43" t="str">
        <f>IFERROR(VLOOKUP(T716,Calculation!$U$6:$V$11,2,FALSE),"")</f>
        <v/>
      </c>
    </row>
    <row r="717" spans="1:21" ht="14.25" customHeight="1" x14ac:dyDescent="0.3">
      <c r="A717" s="26" t="str">
        <f ca="1">IF(Calculation!T720&lt;=Calculation!$H$4,Calculation!T720,"")</f>
        <v/>
      </c>
      <c r="B717" s="4" t="str">
        <f ca="1">VLOOKUP(A717,Calculation!$E$6:$J$1004,4,FALSE)</f>
        <v/>
      </c>
      <c r="C717" s="4" t="str">
        <f ca="1">VLOOKUP(A717,Calculation!$E$6:$J$1004,5,FALSE)</f>
        <v/>
      </c>
      <c r="D717" s="4" t="str">
        <f ca="1">VLOOKUP(A717,Calculation!$E$6:$J$1004,6,FALSE)</f>
        <v/>
      </c>
      <c r="E717" s="42" t="str">
        <f t="shared" ca="1" si="4"/>
        <v/>
      </c>
      <c r="G717" s="29" t="str">
        <f ca="1">VLOOKUP(A717,Calculation!$F$6:$J$1004,3,FALSE)</f>
        <v/>
      </c>
      <c r="H717" s="4" t="str">
        <f ca="1">VLOOKUP(A717,Calculation!$F$6:$J$1004,4,FALSE)</f>
        <v/>
      </c>
      <c r="I717" s="4" t="str">
        <f ca="1">VLOOKUP(A717,Calculation!$F$6:$J$1004,5,FALSE)</f>
        <v/>
      </c>
      <c r="J717" s="43" t="str">
        <f t="shared" ca="1" si="5"/>
        <v/>
      </c>
      <c r="L717" s="29" t="str">
        <f ca="1">VLOOKUP(A717,Calculation!$G$6:$S$1004,2,FALSE)</f>
        <v/>
      </c>
      <c r="M717" s="4" t="str">
        <f ca="1">IFERROR(VLOOKUP($L717,Calculation!$H$6:$S$1005,HLOOKUP(M$2,Calculation!$M$4:$S$5,2,FALSE)+5,FALSE),"")</f>
        <v/>
      </c>
      <c r="N717" s="4" t="str">
        <f ca="1">IFERROR(VLOOKUP($L717,Calculation!$H$6:$S$1005,HLOOKUP(N$2,Calculation!$M$4:$S$5,2,FALSE)+5,FALSE),"")</f>
        <v/>
      </c>
      <c r="O717" s="4" t="str">
        <f ca="1">IFERROR(VLOOKUP($L717,Calculation!$H$6:$S$1005,HLOOKUP(O$2,Calculation!$M$4:$S$5,2,FALSE)+5,FALSE),"")</f>
        <v/>
      </c>
      <c r="P717" s="4" t="str">
        <f ca="1">IFERROR(VLOOKUP($L717,Calculation!$H$6:$S$1005,HLOOKUP(P$2,Calculation!$M$4:$S$5,2,FALSE)+5,FALSE),"")</f>
        <v/>
      </c>
      <c r="Q717" s="4" t="str">
        <f ca="1">IFERROR(VLOOKUP($L717,Calculation!$H$6:$S$1005,HLOOKUP(Q$2,Calculation!$M$4:$S$5,2,FALSE)+5,FALSE),"")</f>
        <v/>
      </c>
      <c r="R717" s="27" t="str">
        <f ca="1">IFERROR(VLOOKUP($L717,Calculation!$H$6:$S$1005,HLOOKUP(R$2,Calculation!$M$4:$S$5,2,FALSE)+5,FALSE),"")</f>
        <v/>
      </c>
      <c r="S717" s="4" t="str">
        <f ca="1">IFERROR(VLOOKUP($L717,Calculation!$H$6:$S$1005,HLOOKUP(S$2,Calculation!$M$4:$S$5,2,FALSE)+5,FALSE),"")</f>
        <v/>
      </c>
      <c r="T717" s="29"/>
      <c r="U717" s="43" t="str">
        <f>IFERROR(VLOOKUP(T717,Calculation!$U$6:$V$11,2,FALSE),"")</f>
        <v/>
      </c>
    </row>
    <row r="718" spans="1:21" ht="14.25" customHeight="1" x14ac:dyDescent="0.3">
      <c r="A718" s="26" t="str">
        <f ca="1">IF(Calculation!T721&lt;=Calculation!$H$4,Calculation!T721,"")</f>
        <v/>
      </c>
      <c r="B718" s="4" t="str">
        <f ca="1">VLOOKUP(A718,Calculation!$E$6:$J$1004,4,FALSE)</f>
        <v/>
      </c>
      <c r="C718" s="4" t="str">
        <f ca="1">VLOOKUP(A718,Calculation!$E$6:$J$1004,5,FALSE)</f>
        <v/>
      </c>
      <c r="D718" s="4" t="str">
        <f ca="1">VLOOKUP(A718,Calculation!$E$6:$J$1004,6,FALSE)</f>
        <v/>
      </c>
      <c r="E718" s="42" t="str">
        <f t="shared" ca="1" si="4"/>
        <v/>
      </c>
      <c r="G718" s="29" t="str">
        <f ca="1">VLOOKUP(A718,Calculation!$F$6:$J$1004,3,FALSE)</f>
        <v/>
      </c>
      <c r="H718" s="4" t="str">
        <f ca="1">VLOOKUP(A718,Calculation!$F$6:$J$1004,4,FALSE)</f>
        <v/>
      </c>
      <c r="I718" s="4" t="str">
        <f ca="1">VLOOKUP(A718,Calculation!$F$6:$J$1004,5,FALSE)</f>
        <v/>
      </c>
      <c r="J718" s="43" t="str">
        <f t="shared" ca="1" si="5"/>
        <v/>
      </c>
      <c r="L718" s="29" t="str">
        <f ca="1">VLOOKUP(A718,Calculation!$G$6:$S$1004,2,FALSE)</f>
        <v/>
      </c>
      <c r="M718" s="4" t="str">
        <f ca="1">IFERROR(VLOOKUP($L718,Calculation!$H$6:$S$1005,HLOOKUP(M$2,Calculation!$M$4:$S$5,2,FALSE)+5,FALSE),"")</f>
        <v/>
      </c>
      <c r="N718" s="4" t="str">
        <f ca="1">IFERROR(VLOOKUP($L718,Calculation!$H$6:$S$1005,HLOOKUP(N$2,Calculation!$M$4:$S$5,2,FALSE)+5,FALSE),"")</f>
        <v/>
      </c>
      <c r="O718" s="4" t="str">
        <f ca="1">IFERROR(VLOOKUP($L718,Calculation!$H$6:$S$1005,HLOOKUP(O$2,Calculation!$M$4:$S$5,2,FALSE)+5,FALSE),"")</f>
        <v/>
      </c>
      <c r="P718" s="4" t="str">
        <f ca="1">IFERROR(VLOOKUP($L718,Calculation!$H$6:$S$1005,HLOOKUP(P$2,Calculation!$M$4:$S$5,2,FALSE)+5,FALSE),"")</f>
        <v/>
      </c>
      <c r="Q718" s="4" t="str">
        <f ca="1">IFERROR(VLOOKUP($L718,Calculation!$H$6:$S$1005,HLOOKUP(Q$2,Calculation!$M$4:$S$5,2,FALSE)+5,FALSE),"")</f>
        <v/>
      </c>
      <c r="R718" s="27" t="str">
        <f ca="1">IFERROR(VLOOKUP($L718,Calculation!$H$6:$S$1005,HLOOKUP(R$2,Calculation!$M$4:$S$5,2,FALSE)+5,FALSE),"")</f>
        <v/>
      </c>
      <c r="S718" s="4" t="str">
        <f ca="1">IFERROR(VLOOKUP($L718,Calculation!$H$6:$S$1005,HLOOKUP(S$2,Calculation!$M$4:$S$5,2,FALSE)+5,FALSE),"")</f>
        <v/>
      </c>
      <c r="T718" s="29"/>
      <c r="U718" s="43" t="str">
        <f>IFERROR(VLOOKUP(T718,Calculation!$U$6:$V$11,2,FALSE),"")</f>
        <v/>
      </c>
    </row>
    <row r="719" spans="1:21" ht="14.25" customHeight="1" x14ac:dyDescent="0.3">
      <c r="A719" s="26" t="str">
        <f ca="1">IF(Calculation!T722&lt;=Calculation!$H$4,Calculation!T722,"")</f>
        <v/>
      </c>
      <c r="B719" s="4" t="str">
        <f ca="1">VLOOKUP(A719,Calculation!$E$6:$J$1004,4,FALSE)</f>
        <v/>
      </c>
      <c r="C719" s="4" t="str">
        <f ca="1">VLOOKUP(A719,Calculation!$E$6:$J$1004,5,FALSE)</f>
        <v/>
      </c>
      <c r="D719" s="4" t="str">
        <f ca="1">VLOOKUP(A719,Calculation!$E$6:$J$1004,6,FALSE)</f>
        <v/>
      </c>
      <c r="E719" s="42" t="str">
        <f t="shared" ca="1" si="4"/>
        <v/>
      </c>
      <c r="G719" s="29" t="str">
        <f ca="1">VLOOKUP(A719,Calculation!$F$6:$J$1004,3,FALSE)</f>
        <v/>
      </c>
      <c r="H719" s="4" t="str">
        <f ca="1">VLOOKUP(A719,Calculation!$F$6:$J$1004,4,FALSE)</f>
        <v/>
      </c>
      <c r="I719" s="4" t="str">
        <f ca="1">VLOOKUP(A719,Calculation!$F$6:$J$1004,5,FALSE)</f>
        <v/>
      </c>
      <c r="J719" s="43" t="str">
        <f t="shared" ca="1" si="5"/>
        <v/>
      </c>
      <c r="L719" s="29" t="str">
        <f ca="1">VLOOKUP(A719,Calculation!$G$6:$S$1004,2,FALSE)</f>
        <v/>
      </c>
      <c r="M719" s="4" t="str">
        <f ca="1">IFERROR(VLOOKUP($L719,Calculation!$H$6:$S$1005,HLOOKUP(M$2,Calculation!$M$4:$S$5,2,FALSE)+5,FALSE),"")</f>
        <v/>
      </c>
      <c r="N719" s="4" t="str">
        <f ca="1">IFERROR(VLOOKUP($L719,Calculation!$H$6:$S$1005,HLOOKUP(N$2,Calculation!$M$4:$S$5,2,FALSE)+5,FALSE),"")</f>
        <v/>
      </c>
      <c r="O719" s="4" t="str">
        <f ca="1">IFERROR(VLOOKUP($L719,Calculation!$H$6:$S$1005,HLOOKUP(O$2,Calculation!$M$4:$S$5,2,FALSE)+5,FALSE),"")</f>
        <v/>
      </c>
      <c r="P719" s="4" t="str">
        <f ca="1">IFERROR(VLOOKUP($L719,Calculation!$H$6:$S$1005,HLOOKUP(P$2,Calculation!$M$4:$S$5,2,FALSE)+5,FALSE),"")</f>
        <v/>
      </c>
      <c r="Q719" s="4" t="str">
        <f ca="1">IFERROR(VLOOKUP($L719,Calculation!$H$6:$S$1005,HLOOKUP(Q$2,Calculation!$M$4:$S$5,2,FALSE)+5,FALSE),"")</f>
        <v/>
      </c>
      <c r="R719" s="27" t="str">
        <f ca="1">IFERROR(VLOOKUP($L719,Calculation!$H$6:$S$1005,HLOOKUP(R$2,Calculation!$M$4:$S$5,2,FALSE)+5,FALSE),"")</f>
        <v/>
      </c>
      <c r="S719" s="4" t="str">
        <f ca="1">IFERROR(VLOOKUP($L719,Calculation!$H$6:$S$1005,HLOOKUP(S$2,Calculation!$M$4:$S$5,2,FALSE)+5,FALSE),"")</f>
        <v/>
      </c>
      <c r="T719" s="29"/>
      <c r="U719" s="43" t="str">
        <f>IFERROR(VLOOKUP(T719,Calculation!$U$6:$V$11,2,FALSE),"")</f>
        <v/>
      </c>
    </row>
    <row r="720" spans="1:21" ht="14.25" customHeight="1" x14ac:dyDescent="0.3">
      <c r="A720" s="26" t="str">
        <f ca="1">IF(Calculation!T723&lt;=Calculation!$H$4,Calculation!T723,"")</f>
        <v/>
      </c>
      <c r="B720" s="4" t="str">
        <f ca="1">VLOOKUP(A720,Calculation!$E$6:$J$1004,4,FALSE)</f>
        <v/>
      </c>
      <c r="C720" s="4" t="str">
        <f ca="1">VLOOKUP(A720,Calculation!$E$6:$J$1004,5,FALSE)</f>
        <v/>
      </c>
      <c r="D720" s="4" t="str">
        <f ca="1">VLOOKUP(A720,Calculation!$E$6:$J$1004,6,FALSE)</f>
        <v/>
      </c>
      <c r="E720" s="42" t="str">
        <f t="shared" ca="1" si="4"/>
        <v/>
      </c>
      <c r="G720" s="29" t="str">
        <f ca="1">VLOOKUP(A720,Calculation!$F$6:$J$1004,3,FALSE)</f>
        <v/>
      </c>
      <c r="H720" s="4" t="str">
        <f ca="1">VLOOKUP(A720,Calculation!$F$6:$J$1004,4,FALSE)</f>
        <v/>
      </c>
      <c r="I720" s="4" t="str">
        <f ca="1">VLOOKUP(A720,Calculation!$F$6:$J$1004,5,FALSE)</f>
        <v/>
      </c>
      <c r="J720" s="43" t="str">
        <f t="shared" ca="1" si="5"/>
        <v/>
      </c>
      <c r="L720" s="29" t="str">
        <f ca="1">VLOOKUP(A720,Calculation!$G$6:$S$1004,2,FALSE)</f>
        <v/>
      </c>
      <c r="M720" s="4" t="str">
        <f ca="1">IFERROR(VLOOKUP($L720,Calculation!$H$6:$S$1005,HLOOKUP(M$2,Calculation!$M$4:$S$5,2,FALSE)+5,FALSE),"")</f>
        <v/>
      </c>
      <c r="N720" s="4" t="str">
        <f ca="1">IFERROR(VLOOKUP($L720,Calculation!$H$6:$S$1005,HLOOKUP(N$2,Calculation!$M$4:$S$5,2,FALSE)+5,FALSE),"")</f>
        <v/>
      </c>
      <c r="O720" s="4" t="str">
        <f ca="1">IFERROR(VLOOKUP($L720,Calculation!$H$6:$S$1005,HLOOKUP(O$2,Calculation!$M$4:$S$5,2,FALSE)+5,FALSE),"")</f>
        <v/>
      </c>
      <c r="P720" s="4" t="str">
        <f ca="1">IFERROR(VLOOKUP($L720,Calculation!$H$6:$S$1005,HLOOKUP(P$2,Calculation!$M$4:$S$5,2,FALSE)+5,FALSE),"")</f>
        <v/>
      </c>
      <c r="Q720" s="4" t="str">
        <f ca="1">IFERROR(VLOOKUP($L720,Calculation!$H$6:$S$1005,HLOOKUP(Q$2,Calculation!$M$4:$S$5,2,FALSE)+5,FALSE),"")</f>
        <v/>
      </c>
      <c r="R720" s="27" t="str">
        <f ca="1">IFERROR(VLOOKUP($L720,Calculation!$H$6:$S$1005,HLOOKUP(R$2,Calculation!$M$4:$S$5,2,FALSE)+5,FALSE),"")</f>
        <v/>
      </c>
      <c r="S720" s="4" t="str">
        <f ca="1">IFERROR(VLOOKUP($L720,Calculation!$H$6:$S$1005,HLOOKUP(S$2,Calculation!$M$4:$S$5,2,FALSE)+5,FALSE),"")</f>
        <v/>
      </c>
      <c r="T720" s="29"/>
      <c r="U720" s="43" t="str">
        <f>IFERROR(VLOOKUP(T720,Calculation!$U$6:$V$11,2,FALSE),"")</f>
        <v/>
      </c>
    </row>
    <row r="721" spans="1:21" ht="14.25" customHeight="1" x14ac:dyDescent="0.3">
      <c r="A721" s="26" t="str">
        <f ca="1">IF(Calculation!T724&lt;=Calculation!$H$4,Calculation!T724,"")</f>
        <v/>
      </c>
      <c r="B721" s="4" t="str">
        <f ca="1">VLOOKUP(A721,Calculation!$E$6:$J$1004,4,FALSE)</f>
        <v/>
      </c>
      <c r="C721" s="4" t="str">
        <f ca="1">VLOOKUP(A721,Calculation!$E$6:$J$1004,5,FALSE)</f>
        <v/>
      </c>
      <c r="D721" s="4" t="str">
        <f ca="1">VLOOKUP(A721,Calculation!$E$6:$J$1004,6,FALSE)</f>
        <v/>
      </c>
      <c r="E721" s="42" t="str">
        <f t="shared" ca="1" si="4"/>
        <v/>
      </c>
      <c r="G721" s="29" t="str">
        <f ca="1">VLOOKUP(A721,Calculation!$F$6:$J$1004,3,FALSE)</f>
        <v/>
      </c>
      <c r="H721" s="4" t="str">
        <f ca="1">VLOOKUP(A721,Calculation!$F$6:$J$1004,4,FALSE)</f>
        <v/>
      </c>
      <c r="I721" s="4" t="str">
        <f ca="1">VLOOKUP(A721,Calculation!$F$6:$J$1004,5,FALSE)</f>
        <v/>
      </c>
      <c r="J721" s="43" t="str">
        <f t="shared" ca="1" si="5"/>
        <v/>
      </c>
      <c r="L721" s="29" t="str">
        <f ca="1">VLOOKUP(A721,Calculation!$G$6:$S$1004,2,FALSE)</f>
        <v/>
      </c>
      <c r="M721" s="4" t="str">
        <f ca="1">IFERROR(VLOOKUP($L721,Calculation!$H$6:$S$1005,HLOOKUP(M$2,Calculation!$M$4:$S$5,2,FALSE)+5,FALSE),"")</f>
        <v/>
      </c>
      <c r="N721" s="4" t="str">
        <f ca="1">IFERROR(VLOOKUP($L721,Calculation!$H$6:$S$1005,HLOOKUP(N$2,Calculation!$M$4:$S$5,2,FALSE)+5,FALSE),"")</f>
        <v/>
      </c>
      <c r="O721" s="4" t="str">
        <f ca="1">IFERROR(VLOOKUP($L721,Calculation!$H$6:$S$1005,HLOOKUP(O$2,Calculation!$M$4:$S$5,2,FALSE)+5,FALSE),"")</f>
        <v/>
      </c>
      <c r="P721" s="4" t="str">
        <f ca="1">IFERROR(VLOOKUP($L721,Calculation!$H$6:$S$1005,HLOOKUP(P$2,Calculation!$M$4:$S$5,2,FALSE)+5,FALSE),"")</f>
        <v/>
      </c>
      <c r="Q721" s="4" t="str">
        <f ca="1">IFERROR(VLOOKUP($L721,Calculation!$H$6:$S$1005,HLOOKUP(Q$2,Calculation!$M$4:$S$5,2,FALSE)+5,FALSE),"")</f>
        <v/>
      </c>
      <c r="R721" s="27" t="str">
        <f ca="1">IFERROR(VLOOKUP($L721,Calculation!$H$6:$S$1005,HLOOKUP(R$2,Calculation!$M$4:$S$5,2,FALSE)+5,FALSE),"")</f>
        <v/>
      </c>
      <c r="S721" s="4" t="str">
        <f ca="1">IFERROR(VLOOKUP($L721,Calculation!$H$6:$S$1005,HLOOKUP(S$2,Calculation!$M$4:$S$5,2,FALSE)+5,FALSE),"")</f>
        <v/>
      </c>
      <c r="T721" s="29"/>
      <c r="U721" s="43" t="str">
        <f>IFERROR(VLOOKUP(T721,Calculation!$U$6:$V$11,2,FALSE),"")</f>
        <v/>
      </c>
    </row>
    <row r="722" spans="1:21" ht="14.25" customHeight="1" x14ac:dyDescent="0.3">
      <c r="A722" s="26" t="str">
        <f ca="1">IF(Calculation!T725&lt;=Calculation!$H$4,Calculation!T725,"")</f>
        <v/>
      </c>
      <c r="B722" s="4" t="str">
        <f ca="1">VLOOKUP(A722,Calculation!$E$6:$J$1004,4,FALSE)</f>
        <v/>
      </c>
      <c r="C722" s="4" t="str">
        <f ca="1">VLOOKUP(A722,Calculation!$E$6:$J$1004,5,FALSE)</f>
        <v/>
      </c>
      <c r="D722" s="4" t="str">
        <f ca="1">VLOOKUP(A722,Calculation!$E$6:$J$1004,6,FALSE)</f>
        <v/>
      </c>
      <c r="E722" s="42" t="str">
        <f t="shared" ca="1" si="4"/>
        <v/>
      </c>
      <c r="G722" s="29" t="str">
        <f ca="1">VLOOKUP(A722,Calculation!$F$6:$J$1004,3,FALSE)</f>
        <v/>
      </c>
      <c r="H722" s="4" t="str">
        <f ca="1">VLOOKUP(A722,Calculation!$F$6:$J$1004,4,FALSE)</f>
        <v/>
      </c>
      <c r="I722" s="4" t="str">
        <f ca="1">VLOOKUP(A722,Calculation!$F$6:$J$1004,5,FALSE)</f>
        <v/>
      </c>
      <c r="J722" s="43" t="str">
        <f t="shared" ca="1" si="5"/>
        <v/>
      </c>
      <c r="L722" s="29" t="str">
        <f ca="1">VLOOKUP(A722,Calculation!$G$6:$S$1004,2,FALSE)</f>
        <v/>
      </c>
      <c r="M722" s="4" t="str">
        <f ca="1">IFERROR(VLOOKUP($L722,Calculation!$H$6:$S$1005,HLOOKUP(M$2,Calculation!$M$4:$S$5,2,FALSE)+5,FALSE),"")</f>
        <v/>
      </c>
      <c r="N722" s="4" t="str">
        <f ca="1">IFERROR(VLOOKUP($L722,Calculation!$H$6:$S$1005,HLOOKUP(N$2,Calculation!$M$4:$S$5,2,FALSE)+5,FALSE),"")</f>
        <v/>
      </c>
      <c r="O722" s="4" t="str">
        <f ca="1">IFERROR(VLOOKUP($L722,Calculation!$H$6:$S$1005,HLOOKUP(O$2,Calculation!$M$4:$S$5,2,FALSE)+5,FALSE),"")</f>
        <v/>
      </c>
      <c r="P722" s="4" t="str">
        <f ca="1">IFERROR(VLOOKUP($L722,Calculation!$H$6:$S$1005,HLOOKUP(P$2,Calculation!$M$4:$S$5,2,FALSE)+5,FALSE),"")</f>
        <v/>
      </c>
      <c r="Q722" s="4" t="str">
        <f ca="1">IFERROR(VLOOKUP($L722,Calculation!$H$6:$S$1005,HLOOKUP(Q$2,Calculation!$M$4:$S$5,2,FALSE)+5,FALSE),"")</f>
        <v/>
      </c>
      <c r="R722" s="27" t="str">
        <f ca="1">IFERROR(VLOOKUP($L722,Calculation!$H$6:$S$1005,HLOOKUP(R$2,Calculation!$M$4:$S$5,2,FALSE)+5,FALSE),"")</f>
        <v/>
      </c>
      <c r="S722" s="4" t="str">
        <f ca="1">IFERROR(VLOOKUP($L722,Calculation!$H$6:$S$1005,HLOOKUP(S$2,Calculation!$M$4:$S$5,2,FALSE)+5,FALSE),"")</f>
        <v/>
      </c>
      <c r="T722" s="29"/>
      <c r="U722" s="43" t="str">
        <f>IFERROR(VLOOKUP(T722,Calculation!$U$6:$V$11,2,FALSE),"")</f>
        <v/>
      </c>
    </row>
    <row r="723" spans="1:21" ht="14.25" customHeight="1" x14ac:dyDescent="0.3">
      <c r="A723" s="26" t="str">
        <f ca="1">IF(Calculation!T726&lt;=Calculation!$H$4,Calculation!T726,"")</f>
        <v/>
      </c>
      <c r="B723" s="4" t="str">
        <f ca="1">VLOOKUP(A723,Calculation!$E$6:$J$1004,4,FALSE)</f>
        <v/>
      </c>
      <c r="C723" s="4" t="str">
        <f ca="1">VLOOKUP(A723,Calculation!$E$6:$J$1004,5,FALSE)</f>
        <v/>
      </c>
      <c r="D723" s="4" t="str">
        <f ca="1">VLOOKUP(A723,Calculation!$E$6:$J$1004,6,FALSE)</f>
        <v/>
      </c>
      <c r="E723" s="42" t="str">
        <f t="shared" ca="1" si="4"/>
        <v/>
      </c>
      <c r="G723" s="29" t="str">
        <f ca="1">VLOOKUP(A723,Calculation!$F$6:$J$1004,3,FALSE)</f>
        <v/>
      </c>
      <c r="H723" s="4" t="str">
        <f ca="1">VLOOKUP(A723,Calculation!$F$6:$J$1004,4,FALSE)</f>
        <v/>
      </c>
      <c r="I723" s="4" t="str">
        <f ca="1">VLOOKUP(A723,Calculation!$F$6:$J$1004,5,FALSE)</f>
        <v/>
      </c>
      <c r="J723" s="43" t="str">
        <f t="shared" ca="1" si="5"/>
        <v/>
      </c>
      <c r="L723" s="29" t="str">
        <f ca="1">VLOOKUP(A723,Calculation!$G$6:$S$1004,2,FALSE)</f>
        <v/>
      </c>
      <c r="M723" s="4" t="str">
        <f ca="1">IFERROR(VLOOKUP($L723,Calculation!$H$6:$S$1005,HLOOKUP(M$2,Calculation!$M$4:$S$5,2,FALSE)+5,FALSE),"")</f>
        <v/>
      </c>
      <c r="N723" s="4" t="str">
        <f ca="1">IFERROR(VLOOKUP($L723,Calculation!$H$6:$S$1005,HLOOKUP(N$2,Calculation!$M$4:$S$5,2,FALSE)+5,FALSE),"")</f>
        <v/>
      </c>
      <c r="O723" s="4" t="str">
        <f ca="1">IFERROR(VLOOKUP($L723,Calculation!$H$6:$S$1005,HLOOKUP(O$2,Calculation!$M$4:$S$5,2,FALSE)+5,FALSE),"")</f>
        <v/>
      </c>
      <c r="P723" s="4" t="str">
        <f ca="1">IFERROR(VLOOKUP($L723,Calculation!$H$6:$S$1005,HLOOKUP(P$2,Calculation!$M$4:$S$5,2,FALSE)+5,FALSE),"")</f>
        <v/>
      </c>
      <c r="Q723" s="4" t="str">
        <f ca="1">IFERROR(VLOOKUP($L723,Calculation!$H$6:$S$1005,HLOOKUP(Q$2,Calculation!$M$4:$S$5,2,FALSE)+5,FALSE),"")</f>
        <v/>
      </c>
      <c r="R723" s="27" t="str">
        <f ca="1">IFERROR(VLOOKUP($L723,Calculation!$H$6:$S$1005,HLOOKUP(R$2,Calculation!$M$4:$S$5,2,FALSE)+5,FALSE),"")</f>
        <v/>
      </c>
      <c r="S723" s="4" t="str">
        <f ca="1">IFERROR(VLOOKUP($L723,Calculation!$H$6:$S$1005,HLOOKUP(S$2,Calculation!$M$4:$S$5,2,FALSE)+5,FALSE),"")</f>
        <v/>
      </c>
      <c r="T723" s="29"/>
      <c r="U723" s="43" t="str">
        <f>IFERROR(VLOOKUP(T723,Calculation!$U$6:$V$11,2,FALSE),"")</f>
        <v/>
      </c>
    </row>
    <row r="724" spans="1:21" ht="14.25" customHeight="1" x14ac:dyDescent="0.3">
      <c r="A724" s="26" t="str">
        <f ca="1">IF(Calculation!T727&lt;=Calculation!$H$4,Calculation!T727,"")</f>
        <v/>
      </c>
      <c r="B724" s="4" t="str">
        <f ca="1">VLOOKUP(A724,Calculation!$E$6:$J$1004,4,FALSE)</f>
        <v/>
      </c>
      <c r="C724" s="4" t="str">
        <f ca="1">VLOOKUP(A724,Calculation!$E$6:$J$1004,5,FALSE)</f>
        <v/>
      </c>
      <c r="D724" s="4" t="str">
        <f ca="1">VLOOKUP(A724,Calculation!$E$6:$J$1004,6,FALSE)</f>
        <v/>
      </c>
      <c r="E724" s="42" t="str">
        <f t="shared" ca="1" si="4"/>
        <v/>
      </c>
      <c r="G724" s="29" t="str">
        <f ca="1">VLOOKUP(A724,Calculation!$F$6:$J$1004,3,FALSE)</f>
        <v/>
      </c>
      <c r="H724" s="4" t="str">
        <f ca="1">VLOOKUP(A724,Calculation!$F$6:$J$1004,4,FALSE)</f>
        <v/>
      </c>
      <c r="I724" s="4" t="str">
        <f ca="1">VLOOKUP(A724,Calculation!$F$6:$J$1004,5,FALSE)</f>
        <v/>
      </c>
      <c r="J724" s="43" t="str">
        <f t="shared" ca="1" si="5"/>
        <v/>
      </c>
      <c r="L724" s="29" t="str">
        <f ca="1">VLOOKUP(A724,Calculation!$G$6:$S$1004,2,FALSE)</f>
        <v/>
      </c>
      <c r="M724" s="4" t="str">
        <f ca="1">IFERROR(VLOOKUP($L724,Calculation!$H$6:$S$1005,HLOOKUP(M$2,Calculation!$M$4:$S$5,2,FALSE)+5,FALSE),"")</f>
        <v/>
      </c>
      <c r="N724" s="4" t="str">
        <f ca="1">IFERROR(VLOOKUP($L724,Calculation!$H$6:$S$1005,HLOOKUP(N$2,Calculation!$M$4:$S$5,2,FALSE)+5,FALSE),"")</f>
        <v/>
      </c>
      <c r="O724" s="4" t="str">
        <f ca="1">IFERROR(VLOOKUP($L724,Calculation!$H$6:$S$1005,HLOOKUP(O$2,Calculation!$M$4:$S$5,2,FALSE)+5,FALSE),"")</f>
        <v/>
      </c>
      <c r="P724" s="4" t="str">
        <f ca="1">IFERROR(VLOOKUP($L724,Calculation!$H$6:$S$1005,HLOOKUP(P$2,Calculation!$M$4:$S$5,2,FALSE)+5,FALSE),"")</f>
        <v/>
      </c>
      <c r="Q724" s="4" t="str">
        <f ca="1">IFERROR(VLOOKUP($L724,Calculation!$H$6:$S$1005,HLOOKUP(Q$2,Calculation!$M$4:$S$5,2,FALSE)+5,FALSE),"")</f>
        <v/>
      </c>
      <c r="R724" s="27" t="str">
        <f ca="1">IFERROR(VLOOKUP($L724,Calculation!$H$6:$S$1005,HLOOKUP(R$2,Calculation!$M$4:$S$5,2,FALSE)+5,FALSE),"")</f>
        <v/>
      </c>
      <c r="S724" s="4" t="str">
        <f ca="1">IFERROR(VLOOKUP($L724,Calculation!$H$6:$S$1005,HLOOKUP(S$2,Calculation!$M$4:$S$5,2,FALSE)+5,FALSE),"")</f>
        <v/>
      </c>
      <c r="T724" s="29"/>
      <c r="U724" s="43" t="str">
        <f>IFERROR(VLOOKUP(T724,Calculation!$U$6:$V$11,2,FALSE),"")</f>
        <v/>
      </c>
    </row>
    <row r="725" spans="1:21" ht="14.25" customHeight="1" x14ac:dyDescent="0.3">
      <c r="A725" s="26" t="str">
        <f ca="1">IF(Calculation!T728&lt;=Calculation!$H$4,Calculation!T728,"")</f>
        <v/>
      </c>
      <c r="B725" s="4" t="str">
        <f ca="1">VLOOKUP(A725,Calculation!$E$6:$J$1004,4,FALSE)</f>
        <v/>
      </c>
      <c r="C725" s="4" t="str">
        <f ca="1">VLOOKUP(A725,Calculation!$E$6:$J$1004,5,FALSE)</f>
        <v/>
      </c>
      <c r="D725" s="4" t="str">
        <f ca="1">VLOOKUP(A725,Calculation!$E$6:$J$1004,6,FALSE)</f>
        <v/>
      </c>
      <c r="E725" s="42" t="str">
        <f t="shared" ca="1" si="4"/>
        <v/>
      </c>
      <c r="G725" s="29" t="str">
        <f ca="1">VLOOKUP(A725,Calculation!$F$6:$J$1004,3,FALSE)</f>
        <v/>
      </c>
      <c r="H725" s="4" t="str">
        <f ca="1">VLOOKUP(A725,Calculation!$F$6:$J$1004,4,FALSE)</f>
        <v/>
      </c>
      <c r="I725" s="4" t="str">
        <f ca="1">VLOOKUP(A725,Calculation!$F$6:$J$1004,5,FALSE)</f>
        <v/>
      </c>
      <c r="J725" s="43" t="str">
        <f t="shared" ca="1" si="5"/>
        <v/>
      </c>
      <c r="L725" s="29" t="str">
        <f ca="1">VLOOKUP(A725,Calculation!$G$6:$S$1004,2,FALSE)</f>
        <v/>
      </c>
      <c r="M725" s="4" t="str">
        <f ca="1">IFERROR(VLOOKUP($L725,Calculation!$H$6:$S$1005,HLOOKUP(M$2,Calculation!$M$4:$S$5,2,FALSE)+5,FALSE),"")</f>
        <v/>
      </c>
      <c r="N725" s="4" t="str">
        <f ca="1">IFERROR(VLOOKUP($L725,Calculation!$H$6:$S$1005,HLOOKUP(N$2,Calculation!$M$4:$S$5,2,FALSE)+5,FALSE),"")</f>
        <v/>
      </c>
      <c r="O725" s="4" t="str">
        <f ca="1">IFERROR(VLOOKUP($L725,Calculation!$H$6:$S$1005,HLOOKUP(O$2,Calculation!$M$4:$S$5,2,FALSE)+5,FALSE),"")</f>
        <v/>
      </c>
      <c r="P725" s="4" t="str">
        <f ca="1">IFERROR(VLOOKUP($L725,Calculation!$H$6:$S$1005,HLOOKUP(P$2,Calculation!$M$4:$S$5,2,FALSE)+5,FALSE),"")</f>
        <v/>
      </c>
      <c r="Q725" s="4" t="str">
        <f ca="1">IFERROR(VLOOKUP($L725,Calculation!$H$6:$S$1005,HLOOKUP(Q$2,Calculation!$M$4:$S$5,2,FALSE)+5,FALSE),"")</f>
        <v/>
      </c>
      <c r="R725" s="27" t="str">
        <f ca="1">IFERROR(VLOOKUP($L725,Calculation!$H$6:$S$1005,HLOOKUP(R$2,Calculation!$M$4:$S$5,2,FALSE)+5,FALSE),"")</f>
        <v/>
      </c>
      <c r="S725" s="4" t="str">
        <f ca="1">IFERROR(VLOOKUP($L725,Calculation!$H$6:$S$1005,HLOOKUP(S$2,Calculation!$M$4:$S$5,2,FALSE)+5,FALSE),"")</f>
        <v/>
      </c>
      <c r="T725" s="29"/>
      <c r="U725" s="43" t="str">
        <f>IFERROR(VLOOKUP(T725,Calculation!$U$6:$V$11,2,FALSE),"")</f>
        <v/>
      </c>
    </row>
    <row r="726" spans="1:21" ht="14.25" customHeight="1" x14ac:dyDescent="0.3">
      <c r="A726" s="26" t="str">
        <f ca="1">IF(Calculation!T729&lt;=Calculation!$H$4,Calculation!T729,"")</f>
        <v/>
      </c>
      <c r="B726" s="4" t="str">
        <f ca="1">VLOOKUP(A726,Calculation!$E$6:$J$1004,4,FALSE)</f>
        <v/>
      </c>
      <c r="C726" s="4" t="str">
        <f ca="1">VLOOKUP(A726,Calculation!$E$6:$J$1004,5,FALSE)</f>
        <v/>
      </c>
      <c r="D726" s="4" t="str">
        <f ca="1">VLOOKUP(A726,Calculation!$E$6:$J$1004,6,FALSE)</f>
        <v/>
      </c>
      <c r="E726" s="42" t="str">
        <f t="shared" ca="1" si="4"/>
        <v/>
      </c>
      <c r="G726" s="29" t="str">
        <f ca="1">VLOOKUP(A726,Calculation!$F$6:$J$1004,3,FALSE)</f>
        <v/>
      </c>
      <c r="H726" s="4" t="str">
        <f ca="1">VLOOKUP(A726,Calculation!$F$6:$J$1004,4,FALSE)</f>
        <v/>
      </c>
      <c r="I726" s="4" t="str">
        <f ca="1">VLOOKUP(A726,Calculation!$F$6:$J$1004,5,FALSE)</f>
        <v/>
      </c>
      <c r="J726" s="43" t="str">
        <f t="shared" ca="1" si="5"/>
        <v/>
      </c>
      <c r="L726" s="29" t="str">
        <f ca="1">VLOOKUP(A726,Calculation!$G$6:$S$1004,2,FALSE)</f>
        <v/>
      </c>
      <c r="M726" s="4" t="str">
        <f ca="1">IFERROR(VLOOKUP($L726,Calculation!$H$6:$S$1005,HLOOKUP(M$2,Calculation!$M$4:$S$5,2,FALSE)+5,FALSE),"")</f>
        <v/>
      </c>
      <c r="N726" s="4" t="str">
        <f ca="1">IFERROR(VLOOKUP($L726,Calculation!$H$6:$S$1005,HLOOKUP(N$2,Calculation!$M$4:$S$5,2,FALSE)+5,FALSE),"")</f>
        <v/>
      </c>
      <c r="O726" s="4" t="str">
        <f ca="1">IFERROR(VLOOKUP($L726,Calculation!$H$6:$S$1005,HLOOKUP(O$2,Calculation!$M$4:$S$5,2,FALSE)+5,FALSE),"")</f>
        <v/>
      </c>
      <c r="P726" s="4" t="str">
        <f ca="1">IFERROR(VLOOKUP($L726,Calculation!$H$6:$S$1005,HLOOKUP(P$2,Calculation!$M$4:$S$5,2,FALSE)+5,FALSE),"")</f>
        <v/>
      </c>
      <c r="Q726" s="4" t="str">
        <f ca="1">IFERROR(VLOOKUP($L726,Calculation!$H$6:$S$1005,HLOOKUP(Q$2,Calculation!$M$4:$S$5,2,FALSE)+5,FALSE),"")</f>
        <v/>
      </c>
      <c r="R726" s="27" t="str">
        <f ca="1">IFERROR(VLOOKUP($L726,Calculation!$H$6:$S$1005,HLOOKUP(R$2,Calculation!$M$4:$S$5,2,FALSE)+5,FALSE),"")</f>
        <v/>
      </c>
      <c r="S726" s="4" t="str">
        <f ca="1">IFERROR(VLOOKUP($L726,Calculation!$H$6:$S$1005,HLOOKUP(S$2,Calculation!$M$4:$S$5,2,FALSE)+5,FALSE),"")</f>
        <v/>
      </c>
      <c r="T726" s="29"/>
      <c r="U726" s="43" t="str">
        <f>IFERROR(VLOOKUP(T726,Calculation!$U$6:$V$11,2,FALSE),"")</f>
        <v/>
      </c>
    </row>
    <row r="727" spans="1:21" ht="14.25" customHeight="1" x14ac:dyDescent="0.3">
      <c r="A727" s="26" t="str">
        <f ca="1">IF(Calculation!T730&lt;=Calculation!$H$4,Calculation!T730,"")</f>
        <v/>
      </c>
      <c r="B727" s="4" t="str">
        <f ca="1">VLOOKUP(A727,Calculation!$E$6:$J$1004,4,FALSE)</f>
        <v/>
      </c>
      <c r="C727" s="4" t="str">
        <f ca="1">VLOOKUP(A727,Calculation!$E$6:$J$1004,5,FALSE)</f>
        <v/>
      </c>
      <c r="D727" s="4" t="str">
        <f ca="1">VLOOKUP(A727,Calculation!$E$6:$J$1004,6,FALSE)</f>
        <v/>
      </c>
      <c r="E727" s="42" t="str">
        <f t="shared" ca="1" si="4"/>
        <v/>
      </c>
      <c r="G727" s="29" t="str">
        <f ca="1">VLOOKUP(A727,Calculation!$F$6:$J$1004,3,FALSE)</f>
        <v/>
      </c>
      <c r="H727" s="4" t="str">
        <f ca="1">VLOOKUP(A727,Calculation!$F$6:$J$1004,4,FALSE)</f>
        <v/>
      </c>
      <c r="I727" s="4" t="str">
        <f ca="1">VLOOKUP(A727,Calculation!$F$6:$J$1004,5,FALSE)</f>
        <v/>
      </c>
      <c r="J727" s="43" t="str">
        <f t="shared" ca="1" si="5"/>
        <v/>
      </c>
      <c r="L727" s="29" t="str">
        <f ca="1">VLOOKUP(A727,Calculation!$G$6:$S$1004,2,FALSE)</f>
        <v/>
      </c>
      <c r="M727" s="4" t="str">
        <f ca="1">IFERROR(VLOOKUP($L727,Calculation!$H$6:$S$1005,HLOOKUP(M$2,Calculation!$M$4:$S$5,2,FALSE)+5,FALSE),"")</f>
        <v/>
      </c>
      <c r="N727" s="4" t="str">
        <f ca="1">IFERROR(VLOOKUP($L727,Calculation!$H$6:$S$1005,HLOOKUP(N$2,Calculation!$M$4:$S$5,2,FALSE)+5,FALSE),"")</f>
        <v/>
      </c>
      <c r="O727" s="4" t="str">
        <f ca="1">IFERROR(VLOOKUP($L727,Calculation!$H$6:$S$1005,HLOOKUP(O$2,Calculation!$M$4:$S$5,2,FALSE)+5,FALSE),"")</f>
        <v/>
      </c>
      <c r="P727" s="4" t="str">
        <f ca="1">IFERROR(VLOOKUP($L727,Calculation!$H$6:$S$1005,HLOOKUP(P$2,Calculation!$M$4:$S$5,2,FALSE)+5,FALSE),"")</f>
        <v/>
      </c>
      <c r="Q727" s="4" t="str">
        <f ca="1">IFERROR(VLOOKUP($L727,Calculation!$H$6:$S$1005,HLOOKUP(Q$2,Calculation!$M$4:$S$5,2,FALSE)+5,FALSE),"")</f>
        <v/>
      </c>
      <c r="R727" s="27" t="str">
        <f ca="1">IFERROR(VLOOKUP($L727,Calculation!$H$6:$S$1005,HLOOKUP(R$2,Calculation!$M$4:$S$5,2,FALSE)+5,FALSE),"")</f>
        <v/>
      </c>
      <c r="S727" s="4" t="str">
        <f ca="1">IFERROR(VLOOKUP($L727,Calculation!$H$6:$S$1005,HLOOKUP(S$2,Calculation!$M$4:$S$5,2,FALSE)+5,FALSE),"")</f>
        <v/>
      </c>
      <c r="T727" s="29"/>
      <c r="U727" s="43" t="str">
        <f>IFERROR(VLOOKUP(T727,Calculation!$U$6:$V$11,2,FALSE),"")</f>
        <v/>
      </c>
    </row>
    <row r="728" spans="1:21" ht="14.25" customHeight="1" x14ac:dyDescent="0.3">
      <c r="A728" s="26" t="str">
        <f ca="1">IF(Calculation!T731&lt;=Calculation!$H$4,Calculation!T731,"")</f>
        <v/>
      </c>
      <c r="B728" s="4" t="str">
        <f ca="1">VLOOKUP(A728,Calculation!$E$6:$J$1004,4,FALSE)</f>
        <v/>
      </c>
      <c r="C728" s="4" t="str">
        <f ca="1">VLOOKUP(A728,Calculation!$E$6:$J$1004,5,FALSE)</f>
        <v/>
      </c>
      <c r="D728" s="4" t="str">
        <f ca="1">VLOOKUP(A728,Calculation!$E$6:$J$1004,6,FALSE)</f>
        <v/>
      </c>
      <c r="E728" s="42" t="str">
        <f t="shared" ca="1" si="4"/>
        <v/>
      </c>
      <c r="G728" s="29" t="str">
        <f ca="1">VLOOKUP(A728,Calculation!$F$6:$J$1004,3,FALSE)</f>
        <v/>
      </c>
      <c r="H728" s="4" t="str">
        <f ca="1">VLOOKUP(A728,Calculation!$F$6:$J$1004,4,FALSE)</f>
        <v/>
      </c>
      <c r="I728" s="4" t="str">
        <f ca="1">VLOOKUP(A728,Calculation!$F$6:$J$1004,5,FALSE)</f>
        <v/>
      </c>
      <c r="J728" s="43" t="str">
        <f t="shared" ca="1" si="5"/>
        <v/>
      </c>
      <c r="L728" s="29" t="str">
        <f ca="1">VLOOKUP(A728,Calculation!$G$6:$S$1004,2,FALSE)</f>
        <v/>
      </c>
      <c r="M728" s="4" t="str">
        <f ca="1">IFERROR(VLOOKUP($L728,Calculation!$H$6:$S$1005,HLOOKUP(M$2,Calculation!$M$4:$S$5,2,FALSE)+5,FALSE),"")</f>
        <v/>
      </c>
      <c r="N728" s="4" t="str">
        <f ca="1">IFERROR(VLOOKUP($L728,Calculation!$H$6:$S$1005,HLOOKUP(N$2,Calculation!$M$4:$S$5,2,FALSE)+5,FALSE),"")</f>
        <v/>
      </c>
      <c r="O728" s="4" t="str">
        <f ca="1">IFERROR(VLOOKUP($L728,Calculation!$H$6:$S$1005,HLOOKUP(O$2,Calculation!$M$4:$S$5,2,FALSE)+5,FALSE),"")</f>
        <v/>
      </c>
      <c r="P728" s="4" t="str">
        <f ca="1">IFERROR(VLOOKUP($L728,Calculation!$H$6:$S$1005,HLOOKUP(P$2,Calculation!$M$4:$S$5,2,FALSE)+5,FALSE),"")</f>
        <v/>
      </c>
      <c r="Q728" s="4" t="str">
        <f ca="1">IFERROR(VLOOKUP($L728,Calculation!$H$6:$S$1005,HLOOKUP(Q$2,Calculation!$M$4:$S$5,2,FALSE)+5,FALSE),"")</f>
        <v/>
      </c>
      <c r="R728" s="27" t="str">
        <f ca="1">IFERROR(VLOOKUP($L728,Calculation!$H$6:$S$1005,HLOOKUP(R$2,Calculation!$M$4:$S$5,2,FALSE)+5,FALSE),"")</f>
        <v/>
      </c>
      <c r="S728" s="4" t="str">
        <f ca="1">IFERROR(VLOOKUP($L728,Calculation!$H$6:$S$1005,HLOOKUP(S$2,Calculation!$M$4:$S$5,2,FALSE)+5,FALSE),"")</f>
        <v/>
      </c>
      <c r="T728" s="29"/>
      <c r="U728" s="43" t="str">
        <f>IFERROR(VLOOKUP(T728,Calculation!$U$6:$V$11,2,FALSE),"")</f>
        <v/>
      </c>
    </row>
    <row r="729" spans="1:21" ht="14.25" customHeight="1" x14ac:dyDescent="0.3">
      <c r="A729" s="26" t="str">
        <f ca="1">IF(Calculation!T732&lt;=Calculation!$H$4,Calculation!T732,"")</f>
        <v/>
      </c>
      <c r="B729" s="4" t="str">
        <f ca="1">VLOOKUP(A729,Calculation!$E$6:$J$1004,4,FALSE)</f>
        <v/>
      </c>
      <c r="C729" s="4" t="str">
        <f ca="1">VLOOKUP(A729,Calculation!$E$6:$J$1004,5,FALSE)</f>
        <v/>
      </c>
      <c r="D729" s="4" t="str">
        <f ca="1">VLOOKUP(A729,Calculation!$E$6:$J$1004,6,FALSE)</f>
        <v/>
      </c>
      <c r="E729" s="42" t="str">
        <f t="shared" ca="1" si="4"/>
        <v/>
      </c>
      <c r="G729" s="29" t="str">
        <f ca="1">VLOOKUP(A729,Calculation!$F$6:$J$1004,3,FALSE)</f>
        <v/>
      </c>
      <c r="H729" s="4" t="str">
        <f ca="1">VLOOKUP(A729,Calculation!$F$6:$J$1004,4,FALSE)</f>
        <v/>
      </c>
      <c r="I729" s="4" t="str">
        <f ca="1">VLOOKUP(A729,Calculation!$F$6:$J$1004,5,FALSE)</f>
        <v/>
      </c>
      <c r="J729" s="43" t="str">
        <f t="shared" ca="1" si="5"/>
        <v/>
      </c>
      <c r="L729" s="29" t="str">
        <f ca="1">VLOOKUP(A729,Calculation!$G$6:$S$1004,2,FALSE)</f>
        <v/>
      </c>
      <c r="M729" s="4" t="str">
        <f ca="1">IFERROR(VLOOKUP($L729,Calculation!$H$6:$S$1005,HLOOKUP(M$2,Calculation!$M$4:$S$5,2,FALSE)+5,FALSE),"")</f>
        <v/>
      </c>
      <c r="N729" s="4" t="str">
        <f ca="1">IFERROR(VLOOKUP($L729,Calculation!$H$6:$S$1005,HLOOKUP(N$2,Calculation!$M$4:$S$5,2,FALSE)+5,FALSE),"")</f>
        <v/>
      </c>
      <c r="O729" s="4" t="str">
        <f ca="1">IFERROR(VLOOKUP($L729,Calculation!$H$6:$S$1005,HLOOKUP(O$2,Calculation!$M$4:$S$5,2,FALSE)+5,FALSE),"")</f>
        <v/>
      </c>
      <c r="P729" s="4" t="str">
        <f ca="1">IFERROR(VLOOKUP($L729,Calculation!$H$6:$S$1005,HLOOKUP(P$2,Calculation!$M$4:$S$5,2,FALSE)+5,FALSE),"")</f>
        <v/>
      </c>
      <c r="Q729" s="4" t="str">
        <f ca="1">IFERROR(VLOOKUP($L729,Calculation!$H$6:$S$1005,HLOOKUP(Q$2,Calculation!$M$4:$S$5,2,FALSE)+5,FALSE),"")</f>
        <v/>
      </c>
      <c r="R729" s="27" t="str">
        <f ca="1">IFERROR(VLOOKUP($L729,Calculation!$H$6:$S$1005,HLOOKUP(R$2,Calculation!$M$4:$S$5,2,FALSE)+5,FALSE),"")</f>
        <v/>
      </c>
      <c r="S729" s="4" t="str">
        <f ca="1">IFERROR(VLOOKUP($L729,Calculation!$H$6:$S$1005,HLOOKUP(S$2,Calculation!$M$4:$S$5,2,FALSE)+5,FALSE),"")</f>
        <v/>
      </c>
      <c r="T729" s="29"/>
      <c r="U729" s="43" t="str">
        <f>IFERROR(VLOOKUP(T729,Calculation!$U$6:$V$11,2,FALSE),"")</f>
        <v/>
      </c>
    </row>
    <row r="730" spans="1:21" ht="14.25" customHeight="1" x14ac:dyDescent="0.3">
      <c r="A730" s="26" t="str">
        <f ca="1">IF(Calculation!T733&lt;=Calculation!$H$4,Calculation!T733,"")</f>
        <v/>
      </c>
      <c r="B730" s="4" t="str">
        <f ca="1">VLOOKUP(A730,Calculation!$E$6:$J$1004,4,FALSE)</f>
        <v/>
      </c>
      <c r="C730" s="4" t="str">
        <f ca="1">VLOOKUP(A730,Calculation!$E$6:$J$1004,5,FALSE)</f>
        <v/>
      </c>
      <c r="D730" s="4" t="str">
        <f ca="1">VLOOKUP(A730,Calculation!$E$6:$J$1004,6,FALSE)</f>
        <v/>
      </c>
      <c r="E730" s="42" t="str">
        <f t="shared" ca="1" si="4"/>
        <v/>
      </c>
      <c r="G730" s="29" t="str">
        <f ca="1">VLOOKUP(A730,Calculation!$F$6:$J$1004,3,FALSE)</f>
        <v/>
      </c>
      <c r="H730" s="4" t="str">
        <f ca="1">VLOOKUP(A730,Calculation!$F$6:$J$1004,4,FALSE)</f>
        <v/>
      </c>
      <c r="I730" s="4" t="str">
        <f ca="1">VLOOKUP(A730,Calculation!$F$6:$J$1004,5,FALSE)</f>
        <v/>
      </c>
      <c r="J730" s="43" t="str">
        <f t="shared" ca="1" si="5"/>
        <v/>
      </c>
      <c r="L730" s="29" t="str">
        <f ca="1">VLOOKUP(A730,Calculation!$G$6:$S$1004,2,FALSE)</f>
        <v/>
      </c>
      <c r="M730" s="4" t="str">
        <f ca="1">IFERROR(VLOOKUP($L730,Calculation!$H$6:$S$1005,HLOOKUP(M$2,Calculation!$M$4:$S$5,2,FALSE)+5,FALSE),"")</f>
        <v/>
      </c>
      <c r="N730" s="4" t="str">
        <f ca="1">IFERROR(VLOOKUP($L730,Calculation!$H$6:$S$1005,HLOOKUP(N$2,Calculation!$M$4:$S$5,2,FALSE)+5,FALSE),"")</f>
        <v/>
      </c>
      <c r="O730" s="4" t="str">
        <f ca="1">IFERROR(VLOOKUP($L730,Calculation!$H$6:$S$1005,HLOOKUP(O$2,Calculation!$M$4:$S$5,2,FALSE)+5,FALSE),"")</f>
        <v/>
      </c>
      <c r="P730" s="4" t="str">
        <f ca="1">IFERROR(VLOOKUP($L730,Calculation!$H$6:$S$1005,HLOOKUP(P$2,Calculation!$M$4:$S$5,2,FALSE)+5,FALSE),"")</f>
        <v/>
      </c>
      <c r="Q730" s="4" t="str">
        <f ca="1">IFERROR(VLOOKUP($L730,Calculation!$H$6:$S$1005,HLOOKUP(Q$2,Calculation!$M$4:$S$5,2,FALSE)+5,FALSE),"")</f>
        <v/>
      </c>
      <c r="R730" s="27" t="str">
        <f ca="1">IFERROR(VLOOKUP($L730,Calculation!$H$6:$S$1005,HLOOKUP(R$2,Calculation!$M$4:$S$5,2,FALSE)+5,FALSE),"")</f>
        <v/>
      </c>
      <c r="S730" s="4" t="str">
        <f ca="1">IFERROR(VLOOKUP($L730,Calculation!$H$6:$S$1005,HLOOKUP(S$2,Calculation!$M$4:$S$5,2,FALSE)+5,FALSE),"")</f>
        <v/>
      </c>
      <c r="T730" s="29"/>
      <c r="U730" s="43" t="str">
        <f>IFERROR(VLOOKUP(T730,Calculation!$U$6:$V$11,2,FALSE),"")</f>
        <v/>
      </c>
    </row>
    <row r="731" spans="1:21" ht="14.25" customHeight="1" x14ac:dyDescent="0.3">
      <c r="A731" s="26" t="str">
        <f ca="1">IF(Calculation!T734&lt;=Calculation!$H$4,Calculation!T734,"")</f>
        <v/>
      </c>
      <c r="B731" s="4" t="str">
        <f ca="1">VLOOKUP(A731,Calculation!$E$6:$J$1004,4,FALSE)</f>
        <v/>
      </c>
      <c r="C731" s="4" t="str">
        <f ca="1">VLOOKUP(A731,Calculation!$E$6:$J$1004,5,FALSE)</f>
        <v/>
      </c>
      <c r="D731" s="4" t="str">
        <f ca="1">VLOOKUP(A731,Calculation!$E$6:$J$1004,6,FALSE)</f>
        <v/>
      </c>
      <c r="E731" s="42" t="str">
        <f t="shared" ca="1" si="4"/>
        <v/>
      </c>
      <c r="G731" s="29" t="str">
        <f ca="1">VLOOKUP(A731,Calculation!$F$6:$J$1004,3,FALSE)</f>
        <v/>
      </c>
      <c r="H731" s="4" t="str">
        <f ca="1">VLOOKUP(A731,Calculation!$F$6:$J$1004,4,FALSE)</f>
        <v/>
      </c>
      <c r="I731" s="4" t="str">
        <f ca="1">VLOOKUP(A731,Calculation!$F$6:$J$1004,5,FALSE)</f>
        <v/>
      </c>
      <c r="J731" s="43" t="str">
        <f t="shared" ca="1" si="5"/>
        <v/>
      </c>
      <c r="L731" s="29" t="str">
        <f ca="1">VLOOKUP(A731,Calculation!$G$6:$S$1004,2,FALSE)</f>
        <v/>
      </c>
      <c r="M731" s="4" t="str">
        <f ca="1">IFERROR(VLOOKUP($L731,Calculation!$H$6:$S$1005,HLOOKUP(M$2,Calculation!$M$4:$S$5,2,FALSE)+5,FALSE),"")</f>
        <v/>
      </c>
      <c r="N731" s="4" t="str">
        <f ca="1">IFERROR(VLOOKUP($L731,Calculation!$H$6:$S$1005,HLOOKUP(N$2,Calculation!$M$4:$S$5,2,FALSE)+5,FALSE),"")</f>
        <v/>
      </c>
      <c r="O731" s="4" t="str">
        <f ca="1">IFERROR(VLOOKUP($L731,Calculation!$H$6:$S$1005,HLOOKUP(O$2,Calculation!$M$4:$S$5,2,FALSE)+5,FALSE),"")</f>
        <v/>
      </c>
      <c r="P731" s="4" t="str">
        <f ca="1">IFERROR(VLOOKUP($L731,Calculation!$H$6:$S$1005,HLOOKUP(P$2,Calculation!$M$4:$S$5,2,FALSE)+5,FALSE),"")</f>
        <v/>
      </c>
      <c r="Q731" s="4" t="str">
        <f ca="1">IFERROR(VLOOKUP($L731,Calculation!$H$6:$S$1005,HLOOKUP(Q$2,Calculation!$M$4:$S$5,2,FALSE)+5,FALSE),"")</f>
        <v/>
      </c>
      <c r="R731" s="27" t="str">
        <f ca="1">IFERROR(VLOOKUP($L731,Calculation!$H$6:$S$1005,HLOOKUP(R$2,Calculation!$M$4:$S$5,2,FALSE)+5,FALSE),"")</f>
        <v/>
      </c>
      <c r="S731" s="4" t="str">
        <f ca="1">IFERROR(VLOOKUP($L731,Calculation!$H$6:$S$1005,HLOOKUP(S$2,Calculation!$M$4:$S$5,2,FALSE)+5,FALSE),"")</f>
        <v/>
      </c>
      <c r="T731" s="29"/>
      <c r="U731" s="43" t="str">
        <f>IFERROR(VLOOKUP(T731,Calculation!$U$6:$V$11,2,FALSE),"")</f>
        <v/>
      </c>
    </row>
    <row r="732" spans="1:21" ht="14.25" customHeight="1" x14ac:dyDescent="0.3">
      <c r="A732" s="26" t="str">
        <f ca="1">IF(Calculation!T735&lt;=Calculation!$H$4,Calculation!T735,"")</f>
        <v/>
      </c>
      <c r="B732" s="4" t="str">
        <f ca="1">VLOOKUP(A732,Calculation!$E$6:$J$1004,4,FALSE)</f>
        <v/>
      </c>
      <c r="C732" s="4" t="str">
        <f ca="1">VLOOKUP(A732,Calculation!$E$6:$J$1004,5,FALSE)</f>
        <v/>
      </c>
      <c r="D732" s="4" t="str">
        <f ca="1">VLOOKUP(A732,Calculation!$E$6:$J$1004,6,FALSE)</f>
        <v/>
      </c>
      <c r="E732" s="42" t="str">
        <f t="shared" ca="1" si="4"/>
        <v/>
      </c>
      <c r="G732" s="29" t="str">
        <f ca="1">VLOOKUP(A732,Calculation!$F$6:$J$1004,3,FALSE)</f>
        <v/>
      </c>
      <c r="H732" s="4" t="str">
        <f ca="1">VLOOKUP(A732,Calculation!$F$6:$J$1004,4,FALSE)</f>
        <v/>
      </c>
      <c r="I732" s="4" t="str">
        <f ca="1">VLOOKUP(A732,Calculation!$F$6:$J$1004,5,FALSE)</f>
        <v/>
      </c>
      <c r="J732" s="43" t="str">
        <f t="shared" ca="1" si="5"/>
        <v/>
      </c>
      <c r="L732" s="29" t="str">
        <f ca="1">VLOOKUP(A732,Calculation!$G$6:$S$1004,2,FALSE)</f>
        <v/>
      </c>
      <c r="M732" s="4" t="str">
        <f ca="1">IFERROR(VLOOKUP($L732,Calculation!$H$6:$S$1005,HLOOKUP(M$2,Calculation!$M$4:$S$5,2,FALSE)+5,FALSE),"")</f>
        <v/>
      </c>
      <c r="N732" s="4" t="str">
        <f ca="1">IFERROR(VLOOKUP($L732,Calculation!$H$6:$S$1005,HLOOKUP(N$2,Calculation!$M$4:$S$5,2,FALSE)+5,FALSE),"")</f>
        <v/>
      </c>
      <c r="O732" s="4" t="str">
        <f ca="1">IFERROR(VLOOKUP($L732,Calculation!$H$6:$S$1005,HLOOKUP(O$2,Calculation!$M$4:$S$5,2,FALSE)+5,FALSE),"")</f>
        <v/>
      </c>
      <c r="P732" s="4" t="str">
        <f ca="1">IFERROR(VLOOKUP($L732,Calculation!$H$6:$S$1005,HLOOKUP(P$2,Calculation!$M$4:$S$5,2,FALSE)+5,FALSE),"")</f>
        <v/>
      </c>
      <c r="Q732" s="4" t="str">
        <f ca="1">IFERROR(VLOOKUP($L732,Calculation!$H$6:$S$1005,HLOOKUP(Q$2,Calculation!$M$4:$S$5,2,FALSE)+5,FALSE),"")</f>
        <v/>
      </c>
      <c r="R732" s="27" t="str">
        <f ca="1">IFERROR(VLOOKUP($L732,Calculation!$H$6:$S$1005,HLOOKUP(R$2,Calculation!$M$4:$S$5,2,FALSE)+5,FALSE),"")</f>
        <v/>
      </c>
      <c r="S732" s="4" t="str">
        <f ca="1">IFERROR(VLOOKUP($L732,Calculation!$H$6:$S$1005,HLOOKUP(S$2,Calculation!$M$4:$S$5,2,FALSE)+5,FALSE),"")</f>
        <v/>
      </c>
      <c r="T732" s="29"/>
      <c r="U732" s="43" t="str">
        <f>IFERROR(VLOOKUP(T732,Calculation!$U$6:$V$11,2,FALSE),"")</f>
        <v/>
      </c>
    </row>
    <row r="733" spans="1:21" ht="14.25" customHeight="1" x14ac:dyDescent="0.3">
      <c r="A733" s="26" t="str">
        <f ca="1">IF(Calculation!T736&lt;=Calculation!$H$4,Calculation!T736,"")</f>
        <v/>
      </c>
      <c r="B733" s="4" t="str">
        <f ca="1">VLOOKUP(A733,Calculation!$E$6:$J$1004,4,FALSE)</f>
        <v/>
      </c>
      <c r="C733" s="4" t="str">
        <f ca="1">VLOOKUP(A733,Calculation!$E$6:$J$1004,5,FALSE)</f>
        <v/>
      </c>
      <c r="D733" s="4" t="str">
        <f ca="1">VLOOKUP(A733,Calculation!$E$6:$J$1004,6,FALSE)</f>
        <v/>
      </c>
      <c r="E733" s="42" t="str">
        <f t="shared" ca="1" si="4"/>
        <v/>
      </c>
      <c r="G733" s="29" t="str">
        <f ca="1">VLOOKUP(A733,Calculation!$F$6:$J$1004,3,FALSE)</f>
        <v/>
      </c>
      <c r="H733" s="4" t="str">
        <f ca="1">VLOOKUP(A733,Calculation!$F$6:$J$1004,4,FALSE)</f>
        <v/>
      </c>
      <c r="I733" s="4" t="str">
        <f ca="1">VLOOKUP(A733,Calculation!$F$6:$J$1004,5,FALSE)</f>
        <v/>
      </c>
      <c r="J733" s="43" t="str">
        <f t="shared" ca="1" si="5"/>
        <v/>
      </c>
      <c r="L733" s="29" t="str">
        <f ca="1">VLOOKUP(A733,Calculation!$G$6:$S$1004,2,FALSE)</f>
        <v/>
      </c>
      <c r="M733" s="4" t="str">
        <f ca="1">IFERROR(VLOOKUP($L733,Calculation!$H$6:$S$1005,HLOOKUP(M$2,Calculation!$M$4:$S$5,2,FALSE)+5,FALSE),"")</f>
        <v/>
      </c>
      <c r="N733" s="4" t="str">
        <f ca="1">IFERROR(VLOOKUP($L733,Calculation!$H$6:$S$1005,HLOOKUP(N$2,Calculation!$M$4:$S$5,2,FALSE)+5,FALSE),"")</f>
        <v/>
      </c>
      <c r="O733" s="4" t="str">
        <f ca="1">IFERROR(VLOOKUP($L733,Calculation!$H$6:$S$1005,HLOOKUP(O$2,Calculation!$M$4:$S$5,2,FALSE)+5,FALSE),"")</f>
        <v/>
      </c>
      <c r="P733" s="4" t="str">
        <f ca="1">IFERROR(VLOOKUP($L733,Calculation!$H$6:$S$1005,HLOOKUP(P$2,Calculation!$M$4:$S$5,2,FALSE)+5,FALSE),"")</f>
        <v/>
      </c>
      <c r="Q733" s="4" t="str">
        <f ca="1">IFERROR(VLOOKUP($L733,Calculation!$H$6:$S$1005,HLOOKUP(Q$2,Calculation!$M$4:$S$5,2,FALSE)+5,FALSE),"")</f>
        <v/>
      </c>
      <c r="R733" s="27" t="str">
        <f ca="1">IFERROR(VLOOKUP($L733,Calculation!$H$6:$S$1005,HLOOKUP(R$2,Calculation!$M$4:$S$5,2,FALSE)+5,FALSE),"")</f>
        <v/>
      </c>
      <c r="S733" s="4" t="str">
        <f ca="1">IFERROR(VLOOKUP($L733,Calculation!$H$6:$S$1005,HLOOKUP(S$2,Calculation!$M$4:$S$5,2,FALSE)+5,FALSE),"")</f>
        <v/>
      </c>
      <c r="T733" s="29"/>
      <c r="U733" s="43" t="str">
        <f>IFERROR(VLOOKUP(T733,Calculation!$U$6:$V$11,2,FALSE),"")</f>
        <v/>
      </c>
    </row>
    <row r="734" spans="1:21" ht="14.25" customHeight="1" x14ac:dyDescent="0.3">
      <c r="A734" s="26" t="str">
        <f ca="1">IF(Calculation!T737&lt;=Calculation!$H$4,Calculation!T737,"")</f>
        <v/>
      </c>
      <c r="B734" s="4" t="str">
        <f ca="1">VLOOKUP(A734,Calculation!$E$6:$J$1004,4,FALSE)</f>
        <v/>
      </c>
      <c r="C734" s="4" t="str">
        <f ca="1">VLOOKUP(A734,Calculation!$E$6:$J$1004,5,FALSE)</f>
        <v/>
      </c>
      <c r="D734" s="4" t="str">
        <f ca="1">VLOOKUP(A734,Calculation!$E$6:$J$1004,6,FALSE)</f>
        <v/>
      </c>
      <c r="E734" s="42" t="str">
        <f t="shared" ca="1" si="4"/>
        <v/>
      </c>
      <c r="G734" s="29" t="str">
        <f ca="1">VLOOKUP(A734,Calculation!$F$6:$J$1004,3,FALSE)</f>
        <v/>
      </c>
      <c r="H734" s="4" t="str">
        <f ca="1">VLOOKUP(A734,Calculation!$F$6:$J$1004,4,FALSE)</f>
        <v/>
      </c>
      <c r="I734" s="4" t="str">
        <f ca="1">VLOOKUP(A734,Calculation!$F$6:$J$1004,5,FALSE)</f>
        <v/>
      </c>
      <c r="J734" s="43" t="str">
        <f t="shared" ca="1" si="5"/>
        <v/>
      </c>
      <c r="L734" s="29" t="str">
        <f ca="1">VLOOKUP(A734,Calculation!$G$6:$S$1004,2,FALSE)</f>
        <v/>
      </c>
      <c r="M734" s="4" t="str">
        <f ca="1">IFERROR(VLOOKUP($L734,Calculation!$H$6:$S$1005,HLOOKUP(M$2,Calculation!$M$4:$S$5,2,FALSE)+5,FALSE),"")</f>
        <v/>
      </c>
      <c r="N734" s="4" t="str">
        <f ca="1">IFERROR(VLOOKUP($L734,Calculation!$H$6:$S$1005,HLOOKUP(N$2,Calculation!$M$4:$S$5,2,FALSE)+5,FALSE),"")</f>
        <v/>
      </c>
      <c r="O734" s="4" t="str">
        <f ca="1">IFERROR(VLOOKUP($L734,Calculation!$H$6:$S$1005,HLOOKUP(O$2,Calculation!$M$4:$S$5,2,FALSE)+5,FALSE),"")</f>
        <v/>
      </c>
      <c r="P734" s="4" t="str">
        <f ca="1">IFERROR(VLOOKUP($L734,Calculation!$H$6:$S$1005,HLOOKUP(P$2,Calculation!$M$4:$S$5,2,FALSE)+5,FALSE),"")</f>
        <v/>
      </c>
      <c r="Q734" s="4" t="str">
        <f ca="1">IFERROR(VLOOKUP($L734,Calculation!$H$6:$S$1005,HLOOKUP(Q$2,Calculation!$M$4:$S$5,2,FALSE)+5,FALSE),"")</f>
        <v/>
      </c>
      <c r="R734" s="27" t="str">
        <f ca="1">IFERROR(VLOOKUP($L734,Calculation!$H$6:$S$1005,HLOOKUP(R$2,Calculation!$M$4:$S$5,2,FALSE)+5,FALSE),"")</f>
        <v/>
      </c>
      <c r="S734" s="4" t="str">
        <f ca="1">IFERROR(VLOOKUP($L734,Calculation!$H$6:$S$1005,HLOOKUP(S$2,Calculation!$M$4:$S$5,2,FALSE)+5,FALSE),"")</f>
        <v/>
      </c>
      <c r="T734" s="29"/>
      <c r="U734" s="43" t="str">
        <f>IFERROR(VLOOKUP(T734,Calculation!$U$6:$V$11,2,FALSE),"")</f>
        <v/>
      </c>
    </row>
    <row r="735" spans="1:21" ht="14.25" customHeight="1" x14ac:dyDescent="0.3">
      <c r="A735" s="26" t="str">
        <f ca="1">IF(Calculation!T738&lt;=Calculation!$H$4,Calculation!T738,"")</f>
        <v/>
      </c>
      <c r="B735" s="4" t="str">
        <f ca="1">VLOOKUP(A735,Calculation!$E$6:$J$1004,4,FALSE)</f>
        <v/>
      </c>
      <c r="C735" s="4" t="str">
        <f ca="1">VLOOKUP(A735,Calculation!$E$6:$J$1004,5,FALSE)</f>
        <v/>
      </c>
      <c r="D735" s="4" t="str">
        <f ca="1">VLOOKUP(A735,Calculation!$E$6:$J$1004,6,FALSE)</f>
        <v/>
      </c>
      <c r="E735" s="42" t="str">
        <f t="shared" ca="1" si="4"/>
        <v/>
      </c>
      <c r="G735" s="29" t="str">
        <f ca="1">VLOOKUP(A735,Calculation!$F$6:$J$1004,3,FALSE)</f>
        <v/>
      </c>
      <c r="H735" s="4" t="str">
        <f ca="1">VLOOKUP(A735,Calculation!$F$6:$J$1004,4,FALSE)</f>
        <v/>
      </c>
      <c r="I735" s="4" t="str">
        <f ca="1">VLOOKUP(A735,Calculation!$F$6:$J$1004,5,FALSE)</f>
        <v/>
      </c>
      <c r="J735" s="43" t="str">
        <f t="shared" ca="1" si="5"/>
        <v/>
      </c>
      <c r="L735" s="29" t="str">
        <f ca="1">VLOOKUP(A735,Calculation!$G$6:$S$1004,2,FALSE)</f>
        <v/>
      </c>
      <c r="M735" s="4" t="str">
        <f ca="1">IFERROR(VLOOKUP($L735,Calculation!$H$6:$S$1005,HLOOKUP(M$2,Calculation!$M$4:$S$5,2,FALSE)+5,FALSE),"")</f>
        <v/>
      </c>
      <c r="N735" s="4" t="str">
        <f ca="1">IFERROR(VLOOKUP($L735,Calculation!$H$6:$S$1005,HLOOKUP(N$2,Calculation!$M$4:$S$5,2,FALSE)+5,FALSE),"")</f>
        <v/>
      </c>
      <c r="O735" s="4" t="str">
        <f ca="1">IFERROR(VLOOKUP($L735,Calculation!$H$6:$S$1005,HLOOKUP(O$2,Calculation!$M$4:$S$5,2,FALSE)+5,FALSE),"")</f>
        <v/>
      </c>
      <c r="P735" s="4" t="str">
        <f ca="1">IFERROR(VLOOKUP($L735,Calculation!$H$6:$S$1005,HLOOKUP(P$2,Calculation!$M$4:$S$5,2,FALSE)+5,FALSE),"")</f>
        <v/>
      </c>
      <c r="Q735" s="4" t="str">
        <f ca="1">IFERROR(VLOOKUP($L735,Calculation!$H$6:$S$1005,HLOOKUP(Q$2,Calculation!$M$4:$S$5,2,FALSE)+5,FALSE),"")</f>
        <v/>
      </c>
      <c r="R735" s="27" t="str">
        <f ca="1">IFERROR(VLOOKUP($L735,Calculation!$H$6:$S$1005,HLOOKUP(R$2,Calculation!$M$4:$S$5,2,FALSE)+5,FALSE),"")</f>
        <v/>
      </c>
      <c r="S735" s="4" t="str">
        <f ca="1">IFERROR(VLOOKUP($L735,Calculation!$H$6:$S$1005,HLOOKUP(S$2,Calculation!$M$4:$S$5,2,FALSE)+5,FALSE),"")</f>
        <v/>
      </c>
      <c r="T735" s="29"/>
      <c r="U735" s="43" t="str">
        <f>IFERROR(VLOOKUP(T735,Calculation!$U$6:$V$11,2,FALSE),"")</f>
        <v/>
      </c>
    </row>
    <row r="736" spans="1:21" ht="14.25" customHeight="1" x14ac:dyDescent="0.3">
      <c r="A736" s="26" t="str">
        <f ca="1">IF(Calculation!T739&lt;=Calculation!$H$4,Calculation!T739,"")</f>
        <v/>
      </c>
      <c r="B736" s="4" t="str">
        <f ca="1">VLOOKUP(A736,Calculation!$E$6:$J$1004,4,FALSE)</f>
        <v/>
      </c>
      <c r="C736" s="4" t="str">
        <f ca="1">VLOOKUP(A736,Calculation!$E$6:$J$1004,5,FALSE)</f>
        <v/>
      </c>
      <c r="D736" s="4" t="str">
        <f ca="1">VLOOKUP(A736,Calculation!$E$6:$J$1004,6,FALSE)</f>
        <v/>
      </c>
      <c r="E736" s="42" t="str">
        <f t="shared" ca="1" si="4"/>
        <v/>
      </c>
      <c r="G736" s="29" t="str">
        <f ca="1">VLOOKUP(A736,Calculation!$F$6:$J$1004,3,FALSE)</f>
        <v/>
      </c>
      <c r="H736" s="4" t="str">
        <f ca="1">VLOOKUP(A736,Calculation!$F$6:$J$1004,4,FALSE)</f>
        <v/>
      </c>
      <c r="I736" s="4" t="str">
        <f ca="1">VLOOKUP(A736,Calculation!$F$6:$J$1004,5,FALSE)</f>
        <v/>
      </c>
      <c r="J736" s="43" t="str">
        <f t="shared" ca="1" si="5"/>
        <v/>
      </c>
      <c r="L736" s="29" t="str">
        <f ca="1">VLOOKUP(A736,Calculation!$G$6:$S$1004,2,FALSE)</f>
        <v/>
      </c>
      <c r="M736" s="4" t="str">
        <f ca="1">IFERROR(VLOOKUP($L736,Calculation!$H$6:$S$1005,HLOOKUP(M$2,Calculation!$M$4:$S$5,2,FALSE)+5,FALSE),"")</f>
        <v/>
      </c>
      <c r="N736" s="4" t="str">
        <f ca="1">IFERROR(VLOOKUP($L736,Calculation!$H$6:$S$1005,HLOOKUP(N$2,Calculation!$M$4:$S$5,2,FALSE)+5,FALSE),"")</f>
        <v/>
      </c>
      <c r="O736" s="4" t="str">
        <f ca="1">IFERROR(VLOOKUP($L736,Calculation!$H$6:$S$1005,HLOOKUP(O$2,Calculation!$M$4:$S$5,2,FALSE)+5,FALSE),"")</f>
        <v/>
      </c>
      <c r="P736" s="4" t="str">
        <f ca="1">IFERROR(VLOOKUP($L736,Calculation!$H$6:$S$1005,HLOOKUP(P$2,Calculation!$M$4:$S$5,2,FALSE)+5,FALSE),"")</f>
        <v/>
      </c>
      <c r="Q736" s="4" t="str">
        <f ca="1">IFERROR(VLOOKUP($L736,Calculation!$H$6:$S$1005,HLOOKUP(Q$2,Calculation!$M$4:$S$5,2,FALSE)+5,FALSE),"")</f>
        <v/>
      </c>
      <c r="R736" s="27" t="str">
        <f ca="1">IFERROR(VLOOKUP($L736,Calculation!$H$6:$S$1005,HLOOKUP(R$2,Calculation!$M$4:$S$5,2,FALSE)+5,FALSE),"")</f>
        <v/>
      </c>
      <c r="S736" s="4" t="str">
        <f ca="1">IFERROR(VLOOKUP($L736,Calculation!$H$6:$S$1005,HLOOKUP(S$2,Calculation!$M$4:$S$5,2,FALSE)+5,FALSE),"")</f>
        <v/>
      </c>
      <c r="T736" s="29"/>
      <c r="U736" s="43" t="str">
        <f>IFERROR(VLOOKUP(T736,Calculation!$U$6:$V$11,2,FALSE),"")</f>
        <v/>
      </c>
    </row>
    <row r="737" spans="1:21" ht="14.25" customHeight="1" x14ac:dyDescent="0.3">
      <c r="A737" s="26" t="str">
        <f ca="1">IF(Calculation!T740&lt;=Calculation!$H$4,Calculation!T740,"")</f>
        <v/>
      </c>
      <c r="B737" s="4" t="str">
        <f ca="1">VLOOKUP(A737,Calculation!$E$6:$J$1004,4,FALSE)</f>
        <v/>
      </c>
      <c r="C737" s="4" t="str">
        <f ca="1">VLOOKUP(A737,Calculation!$E$6:$J$1004,5,FALSE)</f>
        <v/>
      </c>
      <c r="D737" s="4" t="str">
        <f ca="1">VLOOKUP(A737,Calculation!$E$6:$J$1004,6,FALSE)</f>
        <v/>
      </c>
      <c r="E737" s="42" t="str">
        <f t="shared" ca="1" si="4"/>
        <v/>
      </c>
      <c r="G737" s="29" t="str">
        <f ca="1">VLOOKUP(A737,Calculation!$F$6:$J$1004,3,FALSE)</f>
        <v/>
      </c>
      <c r="H737" s="4" t="str">
        <f ca="1">VLOOKUP(A737,Calculation!$F$6:$J$1004,4,FALSE)</f>
        <v/>
      </c>
      <c r="I737" s="4" t="str">
        <f ca="1">VLOOKUP(A737,Calculation!$F$6:$J$1004,5,FALSE)</f>
        <v/>
      </c>
      <c r="J737" s="43" t="str">
        <f t="shared" ca="1" si="5"/>
        <v/>
      </c>
      <c r="L737" s="29" t="str">
        <f ca="1">VLOOKUP(A737,Calculation!$G$6:$S$1004,2,FALSE)</f>
        <v/>
      </c>
      <c r="M737" s="4" t="str">
        <f ca="1">IFERROR(VLOOKUP($L737,Calculation!$H$6:$S$1005,HLOOKUP(M$2,Calculation!$M$4:$S$5,2,FALSE)+5,FALSE),"")</f>
        <v/>
      </c>
      <c r="N737" s="4" t="str">
        <f ca="1">IFERROR(VLOOKUP($L737,Calculation!$H$6:$S$1005,HLOOKUP(N$2,Calculation!$M$4:$S$5,2,FALSE)+5,FALSE),"")</f>
        <v/>
      </c>
      <c r="O737" s="4" t="str">
        <f ca="1">IFERROR(VLOOKUP($L737,Calculation!$H$6:$S$1005,HLOOKUP(O$2,Calculation!$M$4:$S$5,2,FALSE)+5,FALSE),"")</f>
        <v/>
      </c>
      <c r="P737" s="4" t="str">
        <f ca="1">IFERROR(VLOOKUP($L737,Calculation!$H$6:$S$1005,HLOOKUP(P$2,Calculation!$M$4:$S$5,2,FALSE)+5,FALSE),"")</f>
        <v/>
      </c>
      <c r="Q737" s="4" t="str">
        <f ca="1">IFERROR(VLOOKUP($L737,Calculation!$H$6:$S$1005,HLOOKUP(Q$2,Calculation!$M$4:$S$5,2,FALSE)+5,FALSE),"")</f>
        <v/>
      </c>
      <c r="R737" s="27" t="str">
        <f ca="1">IFERROR(VLOOKUP($L737,Calculation!$H$6:$S$1005,HLOOKUP(R$2,Calculation!$M$4:$S$5,2,FALSE)+5,FALSE),"")</f>
        <v/>
      </c>
      <c r="S737" s="4" t="str">
        <f ca="1">IFERROR(VLOOKUP($L737,Calculation!$H$6:$S$1005,HLOOKUP(S$2,Calculation!$M$4:$S$5,2,FALSE)+5,FALSE),"")</f>
        <v/>
      </c>
      <c r="T737" s="29"/>
      <c r="U737" s="43" t="str">
        <f>IFERROR(VLOOKUP(T737,Calculation!$U$6:$V$11,2,FALSE),"")</f>
        <v/>
      </c>
    </row>
    <row r="738" spans="1:21" ht="14.25" customHeight="1" x14ac:dyDescent="0.3">
      <c r="A738" s="26" t="str">
        <f ca="1">IF(Calculation!T741&lt;=Calculation!$H$4,Calculation!T741,"")</f>
        <v/>
      </c>
      <c r="B738" s="4" t="str">
        <f ca="1">VLOOKUP(A738,Calculation!$E$6:$J$1004,4,FALSE)</f>
        <v/>
      </c>
      <c r="C738" s="4" t="str">
        <f ca="1">VLOOKUP(A738,Calculation!$E$6:$J$1004,5,FALSE)</f>
        <v/>
      </c>
      <c r="D738" s="4" t="str">
        <f ca="1">VLOOKUP(A738,Calculation!$E$6:$J$1004,6,FALSE)</f>
        <v/>
      </c>
      <c r="E738" s="42" t="str">
        <f t="shared" ca="1" si="4"/>
        <v/>
      </c>
      <c r="G738" s="29" t="str">
        <f ca="1">VLOOKUP(A738,Calculation!$F$6:$J$1004,3,FALSE)</f>
        <v/>
      </c>
      <c r="H738" s="4" t="str">
        <f ca="1">VLOOKUP(A738,Calculation!$F$6:$J$1004,4,FALSE)</f>
        <v/>
      </c>
      <c r="I738" s="4" t="str">
        <f ca="1">VLOOKUP(A738,Calculation!$F$6:$J$1004,5,FALSE)</f>
        <v/>
      </c>
      <c r="J738" s="43" t="str">
        <f t="shared" ca="1" si="5"/>
        <v/>
      </c>
      <c r="L738" s="29" t="str">
        <f ca="1">VLOOKUP(A738,Calculation!$G$6:$S$1004,2,FALSE)</f>
        <v/>
      </c>
      <c r="M738" s="4" t="str">
        <f ca="1">IFERROR(VLOOKUP($L738,Calculation!$H$6:$S$1005,HLOOKUP(M$2,Calculation!$M$4:$S$5,2,FALSE)+5,FALSE),"")</f>
        <v/>
      </c>
      <c r="N738" s="4" t="str">
        <f ca="1">IFERROR(VLOOKUP($L738,Calculation!$H$6:$S$1005,HLOOKUP(N$2,Calculation!$M$4:$S$5,2,FALSE)+5,FALSE),"")</f>
        <v/>
      </c>
      <c r="O738" s="4" t="str">
        <f ca="1">IFERROR(VLOOKUP($L738,Calculation!$H$6:$S$1005,HLOOKUP(O$2,Calculation!$M$4:$S$5,2,FALSE)+5,FALSE),"")</f>
        <v/>
      </c>
      <c r="P738" s="4" t="str">
        <f ca="1">IFERROR(VLOOKUP($L738,Calculation!$H$6:$S$1005,HLOOKUP(P$2,Calculation!$M$4:$S$5,2,FALSE)+5,FALSE),"")</f>
        <v/>
      </c>
      <c r="Q738" s="4" t="str">
        <f ca="1">IFERROR(VLOOKUP($L738,Calculation!$H$6:$S$1005,HLOOKUP(Q$2,Calculation!$M$4:$S$5,2,FALSE)+5,FALSE),"")</f>
        <v/>
      </c>
      <c r="R738" s="27" t="str">
        <f ca="1">IFERROR(VLOOKUP($L738,Calculation!$H$6:$S$1005,HLOOKUP(R$2,Calculation!$M$4:$S$5,2,FALSE)+5,FALSE),"")</f>
        <v/>
      </c>
      <c r="S738" s="4" t="str">
        <f ca="1">IFERROR(VLOOKUP($L738,Calculation!$H$6:$S$1005,HLOOKUP(S$2,Calculation!$M$4:$S$5,2,FALSE)+5,FALSE),"")</f>
        <v/>
      </c>
      <c r="T738" s="29"/>
      <c r="U738" s="43" t="str">
        <f>IFERROR(VLOOKUP(T738,Calculation!$U$6:$V$11,2,FALSE),"")</f>
        <v/>
      </c>
    </row>
    <row r="739" spans="1:21" ht="14.25" customHeight="1" x14ac:dyDescent="0.3">
      <c r="A739" s="26" t="str">
        <f ca="1">IF(Calculation!T742&lt;=Calculation!$H$4,Calculation!T742,"")</f>
        <v/>
      </c>
      <c r="B739" s="4" t="str">
        <f ca="1">VLOOKUP(A739,Calculation!$E$6:$J$1004,4,FALSE)</f>
        <v/>
      </c>
      <c r="C739" s="4" t="str">
        <f ca="1">VLOOKUP(A739,Calculation!$E$6:$J$1004,5,FALSE)</f>
        <v/>
      </c>
      <c r="D739" s="4" t="str">
        <f ca="1">VLOOKUP(A739,Calculation!$E$6:$J$1004,6,FALSE)</f>
        <v/>
      </c>
      <c r="E739" s="42" t="str">
        <f t="shared" ca="1" si="4"/>
        <v/>
      </c>
      <c r="G739" s="29" t="str">
        <f ca="1">VLOOKUP(A739,Calculation!$F$6:$J$1004,3,FALSE)</f>
        <v/>
      </c>
      <c r="H739" s="4" t="str">
        <f ca="1">VLOOKUP(A739,Calculation!$F$6:$J$1004,4,FALSE)</f>
        <v/>
      </c>
      <c r="I739" s="4" t="str">
        <f ca="1">VLOOKUP(A739,Calculation!$F$6:$J$1004,5,FALSE)</f>
        <v/>
      </c>
      <c r="J739" s="43" t="str">
        <f t="shared" ca="1" si="5"/>
        <v/>
      </c>
      <c r="L739" s="29" t="str">
        <f ca="1">VLOOKUP(A739,Calculation!$G$6:$S$1004,2,FALSE)</f>
        <v/>
      </c>
      <c r="M739" s="4" t="str">
        <f ca="1">IFERROR(VLOOKUP($L739,Calculation!$H$6:$S$1005,HLOOKUP(M$2,Calculation!$M$4:$S$5,2,FALSE)+5,FALSE),"")</f>
        <v/>
      </c>
      <c r="N739" s="4" t="str">
        <f ca="1">IFERROR(VLOOKUP($L739,Calculation!$H$6:$S$1005,HLOOKUP(N$2,Calculation!$M$4:$S$5,2,FALSE)+5,FALSE),"")</f>
        <v/>
      </c>
      <c r="O739" s="4" t="str">
        <f ca="1">IFERROR(VLOOKUP($L739,Calculation!$H$6:$S$1005,HLOOKUP(O$2,Calculation!$M$4:$S$5,2,FALSE)+5,FALSE),"")</f>
        <v/>
      </c>
      <c r="P739" s="4" t="str">
        <f ca="1">IFERROR(VLOOKUP($L739,Calculation!$H$6:$S$1005,HLOOKUP(P$2,Calculation!$M$4:$S$5,2,FALSE)+5,FALSE),"")</f>
        <v/>
      </c>
      <c r="Q739" s="4" t="str">
        <f ca="1">IFERROR(VLOOKUP($L739,Calculation!$H$6:$S$1005,HLOOKUP(Q$2,Calculation!$M$4:$S$5,2,FALSE)+5,FALSE),"")</f>
        <v/>
      </c>
      <c r="R739" s="27" t="str">
        <f ca="1">IFERROR(VLOOKUP($L739,Calculation!$H$6:$S$1005,HLOOKUP(R$2,Calculation!$M$4:$S$5,2,FALSE)+5,FALSE),"")</f>
        <v/>
      </c>
      <c r="S739" s="4" t="str">
        <f ca="1">IFERROR(VLOOKUP($L739,Calculation!$H$6:$S$1005,HLOOKUP(S$2,Calculation!$M$4:$S$5,2,FALSE)+5,FALSE),"")</f>
        <v/>
      </c>
      <c r="T739" s="29"/>
      <c r="U739" s="43" t="str">
        <f>IFERROR(VLOOKUP(T739,Calculation!$U$6:$V$11,2,FALSE),"")</f>
        <v/>
      </c>
    </row>
    <row r="740" spans="1:21" ht="14.25" customHeight="1" x14ac:dyDescent="0.3">
      <c r="A740" s="26" t="str">
        <f ca="1">IF(Calculation!T743&lt;=Calculation!$H$4,Calculation!T743,"")</f>
        <v/>
      </c>
      <c r="B740" s="4" t="str">
        <f ca="1">VLOOKUP(A740,Calculation!$E$6:$J$1004,4,FALSE)</f>
        <v/>
      </c>
      <c r="C740" s="4" t="str">
        <f ca="1">VLOOKUP(A740,Calculation!$E$6:$J$1004,5,FALSE)</f>
        <v/>
      </c>
      <c r="D740" s="4" t="str">
        <f ca="1">VLOOKUP(A740,Calculation!$E$6:$J$1004,6,FALSE)</f>
        <v/>
      </c>
      <c r="E740" s="42" t="str">
        <f t="shared" ca="1" si="4"/>
        <v/>
      </c>
      <c r="G740" s="29" t="str">
        <f ca="1">VLOOKUP(A740,Calculation!$F$6:$J$1004,3,FALSE)</f>
        <v/>
      </c>
      <c r="H740" s="4" t="str">
        <f ca="1">VLOOKUP(A740,Calculation!$F$6:$J$1004,4,FALSE)</f>
        <v/>
      </c>
      <c r="I740" s="4" t="str">
        <f ca="1">VLOOKUP(A740,Calculation!$F$6:$J$1004,5,FALSE)</f>
        <v/>
      </c>
      <c r="J740" s="43" t="str">
        <f t="shared" ca="1" si="5"/>
        <v/>
      </c>
      <c r="L740" s="29" t="str">
        <f ca="1">VLOOKUP(A740,Calculation!$G$6:$S$1004,2,FALSE)</f>
        <v/>
      </c>
      <c r="M740" s="4" t="str">
        <f ca="1">IFERROR(VLOOKUP($L740,Calculation!$H$6:$S$1005,HLOOKUP(M$2,Calculation!$M$4:$S$5,2,FALSE)+5,FALSE),"")</f>
        <v/>
      </c>
      <c r="N740" s="4" t="str">
        <f ca="1">IFERROR(VLOOKUP($L740,Calculation!$H$6:$S$1005,HLOOKUP(N$2,Calculation!$M$4:$S$5,2,FALSE)+5,FALSE),"")</f>
        <v/>
      </c>
      <c r="O740" s="4" t="str">
        <f ca="1">IFERROR(VLOOKUP($L740,Calculation!$H$6:$S$1005,HLOOKUP(O$2,Calculation!$M$4:$S$5,2,FALSE)+5,FALSE),"")</f>
        <v/>
      </c>
      <c r="P740" s="4" t="str">
        <f ca="1">IFERROR(VLOOKUP($L740,Calculation!$H$6:$S$1005,HLOOKUP(P$2,Calculation!$M$4:$S$5,2,FALSE)+5,FALSE),"")</f>
        <v/>
      </c>
      <c r="Q740" s="4" t="str">
        <f ca="1">IFERROR(VLOOKUP($L740,Calculation!$H$6:$S$1005,HLOOKUP(Q$2,Calculation!$M$4:$S$5,2,FALSE)+5,FALSE),"")</f>
        <v/>
      </c>
      <c r="R740" s="27" t="str">
        <f ca="1">IFERROR(VLOOKUP($L740,Calculation!$H$6:$S$1005,HLOOKUP(R$2,Calculation!$M$4:$S$5,2,FALSE)+5,FALSE),"")</f>
        <v/>
      </c>
      <c r="S740" s="4" t="str">
        <f ca="1">IFERROR(VLOOKUP($L740,Calculation!$H$6:$S$1005,HLOOKUP(S$2,Calculation!$M$4:$S$5,2,FALSE)+5,FALSE),"")</f>
        <v/>
      </c>
      <c r="T740" s="29"/>
      <c r="U740" s="43" t="str">
        <f>IFERROR(VLOOKUP(T740,Calculation!$U$6:$V$11,2,FALSE),"")</f>
        <v/>
      </c>
    </row>
    <row r="741" spans="1:21" ht="14.25" customHeight="1" x14ac:dyDescent="0.3">
      <c r="A741" s="26" t="str">
        <f ca="1">IF(Calculation!T744&lt;=Calculation!$H$4,Calculation!T744,"")</f>
        <v/>
      </c>
      <c r="B741" s="4" t="str">
        <f ca="1">VLOOKUP(A741,Calculation!$E$6:$J$1004,4,FALSE)</f>
        <v/>
      </c>
      <c r="C741" s="4" t="str">
        <f ca="1">VLOOKUP(A741,Calculation!$E$6:$J$1004,5,FALSE)</f>
        <v/>
      </c>
      <c r="D741" s="4" t="str">
        <f ca="1">VLOOKUP(A741,Calculation!$E$6:$J$1004,6,FALSE)</f>
        <v/>
      </c>
      <c r="E741" s="42" t="str">
        <f t="shared" ca="1" si="4"/>
        <v/>
      </c>
      <c r="G741" s="29" t="str">
        <f ca="1">VLOOKUP(A741,Calculation!$F$6:$J$1004,3,FALSE)</f>
        <v/>
      </c>
      <c r="H741" s="4" t="str">
        <f ca="1">VLOOKUP(A741,Calculation!$F$6:$J$1004,4,FALSE)</f>
        <v/>
      </c>
      <c r="I741" s="4" t="str">
        <f ca="1">VLOOKUP(A741,Calculation!$F$6:$J$1004,5,FALSE)</f>
        <v/>
      </c>
      <c r="J741" s="43" t="str">
        <f t="shared" ca="1" si="5"/>
        <v/>
      </c>
      <c r="L741" s="29" t="str">
        <f ca="1">VLOOKUP(A741,Calculation!$G$6:$S$1004,2,FALSE)</f>
        <v/>
      </c>
      <c r="M741" s="4" t="str">
        <f ca="1">IFERROR(VLOOKUP($L741,Calculation!$H$6:$S$1005,HLOOKUP(M$2,Calculation!$M$4:$S$5,2,FALSE)+5,FALSE),"")</f>
        <v/>
      </c>
      <c r="N741" s="4" t="str">
        <f ca="1">IFERROR(VLOOKUP($L741,Calculation!$H$6:$S$1005,HLOOKUP(N$2,Calculation!$M$4:$S$5,2,FALSE)+5,FALSE),"")</f>
        <v/>
      </c>
      <c r="O741" s="4" t="str">
        <f ca="1">IFERROR(VLOOKUP($L741,Calculation!$H$6:$S$1005,HLOOKUP(O$2,Calculation!$M$4:$S$5,2,FALSE)+5,FALSE),"")</f>
        <v/>
      </c>
      <c r="P741" s="4" t="str">
        <f ca="1">IFERROR(VLOOKUP($L741,Calculation!$H$6:$S$1005,HLOOKUP(P$2,Calculation!$M$4:$S$5,2,FALSE)+5,FALSE),"")</f>
        <v/>
      </c>
      <c r="Q741" s="4" t="str">
        <f ca="1">IFERROR(VLOOKUP($L741,Calculation!$H$6:$S$1005,HLOOKUP(Q$2,Calculation!$M$4:$S$5,2,FALSE)+5,FALSE),"")</f>
        <v/>
      </c>
      <c r="R741" s="27" t="str">
        <f ca="1">IFERROR(VLOOKUP($L741,Calculation!$H$6:$S$1005,HLOOKUP(R$2,Calculation!$M$4:$S$5,2,FALSE)+5,FALSE),"")</f>
        <v/>
      </c>
      <c r="S741" s="4" t="str">
        <f ca="1">IFERROR(VLOOKUP($L741,Calculation!$H$6:$S$1005,HLOOKUP(S$2,Calculation!$M$4:$S$5,2,FALSE)+5,FALSE),"")</f>
        <v/>
      </c>
      <c r="T741" s="29"/>
      <c r="U741" s="43" t="str">
        <f>IFERROR(VLOOKUP(T741,Calculation!$U$6:$V$11,2,FALSE),"")</f>
        <v/>
      </c>
    </row>
    <row r="742" spans="1:21" ht="14.25" customHeight="1" x14ac:dyDescent="0.3">
      <c r="A742" s="26" t="str">
        <f ca="1">IF(Calculation!T745&lt;=Calculation!$H$4,Calculation!T745,"")</f>
        <v/>
      </c>
      <c r="B742" s="4" t="str">
        <f ca="1">VLOOKUP(A742,Calculation!$E$6:$J$1004,4,FALSE)</f>
        <v/>
      </c>
      <c r="C742" s="4" t="str">
        <f ca="1">VLOOKUP(A742,Calculation!$E$6:$J$1004,5,FALSE)</f>
        <v/>
      </c>
      <c r="D742" s="4" t="str">
        <f ca="1">VLOOKUP(A742,Calculation!$E$6:$J$1004,6,FALSE)</f>
        <v/>
      </c>
      <c r="E742" s="42" t="str">
        <f t="shared" ca="1" si="4"/>
        <v/>
      </c>
      <c r="G742" s="29" t="str">
        <f ca="1">VLOOKUP(A742,Calculation!$F$6:$J$1004,3,FALSE)</f>
        <v/>
      </c>
      <c r="H742" s="4" t="str">
        <f ca="1">VLOOKUP(A742,Calculation!$F$6:$J$1004,4,FALSE)</f>
        <v/>
      </c>
      <c r="I742" s="4" t="str">
        <f ca="1">VLOOKUP(A742,Calculation!$F$6:$J$1004,5,FALSE)</f>
        <v/>
      </c>
      <c r="J742" s="43" t="str">
        <f t="shared" ca="1" si="5"/>
        <v/>
      </c>
      <c r="L742" s="29" t="str">
        <f ca="1">VLOOKUP(A742,Calculation!$G$6:$S$1004,2,FALSE)</f>
        <v/>
      </c>
      <c r="M742" s="4" t="str">
        <f ca="1">IFERROR(VLOOKUP($L742,Calculation!$H$6:$S$1005,HLOOKUP(M$2,Calculation!$M$4:$S$5,2,FALSE)+5,FALSE),"")</f>
        <v/>
      </c>
      <c r="N742" s="4" t="str">
        <f ca="1">IFERROR(VLOOKUP($L742,Calculation!$H$6:$S$1005,HLOOKUP(N$2,Calculation!$M$4:$S$5,2,FALSE)+5,FALSE),"")</f>
        <v/>
      </c>
      <c r="O742" s="4" t="str">
        <f ca="1">IFERROR(VLOOKUP($L742,Calculation!$H$6:$S$1005,HLOOKUP(O$2,Calculation!$M$4:$S$5,2,FALSE)+5,FALSE),"")</f>
        <v/>
      </c>
      <c r="P742" s="4" t="str">
        <f ca="1">IFERROR(VLOOKUP($L742,Calculation!$H$6:$S$1005,HLOOKUP(P$2,Calculation!$M$4:$S$5,2,FALSE)+5,FALSE),"")</f>
        <v/>
      </c>
      <c r="Q742" s="4" t="str">
        <f ca="1">IFERROR(VLOOKUP($L742,Calculation!$H$6:$S$1005,HLOOKUP(Q$2,Calculation!$M$4:$S$5,2,FALSE)+5,FALSE),"")</f>
        <v/>
      </c>
      <c r="R742" s="27" t="str">
        <f ca="1">IFERROR(VLOOKUP($L742,Calculation!$H$6:$S$1005,HLOOKUP(R$2,Calculation!$M$4:$S$5,2,FALSE)+5,FALSE),"")</f>
        <v/>
      </c>
      <c r="S742" s="4" t="str">
        <f ca="1">IFERROR(VLOOKUP($L742,Calculation!$H$6:$S$1005,HLOOKUP(S$2,Calculation!$M$4:$S$5,2,FALSE)+5,FALSE),"")</f>
        <v/>
      </c>
      <c r="T742" s="29"/>
      <c r="U742" s="43" t="str">
        <f>IFERROR(VLOOKUP(T742,Calculation!$U$6:$V$11,2,FALSE),"")</f>
        <v/>
      </c>
    </row>
    <row r="743" spans="1:21" ht="14.25" customHeight="1" x14ac:dyDescent="0.3">
      <c r="A743" s="26" t="str">
        <f ca="1">IF(Calculation!T746&lt;=Calculation!$H$4,Calculation!T746,"")</f>
        <v/>
      </c>
      <c r="B743" s="4" t="str">
        <f ca="1">VLOOKUP(A743,Calculation!$E$6:$J$1004,4,FALSE)</f>
        <v/>
      </c>
      <c r="C743" s="4" t="str">
        <f ca="1">VLOOKUP(A743,Calculation!$E$6:$J$1004,5,FALSE)</f>
        <v/>
      </c>
      <c r="D743" s="4" t="str">
        <f ca="1">VLOOKUP(A743,Calculation!$E$6:$J$1004,6,FALSE)</f>
        <v/>
      </c>
      <c r="E743" s="42" t="str">
        <f t="shared" ca="1" si="4"/>
        <v/>
      </c>
      <c r="G743" s="29" t="str">
        <f ca="1">VLOOKUP(A743,Calculation!$F$6:$J$1004,3,FALSE)</f>
        <v/>
      </c>
      <c r="H743" s="4" t="str">
        <f ca="1">VLOOKUP(A743,Calculation!$F$6:$J$1004,4,FALSE)</f>
        <v/>
      </c>
      <c r="I743" s="4" t="str">
        <f ca="1">VLOOKUP(A743,Calculation!$F$6:$J$1004,5,FALSE)</f>
        <v/>
      </c>
      <c r="J743" s="43" t="str">
        <f t="shared" ca="1" si="5"/>
        <v/>
      </c>
      <c r="L743" s="29" t="str">
        <f ca="1">VLOOKUP(A743,Calculation!$G$6:$S$1004,2,FALSE)</f>
        <v/>
      </c>
      <c r="M743" s="4" t="str">
        <f ca="1">IFERROR(VLOOKUP($L743,Calculation!$H$6:$S$1005,HLOOKUP(M$2,Calculation!$M$4:$S$5,2,FALSE)+5,FALSE),"")</f>
        <v/>
      </c>
      <c r="N743" s="4" t="str">
        <f ca="1">IFERROR(VLOOKUP($L743,Calculation!$H$6:$S$1005,HLOOKUP(N$2,Calculation!$M$4:$S$5,2,FALSE)+5,FALSE),"")</f>
        <v/>
      </c>
      <c r="O743" s="4" t="str">
        <f ca="1">IFERROR(VLOOKUP($L743,Calculation!$H$6:$S$1005,HLOOKUP(O$2,Calculation!$M$4:$S$5,2,FALSE)+5,FALSE),"")</f>
        <v/>
      </c>
      <c r="P743" s="4" t="str">
        <f ca="1">IFERROR(VLOOKUP($L743,Calculation!$H$6:$S$1005,HLOOKUP(P$2,Calculation!$M$4:$S$5,2,FALSE)+5,FALSE),"")</f>
        <v/>
      </c>
      <c r="Q743" s="4" t="str">
        <f ca="1">IFERROR(VLOOKUP($L743,Calculation!$H$6:$S$1005,HLOOKUP(Q$2,Calculation!$M$4:$S$5,2,FALSE)+5,FALSE),"")</f>
        <v/>
      </c>
      <c r="R743" s="27" t="str">
        <f ca="1">IFERROR(VLOOKUP($L743,Calculation!$H$6:$S$1005,HLOOKUP(R$2,Calculation!$M$4:$S$5,2,FALSE)+5,FALSE),"")</f>
        <v/>
      </c>
      <c r="S743" s="4" t="str">
        <f ca="1">IFERROR(VLOOKUP($L743,Calculation!$H$6:$S$1005,HLOOKUP(S$2,Calculation!$M$4:$S$5,2,FALSE)+5,FALSE),"")</f>
        <v/>
      </c>
      <c r="T743" s="29"/>
      <c r="U743" s="43" t="str">
        <f>IFERROR(VLOOKUP(T743,Calculation!$U$6:$V$11,2,FALSE),"")</f>
        <v/>
      </c>
    </row>
    <row r="744" spans="1:21" ht="14.25" customHeight="1" x14ac:dyDescent="0.3">
      <c r="A744" s="26" t="str">
        <f ca="1">IF(Calculation!T747&lt;=Calculation!$H$4,Calculation!T747,"")</f>
        <v/>
      </c>
      <c r="B744" s="4" t="str">
        <f ca="1">VLOOKUP(A744,Calculation!$E$6:$J$1004,4,FALSE)</f>
        <v/>
      </c>
      <c r="C744" s="4" t="str">
        <f ca="1">VLOOKUP(A744,Calculation!$E$6:$J$1004,5,FALSE)</f>
        <v/>
      </c>
      <c r="D744" s="4" t="str">
        <f ca="1">VLOOKUP(A744,Calculation!$E$6:$J$1004,6,FALSE)</f>
        <v/>
      </c>
      <c r="E744" s="42" t="str">
        <f t="shared" ca="1" si="4"/>
        <v/>
      </c>
      <c r="G744" s="29" t="str">
        <f ca="1">VLOOKUP(A744,Calculation!$F$6:$J$1004,3,FALSE)</f>
        <v/>
      </c>
      <c r="H744" s="4" t="str">
        <f ca="1">VLOOKUP(A744,Calculation!$F$6:$J$1004,4,FALSE)</f>
        <v/>
      </c>
      <c r="I744" s="4" t="str">
        <f ca="1">VLOOKUP(A744,Calculation!$F$6:$J$1004,5,FALSE)</f>
        <v/>
      </c>
      <c r="J744" s="43" t="str">
        <f t="shared" ca="1" si="5"/>
        <v/>
      </c>
      <c r="L744" s="29" t="str">
        <f ca="1">VLOOKUP(A744,Calculation!$G$6:$S$1004,2,FALSE)</f>
        <v/>
      </c>
      <c r="M744" s="4" t="str">
        <f ca="1">IFERROR(VLOOKUP($L744,Calculation!$H$6:$S$1005,HLOOKUP(M$2,Calculation!$M$4:$S$5,2,FALSE)+5,FALSE),"")</f>
        <v/>
      </c>
      <c r="N744" s="4" t="str">
        <f ca="1">IFERROR(VLOOKUP($L744,Calculation!$H$6:$S$1005,HLOOKUP(N$2,Calculation!$M$4:$S$5,2,FALSE)+5,FALSE),"")</f>
        <v/>
      </c>
      <c r="O744" s="4" t="str">
        <f ca="1">IFERROR(VLOOKUP($L744,Calculation!$H$6:$S$1005,HLOOKUP(O$2,Calculation!$M$4:$S$5,2,FALSE)+5,FALSE),"")</f>
        <v/>
      </c>
      <c r="P744" s="4" t="str">
        <f ca="1">IFERROR(VLOOKUP($L744,Calculation!$H$6:$S$1005,HLOOKUP(P$2,Calculation!$M$4:$S$5,2,FALSE)+5,FALSE),"")</f>
        <v/>
      </c>
      <c r="Q744" s="4" t="str">
        <f ca="1">IFERROR(VLOOKUP($L744,Calculation!$H$6:$S$1005,HLOOKUP(Q$2,Calculation!$M$4:$S$5,2,FALSE)+5,FALSE),"")</f>
        <v/>
      </c>
      <c r="R744" s="27" t="str">
        <f ca="1">IFERROR(VLOOKUP($L744,Calculation!$H$6:$S$1005,HLOOKUP(R$2,Calculation!$M$4:$S$5,2,FALSE)+5,FALSE),"")</f>
        <v/>
      </c>
      <c r="S744" s="4" t="str">
        <f ca="1">IFERROR(VLOOKUP($L744,Calculation!$H$6:$S$1005,HLOOKUP(S$2,Calculation!$M$4:$S$5,2,FALSE)+5,FALSE),"")</f>
        <v/>
      </c>
      <c r="T744" s="29"/>
      <c r="U744" s="43" t="str">
        <f>IFERROR(VLOOKUP(T744,Calculation!$U$6:$V$11,2,FALSE),"")</f>
        <v/>
      </c>
    </row>
    <row r="745" spans="1:21" ht="14.25" customHeight="1" x14ac:dyDescent="0.3">
      <c r="A745" s="26" t="str">
        <f ca="1">IF(Calculation!T748&lt;=Calculation!$H$4,Calculation!T748,"")</f>
        <v/>
      </c>
      <c r="B745" s="4" t="str">
        <f ca="1">VLOOKUP(A745,Calculation!$E$6:$J$1004,4,FALSE)</f>
        <v/>
      </c>
      <c r="C745" s="4" t="str">
        <f ca="1">VLOOKUP(A745,Calculation!$E$6:$J$1004,5,FALSE)</f>
        <v/>
      </c>
      <c r="D745" s="4" t="str">
        <f ca="1">VLOOKUP(A745,Calculation!$E$6:$J$1004,6,FALSE)</f>
        <v/>
      </c>
      <c r="E745" s="42" t="str">
        <f t="shared" ca="1" si="4"/>
        <v/>
      </c>
      <c r="G745" s="29" t="str">
        <f ca="1">VLOOKUP(A745,Calculation!$F$6:$J$1004,3,FALSE)</f>
        <v/>
      </c>
      <c r="H745" s="4" t="str">
        <f ca="1">VLOOKUP(A745,Calculation!$F$6:$J$1004,4,FALSE)</f>
        <v/>
      </c>
      <c r="I745" s="4" t="str">
        <f ca="1">VLOOKUP(A745,Calculation!$F$6:$J$1004,5,FALSE)</f>
        <v/>
      </c>
      <c r="J745" s="43" t="str">
        <f t="shared" ca="1" si="5"/>
        <v/>
      </c>
      <c r="L745" s="29" t="str">
        <f ca="1">VLOOKUP(A745,Calculation!$G$6:$S$1004,2,FALSE)</f>
        <v/>
      </c>
      <c r="M745" s="4" t="str">
        <f ca="1">IFERROR(VLOOKUP($L745,Calculation!$H$6:$S$1005,HLOOKUP(M$2,Calculation!$M$4:$S$5,2,FALSE)+5,FALSE),"")</f>
        <v/>
      </c>
      <c r="N745" s="4" t="str">
        <f ca="1">IFERROR(VLOOKUP($L745,Calculation!$H$6:$S$1005,HLOOKUP(N$2,Calculation!$M$4:$S$5,2,FALSE)+5,FALSE),"")</f>
        <v/>
      </c>
      <c r="O745" s="4" t="str">
        <f ca="1">IFERROR(VLOOKUP($L745,Calculation!$H$6:$S$1005,HLOOKUP(O$2,Calculation!$M$4:$S$5,2,FALSE)+5,FALSE),"")</f>
        <v/>
      </c>
      <c r="P745" s="4" t="str">
        <f ca="1">IFERROR(VLOOKUP($L745,Calculation!$H$6:$S$1005,HLOOKUP(P$2,Calculation!$M$4:$S$5,2,FALSE)+5,FALSE),"")</f>
        <v/>
      </c>
      <c r="Q745" s="4" t="str">
        <f ca="1">IFERROR(VLOOKUP($L745,Calculation!$H$6:$S$1005,HLOOKUP(Q$2,Calculation!$M$4:$S$5,2,FALSE)+5,FALSE),"")</f>
        <v/>
      </c>
      <c r="R745" s="27" t="str">
        <f ca="1">IFERROR(VLOOKUP($L745,Calculation!$H$6:$S$1005,HLOOKUP(R$2,Calculation!$M$4:$S$5,2,FALSE)+5,FALSE),"")</f>
        <v/>
      </c>
      <c r="S745" s="4" t="str">
        <f ca="1">IFERROR(VLOOKUP($L745,Calculation!$H$6:$S$1005,HLOOKUP(S$2,Calculation!$M$4:$S$5,2,FALSE)+5,FALSE),"")</f>
        <v/>
      </c>
      <c r="T745" s="29"/>
      <c r="U745" s="43" t="str">
        <f>IFERROR(VLOOKUP(T745,Calculation!$U$6:$V$11,2,FALSE),"")</f>
        <v/>
      </c>
    </row>
    <row r="746" spans="1:21" ht="14.25" customHeight="1" x14ac:dyDescent="0.3">
      <c r="A746" s="26" t="str">
        <f ca="1">IF(Calculation!T749&lt;=Calculation!$H$4,Calculation!T749,"")</f>
        <v/>
      </c>
      <c r="B746" s="4" t="str">
        <f ca="1">VLOOKUP(A746,Calculation!$E$6:$J$1004,4,FALSE)</f>
        <v/>
      </c>
      <c r="C746" s="4" t="str">
        <f ca="1">VLOOKUP(A746,Calculation!$E$6:$J$1004,5,FALSE)</f>
        <v/>
      </c>
      <c r="D746" s="4" t="str">
        <f ca="1">VLOOKUP(A746,Calculation!$E$6:$J$1004,6,FALSE)</f>
        <v/>
      </c>
      <c r="E746" s="42" t="str">
        <f t="shared" ca="1" si="4"/>
        <v/>
      </c>
      <c r="G746" s="29" t="str">
        <f ca="1">VLOOKUP(A746,Calculation!$F$6:$J$1004,3,FALSE)</f>
        <v/>
      </c>
      <c r="H746" s="4" t="str">
        <f ca="1">VLOOKUP(A746,Calculation!$F$6:$J$1004,4,FALSE)</f>
        <v/>
      </c>
      <c r="I746" s="4" t="str">
        <f ca="1">VLOOKUP(A746,Calculation!$F$6:$J$1004,5,FALSE)</f>
        <v/>
      </c>
      <c r="J746" s="43" t="str">
        <f t="shared" ca="1" si="5"/>
        <v/>
      </c>
      <c r="L746" s="29" t="str">
        <f ca="1">VLOOKUP(A746,Calculation!$G$6:$S$1004,2,FALSE)</f>
        <v/>
      </c>
      <c r="M746" s="4" t="str">
        <f ca="1">IFERROR(VLOOKUP($L746,Calculation!$H$6:$S$1005,HLOOKUP(M$2,Calculation!$M$4:$S$5,2,FALSE)+5,FALSE),"")</f>
        <v/>
      </c>
      <c r="N746" s="4" t="str">
        <f ca="1">IFERROR(VLOOKUP($L746,Calculation!$H$6:$S$1005,HLOOKUP(N$2,Calculation!$M$4:$S$5,2,FALSE)+5,FALSE),"")</f>
        <v/>
      </c>
      <c r="O746" s="4" t="str">
        <f ca="1">IFERROR(VLOOKUP($L746,Calculation!$H$6:$S$1005,HLOOKUP(O$2,Calculation!$M$4:$S$5,2,FALSE)+5,FALSE),"")</f>
        <v/>
      </c>
      <c r="P746" s="4" t="str">
        <f ca="1">IFERROR(VLOOKUP($L746,Calculation!$H$6:$S$1005,HLOOKUP(P$2,Calculation!$M$4:$S$5,2,FALSE)+5,FALSE),"")</f>
        <v/>
      </c>
      <c r="Q746" s="4" t="str">
        <f ca="1">IFERROR(VLOOKUP($L746,Calculation!$H$6:$S$1005,HLOOKUP(Q$2,Calculation!$M$4:$S$5,2,FALSE)+5,FALSE),"")</f>
        <v/>
      </c>
      <c r="R746" s="27" t="str">
        <f ca="1">IFERROR(VLOOKUP($L746,Calculation!$H$6:$S$1005,HLOOKUP(R$2,Calculation!$M$4:$S$5,2,FALSE)+5,FALSE),"")</f>
        <v/>
      </c>
      <c r="S746" s="4" t="str">
        <f ca="1">IFERROR(VLOOKUP($L746,Calculation!$H$6:$S$1005,HLOOKUP(S$2,Calculation!$M$4:$S$5,2,FALSE)+5,FALSE),"")</f>
        <v/>
      </c>
      <c r="T746" s="29"/>
      <c r="U746" s="43" t="str">
        <f>IFERROR(VLOOKUP(T746,Calculation!$U$6:$V$11,2,FALSE),"")</f>
        <v/>
      </c>
    </row>
    <row r="747" spans="1:21" ht="14.25" customHeight="1" x14ac:dyDescent="0.3">
      <c r="A747" s="26" t="str">
        <f ca="1">IF(Calculation!T750&lt;=Calculation!$H$4,Calculation!T750,"")</f>
        <v/>
      </c>
      <c r="B747" s="4" t="str">
        <f ca="1">VLOOKUP(A747,Calculation!$E$6:$J$1004,4,FALSE)</f>
        <v/>
      </c>
      <c r="C747" s="4" t="str">
        <f ca="1">VLOOKUP(A747,Calculation!$E$6:$J$1004,5,FALSE)</f>
        <v/>
      </c>
      <c r="D747" s="4" t="str">
        <f ca="1">VLOOKUP(A747,Calculation!$E$6:$J$1004,6,FALSE)</f>
        <v/>
      </c>
      <c r="E747" s="42" t="str">
        <f t="shared" ca="1" si="4"/>
        <v/>
      </c>
      <c r="G747" s="29" t="str">
        <f ca="1">VLOOKUP(A747,Calculation!$F$6:$J$1004,3,FALSE)</f>
        <v/>
      </c>
      <c r="H747" s="4" t="str">
        <f ca="1">VLOOKUP(A747,Calculation!$F$6:$J$1004,4,FALSE)</f>
        <v/>
      </c>
      <c r="I747" s="4" t="str">
        <f ca="1">VLOOKUP(A747,Calculation!$F$6:$J$1004,5,FALSE)</f>
        <v/>
      </c>
      <c r="J747" s="43" t="str">
        <f t="shared" ca="1" si="5"/>
        <v/>
      </c>
      <c r="L747" s="29" t="str">
        <f ca="1">VLOOKUP(A747,Calculation!$G$6:$S$1004,2,FALSE)</f>
        <v/>
      </c>
      <c r="M747" s="4" t="str">
        <f ca="1">IFERROR(VLOOKUP($L747,Calculation!$H$6:$S$1005,HLOOKUP(M$2,Calculation!$M$4:$S$5,2,FALSE)+5,FALSE),"")</f>
        <v/>
      </c>
      <c r="N747" s="4" t="str">
        <f ca="1">IFERROR(VLOOKUP($L747,Calculation!$H$6:$S$1005,HLOOKUP(N$2,Calculation!$M$4:$S$5,2,FALSE)+5,FALSE),"")</f>
        <v/>
      </c>
      <c r="O747" s="4" t="str">
        <f ca="1">IFERROR(VLOOKUP($L747,Calculation!$H$6:$S$1005,HLOOKUP(O$2,Calculation!$M$4:$S$5,2,FALSE)+5,FALSE),"")</f>
        <v/>
      </c>
      <c r="P747" s="4" t="str">
        <f ca="1">IFERROR(VLOOKUP($L747,Calculation!$H$6:$S$1005,HLOOKUP(P$2,Calculation!$M$4:$S$5,2,FALSE)+5,FALSE),"")</f>
        <v/>
      </c>
      <c r="Q747" s="4" t="str">
        <f ca="1">IFERROR(VLOOKUP($L747,Calculation!$H$6:$S$1005,HLOOKUP(Q$2,Calculation!$M$4:$S$5,2,FALSE)+5,FALSE),"")</f>
        <v/>
      </c>
      <c r="R747" s="27" t="str">
        <f ca="1">IFERROR(VLOOKUP($L747,Calculation!$H$6:$S$1005,HLOOKUP(R$2,Calculation!$M$4:$S$5,2,FALSE)+5,FALSE),"")</f>
        <v/>
      </c>
      <c r="S747" s="4" t="str">
        <f ca="1">IFERROR(VLOOKUP($L747,Calculation!$H$6:$S$1005,HLOOKUP(S$2,Calculation!$M$4:$S$5,2,FALSE)+5,FALSE),"")</f>
        <v/>
      </c>
      <c r="T747" s="29"/>
      <c r="U747" s="43" t="str">
        <f>IFERROR(VLOOKUP(T747,Calculation!$U$6:$V$11,2,FALSE),"")</f>
        <v/>
      </c>
    </row>
    <row r="748" spans="1:21" ht="14.25" customHeight="1" x14ac:dyDescent="0.3">
      <c r="A748" s="26" t="str">
        <f ca="1">IF(Calculation!T751&lt;=Calculation!$H$4,Calculation!T751,"")</f>
        <v/>
      </c>
      <c r="B748" s="4" t="str">
        <f ca="1">VLOOKUP(A748,Calculation!$E$6:$J$1004,4,FALSE)</f>
        <v/>
      </c>
      <c r="C748" s="4" t="str">
        <f ca="1">VLOOKUP(A748,Calculation!$E$6:$J$1004,5,FALSE)</f>
        <v/>
      </c>
      <c r="D748" s="4" t="str">
        <f ca="1">VLOOKUP(A748,Calculation!$E$6:$J$1004,6,FALSE)</f>
        <v/>
      </c>
      <c r="E748" s="42" t="str">
        <f t="shared" ca="1" si="4"/>
        <v/>
      </c>
      <c r="G748" s="29" t="str">
        <f ca="1">VLOOKUP(A748,Calculation!$F$6:$J$1004,3,FALSE)</f>
        <v/>
      </c>
      <c r="H748" s="4" t="str">
        <f ca="1">VLOOKUP(A748,Calculation!$F$6:$J$1004,4,FALSE)</f>
        <v/>
      </c>
      <c r="I748" s="4" t="str">
        <f ca="1">VLOOKUP(A748,Calculation!$F$6:$J$1004,5,FALSE)</f>
        <v/>
      </c>
      <c r="J748" s="43" t="str">
        <f t="shared" ca="1" si="5"/>
        <v/>
      </c>
      <c r="L748" s="29" t="str">
        <f ca="1">VLOOKUP(A748,Calculation!$G$6:$S$1004,2,FALSE)</f>
        <v/>
      </c>
      <c r="M748" s="4" t="str">
        <f ca="1">IFERROR(VLOOKUP($L748,Calculation!$H$6:$S$1005,HLOOKUP(M$2,Calculation!$M$4:$S$5,2,FALSE)+5,FALSE),"")</f>
        <v/>
      </c>
      <c r="N748" s="4" t="str">
        <f ca="1">IFERROR(VLOOKUP($L748,Calculation!$H$6:$S$1005,HLOOKUP(N$2,Calculation!$M$4:$S$5,2,FALSE)+5,FALSE),"")</f>
        <v/>
      </c>
      <c r="O748" s="4" t="str">
        <f ca="1">IFERROR(VLOOKUP($L748,Calculation!$H$6:$S$1005,HLOOKUP(O$2,Calculation!$M$4:$S$5,2,FALSE)+5,FALSE),"")</f>
        <v/>
      </c>
      <c r="P748" s="4" t="str">
        <f ca="1">IFERROR(VLOOKUP($L748,Calculation!$H$6:$S$1005,HLOOKUP(P$2,Calculation!$M$4:$S$5,2,FALSE)+5,FALSE),"")</f>
        <v/>
      </c>
      <c r="Q748" s="4" t="str">
        <f ca="1">IFERROR(VLOOKUP($L748,Calculation!$H$6:$S$1005,HLOOKUP(Q$2,Calculation!$M$4:$S$5,2,FALSE)+5,FALSE),"")</f>
        <v/>
      </c>
      <c r="R748" s="27" t="str">
        <f ca="1">IFERROR(VLOOKUP($L748,Calculation!$H$6:$S$1005,HLOOKUP(R$2,Calculation!$M$4:$S$5,2,FALSE)+5,FALSE),"")</f>
        <v/>
      </c>
      <c r="S748" s="4" t="str">
        <f ca="1">IFERROR(VLOOKUP($L748,Calculation!$H$6:$S$1005,HLOOKUP(S$2,Calculation!$M$4:$S$5,2,FALSE)+5,FALSE),"")</f>
        <v/>
      </c>
      <c r="T748" s="29"/>
      <c r="U748" s="43" t="str">
        <f>IFERROR(VLOOKUP(T748,Calculation!$U$6:$V$11,2,FALSE),"")</f>
        <v/>
      </c>
    </row>
    <row r="749" spans="1:21" ht="14.25" customHeight="1" x14ac:dyDescent="0.3">
      <c r="A749" s="26" t="str">
        <f ca="1">IF(Calculation!T752&lt;=Calculation!$H$4,Calculation!T752,"")</f>
        <v/>
      </c>
      <c r="B749" s="4" t="str">
        <f ca="1">VLOOKUP(A749,Calculation!$E$6:$J$1004,4,FALSE)</f>
        <v/>
      </c>
      <c r="C749" s="4" t="str">
        <f ca="1">VLOOKUP(A749,Calculation!$E$6:$J$1004,5,FALSE)</f>
        <v/>
      </c>
      <c r="D749" s="4" t="str">
        <f ca="1">VLOOKUP(A749,Calculation!$E$6:$J$1004,6,FALSE)</f>
        <v/>
      </c>
      <c r="E749" s="42" t="str">
        <f t="shared" ca="1" si="4"/>
        <v/>
      </c>
      <c r="G749" s="29" t="str">
        <f ca="1">VLOOKUP(A749,Calculation!$F$6:$J$1004,3,FALSE)</f>
        <v/>
      </c>
      <c r="H749" s="4" t="str">
        <f ca="1">VLOOKUP(A749,Calculation!$F$6:$J$1004,4,FALSE)</f>
        <v/>
      </c>
      <c r="I749" s="4" t="str">
        <f ca="1">VLOOKUP(A749,Calculation!$F$6:$J$1004,5,FALSE)</f>
        <v/>
      </c>
      <c r="J749" s="43" t="str">
        <f t="shared" ca="1" si="5"/>
        <v/>
      </c>
      <c r="L749" s="29" t="str">
        <f ca="1">VLOOKUP(A749,Calculation!$G$6:$S$1004,2,FALSE)</f>
        <v/>
      </c>
      <c r="M749" s="4" t="str">
        <f ca="1">IFERROR(VLOOKUP($L749,Calculation!$H$6:$S$1005,HLOOKUP(M$2,Calculation!$M$4:$S$5,2,FALSE)+5,FALSE),"")</f>
        <v/>
      </c>
      <c r="N749" s="4" t="str">
        <f ca="1">IFERROR(VLOOKUP($L749,Calculation!$H$6:$S$1005,HLOOKUP(N$2,Calculation!$M$4:$S$5,2,FALSE)+5,FALSE),"")</f>
        <v/>
      </c>
      <c r="O749" s="4" t="str">
        <f ca="1">IFERROR(VLOOKUP($L749,Calculation!$H$6:$S$1005,HLOOKUP(O$2,Calculation!$M$4:$S$5,2,FALSE)+5,FALSE),"")</f>
        <v/>
      </c>
      <c r="P749" s="4" t="str">
        <f ca="1">IFERROR(VLOOKUP($L749,Calculation!$H$6:$S$1005,HLOOKUP(P$2,Calculation!$M$4:$S$5,2,FALSE)+5,FALSE),"")</f>
        <v/>
      </c>
      <c r="Q749" s="4" t="str">
        <f ca="1">IFERROR(VLOOKUP($L749,Calculation!$H$6:$S$1005,HLOOKUP(Q$2,Calculation!$M$4:$S$5,2,FALSE)+5,FALSE),"")</f>
        <v/>
      </c>
      <c r="R749" s="27" t="str">
        <f ca="1">IFERROR(VLOOKUP($L749,Calculation!$H$6:$S$1005,HLOOKUP(R$2,Calculation!$M$4:$S$5,2,FALSE)+5,FALSE),"")</f>
        <v/>
      </c>
      <c r="S749" s="4" t="str">
        <f ca="1">IFERROR(VLOOKUP($L749,Calculation!$H$6:$S$1005,HLOOKUP(S$2,Calculation!$M$4:$S$5,2,FALSE)+5,FALSE),"")</f>
        <v/>
      </c>
      <c r="T749" s="29"/>
      <c r="U749" s="43" t="str">
        <f>IFERROR(VLOOKUP(T749,Calculation!$U$6:$V$11,2,FALSE),"")</f>
        <v/>
      </c>
    </row>
    <row r="750" spans="1:21" ht="14.25" customHeight="1" x14ac:dyDescent="0.3">
      <c r="A750" s="26" t="str">
        <f ca="1">IF(Calculation!T753&lt;=Calculation!$H$4,Calculation!T753,"")</f>
        <v/>
      </c>
      <c r="B750" s="4" t="str">
        <f ca="1">VLOOKUP(A750,Calculation!$E$6:$J$1004,4,FALSE)</f>
        <v/>
      </c>
      <c r="C750" s="4" t="str">
        <f ca="1">VLOOKUP(A750,Calculation!$E$6:$J$1004,5,FALSE)</f>
        <v/>
      </c>
      <c r="D750" s="4" t="str">
        <f ca="1">VLOOKUP(A750,Calculation!$E$6:$J$1004,6,FALSE)</f>
        <v/>
      </c>
      <c r="E750" s="42" t="str">
        <f t="shared" ca="1" si="4"/>
        <v/>
      </c>
      <c r="G750" s="29" t="str">
        <f ca="1">VLOOKUP(A750,Calculation!$F$6:$J$1004,3,FALSE)</f>
        <v/>
      </c>
      <c r="H750" s="4" t="str">
        <f ca="1">VLOOKUP(A750,Calculation!$F$6:$J$1004,4,FALSE)</f>
        <v/>
      </c>
      <c r="I750" s="4" t="str">
        <f ca="1">VLOOKUP(A750,Calculation!$F$6:$J$1004,5,FALSE)</f>
        <v/>
      </c>
      <c r="J750" s="43" t="str">
        <f t="shared" ca="1" si="5"/>
        <v/>
      </c>
      <c r="L750" s="29" t="str">
        <f ca="1">VLOOKUP(A750,Calculation!$G$6:$S$1004,2,FALSE)</f>
        <v/>
      </c>
      <c r="M750" s="4" t="str">
        <f ca="1">IFERROR(VLOOKUP($L750,Calculation!$H$6:$S$1005,HLOOKUP(M$2,Calculation!$M$4:$S$5,2,FALSE)+5,FALSE),"")</f>
        <v/>
      </c>
      <c r="N750" s="4" t="str">
        <f ca="1">IFERROR(VLOOKUP($L750,Calculation!$H$6:$S$1005,HLOOKUP(N$2,Calculation!$M$4:$S$5,2,FALSE)+5,FALSE),"")</f>
        <v/>
      </c>
      <c r="O750" s="4" t="str">
        <f ca="1">IFERROR(VLOOKUP($L750,Calculation!$H$6:$S$1005,HLOOKUP(O$2,Calculation!$M$4:$S$5,2,FALSE)+5,FALSE),"")</f>
        <v/>
      </c>
      <c r="P750" s="4" t="str">
        <f ca="1">IFERROR(VLOOKUP($L750,Calculation!$H$6:$S$1005,HLOOKUP(P$2,Calculation!$M$4:$S$5,2,FALSE)+5,FALSE),"")</f>
        <v/>
      </c>
      <c r="Q750" s="4" t="str">
        <f ca="1">IFERROR(VLOOKUP($L750,Calculation!$H$6:$S$1005,HLOOKUP(Q$2,Calculation!$M$4:$S$5,2,FALSE)+5,FALSE),"")</f>
        <v/>
      </c>
      <c r="R750" s="27" t="str">
        <f ca="1">IFERROR(VLOOKUP($L750,Calculation!$H$6:$S$1005,HLOOKUP(R$2,Calculation!$M$4:$S$5,2,FALSE)+5,FALSE),"")</f>
        <v/>
      </c>
      <c r="S750" s="4" t="str">
        <f ca="1">IFERROR(VLOOKUP($L750,Calculation!$H$6:$S$1005,HLOOKUP(S$2,Calculation!$M$4:$S$5,2,FALSE)+5,FALSE),"")</f>
        <v/>
      </c>
      <c r="T750" s="29"/>
      <c r="U750" s="43" t="str">
        <f>IFERROR(VLOOKUP(T750,Calculation!$U$6:$V$11,2,FALSE),"")</f>
        <v/>
      </c>
    </row>
    <row r="751" spans="1:21" ht="14.25" customHeight="1" x14ac:dyDescent="0.3">
      <c r="A751" s="26" t="str">
        <f ca="1">IF(Calculation!T754&lt;=Calculation!$H$4,Calculation!T754,"")</f>
        <v/>
      </c>
      <c r="B751" s="4" t="str">
        <f ca="1">VLOOKUP(A751,Calculation!$E$6:$J$1004,4,FALSE)</f>
        <v/>
      </c>
      <c r="C751" s="4" t="str">
        <f ca="1">VLOOKUP(A751,Calculation!$E$6:$J$1004,5,FALSE)</f>
        <v/>
      </c>
      <c r="D751" s="4" t="str">
        <f ca="1">VLOOKUP(A751,Calculation!$E$6:$J$1004,6,FALSE)</f>
        <v/>
      </c>
      <c r="E751" s="42" t="str">
        <f t="shared" ca="1" si="4"/>
        <v/>
      </c>
      <c r="G751" s="29" t="str">
        <f ca="1">VLOOKUP(A751,Calculation!$F$6:$J$1004,3,FALSE)</f>
        <v/>
      </c>
      <c r="H751" s="4" t="str">
        <f ca="1">VLOOKUP(A751,Calculation!$F$6:$J$1004,4,FALSE)</f>
        <v/>
      </c>
      <c r="I751" s="4" t="str">
        <f ca="1">VLOOKUP(A751,Calculation!$F$6:$J$1004,5,FALSE)</f>
        <v/>
      </c>
      <c r="J751" s="43" t="str">
        <f t="shared" ca="1" si="5"/>
        <v/>
      </c>
      <c r="L751" s="29" t="str">
        <f ca="1">VLOOKUP(A751,Calculation!$G$6:$S$1004,2,FALSE)</f>
        <v/>
      </c>
      <c r="M751" s="4" t="str">
        <f ca="1">IFERROR(VLOOKUP($L751,Calculation!$H$6:$S$1005,HLOOKUP(M$2,Calculation!$M$4:$S$5,2,FALSE)+5,FALSE),"")</f>
        <v/>
      </c>
      <c r="N751" s="4" t="str">
        <f ca="1">IFERROR(VLOOKUP($L751,Calculation!$H$6:$S$1005,HLOOKUP(N$2,Calculation!$M$4:$S$5,2,FALSE)+5,FALSE),"")</f>
        <v/>
      </c>
      <c r="O751" s="4" t="str">
        <f ca="1">IFERROR(VLOOKUP($L751,Calculation!$H$6:$S$1005,HLOOKUP(O$2,Calculation!$M$4:$S$5,2,FALSE)+5,FALSE),"")</f>
        <v/>
      </c>
      <c r="P751" s="4" t="str">
        <f ca="1">IFERROR(VLOOKUP($L751,Calculation!$H$6:$S$1005,HLOOKUP(P$2,Calculation!$M$4:$S$5,2,FALSE)+5,FALSE),"")</f>
        <v/>
      </c>
      <c r="Q751" s="4" t="str">
        <f ca="1">IFERROR(VLOOKUP($L751,Calculation!$H$6:$S$1005,HLOOKUP(Q$2,Calculation!$M$4:$S$5,2,FALSE)+5,FALSE),"")</f>
        <v/>
      </c>
      <c r="R751" s="27" t="str">
        <f ca="1">IFERROR(VLOOKUP($L751,Calculation!$H$6:$S$1005,HLOOKUP(R$2,Calculation!$M$4:$S$5,2,FALSE)+5,FALSE),"")</f>
        <v/>
      </c>
      <c r="S751" s="4" t="str">
        <f ca="1">IFERROR(VLOOKUP($L751,Calculation!$H$6:$S$1005,HLOOKUP(S$2,Calculation!$M$4:$S$5,2,FALSE)+5,FALSE),"")</f>
        <v/>
      </c>
      <c r="T751" s="29"/>
      <c r="U751" s="43" t="str">
        <f>IFERROR(VLOOKUP(T751,Calculation!$U$6:$V$11,2,FALSE),"")</f>
        <v/>
      </c>
    </row>
    <row r="752" spans="1:21" ht="14.25" customHeight="1" x14ac:dyDescent="0.3">
      <c r="A752" s="26" t="str">
        <f ca="1">IF(Calculation!T755&lt;=Calculation!$H$4,Calculation!T755,"")</f>
        <v/>
      </c>
      <c r="B752" s="4" t="str">
        <f ca="1">VLOOKUP(A752,Calculation!$E$6:$J$1004,4,FALSE)</f>
        <v/>
      </c>
      <c r="C752" s="4" t="str">
        <f ca="1">VLOOKUP(A752,Calculation!$E$6:$J$1004,5,FALSE)</f>
        <v/>
      </c>
      <c r="D752" s="4" t="str">
        <f ca="1">VLOOKUP(A752,Calculation!$E$6:$J$1004,6,FALSE)</f>
        <v/>
      </c>
      <c r="E752" s="42" t="str">
        <f t="shared" ca="1" si="4"/>
        <v/>
      </c>
      <c r="G752" s="29" t="str">
        <f ca="1">VLOOKUP(A752,Calculation!$F$6:$J$1004,3,FALSE)</f>
        <v/>
      </c>
      <c r="H752" s="4" t="str">
        <f ca="1">VLOOKUP(A752,Calculation!$F$6:$J$1004,4,FALSE)</f>
        <v/>
      </c>
      <c r="I752" s="4" t="str">
        <f ca="1">VLOOKUP(A752,Calculation!$F$6:$J$1004,5,FALSE)</f>
        <v/>
      </c>
      <c r="J752" s="43" t="str">
        <f t="shared" ca="1" si="5"/>
        <v/>
      </c>
      <c r="L752" s="29" t="str">
        <f ca="1">VLOOKUP(A752,Calculation!$G$6:$S$1004,2,FALSE)</f>
        <v/>
      </c>
      <c r="M752" s="4" t="str">
        <f ca="1">IFERROR(VLOOKUP($L752,Calculation!$H$6:$S$1005,HLOOKUP(M$2,Calculation!$M$4:$S$5,2,FALSE)+5,FALSE),"")</f>
        <v/>
      </c>
      <c r="N752" s="4" t="str">
        <f ca="1">IFERROR(VLOOKUP($L752,Calculation!$H$6:$S$1005,HLOOKUP(N$2,Calculation!$M$4:$S$5,2,FALSE)+5,FALSE),"")</f>
        <v/>
      </c>
      <c r="O752" s="4" t="str">
        <f ca="1">IFERROR(VLOOKUP($L752,Calculation!$H$6:$S$1005,HLOOKUP(O$2,Calculation!$M$4:$S$5,2,FALSE)+5,FALSE),"")</f>
        <v/>
      </c>
      <c r="P752" s="4" t="str">
        <f ca="1">IFERROR(VLOOKUP($L752,Calculation!$H$6:$S$1005,HLOOKUP(P$2,Calculation!$M$4:$S$5,2,FALSE)+5,FALSE),"")</f>
        <v/>
      </c>
      <c r="Q752" s="4" t="str">
        <f ca="1">IFERROR(VLOOKUP($L752,Calculation!$H$6:$S$1005,HLOOKUP(Q$2,Calculation!$M$4:$S$5,2,FALSE)+5,FALSE),"")</f>
        <v/>
      </c>
      <c r="R752" s="27" t="str">
        <f ca="1">IFERROR(VLOOKUP($L752,Calculation!$H$6:$S$1005,HLOOKUP(R$2,Calculation!$M$4:$S$5,2,FALSE)+5,FALSE),"")</f>
        <v/>
      </c>
      <c r="S752" s="4" t="str">
        <f ca="1">IFERROR(VLOOKUP($L752,Calculation!$H$6:$S$1005,HLOOKUP(S$2,Calculation!$M$4:$S$5,2,FALSE)+5,FALSE),"")</f>
        <v/>
      </c>
      <c r="T752" s="29"/>
      <c r="U752" s="43" t="str">
        <f>IFERROR(VLOOKUP(T752,Calculation!$U$6:$V$11,2,FALSE),"")</f>
        <v/>
      </c>
    </row>
    <row r="753" spans="1:21" ht="14.25" customHeight="1" x14ac:dyDescent="0.3">
      <c r="A753" s="26" t="str">
        <f ca="1">IF(Calculation!T756&lt;=Calculation!$H$4,Calculation!T756,"")</f>
        <v/>
      </c>
      <c r="B753" s="4" t="str">
        <f ca="1">VLOOKUP(A753,Calculation!$E$6:$J$1004,4,FALSE)</f>
        <v/>
      </c>
      <c r="C753" s="4" t="str">
        <f ca="1">VLOOKUP(A753,Calculation!$E$6:$J$1004,5,FALSE)</f>
        <v/>
      </c>
      <c r="D753" s="4" t="str">
        <f ca="1">VLOOKUP(A753,Calculation!$E$6:$J$1004,6,FALSE)</f>
        <v/>
      </c>
      <c r="E753" s="42" t="str">
        <f t="shared" ca="1" si="4"/>
        <v/>
      </c>
      <c r="G753" s="29" t="str">
        <f ca="1">VLOOKUP(A753,Calculation!$F$6:$J$1004,3,FALSE)</f>
        <v/>
      </c>
      <c r="H753" s="4" t="str">
        <f ca="1">VLOOKUP(A753,Calculation!$F$6:$J$1004,4,FALSE)</f>
        <v/>
      </c>
      <c r="I753" s="4" t="str">
        <f ca="1">VLOOKUP(A753,Calculation!$F$6:$J$1004,5,FALSE)</f>
        <v/>
      </c>
      <c r="J753" s="43" t="str">
        <f t="shared" ca="1" si="5"/>
        <v/>
      </c>
      <c r="L753" s="29" t="str">
        <f ca="1">VLOOKUP(A753,Calculation!$G$6:$S$1004,2,FALSE)</f>
        <v/>
      </c>
      <c r="M753" s="4" t="str">
        <f ca="1">IFERROR(VLOOKUP($L753,Calculation!$H$6:$S$1005,HLOOKUP(M$2,Calculation!$M$4:$S$5,2,FALSE)+5,FALSE),"")</f>
        <v/>
      </c>
      <c r="N753" s="4" t="str">
        <f ca="1">IFERROR(VLOOKUP($L753,Calculation!$H$6:$S$1005,HLOOKUP(N$2,Calculation!$M$4:$S$5,2,FALSE)+5,FALSE),"")</f>
        <v/>
      </c>
      <c r="O753" s="4" t="str">
        <f ca="1">IFERROR(VLOOKUP($L753,Calculation!$H$6:$S$1005,HLOOKUP(O$2,Calculation!$M$4:$S$5,2,FALSE)+5,FALSE),"")</f>
        <v/>
      </c>
      <c r="P753" s="4" t="str">
        <f ca="1">IFERROR(VLOOKUP($L753,Calculation!$H$6:$S$1005,HLOOKUP(P$2,Calculation!$M$4:$S$5,2,FALSE)+5,FALSE),"")</f>
        <v/>
      </c>
      <c r="Q753" s="4" t="str">
        <f ca="1">IFERROR(VLOOKUP($L753,Calculation!$H$6:$S$1005,HLOOKUP(Q$2,Calculation!$M$4:$S$5,2,FALSE)+5,FALSE),"")</f>
        <v/>
      </c>
      <c r="R753" s="27" t="str">
        <f ca="1">IFERROR(VLOOKUP($L753,Calculation!$H$6:$S$1005,HLOOKUP(R$2,Calculation!$M$4:$S$5,2,FALSE)+5,FALSE),"")</f>
        <v/>
      </c>
      <c r="S753" s="4" t="str">
        <f ca="1">IFERROR(VLOOKUP($L753,Calculation!$H$6:$S$1005,HLOOKUP(S$2,Calculation!$M$4:$S$5,2,FALSE)+5,FALSE),"")</f>
        <v/>
      </c>
      <c r="T753" s="29"/>
      <c r="U753" s="43" t="str">
        <f>IFERROR(VLOOKUP(T753,Calculation!$U$6:$V$11,2,FALSE),"")</f>
        <v/>
      </c>
    </row>
    <row r="754" spans="1:21" ht="14.25" customHeight="1" x14ac:dyDescent="0.3">
      <c r="A754" s="26" t="str">
        <f ca="1">IF(Calculation!T757&lt;=Calculation!$H$4,Calculation!T757,"")</f>
        <v/>
      </c>
      <c r="B754" s="4" t="str">
        <f ca="1">VLOOKUP(A754,Calculation!$E$6:$J$1004,4,FALSE)</f>
        <v/>
      </c>
      <c r="C754" s="4" t="str">
        <f ca="1">VLOOKUP(A754,Calculation!$E$6:$J$1004,5,FALSE)</f>
        <v/>
      </c>
      <c r="D754" s="4" t="str">
        <f ca="1">VLOOKUP(A754,Calculation!$E$6:$J$1004,6,FALSE)</f>
        <v/>
      </c>
      <c r="E754" s="42" t="str">
        <f t="shared" ca="1" si="4"/>
        <v/>
      </c>
      <c r="G754" s="29" t="str">
        <f ca="1">VLOOKUP(A754,Calculation!$F$6:$J$1004,3,FALSE)</f>
        <v/>
      </c>
      <c r="H754" s="4" t="str">
        <f ca="1">VLOOKUP(A754,Calculation!$F$6:$J$1004,4,FALSE)</f>
        <v/>
      </c>
      <c r="I754" s="4" t="str">
        <f ca="1">VLOOKUP(A754,Calculation!$F$6:$J$1004,5,FALSE)</f>
        <v/>
      </c>
      <c r="J754" s="43" t="str">
        <f t="shared" ca="1" si="5"/>
        <v/>
      </c>
      <c r="L754" s="29" t="str">
        <f ca="1">VLOOKUP(A754,Calculation!$G$6:$S$1004,2,FALSE)</f>
        <v/>
      </c>
      <c r="M754" s="4" t="str">
        <f ca="1">IFERROR(VLOOKUP($L754,Calculation!$H$6:$S$1005,HLOOKUP(M$2,Calculation!$M$4:$S$5,2,FALSE)+5,FALSE),"")</f>
        <v/>
      </c>
      <c r="N754" s="4" t="str">
        <f ca="1">IFERROR(VLOOKUP($L754,Calculation!$H$6:$S$1005,HLOOKUP(N$2,Calculation!$M$4:$S$5,2,FALSE)+5,FALSE),"")</f>
        <v/>
      </c>
      <c r="O754" s="4" t="str">
        <f ca="1">IFERROR(VLOOKUP($L754,Calculation!$H$6:$S$1005,HLOOKUP(O$2,Calculation!$M$4:$S$5,2,FALSE)+5,FALSE),"")</f>
        <v/>
      </c>
      <c r="P754" s="4" t="str">
        <f ca="1">IFERROR(VLOOKUP($L754,Calculation!$H$6:$S$1005,HLOOKUP(P$2,Calculation!$M$4:$S$5,2,FALSE)+5,FALSE),"")</f>
        <v/>
      </c>
      <c r="Q754" s="4" t="str">
        <f ca="1">IFERROR(VLOOKUP($L754,Calculation!$H$6:$S$1005,HLOOKUP(Q$2,Calculation!$M$4:$S$5,2,FALSE)+5,FALSE),"")</f>
        <v/>
      </c>
      <c r="R754" s="27" t="str">
        <f ca="1">IFERROR(VLOOKUP($L754,Calculation!$H$6:$S$1005,HLOOKUP(R$2,Calculation!$M$4:$S$5,2,FALSE)+5,FALSE),"")</f>
        <v/>
      </c>
      <c r="S754" s="4" t="str">
        <f ca="1">IFERROR(VLOOKUP($L754,Calculation!$H$6:$S$1005,HLOOKUP(S$2,Calculation!$M$4:$S$5,2,FALSE)+5,FALSE),"")</f>
        <v/>
      </c>
      <c r="T754" s="29"/>
      <c r="U754" s="43" t="str">
        <f>IFERROR(VLOOKUP(T754,Calculation!$U$6:$V$11,2,FALSE),"")</f>
        <v/>
      </c>
    </row>
    <row r="755" spans="1:21" ht="14.25" customHeight="1" x14ac:dyDescent="0.3">
      <c r="A755" s="26" t="str">
        <f ca="1">IF(Calculation!T758&lt;=Calculation!$H$4,Calculation!T758,"")</f>
        <v/>
      </c>
      <c r="B755" s="4" t="str">
        <f ca="1">VLOOKUP(A755,Calculation!$E$6:$J$1004,4,FALSE)</f>
        <v/>
      </c>
      <c r="C755" s="4" t="str">
        <f ca="1">VLOOKUP(A755,Calculation!$E$6:$J$1004,5,FALSE)</f>
        <v/>
      </c>
      <c r="D755" s="4" t="str">
        <f ca="1">VLOOKUP(A755,Calculation!$E$6:$J$1004,6,FALSE)</f>
        <v/>
      </c>
      <c r="E755" s="42" t="str">
        <f t="shared" ca="1" si="4"/>
        <v/>
      </c>
      <c r="G755" s="29" t="str">
        <f ca="1">VLOOKUP(A755,Calculation!$F$6:$J$1004,3,FALSE)</f>
        <v/>
      </c>
      <c r="H755" s="4" t="str">
        <f ca="1">VLOOKUP(A755,Calculation!$F$6:$J$1004,4,FALSE)</f>
        <v/>
      </c>
      <c r="I755" s="4" t="str">
        <f ca="1">VLOOKUP(A755,Calculation!$F$6:$J$1004,5,FALSE)</f>
        <v/>
      </c>
      <c r="J755" s="43" t="str">
        <f t="shared" ca="1" si="5"/>
        <v/>
      </c>
      <c r="L755" s="29" t="str">
        <f ca="1">VLOOKUP(A755,Calculation!$G$6:$S$1004,2,FALSE)</f>
        <v/>
      </c>
      <c r="M755" s="4" t="str">
        <f ca="1">IFERROR(VLOOKUP($L755,Calculation!$H$6:$S$1005,HLOOKUP(M$2,Calculation!$M$4:$S$5,2,FALSE)+5,FALSE),"")</f>
        <v/>
      </c>
      <c r="N755" s="4" t="str">
        <f ca="1">IFERROR(VLOOKUP($L755,Calculation!$H$6:$S$1005,HLOOKUP(N$2,Calculation!$M$4:$S$5,2,FALSE)+5,FALSE),"")</f>
        <v/>
      </c>
      <c r="O755" s="4" t="str">
        <f ca="1">IFERROR(VLOOKUP($L755,Calculation!$H$6:$S$1005,HLOOKUP(O$2,Calculation!$M$4:$S$5,2,FALSE)+5,FALSE),"")</f>
        <v/>
      </c>
      <c r="P755" s="4" t="str">
        <f ca="1">IFERROR(VLOOKUP($L755,Calculation!$H$6:$S$1005,HLOOKUP(P$2,Calculation!$M$4:$S$5,2,FALSE)+5,FALSE),"")</f>
        <v/>
      </c>
      <c r="Q755" s="4" t="str">
        <f ca="1">IFERROR(VLOOKUP($L755,Calculation!$H$6:$S$1005,HLOOKUP(Q$2,Calculation!$M$4:$S$5,2,FALSE)+5,FALSE),"")</f>
        <v/>
      </c>
      <c r="R755" s="27" t="str">
        <f ca="1">IFERROR(VLOOKUP($L755,Calculation!$H$6:$S$1005,HLOOKUP(R$2,Calculation!$M$4:$S$5,2,FALSE)+5,FALSE),"")</f>
        <v/>
      </c>
      <c r="S755" s="4" t="str">
        <f ca="1">IFERROR(VLOOKUP($L755,Calculation!$H$6:$S$1005,HLOOKUP(S$2,Calculation!$M$4:$S$5,2,FALSE)+5,FALSE),"")</f>
        <v/>
      </c>
      <c r="T755" s="29"/>
      <c r="U755" s="43" t="str">
        <f>IFERROR(VLOOKUP(T755,Calculation!$U$6:$V$11,2,FALSE),"")</f>
        <v/>
      </c>
    </row>
    <row r="756" spans="1:21" ht="14.25" customHeight="1" x14ac:dyDescent="0.3">
      <c r="A756" s="26" t="str">
        <f ca="1">IF(Calculation!T759&lt;=Calculation!$H$4,Calculation!T759,"")</f>
        <v/>
      </c>
      <c r="B756" s="4" t="str">
        <f ca="1">VLOOKUP(A756,Calculation!$E$6:$J$1004,4,FALSE)</f>
        <v/>
      </c>
      <c r="C756" s="4" t="str">
        <f ca="1">VLOOKUP(A756,Calculation!$E$6:$J$1004,5,FALSE)</f>
        <v/>
      </c>
      <c r="D756" s="4" t="str">
        <f ca="1">VLOOKUP(A756,Calculation!$E$6:$J$1004,6,FALSE)</f>
        <v/>
      </c>
      <c r="E756" s="42" t="str">
        <f t="shared" ca="1" si="4"/>
        <v/>
      </c>
      <c r="G756" s="29" t="str">
        <f ca="1">VLOOKUP(A756,Calculation!$F$6:$J$1004,3,FALSE)</f>
        <v/>
      </c>
      <c r="H756" s="4" t="str">
        <f ca="1">VLOOKUP(A756,Calculation!$F$6:$J$1004,4,FALSE)</f>
        <v/>
      </c>
      <c r="I756" s="4" t="str">
        <f ca="1">VLOOKUP(A756,Calculation!$F$6:$J$1004,5,FALSE)</f>
        <v/>
      </c>
      <c r="J756" s="43" t="str">
        <f t="shared" ca="1" si="5"/>
        <v/>
      </c>
      <c r="L756" s="29" t="str">
        <f ca="1">VLOOKUP(A756,Calculation!$G$6:$S$1004,2,FALSE)</f>
        <v/>
      </c>
      <c r="M756" s="4" t="str">
        <f ca="1">IFERROR(VLOOKUP($L756,Calculation!$H$6:$S$1005,HLOOKUP(M$2,Calculation!$M$4:$S$5,2,FALSE)+5,FALSE),"")</f>
        <v/>
      </c>
      <c r="N756" s="4" t="str">
        <f ca="1">IFERROR(VLOOKUP($L756,Calculation!$H$6:$S$1005,HLOOKUP(N$2,Calculation!$M$4:$S$5,2,FALSE)+5,FALSE),"")</f>
        <v/>
      </c>
      <c r="O756" s="4" t="str">
        <f ca="1">IFERROR(VLOOKUP($L756,Calculation!$H$6:$S$1005,HLOOKUP(O$2,Calculation!$M$4:$S$5,2,FALSE)+5,FALSE),"")</f>
        <v/>
      </c>
      <c r="P756" s="4" t="str">
        <f ca="1">IFERROR(VLOOKUP($L756,Calculation!$H$6:$S$1005,HLOOKUP(P$2,Calculation!$M$4:$S$5,2,FALSE)+5,FALSE),"")</f>
        <v/>
      </c>
      <c r="Q756" s="4" t="str">
        <f ca="1">IFERROR(VLOOKUP($L756,Calculation!$H$6:$S$1005,HLOOKUP(Q$2,Calculation!$M$4:$S$5,2,FALSE)+5,FALSE),"")</f>
        <v/>
      </c>
      <c r="R756" s="27" t="str">
        <f ca="1">IFERROR(VLOOKUP($L756,Calculation!$H$6:$S$1005,HLOOKUP(R$2,Calculation!$M$4:$S$5,2,FALSE)+5,FALSE),"")</f>
        <v/>
      </c>
      <c r="S756" s="4" t="str">
        <f ca="1">IFERROR(VLOOKUP($L756,Calculation!$H$6:$S$1005,HLOOKUP(S$2,Calculation!$M$4:$S$5,2,FALSE)+5,FALSE),"")</f>
        <v/>
      </c>
      <c r="T756" s="29"/>
      <c r="U756" s="43" t="str">
        <f>IFERROR(VLOOKUP(T756,Calculation!$U$6:$V$11,2,FALSE),"")</f>
        <v/>
      </c>
    </row>
    <row r="757" spans="1:21" ht="14.25" customHeight="1" x14ac:dyDescent="0.3">
      <c r="A757" s="26" t="str">
        <f ca="1">IF(Calculation!T760&lt;=Calculation!$H$4,Calculation!T760,"")</f>
        <v/>
      </c>
      <c r="B757" s="4" t="str">
        <f ca="1">VLOOKUP(A757,Calculation!$E$6:$J$1004,4,FALSE)</f>
        <v/>
      </c>
      <c r="C757" s="4" t="str">
        <f ca="1">VLOOKUP(A757,Calculation!$E$6:$J$1004,5,FALSE)</f>
        <v/>
      </c>
      <c r="D757" s="4" t="str">
        <f ca="1">VLOOKUP(A757,Calculation!$E$6:$J$1004,6,FALSE)</f>
        <v/>
      </c>
      <c r="E757" s="42" t="str">
        <f t="shared" ca="1" si="4"/>
        <v/>
      </c>
      <c r="G757" s="29" t="str">
        <f ca="1">VLOOKUP(A757,Calculation!$F$6:$J$1004,3,FALSE)</f>
        <v/>
      </c>
      <c r="H757" s="4" t="str">
        <f ca="1">VLOOKUP(A757,Calculation!$F$6:$J$1004,4,FALSE)</f>
        <v/>
      </c>
      <c r="I757" s="4" t="str">
        <f ca="1">VLOOKUP(A757,Calculation!$F$6:$J$1004,5,FALSE)</f>
        <v/>
      </c>
      <c r="J757" s="43" t="str">
        <f t="shared" ca="1" si="5"/>
        <v/>
      </c>
      <c r="L757" s="29" t="str">
        <f ca="1">VLOOKUP(A757,Calculation!$G$6:$S$1004,2,FALSE)</f>
        <v/>
      </c>
      <c r="M757" s="4" t="str">
        <f ca="1">IFERROR(VLOOKUP($L757,Calculation!$H$6:$S$1005,HLOOKUP(M$2,Calculation!$M$4:$S$5,2,FALSE)+5,FALSE),"")</f>
        <v/>
      </c>
      <c r="N757" s="4" t="str">
        <f ca="1">IFERROR(VLOOKUP($L757,Calculation!$H$6:$S$1005,HLOOKUP(N$2,Calculation!$M$4:$S$5,2,FALSE)+5,FALSE),"")</f>
        <v/>
      </c>
      <c r="O757" s="4" t="str">
        <f ca="1">IFERROR(VLOOKUP($L757,Calculation!$H$6:$S$1005,HLOOKUP(O$2,Calculation!$M$4:$S$5,2,FALSE)+5,FALSE),"")</f>
        <v/>
      </c>
      <c r="P757" s="4" t="str">
        <f ca="1">IFERROR(VLOOKUP($L757,Calculation!$H$6:$S$1005,HLOOKUP(P$2,Calculation!$M$4:$S$5,2,FALSE)+5,FALSE),"")</f>
        <v/>
      </c>
      <c r="Q757" s="4" t="str">
        <f ca="1">IFERROR(VLOOKUP($L757,Calculation!$H$6:$S$1005,HLOOKUP(Q$2,Calculation!$M$4:$S$5,2,FALSE)+5,FALSE),"")</f>
        <v/>
      </c>
      <c r="R757" s="27" t="str">
        <f ca="1">IFERROR(VLOOKUP($L757,Calculation!$H$6:$S$1005,HLOOKUP(R$2,Calculation!$M$4:$S$5,2,FALSE)+5,FALSE),"")</f>
        <v/>
      </c>
      <c r="S757" s="4" t="str">
        <f ca="1">IFERROR(VLOOKUP($L757,Calculation!$H$6:$S$1005,HLOOKUP(S$2,Calculation!$M$4:$S$5,2,FALSE)+5,FALSE),"")</f>
        <v/>
      </c>
      <c r="T757" s="29"/>
      <c r="U757" s="43" t="str">
        <f>IFERROR(VLOOKUP(T757,Calculation!$U$6:$V$11,2,FALSE),"")</f>
        <v/>
      </c>
    </row>
    <row r="758" spans="1:21" ht="14.25" customHeight="1" x14ac:dyDescent="0.3">
      <c r="A758" s="26" t="str">
        <f ca="1">IF(Calculation!T761&lt;=Calculation!$H$4,Calculation!T761,"")</f>
        <v/>
      </c>
      <c r="B758" s="4" t="str">
        <f ca="1">VLOOKUP(A758,Calculation!$E$6:$J$1004,4,FALSE)</f>
        <v/>
      </c>
      <c r="C758" s="4" t="str">
        <f ca="1">VLOOKUP(A758,Calculation!$E$6:$J$1004,5,FALSE)</f>
        <v/>
      </c>
      <c r="D758" s="4" t="str">
        <f ca="1">VLOOKUP(A758,Calculation!$E$6:$J$1004,6,FALSE)</f>
        <v/>
      </c>
      <c r="E758" s="42" t="str">
        <f t="shared" ca="1" si="4"/>
        <v/>
      </c>
      <c r="G758" s="29" t="str">
        <f ca="1">VLOOKUP(A758,Calculation!$F$6:$J$1004,3,FALSE)</f>
        <v/>
      </c>
      <c r="H758" s="4" t="str">
        <f ca="1">VLOOKUP(A758,Calculation!$F$6:$J$1004,4,FALSE)</f>
        <v/>
      </c>
      <c r="I758" s="4" t="str">
        <f ca="1">VLOOKUP(A758,Calculation!$F$6:$J$1004,5,FALSE)</f>
        <v/>
      </c>
      <c r="J758" s="43" t="str">
        <f t="shared" ca="1" si="5"/>
        <v/>
      </c>
      <c r="L758" s="29" t="str">
        <f ca="1">VLOOKUP(A758,Calculation!$G$6:$S$1004,2,FALSE)</f>
        <v/>
      </c>
      <c r="M758" s="4" t="str">
        <f ca="1">IFERROR(VLOOKUP($L758,Calculation!$H$6:$S$1005,HLOOKUP(M$2,Calculation!$M$4:$S$5,2,FALSE)+5,FALSE),"")</f>
        <v/>
      </c>
      <c r="N758" s="4" t="str">
        <f ca="1">IFERROR(VLOOKUP($L758,Calculation!$H$6:$S$1005,HLOOKUP(N$2,Calculation!$M$4:$S$5,2,FALSE)+5,FALSE),"")</f>
        <v/>
      </c>
      <c r="O758" s="4" t="str">
        <f ca="1">IFERROR(VLOOKUP($L758,Calculation!$H$6:$S$1005,HLOOKUP(O$2,Calculation!$M$4:$S$5,2,FALSE)+5,FALSE),"")</f>
        <v/>
      </c>
      <c r="P758" s="4" t="str">
        <f ca="1">IFERROR(VLOOKUP($L758,Calculation!$H$6:$S$1005,HLOOKUP(P$2,Calculation!$M$4:$S$5,2,FALSE)+5,FALSE),"")</f>
        <v/>
      </c>
      <c r="Q758" s="4" t="str">
        <f ca="1">IFERROR(VLOOKUP($L758,Calculation!$H$6:$S$1005,HLOOKUP(Q$2,Calculation!$M$4:$S$5,2,FALSE)+5,FALSE),"")</f>
        <v/>
      </c>
      <c r="R758" s="27" t="str">
        <f ca="1">IFERROR(VLOOKUP($L758,Calculation!$H$6:$S$1005,HLOOKUP(R$2,Calculation!$M$4:$S$5,2,FALSE)+5,FALSE),"")</f>
        <v/>
      </c>
      <c r="S758" s="4" t="str">
        <f ca="1">IFERROR(VLOOKUP($L758,Calculation!$H$6:$S$1005,HLOOKUP(S$2,Calculation!$M$4:$S$5,2,FALSE)+5,FALSE),"")</f>
        <v/>
      </c>
      <c r="T758" s="29"/>
      <c r="U758" s="43" t="str">
        <f>IFERROR(VLOOKUP(T758,Calculation!$U$6:$V$11,2,FALSE),"")</f>
        <v/>
      </c>
    </row>
    <row r="759" spans="1:21" ht="14.25" customHeight="1" x14ac:dyDescent="0.3">
      <c r="A759" s="26" t="str">
        <f ca="1">IF(Calculation!T762&lt;=Calculation!$H$4,Calculation!T762,"")</f>
        <v/>
      </c>
      <c r="B759" s="4" t="str">
        <f ca="1">VLOOKUP(A759,Calculation!$E$6:$J$1004,4,FALSE)</f>
        <v/>
      </c>
      <c r="C759" s="4" t="str">
        <f ca="1">VLOOKUP(A759,Calculation!$E$6:$J$1004,5,FALSE)</f>
        <v/>
      </c>
      <c r="D759" s="4" t="str">
        <f ca="1">VLOOKUP(A759,Calculation!$E$6:$J$1004,6,FALSE)</f>
        <v/>
      </c>
      <c r="E759" s="42" t="str">
        <f t="shared" ca="1" si="4"/>
        <v/>
      </c>
      <c r="G759" s="29" t="str">
        <f ca="1">VLOOKUP(A759,Calculation!$F$6:$J$1004,3,FALSE)</f>
        <v/>
      </c>
      <c r="H759" s="4" t="str">
        <f ca="1">VLOOKUP(A759,Calculation!$F$6:$J$1004,4,FALSE)</f>
        <v/>
      </c>
      <c r="I759" s="4" t="str">
        <f ca="1">VLOOKUP(A759,Calculation!$F$6:$J$1004,5,FALSE)</f>
        <v/>
      </c>
      <c r="J759" s="43" t="str">
        <f t="shared" ca="1" si="5"/>
        <v/>
      </c>
      <c r="L759" s="29" t="str">
        <f ca="1">VLOOKUP(A759,Calculation!$G$6:$S$1004,2,FALSE)</f>
        <v/>
      </c>
      <c r="M759" s="4" t="str">
        <f ca="1">IFERROR(VLOOKUP($L759,Calculation!$H$6:$S$1005,HLOOKUP(M$2,Calculation!$M$4:$S$5,2,FALSE)+5,FALSE),"")</f>
        <v/>
      </c>
      <c r="N759" s="4" t="str">
        <f ca="1">IFERROR(VLOOKUP($L759,Calculation!$H$6:$S$1005,HLOOKUP(N$2,Calculation!$M$4:$S$5,2,FALSE)+5,FALSE),"")</f>
        <v/>
      </c>
      <c r="O759" s="4" t="str">
        <f ca="1">IFERROR(VLOOKUP($L759,Calculation!$H$6:$S$1005,HLOOKUP(O$2,Calculation!$M$4:$S$5,2,FALSE)+5,FALSE),"")</f>
        <v/>
      </c>
      <c r="P759" s="4" t="str">
        <f ca="1">IFERROR(VLOOKUP($L759,Calculation!$H$6:$S$1005,HLOOKUP(P$2,Calculation!$M$4:$S$5,2,FALSE)+5,FALSE),"")</f>
        <v/>
      </c>
      <c r="Q759" s="4" t="str">
        <f ca="1">IFERROR(VLOOKUP($L759,Calculation!$H$6:$S$1005,HLOOKUP(Q$2,Calculation!$M$4:$S$5,2,FALSE)+5,FALSE),"")</f>
        <v/>
      </c>
      <c r="R759" s="27" t="str">
        <f ca="1">IFERROR(VLOOKUP($L759,Calculation!$H$6:$S$1005,HLOOKUP(R$2,Calculation!$M$4:$S$5,2,FALSE)+5,FALSE),"")</f>
        <v/>
      </c>
      <c r="S759" s="4" t="str">
        <f ca="1">IFERROR(VLOOKUP($L759,Calculation!$H$6:$S$1005,HLOOKUP(S$2,Calculation!$M$4:$S$5,2,FALSE)+5,FALSE),"")</f>
        <v/>
      </c>
      <c r="T759" s="29"/>
      <c r="U759" s="43" t="str">
        <f>IFERROR(VLOOKUP(T759,Calculation!$U$6:$V$11,2,FALSE),"")</f>
        <v/>
      </c>
    </row>
    <row r="760" spans="1:21" ht="14.25" customHeight="1" x14ac:dyDescent="0.3">
      <c r="A760" s="26" t="str">
        <f ca="1">IF(Calculation!T763&lt;=Calculation!$H$4,Calculation!T763,"")</f>
        <v/>
      </c>
      <c r="B760" s="4" t="str">
        <f ca="1">VLOOKUP(A760,Calculation!$E$6:$J$1004,4,FALSE)</f>
        <v/>
      </c>
      <c r="C760" s="4" t="str">
        <f ca="1">VLOOKUP(A760,Calculation!$E$6:$J$1004,5,FALSE)</f>
        <v/>
      </c>
      <c r="D760" s="4" t="str">
        <f ca="1">VLOOKUP(A760,Calculation!$E$6:$J$1004,6,FALSE)</f>
        <v/>
      </c>
      <c r="E760" s="42" t="str">
        <f t="shared" ca="1" si="4"/>
        <v/>
      </c>
      <c r="G760" s="29" t="str">
        <f ca="1">VLOOKUP(A760,Calculation!$F$6:$J$1004,3,FALSE)</f>
        <v/>
      </c>
      <c r="H760" s="4" t="str">
        <f ca="1">VLOOKUP(A760,Calculation!$F$6:$J$1004,4,FALSE)</f>
        <v/>
      </c>
      <c r="I760" s="4" t="str">
        <f ca="1">VLOOKUP(A760,Calculation!$F$6:$J$1004,5,FALSE)</f>
        <v/>
      </c>
      <c r="J760" s="43" t="str">
        <f t="shared" ca="1" si="5"/>
        <v/>
      </c>
      <c r="L760" s="29" t="str">
        <f ca="1">VLOOKUP(A760,Calculation!$G$6:$S$1004,2,FALSE)</f>
        <v/>
      </c>
      <c r="M760" s="4" t="str">
        <f ca="1">IFERROR(VLOOKUP($L760,Calculation!$H$6:$S$1005,HLOOKUP(M$2,Calculation!$M$4:$S$5,2,FALSE)+5,FALSE),"")</f>
        <v/>
      </c>
      <c r="N760" s="4" t="str">
        <f ca="1">IFERROR(VLOOKUP($L760,Calculation!$H$6:$S$1005,HLOOKUP(N$2,Calculation!$M$4:$S$5,2,FALSE)+5,FALSE),"")</f>
        <v/>
      </c>
      <c r="O760" s="4" t="str">
        <f ca="1">IFERROR(VLOOKUP($L760,Calculation!$H$6:$S$1005,HLOOKUP(O$2,Calculation!$M$4:$S$5,2,FALSE)+5,FALSE),"")</f>
        <v/>
      </c>
      <c r="P760" s="4" t="str">
        <f ca="1">IFERROR(VLOOKUP($L760,Calculation!$H$6:$S$1005,HLOOKUP(P$2,Calculation!$M$4:$S$5,2,FALSE)+5,FALSE),"")</f>
        <v/>
      </c>
      <c r="Q760" s="4" t="str">
        <f ca="1">IFERROR(VLOOKUP($L760,Calculation!$H$6:$S$1005,HLOOKUP(Q$2,Calculation!$M$4:$S$5,2,FALSE)+5,FALSE),"")</f>
        <v/>
      </c>
      <c r="R760" s="27" t="str">
        <f ca="1">IFERROR(VLOOKUP($L760,Calculation!$H$6:$S$1005,HLOOKUP(R$2,Calculation!$M$4:$S$5,2,FALSE)+5,FALSE),"")</f>
        <v/>
      </c>
      <c r="S760" s="4" t="str">
        <f ca="1">IFERROR(VLOOKUP($L760,Calculation!$H$6:$S$1005,HLOOKUP(S$2,Calculation!$M$4:$S$5,2,FALSE)+5,FALSE),"")</f>
        <v/>
      </c>
      <c r="T760" s="29"/>
      <c r="U760" s="43" t="str">
        <f>IFERROR(VLOOKUP(T760,Calculation!$U$6:$V$11,2,FALSE),"")</f>
        <v/>
      </c>
    </row>
    <row r="761" spans="1:21" ht="14.25" customHeight="1" x14ac:dyDescent="0.3">
      <c r="A761" s="26" t="str">
        <f ca="1">IF(Calculation!T764&lt;=Calculation!$H$4,Calculation!T764,"")</f>
        <v/>
      </c>
      <c r="B761" s="4" t="str">
        <f ca="1">VLOOKUP(A761,Calculation!$E$6:$J$1004,4,FALSE)</f>
        <v/>
      </c>
      <c r="C761" s="4" t="str">
        <f ca="1">VLOOKUP(A761,Calculation!$E$6:$J$1004,5,FALSE)</f>
        <v/>
      </c>
      <c r="D761" s="4" t="str">
        <f ca="1">VLOOKUP(A761,Calculation!$E$6:$J$1004,6,FALSE)</f>
        <v/>
      </c>
      <c r="E761" s="42" t="str">
        <f t="shared" ca="1" si="4"/>
        <v/>
      </c>
      <c r="G761" s="29" t="str">
        <f ca="1">VLOOKUP(A761,Calculation!$F$6:$J$1004,3,FALSE)</f>
        <v/>
      </c>
      <c r="H761" s="4" t="str">
        <f ca="1">VLOOKUP(A761,Calculation!$F$6:$J$1004,4,FALSE)</f>
        <v/>
      </c>
      <c r="I761" s="4" t="str">
        <f ca="1">VLOOKUP(A761,Calculation!$F$6:$J$1004,5,FALSE)</f>
        <v/>
      </c>
      <c r="J761" s="43" t="str">
        <f t="shared" ca="1" si="5"/>
        <v/>
      </c>
      <c r="L761" s="29" t="str">
        <f ca="1">VLOOKUP(A761,Calculation!$G$6:$S$1004,2,FALSE)</f>
        <v/>
      </c>
      <c r="M761" s="4" t="str">
        <f ca="1">IFERROR(VLOOKUP($L761,Calculation!$H$6:$S$1005,HLOOKUP(M$2,Calculation!$M$4:$S$5,2,FALSE)+5,FALSE),"")</f>
        <v/>
      </c>
      <c r="N761" s="4" t="str">
        <f ca="1">IFERROR(VLOOKUP($L761,Calculation!$H$6:$S$1005,HLOOKUP(N$2,Calculation!$M$4:$S$5,2,FALSE)+5,FALSE),"")</f>
        <v/>
      </c>
      <c r="O761" s="4" t="str">
        <f ca="1">IFERROR(VLOOKUP($L761,Calculation!$H$6:$S$1005,HLOOKUP(O$2,Calculation!$M$4:$S$5,2,FALSE)+5,FALSE),"")</f>
        <v/>
      </c>
      <c r="P761" s="4" t="str">
        <f ca="1">IFERROR(VLOOKUP($L761,Calculation!$H$6:$S$1005,HLOOKUP(P$2,Calculation!$M$4:$S$5,2,FALSE)+5,FALSE),"")</f>
        <v/>
      </c>
      <c r="Q761" s="4" t="str">
        <f ca="1">IFERROR(VLOOKUP($L761,Calculation!$H$6:$S$1005,HLOOKUP(Q$2,Calculation!$M$4:$S$5,2,FALSE)+5,FALSE),"")</f>
        <v/>
      </c>
      <c r="R761" s="27" t="str">
        <f ca="1">IFERROR(VLOOKUP($L761,Calculation!$H$6:$S$1005,HLOOKUP(R$2,Calculation!$M$4:$S$5,2,FALSE)+5,FALSE),"")</f>
        <v/>
      </c>
      <c r="S761" s="4" t="str">
        <f ca="1">IFERROR(VLOOKUP($L761,Calculation!$H$6:$S$1005,HLOOKUP(S$2,Calculation!$M$4:$S$5,2,FALSE)+5,FALSE),"")</f>
        <v/>
      </c>
      <c r="T761" s="29"/>
      <c r="U761" s="43" t="str">
        <f>IFERROR(VLOOKUP(T761,Calculation!$U$6:$V$11,2,FALSE),"")</f>
        <v/>
      </c>
    </row>
    <row r="762" spans="1:21" ht="14.25" customHeight="1" x14ac:dyDescent="0.3">
      <c r="A762" s="26" t="str">
        <f ca="1">IF(Calculation!T765&lt;=Calculation!$H$4,Calculation!T765,"")</f>
        <v/>
      </c>
      <c r="B762" s="4" t="str">
        <f ca="1">VLOOKUP(A762,Calculation!$E$6:$J$1004,4,FALSE)</f>
        <v/>
      </c>
      <c r="C762" s="4" t="str">
        <f ca="1">VLOOKUP(A762,Calculation!$E$6:$J$1004,5,FALSE)</f>
        <v/>
      </c>
      <c r="D762" s="4" t="str">
        <f ca="1">VLOOKUP(A762,Calculation!$E$6:$J$1004,6,FALSE)</f>
        <v/>
      </c>
      <c r="E762" s="42" t="str">
        <f t="shared" ca="1" si="4"/>
        <v/>
      </c>
      <c r="G762" s="29" t="str">
        <f ca="1">VLOOKUP(A762,Calculation!$F$6:$J$1004,3,FALSE)</f>
        <v/>
      </c>
      <c r="H762" s="4" t="str">
        <f ca="1">VLOOKUP(A762,Calculation!$F$6:$J$1004,4,FALSE)</f>
        <v/>
      </c>
      <c r="I762" s="4" t="str">
        <f ca="1">VLOOKUP(A762,Calculation!$F$6:$J$1004,5,FALSE)</f>
        <v/>
      </c>
      <c r="J762" s="43" t="str">
        <f t="shared" ca="1" si="5"/>
        <v/>
      </c>
      <c r="L762" s="29" t="str">
        <f ca="1">VLOOKUP(A762,Calculation!$G$6:$S$1004,2,FALSE)</f>
        <v/>
      </c>
      <c r="M762" s="4" t="str">
        <f ca="1">IFERROR(VLOOKUP($L762,Calculation!$H$6:$S$1005,HLOOKUP(M$2,Calculation!$M$4:$S$5,2,FALSE)+5,FALSE),"")</f>
        <v/>
      </c>
      <c r="N762" s="4" t="str">
        <f ca="1">IFERROR(VLOOKUP($L762,Calculation!$H$6:$S$1005,HLOOKUP(N$2,Calculation!$M$4:$S$5,2,FALSE)+5,FALSE),"")</f>
        <v/>
      </c>
      <c r="O762" s="4" t="str">
        <f ca="1">IFERROR(VLOOKUP($L762,Calculation!$H$6:$S$1005,HLOOKUP(O$2,Calculation!$M$4:$S$5,2,FALSE)+5,FALSE),"")</f>
        <v/>
      </c>
      <c r="P762" s="4" t="str">
        <f ca="1">IFERROR(VLOOKUP($L762,Calculation!$H$6:$S$1005,HLOOKUP(P$2,Calculation!$M$4:$S$5,2,FALSE)+5,FALSE),"")</f>
        <v/>
      </c>
      <c r="Q762" s="4" t="str">
        <f ca="1">IFERROR(VLOOKUP($L762,Calculation!$H$6:$S$1005,HLOOKUP(Q$2,Calculation!$M$4:$S$5,2,FALSE)+5,FALSE),"")</f>
        <v/>
      </c>
      <c r="R762" s="27" t="str">
        <f ca="1">IFERROR(VLOOKUP($L762,Calculation!$H$6:$S$1005,HLOOKUP(R$2,Calculation!$M$4:$S$5,2,FALSE)+5,FALSE),"")</f>
        <v/>
      </c>
      <c r="S762" s="4" t="str">
        <f ca="1">IFERROR(VLOOKUP($L762,Calculation!$H$6:$S$1005,HLOOKUP(S$2,Calculation!$M$4:$S$5,2,FALSE)+5,FALSE),"")</f>
        <v/>
      </c>
      <c r="T762" s="29"/>
      <c r="U762" s="43" t="str">
        <f>IFERROR(VLOOKUP(T762,Calculation!$U$6:$V$11,2,FALSE),"")</f>
        <v/>
      </c>
    </row>
    <row r="763" spans="1:21" ht="14.25" customHeight="1" x14ac:dyDescent="0.3">
      <c r="A763" s="26" t="str">
        <f ca="1">IF(Calculation!T766&lt;=Calculation!$H$4,Calculation!T766,"")</f>
        <v/>
      </c>
      <c r="B763" s="4" t="str">
        <f ca="1">VLOOKUP(A763,Calculation!$E$6:$J$1004,4,FALSE)</f>
        <v/>
      </c>
      <c r="C763" s="4" t="str">
        <f ca="1">VLOOKUP(A763,Calculation!$E$6:$J$1004,5,FALSE)</f>
        <v/>
      </c>
      <c r="D763" s="4" t="str">
        <f ca="1">VLOOKUP(A763,Calculation!$E$6:$J$1004,6,FALSE)</f>
        <v/>
      </c>
      <c r="E763" s="42" t="str">
        <f t="shared" ca="1" si="4"/>
        <v/>
      </c>
      <c r="G763" s="29" t="str">
        <f ca="1">VLOOKUP(A763,Calculation!$F$6:$J$1004,3,FALSE)</f>
        <v/>
      </c>
      <c r="H763" s="4" t="str">
        <f ca="1">VLOOKUP(A763,Calculation!$F$6:$J$1004,4,FALSE)</f>
        <v/>
      </c>
      <c r="I763" s="4" t="str">
        <f ca="1">VLOOKUP(A763,Calculation!$F$6:$J$1004,5,FALSE)</f>
        <v/>
      </c>
      <c r="J763" s="43" t="str">
        <f t="shared" ca="1" si="5"/>
        <v/>
      </c>
      <c r="L763" s="29" t="str">
        <f ca="1">VLOOKUP(A763,Calculation!$G$6:$S$1004,2,FALSE)</f>
        <v/>
      </c>
      <c r="M763" s="4" t="str">
        <f ca="1">IFERROR(VLOOKUP($L763,Calculation!$H$6:$S$1005,HLOOKUP(M$2,Calculation!$M$4:$S$5,2,FALSE)+5,FALSE),"")</f>
        <v/>
      </c>
      <c r="N763" s="4" t="str">
        <f ca="1">IFERROR(VLOOKUP($L763,Calculation!$H$6:$S$1005,HLOOKUP(N$2,Calculation!$M$4:$S$5,2,FALSE)+5,FALSE),"")</f>
        <v/>
      </c>
      <c r="O763" s="4" t="str">
        <f ca="1">IFERROR(VLOOKUP($L763,Calculation!$H$6:$S$1005,HLOOKUP(O$2,Calculation!$M$4:$S$5,2,FALSE)+5,FALSE),"")</f>
        <v/>
      </c>
      <c r="P763" s="4" t="str">
        <f ca="1">IFERROR(VLOOKUP($L763,Calculation!$H$6:$S$1005,HLOOKUP(P$2,Calculation!$M$4:$S$5,2,FALSE)+5,FALSE),"")</f>
        <v/>
      </c>
      <c r="Q763" s="4" t="str">
        <f ca="1">IFERROR(VLOOKUP($L763,Calculation!$H$6:$S$1005,HLOOKUP(Q$2,Calculation!$M$4:$S$5,2,FALSE)+5,FALSE),"")</f>
        <v/>
      </c>
      <c r="R763" s="27" t="str">
        <f ca="1">IFERROR(VLOOKUP($L763,Calculation!$H$6:$S$1005,HLOOKUP(R$2,Calculation!$M$4:$S$5,2,FALSE)+5,FALSE),"")</f>
        <v/>
      </c>
      <c r="S763" s="4" t="str">
        <f ca="1">IFERROR(VLOOKUP($L763,Calculation!$H$6:$S$1005,HLOOKUP(S$2,Calculation!$M$4:$S$5,2,FALSE)+5,FALSE),"")</f>
        <v/>
      </c>
      <c r="T763" s="29"/>
      <c r="U763" s="43" t="str">
        <f>IFERROR(VLOOKUP(T763,Calculation!$U$6:$V$11,2,FALSE),"")</f>
        <v/>
      </c>
    </row>
    <row r="764" spans="1:21" ht="14.25" customHeight="1" x14ac:dyDescent="0.3">
      <c r="A764" s="26" t="str">
        <f ca="1">IF(Calculation!T767&lt;=Calculation!$H$4,Calculation!T767,"")</f>
        <v/>
      </c>
      <c r="B764" s="4" t="str">
        <f ca="1">VLOOKUP(A764,Calculation!$E$6:$J$1004,4,FALSE)</f>
        <v/>
      </c>
      <c r="C764" s="4" t="str">
        <f ca="1">VLOOKUP(A764,Calculation!$E$6:$J$1004,5,FALSE)</f>
        <v/>
      </c>
      <c r="D764" s="4" t="str">
        <f ca="1">VLOOKUP(A764,Calculation!$E$6:$J$1004,6,FALSE)</f>
        <v/>
      </c>
      <c r="E764" s="42" t="str">
        <f t="shared" ca="1" si="4"/>
        <v/>
      </c>
      <c r="G764" s="29" t="str">
        <f ca="1">VLOOKUP(A764,Calculation!$F$6:$J$1004,3,FALSE)</f>
        <v/>
      </c>
      <c r="H764" s="4" t="str">
        <f ca="1">VLOOKUP(A764,Calculation!$F$6:$J$1004,4,FALSE)</f>
        <v/>
      </c>
      <c r="I764" s="4" t="str">
        <f ca="1">VLOOKUP(A764,Calculation!$F$6:$J$1004,5,FALSE)</f>
        <v/>
      </c>
      <c r="J764" s="43" t="str">
        <f t="shared" ca="1" si="5"/>
        <v/>
      </c>
      <c r="L764" s="29" t="str">
        <f ca="1">VLOOKUP(A764,Calculation!$G$6:$S$1004,2,FALSE)</f>
        <v/>
      </c>
      <c r="M764" s="4" t="str">
        <f ca="1">IFERROR(VLOOKUP($L764,Calculation!$H$6:$S$1005,HLOOKUP(M$2,Calculation!$M$4:$S$5,2,FALSE)+5,FALSE),"")</f>
        <v/>
      </c>
      <c r="N764" s="4" t="str">
        <f ca="1">IFERROR(VLOOKUP($L764,Calculation!$H$6:$S$1005,HLOOKUP(N$2,Calculation!$M$4:$S$5,2,FALSE)+5,FALSE),"")</f>
        <v/>
      </c>
      <c r="O764" s="4" t="str">
        <f ca="1">IFERROR(VLOOKUP($L764,Calculation!$H$6:$S$1005,HLOOKUP(O$2,Calculation!$M$4:$S$5,2,FALSE)+5,FALSE),"")</f>
        <v/>
      </c>
      <c r="P764" s="4" t="str">
        <f ca="1">IFERROR(VLOOKUP($L764,Calculation!$H$6:$S$1005,HLOOKUP(P$2,Calculation!$M$4:$S$5,2,FALSE)+5,FALSE),"")</f>
        <v/>
      </c>
      <c r="Q764" s="4" t="str">
        <f ca="1">IFERROR(VLOOKUP($L764,Calculation!$H$6:$S$1005,HLOOKUP(Q$2,Calculation!$M$4:$S$5,2,FALSE)+5,FALSE),"")</f>
        <v/>
      </c>
      <c r="R764" s="27" t="str">
        <f ca="1">IFERROR(VLOOKUP($L764,Calculation!$H$6:$S$1005,HLOOKUP(R$2,Calculation!$M$4:$S$5,2,FALSE)+5,FALSE),"")</f>
        <v/>
      </c>
      <c r="S764" s="4" t="str">
        <f ca="1">IFERROR(VLOOKUP($L764,Calculation!$H$6:$S$1005,HLOOKUP(S$2,Calculation!$M$4:$S$5,2,FALSE)+5,FALSE),"")</f>
        <v/>
      </c>
      <c r="T764" s="29"/>
      <c r="U764" s="43" t="str">
        <f>IFERROR(VLOOKUP(T764,Calculation!$U$6:$V$11,2,FALSE),"")</f>
        <v/>
      </c>
    </row>
    <row r="765" spans="1:21" ht="14.25" customHeight="1" x14ac:dyDescent="0.3">
      <c r="A765" s="26" t="str">
        <f ca="1">IF(Calculation!T768&lt;=Calculation!$H$4,Calculation!T768,"")</f>
        <v/>
      </c>
      <c r="B765" s="4" t="str">
        <f ca="1">VLOOKUP(A765,Calculation!$E$6:$J$1004,4,FALSE)</f>
        <v/>
      </c>
      <c r="C765" s="4" t="str">
        <f ca="1">VLOOKUP(A765,Calculation!$E$6:$J$1004,5,FALSE)</f>
        <v/>
      </c>
      <c r="D765" s="4" t="str">
        <f ca="1">VLOOKUP(A765,Calculation!$E$6:$J$1004,6,FALSE)</f>
        <v/>
      </c>
      <c r="E765" s="42" t="str">
        <f t="shared" ca="1" si="4"/>
        <v/>
      </c>
      <c r="G765" s="29" t="str">
        <f ca="1">VLOOKUP(A765,Calculation!$F$6:$J$1004,3,FALSE)</f>
        <v/>
      </c>
      <c r="H765" s="4" t="str">
        <f ca="1">VLOOKUP(A765,Calculation!$F$6:$J$1004,4,FALSE)</f>
        <v/>
      </c>
      <c r="I765" s="4" t="str">
        <f ca="1">VLOOKUP(A765,Calculation!$F$6:$J$1004,5,FALSE)</f>
        <v/>
      </c>
      <c r="J765" s="43" t="str">
        <f t="shared" ca="1" si="5"/>
        <v/>
      </c>
      <c r="L765" s="29" t="str">
        <f ca="1">VLOOKUP(A765,Calculation!$G$6:$S$1004,2,FALSE)</f>
        <v/>
      </c>
      <c r="M765" s="4" t="str">
        <f ca="1">IFERROR(VLOOKUP($L765,Calculation!$H$6:$S$1005,HLOOKUP(M$2,Calculation!$M$4:$S$5,2,FALSE)+5,FALSE),"")</f>
        <v/>
      </c>
      <c r="N765" s="4" t="str">
        <f ca="1">IFERROR(VLOOKUP($L765,Calculation!$H$6:$S$1005,HLOOKUP(N$2,Calculation!$M$4:$S$5,2,FALSE)+5,FALSE),"")</f>
        <v/>
      </c>
      <c r="O765" s="4" t="str">
        <f ca="1">IFERROR(VLOOKUP($L765,Calculation!$H$6:$S$1005,HLOOKUP(O$2,Calculation!$M$4:$S$5,2,FALSE)+5,FALSE),"")</f>
        <v/>
      </c>
      <c r="P765" s="4" t="str">
        <f ca="1">IFERROR(VLOOKUP($L765,Calculation!$H$6:$S$1005,HLOOKUP(P$2,Calculation!$M$4:$S$5,2,FALSE)+5,FALSE),"")</f>
        <v/>
      </c>
      <c r="Q765" s="4" t="str">
        <f ca="1">IFERROR(VLOOKUP($L765,Calculation!$H$6:$S$1005,HLOOKUP(Q$2,Calculation!$M$4:$S$5,2,FALSE)+5,FALSE),"")</f>
        <v/>
      </c>
      <c r="R765" s="27" t="str">
        <f ca="1">IFERROR(VLOOKUP($L765,Calculation!$H$6:$S$1005,HLOOKUP(R$2,Calculation!$M$4:$S$5,2,FALSE)+5,FALSE),"")</f>
        <v/>
      </c>
      <c r="S765" s="4" t="str">
        <f ca="1">IFERROR(VLOOKUP($L765,Calculation!$H$6:$S$1005,HLOOKUP(S$2,Calculation!$M$4:$S$5,2,FALSE)+5,FALSE),"")</f>
        <v/>
      </c>
      <c r="T765" s="29"/>
      <c r="U765" s="43" t="str">
        <f>IFERROR(VLOOKUP(T765,Calculation!$U$6:$V$11,2,FALSE),"")</f>
        <v/>
      </c>
    </row>
    <row r="766" spans="1:21" ht="14.25" customHeight="1" x14ac:dyDescent="0.3">
      <c r="A766" s="26" t="str">
        <f ca="1">IF(Calculation!T769&lt;=Calculation!$H$4,Calculation!T769,"")</f>
        <v/>
      </c>
      <c r="B766" s="4" t="str">
        <f ca="1">VLOOKUP(A766,Calculation!$E$6:$J$1004,4,FALSE)</f>
        <v/>
      </c>
      <c r="C766" s="4" t="str">
        <f ca="1">VLOOKUP(A766,Calculation!$E$6:$J$1004,5,FALSE)</f>
        <v/>
      </c>
      <c r="D766" s="4" t="str">
        <f ca="1">VLOOKUP(A766,Calculation!$E$6:$J$1004,6,FALSE)</f>
        <v/>
      </c>
      <c r="E766" s="42" t="str">
        <f t="shared" ca="1" si="4"/>
        <v/>
      </c>
      <c r="G766" s="29" t="str">
        <f ca="1">VLOOKUP(A766,Calculation!$F$6:$J$1004,3,FALSE)</f>
        <v/>
      </c>
      <c r="H766" s="4" t="str">
        <f ca="1">VLOOKUP(A766,Calculation!$F$6:$J$1004,4,FALSE)</f>
        <v/>
      </c>
      <c r="I766" s="4" t="str">
        <f ca="1">VLOOKUP(A766,Calculation!$F$6:$J$1004,5,FALSE)</f>
        <v/>
      </c>
      <c r="J766" s="43" t="str">
        <f t="shared" ca="1" si="5"/>
        <v/>
      </c>
      <c r="L766" s="29" t="str">
        <f ca="1">VLOOKUP(A766,Calculation!$G$6:$S$1004,2,FALSE)</f>
        <v/>
      </c>
      <c r="M766" s="4" t="str">
        <f ca="1">IFERROR(VLOOKUP($L766,Calculation!$H$6:$S$1005,HLOOKUP(M$2,Calculation!$M$4:$S$5,2,FALSE)+5,FALSE),"")</f>
        <v/>
      </c>
      <c r="N766" s="4" t="str">
        <f ca="1">IFERROR(VLOOKUP($L766,Calculation!$H$6:$S$1005,HLOOKUP(N$2,Calculation!$M$4:$S$5,2,FALSE)+5,FALSE),"")</f>
        <v/>
      </c>
      <c r="O766" s="4" t="str">
        <f ca="1">IFERROR(VLOOKUP($L766,Calculation!$H$6:$S$1005,HLOOKUP(O$2,Calculation!$M$4:$S$5,2,FALSE)+5,FALSE),"")</f>
        <v/>
      </c>
      <c r="P766" s="4" t="str">
        <f ca="1">IFERROR(VLOOKUP($L766,Calculation!$H$6:$S$1005,HLOOKUP(P$2,Calculation!$M$4:$S$5,2,FALSE)+5,FALSE),"")</f>
        <v/>
      </c>
      <c r="Q766" s="4" t="str">
        <f ca="1">IFERROR(VLOOKUP($L766,Calculation!$H$6:$S$1005,HLOOKUP(Q$2,Calculation!$M$4:$S$5,2,FALSE)+5,FALSE),"")</f>
        <v/>
      </c>
      <c r="R766" s="27" t="str">
        <f ca="1">IFERROR(VLOOKUP($L766,Calculation!$H$6:$S$1005,HLOOKUP(R$2,Calculation!$M$4:$S$5,2,FALSE)+5,FALSE),"")</f>
        <v/>
      </c>
      <c r="S766" s="4" t="str">
        <f ca="1">IFERROR(VLOOKUP($L766,Calculation!$H$6:$S$1005,HLOOKUP(S$2,Calculation!$M$4:$S$5,2,FALSE)+5,FALSE),"")</f>
        <v/>
      </c>
      <c r="T766" s="29"/>
      <c r="U766" s="43" t="str">
        <f>IFERROR(VLOOKUP(T766,Calculation!$U$6:$V$11,2,FALSE),"")</f>
        <v/>
      </c>
    </row>
    <row r="767" spans="1:21" ht="14.25" customHeight="1" x14ac:dyDescent="0.3">
      <c r="A767" s="26" t="str">
        <f ca="1">IF(Calculation!T770&lt;=Calculation!$H$4,Calculation!T770,"")</f>
        <v/>
      </c>
      <c r="B767" s="4" t="str">
        <f ca="1">VLOOKUP(A767,Calculation!$E$6:$J$1004,4,FALSE)</f>
        <v/>
      </c>
      <c r="C767" s="4" t="str">
        <f ca="1">VLOOKUP(A767,Calculation!$E$6:$J$1004,5,FALSE)</f>
        <v/>
      </c>
      <c r="D767" s="4" t="str">
        <f ca="1">VLOOKUP(A767,Calculation!$E$6:$J$1004,6,FALSE)</f>
        <v/>
      </c>
      <c r="E767" s="42" t="str">
        <f t="shared" ca="1" si="4"/>
        <v/>
      </c>
      <c r="G767" s="29" t="str">
        <f ca="1">VLOOKUP(A767,Calculation!$F$6:$J$1004,3,FALSE)</f>
        <v/>
      </c>
      <c r="H767" s="4" t="str">
        <f ca="1">VLOOKUP(A767,Calculation!$F$6:$J$1004,4,FALSE)</f>
        <v/>
      </c>
      <c r="I767" s="4" t="str">
        <f ca="1">VLOOKUP(A767,Calculation!$F$6:$J$1004,5,FALSE)</f>
        <v/>
      </c>
      <c r="J767" s="43" t="str">
        <f t="shared" ca="1" si="5"/>
        <v/>
      </c>
      <c r="L767" s="29" t="str">
        <f ca="1">VLOOKUP(A767,Calculation!$G$6:$S$1004,2,FALSE)</f>
        <v/>
      </c>
      <c r="M767" s="4" t="str">
        <f ca="1">IFERROR(VLOOKUP($L767,Calculation!$H$6:$S$1005,HLOOKUP(M$2,Calculation!$M$4:$S$5,2,FALSE)+5,FALSE),"")</f>
        <v/>
      </c>
      <c r="N767" s="4" t="str">
        <f ca="1">IFERROR(VLOOKUP($L767,Calculation!$H$6:$S$1005,HLOOKUP(N$2,Calculation!$M$4:$S$5,2,FALSE)+5,FALSE),"")</f>
        <v/>
      </c>
      <c r="O767" s="4" t="str">
        <f ca="1">IFERROR(VLOOKUP($L767,Calculation!$H$6:$S$1005,HLOOKUP(O$2,Calculation!$M$4:$S$5,2,FALSE)+5,FALSE),"")</f>
        <v/>
      </c>
      <c r="P767" s="4" t="str">
        <f ca="1">IFERROR(VLOOKUP($L767,Calculation!$H$6:$S$1005,HLOOKUP(P$2,Calculation!$M$4:$S$5,2,FALSE)+5,FALSE),"")</f>
        <v/>
      </c>
      <c r="Q767" s="4" t="str">
        <f ca="1">IFERROR(VLOOKUP($L767,Calculation!$H$6:$S$1005,HLOOKUP(Q$2,Calculation!$M$4:$S$5,2,FALSE)+5,FALSE),"")</f>
        <v/>
      </c>
      <c r="R767" s="27" t="str">
        <f ca="1">IFERROR(VLOOKUP($L767,Calculation!$H$6:$S$1005,HLOOKUP(R$2,Calculation!$M$4:$S$5,2,FALSE)+5,FALSE),"")</f>
        <v/>
      </c>
      <c r="S767" s="4" t="str">
        <f ca="1">IFERROR(VLOOKUP($L767,Calculation!$H$6:$S$1005,HLOOKUP(S$2,Calculation!$M$4:$S$5,2,FALSE)+5,FALSE),"")</f>
        <v/>
      </c>
      <c r="T767" s="29"/>
      <c r="U767" s="43" t="str">
        <f>IFERROR(VLOOKUP(T767,Calculation!$U$6:$V$11,2,FALSE),"")</f>
        <v/>
      </c>
    </row>
    <row r="768" spans="1:21" ht="14.25" customHeight="1" x14ac:dyDescent="0.3">
      <c r="A768" s="26" t="str">
        <f ca="1">IF(Calculation!T771&lt;=Calculation!$H$4,Calculation!T771,"")</f>
        <v/>
      </c>
      <c r="B768" s="4" t="str">
        <f ca="1">VLOOKUP(A768,Calculation!$E$6:$J$1004,4,FALSE)</f>
        <v/>
      </c>
      <c r="C768" s="4" t="str">
        <f ca="1">VLOOKUP(A768,Calculation!$E$6:$J$1004,5,FALSE)</f>
        <v/>
      </c>
      <c r="D768" s="4" t="str">
        <f ca="1">VLOOKUP(A768,Calculation!$E$6:$J$1004,6,FALSE)</f>
        <v/>
      </c>
      <c r="E768" s="42" t="str">
        <f t="shared" ref="E768:E1002" ca="1" si="6">IF(C768=0,0.0001,IF($A768="","",$C768/$D768))</f>
        <v/>
      </c>
      <c r="G768" s="29" t="str">
        <f ca="1">VLOOKUP(A768,Calculation!$F$6:$J$1004,3,FALSE)</f>
        <v/>
      </c>
      <c r="H768" s="4" t="str">
        <f ca="1">VLOOKUP(A768,Calculation!$F$6:$J$1004,4,FALSE)</f>
        <v/>
      </c>
      <c r="I768" s="4" t="str">
        <f ca="1">VLOOKUP(A768,Calculation!$F$6:$J$1004,5,FALSE)</f>
        <v/>
      </c>
      <c r="J768" s="43" t="str">
        <f t="shared" ref="J768:J1002" ca="1" si="7">IF($A768="","",$I768-$H768)</f>
        <v/>
      </c>
      <c r="L768" s="29" t="str">
        <f ca="1">VLOOKUP(A768,Calculation!$G$6:$S$1004,2,FALSE)</f>
        <v/>
      </c>
      <c r="M768" s="4" t="str">
        <f ca="1">IFERROR(VLOOKUP($L768,Calculation!$H$6:$S$1005,HLOOKUP(M$2,Calculation!$M$4:$S$5,2,FALSE)+5,FALSE),"")</f>
        <v/>
      </c>
      <c r="N768" s="4" t="str">
        <f ca="1">IFERROR(VLOOKUP($L768,Calculation!$H$6:$S$1005,HLOOKUP(N$2,Calculation!$M$4:$S$5,2,FALSE)+5,FALSE),"")</f>
        <v/>
      </c>
      <c r="O768" s="4" t="str">
        <f ca="1">IFERROR(VLOOKUP($L768,Calculation!$H$6:$S$1005,HLOOKUP(O$2,Calculation!$M$4:$S$5,2,FALSE)+5,FALSE),"")</f>
        <v/>
      </c>
      <c r="P768" s="4" t="str">
        <f ca="1">IFERROR(VLOOKUP($L768,Calculation!$H$6:$S$1005,HLOOKUP(P$2,Calculation!$M$4:$S$5,2,FALSE)+5,FALSE),"")</f>
        <v/>
      </c>
      <c r="Q768" s="4" t="str">
        <f ca="1">IFERROR(VLOOKUP($L768,Calculation!$H$6:$S$1005,HLOOKUP(Q$2,Calculation!$M$4:$S$5,2,FALSE)+5,FALSE),"")</f>
        <v/>
      </c>
      <c r="R768" s="27" t="str">
        <f ca="1">IFERROR(VLOOKUP($L768,Calculation!$H$6:$S$1005,HLOOKUP(R$2,Calculation!$M$4:$S$5,2,FALSE)+5,FALSE),"")</f>
        <v/>
      </c>
      <c r="S768" s="4" t="str">
        <f ca="1">IFERROR(VLOOKUP($L768,Calculation!$H$6:$S$1005,HLOOKUP(S$2,Calculation!$M$4:$S$5,2,FALSE)+5,FALSE),"")</f>
        <v/>
      </c>
      <c r="T768" s="29"/>
      <c r="U768" s="43" t="str">
        <f>IFERROR(VLOOKUP(T768,Calculation!$U$6:$V$11,2,FALSE),"")</f>
        <v/>
      </c>
    </row>
    <row r="769" spans="1:21" ht="14.25" customHeight="1" x14ac:dyDescent="0.3">
      <c r="A769" s="26" t="str">
        <f ca="1">IF(Calculation!T772&lt;=Calculation!$H$4,Calculation!T772,"")</f>
        <v/>
      </c>
      <c r="B769" s="4" t="str">
        <f ca="1">VLOOKUP(A769,Calculation!$E$6:$J$1004,4,FALSE)</f>
        <v/>
      </c>
      <c r="C769" s="4" t="str">
        <f ca="1">VLOOKUP(A769,Calculation!$E$6:$J$1004,5,FALSE)</f>
        <v/>
      </c>
      <c r="D769" s="4" t="str">
        <f ca="1">VLOOKUP(A769,Calculation!$E$6:$J$1004,6,FALSE)</f>
        <v/>
      </c>
      <c r="E769" s="42" t="str">
        <f t="shared" ca="1" si="6"/>
        <v/>
      </c>
      <c r="G769" s="29" t="str">
        <f ca="1">VLOOKUP(A769,Calculation!$F$6:$J$1004,3,FALSE)</f>
        <v/>
      </c>
      <c r="H769" s="4" t="str">
        <f ca="1">VLOOKUP(A769,Calculation!$F$6:$J$1004,4,FALSE)</f>
        <v/>
      </c>
      <c r="I769" s="4" t="str">
        <f ca="1">VLOOKUP(A769,Calculation!$F$6:$J$1004,5,FALSE)</f>
        <v/>
      </c>
      <c r="J769" s="43" t="str">
        <f t="shared" ca="1" si="7"/>
        <v/>
      </c>
      <c r="L769" s="29" t="str">
        <f ca="1">VLOOKUP(A769,Calculation!$G$6:$S$1004,2,FALSE)</f>
        <v/>
      </c>
      <c r="M769" s="4" t="str">
        <f ca="1">IFERROR(VLOOKUP($L769,Calculation!$H$6:$S$1005,HLOOKUP(M$2,Calculation!$M$4:$S$5,2,FALSE)+5,FALSE),"")</f>
        <v/>
      </c>
      <c r="N769" s="4" t="str">
        <f ca="1">IFERROR(VLOOKUP($L769,Calculation!$H$6:$S$1005,HLOOKUP(N$2,Calculation!$M$4:$S$5,2,FALSE)+5,FALSE),"")</f>
        <v/>
      </c>
      <c r="O769" s="4" t="str">
        <f ca="1">IFERROR(VLOOKUP($L769,Calculation!$H$6:$S$1005,HLOOKUP(O$2,Calculation!$M$4:$S$5,2,FALSE)+5,FALSE),"")</f>
        <v/>
      </c>
      <c r="P769" s="4" t="str">
        <f ca="1">IFERROR(VLOOKUP($L769,Calculation!$H$6:$S$1005,HLOOKUP(P$2,Calculation!$M$4:$S$5,2,FALSE)+5,FALSE),"")</f>
        <v/>
      </c>
      <c r="Q769" s="4" t="str">
        <f ca="1">IFERROR(VLOOKUP($L769,Calculation!$H$6:$S$1005,HLOOKUP(Q$2,Calculation!$M$4:$S$5,2,FALSE)+5,FALSE),"")</f>
        <v/>
      </c>
      <c r="R769" s="27" t="str">
        <f ca="1">IFERROR(VLOOKUP($L769,Calculation!$H$6:$S$1005,HLOOKUP(R$2,Calculation!$M$4:$S$5,2,FALSE)+5,FALSE),"")</f>
        <v/>
      </c>
      <c r="S769" s="4" t="str">
        <f ca="1">IFERROR(VLOOKUP($L769,Calculation!$H$6:$S$1005,HLOOKUP(S$2,Calculation!$M$4:$S$5,2,FALSE)+5,FALSE),"")</f>
        <v/>
      </c>
      <c r="T769" s="29"/>
      <c r="U769" s="43" t="str">
        <f>IFERROR(VLOOKUP(T769,Calculation!$U$6:$V$11,2,FALSE),"")</f>
        <v/>
      </c>
    </row>
    <row r="770" spans="1:21" ht="14.25" customHeight="1" x14ac:dyDescent="0.3">
      <c r="A770" s="26" t="str">
        <f ca="1">IF(Calculation!T773&lt;=Calculation!$H$4,Calculation!T773,"")</f>
        <v/>
      </c>
      <c r="B770" s="4" t="str">
        <f ca="1">VLOOKUP(A770,Calculation!$E$6:$J$1004,4,FALSE)</f>
        <v/>
      </c>
      <c r="C770" s="4" t="str">
        <f ca="1">VLOOKUP(A770,Calculation!$E$6:$J$1004,5,FALSE)</f>
        <v/>
      </c>
      <c r="D770" s="4" t="str">
        <f ca="1">VLOOKUP(A770,Calculation!$E$6:$J$1004,6,FALSE)</f>
        <v/>
      </c>
      <c r="E770" s="42" t="str">
        <f t="shared" ca="1" si="6"/>
        <v/>
      </c>
      <c r="G770" s="29" t="str">
        <f ca="1">VLOOKUP(A770,Calculation!$F$6:$J$1004,3,FALSE)</f>
        <v/>
      </c>
      <c r="H770" s="4" t="str">
        <f ca="1">VLOOKUP(A770,Calculation!$F$6:$J$1004,4,FALSE)</f>
        <v/>
      </c>
      <c r="I770" s="4" t="str">
        <f ca="1">VLOOKUP(A770,Calculation!$F$6:$J$1004,5,FALSE)</f>
        <v/>
      </c>
      <c r="J770" s="43" t="str">
        <f t="shared" ca="1" si="7"/>
        <v/>
      </c>
      <c r="L770" s="29" t="str">
        <f ca="1">VLOOKUP(A770,Calculation!$G$6:$S$1004,2,FALSE)</f>
        <v/>
      </c>
      <c r="M770" s="4" t="str">
        <f ca="1">IFERROR(VLOOKUP($L770,Calculation!$H$6:$S$1005,HLOOKUP(M$2,Calculation!$M$4:$S$5,2,FALSE)+5,FALSE),"")</f>
        <v/>
      </c>
      <c r="N770" s="4" t="str">
        <f ca="1">IFERROR(VLOOKUP($L770,Calculation!$H$6:$S$1005,HLOOKUP(N$2,Calculation!$M$4:$S$5,2,FALSE)+5,FALSE),"")</f>
        <v/>
      </c>
      <c r="O770" s="4" t="str">
        <f ca="1">IFERROR(VLOOKUP($L770,Calculation!$H$6:$S$1005,HLOOKUP(O$2,Calculation!$M$4:$S$5,2,FALSE)+5,FALSE),"")</f>
        <v/>
      </c>
      <c r="P770" s="4" t="str">
        <f ca="1">IFERROR(VLOOKUP($L770,Calculation!$H$6:$S$1005,HLOOKUP(P$2,Calculation!$M$4:$S$5,2,FALSE)+5,FALSE),"")</f>
        <v/>
      </c>
      <c r="Q770" s="4" t="str">
        <f ca="1">IFERROR(VLOOKUP($L770,Calculation!$H$6:$S$1005,HLOOKUP(Q$2,Calculation!$M$4:$S$5,2,FALSE)+5,FALSE),"")</f>
        <v/>
      </c>
      <c r="R770" s="27" t="str">
        <f ca="1">IFERROR(VLOOKUP($L770,Calculation!$H$6:$S$1005,HLOOKUP(R$2,Calculation!$M$4:$S$5,2,FALSE)+5,FALSE),"")</f>
        <v/>
      </c>
      <c r="S770" s="4" t="str">
        <f ca="1">IFERROR(VLOOKUP($L770,Calculation!$H$6:$S$1005,HLOOKUP(S$2,Calculation!$M$4:$S$5,2,FALSE)+5,FALSE),"")</f>
        <v/>
      </c>
      <c r="T770" s="29"/>
      <c r="U770" s="43" t="str">
        <f>IFERROR(VLOOKUP(T770,Calculation!$U$6:$V$11,2,FALSE),"")</f>
        <v/>
      </c>
    </row>
    <row r="771" spans="1:21" ht="14.25" customHeight="1" x14ac:dyDescent="0.3">
      <c r="A771" s="26" t="str">
        <f ca="1">IF(Calculation!T774&lt;=Calculation!$H$4,Calculation!T774,"")</f>
        <v/>
      </c>
      <c r="B771" s="4" t="str">
        <f ca="1">VLOOKUP(A771,Calculation!$E$6:$J$1004,4,FALSE)</f>
        <v/>
      </c>
      <c r="C771" s="4" t="str">
        <f ca="1">VLOOKUP(A771,Calculation!$E$6:$J$1004,5,FALSE)</f>
        <v/>
      </c>
      <c r="D771" s="4" t="str">
        <f ca="1">VLOOKUP(A771,Calculation!$E$6:$J$1004,6,FALSE)</f>
        <v/>
      </c>
      <c r="E771" s="42" t="str">
        <f t="shared" ca="1" si="6"/>
        <v/>
      </c>
      <c r="G771" s="29" t="str">
        <f ca="1">VLOOKUP(A771,Calculation!$F$6:$J$1004,3,FALSE)</f>
        <v/>
      </c>
      <c r="H771" s="4" t="str">
        <f ca="1">VLOOKUP(A771,Calculation!$F$6:$J$1004,4,FALSE)</f>
        <v/>
      </c>
      <c r="I771" s="4" t="str">
        <f ca="1">VLOOKUP(A771,Calculation!$F$6:$J$1004,5,FALSE)</f>
        <v/>
      </c>
      <c r="J771" s="43" t="str">
        <f t="shared" ca="1" si="7"/>
        <v/>
      </c>
      <c r="L771" s="29" t="str">
        <f ca="1">VLOOKUP(A771,Calculation!$G$6:$S$1004,2,FALSE)</f>
        <v/>
      </c>
      <c r="M771" s="4" t="str">
        <f ca="1">IFERROR(VLOOKUP($L771,Calculation!$H$6:$S$1005,HLOOKUP(M$2,Calculation!$M$4:$S$5,2,FALSE)+5,FALSE),"")</f>
        <v/>
      </c>
      <c r="N771" s="4" t="str">
        <f ca="1">IFERROR(VLOOKUP($L771,Calculation!$H$6:$S$1005,HLOOKUP(N$2,Calculation!$M$4:$S$5,2,FALSE)+5,FALSE),"")</f>
        <v/>
      </c>
      <c r="O771" s="4" t="str">
        <f ca="1">IFERROR(VLOOKUP($L771,Calculation!$H$6:$S$1005,HLOOKUP(O$2,Calculation!$M$4:$S$5,2,FALSE)+5,FALSE),"")</f>
        <v/>
      </c>
      <c r="P771" s="4" t="str">
        <f ca="1">IFERROR(VLOOKUP($L771,Calculation!$H$6:$S$1005,HLOOKUP(P$2,Calculation!$M$4:$S$5,2,FALSE)+5,FALSE),"")</f>
        <v/>
      </c>
      <c r="Q771" s="4" t="str">
        <f ca="1">IFERROR(VLOOKUP($L771,Calculation!$H$6:$S$1005,HLOOKUP(Q$2,Calculation!$M$4:$S$5,2,FALSE)+5,FALSE),"")</f>
        <v/>
      </c>
      <c r="R771" s="27" t="str">
        <f ca="1">IFERROR(VLOOKUP($L771,Calculation!$H$6:$S$1005,HLOOKUP(R$2,Calculation!$M$4:$S$5,2,FALSE)+5,FALSE),"")</f>
        <v/>
      </c>
      <c r="S771" s="4" t="str">
        <f ca="1">IFERROR(VLOOKUP($L771,Calculation!$H$6:$S$1005,HLOOKUP(S$2,Calculation!$M$4:$S$5,2,FALSE)+5,FALSE),"")</f>
        <v/>
      </c>
      <c r="T771" s="29"/>
      <c r="U771" s="43" t="str">
        <f>IFERROR(VLOOKUP(T771,Calculation!$U$6:$V$11,2,FALSE),"")</f>
        <v/>
      </c>
    </row>
    <row r="772" spans="1:21" ht="14.25" customHeight="1" x14ac:dyDescent="0.3">
      <c r="A772" s="26" t="str">
        <f ca="1">IF(Calculation!T775&lt;=Calculation!$H$4,Calculation!T775,"")</f>
        <v/>
      </c>
      <c r="B772" s="4" t="str">
        <f ca="1">VLOOKUP(A772,Calculation!$E$6:$J$1004,4,FALSE)</f>
        <v/>
      </c>
      <c r="C772" s="4" t="str">
        <f ca="1">VLOOKUP(A772,Calculation!$E$6:$J$1004,5,FALSE)</f>
        <v/>
      </c>
      <c r="D772" s="4" t="str">
        <f ca="1">VLOOKUP(A772,Calculation!$E$6:$J$1004,6,FALSE)</f>
        <v/>
      </c>
      <c r="E772" s="42" t="str">
        <f t="shared" ca="1" si="6"/>
        <v/>
      </c>
      <c r="G772" s="29" t="str">
        <f ca="1">VLOOKUP(A772,Calculation!$F$6:$J$1004,3,FALSE)</f>
        <v/>
      </c>
      <c r="H772" s="4" t="str">
        <f ca="1">VLOOKUP(A772,Calculation!$F$6:$J$1004,4,FALSE)</f>
        <v/>
      </c>
      <c r="I772" s="4" t="str">
        <f ca="1">VLOOKUP(A772,Calculation!$F$6:$J$1004,5,FALSE)</f>
        <v/>
      </c>
      <c r="J772" s="43" t="str">
        <f t="shared" ca="1" si="7"/>
        <v/>
      </c>
      <c r="L772" s="29" t="str">
        <f ca="1">VLOOKUP(A772,Calculation!$G$6:$S$1004,2,FALSE)</f>
        <v/>
      </c>
      <c r="M772" s="4" t="str">
        <f ca="1">IFERROR(VLOOKUP($L772,Calculation!$H$6:$S$1005,HLOOKUP(M$2,Calculation!$M$4:$S$5,2,FALSE)+5,FALSE),"")</f>
        <v/>
      </c>
      <c r="N772" s="4" t="str">
        <f ca="1">IFERROR(VLOOKUP($L772,Calculation!$H$6:$S$1005,HLOOKUP(N$2,Calculation!$M$4:$S$5,2,FALSE)+5,FALSE),"")</f>
        <v/>
      </c>
      <c r="O772" s="4" t="str">
        <f ca="1">IFERROR(VLOOKUP($L772,Calculation!$H$6:$S$1005,HLOOKUP(O$2,Calculation!$M$4:$S$5,2,FALSE)+5,FALSE),"")</f>
        <v/>
      </c>
      <c r="P772" s="4" t="str">
        <f ca="1">IFERROR(VLOOKUP($L772,Calculation!$H$6:$S$1005,HLOOKUP(P$2,Calculation!$M$4:$S$5,2,FALSE)+5,FALSE),"")</f>
        <v/>
      </c>
      <c r="Q772" s="4" t="str">
        <f ca="1">IFERROR(VLOOKUP($L772,Calculation!$H$6:$S$1005,HLOOKUP(Q$2,Calculation!$M$4:$S$5,2,FALSE)+5,FALSE),"")</f>
        <v/>
      </c>
      <c r="R772" s="27" t="str">
        <f ca="1">IFERROR(VLOOKUP($L772,Calculation!$H$6:$S$1005,HLOOKUP(R$2,Calculation!$M$4:$S$5,2,FALSE)+5,FALSE),"")</f>
        <v/>
      </c>
      <c r="S772" s="4" t="str">
        <f ca="1">IFERROR(VLOOKUP($L772,Calculation!$H$6:$S$1005,HLOOKUP(S$2,Calculation!$M$4:$S$5,2,FALSE)+5,FALSE),"")</f>
        <v/>
      </c>
      <c r="T772" s="29"/>
      <c r="U772" s="43" t="str">
        <f>IFERROR(VLOOKUP(T772,Calculation!$U$6:$V$11,2,FALSE),"")</f>
        <v/>
      </c>
    </row>
    <row r="773" spans="1:21" ht="14.25" customHeight="1" x14ac:dyDescent="0.3">
      <c r="A773" s="26" t="str">
        <f ca="1">IF(Calculation!T776&lt;=Calculation!$H$4,Calculation!T776,"")</f>
        <v/>
      </c>
      <c r="B773" s="4" t="str">
        <f ca="1">VLOOKUP(A773,Calculation!$E$6:$J$1004,4,FALSE)</f>
        <v/>
      </c>
      <c r="C773" s="4" t="str">
        <f ca="1">VLOOKUP(A773,Calculation!$E$6:$J$1004,5,FALSE)</f>
        <v/>
      </c>
      <c r="D773" s="4" t="str">
        <f ca="1">VLOOKUP(A773,Calculation!$E$6:$J$1004,6,FALSE)</f>
        <v/>
      </c>
      <c r="E773" s="42" t="str">
        <f t="shared" ca="1" si="6"/>
        <v/>
      </c>
      <c r="G773" s="29" t="str">
        <f ca="1">VLOOKUP(A773,Calculation!$F$6:$J$1004,3,FALSE)</f>
        <v/>
      </c>
      <c r="H773" s="4" t="str">
        <f ca="1">VLOOKUP(A773,Calculation!$F$6:$J$1004,4,FALSE)</f>
        <v/>
      </c>
      <c r="I773" s="4" t="str">
        <f ca="1">VLOOKUP(A773,Calculation!$F$6:$J$1004,5,FALSE)</f>
        <v/>
      </c>
      <c r="J773" s="43" t="str">
        <f t="shared" ca="1" si="7"/>
        <v/>
      </c>
      <c r="L773" s="29" t="str">
        <f ca="1">VLOOKUP(A773,Calculation!$G$6:$S$1004,2,FALSE)</f>
        <v/>
      </c>
      <c r="M773" s="4" t="str">
        <f ca="1">IFERROR(VLOOKUP($L773,Calculation!$H$6:$S$1005,HLOOKUP(M$2,Calculation!$M$4:$S$5,2,FALSE)+5,FALSE),"")</f>
        <v/>
      </c>
      <c r="N773" s="4" t="str">
        <f ca="1">IFERROR(VLOOKUP($L773,Calculation!$H$6:$S$1005,HLOOKUP(N$2,Calculation!$M$4:$S$5,2,FALSE)+5,FALSE),"")</f>
        <v/>
      </c>
      <c r="O773" s="4" t="str">
        <f ca="1">IFERROR(VLOOKUP($L773,Calculation!$H$6:$S$1005,HLOOKUP(O$2,Calculation!$M$4:$S$5,2,FALSE)+5,FALSE),"")</f>
        <v/>
      </c>
      <c r="P773" s="4" t="str">
        <f ca="1">IFERROR(VLOOKUP($L773,Calculation!$H$6:$S$1005,HLOOKUP(P$2,Calculation!$M$4:$S$5,2,FALSE)+5,FALSE),"")</f>
        <v/>
      </c>
      <c r="Q773" s="4" t="str">
        <f ca="1">IFERROR(VLOOKUP($L773,Calculation!$H$6:$S$1005,HLOOKUP(Q$2,Calculation!$M$4:$S$5,2,FALSE)+5,FALSE),"")</f>
        <v/>
      </c>
      <c r="R773" s="27" t="str">
        <f ca="1">IFERROR(VLOOKUP($L773,Calculation!$H$6:$S$1005,HLOOKUP(R$2,Calculation!$M$4:$S$5,2,FALSE)+5,FALSE),"")</f>
        <v/>
      </c>
      <c r="S773" s="4" t="str">
        <f ca="1">IFERROR(VLOOKUP($L773,Calculation!$H$6:$S$1005,HLOOKUP(S$2,Calculation!$M$4:$S$5,2,FALSE)+5,FALSE),"")</f>
        <v/>
      </c>
      <c r="T773" s="29"/>
      <c r="U773" s="43" t="str">
        <f>IFERROR(VLOOKUP(T773,Calculation!$U$6:$V$11,2,FALSE),"")</f>
        <v/>
      </c>
    </row>
    <row r="774" spans="1:21" ht="14.25" customHeight="1" x14ac:dyDescent="0.3">
      <c r="A774" s="26" t="str">
        <f ca="1">IF(Calculation!T777&lt;=Calculation!$H$4,Calculation!T777,"")</f>
        <v/>
      </c>
      <c r="B774" s="4" t="str">
        <f ca="1">VLOOKUP(A774,Calculation!$E$6:$J$1004,4,FALSE)</f>
        <v/>
      </c>
      <c r="C774" s="4" t="str">
        <f ca="1">VLOOKUP(A774,Calculation!$E$6:$J$1004,5,FALSE)</f>
        <v/>
      </c>
      <c r="D774" s="4" t="str">
        <f ca="1">VLOOKUP(A774,Calculation!$E$6:$J$1004,6,FALSE)</f>
        <v/>
      </c>
      <c r="E774" s="42" t="str">
        <f t="shared" ca="1" si="6"/>
        <v/>
      </c>
      <c r="G774" s="29" t="str">
        <f ca="1">VLOOKUP(A774,Calculation!$F$6:$J$1004,3,FALSE)</f>
        <v/>
      </c>
      <c r="H774" s="4" t="str">
        <f ca="1">VLOOKUP(A774,Calculation!$F$6:$J$1004,4,FALSE)</f>
        <v/>
      </c>
      <c r="I774" s="4" t="str">
        <f ca="1">VLOOKUP(A774,Calculation!$F$6:$J$1004,5,FALSE)</f>
        <v/>
      </c>
      <c r="J774" s="43" t="str">
        <f t="shared" ca="1" si="7"/>
        <v/>
      </c>
      <c r="L774" s="29" t="str">
        <f ca="1">VLOOKUP(A774,Calculation!$G$6:$S$1004,2,FALSE)</f>
        <v/>
      </c>
      <c r="M774" s="4" t="str">
        <f ca="1">IFERROR(VLOOKUP($L774,Calculation!$H$6:$S$1005,HLOOKUP(M$2,Calculation!$M$4:$S$5,2,FALSE)+5,FALSE),"")</f>
        <v/>
      </c>
      <c r="N774" s="4" t="str">
        <f ca="1">IFERROR(VLOOKUP($L774,Calculation!$H$6:$S$1005,HLOOKUP(N$2,Calculation!$M$4:$S$5,2,FALSE)+5,FALSE),"")</f>
        <v/>
      </c>
      <c r="O774" s="4" t="str">
        <f ca="1">IFERROR(VLOOKUP($L774,Calculation!$H$6:$S$1005,HLOOKUP(O$2,Calculation!$M$4:$S$5,2,FALSE)+5,FALSE),"")</f>
        <v/>
      </c>
      <c r="P774" s="4" t="str">
        <f ca="1">IFERROR(VLOOKUP($L774,Calculation!$H$6:$S$1005,HLOOKUP(P$2,Calculation!$M$4:$S$5,2,FALSE)+5,FALSE),"")</f>
        <v/>
      </c>
      <c r="Q774" s="4" t="str">
        <f ca="1">IFERROR(VLOOKUP($L774,Calculation!$H$6:$S$1005,HLOOKUP(Q$2,Calculation!$M$4:$S$5,2,FALSE)+5,FALSE),"")</f>
        <v/>
      </c>
      <c r="R774" s="27" t="str">
        <f ca="1">IFERROR(VLOOKUP($L774,Calculation!$H$6:$S$1005,HLOOKUP(R$2,Calculation!$M$4:$S$5,2,FALSE)+5,FALSE),"")</f>
        <v/>
      </c>
      <c r="S774" s="4" t="str">
        <f ca="1">IFERROR(VLOOKUP($L774,Calculation!$H$6:$S$1005,HLOOKUP(S$2,Calculation!$M$4:$S$5,2,FALSE)+5,FALSE),"")</f>
        <v/>
      </c>
      <c r="T774" s="29"/>
      <c r="U774" s="43" t="str">
        <f>IFERROR(VLOOKUP(T774,Calculation!$U$6:$V$11,2,FALSE),"")</f>
        <v/>
      </c>
    </row>
    <row r="775" spans="1:21" ht="14.25" customHeight="1" x14ac:dyDescent="0.3">
      <c r="A775" s="26" t="str">
        <f ca="1">IF(Calculation!T778&lt;=Calculation!$H$4,Calculation!T778,"")</f>
        <v/>
      </c>
      <c r="B775" s="4" t="str">
        <f ca="1">VLOOKUP(A775,Calculation!$E$6:$J$1004,4,FALSE)</f>
        <v/>
      </c>
      <c r="C775" s="4" t="str">
        <f ca="1">VLOOKUP(A775,Calculation!$E$6:$J$1004,5,FALSE)</f>
        <v/>
      </c>
      <c r="D775" s="4" t="str">
        <f ca="1">VLOOKUP(A775,Calculation!$E$6:$J$1004,6,FALSE)</f>
        <v/>
      </c>
      <c r="E775" s="42" t="str">
        <f t="shared" ca="1" si="6"/>
        <v/>
      </c>
      <c r="G775" s="29" t="str">
        <f ca="1">VLOOKUP(A775,Calculation!$F$6:$J$1004,3,FALSE)</f>
        <v/>
      </c>
      <c r="H775" s="4" t="str">
        <f ca="1">VLOOKUP(A775,Calculation!$F$6:$J$1004,4,FALSE)</f>
        <v/>
      </c>
      <c r="I775" s="4" t="str">
        <f ca="1">VLOOKUP(A775,Calculation!$F$6:$J$1004,5,FALSE)</f>
        <v/>
      </c>
      <c r="J775" s="43" t="str">
        <f t="shared" ca="1" si="7"/>
        <v/>
      </c>
      <c r="L775" s="29" t="str">
        <f ca="1">VLOOKUP(A775,Calculation!$G$6:$S$1004,2,FALSE)</f>
        <v/>
      </c>
      <c r="M775" s="4" t="str">
        <f ca="1">IFERROR(VLOOKUP($L775,Calculation!$H$6:$S$1005,HLOOKUP(M$2,Calculation!$M$4:$S$5,2,FALSE)+5,FALSE),"")</f>
        <v/>
      </c>
      <c r="N775" s="4" t="str">
        <f ca="1">IFERROR(VLOOKUP($L775,Calculation!$H$6:$S$1005,HLOOKUP(N$2,Calculation!$M$4:$S$5,2,FALSE)+5,FALSE),"")</f>
        <v/>
      </c>
      <c r="O775" s="4" t="str">
        <f ca="1">IFERROR(VLOOKUP($L775,Calculation!$H$6:$S$1005,HLOOKUP(O$2,Calculation!$M$4:$S$5,2,FALSE)+5,FALSE),"")</f>
        <v/>
      </c>
      <c r="P775" s="4" t="str">
        <f ca="1">IFERROR(VLOOKUP($L775,Calculation!$H$6:$S$1005,HLOOKUP(P$2,Calculation!$M$4:$S$5,2,FALSE)+5,FALSE),"")</f>
        <v/>
      </c>
      <c r="Q775" s="4" t="str">
        <f ca="1">IFERROR(VLOOKUP($L775,Calculation!$H$6:$S$1005,HLOOKUP(Q$2,Calculation!$M$4:$S$5,2,FALSE)+5,FALSE),"")</f>
        <v/>
      </c>
      <c r="R775" s="27" t="str">
        <f ca="1">IFERROR(VLOOKUP($L775,Calculation!$H$6:$S$1005,HLOOKUP(R$2,Calculation!$M$4:$S$5,2,FALSE)+5,FALSE),"")</f>
        <v/>
      </c>
      <c r="S775" s="4" t="str">
        <f ca="1">IFERROR(VLOOKUP($L775,Calculation!$H$6:$S$1005,HLOOKUP(S$2,Calculation!$M$4:$S$5,2,FALSE)+5,FALSE),"")</f>
        <v/>
      </c>
      <c r="T775" s="29"/>
      <c r="U775" s="43" t="str">
        <f>IFERROR(VLOOKUP(T775,Calculation!$U$6:$V$11,2,FALSE),"")</f>
        <v/>
      </c>
    </row>
    <row r="776" spans="1:21" ht="14.25" customHeight="1" x14ac:dyDescent="0.3">
      <c r="A776" s="26" t="str">
        <f ca="1">IF(Calculation!T779&lt;=Calculation!$H$4,Calculation!T779,"")</f>
        <v/>
      </c>
      <c r="B776" s="4" t="str">
        <f ca="1">VLOOKUP(A776,Calculation!$E$6:$J$1004,4,FALSE)</f>
        <v/>
      </c>
      <c r="C776" s="4" t="str">
        <f ca="1">VLOOKUP(A776,Calculation!$E$6:$J$1004,5,FALSE)</f>
        <v/>
      </c>
      <c r="D776" s="4" t="str">
        <f ca="1">VLOOKUP(A776,Calculation!$E$6:$J$1004,6,FALSE)</f>
        <v/>
      </c>
      <c r="E776" s="42" t="str">
        <f t="shared" ca="1" si="6"/>
        <v/>
      </c>
      <c r="G776" s="29" t="str">
        <f ca="1">VLOOKUP(A776,Calculation!$F$6:$J$1004,3,FALSE)</f>
        <v/>
      </c>
      <c r="H776" s="4" t="str">
        <f ca="1">VLOOKUP(A776,Calculation!$F$6:$J$1004,4,FALSE)</f>
        <v/>
      </c>
      <c r="I776" s="4" t="str">
        <f ca="1">VLOOKUP(A776,Calculation!$F$6:$J$1004,5,FALSE)</f>
        <v/>
      </c>
      <c r="J776" s="43" t="str">
        <f t="shared" ca="1" si="7"/>
        <v/>
      </c>
      <c r="L776" s="29" t="str">
        <f ca="1">VLOOKUP(A776,Calculation!$G$6:$S$1004,2,FALSE)</f>
        <v/>
      </c>
      <c r="M776" s="4" t="str">
        <f ca="1">IFERROR(VLOOKUP($L776,Calculation!$H$6:$S$1005,HLOOKUP(M$2,Calculation!$M$4:$S$5,2,FALSE)+5,FALSE),"")</f>
        <v/>
      </c>
      <c r="N776" s="4" t="str">
        <f ca="1">IFERROR(VLOOKUP($L776,Calculation!$H$6:$S$1005,HLOOKUP(N$2,Calculation!$M$4:$S$5,2,FALSE)+5,FALSE),"")</f>
        <v/>
      </c>
      <c r="O776" s="4" t="str">
        <f ca="1">IFERROR(VLOOKUP($L776,Calculation!$H$6:$S$1005,HLOOKUP(O$2,Calculation!$M$4:$S$5,2,FALSE)+5,FALSE),"")</f>
        <v/>
      </c>
      <c r="P776" s="4" t="str">
        <f ca="1">IFERROR(VLOOKUP($L776,Calculation!$H$6:$S$1005,HLOOKUP(P$2,Calculation!$M$4:$S$5,2,FALSE)+5,FALSE),"")</f>
        <v/>
      </c>
      <c r="Q776" s="4" t="str">
        <f ca="1">IFERROR(VLOOKUP($L776,Calculation!$H$6:$S$1005,HLOOKUP(Q$2,Calculation!$M$4:$S$5,2,FALSE)+5,FALSE),"")</f>
        <v/>
      </c>
      <c r="R776" s="27" t="str">
        <f ca="1">IFERROR(VLOOKUP($L776,Calculation!$H$6:$S$1005,HLOOKUP(R$2,Calculation!$M$4:$S$5,2,FALSE)+5,FALSE),"")</f>
        <v/>
      </c>
      <c r="S776" s="4" t="str">
        <f ca="1">IFERROR(VLOOKUP($L776,Calculation!$H$6:$S$1005,HLOOKUP(S$2,Calculation!$M$4:$S$5,2,FALSE)+5,FALSE),"")</f>
        <v/>
      </c>
      <c r="T776" s="29"/>
      <c r="U776" s="43" t="str">
        <f>IFERROR(VLOOKUP(T776,Calculation!$U$6:$V$11,2,FALSE),"")</f>
        <v/>
      </c>
    </row>
    <row r="777" spans="1:21" ht="14.25" customHeight="1" x14ac:dyDescent="0.3">
      <c r="A777" s="26" t="str">
        <f ca="1">IF(Calculation!T780&lt;=Calculation!$H$4,Calculation!T780,"")</f>
        <v/>
      </c>
      <c r="B777" s="4" t="str">
        <f ca="1">VLOOKUP(A777,Calculation!$E$6:$J$1004,4,FALSE)</f>
        <v/>
      </c>
      <c r="C777" s="4" t="str">
        <f ca="1">VLOOKUP(A777,Calculation!$E$6:$J$1004,5,FALSE)</f>
        <v/>
      </c>
      <c r="D777" s="4" t="str">
        <f ca="1">VLOOKUP(A777,Calculation!$E$6:$J$1004,6,FALSE)</f>
        <v/>
      </c>
      <c r="E777" s="42" t="str">
        <f t="shared" ca="1" si="6"/>
        <v/>
      </c>
      <c r="G777" s="29" t="str">
        <f ca="1">VLOOKUP(A777,Calculation!$F$6:$J$1004,3,FALSE)</f>
        <v/>
      </c>
      <c r="H777" s="4" t="str">
        <f ca="1">VLOOKUP(A777,Calculation!$F$6:$J$1004,4,FALSE)</f>
        <v/>
      </c>
      <c r="I777" s="4" t="str">
        <f ca="1">VLOOKUP(A777,Calculation!$F$6:$J$1004,5,FALSE)</f>
        <v/>
      </c>
      <c r="J777" s="43" t="str">
        <f t="shared" ca="1" si="7"/>
        <v/>
      </c>
      <c r="L777" s="29" t="str">
        <f ca="1">VLOOKUP(A777,Calculation!$G$6:$S$1004,2,FALSE)</f>
        <v/>
      </c>
      <c r="M777" s="4" t="str">
        <f ca="1">IFERROR(VLOOKUP($L777,Calculation!$H$6:$S$1005,HLOOKUP(M$2,Calculation!$M$4:$S$5,2,FALSE)+5,FALSE),"")</f>
        <v/>
      </c>
      <c r="N777" s="4" t="str">
        <f ca="1">IFERROR(VLOOKUP($L777,Calculation!$H$6:$S$1005,HLOOKUP(N$2,Calculation!$M$4:$S$5,2,FALSE)+5,FALSE),"")</f>
        <v/>
      </c>
      <c r="O777" s="4" t="str">
        <f ca="1">IFERROR(VLOOKUP($L777,Calculation!$H$6:$S$1005,HLOOKUP(O$2,Calculation!$M$4:$S$5,2,FALSE)+5,FALSE),"")</f>
        <v/>
      </c>
      <c r="P777" s="4" t="str">
        <f ca="1">IFERROR(VLOOKUP($L777,Calculation!$H$6:$S$1005,HLOOKUP(P$2,Calculation!$M$4:$S$5,2,FALSE)+5,FALSE),"")</f>
        <v/>
      </c>
      <c r="Q777" s="4" t="str">
        <f ca="1">IFERROR(VLOOKUP($L777,Calculation!$H$6:$S$1005,HLOOKUP(Q$2,Calculation!$M$4:$S$5,2,FALSE)+5,FALSE),"")</f>
        <v/>
      </c>
      <c r="R777" s="27" t="str">
        <f ca="1">IFERROR(VLOOKUP($L777,Calculation!$H$6:$S$1005,HLOOKUP(R$2,Calculation!$M$4:$S$5,2,FALSE)+5,FALSE),"")</f>
        <v/>
      </c>
      <c r="S777" s="4" t="str">
        <f ca="1">IFERROR(VLOOKUP($L777,Calculation!$H$6:$S$1005,HLOOKUP(S$2,Calculation!$M$4:$S$5,2,FALSE)+5,FALSE),"")</f>
        <v/>
      </c>
      <c r="T777" s="29"/>
      <c r="U777" s="43" t="str">
        <f>IFERROR(VLOOKUP(T777,Calculation!$U$6:$V$11,2,FALSE),"")</f>
        <v/>
      </c>
    </row>
    <row r="778" spans="1:21" ht="14.25" customHeight="1" x14ac:dyDescent="0.3">
      <c r="A778" s="26" t="str">
        <f ca="1">IF(Calculation!T781&lt;=Calculation!$H$4,Calculation!T781,"")</f>
        <v/>
      </c>
      <c r="B778" s="4" t="str">
        <f ca="1">VLOOKUP(A778,Calculation!$E$6:$J$1004,4,FALSE)</f>
        <v/>
      </c>
      <c r="C778" s="4" t="str">
        <f ca="1">VLOOKUP(A778,Calculation!$E$6:$J$1004,5,FALSE)</f>
        <v/>
      </c>
      <c r="D778" s="4" t="str">
        <f ca="1">VLOOKUP(A778,Calculation!$E$6:$J$1004,6,FALSE)</f>
        <v/>
      </c>
      <c r="E778" s="42" t="str">
        <f t="shared" ca="1" si="6"/>
        <v/>
      </c>
      <c r="G778" s="29" t="str">
        <f ca="1">VLOOKUP(A778,Calculation!$F$6:$J$1004,3,FALSE)</f>
        <v/>
      </c>
      <c r="H778" s="4" t="str">
        <f ca="1">VLOOKUP(A778,Calculation!$F$6:$J$1004,4,FALSE)</f>
        <v/>
      </c>
      <c r="I778" s="4" t="str">
        <f ca="1">VLOOKUP(A778,Calculation!$F$6:$J$1004,5,FALSE)</f>
        <v/>
      </c>
      <c r="J778" s="43" t="str">
        <f t="shared" ca="1" si="7"/>
        <v/>
      </c>
      <c r="L778" s="29" t="str">
        <f ca="1">VLOOKUP(A778,Calculation!$G$6:$S$1004,2,FALSE)</f>
        <v/>
      </c>
      <c r="M778" s="4" t="str">
        <f ca="1">IFERROR(VLOOKUP($L778,Calculation!$H$6:$S$1005,HLOOKUP(M$2,Calculation!$M$4:$S$5,2,FALSE)+5,FALSE),"")</f>
        <v/>
      </c>
      <c r="N778" s="4" t="str">
        <f ca="1">IFERROR(VLOOKUP($L778,Calculation!$H$6:$S$1005,HLOOKUP(N$2,Calculation!$M$4:$S$5,2,FALSE)+5,FALSE),"")</f>
        <v/>
      </c>
      <c r="O778" s="4" t="str">
        <f ca="1">IFERROR(VLOOKUP($L778,Calculation!$H$6:$S$1005,HLOOKUP(O$2,Calculation!$M$4:$S$5,2,FALSE)+5,FALSE),"")</f>
        <v/>
      </c>
      <c r="P778" s="4" t="str">
        <f ca="1">IFERROR(VLOOKUP($L778,Calculation!$H$6:$S$1005,HLOOKUP(P$2,Calculation!$M$4:$S$5,2,FALSE)+5,FALSE),"")</f>
        <v/>
      </c>
      <c r="Q778" s="4" t="str">
        <f ca="1">IFERROR(VLOOKUP($L778,Calculation!$H$6:$S$1005,HLOOKUP(Q$2,Calculation!$M$4:$S$5,2,FALSE)+5,FALSE),"")</f>
        <v/>
      </c>
      <c r="R778" s="27" t="str">
        <f ca="1">IFERROR(VLOOKUP($L778,Calculation!$H$6:$S$1005,HLOOKUP(R$2,Calculation!$M$4:$S$5,2,FALSE)+5,FALSE),"")</f>
        <v/>
      </c>
      <c r="S778" s="4" t="str">
        <f ca="1">IFERROR(VLOOKUP($L778,Calculation!$H$6:$S$1005,HLOOKUP(S$2,Calculation!$M$4:$S$5,2,FALSE)+5,FALSE),"")</f>
        <v/>
      </c>
      <c r="T778" s="29"/>
      <c r="U778" s="43" t="str">
        <f>IFERROR(VLOOKUP(T778,Calculation!$U$6:$V$11,2,FALSE),"")</f>
        <v/>
      </c>
    </row>
    <row r="779" spans="1:21" ht="14.25" customHeight="1" x14ac:dyDescent="0.3">
      <c r="A779" s="26" t="str">
        <f ca="1">IF(Calculation!T782&lt;=Calculation!$H$4,Calculation!T782,"")</f>
        <v/>
      </c>
      <c r="B779" s="4" t="str">
        <f ca="1">VLOOKUP(A779,Calculation!$E$6:$J$1004,4,FALSE)</f>
        <v/>
      </c>
      <c r="C779" s="4" t="str">
        <f ca="1">VLOOKUP(A779,Calculation!$E$6:$J$1004,5,FALSE)</f>
        <v/>
      </c>
      <c r="D779" s="4" t="str">
        <f ca="1">VLOOKUP(A779,Calculation!$E$6:$J$1004,6,FALSE)</f>
        <v/>
      </c>
      <c r="E779" s="42" t="str">
        <f t="shared" ca="1" si="6"/>
        <v/>
      </c>
      <c r="G779" s="29" t="str">
        <f ca="1">VLOOKUP(A779,Calculation!$F$6:$J$1004,3,FALSE)</f>
        <v/>
      </c>
      <c r="H779" s="4" t="str">
        <f ca="1">VLOOKUP(A779,Calculation!$F$6:$J$1004,4,FALSE)</f>
        <v/>
      </c>
      <c r="I779" s="4" t="str">
        <f ca="1">VLOOKUP(A779,Calculation!$F$6:$J$1004,5,FALSE)</f>
        <v/>
      </c>
      <c r="J779" s="43" t="str">
        <f t="shared" ca="1" si="7"/>
        <v/>
      </c>
      <c r="L779" s="29" t="str">
        <f ca="1">VLOOKUP(A779,Calculation!$G$6:$S$1004,2,FALSE)</f>
        <v/>
      </c>
      <c r="M779" s="4" t="str">
        <f ca="1">IFERROR(VLOOKUP($L779,Calculation!$H$6:$S$1005,HLOOKUP(M$2,Calculation!$M$4:$S$5,2,FALSE)+5,FALSE),"")</f>
        <v/>
      </c>
      <c r="N779" s="4" t="str">
        <f ca="1">IFERROR(VLOOKUP($L779,Calculation!$H$6:$S$1005,HLOOKUP(N$2,Calculation!$M$4:$S$5,2,FALSE)+5,FALSE),"")</f>
        <v/>
      </c>
      <c r="O779" s="4" t="str">
        <f ca="1">IFERROR(VLOOKUP($L779,Calculation!$H$6:$S$1005,HLOOKUP(O$2,Calculation!$M$4:$S$5,2,FALSE)+5,FALSE),"")</f>
        <v/>
      </c>
      <c r="P779" s="4" t="str">
        <f ca="1">IFERROR(VLOOKUP($L779,Calculation!$H$6:$S$1005,HLOOKUP(P$2,Calculation!$M$4:$S$5,2,FALSE)+5,FALSE),"")</f>
        <v/>
      </c>
      <c r="Q779" s="4" t="str">
        <f ca="1">IFERROR(VLOOKUP($L779,Calculation!$H$6:$S$1005,HLOOKUP(Q$2,Calculation!$M$4:$S$5,2,FALSE)+5,FALSE),"")</f>
        <v/>
      </c>
      <c r="R779" s="27" t="str">
        <f ca="1">IFERROR(VLOOKUP($L779,Calculation!$H$6:$S$1005,HLOOKUP(R$2,Calculation!$M$4:$S$5,2,FALSE)+5,FALSE),"")</f>
        <v/>
      </c>
      <c r="S779" s="4" t="str">
        <f ca="1">IFERROR(VLOOKUP($L779,Calculation!$H$6:$S$1005,HLOOKUP(S$2,Calculation!$M$4:$S$5,2,FALSE)+5,FALSE),"")</f>
        <v/>
      </c>
      <c r="T779" s="29"/>
      <c r="U779" s="43" t="str">
        <f>IFERROR(VLOOKUP(T779,Calculation!$U$6:$V$11,2,FALSE),"")</f>
        <v/>
      </c>
    </row>
    <row r="780" spans="1:21" ht="14.25" customHeight="1" x14ac:dyDescent="0.3">
      <c r="A780" s="26" t="str">
        <f ca="1">IF(Calculation!T783&lt;=Calculation!$H$4,Calculation!T783,"")</f>
        <v/>
      </c>
      <c r="B780" s="4" t="str">
        <f ca="1">VLOOKUP(A780,Calculation!$E$6:$J$1004,4,FALSE)</f>
        <v/>
      </c>
      <c r="C780" s="4" t="str">
        <f ca="1">VLOOKUP(A780,Calculation!$E$6:$J$1004,5,FALSE)</f>
        <v/>
      </c>
      <c r="D780" s="4" t="str">
        <f ca="1">VLOOKUP(A780,Calculation!$E$6:$J$1004,6,FALSE)</f>
        <v/>
      </c>
      <c r="E780" s="42" t="str">
        <f t="shared" ca="1" si="6"/>
        <v/>
      </c>
      <c r="G780" s="29" t="str">
        <f ca="1">VLOOKUP(A780,Calculation!$F$6:$J$1004,3,FALSE)</f>
        <v/>
      </c>
      <c r="H780" s="4" t="str">
        <f ca="1">VLOOKUP(A780,Calculation!$F$6:$J$1004,4,FALSE)</f>
        <v/>
      </c>
      <c r="I780" s="4" t="str">
        <f ca="1">VLOOKUP(A780,Calculation!$F$6:$J$1004,5,FALSE)</f>
        <v/>
      </c>
      <c r="J780" s="43" t="str">
        <f t="shared" ca="1" si="7"/>
        <v/>
      </c>
      <c r="L780" s="29" t="str">
        <f ca="1">VLOOKUP(A780,Calculation!$G$6:$S$1004,2,FALSE)</f>
        <v/>
      </c>
      <c r="M780" s="4" t="str">
        <f ca="1">IFERROR(VLOOKUP($L780,Calculation!$H$6:$S$1005,HLOOKUP(M$2,Calculation!$M$4:$S$5,2,FALSE)+5,FALSE),"")</f>
        <v/>
      </c>
      <c r="N780" s="4" t="str">
        <f ca="1">IFERROR(VLOOKUP($L780,Calculation!$H$6:$S$1005,HLOOKUP(N$2,Calculation!$M$4:$S$5,2,FALSE)+5,FALSE),"")</f>
        <v/>
      </c>
      <c r="O780" s="4" t="str">
        <f ca="1">IFERROR(VLOOKUP($L780,Calculation!$H$6:$S$1005,HLOOKUP(O$2,Calculation!$M$4:$S$5,2,FALSE)+5,FALSE),"")</f>
        <v/>
      </c>
      <c r="P780" s="4" t="str">
        <f ca="1">IFERROR(VLOOKUP($L780,Calculation!$H$6:$S$1005,HLOOKUP(P$2,Calculation!$M$4:$S$5,2,FALSE)+5,FALSE),"")</f>
        <v/>
      </c>
      <c r="Q780" s="4" t="str">
        <f ca="1">IFERROR(VLOOKUP($L780,Calculation!$H$6:$S$1005,HLOOKUP(Q$2,Calculation!$M$4:$S$5,2,FALSE)+5,FALSE),"")</f>
        <v/>
      </c>
      <c r="R780" s="27" t="str">
        <f ca="1">IFERROR(VLOOKUP($L780,Calculation!$H$6:$S$1005,HLOOKUP(R$2,Calculation!$M$4:$S$5,2,FALSE)+5,FALSE),"")</f>
        <v/>
      </c>
      <c r="S780" s="4" t="str">
        <f ca="1">IFERROR(VLOOKUP($L780,Calculation!$H$6:$S$1005,HLOOKUP(S$2,Calculation!$M$4:$S$5,2,FALSE)+5,FALSE),"")</f>
        <v/>
      </c>
      <c r="T780" s="29"/>
      <c r="U780" s="43" t="str">
        <f>IFERROR(VLOOKUP(T780,Calculation!$U$6:$V$11,2,FALSE),"")</f>
        <v/>
      </c>
    </row>
    <row r="781" spans="1:21" ht="14.25" customHeight="1" x14ac:dyDescent="0.3">
      <c r="A781" s="26" t="str">
        <f ca="1">IF(Calculation!T784&lt;=Calculation!$H$4,Calculation!T784,"")</f>
        <v/>
      </c>
      <c r="B781" s="4" t="str">
        <f ca="1">VLOOKUP(A781,Calculation!$E$6:$J$1004,4,FALSE)</f>
        <v/>
      </c>
      <c r="C781" s="4" t="str">
        <f ca="1">VLOOKUP(A781,Calculation!$E$6:$J$1004,5,FALSE)</f>
        <v/>
      </c>
      <c r="D781" s="4" t="str">
        <f ca="1">VLOOKUP(A781,Calculation!$E$6:$J$1004,6,FALSE)</f>
        <v/>
      </c>
      <c r="E781" s="42" t="str">
        <f t="shared" ca="1" si="6"/>
        <v/>
      </c>
      <c r="G781" s="29" t="str">
        <f ca="1">VLOOKUP(A781,Calculation!$F$6:$J$1004,3,FALSE)</f>
        <v/>
      </c>
      <c r="H781" s="4" t="str">
        <f ca="1">VLOOKUP(A781,Calculation!$F$6:$J$1004,4,FALSE)</f>
        <v/>
      </c>
      <c r="I781" s="4" t="str">
        <f ca="1">VLOOKUP(A781,Calculation!$F$6:$J$1004,5,FALSE)</f>
        <v/>
      </c>
      <c r="J781" s="43" t="str">
        <f t="shared" ca="1" si="7"/>
        <v/>
      </c>
      <c r="L781" s="29" t="str">
        <f ca="1">VLOOKUP(A781,Calculation!$G$6:$S$1004,2,FALSE)</f>
        <v/>
      </c>
      <c r="M781" s="4" t="str">
        <f ca="1">IFERROR(VLOOKUP($L781,Calculation!$H$6:$S$1005,HLOOKUP(M$2,Calculation!$M$4:$S$5,2,FALSE)+5,FALSE),"")</f>
        <v/>
      </c>
      <c r="N781" s="4" t="str">
        <f ca="1">IFERROR(VLOOKUP($L781,Calculation!$H$6:$S$1005,HLOOKUP(N$2,Calculation!$M$4:$S$5,2,FALSE)+5,FALSE),"")</f>
        <v/>
      </c>
      <c r="O781" s="4" t="str">
        <f ca="1">IFERROR(VLOOKUP($L781,Calculation!$H$6:$S$1005,HLOOKUP(O$2,Calculation!$M$4:$S$5,2,FALSE)+5,FALSE),"")</f>
        <v/>
      </c>
      <c r="P781" s="4" t="str">
        <f ca="1">IFERROR(VLOOKUP($L781,Calculation!$H$6:$S$1005,HLOOKUP(P$2,Calculation!$M$4:$S$5,2,FALSE)+5,FALSE),"")</f>
        <v/>
      </c>
      <c r="Q781" s="4" t="str">
        <f ca="1">IFERROR(VLOOKUP($L781,Calculation!$H$6:$S$1005,HLOOKUP(Q$2,Calculation!$M$4:$S$5,2,FALSE)+5,FALSE),"")</f>
        <v/>
      </c>
      <c r="R781" s="27" t="str">
        <f ca="1">IFERROR(VLOOKUP($L781,Calculation!$H$6:$S$1005,HLOOKUP(R$2,Calculation!$M$4:$S$5,2,FALSE)+5,FALSE),"")</f>
        <v/>
      </c>
      <c r="S781" s="4" t="str">
        <f ca="1">IFERROR(VLOOKUP($L781,Calculation!$H$6:$S$1005,HLOOKUP(S$2,Calculation!$M$4:$S$5,2,FALSE)+5,FALSE),"")</f>
        <v/>
      </c>
      <c r="T781" s="29"/>
      <c r="U781" s="43" t="str">
        <f>IFERROR(VLOOKUP(T781,Calculation!$U$6:$V$11,2,FALSE),"")</f>
        <v/>
      </c>
    </row>
    <row r="782" spans="1:21" ht="14.25" customHeight="1" x14ac:dyDescent="0.3">
      <c r="A782" s="26" t="str">
        <f ca="1">IF(Calculation!T785&lt;=Calculation!$H$4,Calculation!T785,"")</f>
        <v/>
      </c>
      <c r="B782" s="4" t="str">
        <f ca="1">VLOOKUP(A782,Calculation!$E$6:$J$1004,4,FALSE)</f>
        <v/>
      </c>
      <c r="C782" s="4" t="str">
        <f ca="1">VLOOKUP(A782,Calculation!$E$6:$J$1004,5,FALSE)</f>
        <v/>
      </c>
      <c r="D782" s="4" t="str">
        <f ca="1">VLOOKUP(A782,Calculation!$E$6:$J$1004,6,FALSE)</f>
        <v/>
      </c>
      <c r="E782" s="42" t="str">
        <f t="shared" ca="1" si="6"/>
        <v/>
      </c>
      <c r="G782" s="29" t="str">
        <f ca="1">VLOOKUP(A782,Calculation!$F$6:$J$1004,3,FALSE)</f>
        <v/>
      </c>
      <c r="H782" s="4" t="str">
        <f ca="1">VLOOKUP(A782,Calculation!$F$6:$J$1004,4,FALSE)</f>
        <v/>
      </c>
      <c r="I782" s="4" t="str">
        <f ca="1">VLOOKUP(A782,Calculation!$F$6:$J$1004,5,FALSE)</f>
        <v/>
      </c>
      <c r="J782" s="43" t="str">
        <f t="shared" ca="1" si="7"/>
        <v/>
      </c>
      <c r="L782" s="29" t="str">
        <f ca="1">VLOOKUP(A782,Calculation!$G$6:$S$1004,2,FALSE)</f>
        <v/>
      </c>
      <c r="M782" s="4" t="str">
        <f ca="1">IFERROR(VLOOKUP($L782,Calculation!$H$6:$S$1005,HLOOKUP(M$2,Calculation!$M$4:$S$5,2,FALSE)+5,FALSE),"")</f>
        <v/>
      </c>
      <c r="N782" s="4" t="str">
        <f ca="1">IFERROR(VLOOKUP($L782,Calculation!$H$6:$S$1005,HLOOKUP(N$2,Calculation!$M$4:$S$5,2,FALSE)+5,FALSE),"")</f>
        <v/>
      </c>
      <c r="O782" s="4" t="str">
        <f ca="1">IFERROR(VLOOKUP($L782,Calculation!$H$6:$S$1005,HLOOKUP(O$2,Calculation!$M$4:$S$5,2,FALSE)+5,FALSE),"")</f>
        <v/>
      </c>
      <c r="P782" s="4" t="str">
        <f ca="1">IFERROR(VLOOKUP($L782,Calculation!$H$6:$S$1005,HLOOKUP(P$2,Calculation!$M$4:$S$5,2,FALSE)+5,FALSE),"")</f>
        <v/>
      </c>
      <c r="Q782" s="4" t="str">
        <f ca="1">IFERROR(VLOOKUP($L782,Calculation!$H$6:$S$1005,HLOOKUP(Q$2,Calculation!$M$4:$S$5,2,FALSE)+5,FALSE),"")</f>
        <v/>
      </c>
      <c r="R782" s="27" t="str">
        <f ca="1">IFERROR(VLOOKUP($L782,Calculation!$H$6:$S$1005,HLOOKUP(R$2,Calculation!$M$4:$S$5,2,FALSE)+5,FALSE),"")</f>
        <v/>
      </c>
      <c r="S782" s="4" t="str">
        <f ca="1">IFERROR(VLOOKUP($L782,Calculation!$H$6:$S$1005,HLOOKUP(S$2,Calculation!$M$4:$S$5,2,FALSE)+5,FALSE),"")</f>
        <v/>
      </c>
      <c r="T782" s="29"/>
      <c r="U782" s="43" t="str">
        <f>IFERROR(VLOOKUP(T782,Calculation!$U$6:$V$11,2,FALSE),"")</f>
        <v/>
      </c>
    </row>
    <row r="783" spans="1:21" ht="14.25" customHeight="1" x14ac:dyDescent="0.3">
      <c r="A783" s="26" t="str">
        <f ca="1">IF(Calculation!T786&lt;=Calculation!$H$4,Calculation!T786,"")</f>
        <v/>
      </c>
      <c r="B783" s="4" t="str">
        <f ca="1">VLOOKUP(A783,Calculation!$E$6:$J$1004,4,FALSE)</f>
        <v/>
      </c>
      <c r="C783" s="4" t="str">
        <f ca="1">VLOOKUP(A783,Calculation!$E$6:$J$1004,5,FALSE)</f>
        <v/>
      </c>
      <c r="D783" s="4" t="str">
        <f ca="1">VLOOKUP(A783,Calculation!$E$6:$J$1004,6,FALSE)</f>
        <v/>
      </c>
      <c r="E783" s="42" t="str">
        <f t="shared" ca="1" si="6"/>
        <v/>
      </c>
      <c r="G783" s="29" t="str">
        <f ca="1">VLOOKUP(A783,Calculation!$F$6:$J$1004,3,FALSE)</f>
        <v/>
      </c>
      <c r="H783" s="4" t="str">
        <f ca="1">VLOOKUP(A783,Calculation!$F$6:$J$1004,4,FALSE)</f>
        <v/>
      </c>
      <c r="I783" s="4" t="str">
        <f ca="1">VLOOKUP(A783,Calculation!$F$6:$J$1004,5,FALSE)</f>
        <v/>
      </c>
      <c r="J783" s="43" t="str">
        <f t="shared" ca="1" si="7"/>
        <v/>
      </c>
      <c r="L783" s="29" t="str">
        <f ca="1">VLOOKUP(A783,Calculation!$G$6:$S$1004,2,FALSE)</f>
        <v/>
      </c>
      <c r="M783" s="4" t="str">
        <f ca="1">IFERROR(VLOOKUP($L783,Calculation!$H$6:$S$1005,HLOOKUP(M$2,Calculation!$M$4:$S$5,2,FALSE)+5,FALSE),"")</f>
        <v/>
      </c>
      <c r="N783" s="4" t="str">
        <f ca="1">IFERROR(VLOOKUP($L783,Calculation!$H$6:$S$1005,HLOOKUP(N$2,Calculation!$M$4:$S$5,2,FALSE)+5,FALSE),"")</f>
        <v/>
      </c>
      <c r="O783" s="4" t="str">
        <f ca="1">IFERROR(VLOOKUP($L783,Calculation!$H$6:$S$1005,HLOOKUP(O$2,Calculation!$M$4:$S$5,2,FALSE)+5,FALSE),"")</f>
        <v/>
      </c>
      <c r="P783" s="4" t="str">
        <f ca="1">IFERROR(VLOOKUP($L783,Calculation!$H$6:$S$1005,HLOOKUP(P$2,Calculation!$M$4:$S$5,2,FALSE)+5,FALSE),"")</f>
        <v/>
      </c>
      <c r="Q783" s="4" t="str">
        <f ca="1">IFERROR(VLOOKUP($L783,Calculation!$H$6:$S$1005,HLOOKUP(Q$2,Calculation!$M$4:$S$5,2,FALSE)+5,FALSE),"")</f>
        <v/>
      </c>
      <c r="R783" s="27" t="str">
        <f ca="1">IFERROR(VLOOKUP($L783,Calculation!$H$6:$S$1005,HLOOKUP(R$2,Calculation!$M$4:$S$5,2,FALSE)+5,FALSE),"")</f>
        <v/>
      </c>
      <c r="S783" s="4" t="str">
        <f ca="1">IFERROR(VLOOKUP($L783,Calculation!$H$6:$S$1005,HLOOKUP(S$2,Calculation!$M$4:$S$5,2,FALSE)+5,FALSE),"")</f>
        <v/>
      </c>
      <c r="T783" s="29"/>
      <c r="U783" s="43" t="str">
        <f>IFERROR(VLOOKUP(T783,Calculation!$U$6:$V$11,2,FALSE),"")</f>
        <v/>
      </c>
    </row>
    <row r="784" spans="1:21" ht="14.25" customHeight="1" x14ac:dyDescent="0.3">
      <c r="A784" s="26" t="str">
        <f ca="1">IF(Calculation!T787&lt;=Calculation!$H$4,Calculation!T787,"")</f>
        <v/>
      </c>
      <c r="B784" s="4" t="str">
        <f ca="1">VLOOKUP(A784,Calculation!$E$6:$J$1004,4,FALSE)</f>
        <v/>
      </c>
      <c r="C784" s="4" t="str">
        <f ca="1">VLOOKUP(A784,Calculation!$E$6:$J$1004,5,FALSE)</f>
        <v/>
      </c>
      <c r="D784" s="4" t="str">
        <f ca="1">VLOOKUP(A784,Calculation!$E$6:$J$1004,6,FALSE)</f>
        <v/>
      </c>
      <c r="E784" s="42" t="str">
        <f t="shared" ca="1" si="6"/>
        <v/>
      </c>
      <c r="G784" s="29" t="str">
        <f ca="1">VLOOKUP(A784,Calculation!$F$6:$J$1004,3,FALSE)</f>
        <v/>
      </c>
      <c r="H784" s="4" t="str">
        <f ca="1">VLOOKUP(A784,Calculation!$F$6:$J$1004,4,FALSE)</f>
        <v/>
      </c>
      <c r="I784" s="4" t="str">
        <f ca="1">VLOOKUP(A784,Calculation!$F$6:$J$1004,5,FALSE)</f>
        <v/>
      </c>
      <c r="J784" s="43" t="str">
        <f t="shared" ca="1" si="7"/>
        <v/>
      </c>
      <c r="L784" s="29" t="str">
        <f ca="1">VLOOKUP(A784,Calculation!$G$6:$S$1004,2,FALSE)</f>
        <v/>
      </c>
      <c r="M784" s="4" t="str">
        <f ca="1">IFERROR(VLOOKUP($L784,Calculation!$H$6:$S$1005,HLOOKUP(M$2,Calculation!$M$4:$S$5,2,FALSE)+5,FALSE),"")</f>
        <v/>
      </c>
      <c r="N784" s="4" t="str">
        <f ca="1">IFERROR(VLOOKUP($L784,Calculation!$H$6:$S$1005,HLOOKUP(N$2,Calculation!$M$4:$S$5,2,FALSE)+5,FALSE),"")</f>
        <v/>
      </c>
      <c r="O784" s="4" t="str">
        <f ca="1">IFERROR(VLOOKUP($L784,Calculation!$H$6:$S$1005,HLOOKUP(O$2,Calculation!$M$4:$S$5,2,FALSE)+5,FALSE),"")</f>
        <v/>
      </c>
      <c r="P784" s="4" t="str">
        <f ca="1">IFERROR(VLOOKUP($L784,Calculation!$H$6:$S$1005,HLOOKUP(P$2,Calculation!$M$4:$S$5,2,FALSE)+5,FALSE),"")</f>
        <v/>
      </c>
      <c r="Q784" s="4" t="str">
        <f ca="1">IFERROR(VLOOKUP($L784,Calculation!$H$6:$S$1005,HLOOKUP(Q$2,Calculation!$M$4:$S$5,2,FALSE)+5,FALSE),"")</f>
        <v/>
      </c>
      <c r="R784" s="27" t="str">
        <f ca="1">IFERROR(VLOOKUP($L784,Calculation!$H$6:$S$1005,HLOOKUP(R$2,Calculation!$M$4:$S$5,2,FALSE)+5,FALSE),"")</f>
        <v/>
      </c>
      <c r="S784" s="4" t="str">
        <f ca="1">IFERROR(VLOOKUP($L784,Calculation!$H$6:$S$1005,HLOOKUP(S$2,Calculation!$M$4:$S$5,2,FALSE)+5,FALSE),"")</f>
        <v/>
      </c>
      <c r="T784" s="29"/>
      <c r="U784" s="43" t="str">
        <f>IFERROR(VLOOKUP(T784,Calculation!$U$6:$V$11,2,FALSE),"")</f>
        <v/>
      </c>
    </row>
    <row r="785" spans="1:21" ht="14.25" customHeight="1" x14ac:dyDescent="0.3">
      <c r="A785" s="26" t="str">
        <f ca="1">IF(Calculation!T788&lt;=Calculation!$H$4,Calculation!T788,"")</f>
        <v/>
      </c>
      <c r="B785" s="4" t="str">
        <f ca="1">VLOOKUP(A785,Calculation!$E$6:$J$1004,4,FALSE)</f>
        <v/>
      </c>
      <c r="C785" s="4" t="str">
        <f ca="1">VLOOKUP(A785,Calculation!$E$6:$J$1004,5,FALSE)</f>
        <v/>
      </c>
      <c r="D785" s="4" t="str">
        <f ca="1">VLOOKUP(A785,Calculation!$E$6:$J$1004,6,FALSE)</f>
        <v/>
      </c>
      <c r="E785" s="42" t="str">
        <f t="shared" ca="1" si="6"/>
        <v/>
      </c>
      <c r="G785" s="29" t="str">
        <f ca="1">VLOOKUP(A785,Calculation!$F$6:$J$1004,3,FALSE)</f>
        <v/>
      </c>
      <c r="H785" s="4" t="str">
        <f ca="1">VLOOKUP(A785,Calculation!$F$6:$J$1004,4,FALSE)</f>
        <v/>
      </c>
      <c r="I785" s="4" t="str">
        <f ca="1">VLOOKUP(A785,Calculation!$F$6:$J$1004,5,FALSE)</f>
        <v/>
      </c>
      <c r="J785" s="43" t="str">
        <f t="shared" ca="1" si="7"/>
        <v/>
      </c>
      <c r="L785" s="29" t="str">
        <f ca="1">VLOOKUP(A785,Calculation!$G$6:$S$1004,2,FALSE)</f>
        <v/>
      </c>
      <c r="M785" s="4" t="str">
        <f ca="1">IFERROR(VLOOKUP($L785,Calculation!$H$6:$S$1005,HLOOKUP(M$2,Calculation!$M$4:$S$5,2,FALSE)+5,FALSE),"")</f>
        <v/>
      </c>
      <c r="N785" s="4" t="str">
        <f ca="1">IFERROR(VLOOKUP($L785,Calculation!$H$6:$S$1005,HLOOKUP(N$2,Calculation!$M$4:$S$5,2,FALSE)+5,FALSE),"")</f>
        <v/>
      </c>
      <c r="O785" s="4" t="str">
        <f ca="1">IFERROR(VLOOKUP($L785,Calculation!$H$6:$S$1005,HLOOKUP(O$2,Calculation!$M$4:$S$5,2,FALSE)+5,FALSE),"")</f>
        <v/>
      </c>
      <c r="P785" s="4" t="str">
        <f ca="1">IFERROR(VLOOKUP($L785,Calculation!$H$6:$S$1005,HLOOKUP(P$2,Calculation!$M$4:$S$5,2,FALSE)+5,FALSE),"")</f>
        <v/>
      </c>
      <c r="Q785" s="4" t="str">
        <f ca="1">IFERROR(VLOOKUP($L785,Calculation!$H$6:$S$1005,HLOOKUP(Q$2,Calculation!$M$4:$S$5,2,FALSE)+5,FALSE),"")</f>
        <v/>
      </c>
      <c r="R785" s="27" t="str">
        <f ca="1">IFERROR(VLOOKUP($L785,Calculation!$H$6:$S$1005,HLOOKUP(R$2,Calculation!$M$4:$S$5,2,FALSE)+5,FALSE),"")</f>
        <v/>
      </c>
      <c r="S785" s="4" t="str">
        <f ca="1">IFERROR(VLOOKUP($L785,Calculation!$H$6:$S$1005,HLOOKUP(S$2,Calculation!$M$4:$S$5,2,FALSE)+5,FALSE),"")</f>
        <v/>
      </c>
      <c r="T785" s="29"/>
      <c r="U785" s="43" t="str">
        <f>IFERROR(VLOOKUP(T785,Calculation!$U$6:$V$11,2,FALSE),"")</f>
        <v/>
      </c>
    </row>
    <row r="786" spans="1:21" ht="14.25" customHeight="1" x14ac:dyDescent="0.3">
      <c r="A786" s="26" t="str">
        <f ca="1">IF(Calculation!T789&lt;=Calculation!$H$4,Calculation!T789,"")</f>
        <v/>
      </c>
      <c r="B786" s="4" t="str">
        <f ca="1">VLOOKUP(A786,Calculation!$E$6:$J$1004,4,FALSE)</f>
        <v/>
      </c>
      <c r="C786" s="4" t="str">
        <f ca="1">VLOOKUP(A786,Calculation!$E$6:$J$1004,5,FALSE)</f>
        <v/>
      </c>
      <c r="D786" s="4" t="str">
        <f ca="1">VLOOKUP(A786,Calculation!$E$6:$J$1004,6,FALSE)</f>
        <v/>
      </c>
      <c r="E786" s="42" t="str">
        <f t="shared" ca="1" si="6"/>
        <v/>
      </c>
      <c r="G786" s="29" t="str">
        <f ca="1">VLOOKUP(A786,Calculation!$F$6:$J$1004,3,FALSE)</f>
        <v/>
      </c>
      <c r="H786" s="4" t="str">
        <f ca="1">VLOOKUP(A786,Calculation!$F$6:$J$1004,4,FALSE)</f>
        <v/>
      </c>
      <c r="I786" s="4" t="str">
        <f ca="1">VLOOKUP(A786,Calculation!$F$6:$J$1004,5,FALSE)</f>
        <v/>
      </c>
      <c r="J786" s="43" t="str">
        <f t="shared" ca="1" si="7"/>
        <v/>
      </c>
      <c r="L786" s="29" t="str">
        <f ca="1">VLOOKUP(A786,Calculation!$G$6:$S$1004,2,FALSE)</f>
        <v/>
      </c>
      <c r="M786" s="4" t="str">
        <f ca="1">IFERROR(VLOOKUP($L786,Calculation!$H$6:$S$1005,HLOOKUP(M$2,Calculation!$M$4:$S$5,2,FALSE)+5,FALSE),"")</f>
        <v/>
      </c>
      <c r="N786" s="4" t="str">
        <f ca="1">IFERROR(VLOOKUP($L786,Calculation!$H$6:$S$1005,HLOOKUP(N$2,Calculation!$M$4:$S$5,2,FALSE)+5,FALSE),"")</f>
        <v/>
      </c>
      <c r="O786" s="4" t="str">
        <f ca="1">IFERROR(VLOOKUP($L786,Calculation!$H$6:$S$1005,HLOOKUP(O$2,Calculation!$M$4:$S$5,2,FALSE)+5,FALSE),"")</f>
        <v/>
      </c>
      <c r="P786" s="4" t="str">
        <f ca="1">IFERROR(VLOOKUP($L786,Calculation!$H$6:$S$1005,HLOOKUP(P$2,Calculation!$M$4:$S$5,2,FALSE)+5,FALSE),"")</f>
        <v/>
      </c>
      <c r="Q786" s="4" t="str">
        <f ca="1">IFERROR(VLOOKUP($L786,Calculation!$H$6:$S$1005,HLOOKUP(Q$2,Calculation!$M$4:$S$5,2,FALSE)+5,FALSE),"")</f>
        <v/>
      </c>
      <c r="R786" s="27" t="str">
        <f ca="1">IFERROR(VLOOKUP($L786,Calculation!$H$6:$S$1005,HLOOKUP(R$2,Calculation!$M$4:$S$5,2,FALSE)+5,FALSE),"")</f>
        <v/>
      </c>
      <c r="S786" s="4" t="str">
        <f ca="1">IFERROR(VLOOKUP($L786,Calculation!$H$6:$S$1005,HLOOKUP(S$2,Calculation!$M$4:$S$5,2,FALSE)+5,FALSE),"")</f>
        <v/>
      </c>
      <c r="T786" s="29"/>
      <c r="U786" s="43" t="str">
        <f>IFERROR(VLOOKUP(T786,Calculation!$U$6:$V$11,2,FALSE),"")</f>
        <v/>
      </c>
    </row>
    <row r="787" spans="1:21" ht="14.25" customHeight="1" x14ac:dyDescent="0.3">
      <c r="A787" s="26" t="str">
        <f ca="1">IF(Calculation!T790&lt;=Calculation!$H$4,Calculation!T790,"")</f>
        <v/>
      </c>
      <c r="B787" s="4" t="str">
        <f ca="1">VLOOKUP(A787,Calculation!$E$6:$J$1004,4,FALSE)</f>
        <v/>
      </c>
      <c r="C787" s="4" t="str">
        <f ca="1">VLOOKUP(A787,Calculation!$E$6:$J$1004,5,FALSE)</f>
        <v/>
      </c>
      <c r="D787" s="4" t="str">
        <f ca="1">VLOOKUP(A787,Calculation!$E$6:$J$1004,6,FALSE)</f>
        <v/>
      </c>
      <c r="E787" s="42" t="str">
        <f t="shared" ca="1" si="6"/>
        <v/>
      </c>
      <c r="G787" s="29" t="str">
        <f ca="1">VLOOKUP(A787,Calculation!$F$6:$J$1004,3,FALSE)</f>
        <v/>
      </c>
      <c r="H787" s="4" t="str">
        <f ca="1">VLOOKUP(A787,Calculation!$F$6:$J$1004,4,FALSE)</f>
        <v/>
      </c>
      <c r="I787" s="4" t="str">
        <f ca="1">VLOOKUP(A787,Calculation!$F$6:$J$1004,5,FALSE)</f>
        <v/>
      </c>
      <c r="J787" s="43" t="str">
        <f t="shared" ca="1" si="7"/>
        <v/>
      </c>
      <c r="L787" s="29" t="str">
        <f ca="1">VLOOKUP(A787,Calculation!$G$6:$S$1004,2,FALSE)</f>
        <v/>
      </c>
      <c r="M787" s="4" t="str">
        <f ca="1">IFERROR(VLOOKUP($L787,Calculation!$H$6:$S$1005,HLOOKUP(M$2,Calculation!$M$4:$S$5,2,FALSE)+5,FALSE),"")</f>
        <v/>
      </c>
      <c r="N787" s="4" t="str">
        <f ca="1">IFERROR(VLOOKUP($L787,Calculation!$H$6:$S$1005,HLOOKUP(N$2,Calculation!$M$4:$S$5,2,FALSE)+5,FALSE),"")</f>
        <v/>
      </c>
      <c r="O787" s="4" t="str">
        <f ca="1">IFERROR(VLOOKUP($L787,Calculation!$H$6:$S$1005,HLOOKUP(O$2,Calculation!$M$4:$S$5,2,FALSE)+5,FALSE),"")</f>
        <v/>
      </c>
      <c r="P787" s="4" t="str">
        <f ca="1">IFERROR(VLOOKUP($L787,Calculation!$H$6:$S$1005,HLOOKUP(P$2,Calculation!$M$4:$S$5,2,FALSE)+5,FALSE),"")</f>
        <v/>
      </c>
      <c r="Q787" s="4" t="str">
        <f ca="1">IFERROR(VLOOKUP($L787,Calculation!$H$6:$S$1005,HLOOKUP(Q$2,Calculation!$M$4:$S$5,2,FALSE)+5,FALSE),"")</f>
        <v/>
      </c>
      <c r="R787" s="27" t="str">
        <f ca="1">IFERROR(VLOOKUP($L787,Calculation!$H$6:$S$1005,HLOOKUP(R$2,Calculation!$M$4:$S$5,2,FALSE)+5,FALSE),"")</f>
        <v/>
      </c>
      <c r="S787" s="4" t="str">
        <f ca="1">IFERROR(VLOOKUP($L787,Calculation!$H$6:$S$1005,HLOOKUP(S$2,Calculation!$M$4:$S$5,2,FALSE)+5,FALSE),"")</f>
        <v/>
      </c>
      <c r="T787" s="29"/>
      <c r="U787" s="43" t="str">
        <f>IFERROR(VLOOKUP(T787,Calculation!$U$6:$V$11,2,FALSE),"")</f>
        <v/>
      </c>
    </row>
    <row r="788" spans="1:21" ht="14.25" customHeight="1" x14ac:dyDescent="0.3">
      <c r="A788" s="26" t="str">
        <f ca="1">IF(Calculation!T791&lt;=Calculation!$H$4,Calculation!T791,"")</f>
        <v/>
      </c>
      <c r="B788" s="4" t="str">
        <f ca="1">VLOOKUP(A788,Calculation!$E$6:$J$1004,4,FALSE)</f>
        <v/>
      </c>
      <c r="C788" s="4" t="str">
        <f ca="1">VLOOKUP(A788,Calculation!$E$6:$J$1004,5,FALSE)</f>
        <v/>
      </c>
      <c r="D788" s="4" t="str">
        <f ca="1">VLOOKUP(A788,Calculation!$E$6:$J$1004,6,FALSE)</f>
        <v/>
      </c>
      <c r="E788" s="42" t="str">
        <f t="shared" ca="1" si="6"/>
        <v/>
      </c>
      <c r="G788" s="29" t="str">
        <f ca="1">VLOOKUP(A788,Calculation!$F$6:$J$1004,3,FALSE)</f>
        <v/>
      </c>
      <c r="H788" s="4" t="str">
        <f ca="1">VLOOKUP(A788,Calculation!$F$6:$J$1004,4,FALSE)</f>
        <v/>
      </c>
      <c r="I788" s="4" t="str">
        <f ca="1">VLOOKUP(A788,Calculation!$F$6:$J$1004,5,FALSE)</f>
        <v/>
      </c>
      <c r="J788" s="43" t="str">
        <f t="shared" ca="1" si="7"/>
        <v/>
      </c>
      <c r="L788" s="29" t="str">
        <f ca="1">VLOOKUP(A788,Calculation!$G$6:$S$1004,2,FALSE)</f>
        <v/>
      </c>
      <c r="M788" s="4" t="str">
        <f ca="1">IFERROR(VLOOKUP($L788,Calculation!$H$6:$S$1005,HLOOKUP(M$2,Calculation!$M$4:$S$5,2,FALSE)+5,FALSE),"")</f>
        <v/>
      </c>
      <c r="N788" s="4" t="str">
        <f ca="1">IFERROR(VLOOKUP($L788,Calculation!$H$6:$S$1005,HLOOKUP(N$2,Calculation!$M$4:$S$5,2,FALSE)+5,FALSE),"")</f>
        <v/>
      </c>
      <c r="O788" s="4" t="str">
        <f ca="1">IFERROR(VLOOKUP($L788,Calculation!$H$6:$S$1005,HLOOKUP(O$2,Calculation!$M$4:$S$5,2,FALSE)+5,FALSE),"")</f>
        <v/>
      </c>
      <c r="P788" s="4" t="str">
        <f ca="1">IFERROR(VLOOKUP($L788,Calculation!$H$6:$S$1005,HLOOKUP(P$2,Calculation!$M$4:$S$5,2,FALSE)+5,FALSE),"")</f>
        <v/>
      </c>
      <c r="Q788" s="4" t="str">
        <f ca="1">IFERROR(VLOOKUP($L788,Calculation!$H$6:$S$1005,HLOOKUP(Q$2,Calculation!$M$4:$S$5,2,FALSE)+5,FALSE),"")</f>
        <v/>
      </c>
      <c r="R788" s="27" t="str">
        <f ca="1">IFERROR(VLOOKUP($L788,Calculation!$H$6:$S$1005,HLOOKUP(R$2,Calculation!$M$4:$S$5,2,FALSE)+5,FALSE),"")</f>
        <v/>
      </c>
      <c r="S788" s="4" t="str">
        <f ca="1">IFERROR(VLOOKUP($L788,Calculation!$H$6:$S$1005,HLOOKUP(S$2,Calculation!$M$4:$S$5,2,FALSE)+5,FALSE),"")</f>
        <v/>
      </c>
      <c r="T788" s="29"/>
      <c r="U788" s="43" t="str">
        <f>IFERROR(VLOOKUP(T788,Calculation!$U$6:$V$11,2,FALSE),"")</f>
        <v/>
      </c>
    </row>
    <row r="789" spans="1:21" ht="14.25" customHeight="1" x14ac:dyDescent="0.3">
      <c r="A789" s="26" t="str">
        <f ca="1">IF(Calculation!T792&lt;=Calculation!$H$4,Calculation!T792,"")</f>
        <v/>
      </c>
      <c r="B789" s="4" t="str">
        <f ca="1">VLOOKUP(A789,Calculation!$E$6:$J$1004,4,FALSE)</f>
        <v/>
      </c>
      <c r="C789" s="4" t="str">
        <f ca="1">VLOOKUP(A789,Calculation!$E$6:$J$1004,5,FALSE)</f>
        <v/>
      </c>
      <c r="D789" s="4" t="str">
        <f ca="1">VLOOKUP(A789,Calculation!$E$6:$J$1004,6,FALSE)</f>
        <v/>
      </c>
      <c r="E789" s="42" t="str">
        <f t="shared" ca="1" si="6"/>
        <v/>
      </c>
      <c r="G789" s="29" t="str">
        <f ca="1">VLOOKUP(A789,Calculation!$F$6:$J$1004,3,FALSE)</f>
        <v/>
      </c>
      <c r="H789" s="4" t="str">
        <f ca="1">VLOOKUP(A789,Calculation!$F$6:$J$1004,4,FALSE)</f>
        <v/>
      </c>
      <c r="I789" s="4" t="str">
        <f ca="1">VLOOKUP(A789,Calculation!$F$6:$J$1004,5,FALSE)</f>
        <v/>
      </c>
      <c r="J789" s="43" t="str">
        <f t="shared" ca="1" si="7"/>
        <v/>
      </c>
      <c r="L789" s="29" t="str">
        <f ca="1">VLOOKUP(A789,Calculation!$G$6:$S$1004,2,FALSE)</f>
        <v/>
      </c>
      <c r="M789" s="4" t="str">
        <f ca="1">IFERROR(VLOOKUP($L789,Calculation!$H$6:$S$1005,HLOOKUP(M$2,Calculation!$M$4:$S$5,2,FALSE)+5,FALSE),"")</f>
        <v/>
      </c>
      <c r="N789" s="4" t="str">
        <f ca="1">IFERROR(VLOOKUP($L789,Calculation!$H$6:$S$1005,HLOOKUP(N$2,Calculation!$M$4:$S$5,2,FALSE)+5,FALSE),"")</f>
        <v/>
      </c>
      <c r="O789" s="4" t="str">
        <f ca="1">IFERROR(VLOOKUP($L789,Calculation!$H$6:$S$1005,HLOOKUP(O$2,Calculation!$M$4:$S$5,2,FALSE)+5,FALSE),"")</f>
        <v/>
      </c>
      <c r="P789" s="4" t="str">
        <f ca="1">IFERROR(VLOOKUP($L789,Calculation!$H$6:$S$1005,HLOOKUP(P$2,Calculation!$M$4:$S$5,2,FALSE)+5,FALSE),"")</f>
        <v/>
      </c>
      <c r="Q789" s="4" t="str">
        <f ca="1">IFERROR(VLOOKUP($L789,Calculation!$H$6:$S$1005,HLOOKUP(Q$2,Calculation!$M$4:$S$5,2,FALSE)+5,FALSE),"")</f>
        <v/>
      </c>
      <c r="R789" s="27" t="str">
        <f ca="1">IFERROR(VLOOKUP($L789,Calculation!$H$6:$S$1005,HLOOKUP(R$2,Calculation!$M$4:$S$5,2,FALSE)+5,FALSE),"")</f>
        <v/>
      </c>
      <c r="S789" s="4" t="str">
        <f ca="1">IFERROR(VLOOKUP($L789,Calculation!$H$6:$S$1005,HLOOKUP(S$2,Calculation!$M$4:$S$5,2,FALSE)+5,FALSE),"")</f>
        <v/>
      </c>
      <c r="T789" s="29"/>
      <c r="U789" s="43" t="str">
        <f>IFERROR(VLOOKUP(T789,Calculation!$U$6:$V$11,2,FALSE),"")</f>
        <v/>
      </c>
    </row>
    <row r="790" spans="1:21" ht="14.25" customHeight="1" x14ac:dyDescent="0.3">
      <c r="A790" s="26" t="str">
        <f ca="1">IF(Calculation!T793&lt;=Calculation!$H$4,Calculation!T793,"")</f>
        <v/>
      </c>
      <c r="B790" s="4" t="str">
        <f ca="1">VLOOKUP(A790,Calculation!$E$6:$J$1004,4,FALSE)</f>
        <v/>
      </c>
      <c r="C790" s="4" t="str">
        <f ca="1">VLOOKUP(A790,Calculation!$E$6:$J$1004,5,FALSE)</f>
        <v/>
      </c>
      <c r="D790" s="4" t="str">
        <f ca="1">VLOOKUP(A790,Calculation!$E$6:$J$1004,6,FALSE)</f>
        <v/>
      </c>
      <c r="E790" s="42" t="str">
        <f t="shared" ca="1" si="6"/>
        <v/>
      </c>
      <c r="G790" s="29" t="str">
        <f ca="1">VLOOKUP(A790,Calculation!$F$6:$J$1004,3,FALSE)</f>
        <v/>
      </c>
      <c r="H790" s="4" t="str">
        <f ca="1">VLOOKUP(A790,Calculation!$F$6:$J$1004,4,FALSE)</f>
        <v/>
      </c>
      <c r="I790" s="4" t="str">
        <f ca="1">VLOOKUP(A790,Calculation!$F$6:$J$1004,5,FALSE)</f>
        <v/>
      </c>
      <c r="J790" s="43" t="str">
        <f t="shared" ca="1" si="7"/>
        <v/>
      </c>
      <c r="L790" s="29" t="str">
        <f ca="1">VLOOKUP(A790,Calculation!$G$6:$S$1004,2,FALSE)</f>
        <v/>
      </c>
      <c r="M790" s="4" t="str">
        <f ca="1">IFERROR(VLOOKUP($L790,Calculation!$H$6:$S$1005,HLOOKUP(M$2,Calculation!$M$4:$S$5,2,FALSE)+5,FALSE),"")</f>
        <v/>
      </c>
      <c r="N790" s="4" t="str">
        <f ca="1">IFERROR(VLOOKUP($L790,Calculation!$H$6:$S$1005,HLOOKUP(N$2,Calculation!$M$4:$S$5,2,FALSE)+5,FALSE),"")</f>
        <v/>
      </c>
      <c r="O790" s="4" t="str">
        <f ca="1">IFERROR(VLOOKUP($L790,Calculation!$H$6:$S$1005,HLOOKUP(O$2,Calculation!$M$4:$S$5,2,FALSE)+5,FALSE),"")</f>
        <v/>
      </c>
      <c r="P790" s="4" t="str">
        <f ca="1">IFERROR(VLOOKUP($L790,Calculation!$H$6:$S$1005,HLOOKUP(P$2,Calculation!$M$4:$S$5,2,FALSE)+5,FALSE),"")</f>
        <v/>
      </c>
      <c r="Q790" s="4" t="str">
        <f ca="1">IFERROR(VLOOKUP($L790,Calculation!$H$6:$S$1005,HLOOKUP(Q$2,Calculation!$M$4:$S$5,2,FALSE)+5,FALSE),"")</f>
        <v/>
      </c>
      <c r="R790" s="27" t="str">
        <f ca="1">IFERROR(VLOOKUP($L790,Calculation!$H$6:$S$1005,HLOOKUP(R$2,Calculation!$M$4:$S$5,2,FALSE)+5,FALSE),"")</f>
        <v/>
      </c>
      <c r="S790" s="4" t="str">
        <f ca="1">IFERROR(VLOOKUP($L790,Calculation!$H$6:$S$1005,HLOOKUP(S$2,Calculation!$M$4:$S$5,2,FALSE)+5,FALSE),"")</f>
        <v/>
      </c>
      <c r="T790" s="29"/>
      <c r="U790" s="43" t="str">
        <f>IFERROR(VLOOKUP(T790,Calculation!$U$6:$V$11,2,FALSE),"")</f>
        <v/>
      </c>
    </row>
    <row r="791" spans="1:21" ht="14.25" customHeight="1" x14ac:dyDescent="0.3">
      <c r="A791" s="26" t="str">
        <f ca="1">IF(Calculation!T794&lt;=Calculation!$H$4,Calculation!T794,"")</f>
        <v/>
      </c>
      <c r="B791" s="4" t="str">
        <f ca="1">VLOOKUP(A791,Calculation!$E$6:$J$1004,4,FALSE)</f>
        <v/>
      </c>
      <c r="C791" s="4" t="str">
        <f ca="1">VLOOKUP(A791,Calculation!$E$6:$J$1004,5,FALSE)</f>
        <v/>
      </c>
      <c r="D791" s="4" t="str">
        <f ca="1">VLOOKUP(A791,Calculation!$E$6:$J$1004,6,FALSE)</f>
        <v/>
      </c>
      <c r="E791" s="42" t="str">
        <f t="shared" ca="1" si="6"/>
        <v/>
      </c>
      <c r="G791" s="29" t="str">
        <f ca="1">VLOOKUP(A791,Calculation!$F$6:$J$1004,3,FALSE)</f>
        <v/>
      </c>
      <c r="H791" s="4" t="str">
        <f ca="1">VLOOKUP(A791,Calculation!$F$6:$J$1004,4,FALSE)</f>
        <v/>
      </c>
      <c r="I791" s="4" t="str">
        <f ca="1">VLOOKUP(A791,Calculation!$F$6:$J$1004,5,FALSE)</f>
        <v/>
      </c>
      <c r="J791" s="43" t="str">
        <f t="shared" ca="1" si="7"/>
        <v/>
      </c>
      <c r="L791" s="29" t="str">
        <f ca="1">VLOOKUP(A791,Calculation!$G$6:$S$1004,2,FALSE)</f>
        <v/>
      </c>
      <c r="M791" s="4" t="str">
        <f ca="1">IFERROR(VLOOKUP($L791,Calculation!$H$6:$S$1005,HLOOKUP(M$2,Calculation!$M$4:$S$5,2,FALSE)+5,FALSE),"")</f>
        <v/>
      </c>
      <c r="N791" s="4" t="str">
        <f ca="1">IFERROR(VLOOKUP($L791,Calculation!$H$6:$S$1005,HLOOKUP(N$2,Calculation!$M$4:$S$5,2,FALSE)+5,FALSE),"")</f>
        <v/>
      </c>
      <c r="O791" s="4" t="str">
        <f ca="1">IFERROR(VLOOKUP($L791,Calculation!$H$6:$S$1005,HLOOKUP(O$2,Calculation!$M$4:$S$5,2,FALSE)+5,FALSE),"")</f>
        <v/>
      </c>
      <c r="P791" s="4" t="str">
        <f ca="1">IFERROR(VLOOKUP($L791,Calculation!$H$6:$S$1005,HLOOKUP(P$2,Calculation!$M$4:$S$5,2,FALSE)+5,FALSE),"")</f>
        <v/>
      </c>
      <c r="Q791" s="4" t="str">
        <f ca="1">IFERROR(VLOOKUP($L791,Calculation!$H$6:$S$1005,HLOOKUP(Q$2,Calculation!$M$4:$S$5,2,FALSE)+5,FALSE),"")</f>
        <v/>
      </c>
      <c r="R791" s="27" t="str">
        <f ca="1">IFERROR(VLOOKUP($L791,Calculation!$H$6:$S$1005,HLOOKUP(R$2,Calculation!$M$4:$S$5,2,FALSE)+5,FALSE),"")</f>
        <v/>
      </c>
      <c r="S791" s="4" t="str">
        <f ca="1">IFERROR(VLOOKUP($L791,Calculation!$H$6:$S$1005,HLOOKUP(S$2,Calculation!$M$4:$S$5,2,FALSE)+5,FALSE),"")</f>
        <v/>
      </c>
      <c r="T791" s="29"/>
      <c r="U791" s="43" t="str">
        <f>IFERROR(VLOOKUP(T791,Calculation!$U$6:$V$11,2,FALSE),"")</f>
        <v/>
      </c>
    </row>
    <row r="792" spans="1:21" ht="14.25" customHeight="1" x14ac:dyDescent="0.3">
      <c r="A792" s="26" t="str">
        <f ca="1">IF(Calculation!T795&lt;=Calculation!$H$4,Calculation!T795,"")</f>
        <v/>
      </c>
      <c r="B792" s="4" t="str">
        <f ca="1">VLOOKUP(A792,Calculation!$E$6:$J$1004,4,FALSE)</f>
        <v/>
      </c>
      <c r="C792" s="4" t="str">
        <f ca="1">VLOOKUP(A792,Calculation!$E$6:$J$1004,5,FALSE)</f>
        <v/>
      </c>
      <c r="D792" s="4" t="str">
        <f ca="1">VLOOKUP(A792,Calculation!$E$6:$J$1004,6,FALSE)</f>
        <v/>
      </c>
      <c r="E792" s="42" t="str">
        <f t="shared" ca="1" si="6"/>
        <v/>
      </c>
      <c r="G792" s="29" t="str">
        <f ca="1">VLOOKUP(A792,Calculation!$F$6:$J$1004,3,FALSE)</f>
        <v/>
      </c>
      <c r="H792" s="4" t="str">
        <f ca="1">VLOOKUP(A792,Calculation!$F$6:$J$1004,4,FALSE)</f>
        <v/>
      </c>
      <c r="I792" s="4" t="str">
        <f ca="1">VLOOKUP(A792,Calculation!$F$6:$J$1004,5,FALSE)</f>
        <v/>
      </c>
      <c r="J792" s="43" t="str">
        <f t="shared" ca="1" si="7"/>
        <v/>
      </c>
      <c r="L792" s="29" t="str">
        <f ca="1">VLOOKUP(A792,Calculation!$G$6:$S$1004,2,FALSE)</f>
        <v/>
      </c>
      <c r="M792" s="4" t="str">
        <f ca="1">IFERROR(VLOOKUP($L792,Calculation!$H$6:$S$1005,HLOOKUP(M$2,Calculation!$M$4:$S$5,2,FALSE)+5,FALSE),"")</f>
        <v/>
      </c>
      <c r="N792" s="4" t="str">
        <f ca="1">IFERROR(VLOOKUP($L792,Calculation!$H$6:$S$1005,HLOOKUP(N$2,Calculation!$M$4:$S$5,2,FALSE)+5,FALSE),"")</f>
        <v/>
      </c>
      <c r="O792" s="4" t="str">
        <f ca="1">IFERROR(VLOOKUP($L792,Calculation!$H$6:$S$1005,HLOOKUP(O$2,Calculation!$M$4:$S$5,2,FALSE)+5,FALSE),"")</f>
        <v/>
      </c>
      <c r="P792" s="4" t="str">
        <f ca="1">IFERROR(VLOOKUP($L792,Calculation!$H$6:$S$1005,HLOOKUP(P$2,Calculation!$M$4:$S$5,2,FALSE)+5,FALSE),"")</f>
        <v/>
      </c>
      <c r="Q792" s="4" t="str">
        <f ca="1">IFERROR(VLOOKUP($L792,Calculation!$H$6:$S$1005,HLOOKUP(Q$2,Calculation!$M$4:$S$5,2,FALSE)+5,FALSE),"")</f>
        <v/>
      </c>
      <c r="R792" s="27" t="str">
        <f ca="1">IFERROR(VLOOKUP($L792,Calculation!$H$6:$S$1005,HLOOKUP(R$2,Calculation!$M$4:$S$5,2,FALSE)+5,FALSE),"")</f>
        <v/>
      </c>
      <c r="S792" s="4" t="str">
        <f ca="1">IFERROR(VLOOKUP($L792,Calculation!$H$6:$S$1005,HLOOKUP(S$2,Calculation!$M$4:$S$5,2,FALSE)+5,FALSE),"")</f>
        <v/>
      </c>
      <c r="T792" s="29"/>
      <c r="U792" s="43" t="str">
        <f>IFERROR(VLOOKUP(T792,Calculation!$U$6:$V$11,2,FALSE),"")</f>
        <v/>
      </c>
    </row>
    <row r="793" spans="1:21" ht="14.25" customHeight="1" x14ac:dyDescent="0.3">
      <c r="A793" s="26" t="str">
        <f ca="1">IF(Calculation!T796&lt;=Calculation!$H$4,Calculation!T796,"")</f>
        <v/>
      </c>
      <c r="B793" s="4" t="str">
        <f ca="1">VLOOKUP(A793,Calculation!$E$6:$J$1004,4,FALSE)</f>
        <v/>
      </c>
      <c r="C793" s="4" t="str">
        <f ca="1">VLOOKUP(A793,Calculation!$E$6:$J$1004,5,FALSE)</f>
        <v/>
      </c>
      <c r="D793" s="4" t="str">
        <f ca="1">VLOOKUP(A793,Calculation!$E$6:$J$1004,6,FALSE)</f>
        <v/>
      </c>
      <c r="E793" s="42" t="str">
        <f t="shared" ca="1" si="6"/>
        <v/>
      </c>
      <c r="G793" s="29" t="str">
        <f ca="1">VLOOKUP(A793,Calculation!$F$6:$J$1004,3,FALSE)</f>
        <v/>
      </c>
      <c r="H793" s="4" t="str">
        <f ca="1">VLOOKUP(A793,Calculation!$F$6:$J$1004,4,FALSE)</f>
        <v/>
      </c>
      <c r="I793" s="4" t="str">
        <f ca="1">VLOOKUP(A793,Calculation!$F$6:$J$1004,5,FALSE)</f>
        <v/>
      </c>
      <c r="J793" s="43" t="str">
        <f t="shared" ca="1" si="7"/>
        <v/>
      </c>
      <c r="L793" s="29" t="str">
        <f ca="1">VLOOKUP(A793,Calculation!$G$6:$S$1004,2,FALSE)</f>
        <v/>
      </c>
      <c r="M793" s="4" t="str">
        <f ca="1">IFERROR(VLOOKUP($L793,Calculation!$H$6:$S$1005,HLOOKUP(M$2,Calculation!$M$4:$S$5,2,FALSE)+5,FALSE),"")</f>
        <v/>
      </c>
      <c r="N793" s="4" t="str">
        <f ca="1">IFERROR(VLOOKUP($L793,Calculation!$H$6:$S$1005,HLOOKUP(N$2,Calculation!$M$4:$S$5,2,FALSE)+5,FALSE),"")</f>
        <v/>
      </c>
      <c r="O793" s="4" t="str">
        <f ca="1">IFERROR(VLOOKUP($L793,Calculation!$H$6:$S$1005,HLOOKUP(O$2,Calculation!$M$4:$S$5,2,FALSE)+5,FALSE),"")</f>
        <v/>
      </c>
      <c r="P793" s="4" t="str">
        <f ca="1">IFERROR(VLOOKUP($L793,Calculation!$H$6:$S$1005,HLOOKUP(P$2,Calculation!$M$4:$S$5,2,FALSE)+5,FALSE),"")</f>
        <v/>
      </c>
      <c r="Q793" s="4" t="str">
        <f ca="1">IFERROR(VLOOKUP($L793,Calculation!$H$6:$S$1005,HLOOKUP(Q$2,Calculation!$M$4:$S$5,2,FALSE)+5,FALSE),"")</f>
        <v/>
      </c>
      <c r="R793" s="27" t="str">
        <f ca="1">IFERROR(VLOOKUP($L793,Calculation!$H$6:$S$1005,HLOOKUP(R$2,Calculation!$M$4:$S$5,2,FALSE)+5,FALSE),"")</f>
        <v/>
      </c>
      <c r="S793" s="4" t="str">
        <f ca="1">IFERROR(VLOOKUP($L793,Calculation!$H$6:$S$1005,HLOOKUP(S$2,Calculation!$M$4:$S$5,2,FALSE)+5,FALSE),"")</f>
        <v/>
      </c>
      <c r="T793" s="29"/>
      <c r="U793" s="43" t="str">
        <f>IFERROR(VLOOKUP(T793,Calculation!$U$6:$V$11,2,FALSE),"")</f>
        <v/>
      </c>
    </row>
    <row r="794" spans="1:21" ht="14.25" customHeight="1" x14ac:dyDescent="0.3">
      <c r="A794" s="26" t="str">
        <f ca="1">IF(Calculation!T797&lt;=Calculation!$H$4,Calculation!T797,"")</f>
        <v/>
      </c>
      <c r="B794" s="4" t="str">
        <f ca="1">VLOOKUP(A794,Calculation!$E$6:$J$1004,4,FALSE)</f>
        <v/>
      </c>
      <c r="C794" s="4" t="str">
        <f ca="1">VLOOKUP(A794,Calculation!$E$6:$J$1004,5,FALSE)</f>
        <v/>
      </c>
      <c r="D794" s="4" t="str">
        <f ca="1">VLOOKUP(A794,Calculation!$E$6:$J$1004,6,FALSE)</f>
        <v/>
      </c>
      <c r="E794" s="42" t="str">
        <f t="shared" ca="1" si="6"/>
        <v/>
      </c>
      <c r="G794" s="29" t="str">
        <f ca="1">VLOOKUP(A794,Calculation!$F$6:$J$1004,3,FALSE)</f>
        <v/>
      </c>
      <c r="H794" s="4" t="str">
        <f ca="1">VLOOKUP(A794,Calculation!$F$6:$J$1004,4,FALSE)</f>
        <v/>
      </c>
      <c r="I794" s="4" t="str">
        <f ca="1">VLOOKUP(A794,Calculation!$F$6:$J$1004,5,FALSE)</f>
        <v/>
      </c>
      <c r="J794" s="43" t="str">
        <f t="shared" ca="1" si="7"/>
        <v/>
      </c>
      <c r="L794" s="29" t="str">
        <f ca="1">VLOOKUP(A794,Calculation!$G$6:$S$1004,2,FALSE)</f>
        <v/>
      </c>
      <c r="M794" s="4" t="str">
        <f ca="1">IFERROR(VLOOKUP($L794,Calculation!$H$6:$S$1005,HLOOKUP(M$2,Calculation!$M$4:$S$5,2,FALSE)+5,FALSE),"")</f>
        <v/>
      </c>
      <c r="N794" s="4" t="str">
        <f ca="1">IFERROR(VLOOKUP($L794,Calculation!$H$6:$S$1005,HLOOKUP(N$2,Calculation!$M$4:$S$5,2,FALSE)+5,FALSE),"")</f>
        <v/>
      </c>
      <c r="O794" s="4" t="str">
        <f ca="1">IFERROR(VLOOKUP($L794,Calculation!$H$6:$S$1005,HLOOKUP(O$2,Calculation!$M$4:$S$5,2,FALSE)+5,FALSE),"")</f>
        <v/>
      </c>
      <c r="P794" s="4" t="str">
        <f ca="1">IFERROR(VLOOKUP($L794,Calculation!$H$6:$S$1005,HLOOKUP(P$2,Calculation!$M$4:$S$5,2,FALSE)+5,FALSE),"")</f>
        <v/>
      </c>
      <c r="Q794" s="4" t="str">
        <f ca="1">IFERROR(VLOOKUP($L794,Calculation!$H$6:$S$1005,HLOOKUP(Q$2,Calculation!$M$4:$S$5,2,FALSE)+5,FALSE),"")</f>
        <v/>
      </c>
      <c r="R794" s="27" t="str">
        <f ca="1">IFERROR(VLOOKUP($L794,Calculation!$H$6:$S$1005,HLOOKUP(R$2,Calculation!$M$4:$S$5,2,FALSE)+5,FALSE),"")</f>
        <v/>
      </c>
      <c r="S794" s="4" t="str">
        <f ca="1">IFERROR(VLOOKUP($L794,Calculation!$H$6:$S$1005,HLOOKUP(S$2,Calculation!$M$4:$S$5,2,FALSE)+5,FALSE),"")</f>
        <v/>
      </c>
      <c r="T794" s="29"/>
      <c r="U794" s="43" t="str">
        <f>IFERROR(VLOOKUP(T794,Calculation!$U$6:$V$11,2,FALSE),"")</f>
        <v/>
      </c>
    </row>
    <row r="795" spans="1:21" ht="14.25" customHeight="1" x14ac:dyDescent="0.3">
      <c r="A795" s="26" t="str">
        <f ca="1">IF(Calculation!T798&lt;=Calculation!$H$4,Calculation!T798,"")</f>
        <v/>
      </c>
      <c r="B795" s="4" t="str">
        <f ca="1">VLOOKUP(A795,Calculation!$E$6:$J$1004,4,FALSE)</f>
        <v/>
      </c>
      <c r="C795" s="4" t="str">
        <f ca="1">VLOOKUP(A795,Calculation!$E$6:$J$1004,5,FALSE)</f>
        <v/>
      </c>
      <c r="D795" s="4" t="str">
        <f ca="1">VLOOKUP(A795,Calculation!$E$6:$J$1004,6,FALSE)</f>
        <v/>
      </c>
      <c r="E795" s="42" t="str">
        <f t="shared" ca="1" si="6"/>
        <v/>
      </c>
      <c r="G795" s="29" t="str">
        <f ca="1">VLOOKUP(A795,Calculation!$F$6:$J$1004,3,FALSE)</f>
        <v/>
      </c>
      <c r="H795" s="4" t="str">
        <f ca="1">VLOOKUP(A795,Calculation!$F$6:$J$1004,4,FALSE)</f>
        <v/>
      </c>
      <c r="I795" s="4" t="str">
        <f ca="1">VLOOKUP(A795,Calculation!$F$6:$J$1004,5,FALSE)</f>
        <v/>
      </c>
      <c r="J795" s="43" t="str">
        <f t="shared" ca="1" si="7"/>
        <v/>
      </c>
      <c r="L795" s="29" t="str">
        <f ca="1">VLOOKUP(A795,Calculation!$G$6:$S$1004,2,FALSE)</f>
        <v/>
      </c>
      <c r="M795" s="4" t="str">
        <f ca="1">IFERROR(VLOOKUP($L795,Calculation!$H$6:$S$1005,HLOOKUP(M$2,Calculation!$M$4:$S$5,2,FALSE)+5,FALSE),"")</f>
        <v/>
      </c>
      <c r="N795" s="4" t="str">
        <f ca="1">IFERROR(VLOOKUP($L795,Calculation!$H$6:$S$1005,HLOOKUP(N$2,Calculation!$M$4:$S$5,2,FALSE)+5,FALSE),"")</f>
        <v/>
      </c>
      <c r="O795" s="4" t="str">
        <f ca="1">IFERROR(VLOOKUP($L795,Calculation!$H$6:$S$1005,HLOOKUP(O$2,Calculation!$M$4:$S$5,2,FALSE)+5,FALSE),"")</f>
        <v/>
      </c>
      <c r="P795" s="4" t="str">
        <f ca="1">IFERROR(VLOOKUP($L795,Calculation!$H$6:$S$1005,HLOOKUP(P$2,Calculation!$M$4:$S$5,2,FALSE)+5,FALSE),"")</f>
        <v/>
      </c>
      <c r="Q795" s="4" t="str">
        <f ca="1">IFERROR(VLOOKUP($L795,Calculation!$H$6:$S$1005,HLOOKUP(Q$2,Calculation!$M$4:$S$5,2,FALSE)+5,FALSE),"")</f>
        <v/>
      </c>
      <c r="R795" s="27" t="str">
        <f ca="1">IFERROR(VLOOKUP($L795,Calculation!$H$6:$S$1005,HLOOKUP(R$2,Calculation!$M$4:$S$5,2,FALSE)+5,FALSE),"")</f>
        <v/>
      </c>
      <c r="S795" s="4" t="str">
        <f ca="1">IFERROR(VLOOKUP($L795,Calculation!$H$6:$S$1005,HLOOKUP(S$2,Calculation!$M$4:$S$5,2,FALSE)+5,FALSE),"")</f>
        <v/>
      </c>
      <c r="T795" s="29"/>
      <c r="U795" s="43" t="str">
        <f>IFERROR(VLOOKUP(T795,Calculation!$U$6:$V$11,2,FALSE),"")</f>
        <v/>
      </c>
    </row>
    <row r="796" spans="1:21" ht="14.25" customHeight="1" x14ac:dyDescent="0.3">
      <c r="A796" s="26" t="str">
        <f ca="1">IF(Calculation!T799&lt;=Calculation!$H$4,Calculation!T799,"")</f>
        <v/>
      </c>
      <c r="B796" s="4" t="str">
        <f ca="1">VLOOKUP(A796,Calculation!$E$6:$J$1004,4,FALSE)</f>
        <v/>
      </c>
      <c r="C796" s="4" t="str">
        <f ca="1">VLOOKUP(A796,Calculation!$E$6:$J$1004,5,FALSE)</f>
        <v/>
      </c>
      <c r="D796" s="4" t="str">
        <f ca="1">VLOOKUP(A796,Calculation!$E$6:$J$1004,6,FALSE)</f>
        <v/>
      </c>
      <c r="E796" s="42" t="str">
        <f t="shared" ca="1" si="6"/>
        <v/>
      </c>
      <c r="G796" s="29" t="str">
        <f ca="1">VLOOKUP(A796,Calculation!$F$6:$J$1004,3,FALSE)</f>
        <v/>
      </c>
      <c r="H796" s="4" t="str">
        <f ca="1">VLOOKUP(A796,Calculation!$F$6:$J$1004,4,FALSE)</f>
        <v/>
      </c>
      <c r="I796" s="4" t="str">
        <f ca="1">VLOOKUP(A796,Calculation!$F$6:$J$1004,5,FALSE)</f>
        <v/>
      </c>
      <c r="J796" s="43" t="str">
        <f t="shared" ca="1" si="7"/>
        <v/>
      </c>
      <c r="L796" s="29" t="str">
        <f ca="1">VLOOKUP(A796,Calculation!$G$6:$S$1004,2,FALSE)</f>
        <v/>
      </c>
      <c r="M796" s="4" t="str">
        <f ca="1">IFERROR(VLOOKUP($L796,Calculation!$H$6:$S$1005,HLOOKUP(M$2,Calculation!$M$4:$S$5,2,FALSE)+5,FALSE),"")</f>
        <v/>
      </c>
      <c r="N796" s="4" t="str">
        <f ca="1">IFERROR(VLOOKUP($L796,Calculation!$H$6:$S$1005,HLOOKUP(N$2,Calculation!$M$4:$S$5,2,FALSE)+5,FALSE),"")</f>
        <v/>
      </c>
      <c r="O796" s="4" t="str">
        <f ca="1">IFERROR(VLOOKUP($L796,Calculation!$H$6:$S$1005,HLOOKUP(O$2,Calculation!$M$4:$S$5,2,FALSE)+5,FALSE),"")</f>
        <v/>
      </c>
      <c r="P796" s="4" t="str">
        <f ca="1">IFERROR(VLOOKUP($L796,Calculation!$H$6:$S$1005,HLOOKUP(P$2,Calculation!$M$4:$S$5,2,FALSE)+5,FALSE),"")</f>
        <v/>
      </c>
      <c r="Q796" s="4" t="str">
        <f ca="1">IFERROR(VLOOKUP($L796,Calculation!$H$6:$S$1005,HLOOKUP(Q$2,Calculation!$M$4:$S$5,2,FALSE)+5,FALSE),"")</f>
        <v/>
      </c>
      <c r="R796" s="27" t="str">
        <f ca="1">IFERROR(VLOOKUP($L796,Calculation!$H$6:$S$1005,HLOOKUP(R$2,Calculation!$M$4:$S$5,2,FALSE)+5,FALSE),"")</f>
        <v/>
      </c>
      <c r="S796" s="4" t="str">
        <f ca="1">IFERROR(VLOOKUP($L796,Calculation!$H$6:$S$1005,HLOOKUP(S$2,Calculation!$M$4:$S$5,2,FALSE)+5,FALSE),"")</f>
        <v/>
      </c>
      <c r="T796" s="29"/>
      <c r="U796" s="43" t="str">
        <f>IFERROR(VLOOKUP(T796,Calculation!$U$6:$V$11,2,FALSE),"")</f>
        <v/>
      </c>
    </row>
    <row r="797" spans="1:21" ht="14.25" customHeight="1" x14ac:dyDescent="0.3">
      <c r="A797" s="26" t="str">
        <f ca="1">IF(Calculation!T800&lt;=Calculation!$H$4,Calculation!T800,"")</f>
        <v/>
      </c>
      <c r="B797" s="4" t="str">
        <f ca="1">VLOOKUP(A797,Calculation!$E$6:$J$1004,4,FALSE)</f>
        <v/>
      </c>
      <c r="C797" s="4" t="str">
        <f ca="1">VLOOKUP(A797,Calculation!$E$6:$J$1004,5,FALSE)</f>
        <v/>
      </c>
      <c r="D797" s="4" t="str">
        <f ca="1">VLOOKUP(A797,Calculation!$E$6:$J$1004,6,FALSE)</f>
        <v/>
      </c>
      <c r="E797" s="42" t="str">
        <f t="shared" ca="1" si="6"/>
        <v/>
      </c>
      <c r="G797" s="29" t="str">
        <f ca="1">VLOOKUP(A797,Calculation!$F$6:$J$1004,3,FALSE)</f>
        <v/>
      </c>
      <c r="H797" s="4" t="str">
        <f ca="1">VLOOKUP(A797,Calculation!$F$6:$J$1004,4,FALSE)</f>
        <v/>
      </c>
      <c r="I797" s="4" t="str">
        <f ca="1">VLOOKUP(A797,Calculation!$F$6:$J$1004,5,FALSE)</f>
        <v/>
      </c>
      <c r="J797" s="43" t="str">
        <f t="shared" ca="1" si="7"/>
        <v/>
      </c>
      <c r="L797" s="29" t="str">
        <f ca="1">VLOOKUP(A797,Calculation!$G$6:$S$1004,2,FALSE)</f>
        <v/>
      </c>
      <c r="M797" s="4" t="str">
        <f ca="1">IFERROR(VLOOKUP($L797,Calculation!$H$6:$S$1005,HLOOKUP(M$2,Calculation!$M$4:$S$5,2,FALSE)+5,FALSE),"")</f>
        <v/>
      </c>
      <c r="N797" s="4" t="str">
        <f ca="1">IFERROR(VLOOKUP($L797,Calculation!$H$6:$S$1005,HLOOKUP(N$2,Calculation!$M$4:$S$5,2,FALSE)+5,FALSE),"")</f>
        <v/>
      </c>
      <c r="O797" s="4" t="str">
        <f ca="1">IFERROR(VLOOKUP($L797,Calculation!$H$6:$S$1005,HLOOKUP(O$2,Calculation!$M$4:$S$5,2,FALSE)+5,FALSE),"")</f>
        <v/>
      </c>
      <c r="P797" s="4" t="str">
        <f ca="1">IFERROR(VLOOKUP($L797,Calculation!$H$6:$S$1005,HLOOKUP(P$2,Calculation!$M$4:$S$5,2,FALSE)+5,FALSE),"")</f>
        <v/>
      </c>
      <c r="Q797" s="4" t="str">
        <f ca="1">IFERROR(VLOOKUP($L797,Calculation!$H$6:$S$1005,HLOOKUP(Q$2,Calculation!$M$4:$S$5,2,FALSE)+5,FALSE),"")</f>
        <v/>
      </c>
      <c r="R797" s="27" t="str">
        <f ca="1">IFERROR(VLOOKUP($L797,Calculation!$H$6:$S$1005,HLOOKUP(R$2,Calculation!$M$4:$S$5,2,FALSE)+5,FALSE),"")</f>
        <v/>
      </c>
      <c r="S797" s="4" t="str">
        <f ca="1">IFERROR(VLOOKUP($L797,Calculation!$H$6:$S$1005,HLOOKUP(S$2,Calculation!$M$4:$S$5,2,FALSE)+5,FALSE),"")</f>
        <v/>
      </c>
      <c r="T797" s="29"/>
      <c r="U797" s="43" t="str">
        <f>IFERROR(VLOOKUP(T797,Calculation!$U$6:$V$11,2,FALSE),"")</f>
        <v/>
      </c>
    </row>
    <row r="798" spans="1:21" ht="14.25" customHeight="1" x14ac:dyDescent="0.3">
      <c r="A798" s="26" t="str">
        <f ca="1">IF(Calculation!T801&lt;=Calculation!$H$4,Calculation!T801,"")</f>
        <v/>
      </c>
      <c r="B798" s="4" t="str">
        <f ca="1">VLOOKUP(A798,Calculation!$E$6:$J$1004,4,FALSE)</f>
        <v/>
      </c>
      <c r="C798" s="4" t="str">
        <f ca="1">VLOOKUP(A798,Calculation!$E$6:$J$1004,5,FALSE)</f>
        <v/>
      </c>
      <c r="D798" s="4" t="str">
        <f ca="1">VLOOKUP(A798,Calculation!$E$6:$J$1004,6,FALSE)</f>
        <v/>
      </c>
      <c r="E798" s="42" t="str">
        <f t="shared" ca="1" si="6"/>
        <v/>
      </c>
      <c r="G798" s="29" t="str">
        <f ca="1">VLOOKUP(A798,Calculation!$F$6:$J$1004,3,FALSE)</f>
        <v/>
      </c>
      <c r="H798" s="4" t="str">
        <f ca="1">VLOOKUP(A798,Calculation!$F$6:$J$1004,4,FALSE)</f>
        <v/>
      </c>
      <c r="I798" s="4" t="str">
        <f ca="1">VLOOKUP(A798,Calculation!$F$6:$J$1004,5,FALSE)</f>
        <v/>
      </c>
      <c r="J798" s="43" t="str">
        <f t="shared" ca="1" si="7"/>
        <v/>
      </c>
      <c r="L798" s="29" t="str">
        <f ca="1">VLOOKUP(A798,Calculation!$G$6:$S$1004,2,FALSE)</f>
        <v/>
      </c>
      <c r="M798" s="4" t="str">
        <f ca="1">IFERROR(VLOOKUP($L798,Calculation!$H$6:$S$1005,HLOOKUP(M$2,Calculation!$M$4:$S$5,2,FALSE)+5,FALSE),"")</f>
        <v/>
      </c>
      <c r="N798" s="4" t="str">
        <f ca="1">IFERROR(VLOOKUP($L798,Calculation!$H$6:$S$1005,HLOOKUP(N$2,Calculation!$M$4:$S$5,2,FALSE)+5,FALSE),"")</f>
        <v/>
      </c>
      <c r="O798" s="4" t="str">
        <f ca="1">IFERROR(VLOOKUP($L798,Calculation!$H$6:$S$1005,HLOOKUP(O$2,Calculation!$M$4:$S$5,2,FALSE)+5,FALSE),"")</f>
        <v/>
      </c>
      <c r="P798" s="4" t="str">
        <f ca="1">IFERROR(VLOOKUP($L798,Calculation!$H$6:$S$1005,HLOOKUP(P$2,Calculation!$M$4:$S$5,2,FALSE)+5,FALSE),"")</f>
        <v/>
      </c>
      <c r="Q798" s="4" t="str">
        <f ca="1">IFERROR(VLOOKUP($L798,Calculation!$H$6:$S$1005,HLOOKUP(Q$2,Calculation!$M$4:$S$5,2,FALSE)+5,FALSE),"")</f>
        <v/>
      </c>
      <c r="R798" s="27" t="str">
        <f ca="1">IFERROR(VLOOKUP($L798,Calculation!$H$6:$S$1005,HLOOKUP(R$2,Calculation!$M$4:$S$5,2,FALSE)+5,FALSE),"")</f>
        <v/>
      </c>
      <c r="S798" s="4" t="str">
        <f ca="1">IFERROR(VLOOKUP($L798,Calculation!$H$6:$S$1005,HLOOKUP(S$2,Calculation!$M$4:$S$5,2,FALSE)+5,FALSE),"")</f>
        <v/>
      </c>
      <c r="T798" s="29"/>
      <c r="U798" s="43" t="str">
        <f>IFERROR(VLOOKUP(T798,Calculation!$U$6:$V$11,2,FALSE),"")</f>
        <v/>
      </c>
    </row>
    <row r="799" spans="1:21" ht="14.25" customHeight="1" x14ac:dyDescent="0.3">
      <c r="A799" s="26" t="str">
        <f ca="1">IF(Calculation!T802&lt;=Calculation!$H$4,Calculation!T802,"")</f>
        <v/>
      </c>
      <c r="B799" s="4" t="str">
        <f ca="1">VLOOKUP(A799,Calculation!$E$6:$J$1004,4,FALSE)</f>
        <v/>
      </c>
      <c r="C799" s="4" t="str">
        <f ca="1">VLOOKUP(A799,Calculation!$E$6:$J$1004,5,FALSE)</f>
        <v/>
      </c>
      <c r="D799" s="4" t="str">
        <f ca="1">VLOOKUP(A799,Calculation!$E$6:$J$1004,6,FALSE)</f>
        <v/>
      </c>
      <c r="E799" s="42" t="str">
        <f t="shared" ca="1" si="6"/>
        <v/>
      </c>
      <c r="G799" s="29" t="str">
        <f ca="1">VLOOKUP(A799,Calculation!$F$6:$J$1004,3,FALSE)</f>
        <v/>
      </c>
      <c r="H799" s="4" t="str">
        <f ca="1">VLOOKUP(A799,Calculation!$F$6:$J$1004,4,FALSE)</f>
        <v/>
      </c>
      <c r="I799" s="4" t="str">
        <f ca="1">VLOOKUP(A799,Calculation!$F$6:$J$1004,5,FALSE)</f>
        <v/>
      </c>
      <c r="J799" s="43" t="str">
        <f t="shared" ca="1" si="7"/>
        <v/>
      </c>
      <c r="L799" s="29" t="str">
        <f ca="1">VLOOKUP(A799,Calculation!$G$6:$S$1004,2,FALSE)</f>
        <v/>
      </c>
      <c r="M799" s="4" t="str">
        <f ca="1">IFERROR(VLOOKUP($L799,Calculation!$H$6:$S$1005,HLOOKUP(M$2,Calculation!$M$4:$S$5,2,FALSE)+5,FALSE),"")</f>
        <v/>
      </c>
      <c r="N799" s="4" t="str">
        <f ca="1">IFERROR(VLOOKUP($L799,Calculation!$H$6:$S$1005,HLOOKUP(N$2,Calculation!$M$4:$S$5,2,FALSE)+5,FALSE),"")</f>
        <v/>
      </c>
      <c r="O799" s="4" t="str">
        <f ca="1">IFERROR(VLOOKUP($L799,Calculation!$H$6:$S$1005,HLOOKUP(O$2,Calculation!$M$4:$S$5,2,FALSE)+5,FALSE),"")</f>
        <v/>
      </c>
      <c r="P799" s="4" t="str">
        <f ca="1">IFERROR(VLOOKUP($L799,Calculation!$H$6:$S$1005,HLOOKUP(P$2,Calculation!$M$4:$S$5,2,FALSE)+5,FALSE),"")</f>
        <v/>
      </c>
      <c r="Q799" s="4" t="str">
        <f ca="1">IFERROR(VLOOKUP($L799,Calculation!$H$6:$S$1005,HLOOKUP(Q$2,Calculation!$M$4:$S$5,2,FALSE)+5,FALSE),"")</f>
        <v/>
      </c>
      <c r="R799" s="27" t="str">
        <f ca="1">IFERROR(VLOOKUP($L799,Calculation!$H$6:$S$1005,HLOOKUP(R$2,Calculation!$M$4:$S$5,2,FALSE)+5,FALSE),"")</f>
        <v/>
      </c>
      <c r="S799" s="4" t="str">
        <f ca="1">IFERROR(VLOOKUP($L799,Calculation!$H$6:$S$1005,HLOOKUP(S$2,Calculation!$M$4:$S$5,2,FALSE)+5,FALSE),"")</f>
        <v/>
      </c>
      <c r="T799" s="29"/>
      <c r="U799" s="43" t="str">
        <f>IFERROR(VLOOKUP(T799,Calculation!$U$6:$V$11,2,FALSE),"")</f>
        <v/>
      </c>
    </row>
    <row r="800" spans="1:21" ht="14.25" customHeight="1" x14ac:dyDescent="0.3">
      <c r="A800" s="26" t="str">
        <f ca="1">IF(Calculation!T803&lt;=Calculation!$H$4,Calculation!T803,"")</f>
        <v/>
      </c>
      <c r="B800" s="4" t="str">
        <f ca="1">VLOOKUP(A800,Calculation!$E$6:$J$1004,4,FALSE)</f>
        <v/>
      </c>
      <c r="C800" s="4" t="str">
        <f ca="1">VLOOKUP(A800,Calculation!$E$6:$J$1004,5,FALSE)</f>
        <v/>
      </c>
      <c r="D800" s="4" t="str">
        <f ca="1">VLOOKUP(A800,Calculation!$E$6:$J$1004,6,FALSE)</f>
        <v/>
      </c>
      <c r="E800" s="42" t="str">
        <f t="shared" ca="1" si="6"/>
        <v/>
      </c>
      <c r="G800" s="29" t="str">
        <f ca="1">VLOOKUP(A800,Calculation!$F$6:$J$1004,3,FALSE)</f>
        <v/>
      </c>
      <c r="H800" s="4" t="str">
        <f ca="1">VLOOKUP(A800,Calculation!$F$6:$J$1004,4,FALSE)</f>
        <v/>
      </c>
      <c r="I800" s="4" t="str">
        <f ca="1">VLOOKUP(A800,Calculation!$F$6:$J$1004,5,FALSE)</f>
        <v/>
      </c>
      <c r="J800" s="43" t="str">
        <f t="shared" ca="1" si="7"/>
        <v/>
      </c>
      <c r="L800" s="29" t="str">
        <f ca="1">VLOOKUP(A800,Calculation!$G$6:$S$1004,2,FALSE)</f>
        <v/>
      </c>
      <c r="M800" s="4" t="str">
        <f ca="1">IFERROR(VLOOKUP($L800,Calculation!$H$6:$S$1005,HLOOKUP(M$2,Calculation!$M$4:$S$5,2,FALSE)+5,FALSE),"")</f>
        <v/>
      </c>
      <c r="N800" s="4" t="str">
        <f ca="1">IFERROR(VLOOKUP($L800,Calculation!$H$6:$S$1005,HLOOKUP(N$2,Calculation!$M$4:$S$5,2,FALSE)+5,FALSE),"")</f>
        <v/>
      </c>
      <c r="O800" s="4" t="str">
        <f ca="1">IFERROR(VLOOKUP($L800,Calculation!$H$6:$S$1005,HLOOKUP(O$2,Calculation!$M$4:$S$5,2,FALSE)+5,FALSE),"")</f>
        <v/>
      </c>
      <c r="P800" s="4" t="str">
        <f ca="1">IFERROR(VLOOKUP($L800,Calculation!$H$6:$S$1005,HLOOKUP(P$2,Calculation!$M$4:$S$5,2,FALSE)+5,FALSE),"")</f>
        <v/>
      </c>
      <c r="Q800" s="4" t="str">
        <f ca="1">IFERROR(VLOOKUP($L800,Calculation!$H$6:$S$1005,HLOOKUP(Q$2,Calculation!$M$4:$S$5,2,FALSE)+5,FALSE),"")</f>
        <v/>
      </c>
      <c r="R800" s="27" t="str">
        <f ca="1">IFERROR(VLOOKUP($L800,Calculation!$H$6:$S$1005,HLOOKUP(R$2,Calculation!$M$4:$S$5,2,FALSE)+5,FALSE),"")</f>
        <v/>
      </c>
      <c r="S800" s="4" t="str">
        <f ca="1">IFERROR(VLOOKUP($L800,Calculation!$H$6:$S$1005,HLOOKUP(S$2,Calculation!$M$4:$S$5,2,FALSE)+5,FALSE),"")</f>
        <v/>
      </c>
      <c r="T800" s="29"/>
      <c r="U800" s="43" t="str">
        <f>IFERROR(VLOOKUP(T800,Calculation!$U$6:$V$11,2,FALSE),"")</f>
        <v/>
      </c>
    </row>
    <row r="801" spans="1:21" ht="14.25" customHeight="1" x14ac:dyDescent="0.3">
      <c r="A801" s="26" t="str">
        <f ca="1">IF(Calculation!T804&lt;=Calculation!$H$4,Calculation!T804,"")</f>
        <v/>
      </c>
      <c r="B801" s="4" t="str">
        <f ca="1">VLOOKUP(A801,Calculation!$E$6:$J$1004,4,FALSE)</f>
        <v/>
      </c>
      <c r="C801" s="4" t="str">
        <f ca="1">VLOOKUP(A801,Calculation!$E$6:$J$1004,5,FALSE)</f>
        <v/>
      </c>
      <c r="D801" s="4" t="str">
        <f ca="1">VLOOKUP(A801,Calculation!$E$6:$J$1004,6,FALSE)</f>
        <v/>
      </c>
      <c r="E801" s="42" t="str">
        <f t="shared" ca="1" si="6"/>
        <v/>
      </c>
      <c r="G801" s="29" t="str">
        <f ca="1">VLOOKUP(A801,Calculation!$F$6:$J$1004,3,FALSE)</f>
        <v/>
      </c>
      <c r="H801" s="4" t="str">
        <f ca="1">VLOOKUP(A801,Calculation!$F$6:$J$1004,4,FALSE)</f>
        <v/>
      </c>
      <c r="I801" s="4" t="str">
        <f ca="1">VLOOKUP(A801,Calculation!$F$6:$J$1004,5,FALSE)</f>
        <v/>
      </c>
      <c r="J801" s="43" t="str">
        <f t="shared" ca="1" si="7"/>
        <v/>
      </c>
      <c r="L801" s="29" t="str">
        <f ca="1">VLOOKUP(A801,Calculation!$G$6:$S$1004,2,FALSE)</f>
        <v/>
      </c>
      <c r="M801" s="4" t="str">
        <f ca="1">IFERROR(VLOOKUP($L801,Calculation!$H$6:$S$1005,HLOOKUP(M$2,Calculation!$M$4:$S$5,2,FALSE)+5,FALSE),"")</f>
        <v/>
      </c>
      <c r="N801" s="4" t="str">
        <f ca="1">IFERROR(VLOOKUP($L801,Calculation!$H$6:$S$1005,HLOOKUP(N$2,Calculation!$M$4:$S$5,2,FALSE)+5,FALSE),"")</f>
        <v/>
      </c>
      <c r="O801" s="4" t="str">
        <f ca="1">IFERROR(VLOOKUP($L801,Calculation!$H$6:$S$1005,HLOOKUP(O$2,Calculation!$M$4:$S$5,2,FALSE)+5,FALSE),"")</f>
        <v/>
      </c>
      <c r="P801" s="4" t="str">
        <f ca="1">IFERROR(VLOOKUP($L801,Calculation!$H$6:$S$1005,HLOOKUP(P$2,Calculation!$M$4:$S$5,2,FALSE)+5,FALSE),"")</f>
        <v/>
      </c>
      <c r="Q801" s="4" t="str">
        <f ca="1">IFERROR(VLOOKUP($L801,Calculation!$H$6:$S$1005,HLOOKUP(Q$2,Calculation!$M$4:$S$5,2,FALSE)+5,FALSE),"")</f>
        <v/>
      </c>
      <c r="R801" s="27" t="str">
        <f ca="1">IFERROR(VLOOKUP($L801,Calculation!$H$6:$S$1005,HLOOKUP(R$2,Calculation!$M$4:$S$5,2,FALSE)+5,FALSE),"")</f>
        <v/>
      </c>
      <c r="S801" s="4" t="str">
        <f ca="1">IFERROR(VLOOKUP($L801,Calculation!$H$6:$S$1005,HLOOKUP(S$2,Calculation!$M$4:$S$5,2,FALSE)+5,FALSE),"")</f>
        <v/>
      </c>
      <c r="T801" s="29"/>
      <c r="U801" s="43" t="str">
        <f>IFERROR(VLOOKUP(T801,Calculation!$U$6:$V$11,2,FALSE),"")</f>
        <v/>
      </c>
    </row>
    <row r="802" spans="1:21" ht="14.25" customHeight="1" x14ac:dyDescent="0.3">
      <c r="A802" s="26" t="str">
        <f ca="1">IF(Calculation!T805&lt;=Calculation!$H$4,Calculation!T805,"")</f>
        <v/>
      </c>
      <c r="B802" s="4" t="str">
        <f ca="1">VLOOKUP(A802,Calculation!$E$6:$J$1004,4,FALSE)</f>
        <v/>
      </c>
      <c r="C802" s="4" t="str">
        <f ca="1">VLOOKUP(A802,Calculation!$E$6:$J$1004,5,FALSE)</f>
        <v/>
      </c>
      <c r="D802" s="4" t="str">
        <f ca="1">VLOOKUP(A802,Calculation!$E$6:$J$1004,6,FALSE)</f>
        <v/>
      </c>
      <c r="E802" s="42" t="str">
        <f t="shared" ca="1" si="6"/>
        <v/>
      </c>
      <c r="G802" s="29" t="str">
        <f ca="1">VLOOKUP(A802,Calculation!$F$6:$J$1004,3,FALSE)</f>
        <v/>
      </c>
      <c r="H802" s="4" t="str">
        <f ca="1">VLOOKUP(A802,Calculation!$F$6:$J$1004,4,FALSE)</f>
        <v/>
      </c>
      <c r="I802" s="4" t="str">
        <f ca="1">VLOOKUP(A802,Calculation!$F$6:$J$1004,5,FALSE)</f>
        <v/>
      </c>
      <c r="J802" s="43" t="str">
        <f t="shared" ca="1" si="7"/>
        <v/>
      </c>
      <c r="L802" s="29" t="str">
        <f ca="1">VLOOKUP(A802,Calculation!$G$6:$S$1004,2,FALSE)</f>
        <v/>
      </c>
      <c r="M802" s="4" t="str">
        <f ca="1">IFERROR(VLOOKUP($L802,Calculation!$H$6:$S$1005,HLOOKUP(M$2,Calculation!$M$4:$S$5,2,FALSE)+5,FALSE),"")</f>
        <v/>
      </c>
      <c r="N802" s="4" t="str">
        <f ca="1">IFERROR(VLOOKUP($L802,Calculation!$H$6:$S$1005,HLOOKUP(N$2,Calculation!$M$4:$S$5,2,FALSE)+5,FALSE),"")</f>
        <v/>
      </c>
      <c r="O802" s="4" t="str">
        <f ca="1">IFERROR(VLOOKUP($L802,Calculation!$H$6:$S$1005,HLOOKUP(O$2,Calculation!$M$4:$S$5,2,FALSE)+5,FALSE),"")</f>
        <v/>
      </c>
      <c r="P802" s="4" t="str">
        <f ca="1">IFERROR(VLOOKUP($L802,Calculation!$H$6:$S$1005,HLOOKUP(P$2,Calculation!$M$4:$S$5,2,FALSE)+5,FALSE),"")</f>
        <v/>
      </c>
      <c r="Q802" s="4" t="str">
        <f ca="1">IFERROR(VLOOKUP($L802,Calculation!$H$6:$S$1005,HLOOKUP(Q$2,Calculation!$M$4:$S$5,2,FALSE)+5,FALSE),"")</f>
        <v/>
      </c>
      <c r="R802" s="27" t="str">
        <f ca="1">IFERROR(VLOOKUP($L802,Calculation!$H$6:$S$1005,HLOOKUP(R$2,Calculation!$M$4:$S$5,2,FALSE)+5,FALSE),"")</f>
        <v/>
      </c>
      <c r="S802" s="4" t="str">
        <f ca="1">IFERROR(VLOOKUP($L802,Calculation!$H$6:$S$1005,HLOOKUP(S$2,Calculation!$M$4:$S$5,2,FALSE)+5,FALSE),"")</f>
        <v/>
      </c>
      <c r="T802" s="29"/>
      <c r="U802" s="43" t="str">
        <f>IFERROR(VLOOKUP(T802,Calculation!$U$6:$V$11,2,FALSE),"")</f>
        <v/>
      </c>
    </row>
    <row r="803" spans="1:21" ht="14.25" customHeight="1" x14ac:dyDescent="0.3">
      <c r="A803" s="26" t="str">
        <f ca="1">IF(Calculation!T806&lt;=Calculation!$H$4,Calculation!T806,"")</f>
        <v/>
      </c>
      <c r="B803" s="4" t="str">
        <f ca="1">VLOOKUP(A803,Calculation!$E$6:$J$1004,4,FALSE)</f>
        <v/>
      </c>
      <c r="C803" s="4" t="str">
        <f ca="1">VLOOKUP(A803,Calculation!$E$6:$J$1004,5,FALSE)</f>
        <v/>
      </c>
      <c r="D803" s="4" t="str">
        <f ca="1">VLOOKUP(A803,Calculation!$E$6:$J$1004,6,FALSE)</f>
        <v/>
      </c>
      <c r="E803" s="42" t="str">
        <f t="shared" ca="1" si="6"/>
        <v/>
      </c>
      <c r="G803" s="29" t="str">
        <f ca="1">VLOOKUP(A803,Calculation!$F$6:$J$1004,3,FALSE)</f>
        <v/>
      </c>
      <c r="H803" s="4" t="str">
        <f ca="1">VLOOKUP(A803,Calculation!$F$6:$J$1004,4,FALSE)</f>
        <v/>
      </c>
      <c r="I803" s="4" t="str">
        <f ca="1">VLOOKUP(A803,Calculation!$F$6:$J$1004,5,FALSE)</f>
        <v/>
      </c>
      <c r="J803" s="43" t="str">
        <f t="shared" ca="1" si="7"/>
        <v/>
      </c>
      <c r="L803" s="29" t="str">
        <f ca="1">VLOOKUP(A803,Calculation!$G$6:$S$1004,2,FALSE)</f>
        <v/>
      </c>
      <c r="M803" s="4" t="str">
        <f ca="1">IFERROR(VLOOKUP($L803,Calculation!$H$6:$S$1005,HLOOKUP(M$2,Calculation!$M$4:$S$5,2,FALSE)+5,FALSE),"")</f>
        <v/>
      </c>
      <c r="N803" s="4" t="str">
        <f ca="1">IFERROR(VLOOKUP($L803,Calculation!$H$6:$S$1005,HLOOKUP(N$2,Calculation!$M$4:$S$5,2,FALSE)+5,FALSE),"")</f>
        <v/>
      </c>
      <c r="O803" s="4" t="str">
        <f ca="1">IFERROR(VLOOKUP($L803,Calculation!$H$6:$S$1005,HLOOKUP(O$2,Calculation!$M$4:$S$5,2,FALSE)+5,FALSE),"")</f>
        <v/>
      </c>
      <c r="P803" s="4" t="str">
        <f ca="1">IFERROR(VLOOKUP($L803,Calculation!$H$6:$S$1005,HLOOKUP(P$2,Calculation!$M$4:$S$5,2,FALSE)+5,FALSE),"")</f>
        <v/>
      </c>
      <c r="Q803" s="4" t="str">
        <f ca="1">IFERROR(VLOOKUP($L803,Calculation!$H$6:$S$1005,HLOOKUP(Q$2,Calculation!$M$4:$S$5,2,FALSE)+5,FALSE),"")</f>
        <v/>
      </c>
      <c r="R803" s="27" t="str">
        <f ca="1">IFERROR(VLOOKUP($L803,Calculation!$H$6:$S$1005,HLOOKUP(R$2,Calculation!$M$4:$S$5,2,FALSE)+5,FALSE),"")</f>
        <v/>
      </c>
      <c r="S803" s="4" t="str">
        <f ca="1">IFERROR(VLOOKUP($L803,Calculation!$H$6:$S$1005,HLOOKUP(S$2,Calculation!$M$4:$S$5,2,FALSE)+5,FALSE),"")</f>
        <v/>
      </c>
      <c r="T803" s="29"/>
      <c r="U803" s="43" t="str">
        <f>IFERROR(VLOOKUP(T803,Calculation!$U$6:$V$11,2,FALSE),"")</f>
        <v/>
      </c>
    </row>
    <row r="804" spans="1:21" ht="14.25" customHeight="1" x14ac:dyDescent="0.3">
      <c r="A804" s="26" t="str">
        <f ca="1">IF(Calculation!T807&lt;=Calculation!$H$4,Calculation!T807,"")</f>
        <v/>
      </c>
      <c r="B804" s="4" t="str">
        <f ca="1">VLOOKUP(A804,Calculation!$E$6:$J$1004,4,FALSE)</f>
        <v/>
      </c>
      <c r="C804" s="4" t="str">
        <f ca="1">VLOOKUP(A804,Calculation!$E$6:$J$1004,5,FALSE)</f>
        <v/>
      </c>
      <c r="D804" s="4" t="str">
        <f ca="1">VLOOKUP(A804,Calculation!$E$6:$J$1004,6,FALSE)</f>
        <v/>
      </c>
      <c r="E804" s="42" t="str">
        <f t="shared" ca="1" si="6"/>
        <v/>
      </c>
      <c r="G804" s="29" t="str">
        <f ca="1">VLOOKUP(A804,Calculation!$F$6:$J$1004,3,FALSE)</f>
        <v/>
      </c>
      <c r="H804" s="4" t="str">
        <f ca="1">VLOOKUP(A804,Calculation!$F$6:$J$1004,4,FALSE)</f>
        <v/>
      </c>
      <c r="I804" s="4" t="str">
        <f ca="1">VLOOKUP(A804,Calculation!$F$6:$J$1004,5,FALSE)</f>
        <v/>
      </c>
      <c r="J804" s="43" t="str">
        <f t="shared" ca="1" si="7"/>
        <v/>
      </c>
      <c r="L804" s="29" t="str">
        <f ca="1">VLOOKUP(A804,Calculation!$G$6:$S$1004,2,FALSE)</f>
        <v/>
      </c>
      <c r="M804" s="4" t="str">
        <f ca="1">IFERROR(VLOOKUP($L804,Calculation!$H$6:$S$1005,HLOOKUP(M$2,Calculation!$M$4:$S$5,2,FALSE)+5,FALSE),"")</f>
        <v/>
      </c>
      <c r="N804" s="4" t="str">
        <f ca="1">IFERROR(VLOOKUP($L804,Calculation!$H$6:$S$1005,HLOOKUP(N$2,Calculation!$M$4:$S$5,2,FALSE)+5,FALSE),"")</f>
        <v/>
      </c>
      <c r="O804" s="4" t="str">
        <f ca="1">IFERROR(VLOOKUP($L804,Calculation!$H$6:$S$1005,HLOOKUP(O$2,Calculation!$M$4:$S$5,2,FALSE)+5,FALSE),"")</f>
        <v/>
      </c>
      <c r="P804" s="4" t="str">
        <f ca="1">IFERROR(VLOOKUP($L804,Calculation!$H$6:$S$1005,HLOOKUP(P$2,Calculation!$M$4:$S$5,2,FALSE)+5,FALSE),"")</f>
        <v/>
      </c>
      <c r="Q804" s="4" t="str">
        <f ca="1">IFERROR(VLOOKUP($L804,Calculation!$H$6:$S$1005,HLOOKUP(Q$2,Calculation!$M$4:$S$5,2,FALSE)+5,FALSE),"")</f>
        <v/>
      </c>
      <c r="R804" s="27" t="str">
        <f ca="1">IFERROR(VLOOKUP($L804,Calculation!$H$6:$S$1005,HLOOKUP(R$2,Calculation!$M$4:$S$5,2,FALSE)+5,FALSE),"")</f>
        <v/>
      </c>
      <c r="S804" s="4" t="str">
        <f ca="1">IFERROR(VLOOKUP($L804,Calculation!$H$6:$S$1005,HLOOKUP(S$2,Calculation!$M$4:$S$5,2,FALSE)+5,FALSE),"")</f>
        <v/>
      </c>
      <c r="T804" s="29"/>
      <c r="U804" s="43" t="str">
        <f>IFERROR(VLOOKUP(T804,Calculation!$U$6:$V$11,2,FALSE),"")</f>
        <v/>
      </c>
    </row>
    <row r="805" spans="1:21" ht="14.25" customHeight="1" x14ac:dyDescent="0.3">
      <c r="A805" s="26" t="str">
        <f ca="1">IF(Calculation!T808&lt;=Calculation!$H$4,Calculation!T808,"")</f>
        <v/>
      </c>
      <c r="B805" s="4" t="str">
        <f ca="1">VLOOKUP(A805,Calculation!$E$6:$J$1004,4,FALSE)</f>
        <v/>
      </c>
      <c r="C805" s="4" t="str">
        <f ca="1">VLOOKUP(A805,Calculation!$E$6:$J$1004,5,FALSE)</f>
        <v/>
      </c>
      <c r="D805" s="4" t="str">
        <f ca="1">VLOOKUP(A805,Calculation!$E$6:$J$1004,6,FALSE)</f>
        <v/>
      </c>
      <c r="E805" s="42" t="str">
        <f t="shared" ca="1" si="6"/>
        <v/>
      </c>
      <c r="G805" s="29" t="str">
        <f ca="1">VLOOKUP(A805,Calculation!$F$6:$J$1004,3,FALSE)</f>
        <v/>
      </c>
      <c r="H805" s="4" t="str">
        <f ca="1">VLOOKUP(A805,Calculation!$F$6:$J$1004,4,FALSE)</f>
        <v/>
      </c>
      <c r="I805" s="4" t="str">
        <f ca="1">VLOOKUP(A805,Calculation!$F$6:$J$1004,5,FALSE)</f>
        <v/>
      </c>
      <c r="J805" s="43" t="str">
        <f t="shared" ca="1" si="7"/>
        <v/>
      </c>
      <c r="L805" s="29" t="str">
        <f ca="1">VLOOKUP(A805,Calculation!$G$6:$S$1004,2,FALSE)</f>
        <v/>
      </c>
      <c r="M805" s="4" t="str">
        <f ca="1">IFERROR(VLOOKUP($L805,Calculation!$H$6:$S$1005,HLOOKUP(M$2,Calculation!$M$4:$S$5,2,FALSE)+5,FALSE),"")</f>
        <v/>
      </c>
      <c r="N805" s="4" t="str">
        <f ca="1">IFERROR(VLOOKUP($L805,Calculation!$H$6:$S$1005,HLOOKUP(N$2,Calculation!$M$4:$S$5,2,FALSE)+5,FALSE),"")</f>
        <v/>
      </c>
      <c r="O805" s="4" t="str">
        <f ca="1">IFERROR(VLOOKUP($L805,Calculation!$H$6:$S$1005,HLOOKUP(O$2,Calculation!$M$4:$S$5,2,FALSE)+5,FALSE),"")</f>
        <v/>
      </c>
      <c r="P805" s="4" t="str">
        <f ca="1">IFERROR(VLOOKUP($L805,Calculation!$H$6:$S$1005,HLOOKUP(P$2,Calculation!$M$4:$S$5,2,FALSE)+5,FALSE),"")</f>
        <v/>
      </c>
      <c r="Q805" s="4" t="str">
        <f ca="1">IFERROR(VLOOKUP($L805,Calculation!$H$6:$S$1005,HLOOKUP(Q$2,Calculation!$M$4:$S$5,2,FALSE)+5,FALSE),"")</f>
        <v/>
      </c>
      <c r="R805" s="27" t="str">
        <f ca="1">IFERROR(VLOOKUP($L805,Calculation!$H$6:$S$1005,HLOOKUP(R$2,Calculation!$M$4:$S$5,2,FALSE)+5,FALSE),"")</f>
        <v/>
      </c>
      <c r="S805" s="4" t="str">
        <f ca="1">IFERROR(VLOOKUP($L805,Calculation!$H$6:$S$1005,HLOOKUP(S$2,Calculation!$M$4:$S$5,2,FALSE)+5,FALSE),"")</f>
        <v/>
      </c>
      <c r="T805" s="29"/>
      <c r="U805" s="43" t="str">
        <f>IFERROR(VLOOKUP(T805,Calculation!$U$6:$V$11,2,FALSE),"")</f>
        <v/>
      </c>
    </row>
    <row r="806" spans="1:21" ht="14.25" customHeight="1" x14ac:dyDescent="0.3">
      <c r="A806" s="26" t="str">
        <f ca="1">IF(Calculation!T809&lt;=Calculation!$H$4,Calculation!T809,"")</f>
        <v/>
      </c>
      <c r="B806" s="4" t="str">
        <f ca="1">VLOOKUP(A806,Calculation!$E$6:$J$1004,4,FALSE)</f>
        <v/>
      </c>
      <c r="C806" s="4" t="str">
        <f ca="1">VLOOKUP(A806,Calculation!$E$6:$J$1004,5,FALSE)</f>
        <v/>
      </c>
      <c r="D806" s="4" t="str">
        <f ca="1">VLOOKUP(A806,Calculation!$E$6:$J$1004,6,FALSE)</f>
        <v/>
      </c>
      <c r="E806" s="42" t="str">
        <f t="shared" ca="1" si="6"/>
        <v/>
      </c>
      <c r="G806" s="29" t="str">
        <f ca="1">VLOOKUP(A806,Calculation!$F$6:$J$1004,3,FALSE)</f>
        <v/>
      </c>
      <c r="H806" s="4" t="str">
        <f ca="1">VLOOKUP(A806,Calculation!$F$6:$J$1004,4,FALSE)</f>
        <v/>
      </c>
      <c r="I806" s="4" t="str">
        <f ca="1">VLOOKUP(A806,Calculation!$F$6:$J$1004,5,FALSE)</f>
        <v/>
      </c>
      <c r="J806" s="43" t="str">
        <f t="shared" ca="1" si="7"/>
        <v/>
      </c>
      <c r="L806" s="29" t="str">
        <f ca="1">VLOOKUP(A806,Calculation!$G$6:$S$1004,2,FALSE)</f>
        <v/>
      </c>
      <c r="M806" s="4" t="str">
        <f ca="1">IFERROR(VLOOKUP($L806,Calculation!$H$6:$S$1005,HLOOKUP(M$2,Calculation!$M$4:$S$5,2,FALSE)+5,FALSE),"")</f>
        <v/>
      </c>
      <c r="N806" s="4" t="str">
        <f ca="1">IFERROR(VLOOKUP($L806,Calculation!$H$6:$S$1005,HLOOKUP(N$2,Calculation!$M$4:$S$5,2,FALSE)+5,FALSE),"")</f>
        <v/>
      </c>
      <c r="O806" s="4" t="str">
        <f ca="1">IFERROR(VLOOKUP($L806,Calculation!$H$6:$S$1005,HLOOKUP(O$2,Calculation!$M$4:$S$5,2,FALSE)+5,FALSE),"")</f>
        <v/>
      </c>
      <c r="P806" s="4" t="str">
        <f ca="1">IFERROR(VLOOKUP($L806,Calculation!$H$6:$S$1005,HLOOKUP(P$2,Calculation!$M$4:$S$5,2,FALSE)+5,FALSE),"")</f>
        <v/>
      </c>
      <c r="Q806" s="4" t="str">
        <f ca="1">IFERROR(VLOOKUP($L806,Calculation!$H$6:$S$1005,HLOOKUP(Q$2,Calculation!$M$4:$S$5,2,FALSE)+5,FALSE),"")</f>
        <v/>
      </c>
      <c r="R806" s="27" t="str">
        <f ca="1">IFERROR(VLOOKUP($L806,Calculation!$H$6:$S$1005,HLOOKUP(R$2,Calculation!$M$4:$S$5,2,FALSE)+5,FALSE),"")</f>
        <v/>
      </c>
      <c r="S806" s="4" t="str">
        <f ca="1">IFERROR(VLOOKUP($L806,Calculation!$H$6:$S$1005,HLOOKUP(S$2,Calculation!$M$4:$S$5,2,FALSE)+5,FALSE),"")</f>
        <v/>
      </c>
      <c r="T806" s="29"/>
      <c r="U806" s="43" t="str">
        <f>IFERROR(VLOOKUP(T806,Calculation!$U$6:$V$11,2,FALSE),"")</f>
        <v/>
      </c>
    </row>
    <row r="807" spans="1:21" ht="14.25" customHeight="1" x14ac:dyDescent="0.3">
      <c r="A807" s="26" t="str">
        <f ca="1">IF(Calculation!T810&lt;=Calculation!$H$4,Calculation!T810,"")</f>
        <v/>
      </c>
      <c r="B807" s="4" t="str">
        <f ca="1">VLOOKUP(A807,Calculation!$E$6:$J$1004,4,FALSE)</f>
        <v/>
      </c>
      <c r="C807" s="4" t="str">
        <f ca="1">VLOOKUP(A807,Calculation!$E$6:$J$1004,5,FALSE)</f>
        <v/>
      </c>
      <c r="D807" s="4" t="str">
        <f ca="1">VLOOKUP(A807,Calculation!$E$6:$J$1004,6,FALSE)</f>
        <v/>
      </c>
      <c r="E807" s="42" t="str">
        <f t="shared" ca="1" si="6"/>
        <v/>
      </c>
      <c r="G807" s="29" t="str">
        <f ca="1">VLOOKUP(A807,Calculation!$F$6:$J$1004,3,FALSE)</f>
        <v/>
      </c>
      <c r="H807" s="4" t="str">
        <f ca="1">VLOOKUP(A807,Calculation!$F$6:$J$1004,4,FALSE)</f>
        <v/>
      </c>
      <c r="I807" s="4" t="str">
        <f ca="1">VLOOKUP(A807,Calculation!$F$6:$J$1004,5,FALSE)</f>
        <v/>
      </c>
      <c r="J807" s="43" t="str">
        <f t="shared" ca="1" si="7"/>
        <v/>
      </c>
      <c r="L807" s="29" t="str">
        <f ca="1">VLOOKUP(A807,Calculation!$G$6:$S$1004,2,FALSE)</f>
        <v/>
      </c>
      <c r="M807" s="4" t="str">
        <f ca="1">IFERROR(VLOOKUP($L807,Calculation!$H$6:$S$1005,HLOOKUP(M$2,Calculation!$M$4:$S$5,2,FALSE)+5,FALSE),"")</f>
        <v/>
      </c>
      <c r="N807" s="4" t="str">
        <f ca="1">IFERROR(VLOOKUP($L807,Calculation!$H$6:$S$1005,HLOOKUP(N$2,Calculation!$M$4:$S$5,2,FALSE)+5,FALSE),"")</f>
        <v/>
      </c>
      <c r="O807" s="4" t="str">
        <f ca="1">IFERROR(VLOOKUP($L807,Calculation!$H$6:$S$1005,HLOOKUP(O$2,Calculation!$M$4:$S$5,2,FALSE)+5,FALSE),"")</f>
        <v/>
      </c>
      <c r="P807" s="4" t="str">
        <f ca="1">IFERROR(VLOOKUP($L807,Calculation!$H$6:$S$1005,HLOOKUP(P$2,Calculation!$M$4:$S$5,2,FALSE)+5,FALSE),"")</f>
        <v/>
      </c>
      <c r="Q807" s="4" t="str">
        <f ca="1">IFERROR(VLOOKUP($L807,Calculation!$H$6:$S$1005,HLOOKUP(Q$2,Calculation!$M$4:$S$5,2,FALSE)+5,FALSE),"")</f>
        <v/>
      </c>
      <c r="R807" s="27" t="str">
        <f ca="1">IFERROR(VLOOKUP($L807,Calculation!$H$6:$S$1005,HLOOKUP(R$2,Calculation!$M$4:$S$5,2,FALSE)+5,FALSE),"")</f>
        <v/>
      </c>
      <c r="S807" s="4" t="str">
        <f ca="1">IFERROR(VLOOKUP($L807,Calculation!$H$6:$S$1005,HLOOKUP(S$2,Calculation!$M$4:$S$5,2,FALSE)+5,FALSE),"")</f>
        <v/>
      </c>
      <c r="T807" s="29"/>
      <c r="U807" s="43" t="str">
        <f>IFERROR(VLOOKUP(T807,Calculation!$U$6:$V$11,2,FALSE),"")</f>
        <v/>
      </c>
    </row>
    <row r="808" spans="1:21" ht="14.25" customHeight="1" x14ac:dyDescent="0.3">
      <c r="A808" s="26" t="str">
        <f ca="1">IF(Calculation!T811&lt;=Calculation!$H$4,Calculation!T811,"")</f>
        <v/>
      </c>
      <c r="B808" s="4" t="str">
        <f ca="1">VLOOKUP(A808,Calculation!$E$6:$J$1004,4,FALSE)</f>
        <v/>
      </c>
      <c r="C808" s="4" t="str">
        <f ca="1">VLOOKUP(A808,Calculation!$E$6:$J$1004,5,FALSE)</f>
        <v/>
      </c>
      <c r="D808" s="4" t="str">
        <f ca="1">VLOOKUP(A808,Calculation!$E$6:$J$1004,6,FALSE)</f>
        <v/>
      </c>
      <c r="E808" s="42" t="str">
        <f t="shared" ca="1" si="6"/>
        <v/>
      </c>
      <c r="G808" s="29" t="str">
        <f ca="1">VLOOKUP(A808,Calculation!$F$6:$J$1004,3,FALSE)</f>
        <v/>
      </c>
      <c r="H808" s="4" t="str">
        <f ca="1">VLOOKUP(A808,Calculation!$F$6:$J$1004,4,FALSE)</f>
        <v/>
      </c>
      <c r="I808" s="4" t="str">
        <f ca="1">VLOOKUP(A808,Calculation!$F$6:$J$1004,5,FALSE)</f>
        <v/>
      </c>
      <c r="J808" s="43" t="str">
        <f t="shared" ca="1" si="7"/>
        <v/>
      </c>
      <c r="L808" s="29" t="str">
        <f ca="1">VLOOKUP(A808,Calculation!$G$6:$S$1004,2,FALSE)</f>
        <v/>
      </c>
      <c r="M808" s="4" t="str">
        <f ca="1">IFERROR(VLOOKUP($L808,Calculation!$H$6:$S$1005,HLOOKUP(M$2,Calculation!$M$4:$S$5,2,FALSE)+5,FALSE),"")</f>
        <v/>
      </c>
      <c r="N808" s="4" t="str">
        <f ca="1">IFERROR(VLOOKUP($L808,Calculation!$H$6:$S$1005,HLOOKUP(N$2,Calculation!$M$4:$S$5,2,FALSE)+5,FALSE),"")</f>
        <v/>
      </c>
      <c r="O808" s="4" t="str">
        <f ca="1">IFERROR(VLOOKUP($L808,Calculation!$H$6:$S$1005,HLOOKUP(O$2,Calculation!$M$4:$S$5,2,FALSE)+5,FALSE),"")</f>
        <v/>
      </c>
      <c r="P808" s="4" t="str">
        <f ca="1">IFERROR(VLOOKUP($L808,Calculation!$H$6:$S$1005,HLOOKUP(P$2,Calculation!$M$4:$S$5,2,FALSE)+5,FALSE),"")</f>
        <v/>
      </c>
      <c r="Q808" s="4" t="str">
        <f ca="1">IFERROR(VLOOKUP($L808,Calculation!$H$6:$S$1005,HLOOKUP(Q$2,Calculation!$M$4:$S$5,2,FALSE)+5,FALSE),"")</f>
        <v/>
      </c>
      <c r="R808" s="27" t="str">
        <f ca="1">IFERROR(VLOOKUP($L808,Calculation!$H$6:$S$1005,HLOOKUP(R$2,Calculation!$M$4:$S$5,2,FALSE)+5,FALSE),"")</f>
        <v/>
      </c>
      <c r="S808" s="4" t="str">
        <f ca="1">IFERROR(VLOOKUP($L808,Calculation!$H$6:$S$1005,HLOOKUP(S$2,Calculation!$M$4:$S$5,2,FALSE)+5,FALSE),"")</f>
        <v/>
      </c>
      <c r="T808" s="29"/>
      <c r="U808" s="43" t="str">
        <f>IFERROR(VLOOKUP(T808,Calculation!$U$6:$V$11,2,FALSE),"")</f>
        <v/>
      </c>
    </row>
    <row r="809" spans="1:21" ht="14.25" customHeight="1" x14ac:dyDescent="0.3">
      <c r="A809" s="26" t="str">
        <f ca="1">IF(Calculation!T812&lt;=Calculation!$H$4,Calculation!T812,"")</f>
        <v/>
      </c>
      <c r="B809" s="4" t="str">
        <f ca="1">VLOOKUP(A809,Calculation!$E$6:$J$1004,4,FALSE)</f>
        <v/>
      </c>
      <c r="C809" s="4" t="str">
        <f ca="1">VLOOKUP(A809,Calculation!$E$6:$J$1004,5,FALSE)</f>
        <v/>
      </c>
      <c r="D809" s="4" t="str">
        <f ca="1">VLOOKUP(A809,Calculation!$E$6:$J$1004,6,FALSE)</f>
        <v/>
      </c>
      <c r="E809" s="42" t="str">
        <f t="shared" ca="1" si="6"/>
        <v/>
      </c>
      <c r="G809" s="29" t="str">
        <f ca="1">VLOOKUP(A809,Calculation!$F$6:$J$1004,3,FALSE)</f>
        <v/>
      </c>
      <c r="H809" s="4" t="str">
        <f ca="1">VLOOKUP(A809,Calculation!$F$6:$J$1004,4,FALSE)</f>
        <v/>
      </c>
      <c r="I809" s="4" t="str">
        <f ca="1">VLOOKUP(A809,Calculation!$F$6:$J$1004,5,FALSE)</f>
        <v/>
      </c>
      <c r="J809" s="43" t="str">
        <f t="shared" ca="1" si="7"/>
        <v/>
      </c>
      <c r="L809" s="29" t="str">
        <f ca="1">VLOOKUP(A809,Calculation!$G$6:$S$1004,2,FALSE)</f>
        <v/>
      </c>
      <c r="M809" s="4" t="str">
        <f ca="1">IFERROR(VLOOKUP($L809,Calculation!$H$6:$S$1005,HLOOKUP(M$2,Calculation!$M$4:$S$5,2,FALSE)+5,FALSE),"")</f>
        <v/>
      </c>
      <c r="N809" s="4" t="str">
        <f ca="1">IFERROR(VLOOKUP($L809,Calculation!$H$6:$S$1005,HLOOKUP(N$2,Calculation!$M$4:$S$5,2,FALSE)+5,FALSE),"")</f>
        <v/>
      </c>
      <c r="O809" s="4" t="str">
        <f ca="1">IFERROR(VLOOKUP($L809,Calculation!$H$6:$S$1005,HLOOKUP(O$2,Calculation!$M$4:$S$5,2,FALSE)+5,FALSE),"")</f>
        <v/>
      </c>
      <c r="P809" s="4" t="str">
        <f ca="1">IFERROR(VLOOKUP($L809,Calculation!$H$6:$S$1005,HLOOKUP(P$2,Calculation!$M$4:$S$5,2,FALSE)+5,FALSE),"")</f>
        <v/>
      </c>
      <c r="Q809" s="4" t="str">
        <f ca="1">IFERROR(VLOOKUP($L809,Calculation!$H$6:$S$1005,HLOOKUP(Q$2,Calculation!$M$4:$S$5,2,FALSE)+5,FALSE),"")</f>
        <v/>
      </c>
      <c r="R809" s="27" t="str">
        <f ca="1">IFERROR(VLOOKUP($L809,Calculation!$H$6:$S$1005,HLOOKUP(R$2,Calculation!$M$4:$S$5,2,FALSE)+5,FALSE),"")</f>
        <v/>
      </c>
      <c r="S809" s="4" t="str">
        <f ca="1">IFERROR(VLOOKUP($L809,Calculation!$H$6:$S$1005,HLOOKUP(S$2,Calculation!$M$4:$S$5,2,FALSE)+5,FALSE),"")</f>
        <v/>
      </c>
      <c r="T809" s="29"/>
      <c r="U809" s="43" t="str">
        <f>IFERROR(VLOOKUP(T809,Calculation!$U$6:$V$11,2,FALSE),"")</f>
        <v/>
      </c>
    </row>
    <row r="810" spans="1:21" ht="14.25" customHeight="1" x14ac:dyDescent="0.3">
      <c r="A810" s="26" t="str">
        <f ca="1">IF(Calculation!T813&lt;=Calculation!$H$4,Calculation!T813,"")</f>
        <v/>
      </c>
      <c r="B810" s="4" t="str">
        <f ca="1">VLOOKUP(A810,Calculation!$E$6:$J$1004,4,FALSE)</f>
        <v/>
      </c>
      <c r="C810" s="4" t="str">
        <f ca="1">VLOOKUP(A810,Calculation!$E$6:$J$1004,5,FALSE)</f>
        <v/>
      </c>
      <c r="D810" s="4" t="str">
        <f ca="1">VLOOKUP(A810,Calculation!$E$6:$J$1004,6,FALSE)</f>
        <v/>
      </c>
      <c r="E810" s="42" t="str">
        <f t="shared" ca="1" si="6"/>
        <v/>
      </c>
      <c r="G810" s="29" t="str">
        <f ca="1">VLOOKUP(A810,Calculation!$F$6:$J$1004,3,FALSE)</f>
        <v/>
      </c>
      <c r="H810" s="4" t="str">
        <f ca="1">VLOOKUP(A810,Calculation!$F$6:$J$1004,4,FALSE)</f>
        <v/>
      </c>
      <c r="I810" s="4" t="str">
        <f ca="1">VLOOKUP(A810,Calculation!$F$6:$J$1004,5,FALSE)</f>
        <v/>
      </c>
      <c r="J810" s="43" t="str">
        <f t="shared" ca="1" si="7"/>
        <v/>
      </c>
      <c r="L810" s="29" t="str">
        <f ca="1">VLOOKUP(A810,Calculation!$G$6:$S$1004,2,FALSE)</f>
        <v/>
      </c>
      <c r="M810" s="4" t="str">
        <f ca="1">IFERROR(VLOOKUP($L810,Calculation!$H$6:$S$1005,HLOOKUP(M$2,Calculation!$M$4:$S$5,2,FALSE)+5,FALSE),"")</f>
        <v/>
      </c>
      <c r="N810" s="4" t="str">
        <f ca="1">IFERROR(VLOOKUP($L810,Calculation!$H$6:$S$1005,HLOOKUP(N$2,Calculation!$M$4:$S$5,2,FALSE)+5,FALSE),"")</f>
        <v/>
      </c>
      <c r="O810" s="4" t="str">
        <f ca="1">IFERROR(VLOOKUP($L810,Calculation!$H$6:$S$1005,HLOOKUP(O$2,Calculation!$M$4:$S$5,2,FALSE)+5,FALSE),"")</f>
        <v/>
      </c>
      <c r="P810" s="4" t="str">
        <f ca="1">IFERROR(VLOOKUP($L810,Calculation!$H$6:$S$1005,HLOOKUP(P$2,Calculation!$M$4:$S$5,2,FALSE)+5,FALSE),"")</f>
        <v/>
      </c>
      <c r="Q810" s="4" t="str">
        <f ca="1">IFERROR(VLOOKUP($L810,Calculation!$H$6:$S$1005,HLOOKUP(Q$2,Calculation!$M$4:$S$5,2,FALSE)+5,FALSE),"")</f>
        <v/>
      </c>
      <c r="R810" s="27" t="str">
        <f ca="1">IFERROR(VLOOKUP($L810,Calculation!$H$6:$S$1005,HLOOKUP(R$2,Calculation!$M$4:$S$5,2,FALSE)+5,FALSE),"")</f>
        <v/>
      </c>
      <c r="S810" s="4" t="str">
        <f ca="1">IFERROR(VLOOKUP($L810,Calculation!$H$6:$S$1005,HLOOKUP(S$2,Calculation!$M$4:$S$5,2,FALSE)+5,FALSE),"")</f>
        <v/>
      </c>
      <c r="T810" s="29"/>
      <c r="U810" s="43" t="str">
        <f>IFERROR(VLOOKUP(T810,Calculation!$U$6:$V$11,2,FALSE),"")</f>
        <v/>
      </c>
    </row>
    <row r="811" spans="1:21" ht="14.25" customHeight="1" x14ac:dyDescent="0.3">
      <c r="A811" s="26" t="str">
        <f ca="1">IF(Calculation!T814&lt;=Calculation!$H$4,Calculation!T814,"")</f>
        <v/>
      </c>
      <c r="B811" s="4" t="str">
        <f ca="1">VLOOKUP(A811,Calculation!$E$6:$J$1004,4,FALSE)</f>
        <v/>
      </c>
      <c r="C811" s="4" t="str">
        <f ca="1">VLOOKUP(A811,Calculation!$E$6:$J$1004,5,FALSE)</f>
        <v/>
      </c>
      <c r="D811" s="4" t="str">
        <f ca="1">VLOOKUP(A811,Calculation!$E$6:$J$1004,6,FALSE)</f>
        <v/>
      </c>
      <c r="E811" s="42" t="str">
        <f t="shared" ca="1" si="6"/>
        <v/>
      </c>
      <c r="G811" s="29" t="str">
        <f ca="1">VLOOKUP(A811,Calculation!$F$6:$J$1004,3,FALSE)</f>
        <v/>
      </c>
      <c r="H811" s="4" t="str">
        <f ca="1">VLOOKUP(A811,Calculation!$F$6:$J$1004,4,FALSE)</f>
        <v/>
      </c>
      <c r="I811" s="4" t="str">
        <f ca="1">VLOOKUP(A811,Calculation!$F$6:$J$1004,5,FALSE)</f>
        <v/>
      </c>
      <c r="J811" s="43" t="str">
        <f t="shared" ca="1" si="7"/>
        <v/>
      </c>
      <c r="L811" s="29" t="str">
        <f ca="1">VLOOKUP(A811,Calculation!$G$6:$S$1004,2,FALSE)</f>
        <v/>
      </c>
      <c r="M811" s="4" t="str">
        <f ca="1">IFERROR(VLOOKUP($L811,Calculation!$H$6:$S$1005,HLOOKUP(M$2,Calculation!$M$4:$S$5,2,FALSE)+5,FALSE),"")</f>
        <v/>
      </c>
      <c r="N811" s="4" t="str">
        <f ca="1">IFERROR(VLOOKUP($L811,Calculation!$H$6:$S$1005,HLOOKUP(N$2,Calculation!$M$4:$S$5,2,FALSE)+5,FALSE),"")</f>
        <v/>
      </c>
      <c r="O811" s="4" t="str">
        <f ca="1">IFERROR(VLOOKUP($L811,Calculation!$H$6:$S$1005,HLOOKUP(O$2,Calculation!$M$4:$S$5,2,FALSE)+5,FALSE),"")</f>
        <v/>
      </c>
      <c r="P811" s="4" t="str">
        <f ca="1">IFERROR(VLOOKUP($L811,Calculation!$H$6:$S$1005,HLOOKUP(P$2,Calculation!$M$4:$S$5,2,FALSE)+5,FALSE),"")</f>
        <v/>
      </c>
      <c r="Q811" s="4" t="str">
        <f ca="1">IFERROR(VLOOKUP($L811,Calculation!$H$6:$S$1005,HLOOKUP(Q$2,Calculation!$M$4:$S$5,2,FALSE)+5,FALSE),"")</f>
        <v/>
      </c>
      <c r="R811" s="27" t="str">
        <f ca="1">IFERROR(VLOOKUP($L811,Calculation!$H$6:$S$1005,HLOOKUP(R$2,Calculation!$M$4:$S$5,2,FALSE)+5,FALSE),"")</f>
        <v/>
      </c>
      <c r="S811" s="4" t="str">
        <f ca="1">IFERROR(VLOOKUP($L811,Calculation!$H$6:$S$1005,HLOOKUP(S$2,Calculation!$M$4:$S$5,2,FALSE)+5,FALSE),"")</f>
        <v/>
      </c>
      <c r="T811" s="29"/>
      <c r="U811" s="43" t="str">
        <f>IFERROR(VLOOKUP(T811,Calculation!$U$6:$V$11,2,FALSE),"")</f>
        <v/>
      </c>
    </row>
    <row r="812" spans="1:21" ht="14.25" customHeight="1" x14ac:dyDescent="0.3">
      <c r="A812" s="26" t="str">
        <f ca="1">IF(Calculation!T815&lt;=Calculation!$H$4,Calculation!T815,"")</f>
        <v/>
      </c>
      <c r="B812" s="4" t="str">
        <f ca="1">VLOOKUP(A812,Calculation!$E$6:$J$1004,4,FALSE)</f>
        <v/>
      </c>
      <c r="C812" s="4" t="str">
        <f ca="1">VLOOKUP(A812,Calculation!$E$6:$J$1004,5,FALSE)</f>
        <v/>
      </c>
      <c r="D812" s="4" t="str">
        <f ca="1">VLOOKUP(A812,Calculation!$E$6:$J$1004,6,FALSE)</f>
        <v/>
      </c>
      <c r="E812" s="42" t="str">
        <f t="shared" ca="1" si="6"/>
        <v/>
      </c>
      <c r="G812" s="29" t="str">
        <f ca="1">VLOOKUP(A812,Calculation!$F$6:$J$1004,3,FALSE)</f>
        <v/>
      </c>
      <c r="H812" s="4" t="str">
        <f ca="1">VLOOKUP(A812,Calculation!$F$6:$J$1004,4,FALSE)</f>
        <v/>
      </c>
      <c r="I812" s="4" t="str">
        <f ca="1">VLOOKUP(A812,Calculation!$F$6:$J$1004,5,FALSE)</f>
        <v/>
      </c>
      <c r="J812" s="43" t="str">
        <f t="shared" ca="1" si="7"/>
        <v/>
      </c>
      <c r="L812" s="29" t="str">
        <f ca="1">VLOOKUP(A812,Calculation!$G$6:$S$1004,2,FALSE)</f>
        <v/>
      </c>
      <c r="M812" s="4" t="str">
        <f ca="1">IFERROR(VLOOKUP($L812,Calculation!$H$6:$S$1005,HLOOKUP(M$2,Calculation!$M$4:$S$5,2,FALSE)+5,FALSE),"")</f>
        <v/>
      </c>
      <c r="N812" s="4" t="str">
        <f ca="1">IFERROR(VLOOKUP($L812,Calculation!$H$6:$S$1005,HLOOKUP(N$2,Calculation!$M$4:$S$5,2,FALSE)+5,FALSE),"")</f>
        <v/>
      </c>
      <c r="O812" s="4" t="str">
        <f ca="1">IFERROR(VLOOKUP($L812,Calculation!$H$6:$S$1005,HLOOKUP(O$2,Calculation!$M$4:$S$5,2,FALSE)+5,FALSE),"")</f>
        <v/>
      </c>
      <c r="P812" s="4" t="str">
        <f ca="1">IFERROR(VLOOKUP($L812,Calculation!$H$6:$S$1005,HLOOKUP(P$2,Calculation!$M$4:$S$5,2,FALSE)+5,FALSE),"")</f>
        <v/>
      </c>
      <c r="Q812" s="4" t="str">
        <f ca="1">IFERROR(VLOOKUP($L812,Calculation!$H$6:$S$1005,HLOOKUP(Q$2,Calculation!$M$4:$S$5,2,FALSE)+5,FALSE),"")</f>
        <v/>
      </c>
      <c r="R812" s="27" t="str">
        <f ca="1">IFERROR(VLOOKUP($L812,Calculation!$H$6:$S$1005,HLOOKUP(R$2,Calculation!$M$4:$S$5,2,FALSE)+5,FALSE),"")</f>
        <v/>
      </c>
      <c r="S812" s="4" t="str">
        <f ca="1">IFERROR(VLOOKUP($L812,Calculation!$H$6:$S$1005,HLOOKUP(S$2,Calculation!$M$4:$S$5,2,FALSE)+5,FALSE),"")</f>
        <v/>
      </c>
      <c r="T812" s="29"/>
      <c r="U812" s="43" t="str">
        <f>IFERROR(VLOOKUP(T812,Calculation!$U$6:$V$11,2,FALSE),"")</f>
        <v/>
      </c>
    </row>
    <row r="813" spans="1:21" ht="14.25" customHeight="1" x14ac:dyDescent="0.3">
      <c r="A813" s="26" t="str">
        <f ca="1">IF(Calculation!T816&lt;=Calculation!$H$4,Calculation!T816,"")</f>
        <v/>
      </c>
      <c r="B813" s="4" t="str">
        <f ca="1">VLOOKUP(A813,Calculation!$E$6:$J$1004,4,FALSE)</f>
        <v/>
      </c>
      <c r="C813" s="4" t="str">
        <f ca="1">VLOOKUP(A813,Calculation!$E$6:$J$1004,5,FALSE)</f>
        <v/>
      </c>
      <c r="D813" s="4" t="str">
        <f ca="1">VLOOKUP(A813,Calculation!$E$6:$J$1004,6,FALSE)</f>
        <v/>
      </c>
      <c r="E813" s="42" t="str">
        <f t="shared" ca="1" si="6"/>
        <v/>
      </c>
      <c r="G813" s="29" t="str">
        <f ca="1">VLOOKUP(A813,Calculation!$F$6:$J$1004,3,FALSE)</f>
        <v/>
      </c>
      <c r="H813" s="4" t="str">
        <f ca="1">VLOOKUP(A813,Calculation!$F$6:$J$1004,4,FALSE)</f>
        <v/>
      </c>
      <c r="I813" s="4" t="str">
        <f ca="1">VLOOKUP(A813,Calculation!$F$6:$J$1004,5,FALSE)</f>
        <v/>
      </c>
      <c r="J813" s="43" t="str">
        <f t="shared" ca="1" si="7"/>
        <v/>
      </c>
      <c r="L813" s="29" t="str">
        <f ca="1">VLOOKUP(A813,Calculation!$G$6:$S$1004,2,FALSE)</f>
        <v/>
      </c>
      <c r="M813" s="4" t="str">
        <f ca="1">IFERROR(VLOOKUP($L813,Calculation!$H$6:$S$1005,HLOOKUP(M$2,Calculation!$M$4:$S$5,2,FALSE)+5,FALSE),"")</f>
        <v/>
      </c>
      <c r="N813" s="4" t="str">
        <f ca="1">IFERROR(VLOOKUP($L813,Calculation!$H$6:$S$1005,HLOOKUP(N$2,Calculation!$M$4:$S$5,2,FALSE)+5,FALSE),"")</f>
        <v/>
      </c>
      <c r="O813" s="4" t="str">
        <f ca="1">IFERROR(VLOOKUP($L813,Calculation!$H$6:$S$1005,HLOOKUP(O$2,Calculation!$M$4:$S$5,2,FALSE)+5,FALSE),"")</f>
        <v/>
      </c>
      <c r="P813" s="4" t="str">
        <f ca="1">IFERROR(VLOOKUP($L813,Calculation!$H$6:$S$1005,HLOOKUP(P$2,Calculation!$M$4:$S$5,2,FALSE)+5,FALSE),"")</f>
        <v/>
      </c>
      <c r="Q813" s="4" t="str">
        <f ca="1">IFERROR(VLOOKUP($L813,Calculation!$H$6:$S$1005,HLOOKUP(Q$2,Calculation!$M$4:$S$5,2,FALSE)+5,FALSE),"")</f>
        <v/>
      </c>
      <c r="R813" s="27" t="str">
        <f ca="1">IFERROR(VLOOKUP($L813,Calculation!$H$6:$S$1005,HLOOKUP(R$2,Calculation!$M$4:$S$5,2,FALSE)+5,FALSE),"")</f>
        <v/>
      </c>
      <c r="S813" s="4" t="str">
        <f ca="1">IFERROR(VLOOKUP($L813,Calculation!$H$6:$S$1005,HLOOKUP(S$2,Calculation!$M$4:$S$5,2,FALSE)+5,FALSE),"")</f>
        <v/>
      </c>
      <c r="T813" s="29"/>
      <c r="U813" s="43" t="str">
        <f>IFERROR(VLOOKUP(T813,Calculation!$U$6:$V$11,2,FALSE),"")</f>
        <v/>
      </c>
    </row>
    <row r="814" spans="1:21" ht="14.25" customHeight="1" x14ac:dyDescent="0.3">
      <c r="A814" s="26" t="str">
        <f ca="1">IF(Calculation!T817&lt;=Calculation!$H$4,Calculation!T817,"")</f>
        <v/>
      </c>
      <c r="B814" s="4" t="str">
        <f ca="1">VLOOKUP(A814,Calculation!$E$6:$J$1004,4,FALSE)</f>
        <v/>
      </c>
      <c r="C814" s="4" t="str">
        <f ca="1">VLOOKUP(A814,Calculation!$E$6:$J$1004,5,FALSE)</f>
        <v/>
      </c>
      <c r="D814" s="4" t="str">
        <f ca="1">VLOOKUP(A814,Calculation!$E$6:$J$1004,6,FALSE)</f>
        <v/>
      </c>
      <c r="E814" s="42" t="str">
        <f t="shared" ca="1" si="6"/>
        <v/>
      </c>
      <c r="G814" s="29" t="str">
        <f ca="1">VLOOKUP(A814,Calculation!$F$6:$J$1004,3,FALSE)</f>
        <v/>
      </c>
      <c r="H814" s="4" t="str">
        <f ca="1">VLOOKUP(A814,Calculation!$F$6:$J$1004,4,FALSE)</f>
        <v/>
      </c>
      <c r="I814" s="4" t="str">
        <f ca="1">VLOOKUP(A814,Calculation!$F$6:$J$1004,5,FALSE)</f>
        <v/>
      </c>
      <c r="J814" s="43" t="str">
        <f t="shared" ca="1" si="7"/>
        <v/>
      </c>
      <c r="L814" s="29" t="str">
        <f ca="1">VLOOKUP(A814,Calculation!$G$6:$S$1004,2,FALSE)</f>
        <v/>
      </c>
      <c r="M814" s="4" t="str">
        <f ca="1">IFERROR(VLOOKUP($L814,Calculation!$H$6:$S$1005,HLOOKUP(M$2,Calculation!$M$4:$S$5,2,FALSE)+5,FALSE),"")</f>
        <v/>
      </c>
      <c r="N814" s="4" t="str">
        <f ca="1">IFERROR(VLOOKUP($L814,Calculation!$H$6:$S$1005,HLOOKUP(N$2,Calculation!$M$4:$S$5,2,FALSE)+5,FALSE),"")</f>
        <v/>
      </c>
      <c r="O814" s="4" t="str">
        <f ca="1">IFERROR(VLOOKUP($L814,Calculation!$H$6:$S$1005,HLOOKUP(O$2,Calculation!$M$4:$S$5,2,FALSE)+5,FALSE),"")</f>
        <v/>
      </c>
      <c r="P814" s="4" t="str">
        <f ca="1">IFERROR(VLOOKUP($L814,Calculation!$H$6:$S$1005,HLOOKUP(P$2,Calculation!$M$4:$S$5,2,FALSE)+5,FALSE),"")</f>
        <v/>
      </c>
      <c r="Q814" s="4" t="str">
        <f ca="1">IFERROR(VLOOKUP($L814,Calculation!$H$6:$S$1005,HLOOKUP(Q$2,Calculation!$M$4:$S$5,2,FALSE)+5,FALSE),"")</f>
        <v/>
      </c>
      <c r="R814" s="27" t="str">
        <f ca="1">IFERROR(VLOOKUP($L814,Calculation!$H$6:$S$1005,HLOOKUP(R$2,Calculation!$M$4:$S$5,2,FALSE)+5,FALSE),"")</f>
        <v/>
      </c>
      <c r="S814" s="4" t="str">
        <f ca="1">IFERROR(VLOOKUP($L814,Calculation!$H$6:$S$1005,HLOOKUP(S$2,Calculation!$M$4:$S$5,2,FALSE)+5,FALSE),"")</f>
        <v/>
      </c>
      <c r="T814" s="29"/>
      <c r="U814" s="43" t="str">
        <f>IFERROR(VLOOKUP(T814,Calculation!$U$6:$V$11,2,FALSE),"")</f>
        <v/>
      </c>
    </row>
    <row r="815" spans="1:21" ht="14.25" customHeight="1" x14ac:dyDescent="0.3">
      <c r="A815" s="26" t="str">
        <f ca="1">IF(Calculation!T818&lt;=Calculation!$H$4,Calculation!T818,"")</f>
        <v/>
      </c>
      <c r="B815" s="4" t="str">
        <f ca="1">VLOOKUP(A815,Calculation!$E$6:$J$1004,4,FALSE)</f>
        <v/>
      </c>
      <c r="C815" s="4" t="str">
        <f ca="1">VLOOKUP(A815,Calculation!$E$6:$J$1004,5,FALSE)</f>
        <v/>
      </c>
      <c r="D815" s="4" t="str">
        <f ca="1">VLOOKUP(A815,Calculation!$E$6:$J$1004,6,FALSE)</f>
        <v/>
      </c>
      <c r="E815" s="42" t="str">
        <f t="shared" ca="1" si="6"/>
        <v/>
      </c>
      <c r="G815" s="29" t="str">
        <f ca="1">VLOOKUP(A815,Calculation!$F$6:$J$1004,3,FALSE)</f>
        <v/>
      </c>
      <c r="H815" s="4" t="str">
        <f ca="1">VLOOKUP(A815,Calculation!$F$6:$J$1004,4,FALSE)</f>
        <v/>
      </c>
      <c r="I815" s="4" t="str">
        <f ca="1">VLOOKUP(A815,Calculation!$F$6:$J$1004,5,FALSE)</f>
        <v/>
      </c>
      <c r="J815" s="43" t="str">
        <f t="shared" ca="1" si="7"/>
        <v/>
      </c>
      <c r="L815" s="29" t="str">
        <f ca="1">VLOOKUP(A815,Calculation!$G$6:$S$1004,2,FALSE)</f>
        <v/>
      </c>
      <c r="M815" s="4" t="str">
        <f ca="1">IFERROR(VLOOKUP($L815,Calculation!$H$6:$S$1005,HLOOKUP(M$2,Calculation!$M$4:$S$5,2,FALSE)+5,FALSE),"")</f>
        <v/>
      </c>
      <c r="N815" s="4" t="str">
        <f ca="1">IFERROR(VLOOKUP($L815,Calculation!$H$6:$S$1005,HLOOKUP(N$2,Calculation!$M$4:$S$5,2,FALSE)+5,FALSE),"")</f>
        <v/>
      </c>
      <c r="O815" s="4" t="str">
        <f ca="1">IFERROR(VLOOKUP($L815,Calculation!$H$6:$S$1005,HLOOKUP(O$2,Calculation!$M$4:$S$5,2,FALSE)+5,FALSE),"")</f>
        <v/>
      </c>
      <c r="P815" s="4" t="str">
        <f ca="1">IFERROR(VLOOKUP($L815,Calculation!$H$6:$S$1005,HLOOKUP(P$2,Calculation!$M$4:$S$5,2,FALSE)+5,FALSE),"")</f>
        <v/>
      </c>
      <c r="Q815" s="4" t="str">
        <f ca="1">IFERROR(VLOOKUP($L815,Calculation!$H$6:$S$1005,HLOOKUP(Q$2,Calculation!$M$4:$S$5,2,FALSE)+5,FALSE),"")</f>
        <v/>
      </c>
      <c r="R815" s="27" t="str">
        <f ca="1">IFERROR(VLOOKUP($L815,Calculation!$H$6:$S$1005,HLOOKUP(R$2,Calculation!$M$4:$S$5,2,FALSE)+5,FALSE),"")</f>
        <v/>
      </c>
      <c r="S815" s="4" t="str">
        <f ca="1">IFERROR(VLOOKUP($L815,Calculation!$H$6:$S$1005,HLOOKUP(S$2,Calculation!$M$4:$S$5,2,FALSE)+5,FALSE),"")</f>
        <v/>
      </c>
      <c r="T815" s="29"/>
      <c r="U815" s="43" t="str">
        <f>IFERROR(VLOOKUP(T815,Calculation!$U$6:$V$11,2,FALSE),"")</f>
        <v/>
      </c>
    </row>
    <row r="816" spans="1:21" ht="14.25" customHeight="1" x14ac:dyDescent="0.3">
      <c r="A816" s="26" t="str">
        <f ca="1">IF(Calculation!T819&lt;=Calculation!$H$4,Calculation!T819,"")</f>
        <v/>
      </c>
      <c r="B816" s="4" t="str">
        <f ca="1">VLOOKUP(A816,Calculation!$E$6:$J$1004,4,FALSE)</f>
        <v/>
      </c>
      <c r="C816" s="4" t="str">
        <f ca="1">VLOOKUP(A816,Calculation!$E$6:$J$1004,5,FALSE)</f>
        <v/>
      </c>
      <c r="D816" s="4" t="str">
        <f ca="1">VLOOKUP(A816,Calculation!$E$6:$J$1004,6,FALSE)</f>
        <v/>
      </c>
      <c r="E816" s="42" t="str">
        <f t="shared" ca="1" si="6"/>
        <v/>
      </c>
      <c r="G816" s="29" t="str">
        <f ca="1">VLOOKUP(A816,Calculation!$F$6:$J$1004,3,FALSE)</f>
        <v/>
      </c>
      <c r="H816" s="4" t="str">
        <f ca="1">VLOOKUP(A816,Calculation!$F$6:$J$1004,4,FALSE)</f>
        <v/>
      </c>
      <c r="I816" s="4" t="str">
        <f ca="1">VLOOKUP(A816,Calculation!$F$6:$J$1004,5,FALSE)</f>
        <v/>
      </c>
      <c r="J816" s="43" t="str">
        <f t="shared" ca="1" si="7"/>
        <v/>
      </c>
      <c r="L816" s="29" t="str">
        <f ca="1">VLOOKUP(A816,Calculation!$G$6:$S$1004,2,FALSE)</f>
        <v/>
      </c>
      <c r="M816" s="4" t="str">
        <f ca="1">IFERROR(VLOOKUP($L816,Calculation!$H$6:$S$1005,HLOOKUP(M$2,Calculation!$M$4:$S$5,2,FALSE)+5,FALSE),"")</f>
        <v/>
      </c>
      <c r="N816" s="4" t="str">
        <f ca="1">IFERROR(VLOOKUP($L816,Calculation!$H$6:$S$1005,HLOOKUP(N$2,Calculation!$M$4:$S$5,2,FALSE)+5,FALSE),"")</f>
        <v/>
      </c>
      <c r="O816" s="4" t="str">
        <f ca="1">IFERROR(VLOOKUP($L816,Calculation!$H$6:$S$1005,HLOOKUP(O$2,Calculation!$M$4:$S$5,2,FALSE)+5,FALSE),"")</f>
        <v/>
      </c>
      <c r="P816" s="4" t="str">
        <f ca="1">IFERROR(VLOOKUP($L816,Calculation!$H$6:$S$1005,HLOOKUP(P$2,Calculation!$M$4:$S$5,2,FALSE)+5,FALSE),"")</f>
        <v/>
      </c>
      <c r="Q816" s="4" t="str">
        <f ca="1">IFERROR(VLOOKUP($L816,Calculation!$H$6:$S$1005,HLOOKUP(Q$2,Calculation!$M$4:$S$5,2,FALSE)+5,FALSE),"")</f>
        <v/>
      </c>
      <c r="R816" s="27" t="str">
        <f ca="1">IFERROR(VLOOKUP($L816,Calculation!$H$6:$S$1005,HLOOKUP(R$2,Calculation!$M$4:$S$5,2,FALSE)+5,FALSE),"")</f>
        <v/>
      </c>
      <c r="S816" s="4" t="str">
        <f ca="1">IFERROR(VLOOKUP($L816,Calculation!$H$6:$S$1005,HLOOKUP(S$2,Calculation!$M$4:$S$5,2,FALSE)+5,FALSE),"")</f>
        <v/>
      </c>
      <c r="T816" s="29"/>
      <c r="U816" s="43" t="str">
        <f>IFERROR(VLOOKUP(T816,Calculation!$U$6:$V$11,2,FALSE),"")</f>
        <v/>
      </c>
    </row>
    <row r="817" spans="1:21" ht="14.25" customHeight="1" x14ac:dyDescent="0.3">
      <c r="A817" s="26" t="str">
        <f ca="1">IF(Calculation!T820&lt;=Calculation!$H$4,Calculation!T820,"")</f>
        <v/>
      </c>
      <c r="B817" s="4" t="str">
        <f ca="1">VLOOKUP(A817,Calculation!$E$6:$J$1004,4,FALSE)</f>
        <v/>
      </c>
      <c r="C817" s="4" t="str">
        <f ca="1">VLOOKUP(A817,Calculation!$E$6:$J$1004,5,FALSE)</f>
        <v/>
      </c>
      <c r="D817" s="4" t="str">
        <f ca="1">VLOOKUP(A817,Calculation!$E$6:$J$1004,6,FALSE)</f>
        <v/>
      </c>
      <c r="E817" s="42" t="str">
        <f t="shared" ca="1" si="6"/>
        <v/>
      </c>
      <c r="G817" s="29" t="str">
        <f ca="1">VLOOKUP(A817,Calculation!$F$6:$J$1004,3,FALSE)</f>
        <v/>
      </c>
      <c r="H817" s="4" t="str">
        <f ca="1">VLOOKUP(A817,Calculation!$F$6:$J$1004,4,FALSE)</f>
        <v/>
      </c>
      <c r="I817" s="4" t="str">
        <f ca="1">VLOOKUP(A817,Calculation!$F$6:$J$1004,5,FALSE)</f>
        <v/>
      </c>
      <c r="J817" s="43" t="str">
        <f t="shared" ca="1" si="7"/>
        <v/>
      </c>
      <c r="L817" s="29" t="str">
        <f ca="1">VLOOKUP(A817,Calculation!$G$6:$S$1004,2,FALSE)</f>
        <v/>
      </c>
      <c r="M817" s="4" t="str">
        <f ca="1">IFERROR(VLOOKUP($L817,Calculation!$H$6:$S$1005,HLOOKUP(M$2,Calculation!$M$4:$S$5,2,FALSE)+5,FALSE),"")</f>
        <v/>
      </c>
      <c r="N817" s="4" t="str">
        <f ca="1">IFERROR(VLOOKUP($L817,Calculation!$H$6:$S$1005,HLOOKUP(N$2,Calculation!$M$4:$S$5,2,FALSE)+5,FALSE),"")</f>
        <v/>
      </c>
      <c r="O817" s="4" t="str">
        <f ca="1">IFERROR(VLOOKUP($L817,Calculation!$H$6:$S$1005,HLOOKUP(O$2,Calculation!$M$4:$S$5,2,FALSE)+5,FALSE),"")</f>
        <v/>
      </c>
      <c r="P817" s="4" t="str">
        <f ca="1">IFERROR(VLOOKUP($L817,Calculation!$H$6:$S$1005,HLOOKUP(P$2,Calculation!$M$4:$S$5,2,FALSE)+5,FALSE),"")</f>
        <v/>
      </c>
      <c r="Q817" s="4" t="str">
        <f ca="1">IFERROR(VLOOKUP($L817,Calculation!$H$6:$S$1005,HLOOKUP(Q$2,Calculation!$M$4:$S$5,2,FALSE)+5,FALSE),"")</f>
        <v/>
      </c>
      <c r="R817" s="27" t="str">
        <f ca="1">IFERROR(VLOOKUP($L817,Calculation!$H$6:$S$1005,HLOOKUP(R$2,Calculation!$M$4:$S$5,2,FALSE)+5,FALSE),"")</f>
        <v/>
      </c>
      <c r="S817" s="4" t="str">
        <f ca="1">IFERROR(VLOOKUP($L817,Calculation!$H$6:$S$1005,HLOOKUP(S$2,Calculation!$M$4:$S$5,2,FALSE)+5,FALSE),"")</f>
        <v/>
      </c>
      <c r="T817" s="29"/>
      <c r="U817" s="43" t="str">
        <f>IFERROR(VLOOKUP(T817,Calculation!$U$6:$V$11,2,FALSE),"")</f>
        <v/>
      </c>
    </row>
    <row r="818" spans="1:21" ht="14.25" customHeight="1" x14ac:dyDescent="0.3">
      <c r="A818" s="26" t="str">
        <f ca="1">IF(Calculation!T821&lt;=Calculation!$H$4,Calculation!T821,"")</f>
        <v/>
      </c>
      <c r="B818" s="4" t="str">
        <f ca="1">VLOOKUP(A818,Calculation!$E$6:$J$1004,4,FALSE)</f>
        <v/>
      </c>
      <c r="C818" s="4" t="str">
        <f ca="1">VLOOKUP(A818,Calculation!$E$6:$J$1004,5,FALSE)</f>
        <v/>
      </c>
      <c r="D818" s="4" t="str">
        <f ca="1">VLOOKUP(A818,Calculation!$E$6:$J$1004,6,FALSE)</f>
        <v/>
      </c>
      <c r="E818" s="42" t="str">
        <f t="shared" ca="1" si="6"/>
        <v/>
      </c>
      <c r="G818" s="29" t="str">
        <f ca="1">VLOOKUP(A818,Calculation!$F$6:$J$1004,3,FALSE)</f>
        <v/>
      </c>
      <c r="H818" s="4" t="str">
        <f ca="1">VLOOKUP(A818,Calculation!$F$6:$J$1004,4,FALSE)</f>
        <v/>
      </c>
      <c r="I818" s="4" t="str">
        <f ca="1">VLOOKUP(A818,Calculation!$F$6:$J$1004,5,FALSE)</f>
        <v/>
      </c>
      <c r="J818" s="43" t="str">
        <f t="shared" ca="1" si="7"/>
        <v/>
      </c>
      <c r="L818" s="29" t="str">
        <f ca="1">VLOOKUP(A818,Calculation!$G$6:$S$1004,2,FALSE)</f>
        <v/>
      </c>
      <c r="M818" s="4" t="str">
        <f ca="1">IFERROR(VLOOKUP($L818,Calculation!$H$6:$S$1005,HLOOKUP(M$2,Calculation!$M$4:$S$5,2,FALSE)+5,FALSE),"")</f>
        <v/>
      </c>
      <c r="N818" s="4" t="str">
        <f ca="1">IFERROR(VLOOKUP($L818,Calculation!$H$6:$S$1005,HLOOKUP(N$2,Calculation!$M$4:$S$5,2,FALSE)+5,FALSE),"")</f>
        <v/>
      </c>
      <c r="O818" s="4" t="str">
        <f ca="1">IFERROR(VLOOKUP($L818,Calculation!$H$6:$S$1005,HLOOKUP(O$2,Calculation!$M$4:$S$5,2,FALSE)+5,FALSE),"")</f>
        <v/>
      </c>
      <c r="P818" s="4" t="str">
        <f ca="1">IFERROR(VLOOKUP($L818,Calculation!$H$6:$S$1005,HLOOKUP(P$2,Calculation!$M$4:$S$5,2,FALSE)+5,FALSE),"")</f>
        <v/>
      </c>
      <c r="Q818" s="4" t="str">
        <f ca="1">IFERROR(VLOOKUP($L818,Calculation!$H$6:$S$1005,HLOOKUP(Q$2,Calculation!$M$4:$S$5,2,FALSE)+5,FALSE),"")</f>
        <v/>
      </c>
      <c r="R818" s="27" t="str">
        <f ca="1">IFERROR(VLOOKUP($L818,Calculation!$H$6:$S$1005,HLOOKUP(R$2,Calculation!$M$4:$S$5,2,FALSE)+5,FALSE),"")</f>
        <v/>
      </c>
      <c r="S818" s="4" t="str">
        <f ca="1">IFERROR(VLOOKUP($L818,Calculation!$H$6:$S$1005,HLOOKUP(S$2,Calculation!$M$4:$S$5,2,FALSE)+5,FALSE),"")</f>
        <v/>
      </c>
      <c r="T818" s="29"/>
      <c r="U818" s="43" t="str">
        <f>IFERROR(VLOOKUP(T818,Calculation!$U$6:$V$11,2,FALSE),"")</f>
        <v/>
      </c>
    </row>
    <row r="819" spans="1:21" ht="14.25" customHeight="1" x14ac:dyDescent="0.3">
      <c r="A819" s="26" t="str">
        <f ca="1">IF(Calculation!T822&lt;=Calculation!$H$4,Calculation!T822,"")</f>
        <v/>
      </c>
      <c r="B819" s="4" t="str">
        <f ca="1">VLOOKUP(A819,Calculation!$E$6:$J$1004,4,FALSE)</f>
        <v/>
      </c>
      <c r="C819" s="4" t="str">
        <f ca="1">VLOOKUP(A819,Calculation!$E$6:$J$1004,5,FALSE)</f>
        <v/>
      </c>
      <c r="D819" s="4" t="str">
        <f ca="1">VLOOKUP(A819,Calculation!$E$6:$J$1004,6,FALSE)</f>
        <v/>
      </c>
      <c r="E819" s="42" t="str">
        <f t="shared" ca="1" si="6"/>
        <v/>
      </c>
      <c r="G819" s="29" t="str">
        <f ca="1">VLOOKUP(A819,Calculation!$F$6:$J$1004,3,FALSE)</f>
        <v/>
      </c>
      <c r="H819" s="4" t="str">
        <f ca="1">VLOOKUP(A819,Calculation!$F$6:$J$1004,4,FALSE)</f>
        <v/>
      </c>
      <c r="I819" s="4" t="str">
        <f ca="1">VLOOKUP(A819,Calculation!$F$6:$J$1004,5,FALSE)</f>
        <v/>
      </c>
      <c r="J819" s="43" t="str">
        <f t="shared" ca="1" si="7"/>
        <v/>
      </c>
      <c r="L819" s="29" t="str">
        <f ca="1">VLOOKUP(A819,Calculation!$G$6:$S$1004,2,FALSE)</f>
        <v/>
      </c>
      <c r="M819" s="4" t="str">
        <f ca="1">IFERROR(VLOOKUP($L819,Calculation!$H$6:$S$1005,HLOOKUP(M$2,Calculation!$M$4:$S$5,2,FALSE)+5,FALSE),"")</f>
        <v/>
      </c>
      <c r="N819" s="4" t="str">
        <f ca="1">IFERROR(VLOOKUP($L819,Calculation!$H$6:$S$1005,HLOOKUP(N$2,Calculation!$M$4:$S$5,2,FALSE)+5,FALSE),"")</f>
        <v/>
      </c>
      <c r="O819" s="4" t="str">
        <f ca="1">IFERROR(VLOOKUP($L819,Calculation!$H$6:$S$1005,HLOOKUP(O$2,Calculation!$M$4:$S$5,2,FALSE)+5,FALSE),"")</f>
        <v/>
      </c>
      <c r="P819" s="4" t="str">
        <f ca="1">IFERROR(VLOOKUP($L819,Calculation!$H$6:$S$1005,HLOOKUP(P$2,Calculation!$M$4:$S$5,2,FALSE)+5,FALSE),"")</f>
        <v/>
      </c>
      <c r="Q819" s="4" t="str">
        <f ca="1">IFERROR(VLOOKUP($L819,Calculation!$H$6:$S$1005,HLOOKUP(Q$2,Calculation!$M$4:$S$5,2,FALSE)+5,FALSE),"")</f>
        <v/>
      </c>
      <c r="R819" s="27" t="str">
        <f ca="1">IFERROR(VLOOKUP($L819,Calculation!$H$6:$S$1005,HLOOKUP(R$2,Calculation!$M$4:$S$5,2,FALSE)+5,FALSE),"")</f>
        <v/>
      </c>
      <c r="S819" s="4" t="str">
        <f ca="1">IFERROR(VLOOKUP($L819,Calculation!$H$6:$S$1005,HLOOKUP(S$2,Calculation!$M$4:$S$5,2,FALSE)+5,FALSE),"")</f>
        <v/>
      </c>
      <c r="T819" s="29"/>
      <c r="U819" s="43" t="str">
        <f>IFERROR(VLOOKUP(T819,Calculation!$U$6:$V$11,2,FALSE),"")</f>
        <v/>
      </c>
    </row>
    <row r="820" spans="1:21" ht="14.25" customHeight="1" x14ac:dyDescent="0.3">
      <c r="A820" s="26" t="str">
        <f ca="1">IF(Calculation!T823&lt;=Calculation!$H$4,Calculation!T823,"")</f>
        <v/>
      </c>
      <c r="B820" s="4" t="str">
        <f ca="1">VLOOKUP(A820,Calculation!$E$6:$J$1004,4,FALSE)</f>
        <v/>
      </c>
      <c r="C820" s="4" t="str">
        <f ca="1">VLOOKUP(A820,Calculation!$E$6:$J$1004,5,FALSE)</f>
        <v/>
      </c>
      <c r="D820" s="4" t="str">
        <f ca="1">VLOOKUP(A820,Calculation!$E$6:$J$1004,6,FALSE)</f>
        <v/>
      </c>
      <c r="E820" s="42" t="str">
        <f t="shared" ca="1" si="6"/>
        <v/>
      </c>
      <c r="G820" s="29" t="str">
        <f ca="1">VLOOKUP(A820,Calculation!$F$6:$J$1004,3,FALSE)</f>
        <v/>
      </c>
      <c r="H820" s="4" t="str">
        <f ca="1">VLOOKUP(A820,Calculation!$F$6:$J$1004,4,FALSE)</f>
        <v/>
      </c>
      <c r="I820" s="4" t="str">
        <f ca="1">VLOOKUP(A820,Calculation!$F$6:$J$1004,5,FALSE)</f>
        <v/>
      </c>
      <c r="J820" s="43" t="str">
        <f t="shared" ca="1" si="7"/>
        <v/>
      </c>
      <c r="L820" s="29" t="str">
        <f ca="1">VLOOKUP(A820,Calculation!$G$6:$S$1004,2,FALSE)</f>
        <v/>
      </c>
      <c r="M820" s="4" t="str">
        <f ca="1">IFERROR(VLOOKUP($L820,Calculation!$H$6:$S$1005,HLOOKUP(M$2,Calculation!$M$4:$S$5,2,FALSE)+5,FALSE),"")</f>
        <v/>
      </c>
      <c r="N820" s="4" t="str">
        <f ca="1">IFERROR(VLOOKUP($L820,Calculation!$H$6:$S$1005,HLOOKUP(N$2,Calculation!$M$4:$S$5,2,FALSE)+5,FALSE),"")</f>
        <v/>
      </c>
      <c r="O820" s="4" t="str">
        <f ca="1">IFERROR(VLOOKUP($L820,Calculation!$H$6:$S$1005,HLOOKUP(O$2,Calculation!$M$4:$S$5,2,FALSE)+5,FALSE),"")</f>
        <v/>
      </c>
      <c r="P820" s="4" t="str">
        <f ca="1">IFERROR(VLOOKUP($L820,Calculation!$H$6:$S$1005,HLOOKUP(P$2,Calculation!$M$4:$S$5,2,FALSE)+5,FALSE),"")</f>
        <v/>
      </c>
      <c r="Q820" s="4" t="str">
        <f ca="1">IFERROR(VLOOKUP($L820,Calculation!$H$6:$S$1005,HLOOKUP(Q$2,Calculation!$M$4:$S$5,2,FALSE)+5,FALSE),"")</f>
        <v/>
      </c>
      <c r="R820" s="27" t="str">
        <f ca="1">IFERROR(VLOOKUP($L820,Calculation!$H$6:$S$1005,HLOOKUP(R$2,Calculation!$M$4:$S$5,2,FALSE)+5,FALSE),"")</f>
        <v/>
      </c>
      <c r="S820" s="4" t="str">
        <f ca="1">IFERROR(VLOOKUP($L820,Calculation!$H$6:$S$1005,HLOOKUP(S$2,Calculation!$M$4:$S$5,2,FALSE)+5,FALSE),"")</f>
        <v/>
      </c>
      <c r="T820" s="29"/>
      <c r="U820" s="43" t="str">
        <f>IFERROR(VLOOKUP(T820,Calculation!$U$6:$V$11,2,FALSE),"")</f>
        <v/>
      </c>
    </row>
    <row r="821" spans="1:21" ht="14.25" customHeight="1" x14ac:dyDescent="0.3">
      <c r="A821" s="26" t="str">
        <f ca="1">IF(Calculation!T824&lt;=Calculation!$H$4,Calculation!T824,"")</f>
        <v/>
      </c>
      <c r="B821" s="4" t="str">
        <f ca="1">VLOOKUP(A821,Calculation!$E$6:$J$1004,4,FALSE)</f>
        <v/>
      </c>
      <c r="C821" s="4" t="str">
        <f ca="1">VLOOKUP(A821,Calculation!$E$6:$J$1004,5,FALSE)</f>
        <v/>
      </c>
      <c r="D821" s="4" t="str">
        <f ca="1">VLOOKUP(A821,Calculation!$E$6:$J$1004,6,FALSE)</f>
        <v/>
      </c>
      <c r="E821" s="42" t="str">
        <f t="shared" ca="1" si="6"/>
        <v/>
      </c>
      <c r="G821" s="29" t="str">
        <f ca="1">VLOOKUP(A821,Calculation!$F$6:$J$1004,3,FALSE)</f>
        <v/>
      </c>
      <c r="H821" s="4" t="str">
        <f ca="1">VLOOKUP(A821,Calculation!$F$6:$J$1004,4,FALSE)</f>
        <v/>
      </c>
      <c r="I821" s="4" t="str">
        <f ca="1">VLOOKUP(A821,Calculation!$F$6:$J$1004,5,FALSE)</f>
        <v/>
      </c>
      <c r="J821" s="43" t="str">
        <f t="shared" ca="1" si="7"/>
        <v/>
      </c>
      <c r="L821" s="29" t="str">
        <f ca="1">VLOOKUP(A821,Calculation!$G$6:$S$1004,2,FALSE)</f>
        <v/>
      </c>
      <c r="M821" s="4" t="str">
        <f ca="1">IFERROR(VLOOKUP($L821,Calculation!$H$6:$S$1005,HLOOKUP(M$2,Calculation!$M$4:$S$5,2,FALSE)+5,FALSE),"")</f>
        <v/>
      </c>
      <c r="N821" s="4" t="str">
        <f ca="1">IFERROR(VLOOKUP($L821,Calculation!$H$6:$S$1005,HLOOKUP(N$2,Calculation!$M$4:$S$5,2,FALSE)+5,FALSE),"")</f>
        <v/>
      </c>
      <c r="O821" s="4" t="str">
        <f ca="1">IFERROR(VLOOKUP($L821,Calculation!$H$6:$S$1005,HLOOKUP(O$2,Calculation!$M$4:$S$5,2,FALSE)+5,FALSE),"")</f>
        <v/>
      </c>
      <c r="P821" s="4" t="str">
        <f ca="1">IFERROR(VLOOKUP($L821,Calculation!$H$6:$S$1005,HLOOKUP(P$2,Calculation!$M$4:$S$5,2,FALSE)+5,FALSE),"")</f>
        <v/>
      </c>
      <c r="Q821" s="4" t="str">
        <f ca="1">IFERROR(VLOOKUP($L821,Calculation!$H$6:$S$1005,HLOOKUP(Q$2,Calculation!$M$4:$S$5,2,FALSE)+5,FALSE),"")</f>
        <v/>
      </c>
      <c r="R821" s="27" t="str">
        <f ca="1">IFERROR(VLOOKUP($L821,Calculation!$H$6:$S$1005,HLOOKUP(R$2,Calculation!$M$4:$S$5,2,FALSE)+5,FALSE),"")</f>
        <v/>
      </c>
      <c r="S821" s="4" t="str">
        <f ca="1">IFERROR(VLOOKUP($L821,Calculation!$H$6:$S$1005,HLOOKUP(S$2,Calculation!$M$4:$S$5,2,FALSE)+5,FALSE),"")</f>
        <v/>
      </c>
      <c r="T821" s="29"/>
      <c r="U821" s="43" t="str">
        <f>IFERROR(VLOOKUP(T821,Calculation!$U$6:$V$11,2,FALSE),"")</f>
        <v/>
      </c>
    </row>
    <row r="822" spans="1:21" ht="14.25" customHeight="1" x14ac:dyDescent="0.3">
      <c r="A822" s="26" t="str">
        <f ca="1">IF(Calculation!T825&lt;=Calculation!$H$4,Calculation!T825,"")</f>
        <v/>
      </c>
      <c r="B822" s="4" t="str">
        <f ca="1">VLOOKUP(A822,Calculation!$E$6:$J$1004,4,FALSE)</f>
        <v/>
      </c>
      <c r="C822" s="4" t="str">
        <f ca="1">VLOOKUP(A822,Calculation!$E$6:$J$1004,5,FALSE)</f>
        <v/>
      </c>
      <c r="D822" s="4" t="str">
        <f ca="1">VLOOKUP(A822,Calculation!$E$6:$J$1004,6,FALSE)</f>
        <v/>
      </c>
      <c r="E822" s="42" t="str">
        <f t="shared" ca="1" si="6"/>
        <v/>
      </c>
      <c r="G822" s="29" t="str">
        <f ca="1">VLOOKUP(A822,Calculation!$F$6:$J$1004,3,FALSE)</f>
        <v/>
      </c>
      <c r="H822" s="4" t="str">
        <f ca="1">VLOOKUP(A822,Calculation!$F$6:$J$1004,4,FALSE)</f>
        <v/>
      </c>
      <c r="I822" s="4" t="str">
        <f ca="1">VLOOKUP(A822,Calculation!$F$6:$J$1004,5,FALSE)</f>
        <v/>
      </c>
      <c r="J822" s="43" t="str">
        <f t="shared" ca="1" si="7"/>
        <v/>
      </c>
      <c r="L822" s="29" t="str">
        <f ca="1">VLOOKUP(A822,Calculation!$G$6:$S$1004,2,FALSE)</f>
        <v/>
      </c>
      <c r="M822" s="4" t="str">
        <f ca="1">IFERROR(VLOOKUP($L822,Calculation!$H$6:$S$1005,HLOOKUP(M$2,Calculation!$M$4:$S$5,2,FALSE)+5,FALSE),"")</f>
        <v/>
      </c>
      <c r="N822" s="4" t="str">
        <f ca="1">IFERROR(VLOOKUP($L822,Calculation!$H$6:$S$1005,HLOOKUP(N$2,Calculation!$M$4:$S$5,2,FALSE)+5,FALSE),"")</f>
        <v/>
      </c>
      <c r="O822" s="4" t="str">
        <f ca="1">IFERROR(VLOOKUP($L822,Calculation!$H$6:$S$1005,HLOOKUP(O$2,Calculation!$M$4:$S$5,2,FALSE)+5,FALSE),"")</f>
        <v/>
      </c>
      <c r="P822" s="4" t="str">
        <f ca="1">IFERROR(VLOOKUP($L822,Calculation!$H$6:$S$1005,HLOOKUP(P$2,Calculation!$M$4:$S$5,2,FALSE)+5,FALSE),"")</f>
        <v/>
      </c>
      <c r="Q822" s="4" t="str">
        <f ca="1">IFERROR(VLOOKUP($L822,Calculation!$H$6:$S$1005,HLOOKUP(Q$2,Calculation!$M$4:$S$5,2,FALSE)+5,FALSE),"")</f>
        <v/>
      </c>
      <c r="R822" s="27" t="str">
        <f ca="1">IFERROR(VLOOKUP($L822,Calculation!$H$6:$S$1005,HLOOKUP(R$2,Calculation!$M$4:$S$5,2,FALSE)+5,FALSE),"")</f>
        <v/>
      </c>
      <c r="S822" s="4" t="str">
        <f ca="1">IFERROR(VLOOKUP($L822,Calculation!$H$6:$S$1005,HLOOKUP(S$2,Calculation!$M$4:$S$5,2,FALSE)+5,FALSE),"")</f>
        <v/>
      </c>
      <c r="T822" s="29"/>
      <c r="U822" s="43" t="str">
        <f>IFERROR(VLOOKUP(T822,Calculation!$U$6:$V$11,2,FALSE),"")</f>
        <v/>
      </c>
    </row>
    <row r="823" spans="1:21" ht="14.25" customHeight="1" x14ac:dyDescent="0.3">
      <c r="A823" s="26" t="str">
        <f ca="1">IF(Calculation!T826&lt;=Calculation!$H$4,Calculation!T826,"")</f>
        <v/>
      </c>
      <c r="B823" s="4" t="str">
        <f ca="1">VLOOKUP(A823,Calculation!$E$6:$J$1004,4,FALSE)</f>
        <v/>
      </c>
      <c r="C823" s="4" t="str">
        <f ca="1">VLOOKUP(A823,Calculation!$E$6:$J$1004,5,FALSE)</f>
        <v/>
      </c>
      <c r="D823" s="4" t="str">
        <f ca="1">VLOOKUP(A823,Calculation!$E$6:$J$1004,6,FALSE)</f>
        <v/>
      </c>
      <c r="E823" s="42" t="str">
        <f t="shared" ca="1" si="6"/>
        <v/>
      </c>
      <c r="G823" s="29" t="str">
        <f ca="1">VLOOKUP(A823,Calculation!$F$6:$J$1004,3,FALSE)</f>
        <v/>
      </c>
      <c r="H823" s="4" t="str">
        <f ca="1">VLOOKUP(A823,Calculation!$F$6:$J$1004,4,FALSE)</f>
        <v/>
      </c>
      <c r="I823" s="4" t="str">
        <f ca="1">VLOOKUP(A823,Calculation!$F$6:$J$1004,5,FALSE)</f>
        <v/>
      </c>
      <c r="J823" s="43" t="str">
        <f t="shared" ca="1" si="7"/>
        <v/>
      </c>
      <c r="L823" s="29" t="str">
        <f ca="1">VLOOKUP(A823,Calculation!$G$6:$S$1004,2,FALSE)</f>
        <v/>
      </c>
      <c r="M823" s="4" t="str">
        <f ca="1">IFERROR(VLOOKUP($L823,Calculation!$H$6:$S$1005,HLOOKUP(M$2,Calculation!$M$4:$S$5,2,FALSE)+5,FALSE),"")</f>
        <v/>
      </c>
      <c r="N823" s="4" t="str">
        <f ca="1">IFERROR(VLOOKUP($L823,Calculation!$H$6:$S$1005,HLOOKUP(N$2,Calculation!$M$4:$S$5,2,FALSE)+5,FALSE),"")</f>
        <v/>
      </c>
      <c r="O823" s="4" t="str">
        <f ca="1">IFERROR(VLOOKUP($L823,Calculation!$H$6:$S$1005,HLOOKUP(O$2,Calculation!$M$4:$S$5,2,FALSE)+5,FALSE),"")</f>
        <v/>
      </c>
      <c r="P823" s="4" t="str">
        <f ca="1">IFERROR(VLOOKUP($L823,Calculation!$H$6:$S$1005,HLOOKUP(P$2,Calculation!$M$4:$S$5,2,FALSE)+5,FALSE),"")</f>
        <v/>
      </c>
      <c r="Q823" s="4" t="str">
        <f ca="1">IFERROR(VLOOKUP($L823,Calculation!$H$6:$S$1005,HLOOKUP(Q$2,Calculation!$M$4:$S$5,2,FALSE)+5,FALSE),"")</f>
        <v/>
      </c>
      <c r="R823" s="27" t="str">
        <f ca="1">IFERROR(VLOOKUP($L823,Calculation!$H$6:$S$1005,HLOOKUP(R$2,Calculation!$M$4:$S$5,2,FALSE)+5,FALSE),"")</f>
        <v/>
      </c>
      <c r="S823" s="4" t="str">
        <f ca="1">IFERROR(VLOOKUP($L823,Calculation!$H$6:$S$1005,HLOOKUP(S$2,Calculation!$M$4:$S$5,2,FALSE)+5,FALSE),"")</f>
        <v/>
      </c>
      <c r="T823" s="29"/>
      <c r="U823" s="43" t="str">
        <f>IFERROR(VLOOKUP(T823,Calculation!$U$6:$V$11,2,FALSE),"")</f>
        <v/>
      </c>
    </row>
    <row r="824" spans="1:21" ht="14.25" customHeight="1" x14ac:dyDescent="0.3">
      <c r="A824" s="26" t="str">
        <f ca="1">IF(Calculation!T827&lt;=Calculation!$H$4,Calculation!T827,"")</f>
        <v/>
      </c>
      <c r="B824" s="4" t="str">
        <f ca="1">VLOOKUP(A824,Calculation!$E$6:$J$1004,4,FALSE)</f>
        <v/>
      </c>
      <c r="C824" s="4" t="str">
        <f ca="1">VLOOKUP(A824,Calculation!$E$6:$J$1004,5,FALSE)</f>
        <v/>
      </c>
      <c r="D824" s="4" t="str">
        <f ca="1">VLOOKUP(A824,Calculation!$E$6:$J$1004,6,FALSE)</f>
        <v/>
      </c>
      <c r="E824" s="42" t="str">
        <f t="shared" ca="1" si="6"/>
        <v/>
      </c>
      <c r="G824" s="29" t="str">
        <f ca="1">VLOOKUP(A824,Calculation!$F$6:$J$1004,3,FALSE)</f>
        <v/>
      </c>
      <c r="H824" s="4" t="str">
        <f ca="1">VLOOKUP(A824,Calculation!$F$6:$J$1004,4,FALSE)</f>
        <v/>
      </c>
      <c r="I824" s="4" t="str">
        <f ca="1">VLOOKUP(A824,Calculation!$F$6:$J$1004,5,FALSE)</f>
        <v/>
      </c>
      <c r="J824" s="43" t="str">
        <f t="shared" ca="1" si="7"/>
        <v/>
      </c>
      <c r="L824" s="29" t="str">
        <f ca="1">VLOOKUP(A824,Calculation!$G$6:$S$1004,2,FALSE)</f>
        <v/>
      </c>
      <c r="M824" s="4" t="str">
        <f ca="1">IFERROR(VLOOKUP($L824,Calculation!$H$6:$S$1005,HLOOKUP(M$2,Calculation!$M$4:$S$5,2,FALSE)+5,FALSE),"")</f>
        <v/>
      </c>
      <c r="N824" s="4" t="str">
        <f ca="1">IFERROR(VLOOKUP($L824,Calculation!$H$6:$S$1005,HLOOKUP(N$2,Calculation!$M$4:$S$5,2,FALSE)+5,FALSE),"")</f>
        <v/>
      </c>
      <c r="O824" s="4" t="str">
        <f ca="1">IFERROR(VLOOKUP($L824,Calculation!$H$6:$S$1005,HLOOKUP(O$2,Calculation!$M$4:$S$5,2,FALSE)+5,FALSE),"")</f>
        <v/>
      </c>
      <c r="P824" s="4" t="str">
        <f ca="1">IFERROR(VLOOKUP($L824,Calculation!$H$6:$S$1005,HLOOKUP(P$2,Calculation!$M$4:$S$5,2,FALSE)+5,FALSE),"")</f>
        <v/>
      </c>
      <c r="Q824" s="4" t="str">
        <f ca="1">IFERROR(VLOOKUP($L824,Calculation!$H$6:$S$1005,HLOOKUP(Q$2,Calculation!$M$4:$S$5,2,FALSE)+5,FALSE),"")</f>
        <v/>
      </c>
      <c r="R824" s="27" t="str">
        <f ca="1">IFERROR(VLOOKUP($L824,Calculation!$H$6:$S$1005,HLOOKUP(R$2,Calculation!$M$4:$S$5,2,FALSE)+5,FALSE),"")</f>
        <v/>
      </c>
      <c r="S824" s="4" t="str">
        <f ca="1">IFERROR(VLOOKUP($L824,Calculation!$H$6:$S$1005,HLOOKUP(S$2,Calculation!$M$4:$S$5,2,FALSE)+5,FALSE),"")</f>
        <v/>
      </c>
      <c r="T824" s="29"/>
      <c r="U824" s="43" t="str">
        <f>IFERROR(VLOOKUP(T824,Calculation!$U$6:$V$11,2,FALSE),"")</f>
        <v/>
      </c>
    </row>
    <row r="825" spans="1:21" ht="14.25" customHeight="1" x14ac:dyDescent="0.3">
      <c r="A825" s="26" t="str">
        <f ca="1">IF(Calculation!T828&lt;=Calculation!$H$4,Calculation!T828,"")</f>
        <v/>
      </c>
      <c r="B825" s="4" t="str">
        <f ca="1">VLOOKUP(A825,Calculation!$E$6:$J$1004,4,FALSE)</f>
        <v/>
      </c>
      <c r="C825" s="4" t="str">
        <f ca="1">VLOOKUP(A825,Calculation!$E$6:$J$1004,5,FALSE)</f>
        <v/>
      </c>
      <c r="D825" s="4" t="str">
        <f ca="1">VLOOKUP(A825,Calculation!$E$6:$J$1004,6,FALSE)</f>
        <v/>
      </c>
      <c r="E825" s="42" t="str">
        <f t="shared" ca="1" si="6"/>
        <v/>
      </c>
      <c r="G825" s="29" t="str">
        <f ca="1">VLOOKUP(A825,Calculation!$F$6:$J$1004,3,FALSE)</f>
        <v/>
      </c>
      <c r="H825" s="4" t="str">
        <f ca="1">VLOOKUP(A825,Calculation!$F$6:$J$1004,4,FALSE)</f>
        <v/>
      </c>
      <c r="I825" s="4" t="str">
        <f ca="1">VLOOKUP(A825,Calculation!$F$6:$J$1004,5,FALSE)</f>
        <v/>
      </c>
      <c r="J825" s="43" t="str">
        <f t="shared" ca="1" si="7"/>
        <v/>
      </c>
      <c r="L825" s="29" t="str">
        <f ca="1">VLOOKUP(A825,Calculation!$G$6:$S$1004,2,FALSE)</f>
        <v/>
      </c>
      <c r="M825" s="4" t="str">
        <f ca="1">IFERROR(VLOOKUP($L825,Calculation!$H$6:$S$1005,HLOOKUP(M$2,Calculation!$M$4:$S$5,2,FALSE)+5,FALSE),"")</f>
        <v/>
      </c>
      <c r="N825" s="4" t="str">
        <f ca="1">IFERROR(VLOOKUP($L825,Calculation!$H$6:$S$1005,HLOOKUP(N$2,Calculation!$M$4:$S$5,2,FALSE)+5,FALSE),"")</f>
        <v/>
      </c>
      <c r="O825" s="4" t="str">
        <f ca="1">IFERROR(VLOOKUP($L825,Calculation!$H$6:$S$1005,HLOOKUP(O$2,Calculation!$M$4:$S$5,2,FALSE)+5,FALSE),"")</f>
        <v/>
      </c>
      <c r="P825" s="4" t="str">
        <f ca="1">IFERROR(VLOOKUP($L825,Calculation!$H$6:$S$1005,HLOOKUP(P$2,Calculation!$M$4:$S$5,2,FALSE)+5,FALSE),"")</f>
        <v/>
      </c>
      <c r="Q825" s="4" t="str">
        <f ca="1">IFERROR(VLOOKUP($L825,Calculation!$H$6:$S$1005,HLOOKUP(Q$2,Calculation!$M$4:$S$5,2,FALSE)+5,FALSE),"")</f>
        <v/>
      </c>
      <c r="R825" s="27" t="str">
        <f ca="1">IFERROR(VLOOKUP($L825,Calculation!$H$6:$S$1005,HLOOKUP(R$2,Calculation!$M$4:$S$5,2,FALSE)+5,FALSE),"")</f>
        <v/>
      </c>
      <c r="S825" s="4" t="str">
        <f ca="1">IFERROR(VLOOKUP($L825,Calculation!$H$6:$S$1005,HLOOKUP(S$2,Calculation!$M$4:$S$5,2,FALSE)+5,FALSE),"")</f>
        <v/>
      </c>
      <c r="T825" s="29"/>
      <c r="U825" s="43" t="str">
        <f>IFERROR(VLOOKUP(T825,Calculation!$U$6:$V$11,2,FALSE),"")</f>
        <v/>
      </c>
    </row>
    <row r="826" spans="1:21" ht="14.25" customHeight="1" x14ac:dyDescent="0.3">
      <c r="A826" s="26" t="str">
        <f ca="1">IF(Calculation!T829&lt;=Calculation!$H$4,Calculation!T829,"")</f>
        <v/>
      </c>
      <c r="B826" s="4" t="str">
        <f ca="1">VLOOKUP(A826,Calculation!$E$6:$J$1004,4,FALSE)</f>
        <v/>
      </c>
      <c r="C826" s="4" t="str">
        <f ca="1">VLOOKUP(A826,Calculation!$E$6:$J$1004,5,FALSE)</f>
        <v/>
      </c>
      <c r="D826" s="4" t="str">
        <f ca="1">VLOOKUP(A826,Calculation!$E$6:$J$1004,6,FALSE)</f>
        <v/>
      </c>
      <c r="E826" s="42" t="str">
        <f t="shared" ca="1" si="6"/>
        <v/>
      </c>
      <c r="G826" s="29" t="str">
        <f ca="1">VLOOKUP(A826,Calculation!$F$6:$J$1004,3,FALSE)</f>
        <v/>
      </c>
      <c r="H826" s="4" t="str">
        <f ca="1">VLOOKUP(A826,Calculation!$F$6:$J$1004,4,FALSE)</f>
        <v/>
      </c>
      <c r="I826" s="4" t="str">
        <f ca="1">VLOOKUP(A826,Calculation!$F$6:$J$1004,5,FALSE)</f>
        <v/>
      </c>
      <c r="J826" s="43" t="str">
        <f t="shared" ca="1" si="7"/>
        <v/>
      </c>
      <c r="L826" s="29" t="str">
        <f ca="1">VLOOKUP(A826,Calculation!$G$6:$S$1004,2,FALSE)</f>
        <v/>
      </c>
      <c r="M826" s="4" t="str">
        <f ca="1">IFERROR(VLOOKUP($L826,Calculation!$H$6:$S$1005,HLOOKUP(M$2,Calculation!$M$4:$S$5,2,FALSE)+5,FALSE),"")</f>
        <v/>
      </c>
      <c r="N826" s="4" t="str">
        <f ca="1">IFERROR(VLOOKUP($L826,Calculation!$H$6:$S$1005,HLOOKUP(N$2,Calculation!$M$4:$S$5,2,FALSE)+5,FALSE),"")</f>
        <v/>
      </c>
      <c r="O826" s="4" t="str">
        <f ca="1">IFERROR(VLOOKUP($L826,Calculation!$H$6:$S$1005,HLOOKUP(O$2,Calculation!$M$4:$S$5,2,FALSE)+5,FALSE),"")</f>
        <v/>
      </c>
      <c r="P826" s="4" t="str">
        <f ca="1">IFERROR(VLOOKUP($L826,Calculation!$H$6:$S$1005,HLOOKUP(P$2,Calculation!$M$4:$S$5,2,FALSE)+5,FALSE),"")</f>
        <v/>
      </c>
      <c r="Q826" s="4" t="str">
        <f ca="1">IFERROR(VLOOKUP($L826,Calculation!$H$6:$S$1005,HLOOKUP(Q$2,Calculation!$M$4:$S$5,2,FALSE)+5,FALSE),"")</f>
        <v/>
      </c>
      <c r="R826" s="27" t="str">
        <f ca="1">IFERROR(VLOOKUP($L826,Calculation!$H$6:$S$1005,HLOOKUP(R$2,Calculation!$M$4:$S$5,2,FALSE)+5,FALSE),"")</f>
        <v/>
      </c>
      <c r="S826" s="4" t="str">
        <f ca="1">IFERROR(VLOOKUP($L826,Calculation!$H$6:$S$1005,HLOOKUP(S$2,Calculation!$M$4:$S$5,2,FALSE)+5,FALSE),"")</f>
        <v/>
      </c>
      <c r="T826" s="29"/>
      <c r="U826" s="43" t="str">
        <f>IFERROR(VLOOKUP(T826,Calculation!$U$6:$V$11,2,FALSE),"")</f>
        <v/>
      </c>
    </row>
    <row r="827" spans="1:21" ht="14.25" customHeight="1" x14ac:dyDescent="0.3">
      <c r="A827" s="26" t="str">
        <f ca="1">IF(Calculation!T830&lt;=Calculation!$H$4,Calculation!T830,"")</f>
        <v/>
      </c>
      <c r="B827" s="4" t="str">
        <f ca="1">VLOOKUP(A827,Calculation!$E$6:$J$1004,4,FALSE)</f>
        <v/>
      </c>
      <c r="C827" s="4" t="str">
        <f ca="1">VLOOKUP(A827,Calculation!$E$6:$J$1004,5,FALSE)</f>
        <v/>
      </c>
      <c r="D827" s="4" t="str">
        <f ca="1">VLOOKUP(A827,Calculation!$E$6:$J$1004,6,FALSE)</f>
        <v/>
      </c>
      <c r="E827" s="42" t="str">
        <f t="shared" ca="1" si="6"/>
        <v/>
      </c>
      <c r="G827" s="29" t="str">
        <f ca="1">VLOOKUP(A827,Calculation!$F$6:$J$1004,3,FALSE)</f>
        <v/>
      </c>
      <c r="H827" s="4" t="str">
        <f ca="1">VLOOKUP(A827,Calculation!$F$6:$J$1004,4,FALSE)</f>
        <v/>
      </c>
      <c r="I827" s="4" t="str">
        <f ca="1">VLOOKUP(A827,Calculation!$F$6:$J$1004,5,FALSE)</f>
        <v/>
      </c>
      <c r="J827" s="43" t="str">
        <f t="shared" ca="1" si="7"/>
        <v/>
      </c>
      <c r="L827" s="29" t="str">
        <f ca="1">VLOOKUP(A827,Calculation!$G$6:$S$1004,2,FALSE)</f>
        <v/>
      </c>
      <c r="M827" s="4" t="str">
        <f ca="1">IFERROR(VLOOKUP($L827,Calculation!$H$6:$S$1005,HLOOKUP(M$2,Calculation!$M$4:$S$5,2,FALSE)+5,FALSE),"")</f>
        <v/>
      </c>
      <c r="N827" s="4" t="str">
        <f ca="1">IFERROR(VLOOKUP($L827,Calculation!$H$6:$S$1005,HLOOKUP(N$2,Calculation!$M$4:$S$5,2,FALSE)+5,FALSE),"")</f>
        <v/>
      </c>
      <c r="O827" s="4" t="str">
        <f ca="1">IFERROR(VLOOKUP($L827,Calculation!$H$6:$S$1005,HLOOKUP(O$2,Calculation!$M$4:$S$5,2,FALSE)+5,FALSE),"")</f>
        <v/>
      </c>
      <c r="P827" s="4" t="str">
        <f ca="1">IFERROR(VLOOKUP($L827,Calculation!$H$6:$S$1005,HLOOKUP(P$2,Calculation!$M$4:$S$5,2,FALSE)+5,FALSE),"")</f>
        <v/>
      </c>
      <c r="Q827" s="4" t="str">
        <f ca="1">IFERROR(VLOOKUP($L827,Calculation!$H$6:$S$1005,HLOOKUP(Q$2,Calculation!$M$4:$S$5,2,FALSE)+5,FALSE),"")</f>
        <v/>
      </c>
      <c r="R827" s="27" t="str">
        <f ca="1">IFERROR(VLOOKUP($L827,Calculation!$H$6:$S$1005,HLOOKUP(R$2,Calculation!$M$4:$S$5,2,FALSE)+5,FALSE),"")</f>
        <v/>
      </c>
      <c r="S827" s="4" t="str">
        <f ca="1">IFERROR(VLOOKUP($L827,Calculation!$H$6:$S$1005,HLOOKUP(S$2,Calculation!$M$4:$S$5,2,FALSE)+5,FALSE),"")</f>
        <v/>
      </c>
      <c r="T827" s="29"/>
      <c r="U827" s="43" t="str">
        <f>IFERROR(VLOOKUP(T827,Calculation!$U$6:$V$11,2,FALSE),"")</f>
        <v/>
      </c>
    </row>
    <row r="828" spans="1:21" ht="14.25" customHeight="1" x14ac:dyDescent="0.3">
      <c r="A828" s="26" t="str">
        <f ca="1">IF(Calculation!T831&lt;=Calculation!$H$4,Calculation!T831,"")</f>
        <v/>
      </c>
      <c r="B828" s="4" t="str">
        <f ca="1">VLOOKUP(A828,Calculation!$E$6:$J$1004,4,FALSE)</f>
        <v/>
      </c>
      <c r="C828" s="4" t="str">
        <f ca="1">VLOOKUP(A828,Calculation!$E$6:$J$1004,5,FALSE)</f>
        <v/>
      </c>
      <c r="D828" s="4" t="str">
        <f ca="1">VLOOKUP(A828,Calculation!$E$6:$J$1004,6,FALSE)</f>
        <v/>
      </c>
      <c r="E828" s="42" t="str">
        <f t="shared" ca="1" si="6"/>
        <v/>
      </c>
      <c r="G828" s="29" t="str">
        <f ca="1">VLOOKUP(A828,Calculation!$F$6:$J$1004,3,FALSE)</f>
        <v/>
      </c>
      <c r="H828" s="4" t="str">
        <f ca="1">VLOOKUP(A828,Calculation!$F$6:$J$1004,4,FALSE)</f>
        <v/>
      </c>
      <c r="I828" s="4" t="str">
        <f ca="1">VLOOKUP(A828,Calculation!$F$6:$J$1004,5,FALSE)</f>
        <v/>
      </c>
      <c r="J828" s="43" t="str">
        <f t="shared" ca="1" si="7"/>
        <v/>
      </c>
      <c r="L828" s="29" t="str">
        <f ca="1">VLOOKUP(A828,Calculation!$G$6:$S$1004,2,FALSE)</f>
        <v/>
      </c>
      <c r="M828" s="4" t="str">
        <f ca="1">IFERROR(VLOOKUP($L828,Calculation!$H$6:$S$1005,HLOOKUP(M$2,Calculation!$M$4:$S$5,2,FALSE)+5,FALSE),"")</f>
        <v/>
      </c>
      <c r="N828" s="4" t="str">
        <f ca="1">IFERROR(VLOOKUP($L828,Calculation!$H$6:$S$1005,HLOOKUP(N$2,Calculation!$M$4:$S$5,2,FALSE)+5,FALSE),"")</f>
        <v/>
      </c>
      <c r="O828" s="4" t="str">
        <f ca="1">IFERROR(VLOOKUP($L828,Calculation!$H$6:$S$1005,HLOOKUP(O$2,Calculation!$M$4:$S$5,2,FALSE)+5,FALSE),"")</f>
        <v/>
      </c>
      <c r="P828" s="4" t="str">
        <f ca="1">IFERROR(VLOOKUP($L828,Calculation!$H$6:$S$1005,HLOOKUP(P$2,Calculation!$M$4:$S$5,2,FALSE)+5,FALSE),"")</f>
        <v/>
      </c>
      <c r="Q828" s="4" t="str">
        <f ca="1">IFERROR(VLOOKUP($L828,Calculation!$H$6:$S$1005,HLOOKUP(Q$2,Calculation!$M$4:$S$5,2,FALSE)+5,FALSE),"")</f>
        <v/>
      </c>
      <c r="R828" s="27" t="str">
        <f ca="1">IFERROR(VLOOKUP($L828,Calculation!$H$6:$S$1005,HLOOKUP(R$2,Calculation!$M$4:$S$5,2,FALSE)+5,FALSE),"")</f>
        <v/>
      </c>
      <c r="S828" s="4" t="str">
        <f ca="1">IFERROR(VLOOKUP($L828,Calculation!$H$6:$S$1005,HLOOKUP(S$2,Calculation!$M$4:$S$5,2,FALSE)+5,FALSE),"")</f>
        <v/>
      </c>
      <c r="T828" s="29"/>
      <c r="U828" s="43" t="str">
        <f>IFERROR(VLOOKUP(T828,Calculation!$U$6:$V$11,2,FALSE),"")</f>
        <v/>
      </c>
    </row>
    <row r="829" spans="1:21" ht="14.25" customHeight="1" x14ac:dyDescent="0.3">
      <c r="A829" s="26" t="str">
        <f ca="1">IF(Calculation!T832&lt;=Calculation!$H$4,Calculation!T832,"")</f>
        <v/>
      </c>
      <c r="B829" s="4" t="str">
        <f ca="1">VLOOKUP(A829,Calculation!$E$6:$J$1004,4,FALSE)</f>
        <v/>
      </c>
      <c r="C829" s="4" t="str">
        <f ca="1">VLOOKUP(A829,Calculation!$E$6:$J$1004,5,FALSE)</f>
        <v/>
      </c>
      <c r="D829" s="4" t="str">
        <f ca="1">VLOOKUP(A829,Calculation!$E$6:$J$1004,6,FALSE)</f>
        <v/>
      </c>
      <c r="E829" s="42" t="str">
        <f t="shared" ca="1" si="6"/>
        <v/>
      </c>
      <c r="G829" s="29" t="str">
        <f ca="1">VLOOKUP(A829,Calculation!$F$6:$J$1004,3,FALSE)</f>
        <v/>
      </c>
      <c r="H829" s="4" t="str">
        <f ca="1">VLOOKUP(A829,Calculation!$F$6:$J$1004,4,FALSE)</f>
        <v/>
      </c>
      <c r="I829" s="4" t="str">
        <f ca="1">VLOOKUP(A829,Calculation!$F$6:$J$1004,5,FALSE)</f>
        <v/>
      </c>
      <c r="J829" s="43" t="str">
        <f t="shared" ca="1" si="7"/>
        <v/>
      </c>
      <c r="L829" s="29" t="str">
        <f ca="1">VLOOKUP(A829,Calculation!$G$6:$S$1004,2,FALSE)</f>
        <v/>
      </c>
      <c r="M829" s="4" t="str">
        <f ca="1">IFERROR(VLOOKUP($L829,Calculation!$H$6:$S$1005,HLOOKUP(M$2,Calculation!$M$4:$S$5,2,FALSE)+5,FALSE),"")</f>
        <v/>
      </c>
      <c r="N829" s="4" t="str">
        <f ca="1">IFERROR(VLOOKUP($L829,Calculation!$H$6:$S$1005,HLOOKUP(N$2,Calculation!$M$4:$S$5,2,FALSE)+5,FALSE),"")</f>
        <v/>
      </c>
      <c r="O829" s="4" t="str">
        <f ca="1">IFERROR(VLOOKUP($L829,Calculation!$H$6:$S$1005,HLOOKUP(O$2,Calculation!$M$4:$S$5,2,FALSE)+5,FALSE),"")</f>
        <v/>
      </c>
      <c r="P829" s="4" t="str">
        <f ca="1">IFERROR(VLOOKUP($L829,Calculation!$H$6:$S$1005,HLOOKUP(P$2,Calculation!$M$4:$S$5,2,FALSE)+5,FALSE),"")</f>
        <v/>
      </c>
      <c r="Q829" s="4" t="str">
        <f ca="1">IFERROR(VLOOKUP($L829,Calculation!$H$6:$S$1005,HLOOKUP(Q$2,Calculation!$M$4:$S$5,2,FALSE)+5,FALSE),"")</f>
        <v/>
      </c>
      <c r="R829" s="27" t="str">
        <f ca="1">IFERROR(VLOOKUP($L829,Calculation!$H$6:$S$1005,HLOOKUP(R$2,Calculation!$M$4:$S$5,2,FALSE)+5,FALSE),"")</f>
        <v/>
      </c>
      <c r="S829" s="4" t="str">
        <f ca="1">IFERROR(VLOOKUP($L829,Calculation!$H$6:$S$1005,HLOOKUP(S$2,Calculation!$M$4:$S$5,2,FALSE)+5,FALSE),"")</f>
        <v/>
      </c>
      <c r="T829" s="29"/>
      <c r="U829" s="43" t="str">
        <f>IFERROR(VLOOKUP(T829,Calculation!$U$6:$V$11,2,FALSE),"")</f>
        <v/>
      </c>
    </row>
    <row r="830" spans="1:21" ht="14.25" customHeight="1" x14ac:dyDescent="0.3">
      <c r="A830" s="26" t="str">
        <f ca="1">IF(Calculation!T833&lt;=Calculation!$H$4,Calculation!T833,"")</f>
        <v/>
      </c>
      <c r="B830" s="4" t="str">
        <f ca="1">VLOOKUP(A830,Calculation!$E$6:$J$1004,4,FALSE)</f>
        <v/>
      </c>
      <c r="C830" s="4" t="str">
        <f ca="1">VLOOKUP(A830,Calculation!$E$6:$J$1004,5,FALSE)</f>
        <v/>
      </c>
      <c r="D830" s="4" t="str">
        <f ca="1">VLOOKUP(A830,Calculation!$E$6:$J$1004,6,FALSE)</f>
        <v/>
      </c>
      <c r="E830" s="42" t="str">
        <f t="shared" ca="1" si="6"/>
        <v/>
      </c>
      <c r="G830" s="29" t="str">
        <f ca="1">VLOOKUP(A830,Calculation!$F$6:$J$1004,3,FALSE)</f>
        <v/>
      </c>
      <c r="H830" s="4" t="str">
        <f ca="1">VLOOKUP(A830,Calculation!$F$6:$J$1004,4,FALSE)</f>
        <v/>
      </c>
      <c r="I830" s="4" t="str">
        <f ca="1">VLOOKUP(A830,Calculation!$F$6:$J$1004,5,FALSE)</f>
        <v/>
      </c>
      <c r="J830" s="43" t="str">
        <f t="shared" ca="1" si="7"/>
        <v/>
      </c>
      <c r="L830" s="29" t="str">
        <f ca="1">VLOOKUP(A830,Calculation!$G$6:$S$1004,2,FALSE)</f>
        <v/>
      </c>
      <c r="M830" s="4" t="str">
        <f ca="1">IFERROR(VLOOKUP($L830,Calculation!$H$6:$S$1005,HLOOKUP(M$2,Calculation!$M$4:$S$5,2,FALSE)+5,FALSE),"")</f>
        <v/>
      </c>
      <c r="N830" s="4" t="str">
        <f ca="1">IFERROR(VLOOKUP($L830,Calculation!$H$6:$S$1005,HLOOKUP(N$2,Calculation!$M$4:$S$5,2,FALSE)+5,FALSE),"")</f>
        <v/>
      </c>
      <c r="O830" s="4" t="str">
        <f ca="1">IFERROR(VLOOKUP($L830,Calculation!$H$6:$S$1005,HLOOKUP(O$2,Calculation!$M$4:$S$5,2,FALSE)+5,FALSE),"")</f>
        <v/>
      </c>
      <c r="P830" s="4" t="str">
        <f ca="1">IFERROR(VLOOKUP($L830,Calculation!$H$6:$S$1005,HLOOKUP(P$2,Calculation!$M$4:$S$5,2,FALSE)+5,FALSE),"")</f>
        <v/>
      </c>
      <c r="Q830" s="4" t="str">
        <f ca="1">IFERROR(VLOOKUP($L830,Calculation!$H$6:$S$1005,HLOOKUP(Q$2,Calculation!$M$4:$S$5,2,FALSE)+5,FALSE),"")</f>
        <v/>
      </c>
      <c r="R830" s="27" t="str">
        <f ca="1">IFERROR(VLOOKUP($L830,Calculation!$H$6:$S$1005,HLOOKUP(R$2,Calculation!$M$4:$S$5,2,FALSE)+5,FALSE),"")</f>
        <v/>
      </c>
      <c r="S830" s="4" t="str">
        <f ca="1">IFERROR(VLOOKUP($L830,Calculation!$H$6:$S$1005,HLOOKUP(S$2,Calculation!$M$4:$S$5,2,FALSE)+5,FALSE),"")</f>
        <v/>
      </c>
      <c r="T830" s="29"/>
      <c r="U830" s="43" t="str">
        <f>IFERROR(VLOOKUP(T830,Calculation!$U$6:$V$11,2,FALSE),"")</f>
        <v/>
      </c>
    </row>
    <row r="831" spans="1:21" ht="14.25" customHeight="1" x14ac:dyDescent="0.3">
      <c r="A831" s="26" t="str">
        <f ca="1">IF(Calculation!T834&lt;=Calculation!$H$4,Calculation!T834,"")</f>
        <v/>
      </c>
      <c r="B831" s="4" t="str">
        <f ca="1">VLOOKUP(A831,Calculation!$E$6:$J$1004,4,FALSE)</f>
        <v/>
      </c>
      <c r="C831" s="4" t="str">
        <f ca="1">VLOOKUP(A831,Calculation!$E$6:$J$1004,5,FALSE)</f>
        <v/>
      </c>
      <c r="D831" s="4" t="str">
        <f ca="1">VLOOKUP(A831,Calculation!$E$6:$J$1004,6,FALSE)</f>
        <v/>
      </c>
      <c r="E831" s="42" t="str">
        <f t="shared" ca="1" si="6"/>
        <v/>
      </c>
      <c r="G831" s="29" t="str">
        <f ca="1">VLOOKUP(A831,Calculation!$F$6:$J$1004,3,FALSE)</f>
        <v/>
      </c>
      <c r="H831" s="4" t="str">
        <f ca="1">VLOOKUP(A831,Calculation!$F$6:$J$1004,4,FALSE)</f>
        <v/>
      </c>
      <c r="I831" s="4" t="str">
        <f ca="1">VLOOKUP(A831,Calculation!$F$6:$J$1004,5,FALSE)</f>
        <v/>
      </c>
      <c r="J831" s="43" t="str">
        <f t="shared" ca="1" si="7"/>
        <v/>
      </c>
      <c r="L831" s="29" t="str">
        <f ca="1">VLOOKUP(A831,Calculation!$G$6:$S$1004,2,FALSE)</f>
        <v/>
      </c>
      <c r="M831" s="4" t="str">
        <f ca="1">IFERROR(VLOOKUP($L831,Calculation!$H$6:$S$1005,HLOOKUP(M$2,Calculation!$M$4:$S$5,2,FALSE)+5,FALSE),"")</f>
        <v/>
      </c>
      <c r="N831" s="4" t="str">
        <f ca="1">IFERROR(VLOOKUP($L831,Calculation!$H$6:$S$1005,HLOOKUP(N$2,Calculation!$M$4:$S$5,2,FALSE)+5,FALSE),"")</f>
        <v/>
      </c>
      <c r="O831" s="4" t="str">
        <f ca="1">IFERROR(VLOOKUP($L831,Calculation!$H$6:$S$1005,HLOOKUP(O$2,Calculation!$M$4:$S$5,2,FALSE)+5,FALSE),"")</f>
        <v/>
      </c>
      <c r="P831" s="4" t="str">
        <f ca="1">IFERROR(VLOOKUP($L831,Calculation!$H$6:$S$1005,HLOOKUP(P$2,Calculation!$M$4:$S$5,2,FALSE)+5,FALSE),"")</f>
        <v/>
      </c>
      <c r="Q831" s="4" t="str">
        <f ca="1">IFERROR(VLOOKUP($L831,Calculation!$H$6:$S$1005,HLOOKUP(Q$2,Calculation!$M$4:$S$5,2,FALSE)+5,FALSE),"")</f>
        <v/>
      </c>
      <c r="R831" s="27" t="str">
        <f ca="1">IFERROR(VLOOKUP($L831,Calculation!$H$6:$S$1005,HLOOKUP(R$2,Calculation!$M$4:$S$5,2,FALSE)+5,FALSE),"")</f>
        <v/>
      </c>
      <c r="S831" s="4" t="str">
        <f ca="1">IFERROR(VLOOKUP($L831,Calculation!$H$6:$S$1005,HLOOKUP(S$2,Calculation!$M$4:$S$5,2,FALSE)+5,FALSE),"")</f>
        <v/>
      </c>
      <c r="T831" s="29"/>
      <c r="U831" s="43" t="str">
        <f>IFERROR(VLOOKUP(T831,Calculation!$U$6:$V$11,2,FALSE),"")</f>
        <v/>
      </c>
    </row>
    <row r="832" spans="1:21" ht="14.25" customHeight="1" x14ac:dyDescent="0.3">
      <c r="A832" s="26" t="str">
        <f ca="1">IF(Calculation!T835&lt;=Calculation!$H$4,Calculation!T835,"")</f>
        <v/>
      </c>
      <c r="B832" s="4" t="str">
        <f ca="1">VLOOKUP(A832,Calculation!$E$6:$J$1004,4,FALSE)</f>
        <v/>
      </c>
      <c r="C832" s="4" t="str">
        <f ca="1">VLOOKUP(A832,Calculation!$E$6:$J$1004,5,FALSE)</f>
        <v/>
      </c>
      <c r="D832" s="4" t="str">
        <f ca="1">VLOOKUP(A832,Calculation!$E$6:$J$1004,6,FALSE)</f>
        <v/>
      </c>
      <c r="E832" s="42" t="str">
        <f t="shared" ca="1" si="6"/>
        <v/>
      </c>
      <c r="G832" s="29" t="str">
        <f ca="1">VLOOKUP(A832,Calculation!$F$6:$J$1004,3,FALSE)</f>
        <v/>
      </c>
      <c r="H832" s="4" t="str">
        <f ca="1">VLOOKUP(A832,Calculation!$F$6:$J$1004,4,FALSE)</f>
        <v/>
      </c>
      <c r="I832" s="4" t="str">
        <f ca="1">VLOOKUP(A832,Calculation!$F$6:$J$1004,5,FALSE)</f>
        <v/>
      </c>
      <c r="J832" s="43" t="str">
        <f t="shared" ca="1" si="7"/>
        <v/>
      </c>
      <c r="L832" s="29" t="str">
        <f ca="1">VLOOKUP(A832,Calculation!$G$6:$S$1004,2,FALSE)</f>
        <v/>
      </c>
      <c r="M832" s="4" t="str">
        <f ca="1">IFERROR(VLOOKUP($L832,Calculation!$H$6:$S$1005,HLOOKUP(M$2,Calculation!$M$4:$S$5,2,FALSE)+5,FALSE),"")</f>
        <v/>
      </c>
      <c r="N832" s="4" t="str">
        <f ca="1">IFERROR(VLOOKUP($L832,Calculation!$H$6:$S$1005,HLOOKUP(N$2,Calculation!$M$4:$S$5,2,FALSE)+5,FALSE),"")</f>
        <v/>
      </c>
      <c r="O832" s="4" t="str">
        <f ca="1">IFERROR(VLOOKUP($L832,Calculation!$H$6:$S$1005,HLOOKUP(O$2,Calculation!$M$4:$S$5,2,FALSE)+5,FALSE),"")</f>
        <v/>
      </c>
      <c r="P832" s="4" t="str">
        <f ca="1">IFERROR(VLOOKUP($L832,Calculation!$H$6:$S$1005,HLOOKUP(P$2,Calculation!$M$4:$S$5,2,FALSE)+5,FALSE),"")</f>
        <v/>
      </c>
      <c r="Q832" s="4" t="str">
        <f ca="1">IFERROR(VLOOKUP($L832,Calculation!$H$6:$S$1005,HLOOKUP(Q$2,Calculation!$M$4:$S$5,2,FALSE)+5,FALSE),"")</f>
        <v/>
      </c>
      <c r="R832" s="27" t="str">
        <f ca="1">IFERROR(VLOOKUP($L832,Calculation!$H$6:$S$1005,HLOOKUP(R$2,Calculation!$M$4:$S$5,2,FALSE)+5,FALSE),"")</f>
        <v/>
      </c>
      <c r="S832" s="4" t="str">
        <f ca="1">IFERROR(VLOOKUP($L832,Calculation!$H$6:$S$1005,HLOOKUP(S$2,Calculation!$M$4:$S$5,2,FALSE)+5,FALSE),"")</f>
        <v/>
      </c>
      <c r="T832" s="29"/>
      <c r="U832" s="43" t="str">
        <f>IFERROR(VLOOKUP(T832,Calculation!$U$6:$V$11,2,FALSE),"")</f>
        <v/>
      </c>
    </row>
    <row r="833" spans="1:21" ht="14.25" customHeight="1" x14ac:dyDescent="0.3">
      <c r="A833" s="26" t="str">
        <f ca="1">IF(Calculation!T836&lt;=Calculation!$H$4,Calculation!T836,"")</f>
        <v/>
      </c>
      <c r="B833" s="4" t="str">
        <f ca="1">VLOOKUP(A833,Calculation!$E$6:$J$1004,4,FALSE)</f>
        <v/>
      </c>
      <c r="C833" s="4" t="str">
        <f ca="1">VLOOKUP(A833,Calculation!$E$6:$J$1004,5,FALSE)</f>
        <v/>
      </c>
      <c r="D833" s="4" t="str">
        <f ca="1">VLOOKUP(A833,Calculation!$E$6:$J$1004,6,FALSE)</f>
        <v/>
      </c>
      <c r="E833" s="42" t="str">
        <f t="shared" ca="1" si="6"/>
        <v/>
      </c>
      <c r="G833" s="29" t="str">
        <f ca="1">VLOOKUP(A833,Calculation!$F$6:$J$1004,3,FALSE)</f>
        <v/>
      </c>
      <c r="H833" s="4" t="str">
        <f ca="1">VLOOKUP(A833,Calculation!$F$6:$J$1004,4,FALSE)</f>
        <v/>
      </c>
      <c r="I833" s="4" t="str">
        <f ca="1">VLOOKUP(A833,Calculation!$F$6:$J$1004,5,FALSE)</f>
        <v/>
      </c>
      <c r="J833" s="43" t="str">
        <f t="shared" ca="1" si="7"/>
        <v/>
      </c>
      <c r="L833" s="29" t="str">
        <f ca="1">VLOOKUP(A833,Calculation!$G$6:$S$1004,2,FALSE)</f>
        <v/>
      </c>
      <c r="M833" s="4" t="str">
        <f ca="1">IFERROR(VLOOKUP($L833,Calculation!$H$6:$S$1005,HLOOKUP(M$2,Calculation!$M$4:$S$5,2,FALSE)+5,FALSE),"")</f>
        <v/>
      </c>
      <c r="N833" s="4" t="str">
        <f ca="1">IFERROR(VLOOKUP($L833,Calculation!$H$6:$S$1005,HLOOKUP(N$2,Calculation!$M$4:$S$5,2,FALSE)+5,FALSE),"")</f>
        <v/>
      </c>
      <c r="O833" s="4" t="str">
        <f ca="1">IFERROR(VLOOKUP($L833,Calculation!$H$6:$S$1005,HLOOKUP(O$2,Calculation!$M$4:$S$5,2,FALSE)+5,FALSE),"")</f>
        <v/>
      </c>
      <c r="P833" s="4" t="str">
        <f ca="1">IFERROR(VLOOKUP($L833,Calculation!$H$6:$S$1005,HLOOKUP(P$2,Calculation!$M$4:$S$5,2,FALSE)+5,FALSE),"")</f>
        <v/>
      </c>
      <c r="Q833" s="4" t="str">
        <f ca="1">IFERROR(VLOOKUP($L833,Calculation!$H$6:$S$1005,HLOOKUP(Q$2,Calculation!$M$4:$S$5,2,FALSE)+5,FALSE),"")</f>
        <v/>
      </c>
      <c r="R833" s="27" t="str">
        <f ca="1">IFERROR(VLOOKUP($L833,Calculation!$H$6:$S$1005,HLOOKUP(R$2,Calculation!$M$4:$S$5,2,FALSE)+5,FALSE),"")</f>
        <v/>
      </c>
      <c r="S833" s="4" t="str">
        <f ca="1">IFERROR(VLOOKUP($L833,Calculation!$H$6:$S$1005,HLOOKUP(S$2,Calculation!$M$4:$S$5,2,FALSE)+5,FALSE),"")</f>
        <v/>
      </c>
      <c r="T833" s="29"/>
      <c r="U833" s="43" t="str">
        <f>IFERROR(VLOOKUP(T833,Calculation!$U$6:$V$11,2,FALSE),"")</f>
        <v/>
      </c>
    </row>
    <row r="834" spans="1:21" ht="14.25" customHeight="1" x14ac:dyDescent="0.3">
      <c r="A834" s="26" t="str">
        <f ca="1">IF(Calculation!T837&lt;=Calculation!$H$4,Calculation!T837,"")</f>
        <v/>
      </c>
      <c r="B834" s="4" t="str">
        <f ca="1">VLOOKUP(A834,Calculation!$E$6:$J$1004,4,FALSE)</f>
        <v/>
      </c>
      <c r="C834" s="4" t="str">
        <f ca="1">VLOOKUP(A834,Calculation!$E$6:$J$1004,5,FALSE)</f>
        <v/>
      </c>
      <c r="D834" s="4" t="str">
        <f ca="1">VLOOKUP(A834,Calculation!$E$6:$J$1004,6,FALSE)</f>
        <v/>
      </c>
      <c r="E834" s="42" t="str">
        <f t="shared" ca="1" si="6"/>
        <v/>
      </c>
      <c r="G834" s="29" t="str">
        <f ca="1">VLOOKUP(A834,Calculation!$F$6:$J$1004,3,FALSE)</f>
        <v/>
      </c>
      <c r="H834" s="4" t="str">
        <f ca="1">VLOOKUP(A834,Calculation!$F$6:$J$1004,4,FALSE)</f>
        <v/>
      </c>
      <c r="I834" s="4" t="str">
        <f ca="1">VLOOKUP(A834,Calculation!$F$6:$J$1004,5,FALSE)</f>
        <v/>
      </c>
      <c r="J834" s="43" t="str">
        <f t="shared" ca="1" si="7"/>
        <v/>
      </c>
      <c r="L834" s="29" t="str">
        <f ca="1">VLOOKUP(A834,Calculation!$G$6:$S$1004,2,FALSE)</f>
        <v/>
      </c>
      <c r="M834" s="4" t="str">
        <f ca="1">IFERROR(VLOOKUP($L834,Calculation!$H$6:$S$1005,HLOOKUP(M$2,Calculation!$M$4:$S$5,2,FALSE)+5,FALSE),"")</f>
        <v/>
      </c>
      <c r="N834" s="4" t="str">
        <f ca="1">IFERROR(VLOOKUP($L834,Calculation!$H$6:$S$1005,HLOOKUP(N$2,Calculation!$M$4:$S$5,2,FALSE)+5,FALSE),"")</f>
        <v/>
      </c>
      <c r="O834" s="4" t="str">
        <f ca="1">IFERROR(VLOOKUP($L834,Calculation!$H$6:$S$1005,HLOOKUP(O$2,Calculation!$M$4:$S$5,2,FALSE)+5,FALSE),"")</f>
        <v/>
      </c>
      <c r="P834" s="4" t="str">
        <f ca="1">IFERROR(VLOOKUP($L834,Calculation!$H$6:$S$1005,HLOOKUP(P$2,Calculation!$M$4:$S$5,2,FALSE)+5,FALSE),"")</f>
        <v/>
      </c>
      <c r="Q834" s="4" t="str">
        <f ca="1">IFERROR(VLOOKUP($L834,Calculation!$H$6:$S$1005,HLOOKUP(Q$2,Calculation!$M$4:$S$5,2,FALSE)+5,FALSE),"")</f>
        <v/>
      </c>
      <c r="R834" s="27" t="str">
        <f ca="1">IFERROR(VLOOKUP($L834,Calculation!$H$6:$S$1005,HLOOKUP(R$2,Calculation!$M$4:$S$5,2,FALSE)+5,FALSE),"")</f>
        <v/>
      </c>
      <c r="S834" s="4" t="str">
        <f ca="1">IFERROR(VLOOKUP($L834,Calculation!$H$6:$S$1005,HLOOKUP(S$2,Calculation!$M$4:$S$5,2,FALSE)+5,FALSE),"")</f>
        <v/>
      </c>
      <c r="T834" s="29"/>
      <c r="U834" s="43" t="str">
        <f>IFERROR(VLOOKUP(T834,Calculation!$U$6:$V$11,2,FALSE),"")</f>
        <v/>
      </c>
    </row>
    <row r="835" spans="1:21" ht="14.25" customHeight="1" x14ac:dyDescent="0.3">
      <c r="A835" s="26" t="str">
        <f ca="1">IF(Calculation!T838&lt;=Calculation!$H$4,Calculation!T838,"")</f>
        <v/>
      </c>
      <c r="B835" s="4" t="str">
        <f ca="1">VLOOKUP(A835,Calculation!$E$6:$J$1004,4,FALSE)</f>
        <v/>
      </c>
      <c r="C835" s="4" t="str">
        <f ca="1">VLOOKUP(A835,Calculation!$E$6:$J$1004,5,FALSE)</f>
        <v/>
      </c>
      <c r="D835" s="4" t="str">
        <f ca="1">VLOOKUP(A835,Calculation!$E$6:$J$1004,6,FALSE)</f>
        <v/>
      </c>
      <c r="E835" s="42" t="str">
        <f t="shared" ca="1" si="6"/>
        <v/>
      </c>
      <c r="G835" s="29" t="str">
        <f ca="1">VLOOKUP(A835,Calculation!$F$6:$J$1004,3,FALSE)</f>
        <v/>
      </c>
      <c r="H835" s="4" t="str">
        <f ca="1">VLOOKUP(A835,Calculation!$F$6:$J$1004,4,FALSE)</f>
        <v/>
      </c>
      <c r="I835" s="4" t="str">
        <f ca="1">VLOOKUP(A835,Calculation!$F$6:$J$1004,5,FALSE)</f>
        <v/>
      </c>
      <c r="J835" s="43" t="str">
        <f t="shared" ca="1" si="7"/>
        <v/>
      </c>
      <c r="L835" s="29" t="str">
        <f ca="1">VLOOKUP(A835,Calculation!$G$6:$S$1004,2,FALSE)</f>
        <v/>
      </c>
      <c r="M835" s="4" t="str">
        <f ca="1">IFERROR(VLOOKUP($L835,Calculation!$H$6:$S$1005,HLOOKUP(M$2,Calculation!$M$4:$S$5,2,FALSE)+5,FALSE),"")</f>
        <v/>
      </c>
      <c r="N835" s="4" t="str">
        <f ca="1">IFERROR(VLOOKUP($L835,Calculation!$H$6:$S$1005,HLOOKUP(N$2,Calculation!$M$4:$S$5,2,FALSE)+5,FALSE),"")</f>
        <v/>
      </c>
      <c r="O835" s="4" t="str">
        <f ca="1">IFERROR(VLOOKUP($L835,Calculation!$H$6:$S$1005,HLOOKUP(O$2,Calculation!$M$4:$S$5,2,FALSE)+5,FALSE),"")</f>
        <v/>
      </c>
      <c r="P835" s="4" t="str">
        <f ca="1">IFERROR(VLOOKUP($L835,Calculation!$H$6:$S$1005,HLOOKUP(P$2,Calculation!$M$4:$S$5,2,FALSE)+5,FALSE),"")</f>
        <v/>
      </c>
      <c r="Q835" s="4" t="str">
        <f ca="1">IFERROR(VLOOKUP($L835,Calculation!$H$6:$S$1005,HLOOKUP(Q$2,Calculation!$M$4:$S$5,2,FALSE)+5,FALSE),"")</f>
        <v/>
      </c>
      <c r="R835" s="27" t="str">
        <f ca="1">IFERROR(VLOOKUP($L835,Calculation!$H$6:$S$1005,HLOOKUP(R$2,Calculation!$M$4:$S$5,2,FALSE)+5,FALSE),"")</f>
        <v/>
      </c>
      <c r="S835" s="4" t="str">
        <f ca="1">IFERROR(VLOOKUP($L835,Calculation!$H$6:$S$1005,HLOOKUP(S$2,Calculation!$M$4:$S$5,2,FALSE)+5,FALSE),"")</f>
        <v/>
      </c>
      <c r="T835" s="29"/>
      <c r="U835" s="43" t="str">
        <f>IFERROR(VLOOKUP(T835,Calculation!$U$6:$V$11,2,FALSE),"")</f>
        <v/>
      </c>
    </row>
    <row r="836" spans="1:21" ht="14.25" customHeight="1" x14ac:dyDescent="0.3">
      <c r="A836" s="26" t="str">
        <f ca="1">IF(Calculation!T839&lt;=Calculation!$H$4,Calculation!T839,"")</f>
        <v/>
      </c>
      <c r="B836" s="4" t="str">
        <f ca="1">VLOOKUP(A836,Calculation!$E$6:$J$1004,4,FALSE)</f>
        <v/>
      </c>
      <c r="C836" s="4" t="str">
        <f ca="1">VLOOKUP(A836,Calculation!$E$6:$J$1004,5,FALSE)</f>
        <v/>
      </c>
      <c r="D836" s="4" t="str">
        <f ca="1">VLOOKUP(A836,Calculation!$E$6:$J$1004,6,FALSE)</f>
        <v/>
      </c>
      <c r="E836" s="42" t="str">
        <f t="shared" ca="1" si="6"/>
        <v/>
      </c>
      <c r="G836" s="29" t="str">
        <f ca="1">VLOOKUP(A836,Calculation!$F$6:$J$1004,3,FALSE)</f>
        <v/>
      </c>
      <c r="H836" s="4" t="str">
        <f ca="1">VLOOKUP(A836,Calculation!$F$6:$J$1004,4,FALSE)</f>
        <v/>
      </c>
      <c r="I836" s="4" t="str">
        <f ca="1">VLOOKUP(A836,Calculation!$F$6:$J$1004,5,FALSE)</f>
        <v/>
      </c>
      <c r="J836" s="43" t="str">
        <f t="shared" ca="1" si="7"/>
        <v/>
      </c>
      <c r="L836" s="29" t="str">
        <f ca="1">VLOOKUP(A836,Calculation!$G$6:$S$1004,2,FALSE)</f>
        <v/>
      </c>
      <c r="M836" s="4" t="str">
        <f ca="1">IFERROR(VLOOKUP($L836,Calculation!$H$6:$S$1005,HLOOKUP(M$2,Calculation!$M$4:$S$5,2,FALSE)+5,FALSE),"")</f>
        <v/>
      </c>
      <c r="N836" s="4" t="str">
        <f ca="1">IFERROR(VLOOKUP($L836,Calculation!$H$6:$S$1005,HLOOKUP(N$2,Calculation!$M$4:$S$5,2,FALSE)+5,FALSE),"")</f>
        <v/>
      </c>
      <c r="O836" s="4" t="str">
        <f ca="1">IFERROR(VLOOKUP($L836,Calculation!$H$6:$S$1005,HLOOKUP(O$2,Calculation!$M$4:$S$5,2,FALSE)+5,FALSE),"")</f>
        <v/>
      </c>
      <c r="P836" s="4" t="str">
        <f ca="1">IFERROR(VLOOKUP($L836,Calculation!$H$6:$S$1005,HLOOKUP(P$2,Calculation!$M$4:$S$5,2,FALSE)+5,FALSE),"")</f>
        <v/>
      </c>
      <c r="Q836" s="4" t="str">
        <f ca="1">IFERROR(VLOOKUP($L836,Calculation!$H$6:$S$1005,HLOOKUP(Q$2,Calculation!$M$4:$S$5,2,FALSE)+5,FALSE),"")</f>
        <v/>
      </c>
      <c r="R836" s="27" t="str">
        <f ca="1">IFERROR(VLOOKUP($L836,Calculation!$H$6:$S$1005,HLOOKUP(R$2,Calculation!$M$4:$S$5,2,FALSE)+5,FALSE),"")</f>
        <v/>
      </c>
      <c r="S836" s="4" t="str">
        <f ca="1">IFERROR(VLOOKUP($L836,Calculation!$H$6:$S$1005,HLOOKUP(S$2,Calculation!$M$4:$S$5,2,FALSE)+5,FALSE),"")</f>
        <v/>
      </c>
      <c r="T836" s="29"/>
      <c r="U836" s="43" t="str">
        <f>IFERROR(VLOOKUP(T836,Calculation!$U$6:$V$11,2,FALSE),"")</f>
        <v/>
      </c>
    </row>
    <row r="837" spans="1:21" ht="14.25" customHeight="1" x14ac:dyDescent="0.3">
      <c r="A837" s="26" t="str">
        <f ca="1">IF(Calculation!T840&lt;=Calculation!$H$4,Calculation!T840,"")</f>
        <v/>
      </c>
      <c r="B837" s="4" t="str">
        <f ca="1">VLOOKUP(A837,Calculation!$E$6:$J$1004,4,FALSE)</f>
        <v/>
      </c>
      <c r="C837" s="4" t="str">
        <f ca="1">VLOOKUP(A837,Calculation!$E$6:$J$1004,5,FALSE)</f>
        <v/>
      </c>
      <c r="D837" s="4" t="str">
        <f ca="1">VLOOKUP(A837,Calculation!$E$6:$J$1004,6,FALSE)</f>
        <v/>
      </c>
      <c r="E837" s="42" t="str">
        <f t="shared" ca="1" si="6"/>
        <v/>
      </c>
      <c r="G837" s="29" t="str">
        <f ca="1">VLOOKUP(A837,Calculation!$F$6:$J$1004,3,FALSE)</f>
        <v/>
      </c>
      <c r="H837" s="4" t="str">
        <f ca="1">VLOOKUP(A837,Calculation!$F$6:$J$1004,4,FALSE)</f>
        <v/>
      </c>
      <c r="I837" s="4" t="str">
        <f ca="1">VLOOKUP(A837,Calculation!$F$6:$J$1004,5,FALSE)</f>
        <v/>
      </c>
      <c r="J837" s="43" t="str">
        <f t="shared" ca="1" si="7"/>
        <v/>
      </c>
      <c r="L837" s="29" t="str">
        <f ca="1">VLOOKUP(A837,Calculation!$G$6:$S$1004,2,FALSE)</f>
        <v/>
      </c>
      <c r="M837" s="4" t="str">
        <f ca="1">IFERROR(VLOOKUP($L837,Calculation!$H$6:$S$1005,HLOOKUP(M$2,Calculation!$M$4:$S$5,2,FALSE)+5,FALSE),"")</f>
        <v/>
      </c>
      <c r="N837" s="4" t="str">
        <f ca="1">IFERROR(VLOOKUP($L837,Calculation!$H$6:$S$1005,HLOOKUP(N$2,Calculation!$M$4:$S$5,2,FALSE)+5,FALSE),"")</f>
        <v/>
      </c>
      <c r="O837" s="4" t="str">
        <f ca="1">IFERROR(VLOOKUP($L837,Calculation!$H$6:$S$1005,HLOOKUP(O$2,Calculation!$M$4:$S$5,2,FALSE)+5,FALSE),"")</f>
        <v/>
      </c>
      <c r="P837" s="4" t="str">
        <f ca="1">IFERROR(VLOOKUP($L837,Calculation!$H$6:$S$1005,HLOOKUP(P$2,Calculation!$M$4:$S$5,2,FALSE)+5,FALSE),"")</f>
        <v/>
      </c>
      <c r="Q837" s="4" t="str">
        <f ca="1">IFERROR(VLOOKUP($L837,Calculation!$H$6:$S$1005,HLOOKUP(Q$2,Calculation!$M$4:$S$5,2,FALSE)+5,FALSE),"")</f>
        <v/>
      </c>
      <c r="R837" s="27" t="str">
        <f ca="1">IFERROR(VLOOKUP($L837,Calculation!$H$6:$S$1005,HLOOKUP(R$2,Calculation!$M$4:$S$5,2,FALSE)+5,FALSE),"")</f>
        <v/>
      </c>
      <c r="S837" s="4" t="str">
        <f ca="1">IFERROR(VLOOKUP($L837,Calculation!$H$6:$S$1005,HLOOKUP(S$2,Calculation!$M$4:$S$5,2,FALSE)+5,FALSE),"")</f>
        <v/>
      </c>
      <c r="T837" s="29"/>
      <c r="U837" s="43" t="str">
        <f>IFERROR(VLOOKUP(T837,Calculation!$U$6:$V$11,2,FALSE),"")</f>
        <v/>
      </c>
    </row>
    <row r="838" spans="1:21" ht="14.25" customHeight="1" x14ac:dyDescent="0.3">
      <c r="A838" s="26" t="str">
        <f ca="1">IF(Calculation!T841&lt;=Calculation!$H$4,Calculation!T841,"")</f>
        <v/>
      </c>
      <c r="B838" s="4" t="str">
        <f ca="1">VLOOKUP(A838,Calculation!$E$6:$J$1004,4,FALSE)</f>
        <v/>
      </c>
      <c r="C838" s="4" t="str">
        <f ca="1">VLOOKUP(A838,Calculation!$E$6:$J$1004,5,FALSE)</f>
        <v/>
      </c>
      <c r="D838" s="4" t="str">
        <f ca="1">VLOOKUP(A838,Calculation!$E$6:$J$1004,6,FALSE)</f>
        <v/>
      </c>
      <c r="E838" s="42" t="str">
        <f t="shared" ca="1" si="6"/>
        <v/>
      </c>
      <c r="G838" s="29" t="str">
        <f ca="1">VLOOKUP(A838,Calculation!$F$6:$J$1004,3,FALSE)</f>
        <v/>
      </c>
      <c r="H838" s="4" t="str">
        <f ca="1">VLOOKUP(A838,Calculation!$F$6:$J$1004,4,FALSE)</f>
        <v/>
      </c>
      <c r="I838" s="4" t="str">
        <f ca="1">VLOOKUP(A838,Calculation!$F$6:$J$1004,5,FALSE)</f>
        <v/>
      </c>
      <c r="J838" s="43" t="str">
        <f t="shared" ca="1" si="7"/>
        <v/>
      </c>
      <c r="L838" s="29" t="str">
        <f ca="1">VLOOKUP(A838,Calculation!$G$6:$S$1004,2,FALSE)</f>
        <v/>
      </c>
      <c r="M838" s="4" t="str">
        <f ca="1">IFERROR(VLOOKUP($L838,Calculation!$H$6:$S$1005,HLOOKUP(M$2,Calculation!$M$4:$S$5,2,FALSE)+5,FALSE),"")</f>
        <v/>
      </c>
      <c r="N838" s="4" t="str">
        <f ca="1">IFERROR(VLOOKUP($L838,Calculation!$H$6:$S$1005,HLOOKUP(N$2,Calculation!$M$4:$S$5,2,FALSE)+5,FALSE),"")</f>
        <v/>
      </c>
      <c r="O838" s="4" t="str">
        <f ca="1">IFERROR(VLOOKUP($L838,Calculation!$H$6:$S$1005,HLOOKUP(O$2,Calculation!$M$4:$S$5,2,FALSE)+5,FALSE),"")</f>
        <v/>
      </c>
      <c r="P838" s="4" t="str">
        <f ca="1">IFERROR(VLOOKUP($L838,Calculation!$H$6:$S$1005,HLOOKUP(P$2,Calculation!$M$4:$S$5,2,FALSE)+5,FALSE),"")</f>
        <v/>
      </c>
      <c r="Q838" s="4" t="str">
        <f ca="1">IFERROR(VLOOKUP($L838,Calculation!$H$6:$S$1005,HLOOKUP(Q$2,Calculation!$M$4:$S$5,2,FALSE)+5,FALSE),"")</f>
        <v/>
      </c>
      <c r="R838" s="27" t="str">
        <f ca="1">IFERROR(VLOOKUP($L838,Calculation!$H$6:$S$1005,HLOOKUP(R$2,Calculation!$M$4:$S$5,2,FALSE)+5,FALSE),"")</f>
        <v/>
      </c>
      <c r="S838" s="4" t="str">
        <f ca="1">IFERROR(VLOOKUP($L838,Calculation!$H$6:$S$1005,HLOOKUP(S$2,Calculation!$M$4:$S$5,2,FALSE)+5,FALSE),"")</f>
        <v/>
      </c>
      <c r="T838" s="29"/>
      <c r="U838" s="43" t="str">
        <f>IFERROR(VLOOKUP(T838,Calculation!$U$6:$V$11,2,FALSE),"")</f>
        <v/>
      </c>
    </row>
    <row r="839" spans="1:21" ht="14.25" customHeight="1" x14ac:dyDescent="0.3">
      <c r="A839" s="26" t="str">
        <f ca="1">IF(Calculation!T842&lt;=Calculation!$H$4,Calculation!T842,"")</f>
        <v/>
      </c>
      <c r="B839" s="4" t="str">
        <f ca="1">VLOOKUP(A839,Calculation!$E$6:$J$1004,4,FALSE)</f>
        <v/>
      </c>
      <c r="C839" s="4" t="str">
        <f ca="1">VLOOKUP(A839,Calculation!$E$6:$J$1004,5,FALSE)</f>
        <v/>
      </c>
      <c r="D839" s="4" t="str">
        <f ca="1">VLOOKUP(A839,Calculation!$E$6:$J$1004,6,FALSE)</f>
        <v/>
      </c>
      <c r="E839" s="42" t="str">
        <f t="shared" ca="1" si="6"/>
        <v/>
      </c>
      <c r="G839" s="29" t="str">
        <f ca="1">VLOOKUP(A839,Calculation!$F$6:$J$1004,3,FALSE)</f>
        <v/>
      </c>
      <c r="H839" s="4" t="str">
        <f ca="1">VLOOKUP(A839,Calculation!$F$6:$J$1004,4,FALSE)</f>
        <v/>
      </c>
      <c r="I839" s="4" t="str">
        <f ca="1">VLOOKUP(A839,Calculation!$F$6:$J$1004,5,FALSE)</f>
        <v/>
      </c>
      <c r="J839" s="43" t="str">
        <f t="shared" ca="1" si="7"/>
        <v/>
      </c>
      <c r="L839" s="29" t="str">
        <f ca="1">VLOOKUP(A839,Calculation!$G$6:$S$1004,2,FALSE)</f>
        <v/>
      </c>
      <c r="M839" s="4" t="str">
        <f ca="1">IFERROR(VLOOKUP($L839,Calculation!$H$6:$S$1005,HLOOKUP(M$2,Calculation!$M$4:$S$5,2,FALSE)+5,FALSE),"")</f>
        <v/>
      </c>
      <c r="N839" s="4" t="str">
        <f ca="1">IFERROR(VLOOKUP($L839,Calculation!$H$6:$S$1005,HLOOKUP(N$2,Calculation!$M$4:$S$5,2,FALSE)+5,FALSE),"")</f>
        <v/>
      </c>
      <c r="O839" s="4" t="str">
        <f ca="1">IFERROR(VLOOKUP($L839,Calculation!$H$6:$S$1005,HLOOKUP(O$2,Calculation!$M$4:$S$5,2,FALSE)+5,FALSE),"")</f>
        <v/>
      </c>
      <c r="P839" s="4" t="str">
        <f ca="1">IFERROR(VLOOKUP($L839,Calculation!$H$6:$S$1005,HLOOKUP(P$2,Calculation!$M$4:$S$5,2,FALSE)+5,FALSE),"")</f>
        <v/>
      </c>
      <c r="Q839" s="4" t="str">
        <f ca="1">IFERROR(VLOOKUP($L839,Calculation!$H$6:$S$1005,HLOOKUP(Q$2,Calculation!$M$4:$S$5,2,FALSE)+5,FALSE),"")</f>
        <v/>
      </c>
      <c r="R839" s="27" t="str">
        <f ca="1">IFERROR(VLOOKUP($L839,Calculation!$H$6:$S$1005,HLOOKUP(R$2,Calculation!$M$4:$S$5,2,FALSE)+5,FALSE),"")</f>
        <v/>
      </c>
      <c r="S839" s="4" t="str">
        <f ca="1">IFERROR(VLOOKUP($L839,Calculation!$H$6:$S$1005,HLOOKUP(S$2,Calculation!$M$4:$S$5,2,FALSE)+5,FALSE),"")</f>
        <v/>
      </c>
      <c r="T839" s="29"/>
      <c r="U839" s="43" t="str">
        <f>IFERROR(VLOOKUP(T839,Calculation!$U$6:$V$11,2,FALSE),"")</f>
        <v/>
      </c>
    </row>
    <row r="840" spans="1:21" ht="14.25" customHeight="1" x14ac:dyDescent="0.3">
      <c r="A840" s="26" t="str">
        <f ca="1">IF(Calculation!T843&lt;=Calculation!$H$4,Calculation!T843,"")</f>
        <v/>
      </c>
      <c r="B840" s="4" t="str">
        <f ca="1">VLOOKUP(A840,Calculation!$E$6:$J$1004,4,FALSE)</f>
        <v/>
      </c>
      <c r="C840" s="4" t="str">
        <f ca="1">VLOOKUP(A840,Calculation!$E$6:$J$1004,5,FALSE)</f>
        <v/>
      </c>
      <c r="D840" s="4" t="str">
        <f ca="1">VLOOKUP(A840,Calculation!$E$6:$J$1004,6,FALSE)</f>
        <v/>
      </c>
      <c r="E840" s="42" t="str">
        <f t="shared" ca="1" si="6"/>
        <v/>
      </c>
      <c r="G840" s="29" t="str">
        <f ca="1">VLOOKUP(A840,Calculation!$F$6:$J$1004,3,FALSE)</f>
        <v/>
      </c>
      <c r="H840" s="4" t="str">
        <f ca="1">VLOOKUP(A840,Calculation!$F$6:$J$1004,4,FALSE)</f>
        <v/>
      </c>
      <c r="I840" s="4" t="str">
        <f ca="1">VLOOKUP(A840,Calculation!$F$6:$J$1004,5,FALSE)</f>
        <v/>
      </c>
      <c r="J840" s="43" t="str">
        <f t="shared" ca="1" si="7"/>
        <v/>
      </c>
      <c r="L840" s="29" t="str">
        <f ca="1">VLOOKUP(A840,Calculation!$G$6:$S$1004,2,FALSE)</f>
        <v/>
      </c>
      <c r="M840" s="4" t="str">
        <f ca="1">IFERROR(VLOOKUP($L840,Calculation!$H$6:$S$1005,HLOOKUP(M$2,Calculation!$M$4:$S$5,2,FALSE)+5,FALSE),"")</f>
        <v/>
      </c>
      <c r="N840" s="4" t="str">
        <f ca="1">IFERROR(VLOOKUP($L840,Calculation!$H$6:$S$1005,HLOOKUP(N$2,Calculation!$M$4:$S$5,2,FALSE)+5,FALSE),"")</f>
        <v/>
      </c>
      <c r="O840" s="4" t="str">
        <f ca="1">IFERROR(VLOOKUP($L840,Calculation!$H$6:$S$1005,HLOOKUP(O$2,Calculation!$M$4:$S$5,2,FALSE)+5,FALSE),"")</f>
        <v/>
      </c>
      <c r="P840" s="4" t="str">
        <f ca="1">IFERROR(VLOOKUP($L840,Calculation!$H$6:$S$1005,HLOOKUP(P$2,Calculation!$M$4:$S$5,2,FALSE)+5,FALSE),"")</f>
        <v/>
      </c>
      <c r="Q840" s="4" t="str">
        <f ca="1">IFERROR(VLOOKUP($L840,Calculation!$H$6:$S$1005,HLOOKUP(Q$2,Calculation!$M$4:$S$5,2,FALSE)+5,FALSE),"")</f>
        <v/>
      </c>
      <c r="R840" s="27" t="str">
        <f ca="1">IFERROR(VLOOKUP($L840,Calculation!$H$6:$S$1005,HLOOKUP(R$2,Calculation!$M$4:$S$5,2,FALSE)+5,FALSE),"")</f>
        <v/>
      </c>
      <c r="S840" s="4" t="str">
        <f ca="1">IFERROR(VLOOKUP($L840,Calculation!$H$6:$S$1005,HLOOKUP(S$2,Calculation!$M$4:$S$5,2,FALSE)+5,FALSE),"")</f>
        <v/>
      </c>
      <c r="T840" s="29"/>
      <c r="U840" s="43" t="str">
        <f>IFERROR(VLOOKUP(T840,Calculation!$U$6:$V$11,2,FALSE),"")</f>
        <v/>
      </c>
    </row>
    <row r="841" spans="1:21" ht="14.25" customHeight="1" x14ac:dyDescent="0.3">
      <c r="A841" s="26" t="str">
        <f ca="1">IF(Calculation!T844&lt;=Calculation!$H$4,Calculation!T844,"")</f>
        <v/>
      </c>
      <c r="B841" s="4" t="str">
        <f ca="1">VLOOKUP(A841,Calculation!$E$6:$J$1004,4,FALSE)</f>
        <v/>
      </c>
      <c r="C841" s="4" t="str">
        <f ca="1">VLOOKUP(A841,Calculation!$E$6:$J$1004,5,FALSE)</f>
        <v/>
      </c>
      <c r="D841" s="4" t="str">
        <f ca="1">VLOOKUP(A841,Calculation!$E$6:$J$1004,6,FALSE)</f>
        <v/>
      </c>
      <c r="E841" s="42" t="str">
        <f t="shared" ca="1" si="6"/>
        <v/>
      </c>
      <c r="G841" s="29" t="str">
        <f ca="1">VLOOKUP(A841,Calculation!$F$6:$J$1004,3,FALSE)</f>
        <v/>
      </c>
      <c r="H841" s="4" t="str">
        <f ca="1">VLOOKUP(A841,Calculation!$F$6:$J$1004,4,FALSE)</f>
        <v/>
      </c>
      <c r="I841" s="4" t="str">
        <f ca="1">VLOOKUP(A841,Calculation!$F$6:$J$1004,5,FALSE)</f>
        <v/>
      </c>
      <c r="J841" s="43" t="str">
        <f t="shared" ca="1" si="7"/>
        <v/>
      </c>
      <c r="L841" s="29" t="str">
        <f ca="1">VLOOKUP(A841,Calculation!$G$6:$S$1004,2,FALSE)</f>
        <v/>
      </c>
      <c r="M841" s="4" t="str">
        <f ca="1">IFERROR(VLOOKUP($L841,Calculation!$H$6:$S$1005,HLOOKUP(M$2,Calculation!$M$4:$S$5,2,FALSE)+5,FALSE),"")</f>
        <v/>
      </c>
      <c r="N841" s="4" t="str">
        <f ca="1">IFERROR(VLOOKUP($L841,Calculation!$H$6:$S$1005,HLOOKUP(N$2,Calculation!$M$4:$S$5,2,FALSE)+5,FALSE),"")</f>
        <v/>
      </c>
      <c r="O841" s="4" t="str">
        <f ca="1">IFERROR(VLOOKUP($L841,Calculation!$H$6:$S$1005,HLOOKUP(O$2,Calculation!$M$4:$S$5,2,FALSE)+5,FALSE),"")</f>
        <v/>
      </c>
      <c r="P841" s="4" t="str">
        <f ca="1">IFERROR(VLOOKUP($L841,Calculation!$H$6:$S$1005,HLOOKUP(P$2,Calculation!$M$4:$S$5,2,FALSE)+5,FALSE),"")</f>
        <v/>
      </c>
      <c r="Q841" s="4" t="str">
        <f ca="1">IFERROR(VLOOKUP($L841,Calculation!$H$6:$S$1005,HLOOKUP(Q$2,Calculation!$M$4:$S$5,2,FALSE)+5,FALSE),"")</f>
        <v/>
      </c>
      <c r="R841" s="27" t="str">
        <f ca="1">IFERROR(VLOOKUP($L841,Calculation!$H$6:$S$1005,HLOOKUP(R$2,Calculation!$M$4:$S$5,2,FALSE)+5,FALSE),"")</f>
        <v/>
      </c>
      <c r="S841" s="4" t="str">
        <f ca="1">IFERROR(VLOOKUP($L841,Calculation!$H$6:$S$1005,HLOOKUP(S$2,Calculation!$M$4:$S$5,2,FALSE)+5,FALSE),"")</f>
        <v/>
      </c>
      <c r="T841" s="29"/>
      <c r="U841" s="43" t="str">
        <f>IFERROR(VLOOKUP(T841,Calculation!$U$6:$V$11,2,FALSE),"")</f>
        <v/>
      </c>
    </row>
    <row r="842" spans="1:21" ht="14.25" customHeight="1" x14ac:dyDescent="0.3">
      <c r="A842" s="26" t="str">
        <f ca="1">IF(Calculation!T845&lt;=Calculation!$H$4,Calculation!T845,"")</f>
        <v/>
      </c>
      <c r="B842" s="4" t="str">
        <f ca="1">VLOOKUP(A842,Calculation!$E$6:$J$1004,4,FALSE)</f>
        <v/>
      </c>
      <c r="C842" s="4" t="str">
        <f ca="1">VLOOKUP(A842,Calculation!$E$6:$J$1004,5,FALSE)</f>
        <v/>
      </c>
      <c r="D842" s="4" t="str">
        <f ca="1">VLOOKUP(A842,Calculation!$E$6:$J$1004,6,FALSE)</f>
        <v/>
      </c>
      <c r="E842" s="42" t="str">
        <f t="shared" ca="1" si="6"/>
        <v/>
      </c>
      <c r="G842" s="29" t="str">
        <f ca="1">VLOOKUP(A842,Calculation!$F$6:$J$1004,3,FALSE)</f>
        <v/>
      </c>
      <c r="H842" s="4" t="str">
        <f ca="1">VLOOKUP(A842,Calculation!$F$6:$J$1004,4,FALSE)</f>
        <v/>
      </c>
      <c r="I842" s="4" t="str">
        <f ca="1">VLOOKUP(A842,Calculation!$F$6:$J$1004,5,FALSE)</f>
        <v/>
      </c>
      <c r="J842" s="43" t="str">
        <f t="shared" ca="1" si="7"/>
        <v/>
      </c>
      <c r="L842" s="29" t="str">
        <f ca="1">VLOOKUP(A842,Calculation!$G$6:$S$1004,2,FALSE)</f>
        <v/>
      </c>
      <c r="M842" s="4" t="str">
        <f ca="1">IFERROR(VLOOKUP($L842,Calculation!$H$6:$S$1005,HLOOKUP(M$2,Calculation!$M$4:$S$5,2,FALSE)+5,FALSE),"")</f>
        <v/>
      </c>
      <c r="N842" s="4" t="str">
        <f ca="1">IFERROR(VLOOKUP($L842,Calculation!$H$6:$S$1005,HLOOKUP(N$2,Calculation!$M$4:$S$5,2,FALSE)+5,FALSE),"")</f>
        <v/>
      </c>
      <c r="O842" s="4" t="str">
        <f ca="1">IFERROR(VLOOKUP($L842,Calculation!$H$6:$S$1005,HLOOKUP(O$2,Calculation!$M$4:$S$5,2,FALSE)+5,FALSE),"")</f>
        <v/>
      </c>
      <c r="P842" s="4" t="str">
        <f ca="1">IFERROR(VLOOKUP($L842,Calculation!$H$6:$S$1005,HLOOKUP(P$2,Calculation!$M$4:$S$5,2,FALSE)+5,FALSE),"")</f>
        <v/>
      </c>
      <c r="Q842" s="4" t="str">
        <f ca="1">IFERROR(VLOOKUP($L842,Calculation!$H$6:$S$1005,HLOOKUP(Q$2,Calculation!$M$4:$S$5,2,FALSE)+5,FALSE),"")</f>
        <v/>
      </c>
      <c r="R842" s="27" t="str">
        <f ca="1">IFERROR(VLOOKUP($L842,Calculation!$H$6:$S$1005,HLOOKUP(R$2,Calculation!$M$4:$S$5,2,FALSE)+5,FALSE),"")</f>
        <v/>
      </c>
      <c r="S842" s="4" t="str">
        <f ca="1">IFERROR(VLOOKUP($L842,Calculation!$H$6:$S$1005,HLOOKUP(S$2,Calculation!$M$4:$S$5,2,FALSE)+5,FALSE),"")</f>
        <v/>
      </c>
      <c r="T842" s="29"/>
      <c r="U842" s="43" t="str">
        <f>IFERROR(VLOOKUP(T842,Calculation!$U$6:$V$11,2,FALSE),"")</f>
        <v/>
      </c>
    </row>
    <row r="843" spans="1:21" ht="14.25" customHeight="1" x14ac:dyDescent="0.3">
      <c r="A843" s="26" t="str">
        <f ca="1">IF(Calculation!T846&lt;=Calculation!$H$4,Calculation!T846,"")</f>
        <v/>
      </c>
      <c r="B843" s="4" t="str">
        <f ca="1">VLOOKUP(A843,Calculation!$E$6:$J$1004,4,FALSE)</f>
        <v/>
      </c>
      <c r="C843" s="4" t="str">
        <f ca="1">VLOOKUP(A843,Calculation!$E$6:$J$1004,5,FALSE)</f>
        <v/>
      </c>
      <c r="D843" s="4" t="str">
        <f ca="1">VLOOKUP(A843,Calculation!$E$6:$J$1004,6,FALSE)</f>
        <v/>
      </c>
      <c r="E843" s="42" t="str">
        <f t="shared" ca="1" si="6"/>
        <v/>
      </c>
      <c r="G843" s="29" t="str">
        <f ca="1">VLOOKUP(A843,Calculation!$F$6:$J$1004,3,FALSE)</f>
        <v/>
      </c>
      <c r="H843" s="4" t="str">
        <f ca="1">VLOOKUP(A843,Calculation!$F$6:$J$1004,4,FALSE)</f>
        <v/>
      </c>
      <c r="I843" s="4" t="str">
        <f ca="1">VLOOKUP(A843,Calculation!$F$6:$J$1004,5,FALSE)</f>
        <v/>
      </c>
      <c r="J843" s="43" t="str">
        <f t="shared" ca="1" si="7"/>
        <v/>
      </c>
      <c r="L843" s="29" t="str">
        <f ca="1">VLOOKUP(A843,Calculation!$G$6:$S$1004,2,FALSE)</f>
        <v/>
      </c>
      <c r="M843" s="4" t="str">
        <f ca="1">IFERROR(VLOOKUP($L843,Calculation!$H$6:$S$1005,HLOOKUP(M$2,Calculation!$M$4:$S$5,2,FALSE)+5,FALSE),"")</f>
        <v/>
      </c>
      <c r="N843" s="4" t="str">
        <f ca="1">IFERROR(VLOOKUP($L843,Calculation!$H$6:$S$1005,HLOOKUP(N$2,Calculation!$M$4:$S$5,2,FALSE)+5,FALSE),"")</f>
        <v/>
      </c>
      <c r="O843" s="4" t="str">
        <f ca="1">IFERROR(VLOOKUP($L843,Calculation!$H$6:$S$1005,HLOOKUP(O$2,Calculation!$M$4:$S$5,2,FALSE)+5,FALSE),"")</f>
        <v/>
      </c>
      <c r="P843" s="4" t="str">
        <f ca="1">IFERROR(VLOOKUP($L843,Calculation!$H$6:$S$1005,HLOOKUP(P$2,Calculation!$M$4:$S$5,2,FALSE)+5,FALSE),"")</f>
        <v/>
      </c>
      <c r="Q843" s="4" t="str">
        <f ca="1">IFERROR(VLOOKUP($L843,Calculation!$H$6:$S$1005,HLOOKUP(Q$2,Calculation!$M$4:$S$5,2,FALSE)+5,FALSE),"")</f>
        <v/>
      </c>
      <c r="R843" s="27" t="str">
        <f ca="1">IFERROR(VLOOKUP($L843,Calculation!$H$6:$S$1005,HLOOKUP(R$2,Calculation!$M$4:$S$5,2,FALSE)+5,FALSE),"")</f>
        <v/>
      </c>
      <c r="S843" s="4" t="str">
        <f ca="1">IFERROR(VLOOKUP($L843,Calculation!$H$6:$S$1005,HLOOKUP(S$2,Calculation!$M$4:$S$5,2,FALSE)+5,FALSE),"")</f>
        <v/>
      </c>
      <c r="T843" s="29"/>
      <c r="U843" s="43" t="str">
        <f>IFERROR(VLOOKUP(T843,Calculation!$U$6:$V$11,2,FALSE),"")</f>
        <v/>
      </c>
    </row>
    <row r="844" spans="1:21" ht="14.25" customHeight="1" x14ac:dyDescent="0.3">
      <c r="A844" s="26" t="str">
        <f ca="1">IF(Calculation!T847&lt;=Calculation!$H$4,Calculation!T847,"")</f>
        <v/>
      </c>
      <c r="B844" s="4" t="str">
        <f ca="1">VLOOKUP(A844,Calculation!$E$6:$J$1004,4,FALSE)</f>
        <v/>
      </c>
      <c r="C844" s="4" t="str">
        <f ca="1">VLOOKUP(A844,Calculation!$E$6:$J$1004,5,FALSE)</f>
        <v/>
      </c>
      <c r="D844" s="4" t="str">
        <f ca="1">VLOOKUP(A844,Calculation!$E$6:$J$1004,6,FALSE)</f>
        <v/>
      </c>
      <c r="E844" s="42" t="str">
        <f t="shared" ca="1" si="6"/>
        <v/>
      </c>
      <c r="G844" s="29" t="str">
        <f ca="1">VLOOKUP(A844,Calculation!$F$6:$J$1004,3,FALSE)</f>
        <v/>
      </c>
      <c r="H844" s="4" t="str">
        <f ca="1">VLOOKUP(A844,Calculation!$F$6:$J$1004,4,FALSE)</f>
        <v/>
      </c>
      <c r="I844" s="4" t="str">
        <f ca="1">VLOOKUP(A844,Calculation!$F$6:$J$1004,5,FALSE)</f>
        <v/>
      </c>
      <c r="J844" s="43" t="str">
        <f t="shared" ca="1" si="7"/>
        <v/>
      </c>
      <c r="L844" s="29" t="str">
        <f ca="1">VLOOKUP(A844,Calculation!$G$6:$S$1004,2,FALSE)</f>
        <v/>
      </c>
      <c r="M844" s="4" t="str">
        <f ca="1">IFERROR(VLOOKUP($L844,Calculation!$H$6:$S$1005,HLOOKUP(M$2,Calculation!$M$4:$S$5,2,FALSE)+5,FALSE),"")</f>
        <v/>
      </c>
      <c r="N844" s="4" t="str">
        <f ca="1">IFERROR(VLOOKUP($L844,Calculation!$H$6:$S$1005,HLOOKUP(N$2,Calculation!$M$4:$S$5,2,FALSE)+5,FALSE),"")</f>
        <v/>
      </c>
      <c r="O844" s="4" t="str">
        <f ca="1">IFERROR(VLOOKUP($L844,Calculation!$H$6:$S$1005,HLOOKUP(O$2,Calculation!$M$4:$S$5,2,FALSE)+5,FALSE),"")</f>
        <v/>
      </c>
      <c r="P844" s="4" t="str">
        <f ca="1">IFERROR(VLOOKUP($L844,Calculation!$H$6:$S$1005,HLOOKUP(P$2,Calculation!$M$4:$S$5,2,FALSE)+5,FALSE),"")</f>
        <v/>
      </c>
      <c r="Q844" s="4" t="str">
        <f ca="1">IFERROR(VLOOKUP($L844,Calculation!$H$6:$S$1005,HLOOKUP(Q$2,Calculation!$M$4:$S$5,2,FALSE)+5,FALSE),"")</f>
        <v/>
      </c>
      <c r="R844" s="27" t="str">
        <f ca="1">IFERROR(VLOOKUP($L844,Calculation!$H$6:$S$1005,HLOOKUP(R$2,Calculation!$M$4:$S$5,2,FALSE)+5,FALSE),"")</f>
        <v/>
      </c>
      <c r="S844" s="4" t="str">
        <f ca="1">IFERROR(VLOOKUP($L844,Calculation!$H$6:$S$1005,HLOOKUP(S$2,Calculation!$M$4:$S$5,2,FALSE)+5,FALSE),"")</f>
        <v/>
      </c>
      <c r="T844" s="29"/>
      <c r="U844" s="43" t="str">
        <f>IFERROR(VLOOKUP(T844,Calculation!$U$6:$V$11,2,FALSE),"")</f>
        <v/>
      </c>
    </row>
    <row r="845" spans="1:21" ht="14.25" customHeight="1" x14ac:dyDescent="0.3">
      <c r="A845" s="26" t="str">
        <f ca="1">IF(Calculation!T848&lt;=Calculation!$H$4,Calculation!T848,"")</f>
        <v/>
      </c>
      <c r="B845" s="4" t="str">
        <f ca="1">VLOOKUP(A845,Calculation!$E$6:$J$1004,4,FALSE)</f>
        <v/>
      </c>
      <c r="C845" s="4" t="str">
        <f ca="1">VLOOKUP(A845,Calculation!$E$6:$J$1004,5,FALSE)</f>
        <v/>
      </c>
      <c r="D845" s="4" t="str">
        <f ca="1">VLOOKUP(A845,Calculation!$E$6:$J$1004,6,FALSE)</f>
        <v/>
      </c>
      <c r="E845" s="42" t="str">
        <f t="shared" ca="1" si="6"/>
        <v/>
      </c>
      <c r="G845" s="29" t="str">
        <f ca="1">VLOOKUP(A845,Calculation!$F$6:$J$1004,3,FALSE)</f>
        <v/>
      </c>
      <c r="H845" s="4" t="str">
        <f ca="1">VLOOKUP(A845,Calculation!$F$6:$J$1004,4,FALSE)</f>
        <v/>
      </c>
      <c r="I845" s="4" t="str">
        <f ca="1">VLOOKUP(A845,Calculation!$F$6:$J$1004,5,FALSE)</f>
        <v/>
      </c>
      <c r="J845" s="43" t="str">
        <f t="shared" ca="1" si="7"/>
        <v/>
      </c>
      <c r="L845" s="29" t="str">
        <f ca="1">VLOOKUP(A845,Calculation!$G$6:$S$1004,2,FALSE)</f>
        <v/>
      </c>
      <c r="M845" s="4" t="str">
        <f ca="1">IFERROR(VLOOKUP($L845,Calculation!$H$6:$S$1005,HLOOKUP(M$2,Calculation!$M$4:$S$5,2,FALSE)+5,FALSE),"")</f>
        <v/>
      </c>
      <c r="N845" s="4" t="str">
        <f ca="1">IFERROR(VLOOKUP($L845,Calculation!$H$6:$S$1005,HLOOKUP(N$2,Calculation!$M$4:$S$5,2,FALSE)+5,FALSE),"")</f>
        <v/>
      </c>
      <c r="O845" s="4" t="str">
        <f ca="1">IFERROR(VLOOKUP($L845,Calculation!$H$6:$S$1005,HLOOKUP(O$2,Calculation!$M$4:$S$5,2,FALSE)+5,FALSE),"")</f>
        <v/>
      </c>
      <c r="P845" s="4" t="str">
        <f ca="1">IFERROR(VLOOKUP($L845,Calculation!$H$6:$S$1005,HLOOKUP(P$2,Calculation!$M$4:$S$5,2,FALSE)+5,FALSE),"")</f>
        <v/>
      </c>
      <c r="Q845" s="4" t="str">
        <f ca="1">IFERROR(VLOOKUP($L845,Calculation!$H$6:$S$1005,HLOOKUP(Q$2,Calculation!$M$4:$S$5,2,FALSE)+5,FALSE),"")</f>
        <v/>
      </c>
      <c r="R845" s="27" t="str">
        <f ca="1">IFERROR(VLOOKUP($L845,Calculation!$H$6:$S$1005,HLOOKUP(R$2,Calculation!$M$4:$S$5,2,FALSE)+5,FALSE),"")</f>
        <v/>
      </c>
      <c r="S845" s="4" t="str">
        <f ca="1">IFERROR(VLOOKUP($L845,Calculation!$H$6:$S$1005,HLOOKUP(S$2,Calculation!$M$4:$S$5,2,FALSE)+5,FALSE),"")</f>
        <v/>
      </c>
      <c r="T845" s="29"/>
      <c r="U845" s="43" t="str">
        <f>IFERROR(VLOOKUP(T845,Calculation!$U$6:$V$11,2,FALSE),"")</f>
        <v/>
      </c>
    </row>
    <row r="846" spans="1:21" ht="14.25" customHeight="1" x14ac:dyDescent="0.3">
      <c r="A846" s="26" t="str">
        <f ca="1">IF(Calculation!T849&lt;=Calculation!$H$4,Calculation!T849,"")</f>
        <v/>
      </c>
      <c r="B846" s="4" t="str">
        <f ca="1">VLOOKUP(A846,Calculation!$E$6:$J$1004,4,FALSE)</f>
        <v/>
      </c>
      <c r="C846" s="4" t="str">
        <f ca="1">VLOOKUP(A846,Calculation!$E$6:$J$1004,5,FALSE)</f>
        <v/>
      </c>
      <c r="D846" s="4" t="str">
        <f ca="1">VLOOKUP(A846,Calculation!$E$6:$J$1004,6,FALSE)</f>
        <v/>
      </c>
      <c r="E846" s="42" t="str">
        <f t="shared" ca="1" si="6"/>
        <v/>
      </c>
      <c r="G846" s="29" t="str">
        <f ca="1">VLOOKUP(A846,Calculation!$F$6:$J$1004,3,FALSE)</f>
        <v/>
      </c>
      <c r="H846" s="4" t="str">
        <f ca="1">VLOOKUP(A846,Calculation!$F$6:$J$1004,4,FALSE)</f>
        <v/>
      </c>
      <c r="I846" s="4" t="str">
        <f ca="1">VLOOKUP(A846,Calculation!$F$6:$J$1004,5,FALSE)</f>
        <v/>
      </c>
      <c r="J846" s="43" t="str">
        <f t="shared" ca="1" si="7"/>
        <v/>
      </c>
      <c r="L846" s="29" t="str">
        <f ca="1">VLOOKUP(A846,Calculation!$G$6:$S$1004,2,FALSE)</f>
        <v/>
      </c>
      <c r="M846" s="4" t="str">
        <f ca="1">IFERROR(VLOOKUP($L846,Calculation!$H$6:$S$1005,HLOOKUP(M$2,Calculation!$M$4:$S$5,2,FALSE)+5,FALSE),"")</f>
        <v/>
      </c>
      <c r="N846" s="4" t="str">
        <f ca="1">IFERROR(VLOOKUP($L846,Calculation!$H$6:$S$1005,HLOOKUP(N$2,Calculation!$M$4:$S$5,2,FALSE)+5,FALSE),"")</f>
        <v/>
      </c>
      <c r="O846" s="4" t="str">
        <f ca="1">IFERROR(VLOOKUP($L846,Calculation!$H$6:$S$1005,HLOOKUP(O$2,Calculation!$M$4:$S$5,2,FALSE)+5,FALSE),"")</f>
        <v/>
      </c>
      <c r="P846" s="4" t="str">
        <f ca="1">IFERROR(VLOOKUP($L846,Calculation!$H$6:$S$1005,HLOOKUP(P$2,Calculation!$M$4:$S$5,2,FALSE)+5,FALSE),"")</f>
        <v/>
      </c>
      <c r="Q846" s="4" t="str">
        <f ca="1">IFERROR(VLOOKUP($L846,Calculation!$H$6:$S$1005,HLOOKUP(Q$2,Calculation!$M$4:$S$5,2,FALSE)+5,FALSE),"")</f>
        <v/>
      </c>
      <c r="R846" s="27" t="str">
        <f ca="1">IFERROR(VLOOKUP($L846,Calculation!$H$6:$S$1005,HLOOKUP(R$2,Calculation!$M$4:$S$5,2,FALSE)+5,FALSE),"")</f>
        <v/>
      </c>
      <c r="S846" s="4" t="str">
        <f ca="1">IFERROR(VLOOKUP($L846,Calculation!$H$6:$S$1005,HLOOKUP(S$2,Calculation!$M$4:$S$5,2,FALSE)+5,FALSE),"")</f>
        <v/>
      </c>
      <c r="T846" s="29"/>
      <c r="U846" s="43" t="str">
        <f>IFERROR(VLOOKUP(T846,Calculation!$U$6:$V$11,2,FALSE),"")</f>
        <v/>
      </c>
    </row>
    <row r="847" spans="1:21" ht="14.25" customHeight="1" x14ac:dyDescent="0.3">
      <c r="A847" s="26" t="str">
        <f ca="1">IF(Calculation!T850&lt;=Calculation!$H$4,Calculation!T850,"")</f>
        <v/>
      </c>
      <c r="B847" s="4" t="str">
        <f ca="1">VLOOKUP(A847,Calculation!$E$6:$J$1004,4,FALSE)</f>
        <v/>
      </c>
      <c r="C847" s="4" t="str">
        <f ca="1">VLOOKUP(A847,Calculation!$E$6:$J$1004,5,FALSE)</f>
        <v/>
      </c>
      <c r="D847" s="4" t="str">
        <f ca="1">VLOOKUP(A847,Calculation!$E$6:$J$1004,6,FALSE)</f>
        <v/>
      </c>
      <c r="E847" s="42" t="str">
        <f t="shared" ca="1" si="6"/>
        <v/>
      </c>
      <c r="G847" s="29" t="str">
        <f ca="1">VLOOKUP(A847,Calculation!$F$6:$J$1004,3,FALSE)</f>
        <v/>
      </c>
      <c r="H847" s="4" t="str">
        <f ca="1">VLOOKUP(A847,Calculation!$F$6:$J$1004,4,FALSE)</f>
        <v/>
      </c>
      <c r="I847" s="4" t="str">
        <f ca="1">VLOOKUP(A847,Calculation!$F$6:$J$1004,5,FALSE)</f>
        <v/>
      </c>
      <c r="J847" s="43" t="str">
        <f t="shared" ca="1" si="7"/>
        <v/>
      </c>
      <c r="L847" s="29" t="str">
        <f ca="1">VLOOKUP(A847,Calculation!$G$6:$S$1004,2,FALSE)</f>
        <v/>
      </c>
      <c r="M847" s="4" t="str">
        <f ca="1">IFERROR(VLOOKUP($L847,Calculation!$H$6:$S$1005,HLOOKUP(M$2,Calculation!$M$4:$S$5,2,FALSE)+5,FALSE),"")</f>
        <v/>
      </c>
      <c r="N847" s="4" t="str">
        <f ca="1">IFERROR(VLOOKUP($L847,Calculation!$H$6:$S$1005,HLOOKUP(N$2,Calculation!$M$4:$S$5,2,FALSE)+5,FALSE),"")</f>
        <v/>
      </c>
      <c r="O847" s="4" t="str">
        <f ca="1">IFERROR(VLOOKUP($L847,Calculation!$H$6:$S$1005,HLOOKUP(O$2,Calculation!$M$4:$S$5,2,FALSE)+5,FALSE),"")</f>
        <v/>
      </c>
      <c r="P847" s="4" t="str">
        <f ca="1">IFERROR(VLOOKUP($L847,Calculation!$H$6:$S$1005,HLOOKUP(P$2,Calculation!$M$4:$S$5,2,FALSE)+5,FALSE),"")</f>
        <v/>
      </c>
      <c r="Q847" s="4" t="str">
        <f ca="1">IFERROR(VLOOKUP($L847,Calculation!$H$6:$S$1005,HLOOKUP(Q$2,Calculation!$M$4:$S$5,2,FALSE)+5,FALSE),"")</f>
        <v/>
      </c>
      <c r="R847" s="27" t="str">
        <f ca="1">IFERROR(VLOOKUP($L847,Calculation!$H$6:$S$1005,HLOOKUP(R$2,Calculation!$M$4:$S$5,2,FALSE)+5,FALSE),"")</f>
        <v/>
      </c>
      <c r="S847" s="4" t="str">
        <f ca="1">IFERROR(VLOOKUP($L847,Calculation!$H$6:$S$1005,HLOOKUP(S$2,Calculation!$M$4:$S$5,2,FALSE)+5,FALSE),"")</f>
        <v/>
      </c>
      <c r="T847" s="29"/>
      <c r="U847" s="43" t="str">
        <f>IFERROR(VLOOKUP(T847,Calculation!$U$6:$V$11,2,FALSE),"")</f>
        <v/>
      </c>
    </row>
    <row r="848" spans="1:21" ht="14.25" customHeight="1" x14ac:dyDescent="0.3">
      <c r="A848" s="26" t="str">
        <f ca="1">IF(Calculation!T851&lt;=Calculation!$H$4,Calculation!T851,"")</f>
        <v/>
      </c>
      <c r="B848" s="4" t="str">
        <f ca="1">VLOOKUP(A848,Calculation!$E$6:$J$1004,4,FALSE)</f>
        <v/>
      </c>
      <c r="C848" s="4" t="str">
        <f ca="1">VLOOKUP(A848,Calculation!$E$6:$J$1004,5,FALSE)</f>
        <v/>
      </c>
      <c r="D848" s="4" t="str">
        <f ca="1">VLOOKUP(A848,Calculation!$E$6:$J$1004,6,FALSE)</f>
        <v/>
      </c>
      <c r="E848" s="42" t="str">
        <f t="shared" ca="1" si="6"/>
        <v/>
      </c>
      <c r="G848" s="29" t="str">
        <f ca="1">VLOOKUP(A848,Calculation!$F$6:$J$1004,3,FALSE)</f>
        <v/>
      </c>
      <c r="H848" s="4" t="str">
        <f ca="1">VLOOKUP(A848,Calculation!$F$6:$J$1004,4,FALSE)</f>
        <v/>
      </c>
      <c r="I848" s="4" t="str">
        <f ca="1">VLOOKUP(A848,Calculation!$F$6:$J$1004,5,FALSE)</f>
        <v/>
      </c>
      <c r="J848" s="43" t="str">
        <f t="shared" ca="1" si="7"/>
        <v/>
      </c>
      <c r="L848" s="29" t="str">
        <f ca="1">VLOOKUP(A848,Calculation!$G$6:$S$1004,2,FALSE)</f>
        <v/>
      </c>
      <c r="M848" s="4" t="str">
        <f ca="1">IFERROR(VLOOKUP($L848,Calculation!$H$6:$S$1005,HLOOKUP(M$2,Calculation!$M$4:$S$5,2,FALSE)+5,FALSE),"")</f>
        <v/>
      </c>
      <c r="N848" s="4" t="str">
        <f ca="1">IFERROR(VLOOKUP($L848,Calculation!$H$6:$S$1005,HLOOKUP(N$2,Calculation!$M$4:$S$5,2,FALSE)+5,FALSE),"")</f>
        <v/>
      </c>
      <c r="O848" s="4" t="str">
        <f ca="1">IFERROR(VLOOKUP($L848,Calculation!$H$6:$S$1005,HLOOKUP(O$2,Calculation!$M$4:$S$5,2,FALSE)+5,FALSE),"")</f>
        <v/>
      </c>
      <c r="P848" s="4" t="str">
        <f ca="1">IFERROR(VLOOKUP($L848,Calculation!$H$6:$S$1005,HLOOKUP(P$2,Calculation!$M$4:$S$5,2,FALSE)+5,FALSE),"")</f>
        <v/>
      </c>
      <c r="Q848" s="4" t="str">
        <f ca="1">IFERROR(VLOOKUP($L848,Calculation!$H$6:$S$1005,HLOOKUP(Q$2,Calculation!$M$4:$S$5,2,FALSE)+5,FALSE),"")</f>
        <v/>
      </c>
      <c r="R848" s="27" t="str">
        <f ca="1">IFERROR(VLOOKUP($L848,Calculation!$H$6:$S$1005,HLOOKUP(R$2,Calculation!$M$4:$S$5,2,FALSE)+5,FALSE),"")</f>
        <v/>
      </c>
      <c r="S848" s="4" t="str">
        <f ca="1">IFERROR(VLOOKUP($L848,Calculation!$H$6:$S$1005,HLOOKUP(S$2,Calculation!$M$4:$S$5,2,FALSE)+5,FALSE),"")</f>
        <v/>
      </c>
      <c r="T848" s="29"/>
      <c r="U848" s="43" t="str">
        <f>IFERROR(VLOOKUP(T848,Calculation!$U$6:$V$11,2,FALSE),"")</f>
        <v/>
      </c>
    </row>
    <row r="849" spans="1:21" ht="14.25" customHeight="1" x14ac:dyDescent="0.3">
      <c r="A849" s="26" t="str">
        <f ca="1">IF(Calculation!T852&lt;=Calculation!$H$4,Calculation!T852,"")</f>
        <v/>
      </c>
      <c r="B849" s="4" t="str">
        <f ca="1">VLOOKUP(A849,Calculation!$E$6:$J$1004,4,FALSE)</f>
        <v/>
      </c>
      <c r="C849" s="4" t="str">
        <f ca="1">VLOOKUP(A849,Calculation!$E$6:$J$1004,5,FALSE)</f>
        <v/>
      </c>
      <c r="D849" s="4" t="str">
        <f ca="1">VLOOKUP(A849,Calculation!$E$6:$J$1004,6,FALSE)</f>
        <v/>
      </c>
      <c r="E849" s="42" t="str">
        <f t="shared" ca="1" si="6"/>
        <v/>
      </c>
      <c r="G849" s="29" t="str">
        <f ca="1">VLOOKUP(A849,Calculation!$F$6:$J$1004,3,FALSE)</f>
        <v/>
      </c>
      <c r="H849" s="4" t="str">
        <f ca="1">VLOOKUP(A849,Calculation!$F$6:$J$1004,4,FALSE)</f>
        <v/>
      </c>
      <c r="I849" s="4" t="str">
        <f ca="1">VLOOKUP(A849,Calculation!$F$6:$J$1004,5,FALSE)</f>
        <v/>
      </c>
      <c r="J849" s="43" t="str">
        <f t="shared" ca="1" si="7"/>
        <v/>
      </c>
      <c r="L849" s="29" t="str">
        <f ca="1">VLOOKUP(A849,Calculation!$G$6:$S$1004,2,FALSE)</f>
        <v/>
      </c>
      <c r="M849" s="4" t="str">
        <f ca="1">IFERROR(VLOOKUP($L849,Calculation!$H$6:$S$1005,HLOOKUP(M$2,Calculation!$M$4:$S$5,2,FALSE)+5,FALSE),"")</f>
        <v/>
      </c>
      <c r="N849" s="4" t="str">
        <f ca="1">IFERROR(VLOOKUP($L849,Calculation!$H$6:$S$1005,HLOOKUP(N$2,Calculation!$M$4:$S$5,2,FALSE)+5,FALSE),"")</f>
        <v/>
      </c>
      <c r="O849" s="4" t="str">
        <f ca="1">IFERROR(VLOOKUP($L849,Calculation!$H$6:$S$1005,HLOOKUP(O$2,Calculation!$M$4:$S$5,2,FALSE)+5,FALSE),"")</f>
        <v/>
      </c>
      <c r="P849" s="4" t="str">
        <f ca="1">IFERROR(VLOOKUP($L849,Calculation!$H$6:$S$1005,HLOOKUP(P$2,Calculation!$M$4:$S$5,2,FALSE)+5,FALSE),"")</f>
        <v/>
      </c>
      <c r="Q849" s="4" t="str">
        <f ca="1">IFERROR(VLOOKUP($L849,Calculation!$H$6:$S$1005,HLOOKUP(Q$2,Calculation!$M$4:$S$5,2,FALSE)+5,FALSE),"")</f>
        <v/>
      </c>
      <c r="R849" s="27" t="str">
        <f ca="1">IFERROR(VLOOKUP($L849,Calculation!$H$6:$S$1005,HLOOKUP(R$2,Calculation!$M$4:$S$5,2,FALSE)+5,FALSE),"")</f>
        <v/>
      </c>
      <c r="S849" s="4" t="str">
        <f ca="1">IFERROR(VLOOKUP($L849,Calculation!$H$6:$S$1005,HLOOKUP(S$2,Calculation!$M$4:$S$5,2,FALSE)+5,FALSE),"")</f>
        <v/>
      </c>
      <c r="T849" s="29"/>
      <c r="U849" s="43" t="str">
        <f>IFERROR(VLOOKUP(T849,Calculation!$U$6:$V$11,2,FALSE),"")</f>
        <v/>
      </c>
    </row>
    <row r="850" spans="1:21" ht="14.25" customHeight="1" x14ac:dyDescent="0.3">
      <c r="A850" s="26" t="str">
        <f ca="1">IF(Calculation!T853&lt;=Calculation!$H$4,Calculation!T853,"")</f>
        <v/>
      </c>
      <c r="B850" s="4" t="str">
        <f ca="1">VLOOKUP(A850,Calculation!$E$6:$J$1004,4,FALSE)</f>
        <v/>
      </c>
      <c r="C850" s="4" t="str">
        <f ca="1">VLOOKUP(A850,Calculation!$E$6:$J$1004,5,FALSE)</f>
        <v/>
      </c>
      <c r="D850" s="4" t="str">
        <f ca="1">VLOOKUP(A850,Calculation!$E$6:$J$1004,6,FALSE)</f>
        <v/>
      </c>
      <c r="E850" s="42" t="str">
        <f t="shared" ca="1" si="6"/>
        <v/>
      </c>
      <c r="G850" s="29" t="str">
        <f ca="1">VLOOKUP(A850,Calculation!$F$6:$J$1004,3,FALSE)</f>
        <v/>
      </c>
      <c r="H850" s="4" t="str">
        <f ca="1">VLOOKUP(A850,Calculation!$F$6:$J$1004,4,FALSE)</f>
        <v/>
      </c>
      <c r="I850" s="4" t="str">
        <f ca="1">VLOOKUP(A850,Calculation!$F$6:$J$1004,5,FALSE)</f>
        <v/>
      </c>
      <c r="J850" s="43" t="str">
        <f t="shared" ca="1" si="7"/>
        <v/>
      </c>
      <c r="L850" s="29" t="str">
        <f ca="1">VLOOKUP(A850,Calculation!$G$6:$S$1004,2,FALSE)</f>
        <v/>
      </c>
      <c r="M850" s="4" t="str">
        <f ca="1">IFERROR(VLOOKUP($L850,Calculation!$H$6:$S$1005,HLOOKUP(M$2,Calculation!$M$4:$S$5,2,FALSE)+5,FALSE),"")</f>
        <v/>
      </c>
      <c r="N850" s="4" t="str">
        <f ca="1">IFERROR(VLOOKUP($L850,Calculation!$H$6:$S$1005,HLOOKUP(N$2,Calculation!$M$4:$S$5,2,FALSE)+5,FALSE),"")</f>
        <v/>
      </c>
      <c r="O850" s="4" t="str">
        <f ca="1">IFERROR(VLOOKUP($L850,Calculation!$H$6:$S$1005,HLOOKUP(O$2,Calculation!$M$4:$S$5,2,FALSE)+5,FALSE),"")</f>
        <v/>
      </c>
      <c r="P850" s="4" t="str">
        <f ca="1">IFERROR(VLOOKUP($L850,Calculation!$H$6:$S$1005,HLOOKUP(P$2,Calculation!$M$4:$S$5,2,FALSE)+5,FALSE),"")</f>
        <v/>
      </c>
      <c r="Q850" s="4" t="str">
        <f ca="1">IFERROR(VLOOKUP($L850,Calculation!$H$6:$S$1005,HLOOKUP(Q$2,Calculation!$M$4:$S$5,2,FALSE)+5,FALSE),"")</f>
        <v/>
      </c>
      <c r="R850" s="27" t="str">
        <f ca="1">IFERROR(VLOOKUP($L850,Calculation!$H$6:$S$1005,HLOOKUP(R$2,Calculation!$M$4:$S$5,2,FALSE)+5,FALSE),"")</f>
        <v/>
      </c>
      <c r="S850" s="4" t="str">
        <f ca="1">IFERROR(VLOOKUP($L850,Calculation!$H$6:$S$1005,HLOOKUP(S$2,Calculation!$M$4:$S$5,2,FALSE)+5,FALSE),"")</f>
        <v/>
      </c>
      <c r="T850" s="29"/>
      <c r="U850" s="43" t="str">
        <f>IFERROR(VLOOKUP(T850,Calculation!$U$6:$V$11,2,FALSE),"")</f>
        <v/>
      </c>
    </row>
    <row r="851" spans="1:21" ht="14.25" customHeight="1" x14ac:dyDescent="0.3">
      <c r="A851" s="26" t="str">
        <f ca="1">IF(Calculation!T854&lt;=Calculation!$H$4,Calculation!T854,"")</f>
        <v/>
      </c>
      <c r="B851" s="4" t="str">
        <f ca="1">VLOOKUP(A851,Calculation!$E$6:$J$1004,4,FALSE)</f>
        <v/>
      </c>
      <c r="C851" s="4" t="str">
        <f ca="1">VLOOKUP(A851,Calculation!$E$6:$J$1004,5,FALSE)</f>
        <v/>
      </c>
      <c r="D851" s="4" t="str">
        <f ca="1">VLOOKUP(A851,Calculation!$E$6:$J$1004,6,FALSE)</f>
        <v/>
      </c>
      <c r="E851" s="42" t="str">
        <f t="shared" ca="1" si="6"/>
        <v/>
      </c>
      <c r="G851" s="29" t="str">
        <f ca="1">VLOOKUP(A851,Calculation!$F$6:$J$1004,3,FALSE)</f>
        <v/>
      </c>
      <c r="H851" s="4" t="str">
        <f ca="1">VLOOKUP(A851,Calculation!$F$6:$J$1004,4,FALSE)</f>
        <v/>
      </c>
      <c r="I851" s="4" t="str">
        <f ca="1">VLOOKUP(A851,Calculation!$F$6:$J$1004,5,FALSE)</f>
        <v/>
      </c>
      <c r="J851" s="43" t="str">
        <f t="shared" ca="1" si="7"/>
        <v/>
      </c>
      <c r="L851" s="29" t="str">
        <f ca="1">VLOOKUP(A851,Calculation!$G$6:$S$1004,2,FALSE)</f>
        <v/>
      </c>
      <c r="M851" s="4" t="str">
        <f ca="1">IFERROR(VLOOKUP($L851,Calculation!$H$6:$S$1005,HLOOKUP(M$2,Calculation!$M$4:$S$5,2,FALSE)+5,FALSE),"")</f>
        <v/>
      </c>
      <c r="N851" s="4" t="str">
        <f ca="1">IFERROR(VLOOKUP($L851,Calculation!$H$6:$S$1005,HLOOKUP(N$2,Calculation!$M$4:$S$5,2,FALSE)+5,FALSE),"")</f>
        <v/>
      </c>
      <c r="O851" s="4" t="str">
        <f ca="1">IFERROR(VLOOKUP($L851,Calculation!$H$6:$S$1005,HLOOKUP(O$2,Calculation!$M$4:$S$5,2,FALSE)+5,FALSE),"")</f>
        <v/>
      </c>
      <c r="P851" s="4" t="str">
        <f ca="1">IFERROR(VLOOKUP($L851,Calculation!$H$6:$S$1005,HLOOKUP(P$2,Calculation!$M$4:$S$5,2,FALSE)+5,FALSE),"")</f>
        <v/>
      </c>
      <c r="Q851" s="4" t="str">
        <f ca="1">IFERROR(VLOOKUP($L851,Calculation!$H$6:$S$1005,HLOOKUP(Q$2,Calculation!$M$4:$S$5,2,FALSE)+5,FALSE),"")</f>
        <v/>
      </c>
      <c r="R851" s="27" t="str">
        <f ca="1">IFERROR(VLOOKUP($L851,Calculation!$H$6:$S$1005,HLOOKUP(R$2,Calculation!$M$4:$S$5,2,FALSE)+5,FALSE),"")</f>
        <v/>
      </c>
      <c r="S851" s="4" t="str">
        <f ca="1">IFERROR(VLOOKUP($L851,Calculation!$H$6:$S$1005,HLOOKUP(S$2,Calculation!$M$4:$S$5,2,FALSE)+5,FALSE),"")</f>
        <v/>
      </c>
      <c r="T851" s="29"/>
      <c r="U851" s="43" t="str">
        <f>IFERROR(VLOOKUP(T851,Calculation!$U$6:$V$11,2,FALSE),"")</f>
        <v/>
      </c>
    </row>
    <row r="852" spans="1:21" ht="14.25" customHeight="1" x14ac:dyDescent="0.3">
      <c r="A852" s="26" t="str">
        <f ca="1">IF(Calculation!T855&lt;=Calculation!$H$4,Calculation!T855,"")</f>
        <v/>
      </c>
      <c r="B852" s="4" t="str">
        <f ca="1">VLOOKUP(A852,Calculation!$E$6:$J$1004,4,FALSE)</f>
        <v/>
      </c>
      <c r="C852" s="4" t="str">
        <f ca="1">VLOOKUP(A852,Calculation!$E$6:$J$1004,5,FALSE)</f>
        <v/>
      </c>
      <c r="D852" s="4" t="str">
        <f ca="1">VLOOKUP(A852,Calculation!$E$6:$J$1004,6,FALSE)</f>
        <v/>
      </c>
      <c r="E852" s="42" t="str">
        <f t="shared" ca="1" si="6"/>
        <v/>
      </c>
      <c r="G852" s="29" t="str">
        <f ca="1">VLOOKUP(A852,Calculation!$F$6:$J$1004,3,FALSE)</f>
        <v/>
      </c>
      <c r="H852" s="4" t="str">
        <f ca="1">VLOOKUP(A852,Calculation!$F$6:$J$1004,4,FALSE)</f>
        <v/>
      </c>
      <c r="I852" s="4" t="str">
        <f ca="1">VLOOKUP(A852,Calculation!$F$6:$J$1004,5,FALSE)</f>
        <v/>
      </c>
      <c r="J852" s="43" t="str">
        <f t="shared" ca="1" si="7"/>
        <v/>
      </c>
      <c r="L852" s="29" t="str">
        <f ca="1">VLOOKUP(A852,Calculation!$G$6:$S$1004,2,FALSE)</f>
        <v/>
      </c>
      <c r="M852" s="4" t="str">
        <f ca="1">IFERROR(VLOOKUP($L852,Calculation!$H$6:$S$1005,HLOOKUP(M$2,Calculation!$M$4:$S$5,2,FALSE)+5,FALSE),"")</f>
        <v/>
      </c>
      <c r="N852" s="4" t="str">
        <f ca="1">IFERROR(VLOOKUP($L852,Calculation!$H$6:$S$1005,HLOOKUP(N$2,Calculation!$M$4:$S$5,2,FALSE)+5,FALSE),"")</f>
        <v/>
      </c>
      <c r="O852" s="4" t="str">
        <f ca="1">IFERROR(VLOOKUP($L852,Calculation!$H$6:$S$1005,HLOOKUP(O$2,Calculation!$M$4:$S$5,2,FALSE)+5,FALSE),"")</f>
        <v/>
      </c>
      <c r="P852" s="4" t="str">
        <f ca="1">IFERROR(VLOOKUP($L852,Calculation!$H$6:$S$1005,HLOOKUP(P$2,Calculation!$M$4:$S$5,2,FALSE)+5,FALSE),"")</f>
        <v/>
      </c>
      <c r="Q852" s="4" t="str">
        <f ca="1">IFERROR(VLOOKUP($L852,Calculation!$H$6:$S$1005,HLOOKUP(Q$2,Calculation!$M$4:$S$5,2,FALSE)+5,FALSE),"")</f>
        <v/>
      </c>
      <c r="R852" s="27" t="str">
        <f ca="1">IFERROR(VLOOKUP($L852,Calculation!$H$6:$S$1005,HLOOKUP(R$2,Calculation!$M$4:$S$5,2,FALSE)+5,FALSE),"")</f>
        <v/>
      </c>
      <c r="S852" s="4" t="str">
        <f ca="1">IFERROR(VLOOKUP($L852,Calculation!$H$6:$S$1005,HLOOKUP(S$2,Calculation!$M$4:$S$5,2,FALSE)+5,FALSE),"")</f>
        <v/>
      </c>
      <c r="T852" s="29"/>
      <c r="U852" s="43" t="str">
        <f>IFERROR(VLOOKUP(T852,Calculation!$U$6:$V$11,2,FALSE),"")</f>
        <v/>
      </c>
    </row>
    <row r="853" spans="1:21" ht="14.25" customHeight="1" x14ac:dyDescent="0.3">
      <c r="A853" s="26" t="str">
        <f ca="1">IF(Calculation!T856&lt;=Calculation!$H$4,Calculation!T856,"")</f>
        <v/>
      </c>
      <c r="B853" s="4" t="str">
        <f ca="1">VLOOKUP(A853,Calculation!$E$6:$J$1004,4,FALSE)</f>
        <v/>
      </c>
      <c r="C853" s="4" t="str">
        <f ca="1">VLOOKUP(A853,Calculation!$E$6:$J$1004,5,FALSE)</f>
        <v/>
      </c>
      <c r="D853" s="4" t="str">
        <f ca="1">VLOOKUP(A853,Calculation!$E$6:$J$1004,6,FALSE)</f>
        <v/>
      </c>
      <c r="E853" s="42" t="str">
        <f t="shared" ca="1" si="6"/>
        <v/>
      </c>
      <c r="G853" s="29" t="str">
        <f ca="1">VLOOKUP(A853,Calculation!$F$6:$J$1004,3,FALSE)</f>
        <v/>
      </c>
      <c r="H853" s="4" t="str">
        <f ca="1">VLOOKUP(A853,Calculation!$F$6:$J$1004,4,FALSE)</f>
        <v/>
      </c>
      <c r="I853" s="4" t="str">
        <f ca="1">VLOOKUP(A853,Calculation!$F$6:$J$1004,5,FALSE)</f>
        <v/>
      </c>
      <c r="J853" s="43" t="str">
        <f t="shared" ca="1" si="7"/>
        <v/>
      </c>
      <c r="L853" s="29" t="str">
        <f ca="1">VLOOKUP(A853,Calculation!$G$6:$S$1004,2,FALSE)</f>
        <v/>
      </c>
      <c r="M853" s="4" t="str">
        <f ca="1">IFERROR(VLOOKUP($L853,Calculation!$H$6:$S$1005,HLOOKUP(M$2,Calculation!$M$4:$S$5,2,FALSE)+5,FALSE),"")</f>
        <v/>
      </c>
      <c r="N853" s="4" t="str">
        <f ca="1">IFERROR(VLOOKUP($L853,Calculation!$H$6:$S$1005,HLOOKUP(N$2,Calculation!$M$4:$S$5,2,FALSE)+5,FALSE),"")</f>
        <v/>
      </c>
      <c r="O853" s="4" t="str">
        <f ca="1">IFERROR(VLOOKUP($L853,Calculation!$H$6:$S$1005,HLOOKUP(O$2,Calculation!$M$4:$S$5,2,FALSE)+5,FALSE),"")</f>
        <v/>
      </c>
      <c r="P853" s="4" t="str">
        <f ca="1">IFERROR(VLOOKUP($L853,Calculation!$H$6:$S$1005,HLOOKUP(P$2,Calculation!$M$4:$S$5,2,FALSE)+5,FALSE),"")</f>
        <v/>
      </c>
      <c r="Q853" s="4" t="str">
        <f ca="1">IFERROR(VLOOKUP($L853,Calculation!$H$6:$S$1005,HLOOKUP(Q$2,Calculation!$M$4:$S$5,2,FALSE)+5,FALSE),"")</f>
        <v/>
      </c>
      <c r="R853" s="27" t="str">
        <f ca="1">IFERROR(VLOOKUP($L853,Calculation!$H$6:$S$1005,HLOOKUP(R$2,Calculation!$M$4:$S$5,2,FALSE)+5,FALSE),"")</f>
        <v/>
      </c>
      <c r="S853" s="4" t="str">
        <f ca="1">IFERROR(VLOOKUP($L853,Calculation!$H$6:$S$1005,HLOOKUP(S$2,Calculation!$M$4:$S$5,2,FALSE)+5,FALSE),"")</f>
        <v/>
      </c>
      <c r="T853" s="29"/>
      <c r="U853" s="43" t="str">
        <f>IFERROR(VLOOKUP(T853,Calculation!$U$6:$V$11,2,FALSE),"")</f>
        <v/>
      </c>
    </row>
    <row r="854" spans="1:21" ht="14.25" customHeight="1" x14ac:dyDescent="0.3">
      <c r="A854" s="26" t="str">
        <f ca="1">IF(Calculation!T857&lt;=Calculation!$H$4,Calculation!T857,"")</f>
        <v/>
      </c>
      <c r="B854" s="4" t="str">
        <f ca="1">VLOOKUP(A854,Calculation!$E$6:$J$1004,4,FALSE)</f>
        <v/>
      </c>
      <c r="C854" s="4" t="str">
        <f ca="1">VLOOKUP(A854,Calculation!$E$6:$J$1004,5,FALSE)</f>
        <v/>
      </c>
      <c r="D854" s="4" t="str">
        <f ca="1">VLOOKUP(A854,Calculation!$E$6:$J$1004,6,FALSE)</f>
        <v/>
      </c>
      <c r="E854" s="42" t="str">
        <f t="shared" ca="1" si="6"/>
        <v/>
      </c>
      <c r="G854" s="29" t="str">
        <f ca="1">VLOOKUP(A854,Calculation!$F$6:$J$1004,3,FALSE)</f>
        <v/>
      </c>
      <c r="H854" s="4" t="str">
        <f ca="1">VLOOKUP(A854,Calculation!$F$6:$J$1004,4,FALSE)</f>
        <v/>
      </c>
      <c r="I854" s="4" t="str">
        <f ca="1">VLOOKUP(A854,Calculation!$F$6:$J$1004,5,FALSE)</f>
        <v/>
      </c>
      <c r="J854" s="43" t="str">
        <f t="shared" ca="1" si="7"/>
        <v/>
      </c>
      <c r="L854" s="29" t="str">
        <f ca="1">VLOOKUP(A854,Calculation!$G$6:$S$1004,2,FALSE)</f>
        <v/>
      </c>
      <c r="M854" s="4" t="str">
        <f ca="1">IFERROR(VLOOKUP($L854,Calculation!$H$6:$S$1005,HLOOKUP(M$2,Calculation!$M$4:$S$5,2,FALSE)+5,FALSE),"")</f>
        <v/>
      </c>
      <c r="N854" s="4" t="str">
        <f ca="1">IFERROR(VLOOKUP($L854,Calculation!$H$6:$S$1005,HLOOKUP(N$2,Calculation!$M$4:$S$5,2,FALSE)+5,FALSE),"")</f>
        <v/>
      </c>
      <c r="O854" s="4" t="str">
        <f ca="1">IFERROR(VLOOKUP($L854,Calculation!$H$6:$S$1005,HLOOKUP(O$2,Calculation!$M$4:$S$5,2,FALSE)+5,FALSE),"")</f>
        <v/>
      </c>
      <c r="P854" s="4" t="str">
        <f ca="1">IFERROR(VLOOKUP($L854,Calculation!$H$6:$S$1005,HLOOKUP(P$2,Calculation!$M$4:$S$5,2,FALSE)+5,FALSE),"")</f>
        <v/>
      </c>
      <c r="Q854" s="4" t="str">
        <f ca="1">IFERROR(VLOOKUP($L854,Calculation!$H$6:$S$1005,HLOOKUP(Q$2,Calculation!$M$4:$S$5,2,FALSE)+5,FALSE),"")</f>
        <v/>
      </c>
      <c r="R854" s="27" t="str">
        <f ca="1">IFERROR(VLOOKUP($L854,Calculation!$H$6:$S$1005,HLOOKUP(R$2,Calculation!$M$4:$S$5,2,FALSE)+5,FALSE),"")</f>
        <v/>
      </c>
      <c r="S854" s="4" t="str">
        <f ca="1">IFERROR(VLOOKUP($L854,Calculation!$H$6:$S$1005,HLOOKUP(S$2,Calculation!$M$4:$S$5,2,FALSE)+5,FALSE),"")</f>
        <v/>
      </c>
      <c r="T854" s="29"/>
      <c r="U854" s="43" t="str">
        <f>IFERROR(VLOOKUP(T854,Calculation!$U$6:$V$11,2,FALSE),"")</f>
        <v/>
      </c>
    </row>
    <row r="855" spans="1:21" ht="14.25" customHeight="1" x14ac:dyDescent="0.3">
      <c r="A855" s="26" t="str">
        <f ca="1">IF(Calculation!T858&lt;=Calculation!$H$4,Calculation!T858,"")</f>
        <v/>
      </c>
      <c r="B855" s="4" t="str">
        <f ca="1">VLOOKUP(A855,Calculation!$E$6:$J$1004,4,FALSE)</f>
        <v/>
      </c>
      <c r="C855" s="4" t="str">
        <f ca="1">VLOOKUP(A855,Calculation!$E$6:$J$1004,5,FALSE)</f>
        <v/>
      </c>
      <c r="D855" s="4" t="str">
        <f ca="1">VLOOKUP(A855,Calculation!$E$6:$J$1004,6,FALSE)</f>
        <v/>
      </c>
      <c r="E855" s="42" t="str">
        <f t="shared" ca="1" si="6"/>
        <v/>
      </c>
      <c r="G855" s="29" t="str">
        <f ca="1">VLOOKUP(A855,Calculation!$F$6:$J$1004,3,FALSE)</f>
        <v/>
      </c>
      <c r="H855" s="4" t="str">
        <f ca="1">VLOOKUP(A855,Calculation!$F$6:$J$1004,4,FALSE)</f>
        <v/>
      </c>
      <c r="I855" s="4" t="str">
        <f ca="1">VLOOKUP(A855,Calculation!$F$6:$J$1004,5,FALSE)</f>
        <v/>
      </c>
      <c r="J855" s="43" t="str">
        <f t="shared" ca="1" si="7"/>
        <v/>
      </c>
      <c r="L855" s="29" t="str">
        <f ca="1">VLOOKUP(A855,Calculation!$G$6:$S$1004,2,FALSE)</f>
        <v/>
      </c>
      <c r="M855" s="4" t="str">
        <f ca="1">IFERROR(VLOOKUP($L855,Calculation!$H$6:$S$1005,HLOOKUP(M$2,Calculation!$M$4:$S$5,2,FALSE)+5,FALSE),"")</f>
        <v/>
      </c>
      <c r="N855" s="4" t="str">
        <f ca="1">IFERROR(VLOOKUP($L855,Calculation!$H$6:$S$1005,HLOOKUP(N$2,Calculation!$M$4:$S$5,2,FALSE)+5,FALSE),"")</f>
        <v/>
      </c>
      <c r="O855" s="4" t="str">
        <f ca="1">IFERROR(VLOOKUP($L855,Calculation!$H$6:$S$1005,HLOOKUP(O$2,Calculation!$M$4:$S$5,2,FALSE)+5,FALSE),"")</f>
        <v/>
      </c>
      <c r="P855" s="4" t="str">
        <f ca="1">IFERROR(VLOOKUP($L855,Calculation!$H$6:$S$1005,HLOOKUP(P$2,Calculation!$M$4:$S$5,2,FALSE)+5,FALSE),"")</f>
        <v/>
      </c>
      <c r="Q855" s="4" t="str">
        <f ca="1">IFERROR(VLOOKUP($L855,Calculation!$H$6:$S$1005,HLOOKUP(Q$2,Calculation!$M$4:$S$5,2,FALSE)+5,FALSE),"")</f>
        <v/>
      </c>
      <c r="R855" s="27" t="str">
        <f ca="1">IFERROR(VLOOKUP($L855,Calculation!$H$6:$S$1005,HLOOKUP(R$2,Calculation!$M$4:$S$5,2,FALSE)+5,FALSE),"")</f>
        <v/>
      </c>
      <c r="S855" s="4" t="str">
        <f ca="1">IFERROR(VLOOKUP($L855,Calculation!$H$6:$S$1005,HLOOKUP(S$2,Calculation!$M$4:$S$5,2,FALSE)+5,FALSE),"")</f>
        <v/>
      </c>
      <c r="T855" s="29"/>
      <c r="U855" s="43" t="str">
        <f>IFERROR(VLOOKUP(T855,Calculation!$U$6:$V$11,2,FALSE),"")</f>
        <v/>
      </c>
    </row>
    <row r="856" spans="1:21" ht="14.25" customHeight="1" x14ac:dyDescent="0.3">
      <c r="A856" s="26" t="str">
        <f ca="1">IF(Calculation!T859&lt;=Calculation!$H$4,Calculation!T859,"")</f>
        <v/>
      </c>
      <c r="B856" s="4" t="str">
        <f ca="1">VLOOKUP(A856,Calculation!$E$6:$J$1004,4,FALSE)</f>
        <v/>
      </c>
      <c r="C856" s="4" t="str">
        <f ca="1">VLOOKUP(A856,Calculation!$E$6:$J$1004,5,FALSE)</f>
        <v/>
      </c>
      <c r="D856" s="4" t="str">
        <f ca="1">VLOOKUP(A856,Calculation!$E$6:$J$1004,6,FALSE)</f>
        <v/>
      </c>
      <c r="E856" s="42" t="str">
        <f t="shared" ca="1" si="6"/>
        <v/>
      </c>
      <c r="G856" s="29" t="str">
        <f ca="1">VLOOKUP(A856,Calculation!$F$6:$J$1004,3,FALSE)</f>
        <v/>
      </c>
      <c r="H856" s="4" t="str">
        <f ca="1">VLOOKUP(A856,Calculation!$F$6:$J$1004,4,FALSE)</f>
        <v/>
      </c>
      <c r="I856" s="4" t="str">
        <f ca="1">VLOOKUP(A856,Calculation!$F$6:$J$1004,5,FALSE)</f>
        <v/>
      </c>
      <c r="J856" s="43" t="str">
        <f t="shared" ca="1" si="7"/>
        <v/>
      </c>
      <c r="L856" s="29" t="str">
        <f ca="1">VLOOKUP(A856,Calculation!$G$6:$S$1004,2,FALSE)</f>
        <v/>
      </c>
      <c r="M856" s="4" t="str">
        <f ca="1">IFERROR(VLOOKUP($L856,Calculation!$H$6:$S$1005,HLOOKUP(M$2,Calculation!$M$4:$S$5,2,FALSE)+5,FALSE),"")</f>
        <v/>
      </c>
      <c r="N856" s="4" t="str">
        <f ca="1">IFERROR(VLOOKUP($L856,Calculation!$H$6:$S$1005,HLOOKUP(N$2,Calculation!$M$4:$S$5,2,FALSE)+5,FALSE),"")</f>
        <v/>
      </c>
      <c r="O856" s="4" t="str">
        <f ca="1">IFERROR(VLOOKUP($L856,Calculation!$H$6:$S$1005,HLOOKUP(O$2,Calculation!$M$4:$S$5,2,FALSE)+5,FALSE),"")</f>
        <v/>
      </c>
      <c r="P856" s="4" t="str">
        <f ca="1">IFERROR(VLOOKUP($L856,Calculation!$H$6:$S$1005,HLOOKUP(P$2,Calculation!$M$4:$S$5,2,FALSE)+5,FALSE),"")</f>
        <v/>
      </c>
      <c r="Q856" s="4" t="str">
        <f ca="1">IFERROR(VLOOKUP($L856,Calculation!$H$6:$S$1005,HLOOKUP(Q$2,Calculation!$M$4:$S$5,2,FALSE)+5,FALSE),"")</f>
        <v/>
      </c>
      <c r="R856" s="27" t="str">
        <f ca="1">IFERROR(VLOOKUP($L856,Calculation!$H$6:$S$1005,HLOOKUP(R$2,Calculation!$M$4:$S$5,2,FALSE)+5,FALSE),"")</f>
        <v/>
      </c>
      <c r="S856" s="4" t="str">
        <f ca="1">IFERROR(VLOOKUP($L856,Calculation!$H$6:$S$1005,HLOOKUP(S$2,Calculation!$M$4:$S$5,2,FALSE)+5,FALSE),"")</f>
        <v/>
      </c>
      <c r="T856" s="29"/>
      <c r="U856" s="43" t="str">
        <f>IFERROR(VLOOKUP(T856,Calculation!$U$6:$V$11,2,FALSE),"")</f>
        <v/>
      </c>
    </row>
    <row r="857" spans="1:21" ht="14.25" customHeight="1" x14ac:dyDescent="0.3">
      <c r="A857" s="26" t="str">
        <f ca="1">IF(Calculation!T860&lt;=Calculation!$H$4,Calculation!T860,"")</f>
        <v/>
      </c>
      <c r="B857" s="4" t="str">
        <f ca="1">VLOOKUP(A857,Calculation!$E$6:$J$1004,4,FALSE)</f>
        <v/>
      </c>
      <c r="C857" s="4" t="str">
        <f ca="1">VLOOKUP(A857,Calculation!$E$6:$J$1004,5,FALSE)</f>
        <v/>
      </c>
      <c r="D857" s="4" t="str">
        <f ca="1">VLOOKUP(A857,Calculation!$E$6:$J$1004,6,FALSE)</f>
        <v/>
      </c>
      <c r="E857" s="42" t="str">
        <f t="shared" ca="1" si="6"/>
        <v/>
      </c>
      <c r="G857" s="29" t="str">
        <f ca="1">VLOOKUP(A857,Calculation!$F$6:$J$1004,3,FALSE)</f>
        <v/>
      </c>
      <c r="H857" s="4" t="str">
        <f ca="1">VLOOKUP(A857,Calculation!$F$6:$J$1004,4,FALSE)</f>
        <v/>
      </c>
      <c r="I857" s="4" t="str">
        <f ca="1">VLOOKUP(A857,Calculation!$F$6:$J$1004,5,FALSE)</f>
        <v/>
      </c>
      <c r="J857" s="43" t="str">
        <f t="shared" ca="1" si="7"/>
        <v/>
      </c>
      <c r="L857" s="29" t="str">
        <f ca="1">VLOOKUP(A857,Calculation!$G$6:$S$1004,2,FALSE)</f>
        <v/>
      </c>
      <c r="M857" s="4" t="str">
        <f ca="1">IFERROR(VLOOKUP($L857,Calculation!$H$6:$S$1005,HLOOKUP(M$2,Calculation!$M$4:$S$5,2,FALSE)+5,FALSE),"")</f>
        <v/>
      </c>
      <c r="N857" s="4" t="str">
        <f ca="1">IFERROR(VLOOKUP($L857,Calculation!$H$6:$S$1005,HLOOKUP(N$2,Calculation!$M$4:$S$5,2,FALSE)+5,FALSE),"")</f>
        <v/>
      </c>
      <c r="O857" s="4" t="str">
        <f ca="1">IFERROR(VLOOKUP($L857,Calculation!$H$6:$S$1005,HLOOKUP(O$2,Calculation!$M$4:$S$5,2,FALSE)+5,FALSE),"")</f>
        <v/>
      </c>
      <c r="P857" s="4" t="str">
        <f ca="1">IFERROR(VLOOKUP($L857,Calculation!$H$6:$S$1005,HLOOKUP(P$2,Calculation!$M$4:$S$5,2,FALSE)+5,FALSE),"")</f>
        <v/>
      </c>
      <c r="Q857" s="4" t="str">
        <f ca="1">IFERROR(VLOOKUP($L857,Calculation!$H$6:$S$1005,HLOOKUP(Q$2,Calculation!$M$4:$S$5,2,FALSE)+5,FALSE),"")</f>
        <v/>
      </c>
      <c r="R857" s="27" t="str">
        <f ca="1">IFERROR(VLOOKUP($L857,Calculation!$H$6:$S$1005,HLOOKUP(R$2,Calculation!$M$4:$S$5,2,FALSE)+5,FALSE),"")</f>
        <v/>
      </c>
      <c r="S857" s="4" t="str">
        <f ca="1">IFERROR(VLOOKUP($L857,Calculation!$H$6:$S$1005,HLOOKUP(S$2,Calculation!$M$4:$S$5,2,FALSE)+5,FALSE),"")</f>
        <v/>
      </c>
      <c r="T857" s="29"/>
      <c r="U857" s="43" t="str">
        <f>IFERROR(VLOOKUP(T857,Calculation!$U$6:$V$11,2,FALSE),"")</f>
        <v/>
      </c>
    </row>
    <row r="858" spans="1:21" ht="14.25" customHeight="1" x14ac:dyDescent="0.3">
      <c r="A858" s="26" t="str">
        <f ca="1">IF(Calculation!T861&lt;=Calculation!$H$4,Calculation!T861,"")</f>
        <v/>
      </c>
      <c r="B858" s="4" t="str">
        <f ca="1">VLOOKUP(A858,Calculation!$E$6:$J$1004,4,FALSE)</f>
        <v/>
      </c>
      <c r="C858" s="4" t="str">
        <f ca="1">VLOOKUP(A858,Calculation!$E$6:$J$1004,5,FALSE)</f>
        <v/>
      </c>
      <c r="D858" s="4" t="str">
        <f ca="1">VLOOKUP(A858,Calculation!$E$6:$J$1004,6,FALSE)</f>
        <v/>
      </c>
      <c r="E858" s="42" t="str">
        <f t="shared" ca="1" si="6"/>
        <v/>
      </c>
      <c r="G858" s="29" t="str">
        <f ca="1">VLOOKUP(A858,Calculation!$F$6:$J$1004,3,FALSE)</f>
        <v/>
      </c>
      <c r="H858" s="4" t="str">
        <f ca="1">VLOOKUP(A858,Calculation!$F$6:$J$1004,4,FALSE)</f>
        <v/>
      </c>
      <c r="I858" s="4" t="str">
        <f ca="1">VLOOKUP(A858,Calculation!$F$6:$J$1004,5,FALSE)</f>
        <v/>
      </c>
      <c r="J858" s="43" t="str">
        <f t="shared" ca="1" si="7"/>
        <v/>
      </c>
      <c r="L858" s="29" t="str">
        <f ca="1">VLOOKUP(A858,Calculation!$G$6:$S$1004,2,FALSE)</f>
        <v/>
      </c>
      <c r="M858" s="4" t="str">
        <f ca="1">IFERROR(VLOOKUP($L858,Calculation!$H$6:$S$1005,HLOOKUP(M$2,Calculation!$M$4:$S$5,2,FALSE)+5,FALSE),"")</f>
        <v/>
      </c>
      <c r="N858" s="4" t="str">
        <f ca="1">IFERROR(VLOOKUP($L858,Calculation!$H$6:$S$1005,HLOOKUP(N$2,Calculation!$M$4:$S$5,2,FALSE)+5,FALSE),"")</f>
        <v/>
      </c>
      <c r="O858" s="4" t="str">
        <f ca="1">IFERROR(VLOOKUP($L858,Calculation!$H$6:$S$1005,HLOOKUP(O$2,Calculation!$M$4:$S$5,2,FALSE)+5,FALSE),"")</f>
        <v/>
      </c>
      <c r="P858" s="4" t="str">
        <f ca="1">IFERROR(VLOOKUP($L858,Calculation!$H$6:$S$1005,HLOOKUP(P$2,Calculation!$M$4:$S$5,2,FALSE)+5,FALSE),"")</f>
        <v/>
      </c>
      <c r="Q858" s="4" t="str">
        <f ca="1">IFERROR(VLOOKUP($L858,Calculation!$H$6:$S$1005,HLOOKUP(Q$2,Calculation!$M$4:$S$5,2,FALSE)+5,FALSE),"")</f>
        <v/>
      </c>
      <c r="R858" s="27" t="str">
        <f ca="1">IFERROR(VLOOKUP($L858,Calculation!$H$6:$S$1005,HLOOKUP(R$2,Calculation!$M$4:$S$5,2,FALSE)+5,FALSE),"")</f>
        <v/>
      </c>
      <c r="S858" s="4" t="str">
        <f ca="1">IFERROR(VLOOKUP($L858,Calculation!$H$6:$S$1005,HLOOKUP(S$2,Calculation!$M$4:$S$5,2,FALSE)+5,FALSE),"")</f>
        <v/>
      </c>
      <c r="T858" s="29"/>
      <c r="U858" s="43" t="str">
        <f>IFERROR(VLOOKUP(T858,Calculation!$U$6:$V$11,2,FALSE),"")</f>
        <v/>
      </c>
    </row>
    <row r="859" spans="1:21" ht="14.25" customHeight="1" x14ac:dyDescent="0.3">
      <c r="A859" s="26" t="str">
        <f ca="1">IF(Calculation!T862&lt;=Calculation!$H$4,Calculation!T862,"")</f>
        <v/>
      </c>
      <c r="B859" s="4" t="str">
        <f ca="1">VLOOKUP(A859,Calculation!$E$6:$J$1004,4,FALSE)</f>
        <v/>
      </c>
      <c r="C859" s="4" t="str">
        <f ca="1">VLOOKUP(A859,Calculation!$E$6:$J$1004,5,FALSE)</f>
        <v/>
      </c>
      <c r="D859" s="4" t="str">
        <f ca="1">VLOOKUP(A859,Calculation!$E$6:$J$1004,6,FALSE)</f>
        <v/>
      </c>
      <c r="E859" s="42" t="str">
        <f t="shared" ca="1" si="6"/>
        <v/>
      </c>
      <c r="G859" s="29" t="str">
        <f ca="1">VLOOKUP(A859,Calculation!$F$6:$J$1004,3,FALSE)</f>
        <v/>
      </c>
      <c r="H859" s="4" t="str">
        <f ca="1">VLOOKUP(A859,Calculation!$F$6:$J$1004,4,FALSE)</f>
        <v/>
      </c>
      <c r="I859" s="4" t="str">
        <f ca="1">VLOOKUP(A859,Calculation!$F$6:$J$1004,5,FALSE)</f>
        <v/>
      </c>
      <c r="J859" s="43" t="str">
        <f t="shared" ca="1" si="7"/>
        <v/>
      </c>
      <c r="L859" s="29" t="str">
        <f ca="1">VLOOKUP(A859,Calculation!$G$6:$S$1004,2,FALSE)</f>
        <v/>
      </c>
      <c r="M859" s="4" t="str">
        <f ca="1">IFERROR(VLOOKUP($L859,Calculation!$H$6:$S$1005,HLOOKUP(M$2,Calculation!$M$4:$S$5,2,FALSE)+5,FALSE),"")</f>
        <v/>
      </c>
      <c r="N859" s="4" t="str">
        <f ca="1">IFERROR(VLOOKUP($L859,Calculation!$H$6:$S$1005,HLOOKUP(N$2,Calculation!$M$4:$S$5,2,FALSE)+5,FALSE),"")</f>
        <v/>
      </c>
      <c r="O859" s="4" t="str">
        <f ca="1">IFERROR(VLOOKUP($L859,Calculation!$H$6:$S$1005,HLOOKUP(O$2,Calculation!$M$4:$S$5,2,FALSE)+5,FALSE),"")</f>
        <v/>
      </c>
      <c r="P859" s="4" t="str">
        <f ca="1">IFERROR(VLOOKUP($L859,Calculation!$H$6:$S$1005,HLOOKUP(P$2,Calculation!$M$4:$S$5,2,FALSE)+5,FALSE),"")</f>
        <v/>
      </c>
      <c r="Q859" s="4" t="str">
        <f ca="1">IFERROR(VLOOKUP($L859,Calculation!$H$6:$S$1005,HLOOKUP(Q$2,Calculation!$M$4:$S$5,2,FALSE)+5,FALSE),"")</f>
        <v/>
      </c>
      <c r="R859" s="27" t="str">
        <f ca="1">IFERROR(VLOOKUP($L859,Calculation!$H$6:$S$1005,HLOOKUP(R$2,Calculation!$M$4:$S$5,2,FALSE)+5,FALSE),"")</f>
        <v/>
      </c>
      <c r="S859" s="4" t="str">
        <f ca="1">IFERROR(VLOOKUP($L859,Calculation!$H$6:$S$1005,HLOOKUP(S$2,Calculation!$M$4:$S$5,2,FALSE)+5,FALSE),"")</f>
        <v/>
      </c>
      <c r="T859" s="29"/>
      <c r="U859" s="43" t="str">
        <f>IFERROR(VLOOKUP(T859,Calculation!$U$6:$V$11,2,FALSE),"")</f>
        <v/>
      </c>
    </row>
    <row r="860" spans="1:21" ht="14.25" customHeight="1" x14ac:dyDescent="0.3">
      <c r="A860" s="26" t="str">
        <f ca="1">IF(Calculation!T863&lt;=Calculation!$H$4,Calculation!T863,"")</f>
        <v/>
      </c>
      <c r="B860" s="4" t="str">
        <f ca="1">VLOOKUP(A860,Calculation!$E$6:$J$1004,4,FALSE)</f>
        <v/>
      </c>
      <c r="C860" s="4" t="str">
        <f ca="1">VLOOKUP(A860,Calculation!$E$6:$J$1004,5,FALSE)</f>
        <v/>
      </c>
      <c r="D860" s="4" t="str">
        <f ca="1">VLOOKUP(A860,Calculation!$E$6:$J$1004,6,FALSE)</f>
        <v/>
      </c>
      <c r="E860" s="42" t="str">
        <f t="shared" ca="1" si="6"/>
        <v/>
      </c>
      <c r="G860" s="29" t="str">
        <f ca="1">VLOOKUP(A860,Calculation!$F$6:$J$1004,3,FALSE)</f>
        <v/>
      </c>
      <c r="H860" s="4" t="str">
        <f ca="1">VLOOKUP(A860,Calculation!$F$6:$J$1004,4,FALSE)</f>
        <v/>
      </c>
      <c r="I860" s="4" t="str">
        <f ca="1">VLOOKUP(A860,Calculation!$F$6:$J$1004,5,FALSE)</f>
        <v/>
      </c>
      <c r="J860" s="43" t="str">
        <f t="shared" ca="1" si="7"/>
        <v/>
      </c>
      <c r="L860" s="29" t="str">
        <f ca="1">VLOOKUP(A860,Calculation!$G$6:$S$1004,2,FALSE)</f>
        <v/>
      </c>
      <c r="M860" s="4" t="str">
        <f ca="1">IFERROR(VLOOKUP($L860,Calculation!$H$6:$S$1005,HLOOKUP(M$2,Calculation!$M$4:$S$5,2,FALSE)+5,FALSE),"")</f>
        <v/>
      </c>
      <c r="N860" s="4" t="str">
        <f ca="1">IFERROR(VLOOKUP($L860,Calculation!$H$6:$S$1005,HLOOKUP(N$2,Calculation!$M$4:$S$5,2,FALSE)+5,FALSE),"")</f>
        <v/>
      </c>
      <c r="O860" s="4" t="str">
        <f ca="1">IFERROR(VLOOKUP($L860,Calculation!$H$6:$S$1005,HLOOKUP(O$2,Calculation!$M$4:$S$5,2,FALSE)+5,FALSE),"")</f>
        <v/>
      </c>
      <c r="P860" s="4" t="str">
        <f ca="1">IFERROR(VLOOKUP($L860,Calculation!$H$6:$S$1005,HLOOKUP(P$2,Calculation!$M$4:$S$5,2,FALSE)+5,FALSE),"")</f>
        <v/>
      </c>
      <c r="Q860" s="4" t="str">
        <f ca="1">IFERROR(VLOOKUP($L860,Calculation!$H$6:$S$1005,HLOOKUP(Q$2,Calculation!$M$4:$S$5,2,FALSE)+5,FALSE),"")</f>
        <v/>
      </c>
      <c r="R860" s="27" t="str">
        <f ca="1">IFERROR(VLOOKUP($L860,Calculation!$H$6:$S$1005,HLOOKUP(R$2,Calculation!$M$4:$S$5,2,FALSE)+5,FALSE),"")</f>
        <v/>
      </c>
      <c r="S860" s="4" t="str">
        <f ca="1">IFERROR(VLOOKUP($L860,Calculation!$H$6:$S$1005,HLOOKUP(S$2,Calculation!$M$4:$S$5,2,FALSE)+5,FALSE),"")</f>
        <v/>
      </c>
      <c r="T860" s="29"/>
      <c r="U860" s="43" t="str">
        <f>IFERROR(VLOOKUP(T860,Calculation!$U$6:$V$11,2,FALSE),"")</f>
        <v/>
      </c>
    </row>
    <row r="861" spans="1:21" ht="14.25" customHeight="1" x14ac:dyDescent="0.3">
      <c r="A861" s="26" t="str">
        <f ca="1">IF(Calculation!T864&lt;=Calculation!$H$4,Calculation!T864,"")</f>
        <v/>
      </c>
      <c r="B861" s="4" t="str">
        <f ca="1">VLOOKUP(A861,Calculation!$E$6:$J$1004,4,FALSE)</f>
        <v/>
      </c>
      <c r="C861" s="4" t="str">
        <f ca="1">VLOOKUP(A861,Calculation!$E$6:$J$1004,5,FALSE)</f>
        <v/>
      </c>
      <c r="D861" s="4" t="str">
        <f ca="1">VLOOKUP(A861,Calculation!$E$6:$J$1004,6,FALSE)</f>
        <v/>
      </c>
      <c r="E861" s="42" t="str">
        <f t="shared" ca="1" si="6"/>
        <v/>
      </c>
      <c r="G861" s="29" t="str">
        <f ca="1">VLOOKUP(A861,Calculation!$F$6:$J$1004,3,FALSE)</f>
        <v/>
      </c>
      <c r="H861" s="4" t="str">
        <f ca="1">VLOOKUP(A861,Calculation!$F$6:$J$1004,4,FALSE)</f>
        <v/>
      </c>
      <c r="I861" s="4" t="str">
        <f ca="1">VLOOKUP(A861,Calculation!$F$6:$J$1004,5,FALSE)</f>
        <v/>
      </c>
      <c r="J861" s="43" t="str">
        <f t="shared" ca="1" si="7"/>
        <v/>
      </c>
      <c r="L861" s="29" t="str">
        <f ca="1">VLOOKUP(A861,Calculation!$G$6:$S$1004,2,FALSE)</f>
        <v/>
      </c>
      <c r="M861" s="4" t="str">
        <f ca="1">IFERROR(VLOOKUP($L861,Calculation!$H$6:$S$1005,HLOOKUP(M$2,Calculation!$M$4:$S$5,2,FALSE)+5,FALSE),"")</f>
        <v/>
      </c>
      <c r="N861" s="4" t="str">
        <f ca="1">IFERROR(VLOOKUP($L861,Calculation!$H$6:$S$1005,HLOOKUP(N$2,Calculation!$M$4:$S$5,2,FALSE)+5,FALSE),"")</f>
        <v/>
      </c>
      <c r="O861" s="4" t="str">
        <f ca="1">IFERROR(VLOOKUP($L861,Calculation!$H$6:$S$1005,HLOOKUP(O$2,Calculation!$M$4:$S$5,2,FALSE)+5,FALSE),"")</f>
        <v/>
      </c>
      <c r="P861" s="4" t="str">
        <f ca="1">IFERROR(VLOOKUP($L861,Calculation!$H$6:$S$1005,HLOOKUP(P$2,Calculation!$M$4:$S$5,2,FALSE)+5,FALSE),"")</f>
        <v/>
      </c>
      <c r="Q861" s="4" t="str">
        <f ca="1">IFERROR(VLOOKUP($L861,Calculation!$H$6:$S$1005,HLOOKUP(Q$2,Calculation!$M$4:$S$5,2,FALSE)+5,FALSE),"")</f>
        <v/>
      </c>
      <c r="R861" s="27" t="str">
        <f ca="1">IFERROR(VLOOKUP($L861,Calculation!$H$6:$S$1005,HLOOKUP(R$2,Calculation!$M$4:$S$5,2,FALSE)+5,FALSE),"")</f>
        <v/>
      </c>
      <c r="S861" s="4" t="str">
        <f ca="1">IFERROR(VLOOKUP($L861,Calculation!$H$6:$S$1005,HLOOKUP(S$2,Calculation!$M$4:$S$5,2,FALSE)+5,FALSE),"")</f>
        <v/>
      </c>
      <c r="T861" s="29"/>
      <c r="U861" s="43" t="str">
        <f>IFERROR(VLOOKUP(T861,Calculation!$U$6:$V$11,2,FALSE),"")</f>
        <v/>
      </c>
    </row>
    <row r="862" spans="1:21" ht="14.25" customHeight="1" x14ac:dyDescent="0.3">
      <c r="A862" s="26" t="str">
        <f ca="1">IF(Calculation!T865&lt;=Calculation!$H$4,Calculation!T865,"")</f>
        <v/>
      </c>
      <c r="B862" s="4" t="str">
        <f ca="1">VLOOKUP(A862,Calculation!$E$6:$J$1004,4,FALSE)</f>
        <v/>
      </c>
      <c r="C862" s="4" t="str">
        <f ca="1">VLOOKUP(A862,Calculation!$E$6:$J$1004,5,FALSE)</f>
        <v/>
      </c>
      <c r="D862" s="4" t="str">
        <f ca="1">VLOOKUP(A862,Calculation!$E$6:$J$1004,6,FALSE)</f>
        <v/>
      </c>
      <c r="E862" s="42" t="str">
        <f t="shared" ca="1" si="6"/>
        <v/>
      </c>
      <c r="G862" s="29" t="str">
        <f ca="1">VLOOKUP(A862,Calculation!$F$6:$J$1004,3,FALSE)</f>
        <v/>
      </c>
      <c r="H862" s="4" t="str">
        <f ca="1">VLOOKUP(A862,Calculation!$F$6:$J$1004,4,FALSE)</f>
        <v/>
      </c>
      <c r="I862" s="4" t="str">
        <f ca="1">VLOOKUP(A862,Calculation!$F$6:$J$1004,5,FALSE)</f>
        <v/>
      </c>
      <c r="J862" s="43" t="str">
        <f t="shared" ca="1" si="7"/>
        <v/>
      </c>
      <c r="L862" s="29" t="str">
        <f ca="1">VLOOKUP(A862,Calculation!$G$6:$S$1004,2,FALSE)</f>
        <v/>
      </c>
      <c r="M862" s="4" t="str">
        <f ca="1">IFERROR(VLOOKUP($L862,Calculation!$H$6:$S$1005,HLOOKUP(M$2,Calculation!$M$4:$S$5,2,FALSE)+5,FALSE),"")</f>
        <v/>
      </c>
      <c r="N862" s="4" t="str">
        <f ca="1">IFERROR(VLOOKUP($L862,Calculation!$H$6:$S$1005,HLOOKUP(N$2,Calculation!$M$4:$S$5,2,FALSE)+5,FALSE),"")</f>
        <v/>
      </c>
      <c r="O862" s="4" t="str">
        <f ca="1">IFERROR(VLOOKUP($L862,Calculation!$H$6:$S$1005,HLOOKUP(O$2,Calculation!$M$4:$S$5,2,FALSE)+5,FALSE),"")</f>
        <v/>
      </c>
      <c r="P862" s="4" t="str">
        <f ca="1">IFERROR(VLOOKUP($L862,Calculation!$H$6:$S$1005,HLOOKUP(P$2,Calculation!$M$4:$S$5,2,FALSE)+5,FALSE),"")</f>
        <v/>
      </c>
      <c r="Q862" s="4" t="str">
        <f ca="1">IFERROR(VLOOKUP($L862,Calculation!$H$6:$S$1005,HLOOKUP(Q$2,Calculation!$M$4:$S$5,2,FALSE)+5,FALSE),"")</f>
        <v/>
      </c>
      <c r="R862" s="27" t="str">
        <f ca="1">IFERROR(VLOOKUP($L862,Calculation!$H$6:$S$1005,HLOOKUP(R$2,Calculation!$M$4:$S$5,2,FALSE)+5,FALSE),"")</f>
        <v/>
      </c>
      <c r="S862" s="4" t="str">
        <f ca="1">IFERROR(VLOOKUP($L862,Calculation!$H$6:$S$1005,HLOOKUP(S$2,Calculation!$M$4:$S$5,2,FALSE)+5,FALSE),"")</f>
        <v/>
      </c>
      <c r="T862" s="29"/>
      <c r="U862" s="43" t="str">
        <f>IFERROR(VLOOKUP(T862,Calculation!$U$6:$V$11,2,FALSE),"")</f>
        <v/>
      </c>
    </row>
    <row r="863" spans="1:21" ht="14.25" customHeight="1" x14ac:dyDescent="0.3">
      <c r="A863" s="26" t="str">
        <f ca="1">IF(Calculation!T866&lt;=Calculation!$H$4,Calculation!T866,"")</f>
        <v/>
      </c>
      <c r="B863" s="4" t="str">
        <f ca="1">VLOOKUP(A863,Calculation!$E$6:$J$1004,4,FALSE)</f>
        <v/>
      </c>
      <c r="C863" s="4" t="str">
        <f ca="1">VLOOKUP(A863,Calculation!$E$6:$J$1004,5,FALSE)</f>
        <v/>
      </c>
      <c r="D863" s="4" t="str">
        <f ca="1">VLOOKUP(A863,Calculation!$E$6:$J$1004,6,FALSE)</f>
        <v/>
      </c>
      <c r="E863" s="42" t="str">
        <f t="shared" ca="1" si="6"/>
        <v/>
      </c>
      <c r="G863" s="29" t="str">
        <f ca="1">VLOOKUP(A863,Calculation!$F$6:$J$1004,3,FALSE)</f>
        <v/>
      </c>
      <c r="H863" s="4" t="str">
        <f ca="1">VLOOKUP(A863,Calculation!$F$6:$J$1004,4,FALSE)</f>
        <v/>
      </c>
      <c r="I863" s="4" t="str">
        <f ca="1">VLOOKUP(A863,Calculation!$F$6:$J$1004,5,FALSE)</f>
        <v/>
      </c>
      <c r="J863" s="43" t="str">
        <f t="shared" ca="1" si="7"/>
        <v/>
      </c>
      <c r="L863" s="29" t="str">
        <f ca="1">VLOOKUP(A863,Calculation!$G$6:$S$1004,2,FALSE)</f>
        <v/>
      </c>
      <c r="M863" s="4" t="str">
        <f ca="1">IFERROR(VLOOKUP($L863,Calculation!$H$6:$S$1005,HLOOKUP(M$2,Calculation!$M$4:$S$5,2,FALSE)+5,FALSE),"")</f>
        <v/>
      </c>
      <c r="N863" s="4" t="str">
        <f ca="1">IFERROR(VLOOKUP($L863,Calculation!$H$6:$S$1005,HLOOKUP(N$2,Calculation!$M$4:$S$5,2,FALSE)+5,FALSE),"")</f>
        <v/>
      </c>
      <c r="O863" s="4" t="str">
        <f ca="1">IFERROR(VLOOKUP($L863,Calculation!$H$6:$S$1005,HLOOKUP(O$2,Calculation!$M$4:$S$5,2,FALSE)+5,FALSE),"")</f>
        <v/>
      </c>
      <c r="P863" s="4" t="str">
        <f ca="1">IFERROR(VLOOKUP($L863,Calculation!$H$6:$S$1005,HLOOKUP(P$2,Calculation!$M$4:$S$5,2,FALSE)+5,FALSE),"")</f>
        <v/>
      </c>
      <c r="Q863" s="4" t="str">
        <f ca="1">IFERROR(VLOOKUP($L863,Calculation!$H$6:$S$1005,HLOOKUP(Q$2,Calculation!$M$4:$S$5,2,FALSE)+5,FALSE),"")</f>
        <v/>
      </c>
      <c r="R863" s="27" t="str">
        <f ca="1">IFERROR(VLOOKUP($L863,Calculation!$H$6:$S$1005,HLOOKUP(R$2,Calculation!$M$4:$S$5,2,FALSE)+5,FALSE),"")</f>
        <v/>
      </c>
      <c r="S863" s="4" t="str">
        <f ca="1">IFERROR(VLOOKUP($L863,Calculation!$H$6:$S$1005,HLOOKUP(S$2,Calculation!$M$4:$S$5,2,FALSE)+5,FALSE),"")</f>
        <v/>
      </c>
      <c r="T863" s="29"/>
      <c r="U863" s="43" t="str">
        <f>IFERROR(VLOOKUP(T863,Calculation!$U$6:$V$11,2,FALSE),"")</f>
        <v/>
      </c>
    </row>
    <row r="864" spans="1:21" ht="14.25" customHeight="1" x14ac:dyDescent="0.3">
      <c r="A864" s="26" t="str">
        <f ca="1">IF(Calculation!T867&lt;=Calculation!$H$4,Calculation!T867,"")</f>
        <v/>
      </c>
      <c r="B864" s="4" t="str">
        <f ca="1">VLOOKUP(A864,Calculation!$E$6:$J$1004,4,FALSE)</f>
        <v/>
      </c>
      <c r="C864" s="4" t="str">
        <f ca="1">VLOOKUP(A864,Calculation!$E$6:$J$1004,5,FALSE)</f>
        <v/>
      </c>
      <c r="D864" s="4" t="str">
        <f ca="1">VLOOKUP(A864,Calculation!$E$6:$J$1004,6,FALSE)</f>
        <v/>
      </c>
      <c r="E864" s="42" t="str">
        <f t="shared" ca="1" si="6"/>
        <v/>
      </c>
      <c r="G864" s="29" t="str">
        <f ca="1">VLOOKUP(A864,Calculation!$F$6:$J$1004,3,FALSE)</f>
        <v/>
      </c>
      <c r="H864" s="4" t="str">
        <f ca="1">VLOOKUP(A864,Calculation!$F$6:$J$1004,4,FALSE)</f>
        <v/>
      </c>
      <c r="I864" s="4" t="str">
        <f ca="1">VLOOKUP(A864,Calculation!$F$6:$J$1004,5,FALSE)</f>
        <v/>
      </c>
      <c r="J864" s="43" t="str">
        <f t="shared" ca="1" si="7"/>
        <v/>
      </c>
      <c r="L864" s="29" t="str">
        <f ca="1">VLOOKUP(A864,Calculation!$G$6:$S$1004,2,FALSE)</f>
        <v/>
      </c>
      <c r="M864" s="4" t="str">
        <f ca="1">IFERROR(VLOOKUP($L864,Calculation!$H$6:$S$1005,HLOOKUP(M$2,Calculation!$M$4:$S$5,2,FALSE)+5,FALSE),"")</f>
        <v/>
      </c>
      <c r="N864" s="4" t="str">
        <f ca="1">IFERROR(VLOOKUP($L864,Calculation!$H$6:$S$1005,HLOOKUP(N$2,Calculation!$M$4:$S$5,2,FALSE)+5,FALSE),"")</f>
        <v/>
      </c>
      <c r="O864" s="4" t="str">
        <f ca="1">IFERROR(VLOOKUP($L864,Calculation!$H$6:$S$1005,HLOOKUP(O$2,Calculation!$M$4:$S$5,2,FALSE)+5,FALSE),"")</f>
        <v/>
      </c>
      <c r="P864" s="4" t="str">
        <f ca="1">IFERROR(VLOOKUP($L864,Calculation!$H$6:$S$1005,HLOOKUP(P$2,Calculation!$M$4:$S$5,2,FALSE)+5,FALSE),"")</f>
        <v/>
      </c>
      <c r="Q864" s="4" t="str">
        <f ca="1">IFERROR(VLOOKUP($L864,Calculation!$H$6:$S$1005,HLOOKUP(Q$2,Calculation!$M$4:$S$5,2,FALSE)+5,FALSE),"")</f>
        <v/>
      </c>
      <c r="R864" s="27" t="str">
        <f ca="1">IFERROR(VLOOKUP($L864,Calculation!$H$6:$S$1005,HLOOKUP(R$2,Calculation!$M$4:$S$5,2,FALSE)+5,FALSE),"")</f>
        <v/>
      </c>
      <c r="S864" s="4" t="str">
        <f ca="1">IFERROR(VLOOKUP($L864,Calculation!$H$6:$S$1005,HLOOKUP(S$2,Calculation!$M$4:$S$5,2,FALSE)+5,FALSE),"")</f>
        <v/>
      </c>
      <c r="T864" s="29"/>
      <c r="U864" s="43" t="str">
        <f>IFERROR(VLOOKUP(T864,Calculation!$U$6:$V$11,2,FALSE),"")</f>
        <v/>
      </c>
    </row>
    <row r="865" spans="1:21" ht="14.25" customHeight="1" x14ac:dyDescent="0.3">
      <c r="A865" s="26" t="str">
        <f ca="1">IF(Calculation!T868&lt;=Calculation!$H$4,Calculation!T868,"")</f>
        <v/>
      </c>
      <c r="B865" s="4" t="str">
        <f ca="1">VLOOKUP(A865,Calculation!$E$6:$J$1004,4,FALSE)</f>
        <v/>
      </c>
      <c r="C865" s="4" t="str">
        <f ca="1">VLOOKUP(A865,Calculation!$E$6:$J$1004,5,FALSE)</f>
        <v/>
      </c>
      <c r="D865" s="4" t="str">
        <f ca="1">VLOOKUP(A865,Calculation!$E$6:$J$1004,6,FALSE)</f>
        <v/>
      </c>
      <c r="E865" s="42" t="str">
        <f t="shared" ca="1" si="6"/>
        <v/>
      </c>
      <c r="G865" s="29" t="str">
        <f ca="1">VLOOKUP(A865,Calculation!$F$6:$J$1004,3,FALSE)</f>
        <v/>
      </c>
      <c r="H865" s="4" t="str">
        <f ca="1">VLOOKUP(A865,Calculation!$F$6:$J$1004,4,FALSE)</f>
        <v/>
      </c>
      <c r="I865" s="4" t="str">
        <f ca="1">VLOOKUP(A865,Calculation!$F$6:$J$1004,5,FALSE)</f>
        <v/>
      </c>
      <c r="J865" s="43" t="str">
        <f t="shared" ca="1" si="7"/>
        <v/>
      </c>
      <c r="L865" s="29" t="str">
        <f ca="1">VLOOKUP(A865,Calculation!$G$6:$S$1004,2,FALSE)</f>
        <v/>
      </c>
      <c r="M865" s="4" t="str">
        <f ca="1">IFERROR(VLOOKUP($L865,Calculation!$H$6:$S$1005,HLOOKUP(M$2,Calculation!$M$4:$S$5,2,FALSE)+5,FALSE),"")</f>
        <v/>
      </c>
      <c r="N865" s="4" t="str">
        <f ca="1">IFERROR(VLOOKUP($L865,Calculation!$H$6:$S$1005,HLOOKUP(N$2,Calculation!$M$4:$S$5,2,FALSE)+5,FALSE),"")</f>
        <v/>
      </c>
      <c r="O865" s="4" t="str">
        <f ca="1">IFERROR(VLOOKUP($L865,Calculation!$H$6:$S$1005,HLOOKUP(O$2,Calculation!$M$4:$S$5,2,FALSE)+5,FALSE),"")</f>
        <v/>
      </c>
      <c r="P865" s="4" t="str">
        <f ca="1">IFERROR(VLOOKUP($L865,Calculation!$H$6:$S$1005,HLOOKUP(P$2,Calculation!$M$4:$S$5,2,FALSE)+5,FALSE),"")</f>
        <v/>
      </c>
      <c r="Q865" s="4" t="str">
        <f ca="1">IFERROR(VLOOKUP($L865,Calculation!$H$6:$S$1005,HLOOKUP(Q$2,Calculation!$M$4:$S$5,2,FALSE)+5,FALSE),"")</f>
        <v/>
      </c>
      <c r="R865" s="27" t="str">
        <f ca="1">IFERROR(VLOOKUP($L865,Calculation!$H$6:$S$1005,HLOOKUP(R$2,Calculation!$M$4:$S$5,2,FALSE)+5,FALSE),"")</f>
        <v/>
      </c>
      <c r="S865" s="4" t="str">
        <f ca="1">IFERROR(VLOOKUP($L865,Calculation!$H$6:$S$1005,HLOOKUP(S$2,Calculation!$M$4:$S$5,2,FALSE)+5,FALSE),"")</f>
        <v/>
      </c>
      <c r="T865" s="29"/>
      <c r="U865" s="43" t="str">
        <f>IFERROR(VLOOKUP(T865,Calculation!$U$6:$V$11,2,FALSE),"")</f>
        <v/>
      </c>
    </row>
    <row r="866" spans="1:21" ht="14.25" customHeight="1" x14ac:dyDescent="0.3">
      <c r="A866" s="26" t="str">
        <f ca="1">IF(Calculation!T869&lt;=Calculation!$H$4,Calculation!T869,"")</f>
        <v/>
      </c>
      <c r="B866" s="4" t="str">
        <f ca="1">VLOOKUP(A866,Calculation!$E$6:$J$1004,4,FALSE)</f>
        <v/>
      </c>
      <c r="C866" s="4" t="str">
        <f ca="1">VLOOKUP(A866,Calculation!$E$6:$J$1004,5,FALSE)</f>
        <v/>
      </c>
      <c r="D866" s="4" t="str">
        <f ca="1">VLOOKUP(A866,Calculation!$E$6:$J$1004,6,FALSE)</f>
        <v/>
      </c>
      <c r="E866" s="42" t="str">
        <f t="shared" ca="1" si="6"/>
        <v/>
      </c>
      <c r="G866" s="29" t="str">
        <f ca="1">VLOOKUP(A866,Calculation!$F$6:$J$1004,3,FALSE)</f>
        <v/>
      </c>
      <c r="H866" s="4" t="str">
        <f ca="1">VLOOKUP(A866,Calculation!$F$6:$J$1004,4,FALSE)</f>
        <v/>
      </c>
      <c r="I866" s="4" t="str">
        <f ca="1">VLOOKUP(A866,Calculation!$F$6:$J$1004,5,FALSE)</f>
        <v/>
      </c>
      <c r="J866" s="43" t="str">
        <f t="shared" ca="1" si="7"/>
        <v/>
      </c>
      <c r="L866" s="29" t="str">
        <f ca="1">VLOOKUP(A866,Calculation!$G$6:$S$1004,2,FALSE)</f>
        <v/>
      </c>
      <c r="M866" s="4" t="str">
        <f ca="1">IFERROR(VLOOKUP($L866,Calculation!$H$6:$S$1005,HLOOKUP(M$2,Calculation!$M$4:$S$5,2,FALSE)+5,FALSE),"")</f>
        <v/>
      </c>
      <c r="N866" s="4" t="str">
        <f ca="1">IFERROR(VLOOKUP($L866,Calculation!$H$6:$S$1005,HLOOKUP(N$2,Calculation!$M$4:$S$5,2,FALSE)+5,FALSE),"")</f>
        <v/>
      </c>
      <c r="O866" s="4" t="str">
        <f ca="1">IFERROR(VLOOKUP($L866,Calculation!$H$6:$S$1005,HLOOKUP(O$2,Calculation!$M$4:$S$5,2,FALSE)+5,FALSE),"")</f>
        <v/>
      </c>
      <c r="P866" s="4" t="str">
        <f ca="1">IFERROR(VLOOKUP($L866,Calculation!$H$6:$S$1005,HLOOKUP(P$2,Calculation!$M$4:$S$5,2,FALSE)+5,FALSE),"")</f>
        <v/>
      </c>
      <c r="Q866" s="4" t="str">
        <f ca="1">IFERROR(VLOOKUP($L866,Calculation!$H$6:$S$1005,HLOOKUP(Q$2,Calculation!$M$4:$S$5,2,FALSE)+5,FALSE),"")</f>
        <v/>
      </c>
      <c r="R866" s="27" t="str">
        <f ca="1">IFERROR(VLOOKUP($L866,Calculation!$H$6:$S$1005,HLOOKUP(R$2,Calculation!$M$4:$S$5,2,FALSE)+5,FALSE),"")</f>
        <v/>
      </c>
      <c r="S866" s="4" t="str">
        <f ca="1">IFERROR(VLOOKUP($L866,Calculation!$H$6:$S$1005,HLOOKUP(S$2,Calculation!$M$4:$S$5,2,FALSE)+5,FALSE),"")</f>
        <v/>
      </c>
      <c r="T866" s="29"/>
      <c r="U866" s="43" t="str">
        <f>IFERROR(VLOOKUP(T866,Calculation!$U$6:$V$11,2,FALSE),"")</f>
        <v/>
      </c>
    </row>
    <row r="867" spans="1:21" ht="14.25" customHeight="1" x14ac:dyDescent="0.3">
      <c r="A867" s="26" t="str">
        <f ca="1">IF(Calculation!T870&lt;=Calculation!$H$4,Calculation!T870,"")</f>
        <v/>
      </c>
      <c r="B867" s="4" t="str">
        <f ca="1">VLOOKUP(A867,Calculation!$E$6:$J$1004,4,FALSE)</f>
        <v/>
      </c>
      <c r="C867" s="4" t="str">
        <f ca="1">VLOOKUP(A867,Calculation!$E$6:$J$1004,5,FALSE)</f>
        <v/>
      </c>
      <c r="D867" s="4" t="str">
        <f ca="1">VLOOKUP(A867,Calculation!$E$6:$J$1004,6,FALSE)</f>
        <v/>
      </c>
      <c r="E867" s="42" t="str">
        <f t="shared" ca="1" si="6"/>
        <v/>
      </c>
      <c r="G867" s="29" t="str">
        <f ca="1">VLOOKUP(A867,Calculation!$F$6:$J$1004,3,FALSE)</f>
        <v/>
      </c>
      <c r="H867" s="4" t="str">
        <f ca="1">VLOOKUP(A867,Calculation!$F$6:$J$1004,4,FALSE)</f>
        <v/>
      </c>
      <c r="I867" s="4" t="str">
        <f ca="1">VLOOKUP(A867,Calculation!$F$6:$J$1004,5,FALSE)</f>
        <v/>
      </c>
      <c r="J867" s="43" t="str">
        <f t="shared" ca="1" si="7"/>
        <v/>
      </c>
      <c r="L867" s="29" t="str">
        <f ca="1">VLOOKUP(A867,Calculation!$G$6:$S$1004,2,FALSE)</f>
        <v/>
      </c>
      <c r="M867" s="4" t="str">
        <f ca="1">IFERROR(VLOOKUP($L867,Calculation!$H$6:$S$1005,HLOOKUP(M$2,Calculation!$M$4:$S$5,2,FALSE)+5,FALSE),"")</f>
        <v/>
      </c>
      <c r="N867" s="4" t="str">
        <f ca="1">IFERROR(VLOOKUP($L867,Calculation!$H$6:$S$1005,HLOOKUP(N$2,Calculation!$M$4:$S$5,2,FALSE)+5,FALSE),"")</f>
        <v/>
      </c>
      <c r="O867" s="4" t="str">
        <f ca="1">IFERROR(VLOOKUP($L867,Calculation!$H$6:$S$1005,HLOOKUP(O$2,Calculation!$M$4:$S$5,2,FALSE)+5,FALSE),"")</f>
        <v/>
      </c>
      <c r="P867" s="4" t="str">
        <f ca="1">IFERROR(VLOOKUP($L867,Calculation!$H$6:$S$1005,HLOOKUP(P$2,Calculation!$M$4:$S$5,2,FALSE)+5,FALSE),"")</f>
        <v/>
      </c>
      <c r="Q867" s="4" t="str">
        <f ca="1">IFERROR(VLOOKUP($L867,Calculation!$H$6:$S$1005,HLOOKUP(Q$2,Calculation!$M$4:$S$5,2,FALSE)+5,FALSE),"")</f>
        <v/>
      </c>
      <c r="R867" s="27" t="str">
        <f ca="1">IFERROR(VLOOKUP($L867,Calculation!$H$6:$S$1005,HLOOKUP(R$2,Calculation!$M$4:$S$5,2,FALSE)+5,FALSE),"")</f>
        <v/>
      </c>
      <c r="S867" s="4" t="str">
        <f ca="1">IFERROR(VLOOKUP($L867,Calculation!$H$6:$S$1005,HLOOKUP(S$2,Calculation!$M$4:$S$5,2,FALSE)+5,FALSE),"")</f>
        <v/>
      </c>
      <c r="T867" s="29"/>
      <c r="U867" s="43" t="str">
        <f>IFERROR(VLOOKUP(T867,Calculation!$U$6:$V$11,2,FALSE),"")</f>
        <v/>
      </c>
    </row>
    <row r="868" spans="1:21" ht="14.25" customHeight="1" x14ac:dyDescent="0.3">
      <c r="A868" s="26" t="str">
        <f ca="1">IF(Calculation!T871&lt;=Calculation!$H$4,Calculation!T871,"")</f>
        <v/>
      </c>
      <c r="B868" s="4" t="str">
        <f ca="1">VLOOKUP(A868,Calculation!$E$6:$J$1004,4,FALSE)</f>
        <v/>
      </c>
      <c r="C868" s="4" t="str">
        <f ca="1">VLOOKUP(A868,Calculation!$E$6:$J$1004,5,FALSE)</f>
        <v/>
      </c>
      <c r="D868" s="4" t="str">
        <f ca="1">VLOOKUP(A868,Calculation!$E$6:$J$1004,6,FALSE)</f>
        <v/>
      </c>
      <c r="E868" s="42" t="str">
        <f t="shared" ca="1" si="6"/>
        <v/>
      </c>
      <c r="G868" s="29" t="str">
        <f ca="1">VLOOKUP(A868,Calculation!$F$6:$J$1004,3,FALSE)</f>
        <v/>
      </c>
      <c r="H868" s="4" t="str">
        <f ca="1">VLOOKUP(A868,Calculation!$F$6:$J$1004,4,FALSE)</f>
        <v/>
      </c>
      <c r="I868" s="4" t="str">
        <f ca="1">VLOOKUP(A868,Calculation!$F$6:$J$1004,5,FALSE)</f>
        <v/>
      </c>
      <c r="J868" s="43" t="str">
        <f t="shared" ca="1" si="7"/>
        <v/>
      </c>
      <c r="L868" s="29" t="str">
        <f ca="1">VLOOKUP(A868,Calculation!$G$6:$S$1004,2,FALSE)</f>
        <v/>
      </c>
      <c r="M868" s="4" t="str">
        <f ca="1">IFERROR(VLOOKUP($L868,Calculation!$H$6:$S$1005,HLOOKUP(M$2,Calculation!$M$4:$S$5,2,FALSE)+5,FALSE),"")</f>
        <v/>
      </c>
      <c r="N868" s="4" t="str">
        <f ca="1">IFERROR(VLOOKUP($L868,Calculation!$H$6:$S$1005,HLOOKUP(N$2,Calculation!$M$4:$S$5,2,FALSE)+5,FALSE),"")</f>
        <v/>
      </c>
      <c r="O868" s="4" t="str">
        <f ca="1">IFERROR(VLOOKUP($L868,Calculation!$H$6:$S$1005,HLOOKUP(O$2,Calculation!$M$4:$S$5,2,FALSE)+5,FALSE),"")</f>
        <v/>
      </c>
      <c r="P868" s="4" t="str">
        <f ca="1">IFERROR(VLOOKUP($L868,Calculation!$H$6:$S$1005,HLOOKUP(P$2,Calculation!$M$4:$S$5,2,FALSE)+5,FALSE),"")</f>
        <v/>
      </c>
      <c r="Q868" s="4" t="str">
        <f ca="1">IFERROR(VLOOKUP($L868,Calculation!$H$6:$S$1005,HLOOKUP(Q$2,Calculation!$M$4:$S$5,2,FALSE)+5,FALSE),"")</f>
        <v/>
      </c>
      <c r="R868" s="27" t="str">
        <f ca="1">IFERROR(VLOOKUP($L868,Calculation!$H$6:$S$1005,HLOOKUP(R$2,Calculation!$M$4:$S$5,2,FALSE)+5,FALSE),"")</f>
        <v/>
      </c>
      <c r="S868" s="4" t="str">
        <f ca="1">IFERROR(VLOOKUP($L868,Calculation!$H$6:$S$1005,HLOOKUP(S$2,Calculation!$M$4:$S$5,2,FALSE)+5,FALSE),"")</f>
        <v/>
      </c>
      <c r="T868" s="29"/>
      <c r="U868" s="43" t="str">
        <f>IFERROR(VLOOKUP(T868,Calculation!$U$6:$V$11,2,FALSE),"")</f>
        <v/>
      </c>
    </row>
    <row r="869" spans="1:21" ht="14.25" customHeight="1" x14ac:dyDescent="0.3">
      <c r="A869" s="26" t="str">
        <f ca="1">IF(Calculation!T872&lt;=Calculation!$H$4,Calculation!T872,"")</f>
        <v/>
      </c>
      <c r="B869" s="4" t="str">
        <f ca="1">VLOOKUP(A869,Calculation!$E$6:$J$1004,4,FALSE)</f>
        <v/>
      </c>
      <c r="C869" s="4" t="str">
        <f ca="1">VLOOKUP(A869,Calculation!$E$6:$J$1004,5,FALSE)</f>
        <v/>
      </c>
      <c r="D869" s="4" t="str">
        <f ca="1">VLOOKUP(A869,Calculation!$E$6:$J$1004,6,FALSE)</f>
        <v/>
      </c>
      <c r="E869" s="42" t="str">
        <f t="shared" ca="1" si="6"/>
        <v/>
      </c>
      <c r="G869" s="29" t="str">
        <f ca="1">VLOOKUP(A869,Calculation!$F$6:$J$1004,3,FALSE)</f>
        <v/>
      </c>
      <c r="H869" s="4" t="str">
        <f ca="1">VLOOKUP(A869,Calculation!$F$6:$J$1004,4,FALSE)</f>
        <v/>
      </c>
      <c r="I869" s="4" t="str">
        <f ca="1">VLOOKUP(A869,Calculation!$F$6:$J$1004,5,FALSE)</f>
        <v/>
      </c>
      <c r="J869" s="43" t="str">
        <f t="shared" ca="1" si="7"/>
        <v/>
      </c>
      <c r="L869" s="29" t="str">
        <f ca="1">VLOOKUP(A869,Calculation!$G$6:$S$1004,2,FALSE)</f>
        <v/>
      </c>
      <c r="M869" s="4" t="str">
        <f ca="1">IFERROR(VLOOKUP($L869,Calculation!$H$6:$S$1005,HLOOKUP(M$2,Calculation!$M$4:$S$5,2,FALSE)+5,FALSE),"")</f>
        <v/>
      </c>
      <c r="N869" s="4" t="str">
        <f ca="1">IFERROR(VLOOKUP($L869,Calculation!$H$6:$S$1005,HLOOKUP(N$2,Calculation!$M$4:$S$5,2,FALSE)+5,FALSE),"")</f>
        <v/>
      </c>
      <c r="O869" s="4" t="str">
        <f ca="1">IFERROR(VLOOKUP($L869,Calculation!$H$6:$S$1005,HLOOKUP(O$2,Calculation!$M$4:$S$5,2,FALSE)+5,FALSE),"")</f>
        <v/>
      </c>
      <c r="P869" s="4" t="str">
        <f ca="1">IFERROR(VLOOKUP($L869,Calculation!$H$6:$S$1005,HLOOKUP(P$2,Calculation!$M$4:$S$5,2,FALSE)+5,FALSE),"")</f>
        <v/>
      </c>
      <c r="Q869" s="4" t="str">
        <f ca="1">IFERROR(VLOOKUP($L869,Calculation!$H$6:$S$1005,HLOOKUP(Q$2,Calculation!$M$4:$S$5,2,FALSE)+5,FALSE),"")</f>
        <v/>
      </c>
      <c r="R869" s="27" t="str">
        <f ca="1">IFERROR(VLOOKUP($L869,Calculation!$H$6:$S$1005,HLOOKUP(R$2,Calculation!$M$4:$S$5,2,FALSE)+5,FALSE),"")</f>
        <v/>
      </c>
      <c r="S869" s="4" t="str">
        <f ca="1">IFERROR(VLOOKUP($L869,Calculation!$H$6:$S$1005,HLOOKUP(S$2,Calculation!$M$4:$S$5,2,FALSE)+5,FALSE),"")</f>
        <v/>
      </c>
      <c r="T869" s="29"/>
      <c r="U869" s="43" t="str">
        <f>IFERROR(VLOOKUP(T869,Calculation!$U$6:$V$11,2,FALSE),"")</f>
        <v/>
      </c>
    </row>
    <row r="870" spans="1:21" ht="14.25" customHeight="1" x14ac:dyDescent="0.3">
      <c r="A870" s="26" t="str">
        <f ca="1">IF(Calculation!T873&lt;=Calculation!$H$4,Calculation!T873,"")</f>
        <v/>
      </c>
      <c r="B870" s="4" t="str">
        <f ca="1">VLOOKUP(A870,Calculation!$E$6:$J$1004,4,FALSE)</f>
        <v/>
      </c>
      <c r="C870" s="4" t="str">
        <f ca="1">VLOOKUP(A870,Calculation!$E$6:$J$1004,5,FALSE)</f>
        <v/>
      </c>
      <c r="D870" s="4" t="str">
        <f ca="1">VLOOKUP(A870,Calculation!$E$6:$J$1004,6,FALSE)</f>
        <v/>
      </c>
      <c r="E870" s="42" t="str">
        <f t="shared" ca="1" si="6"/>
        <v/>
      </c>
      <c r="G870" s="29" t="str">
        <f ca="1">VLOOKUP(A870,Calculation!$F$6:$J$1004,3,FALSE)</f>
        <v/>
      </c>
      <c r="H870" s="4" t="str">
        <f ca="1">VLOOKUP(A870,Calculation!$F$6:$J$1004,4,FALSE)</f>
        <v/>
      </c>
      <c r="I870" s="4" t="str">
        <f ca="1">VLOOKUP(A870,Calculation!$F$6:$J$1004,5,FALSE)</f>
        <v/>
      </c>
      <c r="J870" s="43" t="str">
        <f t="shared" ca="1" si="7"/>
        <v/>
      </c>
      <c r="L870" s="29" t="str">
        <f ca="1">VLOOKUP(A870,Calculation!$G$6:$S$1004,2,FALSE)</f>
        <v/>
      </c>
      <c r="M870" s="4" t="str">
        <f ca="1">IFERROR(VLOOKUP($L870,Calculation!$H$6:$S$1005,HLOOKUP(M$2,Calculation!$M$4:$S$5,2,FALSE)+5,FALSE),"")</f>
        <v/>
      </c>
      <c r="N870" s="4" t="str">
        <f ca="1">IFERROR(VLOOKUP($L870,Calculation!$H$6:$S$1005,HLOOKUP(N$2,Calculation!$M$4:$S$5,2,FALSE)+5,FALSE),"")</f>
        <v/>
      </c>
      <c r="O870" s="4" t="str">
        <f ca="1">IFERROR(VLOOKUP($L870,Calculation!$H$6:$S$1005,HLOOKUP(O$2,Calculation!$M$4:$S$5,2,FALSE)+5,FALSE),"")</f>
        <v/>
      </c>
      <c r="P870" s="4" t="str">
        <f ca="1">IFERROR(VLOOKUP($L870,Calculation!$H$6:$S$1005,HLOOKUP(P$2,Calculation!$M$4:$S$5,2,FALSE)+5,FALSE),"")</f>
        <v/>
      </c>
      <c r="Q870" s="4" t="str">
        <f ca="1">IFERROR(VLOOKUP($L870,Calculation!$H$6:$S$1005,HLOOKUP(Q$2,Calculation!$M$4:$S$5,2,FALSE)+5,FALSE),"")</f>
        <v/>
      </c>
      <c r="R870" s="27" t="str">
        <f ca="1">IFERROR(VLOOKUP($L870,Calculation!$H$6:$S$1005,HLOOKUP(R$2,Calculation!$M$4:$S$5,2,FALSE)+5,FALSE),"")</f>
        <v/>
      </c>
      <c r="S870" s="4" t="str">
        <f ca="1">IFERROR(VLOOKUP($L870,Calculation!$H$6:$S$1005,HLOOKUP(S$2,Calculation!$M$4:$S$5,2,FALSE)+5,FALSE),"")</f>
        <v/>
      </c>
      <c r="T870" s="29"/>
      <c r="U870" s="43" t="str">
        <f>IFERROR(VLOOKUP(T870,Calculation!$U$6:$V$11,2,FALSE),"")</f>
        <v/>
      </c>
    </row>
    <row r="871" spans="1:21" ht="14.25" customHeight="1" x14ac:dyDescent="0.3">
      <c r="A871" s="26" t="str">
        <f ca="1">IF(Calculation!T874&lt;=Calculation!$H$4,Calculation!T874,"")</f>
        <v/>
      </c>
      <c r="B871" s="4" t="str">
        <f ca="1">VLOOKUP(A871,Calculation!$E$6:$J$1004,4,FALSE)</f>
        <v/>
      </c>
      <c r="C871" s="4" t="str">
        <f ca="1">VLOOKUP(A871,Calculation!$E$6:$J$1004,5,FALSE)</f>
        <v/>
      </c>
      <c r="D871" s="4" t="str">
        <f ca="1">VLOOKUP(A871,Calculation!$E$6:$J$1004,6,FALSE)</f>
        <v/>
      </c>
      <c r="E871" s="42" t="str">
        <f t="shared" ca="1" si="6"/>
        <v/>
      </c>
      <c r="G871" s="29" t="str">
        <f ca="1">VLOOKUP(A871,Calculation!$F$6:$J$1004,3,FALSE)</f>
        <v/>
      </c>
      <c r="H871" s="4" t="str">
        <f ca="1">VLOOKUP(A871,Calculation!$F$6:$J$1004,4,FALSE)</f>
        <v/>
      </c>
      <c r="I871" s="4" t="str">
        <f ca="1">VLOOKUP(A871,Calculation!$F$6:$J$1004,5,FALSE)</f>
        <v/>
      </c>
      <c r="J871" s="43" t="str">
        <f t="shared" ca="1" si="7"/>
        <v/>
      </c>
      <c r="L871" s="29" t="str">
        <f ca="1">VLOOKUP(A871,Calculation!$G$6:$S$1004,2,FALSE)</f>
        <v/>
      </c>
      <c r="M871" s="4" t="str">
        <f ca="1">IFERROR(VLOOKUP($L871,Calculation!$H$6:$S$1005,HLOOKUP(M$2,Calculation!$M$4:$S$5,2,FALSE)+5,FALSE),"")</f>
        <v/>
      </c>
      <c r="N871" s="4" t="str">
        <f ca="1">IFERROR(VLOOKUP($L871,Calculation!$H$6:$S$1005,HLOOKUP(N$2,Calculation!$M$4:$S$5,2,FALSE)+5,FALSE),"")</f>
        <v/>
      </c>
      <c r="O871" s="4" t="str">
        <f ca="1">IFERROR(VLOOKUP($L871,Calculation!$H$6:$S$1005,HLOOKUP(O$2,Calculation!$M$4:$S$5,2,FALSE)+5,FALSE),"")</f>
        <v/>
      </c>
      <c r="P871" s="4" t="str">
        <f ca="1">IFERROR(VLOOKUP($L871,Calculation!$H$6:$S$1005,HLOOKUP(P$2,Calculation!$M$4:$S$5,2,FALSE)+5,FALSE),"")</f>
        <v/>
      </c>
      <c r="Q871" s="4" t="str">
        <f ca="1">IFERROR(VLOOKUP($L871,Calculation!$H$6:$S$1005,HLOOKUP(Q$2,Calculation!$M$4:$S$5,2,FALSE)+5,FALSE),"")</f>
        <v/>
      </c>
      <c r="R871" s="27" t="str">
        <f ca="1">IFERROR(VLOOKUP($L871,Calculation!$H$6:$S$1005,HLOOKUP(R$2,Calculation!$M$4:$S$5,2,FALSE)+5,FALSE),"")</f>
        <v/>
      </c>
      <c r="S871" s="4" t="str">
        <f ca="1">IFERROR(VLOOKUP($L871,Calculation!$H$6:$S$1005,HLOOKUP(S$2,Calculation!$M$4:$S$5,2,FALSE)+5,FALSE),"")</f>
        <v/>
      </c>
      <c r="T871" s="29"/>
      <c r="U871" s="43" t="str">
        <f>IFERROR(VLOOKUP(T871,Calculation!$U$6:$V$11,2,FALSE),"")</f>
        <v/>
      </c>
    </row>
    <row r="872" spans="1:21" ht="14.25" customHeight="1" x14ac:dyDescent="0.3">
      <c r="A872" s="26" t="str">
        <f ca="1">IF(Calculation!T875&lt;=Calculation!$H$4,Calculation!T875,"")</f>
        <v/>
      </c>
      <c r="B872" s="4" t="str">
        <f ca="1">VLOOKUP(A872,Calculation!$E$6:$J$1004,4,FALSE)</f>
        <v/>
      </c>
      <c r="C872" s="4" t="str">
        <f ca="1">VLOOKUP(A872,Calculation!$E$6:$J$1004,5,FALSE)</f>
        <v/>
      </c>
      <c r="D872" s="4" t="str">
        <f ca="1">VLOOKUP(A872,Calculation!$E$6:$J$1004,6,FALSE)</f>
        <v/>
      </c>
      <c r="E872" s="42" t="str">
        <f t="shared" ca="1" si="6"/>
        <v/>
      </c>
      <c r="G872" s="29" t="str">
        <f ca="1">VLOOKUP(A872,Calculation!$F$6:$J$1004,3,FALSE)</f>
        <v/>
      </c>
      <c r="H872" s="4" t="str">
        <f ca="1">VLOOKUP(A872,Calculation!$F$6:$J$1004,4,FALSE)</f>
        <v/>
      </c>
      <c r="I872" s="4" t="str">
        <f ca="1">VLOOKUP(A872,Calculation!$F$6:$J$1004,5,FALSE)</f>
        <v/>
      </c>
      <c r="J872" s="43" t="str">
        <f t="shared" ca="1" si="7"/>
        <v/>
      </c>
      <c r="L872" s="29" t="str">
        <f ca="1">VLOOKUP(A872,Calculation!$G$6:$S$1004,2,FALSE)</f>
        <v/>
      </c>
      <c r="M872" s="4" t="str">
        <f ca="1">IFERROR(VLOOKUP($L872,Calculation!$H$6:$S$1005,HLOOKUP(M$2,Calculation!$M$4:$S$5,2,FALSE)+5,FALSE),"")</f>
        <v/>
      </c>
      <c r="N872" s="4" t="str">
        <f ca="1">IFERROR(VLOOKUP($L872,Calculation!$H$6:$S$1005,HLOOKUP(N$2,Calculation!$M$4:$S$5,2,FALSE)+5,FALSE),"")</f>
        <v/>
      </c>
      <c r="O872" s="4" t="str">
        <f ca="1">IFERROR(VLOOKUP($L872,Calculation!$H$6:$S$1005,HLOOKUP(O$2,Calculation!$M$4:$S$5,2,FALSE)+5,FALSE),"")</f>
        <v/>
      </c>
      <c r="P872" s="4" t="str">
        <f ca="1">IFERROR(VLOOKUP($L872,Calculation!$H$6:$S$1005,HLOOKUP(P$2,Calculation!$M$4:$S$5,2,FALSE)+5,FALSE),"")</f>
        <v/>
      </c>
      <c r="Q872" s="4" t="str">
        <f ca="1">IFERROR(VLOOKUP($L872,Calculation!$H$6:$S$1005,HLOOKUP(Q$2,Calculation!$M$4:$S$5,2,FALSE)+5,FALSE),"")</f>
        <v/>
      </c>
      <c r="R872" s="27" t="str">
        <f ca="1">IFERROR(VLOOKUP($L872,Calculation!$H$6:$S$1005,HLOOKUP(R$2,Calculation!$M$4:$S$5,2,FALSE)+5,FALSE),"")</f>
        <v/>
      </c>
      <c r="S872" s="4" t="str">
        <f ca="1">IFERROR(VLOOKUP($L872,Calculation!$H$6:$S$1005,HLOOKUP(S$2,Calculation!$M$4:$S$5,2,FALSE)+5,FALSE),"")</f>
        <v/>
      </c>
      <c r="T872" s="29"/>
      <c r="U872" s="43" t="str">
        <f>IFERROR(VLOOKUP(T872,Calculation!$U$6:$V$11,2,FALSE),"")</f>
        <v/>
      </c>
    </row>
    <row r="873" spans="1:21" ht="14.25" customHeight="1" x14ac:dyDescent="0.3">
      <c r="A873" s="26" t="str">
        <f ca="1">IF(Calculation!T876&lt;=Calculation!$H$4,Calculation!T876,"")</f>
        <v/>
      </c>
      <c r="B873" s="4" t="str">
        <f ca="1">VLOOKUP(A873,Calculation!$E$6:$J$1004,4,FALSE)</f>
        <v/>
      </c>
      <c r="C873" s="4" t="str">
        <f ca="1">VLOOKUP(A873,Calculation!$E$6:$J$1004,5,FALSE)</f>
        <v/>
      </c>
      <c r="D873" s="4" t="str">
        <f ca="1">VLOOKUP(A873,Calculation!$E$6:$J$1004,6,FALSE)</f>
        <v/>
      </c>
      <c r="E873" s="42" t="str">
        <f t="shared" ca="1" si="6"/>
        <v/>
      </c>
      <c r="G873" s="29" t="str">
        <f ca="1">VLOOKUP(A873,Calculation!$F$6:$J$1004,3,FALSE)</f>
        <v/>
      </c>
      <c r="H873" s="4" t="str">
        <f ca="1">VLOOKUP(A873,Calculation!$F$6:$J$1004,4,FALSE)</f>
        <v/>
      </c>
      <c r="I873" s="4" t="str">
        <f ca="1">VLOOKUP(A873,Calculation!$F$6:$J$1004,5,FALSE)</f>
        <v/>
      </c>
      <c r="J873" s="43" t="str">
        <f t="shared" ca="1" si="7"/>
        <v/>
      </c>
      <c r="L873" s="29" t="str">
        <f ca="1">VLOOKUP(A873,Calculation!$G$6:$S$1004,2,FALSE)</f>
        <v/>
      </c>
      <c r="M873" s="4" t="str">
        <f ca="1">IFERROR(VLOOKUP($L873,Calculation!$H$6:$S$1005,HLOOKUP(M$2,Calculation!$M$4:$S$5,2,FALSE)+5,FALSE),"")</f>
        <v/>
      </c>
      <c r="N873" s="4" t="str">
        <f ca="1">IFERROR(VLOOKUP($L873,Calculation!$H$6:$S$1005,HLOOKUP(N$2,Calculation!$M$4:$S$5,2,FALSE)+5,FALSE),"")</f>
        <v/>
      </c>
      <c r="O873" s="4" t="str">
        <f ca="1">IFERROR(VLOOKUP($L873,Calculation!$H$6:$S$1005,HLOOKUP(O$2,Calculation!$M$4:$S$5,2,FALSE)+5,FALSE),"")</f>
        <v/>
      </c>
      <c r="P873" s="4" t="str">
        <f ca="1">IFERROR(VLOOKUP($L873,Calculation!$H$6:$S$1005,HLOOKUP(P$2,Calculation!$M$4:$S$5,2,FALSE)+5,FALSE),"")</f>
        <v/>
      </c>
      <c r="Q873" s="4" t="str">
        <f ca="1">IFERROR(VLOOKUP($L873,Calculation!$H$6:$S$1005,HLOOKUP(Q$2,Calculation!$M$4:$S$5,2,FALSE)+5,FALSE),"")</f>
        <v/>
      </c>
      <c r="R873" s="27" t="str">
        <f ca="1">IFERROR(VLOOKUP($L873,Calculation!$H$6:$S$1005,HLOOKUP(R$2,Calculation!$M$4:$S$5,2,FALSE)+5,FALSE),"")</f>
        <v/>
      </c>
      <c r="S873" s="4" t="str">
        <f ca="1">IFERROR(VLOOKUP($L873,Calculation!$H$6:$S$1005,HLOOKUP(S$2,Calculation!$M$4:$S$5,2,FALSE)+5,FALSE),"")</f>
        <v/>
      </c>
      <c r="T873" s="29"/>
      <c r="U873" s="43" t="str">
        <f>IFERROR(VLOOKUP(T873,Calculation!$U$6:$V$11,2,FALSE),"")</f>
        <v/>
      </c>
    </row>
    <row r="874" spans="1:21" ht="14.25" customHeight="1" x14ac:dyDescent="0.3">
      <c r="A874" s="26" t="str">
        <f ca="1">IF(Calculation!T877&lt;=Calculation!$H$4,Calculation!T877,"")</f>
        <v/>
      </c>
      <c r="B874" s="4" t="str">
        <f ca="1">VLOOKUP(A874,Calculation!$E$6:$J$1004,4,FALSE)</f>
        <v/>
      </c>
      <c r="C874" s="4" t="str">
        <f ca="1">VLOOKUP(A874,Calculation!$E$6:$J$1004,5,FALSE)</f>
        <v/>
      </c>
      <c r="D874" s="4" t="str">
        <f ca="1">VLOOKUP(A874,Calculation!$E$6:$J$1004,6,FALSE)</f>
        <v/>
      </c>
      <c r="E874" s="42" t="str">
        <f t="shared" ca="1" si="6"/>
        <v/>
      </c>
      <c r="G874" s="29" t="str">
        <f ca="1">VLOOKUP(A874,Calculation!$F$6:$J$1004,3,FALSE)</f>
        <v/>
      </c>
      <c r="H874" s="4" t="str">
        <f ca="1">VLOOKUP(A874,Calculation!$F$6:$J$1004,4,FALSE)</f>
        <v/>
      </c>
      <c r="I874" s="4" t="str">
        <f ca="1">VLOOKUP(A874,Calculation!$F$6:$J$1004,5,FALSE)</f>
        <v/>
      </c>
      <c r="J874" s="43" t="str">
        <f t="shared" ca="1" si="7"/>
        <v/>
      </c>
      <c r="L874" s="29" t="str">
        <f ca="1">VLOOKUP(A874,Calculation!$G$6:$S$1004,2,FALSE)</f>
        <v/>
      </c>
      <c r="M874" s="4" t="str">
        <f ca="1">IFERROR(VLOOKUP($L874,Calculation!$H$6:$S$1005,HLOOKUP(M$2,Calculation!$M$4:$S$5,2,FALSE)+5,FALSE),"")</f>
        <v/>
      </c>
      <c r="N874" s="4" t="str">
        <f ca="1">IFERROR(VLOOKUP($L874,Calculation!$H$6:$S$1005,HLOOKUP(N$2,Calculation!$M$4:$S$5,2,FALSE)+5,FALSE),"")</f>
        <v/>
      </c>
      <c r="O874" s="4" t="str">
        <f ca="1">IFERROR(VLOOKUP($L874,Calculation!$H$6:$S$1005,HLOOKUP(O$2,Calculation!$M$4:$S$5,2,FALSE)+5,FALSE),"")</f>
        <v/>
      </c>
      <c r="P874" s="4" t="str">
        <f ca="1">IFERROR(VLOOKUP($L874,Calculation!$H$6:$S$1005,HLOOKUP(P$2,Calculation!$M$4:$S$5,2,FALSE)+5,FALSE),"")</f>
        <v/>
      </c>
      <c r="Q874" s="4" t="str">
        <f ca="1">IFERROR(VLOOKUP($L874,Calculation!$H$6:$S$1005,HLOOKUP(Q$2,Calculation!$M$4:$S$5,2,FALSE)+5,FALSE),"")</f>
        <v/>
      </c>
      <c r="R874" s="27" t="str">
        <f ca="1">IFERROR(VLOOKUP($L874,Calculation!$H$6:$S$1005,HLOOKUP(R$2,Calculation!$M$4:$S$5,2,FALSE)+5,FALSE),"")</f>
        <v/>
      </c>
      <c r="S874" s="4" t="str">
        <f ca="1">IFERROR(VLOOKUP($L874,Calculation!$H$6:$S$1005,HLOOKUP(S$2,Calculation!$M$4:$S$5,2,FALSE)+5,FALSE),"")</f>
        <v/>
      </c>
      <c r="T874" s="29"/>
      <c r="U874" s="43" t="str">
        <f>IFERROR(VLOOKUP(T874,Calculation!$U$6:$V$11,2,FALSE),"")</f>
        <v/>
      </c>
    </row>
    <row r="875" spans="1:21" ht="14.25" customHeight="1" x14ac:dyDescent="0.3">
      <c r="A875" s="26" t="str">
        <f ca="1">IF(Calculation!T878&lt;=Calculation!$H$4,Calculation!T878,"")</f>
        <v/>
      </c>
      <c r="B875" s="4" t="str">
        <f ca="1">VLOOKUP(A875,Calculation!$E$6:$J$1004,4,FALSE)</f>
        <v/>
      </c>
      <c r="C875" s="4" t="str">
        <f ca="1">VLOOKUP(A875,Calculation!$E$6:$J$1004,5,FALSE)</f>
        <v/>
      </c>
      <c r="D875" s="4" t="str">
        <f ca="1">VLOOKUP(A875,Calculation!$E$6:$J$1004,6,FALSE)</f>
        <v/>
      </c>
      <c r="E875" s="42" t="str">
        <f t="shared" ca="1" si="6"/>
        <v/>
      </c>
      <c r="G875" s="29" t="str">
        <f ca="1">VLOOKUP(A875,Calculation!$F$6:$J$1004,3,FALSE)</f>
        <v/>
      </c>
      <c r="H875" s="4" t="str">
        <f ca="1">VLOOKUP(A875,Calculation!$F$6:$J$1004,4,FALSE)</f>
        <v/>
      </c>
      <c r="I875" s="4" t="str">
        <f ca="1">VLOOKUP(A875,Calculation!$F$6:$J$1004,5,FALSE)</f>
        <v/>
      </c>
      <c r="J875" s="43" t="str">
        <f t="shared" ca="1" si="7"/>
        <v/>
      </c>
      <c r="L875" s="29" t="str">
        <f ca="1">VLOOKUP(A875,Calculation!$G$6:$S$1004,2,FALSE)</f>
        <v/>
      </c>
      <c r="M875" s="4" t="str">
        <f ca="1">IFERROR(VLOOKUP($L875,Calculation!$H$6:$S$1005,HLOOKUP(M$2,Calculation!$M$4:$S$5,2,FALSE)+5,FALSE),"")</f>
        <v/>
      </c>
      <c r="N875" s="4" t="str">
        <f ca="1">IFERROR(VLOOKUP($L875,Calculation!$H$6:$S$1005,HLOOKUP(N$2,Calculation!$M$4:$S$5,2,FALSE)+5,FALSE),"")</f>
        <v/>
      </c>
      <c r="O875" s="4" t="str">
        <f ca="1">IFERROR(VLOOKUP($L875,Calculation!$H$6:$S$1005,HLOOKUP(O$2,Calculation!$M$4:$S$5,2,FALSE)+5,FALSE),"")</f>
        <v/>
      </c>
      <c r="P875" s="4" t="str">
        <f ca="1">IFERROR(VLOOKUP($L875,Calculation!$H$6:$S$1005,HLOOKUP(P$2,Calculation!$M$4:$S$5,2,FALSE)+5,FALSE),"")</f>
        <v/>
      </c>
      <c r="Q875" s="4" t="str">
        <f ca="1">IFERROR(VLOOKUP($L875,Calculation!$H$6:$S$1005,HLOOKUP(Q$2,Calculation!$M$4:$S$5,2,FALSE)+5,FALSE),"")</f>
        <v/>
      </c>
      <c r="R875" s="27" t="str">
        <f ca="1">IFERROR(VLOOKUP($L875,Calculation!$H$6:$S$1005,HLOOKUP(R$2,Calculation!$M$4:$S$5,2,FALSE)+5,FALSE),"")</f>
        <v/>
      </c>
      <c r="S875" s="4" t="str">
        <f ca="1">IFERROR(VLOOKUP($L875,Calculation!$H$6:$S$1005,HLOOKUP(S$2,Calculation!$M$4:$S$5,2,FALSE)+5,FALSE),"")</f>
        <v/>
      </c>
      <c r="T875" s="29"/>
      <c r="U875" s="43" t="str">
        <f>IFERROR(VLOOKUP(T875,Calculation!$U$6:$V$11,2,FALSE),"")</f>
        <v/>
      </c>
    </row>
    <row r="876" spans="1:21" ht="14.25" customHeight="1" x14ac:dyDescent="0.3">
      <c r="A876" s="26" t="str">
        <f ca="1">IF(Calculation!T879&lt;=Calculation!$H$4,Calculation!T879,"")</f>
        <v/>
      </c>
      <c r="B876" s="4" t="str">
        <f ca="1">VLOOKUP(A876,Calculation!$E$6:$J$1004,4,FALSE)</f>
        <v/>
      </c>
      <c r="C876" s="4" t="str">
        <f ca="1">VLOOKUP(A876,Calculation!$E$6:$J$1004,5,FALSE)</f>
        <v/>
      </c>
      <c r="D876" s="4" t="str">
        <f ca="1">VLOOKUP(A876,Calculation!$E$6:$J$1004,6,FALSE)</f>
        <v/>
      </c>
      <c r="E876" s="42" t="str">
        <f t="shared" ca="1" si="6"/>
        <v/>
      </c>
      <c r="G876" s="29" t="str">
        <f ca="1">VLOOKUP(A876,Calculation!$F$6:$J$1004,3,FALSE)</f>
        <v/>
      </c>
      <c r="H876" s="4" t="str">
        <f ca="1">VLOOKUP(A876,Calculation!$F$6:$J$1004,4,FALSE)</f>
        <v/>
      </c>
      <c r="I876" s="4" t="str">
        <f ca="1">VLOOKUP(A876,Calculation!$F$6:$J$1004,5,FALSE)</f>
        <v/>
      </c>
      <c r="J876" s="43" t="str">
        <f t="shared" ca="1" si="7"/>
        <v/>
      </c>
      <c r="L876" s="29" t="str">
        <f ca="1">VLOOKUP(A876,Calculation!$G$6:$S$1004,2,FALSE)</f>
        <v/>
      </c>
      <c r="M876" s="4" t="str">
        <f ca="1">IFERROR(VLOOKUP($L876,Calculation!$H$6:$S$1005,HLOOKUP(M$2,Calculation!$M$4:$S$5,2,FALSE)+5,FALSE),"")</f>
        <v/>
      </c>
      <c r="N876" s="4" t="str">
        <f ca="1">IFERROR(VLOOKUP($L876,Calculation!$H$6:$S$1005,HLOOKUP(N$2,Calculation!$M$4:$S$5,2,FALSE)+5,FALSE),"")</f>
        <v/>
      </c>
      <c r="O876" s="4" t="str">
        <f ca="1">IFERROR(VLOOKUP($L876,Calculation!$H$6:$S$1005,HLOOKUP(O$2,Calculation!$M$4:$S$5,2,FALSE)+5,FALSE),"")</f>
        <v/>
      </c>
      <c r="P876" s="4" t="str">
        <f ca="1">IFERROR(VLOOKUP($L876,Calculation!$H$6:$S$1005,HLOOKUP(P$2,Calculation!$M$4:$S$5,2,FALSE)+5,FALSE),"")</f>
        <v/>
      </c>
      <c r="Q876" s="4" t="str">
        <f ca="1">IFERROR(VLOOKUP($L876,Calculation!$H$6:$S$1005,HLOOKUP(Q$2,Calculation!$M$4:$S$5,2,FALSE)+5,FALSE),"")</f>
        <v/>
      </c>
      <c r="R876" s="27" t="str">
        <f ca="1">IFERROR(VLOOKUP($L876,Calculation!$H$6:$S$1005,HLOOKUP(R$2,Calculation!$M$4:$S$5,2,FALSE)+5,FALSE),"")</f>
        <v/>
      </c>
      <c r="S876" s="4" t="str">
        <f ca="1">IFERROR(VLOOKUP($L876,Calculation!$H$6:$S$1005,HLOOKUP(S$2,Calculation!$M$4:$S$5,2,FALSE)+5,FALSE),"")</f>
        <v/>
      </c>
      <c r="T876" s="29"/>
      <c r="U876" s="43" t="str">
        <f>IFERROR(VLOOKUP(T876,Calculation!$U$6:$V$11,2,FALSE),"")</f>
        <v/>
      </c>
    </row>
    <row r="877" spans="1:21" ht="14.25" customHeight="1" x14ac:dyDescent="0.3">
      <c r="A877" s="26" t="str">
        <f ca="1">IF(Calculation!T880&lt;=Calculation!$H$4,Calculation!T880,"")</f>
        <v/>
      </c>
      <c r="B877" s="4" t="str">
        <f ca="1">VLOOKUP(A877,Calculation!$E$6:$J$1004,4,FALSE)</f>
        <v/>
      </c>
      <c r="C877" s="4" t="str">
        <f ca="1">VLOOKUP(A877,Calculation!$E$6:$J$1004,5,FALSE)</f>
        <v/>
      </c>
      <c r="D877" s="4" t="str">
        <f ca="1">VLOOKUP(A877,Calculation!$E$6:$J$1004,6,FALSE)</f>
        <v/>
      </c>
      <c r="E877" s="42" t="str">
        <f t="shared" ca="1" si="6"/>
        <v/>
      </c>
      <c r="G877" s="29" t="str">
        <f ca="1">VLOOKUP(A877,Calculation!$F$6:$J$1004,3,FALSE)</f>
        <v/>
      </c>
      <c r="H877" s="4" t="str">
        <f ca="1">VLOOKUP(A877,Calculation!$F$6:$J$1004,4,FALSE)</f>
        <v/>
      </c>
      <c r="I877" s="4" t="str">
        <f ca="1">VLOOKUP(A877,Calculation!$F$6:$J$1004,5,FALSE)</f>
        <v/>
      </c>
      <c r="J877" s="43" t="str">
        <f t="shared" ca="1" si="7"/>
        <v/>
      </c>
      <c r="L877" s="29" t="str">
        <f ca="1">VLOOKUP(A877,Calculation!$G$6:$S$1004,2,FALSE)</f>
        <v/>
      </c>
      <c r="M877" s="4" t="str">
        <f ca="1">IFERROR(VLOOKUP($L877,Calculation!$H$6:$S$1005,HLOOKUP(M$2,Calculation!$M$4:$S$5,2,FALSE)+5,FALSE),"")</f>
        <v/>
      </c>
      <c r="N877" s="4" t="str">
        <f ca="1">IFERROR(VLOOKUP($L877,Calculation!$H$6:$S$1005,HLOOKUP(N$2,Calculation!$M$4:$S$5,2,FALSE)+5,FALSE),"")</f>
        <v/>
      </c>
      <c r="O877" s="4" t="str">
        <f ca="1">IFERROR(VLOOKUP($L877,Calculation!$H$6:$S$1005,HLOOKUP(O$2,Calculation!$M$4:$S$5,2,FALSE)+5,FALSE),"")</f>
        <v/>
      </c>
      <c r="P877" s="4" t="str">
        <f ca="1">IFERROR(VLOOKUP($L877,Calculation!$H$6:$S$1005,HLOOKUP(P$2,Calculation!$M$4:$S$5,2,FALSE)+5,FALSE),"")</f>
        <v/>
      </c>
      <c r="Q877" s="4" t="str">
        <f ca="1">IFERROR(VLOOKUP($L877,Calculation!$H$6:$S$1005,HLOOKUP(Q$2,Calculation!$M$4:$S$5,2,FALSE)+5,FALSE),"")</f>
        <v/>
      </c>
      <c r="R877" s="27" t="str">
        <f ca="1">IFERROR(VLOOKUP($L877,Calculation!$H$6:$S$1005,HLOOKUP(R$2,Calculation!$M$4:$S$5,2,FALSE)+5,FALSE),"")</f>
        <v/>
      </c>
      <c r="S877" s="4" t="str">
        <f ca="1">IFERROR(VLOOKUP($L877,Calculation!$H$6:$S$1005,HLOOKUP(S$2,Calculation!$M$4:$S$5,2,FALSE)+5,FALSE),"")</f>
        <v/>
      </c>
      <c r="T877" s="29"/>
      <c r="U877" s="43" t="str">
        <f>IFERROR(VLOOKUP(T877,Calculation!$U$6:$V$11,2,FALSE),"")</f>
        <v/>
      </c>
    </row>
    <row r="878" spans="1:21" ht="14.25" customHeight="1" x14ac:dyDescent="0.3">
      <c r="A878" s="26" t="str">
        <f ca="1">IF(Calculation!T881&lt;=Calculation!$H$4,Calculation!T881,"")</f>
        <v/>
      </c>
      <c r="B878" s="4" t="str">
        <f ca="1">VLOOKUP(A878,Calculation!$E$6:$J$1004,4,FALSE)</f>
        <v/>
      </c>
      <c r="C878" s="4" t="str">
        <f ca="1">VLOOKUP(A878,Calculation!$E$6:$J$1004,5,FALSE)</f>
        <v/>
      </c>
      <c r="D878" s="4" t="str">
        <f ca="1">VLOOKUP(A878,Calculation!$E$6:$J$1004,6,FALSE)</f>
        <v/>
      </c>
      <c r="E878" s="42" t="str">
        <f t="shared" ca="1" si="6"/>
        <v/>
      </c>
      <c r="G878" s="29" t="str">
        <f ca="1">VLOOKUP(A878,Calculation!$F$6:$J$1004,3,FALSE)</f>
        <v/>
      </c>
      <c r="H878" s="4" t="str">
        <f ca="1">VLOOKUP(A878,Calculation!$F$6:$J$1004,4,FALSE)</f>
        <v/>
      </c>
      <c r="I878" s="4" t="str">
        <f ca="1">VLOOKUP(A878,Calculation!$F$6:$J$1004,5,FALSE)</f>
        <v/>
      </c>
      <c r="J878" s="43" t="str">
        <f t="shared" ca="1" si="7"/>
        <v/>
      </c>
      <c r="L878" s="29" t="str">
        <f ca="1">VLOOKUP(A878,Calculation!$G$6:$S$1004,2,FALSE)</f>
        <v/>
      </c>
      <c r="M878" s="4" t="str">
        <f ca="1">IFERROR(VLOOKUP($L878,Calculation!$H$6:$S$1005,HLOOKUP(M$2,Calculation!$M$4:$S$5,2,FALSE)+5,FALSE),"")</f>
        <v/>
      </c>
      <c r="N878" s="4" t="str">
        <f ca="1">IFERROR(VLOOKUP($L878,Calculation!$H$6:$S$1005,HLOOKUP(N$2,Calculation!$M$4:$S$5,2,FALSE)+5,FALSE),"")</f>
        <v/>
      </c>
      <c r="O878" s="4" t="str">
        <f ca="1">IFERROR(VLOOKUP($L878,Calculation!$H$6:$S$1005,HLOOKUP(O$2,Calculation!$M$4:$S$5,2,FALSE)+5,FALSE),"")</f>
        <v/>
      </c>
      <c r="P878" s="4" t="str">
        <f ca="1">IFERROR(VLOOKUP($L878,Calculation!$H$6:$S$1005,HLOOKUP(P$2,Calculation!$M$4:$S$5,2,FALSE)+5,FALSE),"")</f>
        <v/>
      </c>
      <c r="Q878" s="4" t="str">
        <f ca="1">IFERROR(VLOOKUP($L878,Calculation!$H$6:$S$1005,HLOOKUP(Q$2,Calculation!$M$4:$S$5,2,FALSE)+5,FALSE),"")</f>
        <v/>
      </c>
      <c r="R878" s="27" t="str">
        <f ca="1">IFERROR(VLOOKUP($L878,Calculation!$H$6:$S$1005,HLOOKUP(R$2,Calculation!$M$4:$S$5,2,FALSE)+5,FALSE),"")</f>
        <v/>
      </c>
      <c r="S878" s="4" t="str">
        <f ca="1">IFERROR(VLOOKUP($L878,Calculation!$H$6:$S$1005,HLOOKUP(S$2,Calculation!$M$4:$S$5,2,FALSE)+5,FALSE),"")</f>
        <v/>
      </c>
      <c r="T878" s="29"/>
      <c r="U878" s="43" t="str">
        <f>IFERROR(VLOOKUP(T878,Calculation!$U$6:$V$11,2,FALSE),"")</f>
        <v/>
      </c>
    </row>
    <row r="879" spans="1:21" ht="14.25" customHeight="1" x14ac:dyDescent="0.3">
      <c r="A879" s="26" t="str">
        <f ca="1">IF(Calculation!T882&lt;=Calculation!$H$4,Calculation!T882,"")</f>
        <v/>
      </c>
      <c r="B879" s="4" t="str">
        <f ca="1">VLOOKUP(A879,Calculation!$E$6:$J$1004,4,FALSE)</f>
        <v/>
      </c>
      <c r="C879" s="4" t="str">
        <f ca="1">VLOOKUP(A879,Calculation!$E$6:$J$1004,5,FALSE)</f>
        <v/>
      </c>
      <c r="D879" s="4" t="str">
        <f ca="1">VLOOKUP(A879,Calculation!$E$6:$J$1004,6,FALSE)</f>
        <v/>
      </c>
      <c r="E879" s="42" t="str">
        <f t="shared" ca="1" si="6"/>
        <v/>
      </c>
      <c r="G879" s="29" t="str">
        <f ca="1">VLOOKUP(A879,Calculation!$F$6:$J$1004,3,FALSE)</f>
        <v/>
      </c>
      <c r="H879" s="4" t="str">
        <f ca="1">VLOOKUP(A879,Calculation!$F$6:$J$1004,4,FALSE)</f>
        <v/>
      </c>
      <c r="I879" s="4" t="str">
        <f ca="1">VLOOKUP(A879,Calculation!$F$6:$J$1004,5,FALSE)</f>
        <v/>
      </c>
      <c r="J879" s="43" t="str">
        <f t="shared" ca="1" si="7"/>
        <v/>
      </c>
      <c r="L879" s="29" t="str">
        <f ca="1">VLOOKUP(A879,Calculation!$G$6:$S$1004,2,FALSE)</f>
        <v/>
      </c>
      <c r="M879" s="4" t="str">
        <f ca="1">IFERROR(VLOOKUP($L879,Calculation!$H$6:$S$1005,HLOOKUP(M$2,Calculation!$M$4:$S$5,2,FALSE)+5,FALSE),"")</f>
        <v/>
      </c>
      <c r="N879" s="4" t="str">
        <f ca="1">IFERROR(VLOOKUP($L879,Calculation!$H$6:$S$1005,HLOOKUP(N$2,Calculation!$M$4:$S$5,2,FALSE)+5,FALSE),"")</f>
        <v/>
      </c>
      <c r="O879" s="4" t="str">
        <f ca="1">IFERROR(VLOOKUP($L879,Calculation!$H$6:$S$1005,HLOOKUP(O$2,Calculation!$M$4:$S$5,2,FALSE)+5,FALSE),"")</f>
        <v/>
      </c>
      <c r="P879" s="4" t="str">
        <f ca="1">IFERROR(VLOOKUP($L879,Calculation!$H$6:$S$1005,HLOOKUP(P$2,Calculation!$M$4:$S$5,2,FALSE)+5,FALSE),"")</f>
        <v/>
      </c>
      <c r="Q879" s="4" t="str">
        <f ca="1">IFERROR(VLOOKUP($L879,Calculation!$H$6:$S$1005,HLOOKUP(Q$2,Calculation!$M$4:$S$5,2,FALSE)+5,FALSE),"")</f>
        <v/>
      </c>
      <c r="R879" s="27" t="str">
        <f ca="1">IFERROR(VLOOKUP($L879,Calculation!$H$6:$S$1005,HLOOKUP(R$2,Calculation!$M$4:$S$5,2,FALSE)+5,FALSE),"")</f>
        <v/>
      </c>
      <c r="S879" s="4" t="str">
        <f ca="1">IFERROR(VLOOKUP($L879,Calculation!$H$6:$S$1005,HLOOKUP(S$2,Calculation!$M$4:$S$5,2,FALSE)+5,FALSE),"")</f>
        <v/>
      </c>
      <c r="T879" s="29"/>
      <c r="U879" s="43" t="str">
        <f>IFERROR(VLOOKUP(T879,Calculation!$U$6:$V$11,2,FALSE),"")</f>
        <v/>
      </c>
    </row>
    <row r="880" spans="1:21" ht="14.25" customHeight="1" x14ac:dyDescent="0.3">
      <c r="A880" s="26" t="str">
        <f ca="1">IF(Calculation!T883&lt;=Calculation!$H$4,Calculation!T883,"")</f>
        <v/>
      </c>
      <c r="B880" s="4" t="str">
        <f ca="1">VLOOKUP(A880,Calculation!$E$6:$J$1004,4,FALSE)</f>
        <v/>
      </c>
      <c r="C880" s="4" t="str">
        <f ca="1">VLOOKUP(A880,Calculation!$E$6:$J$1004,5,FALSE)</f>
        <v/>
      </c>
      <c r="D880" s="4" t="str">
        <f ca="1">VLOOKUP(A880,Calculation!$E$6:$J$1004,6,FALSE)</f>
        <v/>
      </c>
      <c r="E880" s="42" t="str">
        <f t="shared" ca="1" si="6"/>
        <v/>
      </c>
      <c r="G880" s="29" t="str">
        <f ca="1">VLOOKUP(A880,Calculation!$F$6:$J$1004,3,FALSE)</f>
        <v/>
      </c>
      <c r="H880" s="4" t="str">
        <f ca="1">VLOOKUP(A880,Calculation!$F$6:$J$1004,4,FALSE)</f>
        <v/>
      </c>
      <c r="I880" s="4" t="str">
        <f ca="1">VLOOKUP(A880,Calculation!$F$6:$J$1004,5,FALSE)</f>
        <v/>
      </c>
      <c r="J880" s="43" t="str">
        <f t="shared" ca="1" si="7"/>
        <v/>
      </c>
      <c r="L880" s="29" t="str">
        <f ca="1">VLOOKUP(A880,Calculation!$G$6:$S$1004,2,FALSE)</f>
        <v/>
      </c>
      <c r="M880" s="4" t="str">
        <f ca="1">IFERROR(VLOOKUP($L880,Calculation!$H$6:$S$1005,HLOOKUP(M$2,Calculation!$M$4:$S$5,2,FALSE)+5,FALSE),"")</f>
        <v/>
      </c>
      <c r="N880" s="4" t="str">
        <f ca="1">IFERROR(VLOOKUP($L880,Calculation!$H$6:$S$1005,HLOOKUP(N$2,Calculation!$M$4:$S$5,2,FALSE)+5,FALSE),"")</f>
        <v/>
      </c>
      <c r="O880" s="4" t="str">
        <f ca="1">IFERROR(VLOOKUP($L880,Calculation!$H$6:$S$1005,HLOOKUP(O$2,Calculation!$M$4:$S$5,2,FALSE)+5,FALSE),"")</f>
        <v/>
      </c>
      <c r="P880" s="4" t="str">
        <f ca="1">IFERROR(VLOOKUP($L880,Calculation!$H$6:$S$1005,HLOOKUP(P$2,Calculation!$M$4:$S$5,2,FALSE)+5,FALSE),"")</f>
        <v/>
      </c>
      <c r="Q880" s="4" t="str">
        <f ca="1">IFERROR(VLOOKUP($L880,Calculation!$H$6:$S$1005,HLOOKUP(Q$2,Calculation!$M$4:$S$5,2,FALSE)+5,FALSE),"")</f>
        <v/>
      </c>
      <c r="R880" s="27" t="str">
        <f ca="1">IFERROR(VLOOKUP($L880,Calculation!$H$6:$S$1005,HLOOKUP(R$2,Calculation!$M$4:$S$5,2,FALSE)+5,FALSE),"")</f>
        <v/>
      </c>
      <c r="S880" s="4" t="str">
        <f ca="1">IFERROR(VLOOKUP($L880,Calculation!$H$6:$S$1005,HLOOKUP(S$2,Calculation!$M$4:$S$5,2,FALSE)+5,FALSE),"")</f>
        <v/>
      </c>
      <c r="T880" s="29"/>
      <c r="U880" s="43" t="str">
        <f>IFERROR(VLOOKUP(T880,Calculation!$U$6:$V$11,2,FALSE),"")</f>
        <v/>
      </c>
    </row>
    <row r="881" spans="1:21" ht="14.25" customHeight="1" x14ac:dyDescent="0.3">
      <c r="A881" s="26" t="str">
        <f ca="1">IF(Calculation!T884&lt;=Calculation!$H$4,Calculation!T884,"")</f>
        <v/>
      </c>
      <c r="B881" s="4" t="str">
        <f ca="1">VLOOKUP(A881,Calculation!$E$6:$J$1004,4,FALSE)</f>
        <v/>
      </c>
      <c r="C881" s="4" t="str">
        <f ca="1">VLOOKUP(A881,Calculation!$E$6:$J$1004,5,FALSE)</f>
        <v/>
      </c>
      <c r="D881" s="4" t="str">
        <f ca="1">VLOOKUP(A881,Calculation!$E$6:$J$1004,6,FALSE)</f>
        <v/>
      </c>
      <c r="E881" s="42" t="str">
        <f t="shared" ca="1" si="6"/>
        <v/>
      </c>
      <c r="G881" s="29" t="str">
        <f ca="1">VLOOKUP(A881,Calculation!$F$6:$J$1004,3,FALSE)</f>
        <v/>
      </c>
      <c r="H881" s="4" t="str">
        <f ca="1">VLOOKUP(A881,Calculation!$F$6:$J$1004,4,FALSE)</f>
        <v/>
      </c>
      <c r="I881" s="4" t="str">
        <f ca="1">VLOOKUP(A881,Calculation!$F$6:$J$1004,5,FALSE)</f>
        <v/>
      </c>
      <c r="J881" s="43" t="str">
        <f t="shared" ca="1" si="7"/>
        <v/>
      </c>
      <c r="L881" s="29" t="str">
        <f ca="1">VLOOKUP(A881,Calculation!$G$6:$S$1004,2,FALSE)</f>
        <v/>
      </c>
      <c r="M881" s="4" t="str">
        <f ca="1">IFERROR(VLOOKUP($L881,Calculation!$H$6:$S$1005,HLOOKUP(M$2,Calculation!$M$4:$S$5,2,FALSE)+5,FALSE),"")</f>
        <v/>
      </c>
      <c r="N881" s="4" t="str">
        <f ca="1">IFERROR(VLOOKUP($L881,Calculation!$H$6:$S$1005,HLOOKUP(N$2,Calculation!$M$4:$S$5,2,FALSE)+5,FALSE),"")</f>
        <v/>
      </c>
      <c r="O881" s="4" t="str">
        <f ca="1">IFERROR(VLOOKUP($L881,Calculation!$H$6:$S$1005,HLOOKUP(O$2,Calculation!$M$4:$S$5,2,FALSE)+5,FALSE),"")</f>
        <v/>
      </c>
      <c r="P881" s="4" t="str">
        <f ca="1">IFERROR(VLOOKUP($L881,Calculation!$H$6:$S$1005,HLOOKUP(P$2,Calculation!$M$4:$S$5,2,FALSE)+5,FALSE),"")</f>
        <v/>
      </c>
      <c r="Q881" s="4" t="str">
        <f ca="1">IFERROR(VLOOKUP($L881,Calculation!$H$6:$S$1005,HLOOKUP(Q$2,Calculation!$M$4:$S$5,2,FALSE)+5,FALSE),"")</f>
        <v/>
      </c>
      <c r="R881" s="27" t="str">
        <f ca="1">IFERROR(VLOOKUP($L881,Calculation!$H$6:$S$1005,HLOOKUP(R$2,Calculation!$M$4:$S$5,2,FALSE)+5,FALSE),"")</f>
        <v/>
      </c>
      <c r="S881" s="4" t="str">
        <f ca="1">IFERROR(VLOOKUP($L881,Calculation!$H$6:$S$1005,HLOOKUP(S$2,Calculation!$M$4:$S$5,2,FALSE)+5,FALSE),"")</f>
        <v/>
      </c>
      <c r="T881" s="29"/>
      <c r="U881" s="43" t="str">
        <f>IFERROR(VLOOKUP(T881,Calculation!$U$6:$V$11,2,FALSE),"")</f>
        <v/>
      </c>
    </row>
    <row r="882" spans="1:21" ht="14.25" customHeight="1" x14ac:dyDescent="0.3">
      <c r="A882" s="26" t="str">
        <f ca="1">IF(Calculation!T885&lt;=Calculation!$H$4,Calculation!T885,"")</f>
        <v/>
      </c>
      <c r="B882" s="4" t="str">
        <f ca="1">VLOOKUP(A882,Calculation!$E$6:$J$1004,4,FALSE)</f>
        <v/>
      </c>
      <c r="C882" s="4" t="str">
        <f ca="1">VLOOKUP(A882,Calculation!$E$6:$J$1004,5,FALSE)</f>
        <v/>
      </c>
      <c r="D882" s="4" t="str">
        <f ca="1">VLOOKUP(A882,Calculation!$E$6:$J$1004,6,FALSE)</f>
        <v/>
      </c>
      <c r="E882" s="42" t="str">
        <f t="shared" ca="1" si="6"/>
        <v/>
      </c>
      <c r="G882" s="29" t="str">
        <f ca="1">VLOOKUP(A882,Calculation!$F$6:$J$1004,3,FALSE)</f>
        <v/>
      </c>
      <c r="H882" s="4" t="str">
        <f ca="1">VLOOKUP(A882,Calculation!$F$6:$J$1004,4,FALSE)</f>
        <v/>
      </c>
      <c r="I882" s="4" t="str">
        <f ca="1">VLOOKUP(A882,Calculation!$F$6:$J$1004,5,FALSE)</f>
        <v/>
      </c>
      <c r="J882" s="43" t="str">
        <f t="shared" ca="1" si="7"/>
        <v/>
      </c>
      <c r="L882" s="29" t="str">
        <f ca="1">VLOOKUP(A882,Calculation!$G$6:$S$1004,2,FALSE)</f>
        <v/>
      </c>
      <c r="M882" s="4" t="str">
        <f ca="1">IFERROR(VLOOKUP($L882,Calculation!$H$6:$S$1005,HLOOKUP(M$2,Calculation!$M$4:$S$5,2,FALSE)+5,FALSE),"")</f>
        <v/>
      </c>
      <c r="N882" s="4" t="str">
        <f ca="1">IFERROR(VLOOKUP($L882,Calculation!$H$6:$S$1005,HLOOKUP(N$2,Calculation!$M$4:$S$5,2,FALSE)+5,FALSE),"")</f>
        <v/>
      </c>
      <c r="O882" s="4" t="str">
        <f ca="1">IFERROR(VLOOKUP($L882,Calculation!$H$6:$S$1005,HLOOKUP(O$2,Calculation!$M$4:$S$5,2,FALSE)+5,FALSE),"")</f>
        <v/>
      </c>
      <c r="P882" s="4" t="str">
        <f ca="1">IFERROR(VLOOKUP($L882,Calculation!$H$6:$S$1005,HLOOKUP(P$2,Calculation!$M$4:$S$5,2,FALSE)+5,FALSE),"")</f>
        <v/>
      </c>
      <c r="Q882" s="4" t="str">
        <f ca="1">IFERROR(VLOOKUP($L882,Calculation!$H$6:$S$1005,HLOOKUP(Q$2,Calculation!$M$4:$S$5,2,FALSE)+5,FALSE),"")</f>
        <v/>
      </c>
      <c r="R882" s="27" t="str">
        <f ca="1">IFERROR(VLOOKUP($L882,Calculation!$H$6:$S$1005,HLOOKUP(R$2,Calculation!$M$4:$S$5,2,FALSE)+5,FALSE),"")</f>
        <v/>
      </c>
      <c r="S882" s="4" t="str">
        <f ca="1">IFERROR(VLOOKUP($L882,Calculation!$H$6:$S$1005,HLOOKUP(S$2,Calculation!$M$4:$S$5,2,FALSE)+5,FALSE),"")</f>
        <v/>
      </c>
      <c r="T882" s="29"/>
      <c r="U882" s="43" t="str">
        <f>IFERROR(VLOOKUP(T882,Calculation!$U$6:$V$11,2,FALSE),"")</f>
        <v/>
      </c>
    </row>
    <row r="883" spans="1:21" ht="14.25" customHeight="1" x14ac:dyDescent="0.3">
      <c r="A883" s="26" t="str">
        <f ca="1">IF(Calculation!T886&lt;=Calculation!$H$4,Calculation!T886,"")</f>
        <v/>
      </c>
      <c r="B883" s="4" t="str">
        <f ca="1">VLOOKUP(A883,Calculation!$E$6:$J$1004,4,FALSE)</f>
        <v/>
      </c>
      <c r="C883" s="4" t="str">
        <f ca="1">VLOOKUP(A883,Calculation!$E$6:$J$1004,5,FALSE)</f>
        <v/>
      </c>
      <c r="D883" s="4" t="str">
        <f ca="1">VLOOKUP(A883,Calculation!$E$6:$J$1004,6,FALSE)</f>
        <v/>
      </c>
      <c r="E883" s="42" t="str">
        <f t="shared" ca="1" si="6"/>
        <v/>
      </c>
      <c r="G883" s="29" t="str">
        <f ca="1">VLOOKUP(A883,Calculation!$F$6:$J$1004,3,FALSE)</f>
        <v/>
      </c>
      <c r="H883" s="4" t="str">
        <f ca="1">VLOOKUP(A883,Calculation!$F$6:$J$1004,4,FALSE)</f>
        <v/>
      </c>
      <c r="I883" s="4" t="str">
        <f ca="1">VLOOKUP(A883,Calculation!$F$6:$J$1004,5,FALSE)</f>
        <v/>
      </c>
      <c r="J883" s="43" t="str">
        <f t="shared" ca="1" si="7"/>
        <v/>
      </c>
      <c r="L883" s="29" t="str">
        <f ca="1">VLOOKUP(A883,Calculation!$G$6:$S$1004,2,FALSE)</f>
        <v/>
      </c>
      <c r="M883" s="4" t="str">
        <f ca="1">IFERROR(VLOOKUP($L883,Calculation!$H$6:$S$1005,HLOOKUP(M$2,Calculation!$M$4:$S$5,2,FALSE)+5,FALSE),"")</f>
        <v/>
      </c>
      <c r="N883" s="4" t="str">
        <f ca="1">IFERROR(VLOOKUP($L883,Calculation!$H$6:$S$1005,HLOOKUP(N$2,Calculation!$M$4:$S$5,2,FALSE)+5,FALSE),"")</f>
        <v/>
      </c>
      <c r="O883" s="4" t="str">
        <f ca="1">IFERROR(VLOOKUP($L883,Calculation!$H$6:$S$1005,HLOOKUP(O$2,Calculation!$M$4:$S$5,2,FALSE)+5,FALSE),"")</f>
        <v/>
      </c>
      <c r="P883" s="4" t="str">
        <f ca="1">IFERROR(VLOOKUP($L883,Calculation!$H$6:$S$1005,HLOOKUP(P$2,Calculation!$M$4:$S$5,2,FALSE)+5,FALSE),"")</f>
        <v/>
      </c>
      <c r="Q883" s="4" t="str">
        <f ca="1">IFERROR(VLOOKUP($L883,Calculation!$H$6:$S$1005,HLOOKUP(Q$2,Calculation!$M$4:$S$5,2,FALSE)+5,FALSE),"")</f>
        <v/>
      </c>
      <c r="R883" s="27" t="str">
        <f ca="1">IFERROR(VLOOKUP($L883,Calculation!$H$6:$S$1005,HLOOKUP(R$2,Calculation!$M$4:$S$5,2,FALSE)+5,FALSE),"")</f>
        <v/>
      </c>
      <c r="S883" s="4" t="str">
        <f ca="1">IFERROR(VLOOKUP($L883,Calculation!$H$6:$S$1005,HLOOKUP(S$2,Calculation!$M$4:$S$5,2,FALSE)+5,FALSE),"")</f>
        <v/>
      </c>
      <c r="T883" s="29"/>
      <c r="U883" s="43" t="str">
        <f>IFERROR(VLOOKUP(T883,Calculation!$U$6:$V$11,2,FALSE),"")</f>
        <v/>
      </c>
    </row>
    <row r="884" spans="1:21" ht="14.25" customHeight="1" x14ac:dyDescent="0.3">
      <c r="A884" s="26" t="str">
        <f ca="1">IF(Calculation!T887&lt;=Calculation!$H$4,Calculation!T887,"")</f>
        <v/>
      </c>
      <c r="B884" s="4" t="str">
        <f ca="1">VLOOKUP(A884,Calculation!$E$6:$J$1004,4,FALSE)</f>
        <v/>
      </c>
      <c r="C884" s="4" t="str">
        <f ca="1">VLOOKUP(A884,Calculation!$E$6:$J$1004,5,FALSE)</f>
        <v/>
      </c>
      <c r="D884" s="4" t="str">
        <f ca="1">VLOOKUP(A884,Calculation!$E$6:$J$1004,6,FALSE)</f>
        <v/>
      </c>
      <c r="E884" s="42" t="str">
        <f t="shared" ca="1" si="6"/>
        <v/>
      </c>
      <c r="G884" s="29" t="str">
        <f ca="1">VLOOKUP(A884,Calculation!$F$6:$J$1004,3,FALSE)</f>
        <v/>
      </c>
      <c r="H884" s="4" t="str">
        <f ca="1">VLOOKUP(A884,Calculation!$F$6:$J$1004,4,FALSE)</f>
        <v/>
      </c>
      <c r="I884" s="4" t="str">
        <f ca="1">VLOOKUP(A884,Calculation!$F$6:$J$1004,5,FALSE)</f>
        <v/>
      </c>
      <c r="J884" s="43" t="str">
        <f t="shared" ca="1" si="7"/>
        <v/>
      </c>
      <c r="L884" s="29" t="str">
        <f ca="1">VLOOKUP(A884,Calculation!$G$6:$S$1004,2,FALSE)</f>
        <v/>
      </c>
      <c r="M884" s="4" t="str">
        <f ca="1">IFERROR(VLOOKUP($L884,Calculation!$H$6:$S$1005,HLOOKUP(M$2,Calculation!$M$4:$S$5,2,FALSE)+5,FALSE),"")</f>
        <v/>
      </c>
      <c r="N884" s="4" t="str">
        <f ca="1">IFERROR(VLOOKUP($L884,Calculation!$H$6:$S$1005,HLOOKUP(N$2,Calculation!$M$4:$S$5,2,FALSE)+5,FALSE),"")</f>
        <v/>
      </c>
      <c r="O884" s="4" t="str">
        <f ca="1">IFERROR(VLOOKUP($L884,Calculation!$H$6:$S$1005,HLOOKUP(O$2,Calculation!$M$4:$S$5,2,FALSE)+5,FALSE),"")</f>
        <v/>
      </c>
      <c r="P884" s="4" t="str">
        <f ca="1">IFERROR(VLOOKUP($L884,Calculation!$H$6:$S$1005,HLOOKUP(P$2,Calculation!$M$4:$S$5,2,FALSE)+5,FALSE),"")</f>
        <v/>
      </c>
      <c r="Q884" s="4" t="str">
        <f ca="1">IFERROR(VLOOKUP($L884,Calculation!$H$6:$S$1005,HLOOKUP(Q$2,Calculation!$M$4:$S$5,2,FALSE)+5,FALSE),"")</f>
        <v/>
      </c>
      <c r="R884" s="27" t="str">
        <f ca="1">IFERROR(VLOOKUP($L884,Calculation!$H$6:$S$1005,HLOOKUP(R$2,Calculation!$M$4:$S$5,2,FALSE)+5,FALSE),"")</f>
        <v/>
      </c>
      <c r="S884" s="4" t="str">
        <f ca="1">IFERROR(VLOOKUP($L884,Calculation!$H$6:$S$1005,HLOOKUP(S$2,Calculation!$M$4:$S$5,2,FALSE)+5,FALSE),"")</f>
        <v/>
      </c>
      <c r="T884" s="29"/>
      <c r="U884" s="43" t="str">
        <f>IFERROR(VLOOKUP(T884,Calculation!$U$6:$V$11,2,FALSE),"")</f>
        <v/>
      </c>
    </row>
    <row r="885" spans="1:21" ht="14.25" customHeight="1" x14ac:dyDescent="0.3">
      <c r="A885" s="26" t="str">
        <f ca="1">IF(Calculation!T888&lt;=Calculation!$H$4,Calculation!T888,"")</f>
        <v/>
      </c>
      <c r="B885" s="4" t="str">
        <f ca="1">VLOOKUP(A885,Calculation!$E$6:$J$1004,4,FALSE)</f>
        <v/>
      </c>
      <c r="C885" s="4" t="str">
        <f ca="1">VLOOKUP(A885,Calculation!$E$6:$J$1004,5,FALSE)</f>
        <v/>
      </c>
      <c r="D885" s="4" t="str">
        <f ca="1">VLOOKUP(A885,Calculation!$E$6:$J$1004,6,FALSE)</f>
        <v/>
      </c>
      <c r="E885" s="42" t="str">
        <f t="shared" ca="1" si="6"/>
        <v/>
      </c>
      <c r="G885" s="29" t="str">
        <f ca="1">VLOOKUP(A885,Calculation!$F$6:$J$1004,3,FALSE)</f>
        <v/>
      </c>
      <c r="H885" s="4" t="str">
        <f ca="1">VLOOKUP(A885,Calculation!$F$6:$J$1004,4,FALSE)</f>
        <v/>
      </c>
      <c r="I885" s="4" t="str">
        <f ca="1">VLOOKUP(A885,Calculation!$F$6:$J$1004,5,FALSE)</f>
        <v/>
      </c>
      <c r="J885" s="43" t="str">
        <f t="shared" ca="1" si="7"/>
        <v/>
      </c>
      <c r="L885" s="29" t="str">
        <f ca="1">VLOOKUP(A885,Calculation!$G$6:$S$1004,2,FALSE)</f>
        <v/>
      </c>
      <c r="M885" s="4" t="str">
        <f ca="1">IFERROR(VLOOKUP($L885,Calculation!$H$6:$S$1005,HLOOKUP(M$2,Calculation!$M$4:$S$5,2,FALSE)+5,FALSE),"")</f>
        <v/>
      </c>
      <c r="N885" s="4" t="str">
        <f ca="1">IFERROR(VLOOKUP($L885,Calculation!$H$6:$S$1005,HLOOKUP(N$2,Calculation!$M$4:$S$5,2,FALSE)+5,FALSE),"")</f>
        <v/>
      </c>
      <c r="O885" s="4" t="str">
        <f ca="1">IFERROR(VLOOKUP($L885,Calculation!$H$6:$S$1005,HLOOKUP(O$2,Calculation!$M$4:$S$5,2,FALSE)+5,FALSE),"")</f>
        <v/>
      </c>
      <c r="P885" s="4" t="str">
        <f ca="1">IFERROR(VLOOKUP($L885,Calculation!$H$6:$S$1005,HLOOKUP(P$2,Calculation!$M$4:$S$5,2,FALSE)+5,FALSE),"")</f>
        <v/>
      </c>
      <c r="Q885" s="4" t="str">
        <f ca="1">IFERROR(VLOOKUP($L885,Calculation!$H$6:$S$1005,HLOOKUP(Q$2,Calculation!$M$4:$S$5,2,FALSE)+5,FALSE),"")</f>
        <v/>
      </c>
      <c r="R885" s="27" t="str">
        <f ca="1">IFERROR(VLOOKUP($L885,Calculation!$H$6:$S$1005,HLOOKUP(R$2,Calculation!$M$4:$S$5,2,FALSE)+5,FALSE),"")</f>
        <v/>
      </c>
      <c r="S885" s="4" t="str">
        <f ca="1">IFERROR(VLOOKUP($L885,Calculation!$H$6:$S$1005,HLOOKUP(S$2,Calculation!$M$4:$S$5,2,FALSE)+5,FALSE),"")</f>
        <v/>
      </c>
      <c r="T885" s="29"/>
      <c r="U885" s="43" t="str">
        <f>IFERROR(VLOOKUP(T885,Calculation!$U$6:$V$11,2,FALSE),"")</f>
        <v/>
      </c>
    </row>
    <row r="886" spans="1:21" ht="14.25" customHeight="1" x14ac:dyDescent="0.3">
      <c r="A886" s="26" t="str">
        <f ca="1">IF(Calculation!T889&lt;=Calculation!$H$4,Calculation!T889,"")</f>
        <v/>
      </c>
      <c r="B886" s="4" t="str">
        <f ca="1">VLOOKUP(A886,Calculation!$E$6:$J$1004,4,FALSE)</f>
        <v/>
      </c>
      <c r="C886" s="4" t="str">
        <f ca="1">VLOOKUP(A886,Calculation!$E$6:$J$1004,5,FALSE)</f>
        <v/>
      </c>
      <c r="D886" s="4" t="str">
        <f ca="1">VLOOKUP(A886,Calculation!$E$6:$J$1004,6,FALSE)</f>
        <v/>
      </c>
      <c r="E886" s="42" t="str">
        <f t="shared" ca="1" si="6"/>
        <v/>
      </c>
      <c r="G886" s="29" t="str">
        <f ca="1">VLOOKUP(A886,Calculation!$F$6:$J$1004,3,FALSE)</f>
        <v/>
      </c>
      <c r="H886" s="4" t="str">
        <f ca="1">VLOOKUP(A886,Calculation!$F$6:$J$1004,4,FALSE)</f>
        <v/>
      </c>
      <c r="I886" s="4" t="str">
        <f ca="1">VLOOKUP(A886,Calculation!$F$6:$J$1004,5,FALSE)</f>
        <v/>
      </c>
      <c r="J886" s="43" t="str">
        <f t="shared" ca="1" si="7"/>
        <v/>
      </c>
      <c r="L886" s="29" t="str">
        <f ca="1">VLOOKUP(A886,Calculation!$G$6:$S$1004,2,FALSE)</f>
        <v/>
      </c>
      <c r="M886" s="4" t="str">
        <f ca="1">IFERROR(VLOOKUP($L886,Calculation!$H$6:$S$1005,HLOOKUP(M$2,Calculation!$M$4:$S$5,2,FALSE)+5,FALSE),"")</f>
        <v/>
      </c>
      <c r="N886" s="4" t="str">
        <f ca="1">IFERROR(VLOOKUP($L886,Calculation!$H$6:$S$1005,HLOOKUP(N$2,Calculation!$M$4:$S$5,2,FALSE)+5,FALSE),"")</f>
        <v/>
      </c>
      <c r="O886" s="4" t="str">
        <f ca="1">IFERROR(VLOOKUP($L886,Calculation!$H$6:$S$1005,HLOOKUP(O$2,Calculation!$M$4:$S$5,2,FALSE)+5,FALSE),"")</f>
        <v/>
      </c>
      <c r="P886" s="4" t="str">
        <f ca="1">IFERROR(VLOOKUP($L886,Calculation!$H$6:$S$1005,HLOOKUP(P$2,Calculation!$M$4:$S$5,2,FALSE)+5,FALSE),"")</f>
        <v/>
      </c>
      <c r="Q886" s="4" t="str">
        <f ca="1">IFERROR(VLOOKUP($L886,Calculation!$H$6:$S$1005,HLOOKUP(Q$2,Calculation!$M$4:$S$5,2,FALSE)+5,FALSE),"")</f>
        <v/>
      </c>
      <c r="R886" s="27" t="str">
        <f ca="1">IFERROR(VLOOKUP($L886,Calculation!$H$6:$S$1005,HLOOKUP(R$2,Calculation!$M$4:$S$5,2,FALSE)+5,FALSE),"")</f>
        <v/>
      </c>
      <c r="S886" s="4" t="str">
        <f ca="1">IFERROR(VLOOKUP($L886,Calculation!$H$6:$S$1005,HLOOKUP(S$2,Calculation!$M$4:$S$5,2,FALSE)+5,FALSE),"")</f>
        <v/>
      </c>
      <c r="T886" s="29"/>
      <c r="U886" s="43" t="str">
        <f>IFERROR(VLOOKUP(T886,Calculation!$U$6:$V$11,2,FALSE),"")</f>
        <v/>
      </c>
    </row>
    <row r="887" spans="1:21" ht="14.25" customHeight="1" x14ac:dyDescent="0.3">
      <c r="A887" s="26" t="str">
        <f ca="1">IF(Calculation!T890&lt;=Calculation!$H$4,Calculation!T890,"")</f>
        <v/>
      </c>
      <c r="B887" s="4" t="str">
        <f ca="1">VLOOKUP(A887,Calculation!$E$6:$J$1004,4,FALSE)</f>
        <v/>
      </c>
      <c r="C887" s="4" t="str">
        <f ca="1">VLOOKUP(A887,Calculation!$E$6:$J$1004,5,FALSE)</f>
        <v/>
      </c>
      <c r="D887" s="4" t="str">
        <f ca="1">VLOOKUP(A887,Calculation!$E$6:$J$1004,6,FALSE)</f>
        <v/>
      </c>
      <c r="E887" s="42" t="str">
        <f t="shared" ca="1" si="6"/>
        <v/>
      </c>
      <c r="G887" s="29" t="str">
        <f ca="1">VLOOKUP(A887,Calculation!$F$6:$J$1004,3,FALSE)</f>
        <v/>
      </c>
      <c r="H887" s="4" t="str">
        <f ca="1">VLOOKUP(A887,Calculation!$F$6:$J$1004,4,FALSE)</f>
        <v/>
      </c>
      <c r="I887" s="4" t="str">
        <f ca="1">VLOOKUP(A887,Calculation!$F$6:$J$1004,5,FALSE)</f>
        <v/>
      </c>
      <c r="J887" s="43" t="str">
        <f t="shared" ca="1" si="7"/>
        <v/>
      </c>
      <c r="L887" s="29" t="str">
        <f ca="1">VLOOKUP(A887,Calculation!$G$6:$S$1004,2,FALSE)</f>
        <v/>
      </c>
      <c r="M887" s="4" t="str">
        <f ca="1">IFERROR(VLOOKUP($L887,Calculation!$H$6:$S$1005,HLOOKUP(M$2,Calculation!$M$4:$S$5,2,FALSE)+5,FALSE),"")</f>
        <v/>
      </c>
      <c r="N887" s="4" t="str">
        <f ca="1">IFERROR(VLOOKUP($L887,Calculation!$H$6:$S$1005,HLOOKUP(N$2,Calculation!$M$4:$S$5,2,FALSE)+5,FALSE),"")</f>
        <v/>
      </c>
      <c r="O887" s="4" t="str">
        <f ca="1">IFERROR(VLOOKUP($L887,Calculation!$H$6:$S$1005,HLOOKUP(O$2,Calculation!$M$4:$S$5,2,FALSE)+5,FALSE),"")</f>
        <v/>
      </c>
      <c r="P887" s="4" t="str">
        <f ca="1">IFERROR(VLOOKUP($L887,Calculation!$H$6:$S$1005,HLOOKUP(P$2,Calculation!$M$4:$S$5,2,FALSE)+5,FALSE),"")</f>
        <v/>
      </c>
      <c r="Q887" s="4" t="str">
        <f ca="1">IFERROR(VLOOKUP($L887,Calculation!$H$6:$S$1005,HLOOKUP(Q$2,Calculation!$M$4:$S$5,2,FALSE)+5,FALSE),"")</f>
        <v/>
      </c>
      <c r="R887" s="27" t="str">
        <f ca="1">IFERROR(VLOOKUP($L887,Calculation!$H$6:$S$1005,HLOOKUP(R$2,Calculation!$M$4:$S$5,2,FALSE)+5,FALSE),"")</f>
        <v/>
      </c>
      <c r="S887" s="4" t="str">
        <f ca="1">IFERROR(VLOOKUP($L887,Calculation!$H$6:$S$1005,HLOOKUP(S$2,Calculation!$M$4:$S$5,2,FALSE)+5,FALSE),"")</f>
        <v/>
      </c>
      <c r="T887" s="29"/>
      <c r="U887" s="43" t="str">
        <f>IFERROR(VLOOKUP(T887,Calculation!$U$6:$V$11,2,FALSE),"")</f>
        <v/>
      </c>
    </row>
    <row r="888" spans="1:21" ht="14.25" customHeight="1" x14ac:dyDescent="0.3">
      <c r="A888" s="26" t="str">
        <f ca="1">IF(Calculation!T891&lt;=Calculation!$H$4,Calculation!T891,"")</f>
        <v/>
      </c>
      <c r="B888" s="4" t="str">
        <f ca="1">VLOOKUP(A888,Calculation!$E$6:$J$1004,4,FALSE)</f>
        <v/>
      </c>
      <c r="C888" s="4" t="str">
        <f ca="1">VLOOKUP(A888,Calculation!$E$6:$J$1004,5,FALSE)</f>
        <v/>
      </c>
      <c r="D888" s="4" t="str">
        <f ca="1">VLOOKUP(A888,Calculation!$E$6:$J$1004,6,FALSE)</f>
        <v/>
      </c>
      <c r="E888" s="42" t="str">
        <f t="shared" ca="1" si="6"/>
        <v/>
      </c>
      <c r="G888" s="29" t="str">
        <f ca="1">VLOOKUP(A888,Calculation!$F$6:$J$1004,3,FALSE)</f>
        <v/>
      </c>
      <c r="H888" s="4" t="str">
        <f ca="1">VLOOKUP(A888,Calculation!$F$6:$J$1004,4,FALSE)</f>
        <v/>
      </c>
      <c r="I888" s="4" t="str">
        <f ca="1">VLOOKUP(A888,Calculation!$F$6:$J$1004,5,FALSE)</f>
        <v/>
      </c>
      <c r="J888" s="43" t="str">
        <f t="shared" ca="1" si="7"/>
        <v/>
      </c>
      <c r="L888" s="29" t="str">
        <f ca="1">VLOOKUP(A888,Calculation!$G$6:$S$1004,2,FALSE)</f>
        <v/>
      </c>
      <c r="M888" s="4" t="str">
        <f ca="1">IFERROR(VLOOKUP($L888,Calculation!$H$6:$S$1005,HLOOKUP(M$2,Calculation!$M$4:$S$5,2,FALSE)+5,FALSE),"")</f>
        <v/>
      </c>
      <c r="N888" s="4" t="str">
        <f ca="1">IFERROR(VLOOKUP($L888,Calculation!$H$6:$S$1005,HLOOKUP(N$2,Calculation!$M$4:$S$5,2,FALSE)+5,FALSE),"")</f>
        <v/>
      </c>
      <c r="O888" s="4" t="str">
        <f ca="1">IFERROR(VLOOKUP($L888,Calculation!$H$6:$S$1005,HLOOKUP(O$2,Calculation!$M$4:$S$5,2,FALSE)+5,FALSE),"")</f>
        <v/>
      </c>
      <c r="P888" s="4" t="str">
        <f ca="1">IFERROR(VLOOKUP($L888,Calculation!$H$6:$S$1005,HLOOKUP(P$2,Calculation!$M$4:$S$5,2,FALSE)+5,FALSE),"")</f>
        <v/>
      </c>
      <c r="Q888" s="4" t="str">
        <f ca="1">IFERROR(VLOOKUP($L888,Calculation!$H$6:$S$1005,HLOOKUP(Q$2,Calculation!$M$4:$S$5,2,FALSE)+5,FALSE),"")</f>
        <v/>
      </c>
      <c r="R888" s="27" t="str">
        <f ca="1">IFERROR(VLOOKUP($L888,Calculation!$H$6:$S$1005,HLOOKUP(R$2,Calculation!$M$4:$S$5,2,FALSE)+5,FALSE),"")</f>
        <v/>
      </c>
      <c r="S888" s="4" t="str">
        <f ca="1">IFERROR(VLOOKUP($L888,Calculation!$H$6:$S$1005,HLOOKUP(S$2,Calculation!$M$4:$S$5,2,FALSE)+5,FALSE),"")</f>
        <v/>
      </c>
      <c r="T888" s="29"/>
      <c r="U888" s="43" t="str">
        <f>IFERROR(VLOOKUP(T888,Calculation!$U$6:$V$11,2,FALSE),"")</f>
        <v/>
      </c>
    </row>
    <row r="889" spans="1:21" ht="14.25" customHeight="1" x14ac:dyDescent="0.3">
      <c r="A889" s="26" t="str">
        <f ca="1">IF(Calculation!T892&lt;=Calculation!$H$4,Calculation!T892,"")</f>
        <v/>
      </c>
      <c r="B889" s="4" t="str">
        <f ca="1">VLOOKUP(A889,Calculation!$E$6:$J$1004,4,FALSE)</f>
        <v/>
      </c>
      <c r="C889" s="4" t="str">
        <f ca="1">VLOOKUP(A889,Calculation!$E$6:$J$1004,5,FALSE)</f>
        <v/>
      </c>
      <c r="D889" s="4" t="str">
        <f ca="1">VLOOKUP(A889,Calculation!$E$6:$J$1004,6,FALSE)</f>
        <v/>
      </c>
      <c r="E889" s="42" t="str">
        <f t="shared" ca="1" si="6"/>
        <v/>
      </c>
      <c r="G889" s="29" t="str">
        <f ca="1">VLOOKUP(A889,Calculation!$F$6:$J$1004,3,FALSE)</f>
        <v/>
      </c>
      <c r="H889" s="4" t="str">
        <f ca="1">VLOOKUP(A889,Calculation!$F$6:$J$1004,4,FALSE)</f>
        <v/>
      </c>
      <c r="I889" s="4" t="str">
        <f ca="1">VLOOKUP(A889,Calculation!$F$6:$J$1004,5,FALSE)</f>
        <v/>
      </c>
      <c r="J889" s="43" t="str">
        <f t="shared" ca="1" si="7"/>
        <v/>
      </c>
      <c r="L889" s="29" t="str">
        <f ca="1">VLOOKUP(A889,Calculation!$G$6:$S$1004,2,FALSE)</f>
        <v/>
      </c>
      <c r="M889" s="4" t="str">
        <f ca="1">IFERROR(VLOOKUP($L889,Calculation!$H$6:$S$1005,HLOOKUP(M$2,Calculation!$M$4:$S$5,2,FALSE)+5,FALSE),"")</f>
        <v/>
      </c>
      <c r="N889" s="4" t="str">
        <f ca="1">IFERROR(VLOOKUP($L889,Calculation!$H$6:$S$1005,HLOOKUP(N$2,Calculation!$M$4:$S$5,2,FALSE)+5,FALSE),"")</f>
        <v/>
      </c>
      <c r="O889" s="4" t="str">
        <f ca="1">IFERROR(VLOOKUP($L889,Calculation!$H$6:$S$1005,HLOOKUP(O$2,Calculation!$M$4:$S$5,2,FALSE)+5,FALSE),"")</f>
        <v/>
      </c>
      <c r="P889" s="4" t="str">
        <f ca="1">IFERROR(VLOOKUP($L889,Calculation!$H$6:$S$1005,HLOOKUP(P$2,Calculation!$M$4:$S$5,2,FALSE)+5,FALSE),"")</f>
        <v/>
      </c>
      <c r="Q889" s="4" t="str">
        <f ca="1">IFERROR(VLOOKUP($L889,Calculation!$H$6:$S$1005,HLOOKUP(Q$2,Calculation!$M$4:$S$5,2,FALSE)+5,FALSE),"")</f>
        <v/>
      </c>
      <c r="R889" s="27" t="str">
        <f ca="1">IFERROR(VLOOKUP($L889,Calculation!$H$6:$S$1005,HLOOKUP(R$2,Calculation!$M$4:$S$5,2,FALSE)+5,FALSE),"")</f>
        <v/>
      </c>
      <c r="S889" s="4" t="str">
        <f ca="1">IFERROR(VLOOKUP($L889,Calculation!$H$6:$S$1005,HLOOKUP(S$2,Calculation!$M$4:$S$5,2,FALSE)+5,FALSE),"")</f>
        <v/>
      </c>
      <c r="T889" s="29"/>
      <c r="U889" s="43" t="str">
        <f>IFERROR(VLOOKUP(T889,Calculation!$U$6:$V$11,2,FALSE),"")</f>
        <v/>
      </c>
    </row>
    <row r="890" spans="1:21" ht="14.25" customHeight="1" x14ac:dyDescent="0.3">
      <c r="A890" s="26" t="str">
        <f ca="1">IF(Calculation!T893&lt;=Calculation!$H$4,Calculation!T893,"")</f>
        <v/>
      </c>
      <c r="B890" s="4" t="str">
        <f ca="1">VLOOKUP(A890,Calculation!$E$6:$J$1004,4,FALSE)</f>
        <v/>
      </c>
      <c r="C890" s="4" t="str">
        <f ca="1">VLOOKUP(A890,Calculation!$E$6:$J$1004,5,FALSE)</f>
        <v/>
      </c>
      <c r="D890" s="4" t="str">
        <f ca="1">VLOOKUP(A890,Calculation!$E$6:$J$1004,6,FALSE)</f>
        <v/>
      </c>
      <c r="E890" s="42" t="str">
        <f t="shared" ca="1" si="6"/>
        <v/>
      </c>
      <c r="G890" s="29" t="str">
        <f ca="1">VLOOKUP(A890,Calculation!$F$6:$J$1004,3,FALSE)</f>
        <v/>
      </c>
      <c r="H890" s="4" t="str">
        <f ca="1">VLOOKUP(A890,Calculation!$F$6:$J$1004,4,FALSE)</f>
        <v/>
      </c>
      <c r="I890" s="4" t="str">
        <f ca="1">VLOOKUP(A890,Calculation!$F$6:$J$1004,5,FALSE)</f>
        <v/>
      </c>
      <c r="J890" s="43" t="str">
        <f t="shared" ca="1" si="7"/>
        <v/>
      </c>
      <c r="L890" s="29" t="str">
        <f ca="1">VLOOKUP(A890,Calculation!$G$6:$S$1004,2,FALSE)</f>
        <v/>
      </c>
      <c r="M890" s="4" t="str">
        <f ca="1">IFERROR(VLOOKUP($L890,Calculation!$H$6:$S$1005,HLOOKUP(M$2,Calculation!$M$4:$S$5,2,FALSE)+5,FALSE),"")</f>
        <v/>
      </c>
      <c r="N890" s="4" t="str">
        <f ca="1">IFERROR(VLOOKUP($L890,Calculation!$H$6:$S$1005,HLOOKUP(N$2,Calculation!$M$4:$S$5,2,FALSE)+5,FALSE),"")</f>
        <v/>
      </c>
      <c r="O890" s="4" t="str">
        <f ca="1">IFERROR(VLOOKUP($L890,Calculation!$H$6:$S$1005,HLOOKUP(O$2,Calculation!$M$4:$S$5,2,FALSE)+5,FALSE),"")</f>
        <v/>
      </c>
      <c r="P890" s="4" t="str">
        <f ca="1">IFERROR(VLOOKUP($L890,Calculation!$H$6:$S$1005,HLOOKUP(P$2,Calculation!$M$4:$S$5,2,FALSE)+5,FALSE),"")</f>
        <v/>
      </c>
      <c r="Q890" s="4" t="str">
        <f ca="1">IFERROR(VLOOKUP($L890,Calculation!$H$6:$S$1005,HLOOKUP(Q$2,Calculation!$M$4:$S$5,2,FALSE)+5,FALSE),"")</f>
        <v/>
      </c>
      <c r="R890" s="27" t="str">
        <f ca="1">IFERROR(VLOOKUP($L890,Calculation!$H$6:$S$1005,HLOOKUP(R$2,Calculation!$M$4:$S$5,2,FALSE)+5,FALSE),"")</f>
        <v/>
      </c>
      <c r="S890" s="4" t="str">
        <f ca="1">IFERROR(VLOOKUP($L890,Calculation!$H$6:$S$1005,HLOOKUP(S$2,Calculation!$M$4:$S$5,2,FALSE)+5,FALSE),"")</f>
        <v/>
      </c>
      <c r="T890" s="29"/>
      <c r="U890" s="43" t="str">
        <f>IFERROR(VLOOKUP(T890,Calculation!$U$6:$V$11,2,FALSE),"")</f>
        <v/>
      </c>
    </row>
    <row r="891" spans="1:21" ht="14.25" customHeight="1" x14ac:dyDescent="0.3">
      <c r="A891" s="26" t="str">
        <f ca="1">IF(Calculation!T894&lt;=Calculation!$H$4,Calculation!T894,"")</f>
        <v/>
      </c>
      <c r="B891" s="4" t="str">
        <f ca="1">VLOOKUP(A891,Calculation!$E$6:$J$1004,4,FALSE)</f>
        <v/>
      </c>
      <c r="C891" s="4" t="str">
        <f ca="1">VLOOKUP(A891,Calculation!$E$6:$J$1004,5,FALSE)</f>
        <v/>
      </c>
      <c r="D891" s="4" t="str">
        <f ca="1">VLOOKUP(A891,Calculation!$E$6:$J$1004,6,FALSE)</f>
        <v/>
      </c>
      <c r="E891" s="42" t="str">
        <f t="shared" ca="1" si="6"/>
        <v/>
      </c>
      <c r="G891" s="29" t="str">
        <f ca="1">VLOOKUP(A891,Calculation!$F$6:$J$1004,3,FALSE)</f>
        <v/>
      </c>
      <c r="H891" s="4" t="str">
        <f ca="1">VLOOKUP(A891,Calculation!$F$6:$J$1004,4,FALSE)</f>
        <v/>
      </c>
      <c r="I891" s="4" t="str">
        <f ca="1">VLOOKUP(A891,Calculation!$F$6:$J$1004,5,FALSE)</f>
        <v/>
      </c>
      <c r="J891" s="43" t="str">
        <f t="shared" ca="1" si="7"/>
        <v/>
      </c>
      <c r="L891" s="29" t="str">
        <f ca="1">VLOOKUP(A891,Calculation!$G$6:$S$1004,2,FALSE)</f>
        <v/>
      </c>
      <c r="M891" s="4" t="str">
        <f ca="1">IFERROR(VLOOKUP($L891,Calculation!$H$6:$S$1005,HLOOKUP(M$2,Calculation!$M$4:$S$5,2,FALSE)+5,FALSE),"")</f>
        <v/>
      </c>
      <c r="N891" s="4" t="str">
        <f ca="1">IFERROR(VLOOKUP($L891,Calculation!$H$6:$S$1005,HLOOKUP(N$2,Calculation!$M$4:$S$5,2,FALSE)+5,FALSE),"")</f>
        <v/>
      </c>
      <c r="O891" s="4" t="str">
        <f ca="1">IFERROR(VLOOKUP($L891,Calculation!$H$6:$S$1005,HLOOKUP(O$2,Calculation!$M$4:$S$5,2,FALSE)+5,FALSE),"")</f>
        <v/>
      </c>
      <c r="P891" s="4" t="str">
        <f ca="1">IFERROR(VLOOKUP($L891,Calculation!$H$6:$S$1005,HLOOKUP(P$2,Calculation!$M$4:$S$5,2,FALSE)+5,FALSE),"")</f>
        <v/>
      </c>
      <c r="Q891" s="4" t="str">
        <f ca="1">IFERROR(VLOOKUP($L891,Calculation!$H$6:$S$1005,HLOOKUP(Q$2,Calculation!$M$4:$S$5,2,FALSE)+5,FALSE),"")</f>
        <v/>
      </c>
      <c r="R891" s="27" t="str">
        <f ca="1">IFERROR(VLOOKUP($L891,Calculation!$H$6:$S$1005,HLOOKUP(R$2,Calculation!$M$4:$S$5,2,FALSE)+5,FALSE),"")</f>
        <v/>
      </c>
      <c r="S891" s="4" t="str">
        <f ca="1">IFERROR(VLOOKUP($L891,Calculation!$H$6:$S$1005,HLOOKUP(S$2,Calculation!$M$4:$S$5,2,FALSE)+5,FALSE),"")</f>
        <v/>
      </c>
      <c r="T891" s="29"/>
      <c r="U891" s="43" t="str">
        <f>IFERROR(VLOOKUP(T891,Calculation!$U$6:$V$11,2,FALSE),"")</f>
        <v/>
      </c>
    </row>
    <row r="892" spans="1:21" ht="14.25" customHeight="1" x14ac:dyDescent="0.3">
      <c r="A892" s="26" t="str">
        <f ca="1">IF(Calculation!T895&lt;=Calculation!$H$4,Calculation!T895,"")</f>
        <v/>
      </c>
      <c r="B892" s="4" t="str">
        <f ca="1">VLOOKUP(A892,Calculation!$E$6:$J$1004,4,FALSE)</f>
        <v/>
      </c>
      <c r="C892" s="4" t="str">
        <f ca="1">VLOOKUP(A892,Calculation!$E$6:$J$1004,5,FALSE)</f>
        <v/>
      </c>
      <c r="D892" s="4" t="str">
        <f ca="1">VLOOKUP(A892,Calculation!$E$6:$J$1004,6,FALSE)</f>
        <v/>
      </c>
      <c r="E892" s="42" t="str">
        <f t="shared" ca="1" si="6"/>
        <v/>
      </c>
      <c r="G892" s="29" t="str">
        <f ca="1">VLOOKUP(A892,Calculation!$F$6:$J$1004,3,FALSE)</f>
        <v/>
      </c>
      <c r="H892" s="4" t="str">
        <f ca="1">VLOOKUP(A892,Calculation!$F$6:$J$1004,4,FALSE)</f>
        <v/>
      </c>
      <c r="I892" s="4" t="str">
        <f ca="1">VLOOKUP(A892,Calculation!$F$6:$J$1004,5,FALSE)</f>
        <v/>
      </c>
      <c r="J892" s="43" t="str">
        <f t="shared" ca="1" si="7"/>
        <v/>
      </c>
      <c r="L892" s="29" t="str">
        <f ca="1">VLOOKUP(A892,Calculation!$G$6:$S$1004,2,FALSE)</f>
        <v/>
      </c>
      <c r="M892" s="4" t="str">
        <f ca="1">IFERROR(VLOOKUP($L892,Calculation!$H$6:$S$1005,HLOOKUP(M$2,Calculation!$M$4:$S$5,2,FALSE)+5,FALSE),"")</f>
        <v/>
      </c>
      <c r="N892" s="4" t="str">
        <f ca="1">IFERROR(VLOOKUP($L892,Calculation!$H$6:$S$1005,HLOOKUP(N$2,Calculation!$M$4:$S$5,2,FALSE)+5,FALSE),"")</f>
        <v/>
      </c>
      <c r="O892" s="4" t="str">
        <f ca="1">IFERROR(VLOOKUP($L892,Calculation!$H$6:$S$1005,HLOOKUP(O$2,Calculation!$M$4:$S$5,2,FALSE)+5,FALSE),"")</f>
        <v/>
      </c>
      <c r="P892" s="4" t="str">
        <f ca="1">IFERROR(VLOOKUP($L892,Calculation!$H$6:$S$1005,HLOOKUP(P$2,Calculation!$M$4:$S$5,2,FALSE)+5,FALSE),"")</f>
        <v/>
      </c>
      <c r="Q892" s="4" t="str">
        <f ca="1">IFERROR(VLOOKUP($L892,Calculation!$H$6:$S$1005,HLOOKUP(Q$2,Calculation!$M$4:$S$5,2,FALSE)+5,FALSE),"")</f>
        <v/>
      </c>
      <c r="R892" s="27" t="str">
        <f ca="1">IFERROR(VLOOKUP($L892,Calculation!$H$6:$S$1005,HLOOKUP(R$2,Calculation!$M$4:$S$5,2,FALSE)+5,FALSE),"")</f>
        <v/>
      </c>
      <c r="S892" s="4" t="str">
        <f ca="1">IFERROR(VLOOKUP($L892,Calculation!$H$6:$S$1005,HLOOKUP(S$2,Calculation!$M$4:$S$5,2,FALSE)+5,FALSE),"")</f>
        <v/>
      </c>
      <c r="T892" s="29"/>
      <c r="U892" s="43" t="str">
        <f>IFERROR(VLOOKUP(T892,Calculation!$U$6:$V$11,2,FALSE),"")</f>
        <v/>
      </c>
    </row>
    <row r="893" spans="1:21" ht="14.25" customHeight="1" x14ac:dyDescent="0.3">
      <c r="A893" s="26" t="str">
        <f ca="1">IF(Calculation!T896&lt;=Calculation!$H$4,Calculation!T896,"")</f>
        <v/>
      </c>
      <c r="B893" s="4" t="str">
        <f ca="1">VLOOKUP(A893,Calculation!$E$6:$J$1004,4,FALSE)</f>
        <v/>
      </c>
      <c r="C893" s="4" t="str">
        <f ca="1">VLOOKUP(A893,Calculation!$E$6:$J$1004,5,FALSE)</f>
        <v/>
      </c>
      <c r="D893" s="4" t="str">
        <f ca="1">VLOOKUP(A893,Calculation!$E$6:$J$1004,6,FALSE)</f>
        <v/>
      </c>
      <c r="E893" s="42" t="str">
        <f t="shared" ca="1" si="6"/>
        <v/>
      </c>
      <c r="G893" s="29" t="str">
        <f ca="1">VLOOKUP(A893,Calculation!$F$6:$J$1004,3,FALSE)</f>
        <v/>
      </c>
      <c r="H893" s="4" t="str">
        <f ca="1">VLOOKUP(A893,Calculation!$F$6:$J$1004,4,FALSE)</f>
        <v/>
      </c>
      <c r="I893" s="4" t="str">
        <f ca="1">VLOOKUP(A893,Calculation!$F$6:$J$1004,5,FALSE)</f>
        <v/>
      </c>
      <c r="J893" s="43" t="str">
        <f t="shared" ca="1" si="7"/>
        <v/>
      </c>
      <c r="L893" s="29" t="str">
        <f ca="1">VLOOKUP(A893,Calculation!$G$6:$S$1004,2,FALSE)</f>
        <v/>
      </c>
      <c r="M893" s="4" t="str">
        <f ca="1">IFERROR(VLOOKUP($L893,Calculation!$H$6:$S$1005,HLOOKUP(M$2,Calculation!$M$4:$S$5,2,FALSE)+5,FALSE),"")</f>
        <v/>
      </c>
      <c r="N893" s="4" t="str">
        <f ca="1">IFERROR(VLOOKUP($L893,Calculation!$H$6:$S$1005,HLOOKUP(N$2,Calculation!$M$4:$S$5,2,FALSE)+5,FALSE),"")</f>
        <v/>
      </c>
      <c r="O893" s="4" t="str">
        <f ca="1">IFERROR(VLOOKUP($L893,Calculation!$H$6:$S$1005,HLOOKUP(O$2,Calculation!$M$4:$S$5,2,FALSE)+5,FALSE),"")</f>
        <v/>
      </c>
      <c r="P893" s="4" t="str">
        <f ca="1">IFERROR(VLOOKUP($L893,Calculation!$H$6:$S$1005,HLOOKUP(P$2,Calculation!$M$4:$S$5,2,FALSE)+5,FALSE),"")</f>
        <v/>
      </c>
      <c r="Q893" s="4" t="str">
        <f ca="1">IFERROR(VLOOKUP($L893,Calculation!$H$6:$S$1005,HLOOKUP(Q$2,Calculation!$M$4:$S$5,2,FALSE)+5,FALSE),"")</f>
        <v/>
      </c>
      <c r="R893" s="27" t="str">
        <f ca="1">IFERROR(VLOOKUP($L893,Calculation!$H$6:$S$1005,HLOOKUP(R$2,Calculation!$M$4:$S$5,2,FALSE)+5,FALSE),"")</f>
        <v/>
      </c>
      <c r="S893" s="4" t="str">
        <f ca="1">IFERROR(VLOOKUP($L893,Calculation!$H$6:$S$1005,HLOOKUP(S$2,Calculation!$M$4:$S$5,2,FALSE)+5,FALSE),"")</f>
        <v/>
      </c>
      <c r="T893" s="29"/>
      <c r="U893" s="43" t="str">
        <f>IFERROR(VLOOKUP(T893,Calculation!$U$6:$V$11,2,FALSE),"")</f>
        <v/>
      </c>
    </row>
    <row r="894" spans="1:21" ht="14.25" customHeight="1" x14ac:dyDescent="0.3">
      <c r="A894" s="26" t="str">
        <f ca="1">IF(Calculation!T897&lt;=Calculation!$H$4,Calculation!T897,"")</f>
        <v/>
      </c>
      <c r="B894" s="4" t="str">
        <f ca="1">VLOOKUP(A894,Calculation!$E$6:$J$1004,4,FALSE)</f>
        <v/>
      </c>
      <c r="C894" s="4" t="str">
        <f ca="1">VLOOKUP(A894,Calculation!$E$6:$J$1004,5,FALSE)</f>
        <v/>
      </c>
      <c r="D894" s="4" t="str">
        <f ca="1">VLOOKUP(A894,Calculation!$E$6:$J$1004,6,FALSE)</f>
        <v/>
      </c>
      <c r="E894" s="42" t="str">
        <f t="shared" ca="1" si="6"/>
        <v/>
      </c>
      <c r="G894" s="29" t="str">
        <f ca="1">VLOOKUP(A894,Calculation!$F$6:$J$1004,3,FALSE)</f>
        <v/>
      </c>
      <c r="H894" s="4" t="str">
        <f ca="1">VLOOKUP(A894,Calculation!$F$6:$J$1004,4,FALSE)</f>
        <v/>
      </c>
      <c r="I894" s="4" t="str">
        <f ca="1">VLOOKUP(A894,Calculation!$F$6:$J$1004,5,FALSE)</f>
        <v/>
      </c>
      <c r="J894" s="43" t="str">
        <f t="shared" ca="1" si="7"/>
        <v/>
      </c>
      <c r="L894" s="29" t="str">
        <f ca="1">VLOOKUP(A894,Calculation!$G$6:$S$1004,2,FALSE)</f>
        <v/>
      </c>
      <c r="M894" s="4" t="str">
        <f ca="1">IFERROR(VLOOKUP($L894,Calculation!$H$6:$S$1005,HLOOKUP(M$2,Calculation!$M$4:$S$5,2,FALSE)+5,FALSE),"")</f>
        <v/>
      </c>
      <c r="N894" s="4" t="str">
        <f ca="1">IFERROR(VLOOKUP($L894,Calculation!$H$6:$S$1005,HLOOKUP(N$2,Calculation!$M$4:$S$5,2,FALSE)+5,FALSE),"")</f>
        <v/>
      </c>
      <c r="O894" s="4" t="str">
        <f ca="1">IFERROR(VLOOKUP($L894,Calculation!$H$6:$S$1005,HLOOKUP(O$2,Calculation!$M$4:$S$5,2,FALSE)+5,FALSE),"")</f>
        <v/>
      </c>
      <c r="P894" s="4" t="str">
        <f ca="1">IFERROR(VLOOKUP($L894,Calculation!$H$6:$S$1005,HLOOKUP(P$2,Calculation!$M$4:$S$5,2,FALSE)+5,FALSE),"")</f>
        <v/>
      </c>
      <c r="Q894" s="4" t="str">
        <f ca="1">IFERROR(VLOOKUP($L894,Calculation!$H$6:$S$1005,HLOOKUP(Q$2,Calculation!$M$4:$S$5,2,FALSE)+5,FALSE),"")</f>
        <v/>
      </c>
      <c r="R894" s="27" t="str">
        <f ca="1">IFERROR(VLOOKUP($L894,Calculation!$H$6:$S$1005,HLOOKUP(R$2,Calculation!$M$4:$S$5,2,FALSE)+5,FALSE),"")</f>
        <v/>
      </c>
      <c r="S894" s="4" t="str">
        <f ca="1">IFERROR(VLOOKUP($L894,Calculation!$H$6:$S$1005,HLOOKUP(S$2,Calculation!$M$4:$S$5,2,FALSE)+5,FALSE),"")</f>
        <v/>
      </c>
      <c r="T894" s="29"/>
      <c r="U894" s="43" t="str">
        <f>IFERROR(VLOOKUP(T894,Calculation!$U$6:$V$11,2,FALSE),"")</f>
        <v/>
      </c>
    </row>
    <row r="895" spans="1:21" ht="14.25" customHeight="1" x14ac:dyDescent="0.3">
      <c r="A895" s="26" t="str">
        <f ca="1">IF(Calculation!T898&lt;=Calculation!$H$4,Calculation!T898,"")</f>
        <v/>
      </c>
      <c r="B895" s="4" t="str">
        <f ca="1">VLOOKUP(A895,Calculation!$E$6:$J$1004,4,FALSE)</f>
        <v/>
      </c>
      <c r="C895" s="4" t="str">
        <f ca="1">VLOOKUP(A895,Calculation!$E$6:$J$1004,5,FALSE)</f>
        <v/>
      </c>
      <c r="D895" s="4" t="str">
        <f ca="1">VLOOKUP(A895,Calculation!$E$6:$J$1004,6,FALSE)</f>
        <v/>
      </c>
      <c r="E895" s="42" t="str">
        <f t="shared" ca="1" si="6"/>
        <v/>
      </c>
      <c r="G895" s="29" t="str">
        <f ca="1">VLOOKUP(A895,Calculation!$F$6:$J$1004,3,FALSE)</f>
        <v/>
      </c>
      <c r="H895" s="4" t="str">
        <f ca="1">VLOOKUP(A895,Calculation!$F$6:$J$1004,4,FALSE)</f>
        <v/>
      </c>
      <c r="I895" s="4" t="str">
        <f ca="1">VLOOKUP(A895,Calculation!$F$6:$J$1004,5,FALSE)</f>
        <v/>
      </c>
      <c r="J895" s="43" t="str">
        <f t="shared" ca="1" si="7"/>
        <v/>
      </c>
      <c r="L895" s="29" t="str">
        <f ca="1">VLOOKUP(A895,Calculation!$G$6:$S$1004,2,FALSE)</f>
        <v/>
      </c>
      <c r="M895" s="4" t="str">
        <f ca="1">IFERROR(VLOOKUP($L895,Calculation!$H$6:$S$1005,HLOOKUP(M$2,Calculation!$M$4:$S$5,2,FALSE)+5,FALSE),"")</f>
        <v/>
      </c>
      <c r="N895" s="4" t="str">
        <f ca="1">IFERROR(VLOOKUP($L895,Calculation!$H$6:$S$1005,HLOOKUP(N$2,Calculation!$M$4:$S$5,2,FALSE)+5,FALSE),"")</f>
        <v/>
      </c>
      <c r="O895" s="4" t="str">
        <f ca="1">IFERROR(VLOOKUP($L895,Calculation!$H$6:$S$1005,HLOOKUP(O$2,Calculation!$M$4:$S$5,2,FALSE)+5,FALSE),"")</f>
        <v/>
      </c>
      <c r="P895" s="4" t="str">
        <f ca="1">IFERROR(VLOOKUP($L895,Calculation!$H$6:$S$1005,HLOOKUP(P$2,Calculation!$M$4:$S$5,2,FALSE)+5,FALSE),"")</f>
        <v/>
      </c>
      <c r="Q895" s="4" t="str">
        <f ca="1">IFERROR(VLOOKUP($L895,Calculation!$H$6:$S$1005,HLOOKUP(Q$2,Calculation!$M$4:$S$5,2,FALSE)+5,FALSE),"")</f>
        <v/>
      </c>
      <c r="R895" s="27" t="str">
        <f ca="1">IFERROR(VLOOKUP($L895,Calculation!$H$6:$S$1005,HLOOKUP(R$2,Calculation!$M$4:$S$5,2,FALSE)+5,FALSE),"")</f>
        <v/>
      </c>
      <c r="S895" s="4" t="str">
        <f ca="1">IFERROR(VLOOKUP($L895,Calculation!$H$6:$S$1005,HLOOKUP(S$2,Calculation!$M$4:$S$5,2,FALSE)+5,FALSE),"")</f>
        <v/>
      </c>
      <c r="T895" s="29"/>
      <c r="U895" s="43" t="str">
        <f>IFERROR(VLOOKUP(T895,Calculation!$U$6:$V$11,2,FALSE),"")</f>
        <v/>
      </c>
    </row>
    <row r="896" spans="1:21" ht="14.25" customHeight="1" x14ac:dyDescent="0.3">
      <c r="A896" s="26" t="str">
        <f ca="1">IF(Calculation!T899&lt;=Calculation!$H$4,Calculation!T899,"")</f>
        <v/>
      </c>
      <c r="B896" s="4" t="str">
        <f ca="1">VLOOKUP(A896,Calculation!$E$6:$J$1004,4,FALSE)</f>
        <v/>
      </c>
      <c r="C896" s="4" t="str">
        <f ca="1">VLOOKUP(A896,Calculation!$E$6:$J$1004,5,FALSE)</f>
        <v/>
      </c>
      <c r="D896" s="4" t="str">
        <f ca="1">VLOOKUP(A896,Calculation!$E$6:$J$1004,6,FALSE)</f>
        <v/>
      </c>
      <c r="E896" s="42" t="str">
        <f t="shared" ca="1" si="6"/>
        <v/>
      </c>
      <c r="G896" s="29" t="str">
        <f ca="1">VLOOKUP(A896,Calculation!$F$6:$J$1004,3,FALSE)</f>
        <v/>
      </c>
      <c r="H896" s="4" t="str">
        <f ca="1">VLOOKUP(A896,Calculation!$F$6:$J$1004,4,FALSE)</f>
        <v/>
      </c>
      <c r="I896" s="4" t="str">
        <f ca="1">VLOOKUP(A896,Calculation!$F$6:$J$1004,5,FALSE)</f>
        <v/>
      </c>
      <c r="J896" s="43" t="str">
        <f t="shared" ca="1" si="7"/>
        <v/>
      </c>
      <c r="L896" s="29" t="str">
        <f ca="1">VLOOKUP(A896,Calculation!$G$6:$S$1004,2,FALSE)</f>
        <v/>
      </c>
      <c r="M896" s="4" t="str">
        <f ca="1">IFERROR(VLOOKUP($L896,Calculation!$H$6:$S$1005,HLOOKUP(M$2,Calculation!$M$4:$S$5,2,FALSE)+5,FALSE),"")</f>
        <v/>
      </c>
      <c r="N896" s="4" t="str">
        <f ca="1">IFERROR(VLOOKUP($L896,Calculation!$H$6:$S$1005,HLOOKUP(N$2,Calculation!$M$4:$S$5,2,FALSE)+5,FALSE),"")</f>
        <v/>
      </c>
      <c r="O896" s="4" t="str">
        <f ca="1">IFERROR(VLOOKUP($L896,Calculation!$H$6:$S$1005,HLOOKUP(O$2,Calculation!$M$4:$S$5,2,FALSE)+5,FALSE),"")</f>
        <v/>
      </c>
      <c r="P896" s="4" t="str">
        <f ca="1">IFERROR(VLOOKUP($L896,Calculation!$H$6:$S$1005,HLOOKUP(P$2,Calculation!$M$4:$S$5,2,FALSE)+5,FALSE),"")</f>
        <v/>
      </c>
      <c r="Q896" s="4" t="str">
        <f ca="1">IFERROR(VLOOKUP($L896,Calculation!$H$6:$S$1005,HLOOKUP(Q$2,Calculation!$M$4:$S$5,2,FALSE)+5,FALSE),"")</f>
        <v/>
      </c>
      <c r="R896" s="27" t="str">
        <f ca="1">IFERROR(VLOOKUP($L896,Calculation!$H$6:$S$1005,HLOOKUP(R$2,Calculation!$M$4:$S$5,2,FALSE)+5,FALSE),"")</f>
        <v/>
      </c>
      <c r="S896" s="4" t="str">
        <f ca="1">IFERROR(VLOOKUP($L896,Calculation!$H$6:$S$1005,HLOOKUP(S$2,Calculation!$M$4:$S$5,2,FALSE)+5,FALSE),"")</f>
        <v/>
      </c>
      <c r="T896" s="29"/>
      <c r="U896" s="43" t="str">
        <f>IFERROR(VLOOKUP(T896,Calculation!$U$6:$V$11,2,FALSE),"")</f>
        <v/>
      </c>
    </row>
    <row r="897" spans="1:21" ht="14.25" customHeight="1" x14ac:dyDescent="0.3">
      <c r="A897" s="26" t="str">
        <f ca="1">IF(Calculation!T900&lt;=Calculation!$H$4,Calculation!T900,"")</f>
        <v/>
      </c>
      <c r="B897" s="4" t="str">
        <f ca="1">VLOOKUP(A897,Calculation!$E$6:$J$1004,4,FALSE)</f>
        <v/>
      </c>
      <c r="C897" s="4" t="str">
        <f ca="1">VLOOKUP(A897,Calculation!$E$6:$J$1004,5,FALSE)</f>
        <v/>
      </c>
      <c r="D897" s="4" t="str">
        <f ca="1">VLOOKUP(A897,Calculation!$E$6:$J$1004,6,FALSE)</f>
        <v/>
      </c>
      <c r="E897" s="42" t="str">
        <f t="shared" ca="1" si="6"/>
        <v/>
      </c>
      <c r="G897" s="29" t="str">
        <f ca="1">VLOOKUP(A897,Calculation!$F$6:$J$1004,3,FALSE)</f>
        <v/>
      </c>
      <c r="H897" s="4" t="str">
        <f ca="1">VLOOKUP(A897,Calculation!$F$6:$J$1004,4,FALSE)</f>
        <v/>
      </c>
      <c r="I897" s="4" t="str">
        <f ca="1">VLOOKUP(A897,Calculation!$F$6:$J$1004,5,FALSE)</f>
        <v/>
      </c>
      <c r="J897" s="43" t="str">
        <f t="shared" ca="1" si="7"/>
        <v/>
      </c>
      <c r="L897" s="29" t="str">
        <f ca="1">VLOOKUP(A897,Calculation!$G$6:$S$1004,2,FALSE)</f>
        <v/>
      </c>
      <c r="M897" s="4" t="str">
        <f ca="1">IFERROR(VLOOKUP($L897,Calculation!$H$6:$S$1005,HLOOKUP(M$2,Calculation!$M$4:$S$5,2,FALSE)+5,FALSE),"")</f>
        <v/>
      </c>
      <c r="N897" s="4" t="str">
        <f ca="1">IFERROR(VLOOKUP($L897,Calculation!$H$6:$S$1005,HLOOKUP(N$2,Calculation!$M$4:$S$5,2,FALSE)+5,FALSE),"")</f>
        <v/>
      </c>
      <c r="O897" s="4" t="str">
        <f ca="1">IFERROR(VLOOKUP($L897,Calculation!$H$6:$S$1005,HLOOKUP(O$2,Calculation!$M$4:$S$5,2,FALSE)+5,FALSE),"")</f>
        <v/>
      </c>
      <c r="P897" s="4" t="str">
        <f ca="1">IFERROR(VLOOKUP($L897,Calculation!$H$6:$S$1005,HLOOKUP(P$2,Calculation!$M$4:$S$5,2,FALSE)+5,FALSE),"")</f>
        <v/>
      </c>
      <c r="Q897" s="4" t="str">
        <f ca="1">IFERROR(VLOOKUP($L897,Calculation!$H$6:$S$1005,HLOOKUP(Q$2,Calculation!$M$4:$S$5,2,FALSE)+5,FALSE),"")</f>
        <v/>
      </c>
      <c r="R897" s="27" t="str">
        <f ca="1">IFERROR(VLOOKUP($L897,Calculation!$H$6:$S$1005,HLOOKUP(R$2,Calculation!$M$4:$S$5,2,FALSE)+5,FALSE),"")</f>
        <v/>
      </c>
      <c r="S897" s="4" t="str">
        <f ca="1">IFERROR(VLOOKUP($L897,Calculation!$H$6:$S$1005,HLOOKUP(S$2,Calculation!$M$4:$S$5,2,FALSE)+5,FALSE),"")</f>
        <v/>
      </c>
      <c r="T897" s="29"/>
      <c r="U897" s="43" t="str">
        <f>IFERROR(VLOOKUP(T897,Calculation!$U$6:$V$11,2,FALSE),"")</f>
        <v/>
      </c>
    </row>
    <row r="898" spans="1:21" ht="14.25" customHeight="1" x14ac:dyDescent="0.3">
      <c r="A898" s="26" t="str">
        <f ca="1">IF(Calculation!T901&lt;=Calculation!$H$4,Calculation!T901,"")</f>
        <v/>
      </c>
      <c r="B898" s="4" t="str">
        <f ca="1">VLOOKUP(A898,Calculation!$E$6:$J$1004,4,FALSE)</f>
        <v/>
      </c>
      <c r="C898" s="4" t="str">
        <f ca="1">VLOOKUP(A898,Calculation!$E$6:$J$1004,5,FALSE)</f>
        <v/>
      </c>
      <c r="D898" s="4" t="str">
        <f ca="1">VLOOKUP(A898,Calculation!$E$6:$J$1004,6,FALSE)</f>
        <v/>
      </c>
      <c r="E898" s="42" t="str">
        <f t="shared" ca="1" si="6"/>
        <v/>
      </c>
      <c r="G898" s="29" t="str">
        <f ca="1">VLOOKUP(A898,Calculation!$F$6:$J$1004,3,FALSE)</f>
        <v/>
      </c>
      <c r="H898" s="4" t="str">
        <f ca="1">VLOOKUP(A898,Calculation!$F$6:$J$1004,4,FALSE)</f>
        <v/>
      </c>
      <c r="I898" s="4" t="str">
        <f ca="1">VLOOKUP(A898,Calculation!$F$6:$J$1004,5,FALSE)</f>
        <v/>
      </c>
      <c r="J898" s="43" t="str">
        <f t="shared" ca="1" si="7"/>
        <v/>
      </c>
      <c r="L898" s="29" t="str">
        <f ca="1">VLOOKUP(A898,Calculation!$G$6:$S$1004,2,FALSE)</f>
        <v/>
      </c>
      <c r="M898" s="4" t="str">
        <f ca="1">IFERROR(VLOOKUP($L898,Calculation!$H$6:$S$1005,HLOOKUP(M$2,Calculation!$M$4:$S$5,2,FALSE)+5,FALSE),"")</f>
        <v/>
      </c>
      <c r="N898" s="4" t="str">
        <f ca="1">IFERROR(VLOOKUP($L898,Calculation!$H$6:$S$1005,HLOOKUP(N$2,Calculation!$M$4:$S$5,2,FALSE)+5,FALSE),"")</f>
        <v/>
      </c>
      <c r="O898" s="4" t="str">
        <f ca="1">IFERROR(VLOOKUP($L898,Calculation!$H$6:$S$1005,HLOOKUP(O$2,Calculation!$M$4:$S$5,2,FALSE)+5,FALSE),"")</f>
        <v/>
      </c>
      <c r="P898" s="4" t="str">
        <f ca="1">IFERROR(VLOOKUP($L898,Calculation!$H$6:$S$1005,HLOOKUP(P$2,Calculation!$M$4:$S$5,2,FALSE)+5,FALSE),"")</f>
        <v/>
      </c>
      <c r="Q898" s="4" t="str">
        <f ca="1">IFERROR(VLOOKUP($L898,Calculation!$H$6:$S$1005,HLOOKUP(Q$2,Calculation!$M$4:$S$5,2,FALSE)+5,FALSE),"")</f>
        <v/>
      </c>
      <c r="R898" s="27" t="str">
        <f ca="1">IFERROR(VLOOKUP($L898,Calculation!$H$6:$S$1005,HLOOKUP(R$2,Calculation!$M$4:$S$5,2,FALSE)+5,FALSE),"")</f>
        <v/>
      </c>
      <c r="S898" s="4" t="str">
        <f ca="1">IFERROR(VLOOKUP($L898,Calculation!$H$6:$S$1005,HLOOKUP(S$2,Calculation!$M$4:$S$5,2,FALSE)+5,FALSE),"")</f>
        <v/>
      </c>
      <c r="T898" s="29"/>
      <c r="U898" s="43" t="str">
        <f>IFERROR(VLOOKUP(T898,Calculation!$U$6:$V$11,2,FALSE),"")</f>
        <v/>
      </c>
    </row>
    <row r="899" spans="1:21" ht="14.25" customHeight="1" x14ac:dyDescent="0.3">
      <c r="A899" s="26" t="str">
        <f ca="1">IF(Calculation!T902&lt;=Calculation!$H$4,Calculation!T902,"")</f>
        <v/>
      </c>
      <c r="B899" s="4" t="str">
        <f ca="1">VLOOKUP(A899,Calculation!$E$6:$J$1004,4,FALSE)</f>
        <v/>
      </c>
      <c r="C899" s="4" t="str">
        <f ca="1">VLOOKUP(A899,Calculation!$E$6:$J$1004,5,FALSE)</f>
        <v/>
      </c>
      <c r="D899" s="4" t="str">
        <f ca="1">VLOOKUP(A899,Calculation!$E$6:$J$1004,6,FALSE)</f>
        <v/>
      </c>
      <c r="E899" s="42" t="str">
        <f t="shared" ca="1" si="6"/>
        <v/>
      </c>
      <c r="G899" s="29" t="str">
        <f ca="1">VLOOKUP(A899,Calculation!$F$6:$J$1004,3,FALSE)</f>
        <v/>
      </c>
      <c r="H899" s="4" t="str">
        <f ca="1">VLOOKUP(A899,Calculation!$F$6:$J$1004,4,FALSE)</f>
        <v/>
      </c>
      <c r="I899" s="4" t="str">
        <f ca="1">VLOOKUP(A899,Calculation!$F$6:$J$1004,5,FALSE)</f>
        <v/>
      </c>
      <c r="J899" s="43" t="str">
        <f t="shared" ca="1" si="7"/>
        <v/>
      </c>
      <c r="L899" s="29" t="str">
        <f ca="1">VLOOKUP(A899,Calculation!$G$6:$S$1004,2,FALSE)</f>
        <v/>
      </c>
      <c r="M899" s="4" t="str">
        <f ca="1">IFERROR(VLOOKUP($L899,Calculation!$H$6:$S$1005,HLOOKUP(M$2,Calculation!$M$4:$S$5,2,FALSE)+5,FALSE),"")</f>
        <v/>
      </c>
      <c r="N899" s="4" t="str">
        <f ca="1">IFERROR(VLOOKUP($L899,Calculation!$H$6:$S$1005,HLOOKUP(N$2,Calculation!$M$4:$S$5,2,FALSE)+5,FALSE),"")</f>
        <v/>
      </c>
      <c r="O899" s="4" t="str">
        <f ca="1">IFERROR(VLOOKUP($L899,Calculation!$H$6:$S$1005,HLOOKUP(O$2,Calculation!$M$4:$S$5,2,FALSE)+5,FALSE),"")</f>
        <v/>
      </c>
      <c r="P899" s="4" t="str">
        <f ca="1">IFERROR(VLOOKUP($L899,Calculation!$H$6:$S$1005,HLOOKUP(P$2,Calculation!$M$4:$S$5,2,FALSE)+5,FALSE),"")</f>
        <v/>
      </c>
      <c r="Q899" s="4" t="str">
        <f ca="1">IFERROR(VLOOKUP($L899,Calculation!$H$6:$S$1005,HLOOKUP(Q$2,Calculation!$M$4:$S$5,2,FALSE)+5,FALSE),"")</f>
        <v/>
      </c>
      <c r="R899" s="27" t="str">
        <f ca="1">IFERROR(VLOOKUP($L899,Calculation!$H$6:$S$1005,HLOOKUP(R$2,Calculation!$M$4:$S$5,2,FALSE)+5,FALSE),"")</f>
        <v/>
      </c>
      <c r="S899" s="4" t="str">
        <f ca="1">IFERROR(VLOOKUP($L899,Calculation!$H$6:$S$1005,HLOOKUP(S$2,Calculation!$M$4:$S$5,2,FALSE)+5,FALSE),"")</f>
        <v/>
      </c>
      <c r="T899" s="29"/>
      <c r="U899" s="43" t="str">
        <f>IFERROR(VLOOKUP(T899,Calculation!$U$6:$V$11,2,FALSE),"")</f>
        <v/>
      </c>
    </row>
    <row r="900" spans="1:21" ht="14.25" customHeight="1" x14ac:dyDescent="0.3">
      <c r="A900" s="26" t="str">
        <f ca="1">IF(Calculation!T903&lt;=Calculation!$H$4,Calculation!T903,"")</f>
        <v/>
      </c>
      <c r="B900" s="4" t="str">
        <f ca="1">VLOOKUP(A900,Calculation!$E$6:$J$1004,4,FALSE)</f>
        <v/>
      </c>
      <c r="C900" s="4" t="str">
        <f ca="1">VLOOKUP(A900,Calculation!$E$6:$J$1004,5,FALSE)</f>
        <v/>
      </c>
      <c r="D900" s="4" t="str">
        <f ca="1">VLOOKUP(A900,Calculation!$E$6:$J$1004,6,FALSE)</f>
        <v/>
      </c>
      <c r="E900" s="42" t="str">
        <f t="shared" ca="1" si="6"/>
        <v/>
      </c>
      <c r="G900" s="29" t="str">
        <f ca="1">VLOOKUP(A900,Calculation!$F$6:$J$1004,3,FALSE)</f>
        <v/>
      </c>
      <c r="H900" s="4" t="str">
        <f ca="1">VLOOKUP(A900,Calculation!$F$6:$J$1004,4,FALSE)</f>
        <v/>
      </c>
      <c r="I900" s="4" t="str">
        <f ca="1">VLOOKUP(A900,Calculation!$F$6:$J$1004,5,FALSE)</f>
        <v/>
      </c>
      <c r="J900" s="43" t="str">
        <f t="shared" ca="1" si="7"/>
        <v/>
      </c>
      <c r="L900" s="29" t="str">
        <f ca="1">VLOOKUP(A900,Calculation!$G$6:$S$1004,2,FALSE)</f>
        <v/>
      </c>
      <c r="M900" s="4" t="str">
        <f ca="1">IFERROR(VLOOKUP($L900,Calculation!$H$6:$S$1005,HLOOKUP(M$2,Calculation!$M$4:$S$5,2,FALSE)+5,FALSE),"")</f>
        <v/>
      </c>
      <c r="N900" s="4" t="str">
        <f ca="1">IFERROR(VLOOKUP($L900,Calculation!$H$6:$S$1005,HLOOKUP(N$2,Calculation!$M$4:$S$5,2,FALSE)+5,FALSE),"")</f>
        <v/>
      </c>
      <c r="O900" s="4" t="str">
        <f ca="1">IFERROR(VLOOKUP($L900,Calculation!$H$6:$S$1005,HLOOKUP(O$2,Calculation!$M$4:$S$5,2,FALSE)+5,FALSE),"")</f>
        <v/>
      </c>
      <c r="P900" s="4" t="str">
        <f ca="1">IFERROR(VLOOKUP($L900,Calculation!$H$6:$S$1005,HLOOKUP(P$2,Calculation!$M$4:$S$5,2,FALSE)+5,FALSE),"")</f>
        <v/>
      </c>
      <c r="Q900" s="4" t="str">
        <f ca="1">IFERROR(VLOOKUP($L900,Calculation!$H$6:$S$1005,HLOOKUP(Q$2,Calculation!$M$4:$S$5,2,FALSE)+5,FALSE),"")</f>
        <v/>
      </c>
      <c r="R900" s="27" t="str">
        <f ca="1">IFERROR(VLOOKUP($L900,Calculation!$H$6:$S$1005,HLOOKUP(R$2,Calculation!$M$4:$S$5,2,FALSE)+5,FALSE),"")</f>
        <v/>
      </c>
      <c r="S900" s="4" t="str">
        <f ca="1">IFERROR(VLOOKUP($L900,Calculation!$H$6:$S$1005,HLOOKUP(S$2,Calculation!$M$4:$S$5,2,FALSE)+5,FALSE),"")</f>
        <v/>
      </c>
      <c r="T900" s="29"/>
      <c r="U900" s="43" t="str">
        <f>IFERROR(VLOOKUP(T900,Calculation!$U$6:$V$11,2,FALSE),"")</f>
        <v/>
      </c>
    </row>
    <row r="901" spans="1:21" ht="14.25" customHeight="1" x14ac:dyDescent="0.3">
      <c r="A901" s="26" t="str">
        <f ca="1">IF(Calculation!T904&lt;=Calculation!$H$4,Calculation!T904,"")</f>
        <v/>
      </c>
      <c r="B901" s="4" t="str">
        <f ca="1">VLOOKUP(A901,Calculation!$E$6:$J$1004,4,FALSE)</f>
        <v/>
      </c>
      <c r="C901" s="4" t="str">
        <f ca="1">VLOOKUP(A901,Calculation!$E$6:$J$1004,5,FALSE)</f>
        <v/>
      </c>
      <c r="D901" s="4" t="str">
        <f ca="1">VLOOKUP(A901,Calculation!$E$6:$J$1004,6,FALSE)</f>
        <v/>
      </c>
      <c r="E901" s="42" t="str">
        <f t="shared" ca="1" si="6"/>
        <v/>
      </c>
      <c r="G901" s="29" t="str">
        <f ca="1">VLOOKUP(A901,Calculation!$F$6:$J$1004,3,FALSE)</f>
        <v/>
      </c>
      <c r="H901" s="4" t="str">
        <f ca="1">VLOOKUP(A901,Calculation!$F$6:$J$1004,4,FALSE)</f>
        <v/>
      </c>
      <c r="I901" s="4" t="str">
        <f ca="1">VLOOKUP(A901,Calculation!$F$6:$J$1004,5,FALSE)</f>
        <v/>
      </c>
      <c r="J901" s="43" t="str">
        <f t="shared" ca="1" si="7"/>
        <v/>
      </c>
      <c r="L901" s="29" t="str">
        <f ca="1">VLOOKUP(A901,Calculation!$G$6:$S$1004,2,FALSE)</f>
        <v/>
      </c>
      <c r="M901" s="4" t="str">
        <f ca="1">IFERROR(VLOOKUP($L901,Calculation!$H$6:$S$1005,HLOOKUP(M$2,Calculation!$M$4:$S$5,2,FALSE)+5,FALSE),"")</f>
        <v/>
      </c>
      <c r="N901" s="4" t="str">
        <f ca="1">IFERROR(VLOOKUP($L901,Calculation!$H$6:$S$1005,HLOOKUP(N$2,Calculation!$M$4:$S$5,2,FALSE)+5,FALSE),"")</f>
        <v/>
      </c>
      <c r="O901" s="4" t="str">
        <f ca="1">IFERROR(VLOOKUP($L901,Calculation!$H$6:$S$1005,HLOOKUP(O$2,Calculation!$M$4:$S$5,2,FALSE)+5,FALSE),"")</f>
        <v/>
      </c>
      <c r="P901" s="4" t="str">
        <f ca="1">IFERROR(VLOOKUP($L901,Calculation!$H$6:$S$1005,HLOOKUP(P$2,Calculation!$M$4:$S$5,2,FALSE)+5,FALSE),"")</f>
        <v/>
      </c>
      <c r="Q901" s="4" t="str">
        <f ca="1">IFERROR(VLOOKUP($L901,Calculation!$H$6:$S$1005,HLOOKUP(Q$2,Calculation!$M$4:$S$5,2,FALSE)+5,FALSE),"")</f>
        <v/>
      </c>
      <c r="R901" s="27" t="str">
        <f ca="1">IFERROR(VLOOKUP($L901,Calculation!$H$6:$S$1005,HLOOKUP(R$2,Calculation!$M$4:$S$5,2,FALSE)+5,FALSE),"")</f>
        <v/>
      </c>
      <c r="S901" s="4" t="str">
        <f ca="1">IFERROR(VLOOKUP($L901,Calculation!$H$6:$S$1005,HLOOKUP(S$2,Calculation!$M$4:$S$5,2,FALSE)+5,FALSE),"")</f>
        <v/>
      </c>
      <c r="T901" s="29"/>
      <c r="U901" s="43" t="str">
        <f>IFERROR(VLOOKUP(T901,Calculation!$U$6:$V$11,2,FALSE),"")</f>
        <v/>
      </c>
    </row>
    <row r="902" spans="1:21" ht="14.25" customHeight="1" x14ac:dyDescent="0.3">
      <c r="A902" s="26" t="str">
        <f ca="1">IF(Calculation!T905&lt;=Calculation!$H$4,Calculation!T905,"")</f>
        <v/>
      </c>
      <c r="B902" s="4" t="str">
        <f ca="1">VLOOKUP(A902,Calculation!$E$6:$J$1004,4,FALSE)</f>
        <v/>
      </c>
      <c r="C902" s="4" t="str">
        <f ca="1">VLOOKUP(A902,Calculation!$E$6:$J$1004,5,FALSE)</f>
        <v/>
      </c>
      <c r="D902" s="4" t="str">
        <f ca="1">VLOOKUP(A902,Calculation!$E$6:$J$1004,6,FALSE)</f>
        <v/>
      </c>
      <c r="E902" s="42" t="str">
        <f t="shared" ca="1" si="6"/>
        <v/>
      </c>
      <c r="G902" s="29" t="str">
        <f ca="1">VLOOKUP(A902,Calculation!$F$6:$J$1004,3,FALSE)</f>
        <v/>
      </c>
      <c r="H902" s="4" t="str">
        <f ca="1">VLOOKUP(A902,Calculation!$F$6:$J$1004,4,FALSE)</f>
        <v/>
      </c>
      <c r="I902" s="4" t="str">
        <f ca="1">VLOOKUP(A902,Calculation!$F$6:$J$1004,5,FALSE)</f>
        <v/>
      </c>
      <c r="J902" s="43" t="str">
        <f t="shared" ca="1" si="7"/>
        <v/>
      </c>
      <c r="L902" s="29" t="str">
        <f ca="1">VLOOKUP(A902,Calculation!$G$6:$S$1004,2,FALSE)</f>
        <v/>
      </c>
      <c r="M902" s="4" t="str">
        <f ca="1">IFERROR(VLOOKUP($L902,Calculation!$H$6:$S$1005,HLOOKUP(M$2,Calculation!$M$4:$S$5,2,FALSE)+5,FALSE),"")</f>
        <v/>
      </c>
      <c r="N902" s="4" t="str">
        <f ca="1">IFERROR(VLOOKUP($L902,Calculation!$H$6:$S$1005,HLOOKUP(N$2,Calculation!$M$4:$S$5,2,FALSE)+5,FALSE),"")</f>
        <v/>
      </c>
      <c r="O902" s="4" t="str">
        <f ca="1">IFERROR(VLOOKUP($L902,Calculation!$H$6:$S$1005,HLOOKUP(O$2,Calculation!$M$4:$S$5,2,FALSE)+5,FALSE),"")</f>
        <v/>
      </c>
      <c r="P902" s="4" t="str">
        <f ca="1">IFERROR(VLOOKUP($L902,Calculation!$H$6:$S$1005,HLOOKUP(P$2,Calculation!$M$4:$S$5,2,FALSE)+5,FALSE),"")</f>
        <v/>
      </c>
      <c r="Q902" s="4" t="str">
        <f ca="1">IFERROR(VLOOKUP($L902,Calculation!$H$6:$S$1005,HLOOKUP(Q$2,Calculation!$M$4:$S$5,2,FALSE)+5,FALSE),"")</f>
        <v/>
      </c>
      <c r="R902" s="27" t="str">
        <f ca="1">IFERROR(VLOOKUP($L902,Calculation!$H$6:$S$1005,HLOOKUP(R$2,Calculation!$M$4:$S$5,2,FALSE)+5,FALSE),"")</f>
        <v/>
      </c>
      <c r="S902" s="4" t="str">
        <f ca="1">IFERROR(VLOOKUP($L902,Calculation!$H$6:$S$1005,HLOOKUP(S$2,Calculation!$M$4:$S$5,2,FALSE)+5,FALSE),"")</f>
        <v/>
      </c>
      <c r="T902" s="29"/>
      <c r="U902" s="43" t="str">
        <f>IFERROR(VLOOKUP(T902,Calculation!$U$6:$V$11,2,FALSE),"")</f>
        <v/>
      </c>
    </row>
    <row r="903" spans="1:21" ht="14.25" customHeight="1" x14ac:dyDescent="0.3">
      <c r="A903" s="26" t="str">
        <f ca="1">IF(Calculation!T906&lt;=Calculation!$H$4,Calculation!T906,"")</f>
        <v/>
      </c>
      <c r="B903" s="4" t="str">
        <f ca="1">VLOOKUP(A903,Calculation!$E$6:$J$1004,4,FALSE)</f>
        <v/>
      </c>
      <c r="C903" s="4" t="str">
        <f ca="1">VLOOKUP(A903,Calculation!$E$6:$J$1004,5,FALSE)</f>
        <v/>
      </c>
      <c r="D903" s="4" t="str">
        <f ca="1">VLOOKUP(A903,Calculation!$E$6:$J$1004,6,FALSE)</f>
        <v/>
      </c>
      <c r="E903" s="42" t="str">
        <f t="shared" ca="1" si="6"/>
        <v/>
      </c>
      <c r="G903" s="29" t="str">
        <f ca="1">VLOOKUP(A903,Calculation!$F$6:$J$1004,3,FALSE)</f>
        <v/>
      </c>
      <c r="H903" s="4" t="str">
        <f ca="1">VLOOKUP(A903,Calculation!$F$6:$J$1004,4,FALSE)</f>
        <v/>
      </c>
      <c r="I903" s="4" t="str">
        <f ca="1">VLOOKUP(A903,Calculation!$F$6:$J$1004,5,FALSE)</f>
        <v/>
      </c>
      <c r="J903" s="43" t="str">
        <f t="shared" ca="1" si="7"/>
        <v/>
      </c>
      <c r="L903" s="29" t="str">
        <f ca="1">VLOOKUP(A903,Calculation!$G$6:$S$1004,2,FALSE)</f>
        <v/>
      </c>
      <c r="M903" s="4" t="str">
        <f ca="1">IFERROR(VLOOKUP($L903,Calculation!$H$6:$S$1005,HLOOKUP(M$2,Calculation!$M$4:$S$5,2,FALSE)+5,FALSE),"")</f>
        <v/>
      </c>
      <c r="N903" s="4" t="str">
        <f ca="1">IFERROR(VLOOKUP($L903,Calculation!$H$6:$S$1005,HLOOKUP(N$2,Calculation!$M$4:$S$5,2,FALSE)+5,FALSE),"")</f>
        <v/>
      </c>
      <c r="O903" s="4" t="str">
        <f ca="1">IFERROR(VLOOKUP($L903,Calculation!$H$6:$S$1005,HLOOKUP(O$2,Calculation!$M$4:$S$5,2,FALSE)+5,FALSE),"")</f>
        <v/>
      </c>
      <c r="P903" s="4" t="str">
        <f ca="1">IFERROR(VLOOKUP($L903,Calculation!$H$6:$S$1005,HLOOKUP(P$2,Calculation!$M$4:$S$5,2,FALSE)+5,FALSE),"")</f>
        <v/>
      </c>
      <c r="Q903" s="4" t="str">
        <f ca="1">IFERROR(VLOOKUP($L903,Calculation!$H$6:$S$1005,HLOOKUP(Q$2,Calculation!$M$4:$S$5,2,FALSE)+5,FALSE),"")</f>
        <v/>
      </c>
      <c r="R903" s="27" t="str">
        <f ca="1">IFERROR(VLOOKUP($L903,Calculation!$H$6:$S$1005,HLOOKUP(R$2,Calculation!$M$4:$S$5,2,FALSE)+5,FALSE),"")</f>
        <v/>
      </c>
      <c r="S903" s="4" t="str">
        <f ca="1">IFERROR(VLOOKUP($L903,Calculation!$H$6:$S$1005,HLOOKUP(S$2,Calculation!$M$4:$S$5,2,FALSE)+5,FALSE),"")</f>
        <v/>
      </c>
      <c r="T903" s="29"/>
      <c r="U903" s="43" t="str">
        <f>IFERROR(VLOOKUP(T903,Calculation!$U$6:$V$11,2,FALSE),"")</f>
        <v/>
      </c>
    </row>
    <row r="904" spans="1:21" ht="14.25" customHeight="1" x14ac:dyDescent="0.3">
      <c r="A904" s="26" t="str">
        <f ca="1">IF(Calculation!T907&lt;=Calculation!$H$4,Calculation!T907,"")</f>
        <v/>
      </c>
      <c r="B904" s="4" t="str">
        <f ca="1">VLOOKUP(A904,Calculation!$E$6:$J$1004,4,FALSE)</f>
        <v/>
      </c>
      <c r="C904" s="4" t="str">
        <f ca="1">VLOOKUP(A904,Calculation!$E$6:$J$1004,5,FALSE)</f>
        <v/>
      </c>
      <c r="D904" s="4" t="str">
        <f ca="1">VLOOKUP(A904,Calculation!$E$6:$J$1004,6,FALSE)</f>
        <v/>
      </c>
      <c r="E904" s="42" t="str">
        <f t="shared" ca="1" si="6"/>
        <v/>
      </c>
      <c r="G904" s="29" t="str">
        <f ca="1">VLOOKUP(A904,Calculation!$F$6:$J$1004,3,FALSE)</f>
        <v/>
      </c>
      <c r="H904" s="4" t="str">
        <f ca="1">VLOOKUP(A904,Calculation!$F$6:$J$1004,4,FALSE)</f>
        <v/>
      </c>
      <c r="I904" s="4" t="str">
        <f ca="1">VLOOKUP(A904,Calculation!$F$6:$J$1004,5,FALSE)</f>
        <v/>
      </c>
      <c r="J904" s="43" t="str">
        <f t="shared" ca="1" si="7"/>
        <v/>
      </c>
      <c r="L904" s="29" t="str">
        <f ca="1">VLOOKUP(A904,Calculation!$G$6:$S$1004,2,FALSE)</f>
        <v/>
      </c>
      <c r="M904" s="4" t="str">
        <f ca="1">IFERROR(VLOOKUP($L904,Calculation!$H$6:$S$1005,HLOOKUP(M$2,Calculation!$M$4:$S$5,2,FALSE)+5,FALSE),"")</f>
        <v/>
      </c>
      <c r="N904" s="4" t="str">
        <f ca="1">IFERROR(VLOOKUP($L904,Calculation!$H$6:$S$1005,HLOOKUP(N$2,Calculation!$M$4:$S$5,2,FALSE)+5,FALSE),"")</f>
        <v/>
      </c>
      <c r="O904" s="4" t="str">
        <f ca="1">IFERROR(VLOOKUP($L904,Calculation!$H$6:$S$1005,HLOOKUP(O$2,Calculation!$M$4:$S$5,2,FALSE)+5,FALSE),"")</f>
        <v/>
      </c>
      <c r="P904" s="4" t="str">
        <f ca="1">IFERROR(VLOOKUP($L904,Calculation!$H$6:$S$1005,HLOOKUP(P$2,Calculation!$M$4:$S$5,2,FALSE)+5,FALSE),"")</f>
        <v/>
      </c>
      <c r="Q904" s="4" t="str">
        <f ca="1">IFERROR(VLOOKUP($L904,Calculation!$H$6:$S$1005,HLOOKUP(Q$2,Calculation!$M$4:$S$5,2,FALSE)+5,FALSE),"")</f>
        <v/>
      </c>
      <c r="R904" s="27" t="str">
        <f ca="1">IFERROR(VLOOKUP($L904,Calculation!$H$6:$S$1005,HLOOKUP(R$2,Calculation!$M$4:$S$5,2,FALSE)+5,FALSE),"")</f>
        <v/>
      </c>
      <c r="S904" s="4" t="str">
        <f ca="1">IFERROR(VLOOKUP($L904,Calculation!$H$6:$S$1005,HLOOKUP(S$2,Calculation!$M$4:$S$5,2,FALSE)+5,FALSE),"")</f>
        <v/>
      </c>
      <c r="T904" s="29"/>
      <c r="U904" s="43" t="str">
        <f>IFERROR(VLOOKUP(T904,Calculation!$U$6:$V$11,2,FALSE),"")</f>
        <v/>
      </c>
    </row>
    <row r="905" spans="1:21" ht="14.25" customHeight="1" x14ac:dyDescent="0.3">
      <c r="A905" s="26" t="str">
        <f ca="1">IF(Calculation!T908&lt;=Calculation!$H$4,Calculation!T908,"")</f>
        <v/>
      </c>
      <c r="B905" s="4" t="str">
        <f ca="1">VLOOKUP(A905,Calculation!$E$6:$J$1004,4,FALSE)</f>
        <v/>
      </c>
      <c r="C905" s="4" t="str">
        <f ca="1">VLOOKUP(A905,Calculation!$E$6:$J$1004,5,FALSE)</f>
        <v/>
      </c>
      <c r="D905" s="4" t="str">
        <f ca="1">VLOOKUP(A905,Calculation!$E$6:$J$1004,6,FALSE)</f>
        <v/>
      </c>
      <c r="E905" s="42" t="str">
        <f t="shared" ca="1" si="6"/>
        <v/>
      </c>
      <c r="G905" s="29" t="str">
        <f ca="1">VLOOKUP(A905,Calculation!$F$6:$J$1004,3,FALSE)</f>
        <v/>
      </c>
      <c r="H905" s="4" t="str">
        <f ca="1">VLOOKUP(A905,Calculation!$F$6:$J$1004,4,FALSE)</f>
        <v/>
      </c>
      <c r="I905" s="4" t="str">
        <f ca="1">VLOOKUP(A905,Calculation!$F$6:$J$1004,5,FALSE)</f>
        <v/>
      </c>
      <c r="J905" s="43" t="str">
        <f t="shared" ca="1" si="7"/>
        <v/>
      </c>
      <c r="L905" s="29" t="str">
        <f ca="1">VLOOKUP(A905,Calculation!$G$6:$S$1004,2,FALSE)</f>
        <v/>
      </c>
      <c r="M905" s="4" t="str">
        <f ca="1">IFERROR(VLOOKUP($L905,Calculation!$H$6:$S$1005,HLOOKUP(M$2,Calculation!$M$4:$S$5,2,FALSE)+5,FALSE),"")</f>
        <v/>
      </c>
      <c r="N905" s="4" t="str">
        <f ca="1">IFERROR(VLOOKUP($L905,Calculation!$H$6:$S$1005,HLOOKUP(N$2,Calculation!$M$4:$S$5,2,FALSE)+5,FALSE),"")</f>
        <v/>
      </c>
      <c r="O905" s="4" t="str">
        <f ca="1">IFERROR(VLOOKUP($L905,Calculation!$H$6:$S$1005,HLOOKUP(O$2,Calculation!$M$4:$S$5,2,FALSE)+5,FALSE),"")</f>
        <v/>
      </c>
      <c r="P905" s="4" t="str">
        <f ca="1">IFERROR(VLOOKUP($L905,Calculation!$H$6:$S$1005,HLOOKUP(P$2,Calculation!$M$4:$S$5,2,FALSE)+5,FALSE),"")</f>
        <v/>
      </c>
      <c r="Q905" s="4" t="str">
        <f ca="1">IFERROR(VLOOKUP($L905,Calculation!$H$6:$S$1005,HLOOKUP(Q$2,Calculation!$M$4:$S$5,2,FALSE)+5,FALSE),"")</f>
        <v/>
      </c>
      <c r="R905" s="27" t="str">
        <f ca="1">IFERROR(VLOOKUP($L905,Calculation!$H$6:$S$1005,HLOOKUP(R$2,Calculation!$M$4:$S$5,2,FALSE)+5,FALSE),"")</f>
        <v/>
      </c>
      <c r="S905" s="4" t="str">
        <f ca="1">IFERROR(VLOOKUP($L905,Calculation!$H$6:$S$1005,HLOOKUP(S$2,Calculation!$M$4:$S$5,2,FALSE)+5,FALSE),"")</f>
        <v/>
      </c>
      <c r="T905" s="29"/>
      <c r="U905" s="43" t="str">
        <f>IFERROR(VLOOKUP(T905,Calculation!$U$6:$V$11,2,FALSE),"")</f>
        <v/>
      </c>
    </row>
    <row r="906" spans="1:21" ht="14.25" customHeight="1" x14ac:dyDescent="0.3">
      <c r="A906" s="26" t="str">
        <f ca="1">IF(Calculation!T909&lt;=Calculation!$H$4,Calculation!T909,"")</f>
        <v/>
      </c>
      <c r="B906" s="4" t="str">
        <f ca="1">VLOOKUP(A906,Calculation!$E$6:$J$1004,4,FALSE)</f>
        <v/>
      </c>
      <c r="C906" s="4" t="str">
        <f ca="1">VLOOKUP(A906,Calculation!$E$6:$J$1004,5,FALSE)</f>
        <v/>
      </c>
      <c r="D906" s="4" t="str">
        <f ca="1">VLOOKUP(A906,Calculation!$E$6:$J$1004,6,FALSE)</f>
        <v/>
      </c>
      <c r="E906" s="42" t="str">
        <f t="shared" ca="1" si="6"/>
        <v/>
      </c>
      <c r="G906" s="29" t="str">
        <f ca="1">VLOOKUP(A906,Calculation!$F$6:$J$1004,3,FALSE)</f>
        <v/>
      </c>
      <c r="H906" s="4" t="str">
        <f ca="1">VLOOKUP(A906,Calculation!$F$6:$J$1004,4,FALSE)</f>
        <v/>
      </c>
      <c r="I906" s="4" t="str">
        <f ca="1">VLOOKUP(A906,Calculation!$F$6:$J$1004,5,FALSE)</f>
        <v/>
      </c>
      <c r="J906" s="43" t="str">
        <f t="shared" ca="1" si="7"/>
        <v/>
      </c>
      <c r="L906" s="29" t="str">
        <f ca="1">VLOOKUP(A906,Calculation!$G$6:$S$1004,2,FALSE)</f>
        <v/>
      </c>
      <c r="M906" s="4" t="str">
        <f ca="1">IFERROR(VLOOKUP($L906,Calculation!$H$6:$S$1005,HLOOKUP(M$2,Calculation!$M$4:$S$5,2,FALSE)+5,FALSE),"")</f>
        <v/>
      </c>
      <c r="N906" s="4" t="str">
        <f ca="1">IFERROR(VLOOKUP($L906,Calculation!$H$6:$S$1005,HLOOKUP(N$2,Calculation!$M$4:$S$5,2,FALSE)+5,FALSE),"")</f>
        <v/>
      </c>
      <c r="O906" s="4" t="str">
        <f ca="1">IFERROR(VLOOKUP($L906,Calculation!$H$6:$S$1005,HLOOKUP(O$2,Calculation!$M$4:$S$5,2,FALSE)+5,FALSE),"")</f>
        <v/>
      </c>
      <c r="P906" s="4" t="str">
        <f ca="1">IFERROR(VLOOKUP($L906,Calculation!$H$6:$S$1005,HLOOKUP(P$2,Calculation!$M$4:$S$5,2,FALSE)+5,FALSE),"")</f>
        <v/>
      </c>
      <c r="Q906" s="4" t="str">
        <f ca="1">IFERROR(VLOOKUP($L906,Calculation!$H$6:$S$1005,HLOOKUP(Q$2,Calculation!$M$4:$S$5,2,FALSE)+5,FALSE),"")</f>
        <v/>
      </c>
      <c r="R906" s="27" t="str">
        <f ca="1">IFERROR(VLOOKUP($L906,Calculation!$H$6:$S$1005,HLOOKUP(R$2,Calculation!$M$4:$S$5,2,FALSE)+5,FALSE),"")</f>
        <v/>
      </c>
      <c r="S906" s="4" t="str">
        <f ca="1">IFERROR(VLOOKUP($L906,Calculation!$H$6:$S$1005,HLOOKUP(S$2,Calculation!$M$4:$S$5,2,FALSE)+5,FALSE),"")</f>
        <v/>
      </c>
      <c r="T906" s="29"/>
      <c r="U906" s="43" t="str">
        <f>IFERROR(VLOOKUP(T906,Calculation!$U$6:$V$11,2,FALSE),"")</f>
        <v/>
      </c>
    </row>
    <row r="907" spans="1:21" ht="14.25" customHeight="1" x14ac:dyDescent="0.3">
      <c r="A907" s="26" t="str">
        <f ca="1">IF(Calculation!T910&lt;=Calculation!$H$4,Calculation!T910,"")</f>
        <v/>
      </c>
      <c r="B907" s="4" t="str">
        <f ca="1">VLOOKUP(A907,Calculation!$E$6:$J$1004,4,FALSE)</f>
        <v/>
      </c>
      <c r="C907" s="4" t="str">
        <f ca="1">VLOOKUP(A907,Calculation!$E$6:$J$1004,5,FALSE)</f>
        <v/>
      </c>
      <c r="D907" s="4" t="str">
        <f ca="1">VLOOKUP(A907,Calculation!$E$6:$J$1004,6,FALSE)</f>
        <v/>
      </c>
      <c r="E907" s="42" t="str">
        <f t="shared" ca="1" si="6"/>
        <v/>
      </c>
      <c r="G907" s="29" t="str">
        <f ca="1">VLOOKUP(A907,Calculation!$F$6:$J$1004,3,FALSE)</f>
        <v/>
      </c>
      <c r="H907" s="4" t="str">
        <f ca="1">VLOOKUP(A907,Calculation!$F$6:$J$1004,4,FALSE)</f>
        <v/>
      </c>
      <c r="I907" s="4" t="str">
        <f ca="1">VLOOKUP(A907,Calculation!$F$6:$J$1004,5,FALSE)</f>
        <v/>
      </c>
      <c r="J907" s="43" t="str">
        <f t="shared" ca="1" si="7"/>
        <v/>
      </c>
      <c r="L907" s="29" t="str">
        <f ca="1">VLOOKUP(A907,Calculation!$G$6:$S$1004,2,FALSE)</f>
        <v/>
      </c>
      <c r="M907" s="4" t="str">
        <f ca="1">IFERROR(VLOOKUP($L907,Calculation!$H$6:$S$1005,HLOOKUP(M$2,Calculation!$M$4:$S$5,2,FALSE)+5,FALSE),"")</f>
        <v/>
      </c>
      <c r="N907" s="4" t="str">
        <f ca="1">IFERROR(VLOOKUP($L907,Calculation!$H$6:$S$1005,HLOOKUP(N$2,Calculation!$M$4:$S$5,2,FALSE)+5,FALSE),"")</f>
        <v/>
      </c>
      <c r="O907" s="4" t="str">
        <f ca="1">IFERROR(VLOOKUP($L907,Calculation!$H$6:$S$1005,HLOOKUP(O$2,Calculation!$M$4:$S$5,2,FALSE)+5,FALSE),"")</f>
        <v/>
      </c>
      <c r="P907" s="4" t="str">
        <f ca="1">IFERROR(VLOOKUP($L907,Calculation!$H$6:$S$1005,HLOOKUP(P$2,Calculation!$M$4:$S$5,2,FALSE)+5,FALSE),"")</f>
        <v/>
      </c>
      <c r="Q907" s="4" t="str">
        <f ca="1">IFERROR(VLOOKUP($L907,Calculation!$H$6:$S$1005,HLOOKUP(Q$2,Calculation!$M$4:$S$5,2,FALSE)+5,FALSE),"")</f>
        <v/>
      </c>
      <c r="R907" s="27" t="str">
        <f ca="1">IFERROR(VLOOKUP($L907,Calculation!$H$6:$S$1005,HLOOKUP(R$2,Calculation!$M$4:$S$5,2,FALSE)+5,FALSE),"")</f>
        <v/>
      </c>
      <c r="S907" s="4" t="str">
        <f ca="1">IFERROR(VLOOKUP($L907,Calculation!$H$6:$S$1005,HLOOKUP(S$2,Calculation!$M$4:$S$5,2,FALSE)+5,FALSE),"")</f>
        <v/>
      </c>
      <c r="T907" s="29"/>
      <c r="U907" s="43" t="str">
        <f>IFERROR(VLOOKUP(T907,Calculation!$U$6:$V$11,2,FALSE),"")</f>
        <v/>
      </c>
    </row>
    <row r="908" spans="1:21" ht="14.25" customHeight="1" x14ac:dyDescent="0.3">
      <c r="A908" s="26" t="str">
        <f ca="1">IF(Calculation!T911&lt;=Calculation!$H$4,Calculation!T911,"")</f>
        <v/>
      </c>
      <c r="B908" s="4" t="str">
        <f ca="1">VLOOKUP(A908,Calculation!$E$6:$J$1004,4,FALSE)</f>
        <v/>
      </c>
      <c r="C908" s="4" t="str">
        <f ca="1">VLOOKUP(A908,Calculation!$E$6:$J$1004,5,FALSE)</f>
        <v/>
      </c>
      <c r="D908" s="4" t="str">
        <f ca="1">VLOOKUP(A908,Calculation!$E$6:$J$1004,6,FALSE)</f>
        <v/>
      </c>
      <c r="E908" s="42" t="str">
        <f t="shared" ca="1" si="6"/>
        <v/>
      </c>
      <c r="G908" s="29" t="str">
        <f ca="1">VLOOKUP(A908,Calculation!$F$6:$J$1004,3,FALSE)</f>
        <v/>
      </c>
      <c r="H908" s="4" t="str">
        <f ca="1">VLOOKUP(A908,Calculation!$F$6:$J$1004,4,FALSE)</f>
        <v/>
      </c>
      <c r="I908" s="4" t="str">
        <f ca="1">VLOOKUP(A908,Calculation!$F$6:$J$1004,5,FALSE)</f>
        <v/>
      </c>
      <c r="J908" s="43" t="str">
        <f t="shared" ca="1" si="7"/>
        <v/>
      </c>
      <c r="L908" s="29" t="str">
        <f ca="1">VLOOKUP(A908,Calculation!$G$6:$S$1004,2,FALSE)</f>
        <v/>
      </c>
      <c r="M908" s="4" t="str">
        <f ca="1">IFERROR(VLOOKUP($L908,Calculation!$H$6:$S$1005,HLOOKUP(M$2,Calculation!$M$4:$S$5,2,FALSE)+5,FALSE),"")</f>
        <v/>
      </c>
      <c r="N908" s="4" t="str">
        <f ca="1">IFERROR(VLOOKUP($L908,Calculation!$H$6:$S$1005,HLOOKUP(N$2,Calculation!$M$4:$S$5,2,FALSE)+5,FALSE),"")</f>
        <v/>
      </c>
      <c r="O908" s="4" t="str">
        <f ca="1">IFERROR(VLOOKUP($L908,Calculation!$H$6:$S$1005,HLOOKUP(O$2,Calculation!$M$4:$S$5,2,FALSE)+5,FALSE),"")</f>
        <v/>
      </c>
      <c r="P908" s="4" t="str">
        <f ca="1">IFERROR(VLOOKUP($L908,Calculation!$H$6:$S$1005,HLOOKUP(P$2,Calculation!$M$4:$S$5,2,FALSE)+5,FALSE),"")</f>
        <v/>
      </c>
      <c r="Q908" s="4" t="str">
        <f ca="1">IFERROR(VLOOKUP($L908,Calculation!$H$6:$S$1005,HLOOKUP(Q$2,Calculation!$M$4:$S$5,2,FALSE)+5,FALSE),"")</f>
        <v/>
      </c>
      <c r="R908" s="27" t="str">
        <f ca="1">IFERROR(VLOOKUP($L908,Calculation!$H$6:$S$1005,HLOOKUP(R$2,Calculation!$M$4:$S$5,2,FALSE)+5,FALSE),"")</f>
        <v/>
      </c>
      <c r="S908" s="4" t="str">
        <f ca="1">IFERROR(VLOOKUP($L908,Calculation!$H$6:$S$1005,HLOOKUP(S$2,Calculation!$M$4:$S$5,2,FALSE)+5,FALSE),"")</f>
        <v/>
      </c>
      <c r="T908" s="29"/>
      <c r="U908" s="43" t="str">
        <f>IFERROR(VLOOKUP(T908,Calculation!$U$6:$V$11,2,FALSE),"")</f>
        <v/>
      </c>
    </row>
    <row r="909" spans="1:21" ht="14.25" customHeight="1" x14ac:dyDescent="0.3">
      <c r="A909" s="26" t="str">
        <f ca="1">IF(Calculation!T912&lt;=Calculation!$H$4,Calculation!T912,"")</f>
        <v/>
      </c>
      <c r="B909" s="4" t="str">
        <f ca="1">VLOOKUP(A909,Calculation!$E$6:$J$1004,4,FALSE)</f>
        <v/>
      </c>
      <c r="C909" s="4" t="str">
        <f ca="1">VLOOKUP(A909,Calculation!$E$6:$J$1004,5,FALSE)</f>
        <v/>
      </c>
      <c r="D909" s="4" t="str">
        <f ca="1">VLOOKUP(A909,Calculation!$E$6:$J$1004,6,FALSE)</f>
        <v/>
      </c>
      <c r="E909" s="42" t="str">
        <f t="shared" ca="1" si="6"/>
        <v/>
      </c>
      <c r="G909" s="29" t="str">
        <f ca="1">VLOOKUP(A909,Calculation!$F$6:$J$1004,3,FALSE)</f>
        <v/>
      </c>
      <c r="H909" s="4" t="str">
        <f ca="1">VLOOKUP(A909,Calculation!$F$6:$J$1004,4,FALSE)</f>
        <v/>
      </c>
      <c r="I909" s="4" t="str">
        <f ca="1">VLOOKUP(A909,Calculation!$F$6:$J$1004,5,FALSE)</f>
        <v/>
      </c>
      <c r="J909" s="43" t="str">
        <f t="shared" ca="1" si="7"/>
        <v/>
      </c>
      <c r="L909" s="29" t="str">
        <f ca="1">VLOOKUP(A909,Calculation!$G$6:$S$1004,2,FALSE)</f>
        <v/>
      </c>
      <c r="M909" s="4" t="str">
        <f ca="1">IFERROR(VLOOKUP($L909,Calculation!$H$6:$S$1005,HLOOKUP(M$2,Calculation!$M$4:$S$5,2,FALSE)+5,FALSE),"")</f>
        <v/>
      </c>
      <c r="N909" s="4" t="str">
        <f ca="1">IFERROR(VLOOKUP($L909,Calculation!$H$6:$S$1005,HLOOKUP(N$2,Calculation!$M$4:$S$5,2,FALSE)+5,FALSE),"")</f>
        <v/>
      </c>
      <c r="O909" s="4" t="str">
        <f ca="1">IFERROR(VLOOKUP($L909,Calculation!$H$6:$S$1005,HLOOKUP(O$2,Calculation!$M$4:$S$5,2,FALSE)+5,FALSE),"")</f>
        <v/>
      </c>
      <c r="P909" s="4" t="str">
        <f ca="1">IFERROR(VLOOKUP($L909,Calculation!$H$6:$S$1005,HLOOKUP(P$2,Calculation!$M$4:$S$5,2,FALSE)+5,FALSE),"")</f>
        <v/>
      </c>
      <c r="Q909" s="4" t="str">
        <f ca="1">IFERROR(VLOOKUP($L909,Calculation!$H$6:$S$1005,HLOOKUP(Q$2,Calculation!$M$4:$S$5,2,FALSE)+5,FALSE),"")</f>
        <v/>
      </c>
      <c r="R909" s="27" t="str">
        <f ca="1">IFERROR(VLOOKUP($L909,Calculation!$H$6:$S$1005,HLOOKUP(R$2,Calculation!$M$4:$S$5,2,FALSE)+5,FALSE),"")</f>
        <v/>
      </c>
      <c r="S909" s="4" t="str">
        <f ca="1">IFERROR(VLOOKUP($L909,Calculation!$H$6:$S$1005,HLOOKUP(S$2,Calculation!$M$4:$S$5,2,FALSE)+5,FALSE),"")</f>
        <v/>
      </c>
      <c r="T909" s="29"/>
      <c r="U909" s="43" t="str">
        <f>IFERROR(VLOOKUP(T909,Calculation!$U$6:$V$11,2,FALSE),"")</f>
        <v/>
      </c>
    </row>
    <row r="910" spans="1:21" ht="14.25" customHeight="1" x14ac:dyDescent="0.3">
      <c r="A910" s="26" t="str">
        <f ca="1">IF(Calculation!T913&lt;=Calculation!$H$4,Calculation!T913,"")</f>
        <v/>
      </c>
      <c r="B910" s="4" t="str">
        <f ca="1">VLOOKUP(A910,Calculation!$E$6:$J$1004,4,FALSE)</f>
        <v/>
      </c>
      <c r="C910" s="4" t="str">
        <f ca="1">VLOOKUP(A910,Calculation!$E$6:$J$1004,5,FALSE)</f>
        <v/>
      </c>
      <c r="D910" s="4" t="str">
        <f ca="1">VLOOKUP(A910,Calculation!$E$6:$J$1004,6,FALSE)</f>
        <v/>
      </c>
      <c r="E910" s="42" t="str">
        <f t="shared" ca="1" si="6"/>
        <v/>
      </c>
      <c r="G910" s="29" t="str">
        <f ca="1">VLOOKUP(A910,Calculation!$F$6:$J$1004,3,FALSE)</f>
        <v/>
      </c>
      <c r="H910" s="4" t="str">
        <f ca="1">VLOOKUP(A910,Calculation!$F$6:$J$1004,4,FALSE)</f>
        <v/>
      </c>
      <c r="I910" s="4" t="str">
        <f ca="1">VLOOKUP(A910,Calculation!$F$6:$J$1004,5,FALSE)</f>
        <v/>
      </c>
      <c r="J910" s="43" t="str">
        <f t="shared" ca="1" si="7"/>
        <v/>
      </c>
      <c r="L910" s="29" t="str">
        <f ca="1">VLOOKUP(A910,Calculation!$G$6:$S$1004,2,FALSE)</f>
        <v/>
      </c>
      <c r="M910" s="4" t="str">
        <f ca="1">IFERROR(VLOOKUP($L910,Calculation!$H$6:$S$1005,HLOOKUP(M$2,Calculation!$M$4:$S$5,2,FALSE)+5,FALSE),"")</f>
        <v/>
      </c>
      <c r="N910" s="4" t="str">
        <f ca="1">IFERROR(VLOOKUP($L910,Calculation!$H$6:$S$1005,HLOOKUP(N$2,Calculation!$M$4:$S$5,2,FALSE)+5,FALSE),"")</f>
        <v/>
      </c>
      <c r="O910" s="4" t="str">
        <f ca="1">IFERROR(VLOOKUP($L910,Calculation!$H$6:$S$1005,HLOOKUP(O$2,Calculation!$M$4:$S$5,2,FALSE)+5,FALSE),"")</f>
        <v/>
      </c>
      <c r="P910" s="4" t="str">
        <f ca="1">IFERROR(VLOOKUP($L910,Calculation!$H$6:$S$1005,HLOOKUP(P$2,Calculation!$M$4:$S$5,2,FALSE)+5,FALSE),"")</f>
        <v/>
      </c>
      <c r="Q910" s="4" t="str">
        <f ca="1">IFERROR(VLOOKUP($L910,Calculation!$H$6:$S$1005,HLOOKUP(Q$2,Calculation!$M$4:$S$5,2,FALSE)+5,FALSE),"")</f>
        <v/>
      </c>
      <c r="R910" s="27" t="str">
        <f ca="1">IFERROR(VLOOKUP($L910,Calculation!$H$6:$S$1005,HLOOKUP(R$2,Calculation!$M$4:$S$5,2,FALSE)+5,FALSE),"")</f>
        <v/>
      </c>
      <c r="S910" s="4" t="str">
        <f ca="1">IFERROR(VLOOKUP($L910,Calculation!$H$6:$S$1005,HLOOKUP(S$2,Calculation!$M$4:$S$5,2,FALSE)+5,FALSE),"")</f>
        <v/>
      </c>
      <c r="T910" s="29"/>
      <c r="U910" s="43" t="str">
        <f>IFERROR(VLOOKUP(T910,Calculation!$U$6:$V$11,2,FALSE),"")</f>
        <v/>
      </c>
    </row>
    <row r="911" spans="1:21" ht="14.25" customHeight="1" x14ac:dyDescent="0.3">
      <c r="A911" s="26" t="str">
        <f ca="1">IF(Calculation!T914&lt;=Calculation!$H$4,Calculation!T914,"")</f>
        <v/>
      </c>
      <c r="B911" s="4" t="str">
        <f ca="1">VLOOKUP(A911,Calculation!$E$6:$J$1004,4,FALSE)</f>
        <v/>
      </c>
      <c r="C911" s="4" t="str">
        <f ca="1">VLOOKUP(A911,Calculation!$E$6:$J$1004,5,FALSE)</f>
        <v/>
      </c>
      <c r="D911" s="4" t="str">
        <f ca="1">VLOOKUP(A911,Calculation!$E$6:$J$1004,6,FALSE)</f>
        <v/>
      </c>
      <c r="E911" s="42" t="str">
        <f t="shared" ca="1" si="6"/>
        <v/>
      </c>
      <c r="G911" s="29" t="str">
        <f ca="1">VLOOKUP(A911,Calculation!$F$6:$J$1004,3,FALSE)</f>
        <v/>
      </c>
      <c r="H911" s="4" t="str">
        <f ca="1">VLOOKUP(A911,Calculation!$F$6:$J$1004,4,FALSE)</f>
        <v/>
      </c>
      <c r="I911" s="4" t="str">
        <f ca="1">VLOOKUP(A911,Calculation!$F$6:$J$1004,5,FALSE)</f>
        <v/>
      </c>
      <c r="J911" s="43" t="str">
        <f t="shared" ca="1" si="7"/>
        <v/>
      </c>
      <c r="L911" s="29" t="str">
        <f ca="1">VLOOKUP(A911,Calculation!$G$6:$S$1004,2,FALSE)</f>
        <v/>
      </c>
      <c r="M911" s="4" t="str">
        <f ca="1">IFERROR(VLOOKUP($L911,Calculation!$H$6:$S$1005,HLOOKUP(M$2,Calculation!$M$4:$S$5,2,FALSE)+5,FALSE),"")</f>
        <v/>
      </c>
      <c r="N911" s="4" t="str">
        <f ca="1">IFERROR(VLOOKUP($L911,Calculation!$H$6:$S$1005,HLOOKUP(N$2,Calculation!$M$4:$S$5,2,FALSE)+5,FALSE),"")</f>
        <v/>
      </c>
      <c r="O911" s="4" t="str">
        <f ca="1">IFERROR(VLOOKUP($L911,Calculation!$H$6:$S$1005,HLOOKUP(O$2,Calculation!$M$4:$S$5,2,FALSE)+5,FALSE),"")</f>
        <v/>
      </c>
      <c r="P911" s="4" t="str">
        <f ca="1">IFERROR(VLOOKUP($L911,Calculation!$H$6:$S$1005,HLOOKUP(P$2,Calculation!$M$4:$S$5,2,FALSE)+5,FALSE),"")</f>
        <v/>
      </c>
      <c r="Q911" s="4" t="str">
        <f ca="1">IFERROR(VLOOKUP($L911,Calculation!$H$6:$S$1005,HLOOKUP(Q$2,Calculation!$M$4:$S$5,2,FALSE)+5,FALSE),"")</f>
        <v/>
      </c>
      <c r="R911" s="27" t="str">
        <f ca="1">IFERROR(VLOOKUP($L911,Calculation!$H$6:$S$1005,HLOOKUP(R$2,Calculation!$M$4:$S$5,2,FALSE)+5,FALSE),"")</f>
        <v/>
      </c>
      <c r="S911" s="4" t="str">
        <f ca="1">IFERROR(VLOOKUP($L911,Calculation!$H$6:$S$1005,HLOOKUP(S$2,Calculation!$M$4:$S$5,2,FALSE)+5,FALSE),"")</f>
        <v/>
      </c>
      <c r="T911" s="29"/>
      <c r="U911" s="43" t="str">
        <f>IFERROR(VLOOKUP(T911,Calculation!$U$6:$V$11,2,FALSE),"")</f>
        <v/>
      </c>
    </row>
    <row r="912" spans="1:21" ht="14.25" customHeight="1" x14ac:dyDescent="0.3">
      <c r="A912" s="26" t="str">
        <f ca="1">IF(Calculation!T915&lt;=Calculation!$H$4,Calculation!T915,"")</f>
        <v/>
      </c>
      <c r="B912" s="4" t="str">
        <f ca="1">VLOOKUP(A912,Calculation!$E$6:$J$1004,4,FALSE)</f>
        <v/>
      </c>
      <c r="C912" s="4" t="str">
        <f ca="1">VLOOKUP(A912,Calculation!$E$6:$J$1004,5,FALSE)</f>
        <v/>
      </c>
      <c r="D912" s="4" t="str">
        <f ca="1">VLOOKUP(A912,Calculation!$E$6:$J$1004,6,FALSE)</f>
        <v/>
      </c>
      <c r="E912" s="42" t="str">
        <f t="shared" ca="1" si="6"/>
        <v/>
      </c>
      <c r="G912" s="29" t="str">
        <f ca="1">VLOOKUP(A912,Calculation!$F$6:$J$1004,3,FALSE)</f>
        <v/>
      </c>
      <c r="H912" s="4" t="str">
        <f ca="1">VLOOKUP(A912,Calculation!$F$6:$J$1004,4,FALSE)</f>
        <v/>
      </c>
      <c r="I912" s="4" t="str">
        <f ca="1">VLOOKUP(A912,Calculation!$F$6:$J$1004,5,FALSE)</f>
        <v/>
      </c>
      <c r="J912" s="43" t="str">
        <f t="shared" ca="1" si="7"/>
        <v/>
      </c>
      <c r="L912" s="29" t="str">
        <f ca="1">VLOOKUP(A912,Calculation!$G$6:$S$1004,2,FALSE)</f>
        <v/>
      </c>
      <c r="M912" s="4" t="str">
        <f ca="1">IFERROR(VLOOKUP($L912,Calculation!$H$6:$S$1005,HLOOKUP(M$2,Calculation!$M$4:$S$5,2,FALSE)+5,FALSE),"")</f>
        <v/>
      </c>
      <c r="N912" s="4" t="str">
        <f ca="1">IFERROR(VLOOKUP($L912,Calculation!$H$6:$S$1005,HLOOKUP(N$2,Calculation!$M$4:$S$5,2,FALSE)+5,FALSE),"")</f>
        <v/>
      </c>
      <c r="O912" s="4" t="str">
        <f ca="1">IFERROR(VLOOKUP($L912,Calculation!$H$6:$S$1005,HLOOKUP(O$2,Calculation!$M$4:$S$5,2,FALSE)+5,FALSE),"")</f>
        <v/>
      </c>
      <c r="P912" s="4" t="str">
        <f ca="1">IFERROR(VLOOKUP($L912,Calculation!$H$6:$S$1005,HLOOKUP(P$2,Calculation!$M$4:$S$5,2,FALSE)+5,FALSE),"")</f>
        <v/>
      </c>
      <c r="Q912" s="4" t="str">
        <f ca="1">IFERROR(VLOOKUP($L912,Calculation!$H$6:$S$1005,HLOOKUP(Q$2,Calculation!$M$4:$S$5,2,FALSE)+5,FALSE),"")</f>
        <v/>
      </c>
      <c r="R912" s="27" t="str">
        <f ca="1">IFERROR(VLOOKUP($L912,Calculation!$H$6:$S$1005,HLOOKUP(R$2,Calculation!$M$4:$S$5,2,FALSE)+5,FALSE),"")</f>
        <v/>
      </c>
      <c r="S912" s="4" t="str">
        <f ca="1">IFERROR(VLOOKUP($L912,Calculation!$H$6:$S$1005,HLOOKUP(S$2,Calculation!$M$4:$S$5,2,FALSE)+5,FALSE),"")</f>
        <v/>
      </c>
      <c r="T912" s="29"/>
      <c r="U912" s="43" t="str">
        <f>IFERROR(VLOOKUP(T912,Calculation!$U$6:$V$11,2,FALSE),"")</f>
        <v/>
      </c>
    </row>
    <row r="913" spans="1:21" ht="14.25" customHeight="1" x14ac:dyDescent="0.3">
      <c r="A913" s="26" t="str">
        <f ca="1">IF(Calculation!T916&lt;=Calculation!$H$4,Calculation!T916,"")</f>
        <v/>
      </c>
      <c r="B913" s="4" t="str">
        <f ca="1">VLOOKUP(A913,Calculation!$E$6:$J$1004,4,FALSE)</f>
        <v/>
      </c>
      <c r="C913" s="4" t="str">
        <f ca="1">VLOOKUP(A913,Calculation!$E$6:$J$1004,5,FALSE)</f>
        <v/>
      </c>
      <c r="D913" s="4" t="str">
        <f ca="1">VLOOKUP(A913,Calculation!$E$6:$J$1004,6,FALSE)</f>
        <v/>
      </c>
      <c r="E913" s="42" t="str">
        <f t="shared" ca="1" si="6"/>
        <v/>
      </c>
      <c r="G913" s="29" t="str">
        <f ca="1">VLOOKUP(A913,Calculation!$F$6:$J$1004,3,FALSE)</f>
        <v/>
      </c>
      <c r="H913" s="4" t="str">
        <f ca="1">VLOOKUP(A913,Calculation!$F$6:$J$1004,4,FALSE)</f>
        <v/>
      </c>
      <c r="I913" s="4" t="str">
        <f ca="1">VLOOKUP(A913,Calculation!$F$6:$J$1004,5,FALSE)</f>
        <v/>
      </c>
      <c r="J913" s="43" t="str">
        <f t="shared" ca="1" si="7"/>
        <v/>
      </c>
      <c r="L913" s="29" t="str">
        <f ca="1">VLOOKUP(A913,Calculation!$G$6:$S$1004,2,FALSE)</f>
        <v/>
      </c>
      <c r="M913" s="4" t="str">
        <f ca="1">IFERROR(VLOOKUP($L913,Calculation!$H$6:$S$1005,HLOOKUP(M$2,Calculation!$M$4:$S$5,2,FALSE)+5,FALSE),"")</f>
        <v/>
      </c>
      <c r="N913" s="4" t="str">
        <f ca="1">IFERROR(VLOOKUP($L913,Calculation!$H$6:$S$1005,HLOOKUP(N$2,Calculation!$M$4:$S$5,2,FALSE)+5,FALSE),"")</f>
        <v/>
      </c>
      <c r="O913" s="4" t="str">
        <f ca="1">IFERROR(VLOOKUP($L913,Calculation!$H$6:$S$1005,HLOOKUP(O$2,Calculation!$M$4:$S$5,2,FALSE)+5,FALSE),"")</f>
        <v/>
      </c>
      <c r="P913" s="4" t="str">
        <f ca="1">IFERROR(VLOOKUP($L913,Calculation!$H$6:$S$1005,HLOOKUP(P$2,Calculation!$M$4:$S$5,2,FALSE)+5,FALSE),"")</f>
        <v/>
      </c>
      <c r="Q913" s="4" t="str">
        <f ca="1">IFERROR(VLOOKUP($L913,Calculation!$H$6:$S$1005,HLOOKUP(Q$2,Calculation!$M$4:$S$5,2,FALSE)+5,FALSE),"")</f>
        <v/>
      </c>
      <c r="R913" s="27" t="str">
        <f ca="1">IFERROR(VLOOKUP($L913,Calculation!$H$6:$S$1005,HLOOKUP(R$2,Calculation!$M$4:$S$5,2,FALSE)+5,FALSE),"")</f>
        <v/>
      </c>
      <c r="S913" s="4" t="str">
        <f ca="1">IFERROR(VLOOKUP($L913,Calculation!$H$6:$S$1005,HLOOKUP(S$2,Calculation!$M$4:$S$5,2,FALSE)+5,FALSE),"")</f>
        <v/>
      </c>
      <c r="T913" s="29"/>
      <c r="U913" s="43" t="str">
        <f>IFERROR(VLOOKUP(T913,Calculation!$U$6:$V$11,2,FALSE),"")</f>
        <v/>
      </c>
    </row>
    <row r="914" spans="1:21" ht="14.25" customHeight="1" x14ac:dyDescent="0.3">
      <c r="A914" s="26" t="str">
        <f ca="1">IF(Calculation!T917&lt;=Calculation!$H$4,Calculation!T917,"")</f>
        <v/>
      </c>
      <c r="B914" s="4" t="str">
        <f ca="1">VLOOKUP(A914,Calculation!$E$6:$J$1004,4,FALSE)</f>
        <v/>
      </c>
      <c r="C914" s="4" t="str">
        <f ca="1">VLOOKUP(A914,Calculation!$E$6:$J$1004,5,FALSE)</f>
        <v/>
      </c>
      <c r="D914" s="4" t="str">
        <f ca="1">VLOOKUP(A914,Calculation!$E$6:$J$1004,6,FALSE)</f>
        <v/>
      </c>
      <c r="E914" s="42" t="str">
        <f t="shared" ca="1" si="6"/>
        <v/>
      </c>
      <c r="G914" s="29" t="str">
        <f ca="1">VLOOKUP(A914,Calculation!$F$6:$J$1004,3,FALSE)</f>
        <v/>
      </c>
      <c r="H914" s="4" t="str">
        <f ca="1">VLOOKUP(A914,Calculation!$F$6:$J$1004,4,FALSE)</f>
        <v/>
      </c>
      <c r="I914" s="4" t="str">
        <f ca="1">VLOOKUP(A914,Calculation!$F$6:$J$1004,5,FALSE)</f>
        <v/>
      </c>
      <c r="J914" s="43" t="str">
        <f t="shared" ca="1" si="7"/>
        <v/>
      </c>
      <c r="L914" s="29" t="str">
        <f ca="1">VLOOKUP(A914,Calculation!$G$6:$S$1004,2,FALSE)</f>
        <v/>
      </c>
      <c r="M914" s="4" t="str">
        <f ca="1">IFERROR(VLOOKUP($L914,Calculation!$H$6:$S$1005,HLOOKUP(M$2,Calculation!$M$4:$S$5,2,FALSE)+5,FALSE),"")</f>
        <v/>
      </c>
      <c r="N914" s="4" t="str">
        <f ca="1">IFERROR(VLOOKUP($L914,Calculation!$H$6:$S$1005,HLOOKUP(N$2,Calculation!$M$4:$S$5,2,FALSE)+5,FALSE),"")</f>
        <v/>
      </c>
      <c r="O914" s="4" t="str">
        <f ca="1">IFERROR(VLOOKUP($L914,Calculation!$H$6:$S$1005,HLOOKUP(O$2,Calculation!$M$4:$S$5,2,FALSE)+5,FALSE),"")</f>
        <v/>
      </c>
      <c r="P914" s="4" t="str">
        <f ca="1">IFERROR(VLOOKUP($L914,Calculation!$H$6:$S$1005,HLOOKUP(P$2,Calculation!$M$4:$S$5,2,FALSE)+5,FALSE),"")</f>
        <v/>
      </c>
      <c r="Q914" s="4" t="str">
        <f ca="1">IFERROR(VLOOKUP($L914,Calculation!$H$6:$S$1005,HLOOKUP(Q$2,Calculation!$M$4:$S$5,2,FALSE)+5,FALSE),"")</f>
        <v/>
      </c>
      <c r="R914" s="27" t="str">
        <f ca="1">IFERROR(VLOOKUP($L914,Calculation!$H$6:$S$1005,HLOOKUP(R$2,Calculation!$M$4:$S$5,2,FALSE)+5,FALSE),"")</f>
        <v/>
      </c>
      <c r="S914" s="4" t="str">
        <f ca="1">IFERROR(VLOOKUP($L914,Calculation!$H$6:$S$1005,HLOOKUP(S$2,Calculation!$M$4:$S$5,2,FALSE)+5,FALSE),"")</f>
        <v/>
      </c>
      <c r="T914" s="29"/>
      <c r="U914" s="43" t="str">
        <f>IFERROR(VLOOKUP(T914,Calculation!$U$6:$V$11,2,FALSE),"")</f>
        <v/>
      </c>
    </row>
    <row r="915" spans="1:21" ht="14.25" customHeight="1" x14ac:dyDescent="0.3">
      <c r="A915" s="26" t="str">
        <f ca="1">IF(Calculation!T918&lt;=Calculation!$H$4,Calculation!T918,"")</f>
        <v/>
      </c>
      <c r="B915" s="4" t="str">
        <f ca="1">VLOOKUP(A915,Calculation!$E$6:$J$1004,4,FALSE)</f>
        <v/>
      </c>
      <c r="C915" s="4" t="str">
        <f ca="1">VLOOKUP(A915,Calculation!$E$6:$J$1004,5,FALSE)</f>
        <v/>
      </c>
      <c r="D915" s="4" t="str">
        <f ca="1">VLOOKUP(A915,Calculation!$E$6:$J$1004,6,FALSE)</f>
        <v/>
      </c>
      <c r="E915" s="42" t="str">
        <f t="shared" ca="1" si="6"/>
        <v/>
      </c>
      <c r="G915" s="29" t="str">
        <f ca="1">VLOOKUP(A915,Calculation!$F$6:$J$1004,3,FALSE)</f>
        <v/>
      </c>
      <c r="H915" s="4" t="str">
        <f ca="1">VLOOKUP(A915,Calculation!$F$6:$J$1004,4,FALSE)</f>
        <v/>
      </c>
      <c r="I915" s="4" t="str">
        <f ca="1">VLOOKUP(A915,Calculation!$F$6:$J$1004,5,FALSE)</f>
        <v/>
      </c>
      <c r="J915" s="43" t="str">
        <f t="shared" ca="1" si="7"/>
        <v/>
      </c>
      <c r="L915" s="29" t="str">
        <f ca="1">VLOOKUP(A915,Calculation!$G$6:$S$1004,2,FALSE)</f>
        <v/>
      </c>
      <c r="M915" s="4" t="str">
        <f ca="1">IFERROR(VLOOKUP($L915,Calculation!$H$6:$S$1005,HLOOKUP(M$2,Calculation!$M$4:$S$5,2,FALSE)+5,FALSE),"")</f>
        <v/>
      </c>
      <c r="N915" s="4" t="str">
        <f ca="1">IFERROR(VLOOKUP($L915,Calculation!$H$6:$S$1005,HLOOKUP(N$2,Calculation!$M$4:$S$5,2,FALSE)+5,FALSE),"")</f>
        <v/>
      </c>
      <c r="O915" s="4" t="str">
        <f ca="1">IFERROR(VLOOKUP($L915,Calculation!$H$6:$S$1005,HLOOKUP(O$2,Calculation!$M$4:$S$5,2,FALSE)+5,FALSE),"")</f>
        <v/>
      </c>
      <c r="P915" s="4" t="str">
        <f ca="1">IFERROR(VLOOKUP($L915,Calculation!$H$6:$S$1005,HLOOKUP(P$2,Calculation!$M$4:$S$5,2,FALSE)+5,FALSE),"")</f>
        <v/>
      </c>
      <c r="Q915" s="4" t="str">
        <f ca="1">IFERROR(VLOOKUP($L915,Calculation!$H$6:$S$1005,HLOOKUP(Q$2,Calculation!$M$4:$S$5,2,FALSE)+5,FALSE),"")</f>
        <v/>
      </c>
      <c r="R915" s="27" t="str">
        <f ca="1">IFERROR(VLOOKUP($L915,Calculation!$H$6:$S$1005,HLOOKUP(R$2,Calculation!$M$4:$S$5,2,FALSE)+5,FALSE),"")</f>
        <v/>
      </c>
      <c r="S915" s="4" t="str">
        <f ca="1">IFERROR(VLOOKUP($L915,Calculation!$H$6:$S$1005,HLOOKUP(S$2,Calculation!$M$4:$S$5,2,FALSE)+5,FALSE),"")</f>
        <v/>
      </c>
      <c r="T915" s="29"/>
      <c r="U915" s="43" t="str">
        <f>IFERROR(VLOOKUP(T915,Calculation!$U$6:$V$11,2,FALSE),"")</f>
        <v/>
      </c>
    </row>
    <row r="916" spans="1:21" ht="14.25" customHeight="1" x14ac:dyDescent="0.3">
      <c r="A916" s="26" t="str">
        <f ca="1">IF(Calculation!T919&lt;=Calculation!$H$4,Calculation!T919,"")</f>
        <v/>
      </c>
      <c r="B916" s="4" t="str">
        <f ca="1">VLOOKUP(A916,Calculation!$E$6:$J$1004,4,FALSE)</f>
        <v/>
      </c>
      <c r="C916" s="4" t="str">
        <f ca="1">VLOOKUP(A916,Calculation!$E$6:$J$1004,5,FALSE)</f>
        <v/>
      </c>
      <c r="D916" s="4" t="str">
        <f ca="1">VLOOKUP(A916,Calculation!$E$6:$J$1004,6,FALSE)</f>
        <v/>
      </c>
      <c r="E916" s="42" t="str">
        <f t="shared" ca="1" si="6"/>
        <v/>
      </c>
      <c r="G916" s="29" t="str">
        <f ca="1">VLOOKUP(A916,Calculation!$F$6:$J$1004,3,FALSE)</f>
        <v/>
      </c>
      <c r="H916" s="4" t="str">
        <f ca="1">VLOOKUP(A916,Calculation!$F$6:$J$1004,4,FALSE)</f>
        <v/>
      </c>
      <c r="I916" s="4" t="str">
        <f ca="1">VLOOKUP(A916,Calculation!$F$6:$J$1004,5,FALSE)</f>
        <v/>
      </c>
      <c r="J916" s="43" t="str">
        <f t="shared" ca="1" si="7"/>
        <v/>
      </c>
      <c r="L916" s="29" t="str">
        <f ca="1">VLOOKUP(A916,Calculation!$G$6:$S$1004,2,FALSE)</f>
        <v/>
      </c>
      <c r="M916" s="4" t="str">
        <f ca="1">IFERROR(VLOOKUP($L916,Calculation!$H$6:$S$1005,HLOOKUP(M$2,Calculation!$M$4:$S$5,2,FALSE)+5,FALSE),"")</f>
        <v/>
      </c>
      <c r="N916" s="4" t="str">
        <f ca="1">IFERROR(VLOOKUP($L916,Calculation!$H$6:$S$1005,HLOOKUP(N$2,Calculation!$M$4:$S$5,2,FALSE)+5,FALSE),"")</f>
        <v/>
      </c>
      <c r="O916" s="4" t="str">
        <f ca="1">IFERROR(VLOOKUP($L916,Calculation!$H$6:$S$1005,HLOOKUP(O$2,Calculation!$M$4:$S$5,2,FALSE)+5,FALSE),"")</f>
        <v/>
      </c>
      <c r="P916" s="4" t="str">
        <f ca="1">IFERROR(VLOOKUP($L916,Calculation!$H$6:$S$1005,HLOOKUP(P$2,Calculation!$M$4:$S$5,2,FALSE)+5,FALSE),"")</f>
        <v/>
      </c>
      <c r="Q916" s="4" t="str">
        <f ca="1">IFERROR(VLOOKUP($L916,Calculation!$H$6:$S$1005,HLOOKUP(Q$2,Calculation!$M$4:$S$5,2,FALSE)+5,FALSE),"")</f>
        <v/>
      </c>
      <c r="R916" s="27" t="str">
        <f ca="1">IFERROR(VLOOKUP($L916,Calculation!$H$6:$S$1005,HLOOKUP(R$2,Calculation!$M$4:$S$5,2,FALSE)+5,FALSE),"")</f>
        <v/>
      </c>
      <c r="S916" s="4" t="str">
        <f ca="1">IFERROR(VLOOKUP($L916,Calculation!$H$6:$S$1005,HLOOKUP(S$2,Calculation!$M$4:$S$5,2,FALSE)+5,FALSE),"")</f>
        <v/>
      </c>
      <c r="T916" s="29"/>
      <c r="U916" s="43" t="str">
        <f>IFERROR(VLOOKUP(T916,Calculation!$U$6:$V$11,2,FALSE),"")</f>
        <v/>
      </c>
    </row>
    <row r="917" spans="1:21" ht="14.25" customHeight="1" x14ac:dyDescent="0.3">
      <c r="A917" s="26" t="str">
        <f ca="1">IF(Calculation!T920&lt;=Calculation!$H$4,Calculation!T920,"")</f>
        <v/>
      </c>
      <c r="B917" s="4" t="str">
        <f ca="1">VLOOKUP(A917,Calculation!$E$6:$J$1004,4,FALSE)</f>
        <v/>
      </c>
      <c r="C917" s="4" t="str">
        <f ca="1">VLOOKUP(A917,Calculation!$E$6:$J$1004,5,FALSE)</f>
        <v/>
      </c>
      <c r="D917" s="4" t="str">
        <f ca="1">VLOOKUP(A917,Calculation!$E$6:$J$1004,6,FALSE)</f>
        <v/>
      </c>
      <c r="E917" s="42" t="str">
        <f t="shared" ca="1" si="6"/>
        <v/>
      </c>
      <c r="G917" s="29" t="str">
        <f ca="1">VLOOKUP(A917,Calculation!$F$6:$J$1004,3,FALSE)</f>
        <v/>
      </c>
      <c r="H917" s="4" t="str">
        <f ca="1">VLOOKUP(A917,Calculation!$F$6:$J$1004,4,FALSE)</f>
        <v/>
      </c>
      <c r="I917" s="4" t="str">
        <f ca="1">VLOOKUP(A917,Calculation!$F$6:$J$1004,5,FALSE)</f>
        <v/>
      </c>
      <c r="J917" s="43" t="str">
        <f t="shared" ca="1" si="7"/>
        <v/>
      </c>
      <c r="L917" s="29" t="str">
        <f ca="1">VLOOKUP(A917,Calculation!$G$6:$S$1004,2,FALSE)</f>
        <v/>
      </c>
      <c r="M917" s="4" t="str">
        <f ca="1">IFERROR(VLOOKUP($L917,Calculation!$H$6:$S$1005,HLOOKUP(M$2,Calculation!$M$4:$S$5,2,FALSE)+5,FALSE),"")</f>
        <v/>
      </c>
      <c r="N917" s="4" t="str">
        <f ca="1">IFERROR(VLOOKUP($L917,Calculation!$H$6:$S$1005,HLOOKUP(N$2,Calculation!$M$4:$S$5,2,FALSE)+5,FALSE),"")</f>
        <v/>
      </c>
      <c r="O917" s="4" t="str">
        <f ca="1">IFERROR(VLOOKUP($L917,Calculation!$H$6:$S$1005,HLOOKUP(O$2,Calculation!$M$4:$S$5,2,FALSE)+5,FALSE),"")</f>
        <v/>
      </c>
      <c r="P917" s="4" t="str">
        <f ca="1">IFERROR(VLOOKUP($L917,Calculation!$H$6:$S$1005,HLOOKUP(P$2,Calculation!$M$4:$S$5,2,FALSE)+5,FALSE),"")</f>
        <v/>
      </c>
      <c r="Q917" s="4" t="str">
        <f ca="1">IFERROR(VLOOKUP($L917,Calculation!$H$6:$S$1005,HLOOKUP(Q$2,Calculation!$M$4:$S$5,2,FALSE)+5,FALSE),"")</f>
        <v/>
      </c>
      <c r="R917" s="27" t="str">
        <f ca="1">IFERROR(VLOOKUP($L917,Calculation!$H$6:$S$1005,HLOOKUP(R$2,Calculation!$M$4:$S$5,2,FALSE)+5,FALSE),"")</f>
        <v/>
      </c>
      <c r="S917" s="4" t="str">
        <f ca="1">IFERROR(VLOOKUP($L917,Calculation!$H$6:$S$1005,HLOOKUP(S$2,Calculation!$M$4:$S$5,2,FALSE)+5,FALSE),"")</f>
        <v/>
      </c>
      <c r="T917" s="29"/>
      <c r="U917" s="43" t="str">
        <f>IFERROR(VLOOKUP(T917,Calculation!$U$6:$V$11,2,FALSE),"")</f>
        <v/>
      </c>
    </row>
    <row r="918" spans="1:21" ht="14.25" customHeight="1" x14ac:dyDescent="0.3">
      <c r="A918" s="26" t="str">
        <f ca="1">IF(Calculation!T921&lt;=Calculation!$H$4,Calculation!T921,"")</f>
        <v/>
      </c>
      <c r="B918" s="4" t="str">
        <f ca="1">VLOOKUP(A918,Calculation!$E$6:$J$1004,4,FALSE)</f>
        <v/>
      </c>
      <c r="C918" s="4" t="str">
        <f ca="1">VLOOKUP(A918,Calculation!$E$6:$J$1004,5,FALSE)</f>
        <v/>
      </c>
      <c r="D918" s="4" t="str">
        <f ca="1">VLOOKUP(A918,Calculation!$E$6:$J$1004,6,FALSE)</f>
        <v/>
      </c>
      <c r="E918" s="42" t="str">
        <f t="shared" ca="1" si="6"/>
        <v/>
      </c>
      <c r="G918" s="29" t="str">
        <f ca="1">VLOOKUP(A918,Calculation!$F$6:$J$1004,3,FALSE)</f>
        <v/>
      </c>
      <c r="H918" s="4" t="str">
        <f ca="1">VLOOKUP(A918,Calculation!$F$6:$J$1004,4,FALSE)</f>
        <v/>
      </c>
      <c r="I918" s="4" t="str">
        <f ca="1">VLOOKUP(A918,Calculation!$F$6:$J$1004,5,FALSE)</f>
        <v/>
      </c>
      <c r="J918" s="43" t="str">
        <f t="shared" ca="1" si="7"/>
        <v/>
      </c>
      <c r="L918" s="29" t="str">
        <f ca="1">VLOOKUP(A918,Calculation!$G$6:$S$1004,2,FALSE)</f>
        <v/>
      </c>
      <c r="M918" s="4" t="str">
        <f ca="1">IFERROR(VLOOKUP($L918,Calculation!$H$6:$S$1005,HLOOKUP(M$2,Calculation!$M$4:$S$5,2,FALSE)+5,FALSE),"")</f>
        <v/>
      </c>
      <c r="N918" s="4" t="str">
        <f ca="1">IFERROR(VLOOKUP($L918,Calculation!$H$6:$S$1005,HLOOKUP(N$2,Calculation!$M$4:$S$5,2,FALSE)+5,FALSE),"")</f>
        <v/>
      </c>
      <c r="O918" s="4" t="str">
        <f ca="1">IFERROR(VLOOKUP($L918,Calculation!$H$6:$S$1005,HLOOKUP(O$2,Calculation!$M$4:$S$5,2,FALSE)+5,FALSE),"")</f>
        <v/>
      </c>
      <c r="P918" s="4" t="str">
        <f ca="1">IFERROR(VLOOKUP($L918,Calculation!$H$6:$S$1005,HLOOKUP(P$2,Calculation!$M$4:$S$5,2,FALSE)+5,FALSE),"")</f>
        <v/>
      </c>
      <c r="Q918" s="4" t="str">
        <f ca="1">IFERROR(VLOOKUP($L918,Calculation!$H$6:$S$1005,HLOOKUP(Q$2,Calculation!$M$4:$S$5,2,FALSE)+5,FALSE),"")</f>
        <v/>
      </c>
      <c r="R918" s="27" t="str">
        <f ca="1">IFERROR(VLOOKUP($L918,Calculation!$H$6:$S$1005,HLOOKUP(R$2,Calculation!$M$4:$S$5,2,FALSE)+5,FALSE),"")</f>
        <v/>
      </c>
      <c r="S918" s="4" t="str">
        <f ca="1">IFERROR(VLOOKUP($L918,Calculation!$H$6:$S$1005,HLOOKUP(S$2,Calculation!$M$4:$S$5,2,FALSE)+5,FALSE),"")</f>
        <v/>
      </c>
      <c r="T918" s="29"/>
      <c r="U918" s="43" t="str">
        <f>IFERROR(VLOOKUP(T918,Calculation!$U$6:$V$11,2,FALSE),"")</f>
        <v/>
      </c>
    </row>
    <row r="919" spans="1:21" ht="14.25" customHeight="1" x14ac:dyDescent="0.3">
      <c r="A919" s="26" t="str">
        <f ca="1">IF(Calculation!T922&lt;=Calculation!$H$4,Calculation!T922,"")</f>
        <v/>
      </c>
      <c r="B919" s="4" t="str">
        <f ca="1">VLOOKUP(A919,Calculation!$E$6:$J$1004,4,FALSE)</f>
        <v/>
      </c>
      <c r="C919" s="4" t="str">
        <f ca="1">VLOOKUP(A919,Calculation!$E$6:$J$1004,5,FALSE)</f>
        <v/>
      </c>
      <c r="D919" s="4" t="str">
        <f ca="1">VLOOKUP(A919,Calculation!$E$6:$J$1004,6,FALSE)</f>
        <v/>
      </c>
      <c r="E919" s="42" t="str">
        <f t="shared" ca="1" si="6"/>
        <v/>
      </c>
      <c r="G919" s="29" t="str">
        <f ca="1">VLOOKUP(A919,Calculation!$F$6:$J$1004,3,FALSE)</f>
        <v/>
      </c>
      <c r="H919" s="4" t="str">
        <f ca="1">VLOOKUP(A919,Calculation!$F$6:$J$1004,4,FALSE)</f>
        <v/>
      </c>
      <c r="I919" s="4" t="str">
        <f ca="1">VLOOKUP(A919,Calculation!$F$6:$J$1004,5,FALSE)</f>
        <v/>
      </c>
      <c r="J919" s="43" t="str">
        <f t="shared" ca="1" si="7"/>
        <v/>
      </c>
      <c r="L919" s="29" t="str">
        <f ca="1">VLOOKUP(A919,Calculation!$G$6:$S$1004,2,FALSE)</f>
        <v/>
      </c>
      <c r="M919" s="4" t="str">
        <f ca="1">IFERROR(VLOOKUP($L919,Calculation!$H$6:$S$1005,HLOOKUP(M$2,Calculation!$M$4:$S$5,2,FALSE)+5,FALSE),"")</f>
        <v/>
      </c>
      <c r="N919" s="4" t="str">
        <f ca="1">IFERROR(VLOOKUP($L919,Calculation!$H$6:$S$1005,HLOOKUP(N$2,Calculation!$M$4:$S$5,2,FALSE)+5,FALSE),"")</f>
        <v/>
      </c>
      <c r="O919" s="4" t="str">
        <f ca="1">IFERROR(VLOOKUP($L919,Calculation!$H$6:$S$1005,HLOOKUP(O$2,Calculation!$M$4:$S$5,2,FALSE)+5,FALSE),"")</f>
        <v/>
      </c>
      <c r="P919" s="4" t="str">
        <f ca="1">IFERROR(VLOOKUP($L919,Calculation!$H$6:$S$1005,HLOOKUP(P$2,Calculation!$M$4:$S$5,2,FALSE)+5,FALSE),"")</f>
        <v/>
      </c>
      <c r="Q919" s="4" t="str">
        <f ca="1">IFERROR(VLOOKUP($L919,Calculation!$H$6:$S$1005,HLOOKUP(Q$2,Calculation!$M$4:$S$5,2,FALSE)+5,FALSE),"")</f>
        <v/>
      </c>
      <c r="R919" s="27" t="str">
        <f ca="1">IFERROR(VLOOKUP($L919,Calculation!$H$6:$S$1005,HLOOKUP(R$2,Calculation!$M$4:$S$5,2,FALSE)+5,FALSE),"")</f>
        <v/>
      </c>
      <c r="S919" s="4" t="str">
        <f ca="1">IFERROR(VLOOKUP($L919,Calculation!$H$6:$S$1005,HLOOKUP(S$2,Calculation!$M$4:$S$5,2,FALSE)+5,FALSE),"")</f>
        <v/>
      </c>
      <c r="T919" s="29"/>
      <c r="U919" s="43" t="str">
        <f>IFERROR(VLOOKUP(T919,Calculation!$U$6:$V$11,2,FALSE),"")</f>
        <v/>
      </c>
    </row>
    <row r="920" spans="1:21" ht="14.25" customHeight="1" x14ac:dyDescent="0.3">
      <c r="A920" s="26" t="str">
        <f ca="1">IF(Calculation!T923&lt;=Calculation!$H$4,Calculation!T923,"")</f>
        <v/>
      </c>
      <c r="B920" s="4" t="str">
        <f ca="1">VLOOKUP(A920,Calculation!$E$6:$J$1004,4,FALSE)</f>
        <v/>
      </c>
      <c r="C920" s="4" t="str">
        <f ca="1">VLOOKUP(A920,Calculation!$E$6:$J$1004,5,FALSE)</f>
        <v/>
      </c>
      <c r="D920" s="4" t="str">
        <f ca="1">VLOOKUP(A920,Calculation!$E$6:$J$1004,6,FALSE)</f>
        <v/>
      </c>
      <c r="E920" s="42" t="str">
        <f t="shared" ca="1" si="6"/>
        <v/>
      </c>
      <c r="G920" s="29" t="str">
        <f ca="1">VLOOKUP(A920,Calculation!$F$6:$J$1004,3,FALSE)</f>
        <v/>
      </c>
      <c r="H920" s="4" t="str">
        <f ca="1">VLOOKUP(A920,Calculation!$F$6:$J$1004,4,FALSE)</f>
        <v/>
      </c>
      <c r="I920" s="4" t="str">
        <f ca="1">VLOOKUP(A920,Calculation!$F$6:$J$1004,5,FALSE)</f>
        <v/>
      </c>
      <c r="J920" s="43" t="str">
        <f t="shared" ca="1" si="7"/>
        <v/>
      </c>
      <c r="L920" s="29" t="str">
        <f ca="1">VLOOKUP(A920,Calculation!$G$6:$S$1004,2,FALSE)</f>
        <v/>
      </c>
      <c r="M920" s="4" t="str">
        <f ca="1">IFERROR(VLOOKUP($L920,Calculation!$H$6:$S$1005,HLOOKUP(M$2,Calculation!$M$4:$S$5,2,FALSE)+5,FALSE),"")</f>
        <v/>
      </c>
      <c r="N920" s="4" t="str">
        <f ca="1">IFERROR(VLOOKUP($L920,Calculation!$H$6:$S$1005,HLOOKUP(N$2,Calculation!$M$4:$S$5,2,FALSE)+5,FALSE),"")</f>
        <v/>
      </c>
      <c r="O920" s="4" t="str">
        <f ca="1">IFERROR(VLOOKUP($L920,Calculation!$H$6:$S$1005,HLOOKUP(O$2,Calculation!$M$4:$S$5,2,FALSE)+5,FALSE),"")</f>
        <v/>
      </c>
      <c r="P920" s="4" t="str">
        <f ca="1">IFERROR(VLOOKUP($L920,Calculation!$H$6:$S$1005,HLOOKUP(P$2,Calculation!$M$4:$S$5,2,FALSE)+5,FALSE),"")</f>
        <v/>
      </c>
      <c r="Q920" s="4" t="str">
        <f ca="1">IFERROR(VLOOKUP($L920,Calculation!$H$6:$S$1005,HLOOKUP(Q$2,Calculation!$M$4:$S$5,2,FALSE)+5,FALSE),"")</f>
        <v/>
      </c>
      <c r="R920" s="27" t="str">
        <f ca="1">IFERROR(VLOOKUP($L920,Calculation!$H$6:$S$1005,HLOOKUP(R$2,Calculation!$M$4:$S$5,2,FALSE)+5,FALSE),"")</f>
        <v/>
      </c>
      <c r="S920" s="4" t="str">
        <f ca="1">IFERROR(VLOOKUP($L920,Calculation!$H$6:$S$1005,HLOOKUP(S$2,Calculation!$M$4:$S$5,2,FALSE)+5,FALSE),"")</f>
        <v/>
      </c>
      <c r="T920" s="29"/>
      <c r="U920" s="43" t="str">
        <f>IFERROR(VLOOKUP(T920,Calculation!$U$6:$V$11,2,FALSE),"")</f>
        <v/>
      </c>
    </row>
    <row r="921" spans="1:21" ht="14.25" customHeight="1" x14ac:dyDescent="0.3">
      <c r="A921" s="26" t="str">
        <f ca="1">IF(Calculation!T924&lt;=Calculation!$H$4,Calculation!T924,"")</f>
        <v/>
      </c>
      <c r="B921" s="4" t="str">
        <f ca="1">VLOOKUP(A921,Calculation!$E$6:$J$1004,4,FALSE)</f>
        <v/>
      </c>
      <c r="C921" s="4" t="str">
        <f ca="1">VLOOKUP(A921,Calculation!$E$6:$J$1004,5,FALSE)</f>
        <v/>
      </c>
      <c r="D921" s="4" t="str">
        <f ca="1">VLOOKUP(A921,Calculation!$E$6:$J$1004,6,FALSE)</f>
        <v/>
      </c>
      <c r="E921" s="42" t="str">
        <f t="shared" ca="1" si="6"/>
        <v/>
      </c>
      <c r="G921" s="29" t="str">
        <f ca="1">VLOOKUP(A921,Calculation!$F$6:$J$1004,3,FALSE)</f>
        <v/>
      </c>
      <c r="H921" s="4" t="str">
        <f ca="1">VLOOKUP(A921,Calculation!$F$6:$J$1004,4,FALSE)</f>
        <v/>
      </c>
      <c r="I921" s="4" t="str">
        <f ca="1">VLOOKUP(A921,Calculation!$F$6:$J$1004,5,FALSE)</f>
        <v/>
      </c>
      <c r="J921" s="43" t="str">
        <f t="shared" ca="1" si="7"/>
        <v/>
      </c>
      <c r="L921" s="29" t="str">
        <f ca="1">VLOOKUP(A921,Calculation!$G$6:$S$1004,2,FALSE)</f>
        <v/>
      </c>
      <c r="M921" s="4" t="str">
        <f ca="1">IFERROR(VLOOKUP($L921,Calculation!$H$6:$S$1005,HLOOKUP(M$2,Calculation!$M$4:$S$5,2,FALSE)+5,FALSE),"")</f>
        <v/>
      </c>
      <c r="N921" s="4" t="str">
        <f ca="1">IFERROR(VLOOKUP($L921,Calculation!$H$6:$S$1005,HLOOKUP(N$2,Calculation!$M$4:$S$5,2,FALSE)+5,FALSE),"")</f>
        <v/>
      </c>
      <c r="O921" s="4" t="str">
        <f ca="1">IFERROR(VLOOKUP($L921,Calculation!$H$6:$S$1005,HLOOKUP(O$2,Calculation!$M$4:$S$5,2,FALSE)+5,FALSE),"")</f>
        <v/>
      </c>
      <c r="P921" s="4" t="str">
        <f ca="1">IFERROR(VLOOKUP($L921,Calculation!$H$6:$S$1005,HLOOKUP(P$2,Calculation!$M$4:$S$5,2,FALSE)+5,FALSE),"")</f>
        <v/>
      </c>
      <c r="Q921" s="4" t="str">
        <f ca="1">IFERROR(VLOOKUP($L921,Calculation!$H$6:$S$1005,HLOOKUP(Q$2,Calculation!$M$4:$S$5,2,FALSE)+5,FALSE),"")</f>
        <v/>
      </c>
      <c r="R921" s="27" t="str">
        <f ca="1">IFERROR(VLOOKUP($L921,Calculation!$H$6:$S$1005,HLOOKUP(R$2,Calculation!$M$4:$S$5,2,FALSE)+5,FALSE),"")</f>
        <v/>
      </c>
      <c r="S921" s="4" t="str">
        <f ca="1">IFERROR(VLOOKUP($L921,Calculation!$H$6:$S$1005,HLOOKUP(S$2,Calculation!$M$4:$S$5,2,FALSE)+5,FALSE),"")</f>
        <v/>
      </c>
      <c r="T921" s="29"/>
      <c r="U921" s="43" t="str">
        <f>IFERROR(VLOOKUP(T921,Calculation!$U$6:$V$11,2,FALSE),"")</f>
        <v/>
      </c>
    </row>
    <row r="922" spans="1:21" ht="14.25" customHeight="1" x14ac:dyDescent="0.3">
      <c r="A922" s="26" t="str">
        <f ca="1">IF(Calculation!T925&lt;=Calculation!$H$4,Calculation!T925,"")</f>
        <v/>
      </c>
      <c r="B922" s="4" t="str">
        <f ca="1">VLOOKUP(A922,Calculation!$E$6:$J$1004,4,FALSE)</f>
        <v/>
      </c>
      <c r="C922" s="4" t="str">
        <f ca="1">VLOOKUP(A922,Calculation!$E$6:$J$1004,5,FALSE)</f>
        <v/>
      </c>
      <c r="D922" s="4" t="str">
        <f ca="1">VLOOKUP(A922,Calculation!$E$6:$J$1004,6,FALSE)</f>
        <v/>
      </c>
      <c r="E922" s="42" t="str">
        <f t="shared" ca="1" si="6"/>
        <v/>
      </c>
      <c r="G922" s="29" t="str">
        <f ca="1">VLOOKUP(A922,Calculation!$F$6:$J$1004,3,FALSE)</f>
        <v/>
      </c>
      <c r="H922" s="4" t="str">
        <f ca="1">VLOOKUP(A922,Calculation!$F$6:$J$1004,4,FALSE)</f>
        <v/>
      </c>
      <c r="I922" s="4" t="str">
        <f ca="1">VLOOKUP(A922,Calculation!$F$6:$J$1004,5,FALSE)</f>
        <v/>
      </c>
      <c r="J922" s="43" t="str">
        <f t="shared" ca="1" si="7"/>
        <v/>
      </c>
      <c r="L922" s="29" t="str">
        <f ca="1">VLOOKUP(A922,Calculation!$G$6:$S$1004,2,FALSE)</f>
        <v/>
      </c>
      <c r="M922" s="4" t="str">
        <f ca="1">IFERROR(VLOOKUP($L922,Calculation!$H$6:$S$1005,HLOOKUP(M$2,Calculation!$M$4:$S$5,2,FALSE)+5,FALSE),"")</f>
        <v/>
      </c>
      <c r="N922" s="4" t="str">
        <f ca="1">IFERROR(VLOOKUP($L922,Calculation!$H$6:$S$1005,HLOOKUP(N$2,Calculation!$M$4:$S$5,2,FALSE)+5,FALSE),"")</f>
        <v/>
      </c>
      <c r="O922" s="4" t="str">
        <f ca="1">IFERROR(VLOOKUP($L922,Calculation!$H$6:$S$1005,HLOOKUP(O$2,Calculation!$M$4:$S$5,2,FALSE)+5,FALSE),"")</f>
        <v/>
      </c>
      <c r="P922" s="4" t="str">
        <f ca="1">IFERROR(VLOOKUP($L922,Calculation!$H$6:$S$1005,HLOOKUP(P$2,Calculation!$M$4:$S$5,2,FALSE)+5,FALSE),"")</f>
        <v/>
      </c>
      <c r="Q922" s="4" t="str">
        <f ca="1">IFERROR(VLOOKUP($L922,Calculation!$H$6:$S$1005,HLOOKUP(Q$2,Calculation!$M$4:$S$5,2,FALSE)+5,FALSE),"")</f>
        <v/>
      </c>
      <c r="R922" s="27" t="str">
        <f ca="1">IFERROR(VLOOKUP($L922,Calculation!$H$6:$S$1005,HLOOKUP(R$2,Calculation!$M$4:$S$5,2,FALSE)+5,FALSE),"")</f>
        <v/>
      </c>
      <c r="S922" s="4" t="str">
        <f ca="1">IFERROR(VLOOKUP($L922,Calculation!$H$6:$S$1005,HLOOKUP(S$2,Calculation!$M$4:$S$5,2,FALSE)+5,FALSE),"")</f>
        <v/>
      </c>
      <c r="T922" s="29"/>
      <c r="U922" s="43" t="str">
        <f>IFERROR(VLOOKUP(T922,Calculation!$U$6:$V$11,2,FALSE),"")</f>
        <v/>
      </c>
    </row>
    <row r="923" spans="1:21" ht="14.25" customHeight="1" x14ac:dyDescent="0.3">
      <c r="A923" s="26" t="str">
        <f ca="1">IF(Calculation!T926&lt;=Calculation!$H$4,Calculation!T926,"")</f>
        <v/>
      </c>
      <c r="B923" s="4" t="str">
        <f ca="1">VLOOKUP(A923,Calculation!$E$6:$J$1004,4,FALSE)</f>
        <v/>
      </c>
      <c r="C923" s="4" t="str">
        <f ca="1">VLOOKUP(A923,Calculation!$E$6:$J$1004,5,FALSE)</f>
        <v/>
      </c>
      <c r="D923" s="4" t="str">
        <f ca="1">VLOOKUP(A923,Calculation!$E$6:$J$1004,6,FALSE)</f>
        <v/>
      </c>
      <c r="E923" s="42" t="str">
        <f t="shared" ca="1" si="6"/>
        <v/>
      </c>
      <c r="G923" s="29" t="str">
        <f ca="1">VLOOKUP(A923,Calculation!$F$6:$J$1004,3,FALSE)</f>
        <v/>
      </c>
      <c r="H923" s="4" t="str">
        <f ca="1">VLOOKUP(A923,Calculation!$F$6:$J$1004,4,FALSE)</f>
        <v/>
      </c>
      <c r="I923" s="4" t="str">
        <f ca="1">VLOOKUP(A923,Calculation!$F$6:$J$1004,5,FALSE)</f>
        <v/>
      </c>
      <c r="J923" s="43" t="str">
        <f t="shared" ca="1" si="7"/>
        <v/>
      </c>
      <c r="L923" s="29" t="str">
        <f ca="1">VLOOKUP(A923,Calculation!$G$6:$S$1004,2,FALSE)</f>
        <v/>
      </c>
      <c r="M923" s="4" t="str">
        <f ca="1">IFERROR(VLOOKUP($L923,Calculation!$H$6:$S$1005,HLOOKUP(M$2,Calculation!$M$4:$S$5,2,FALSE)+5,FALSE),"")</f>
        <v/>
      </c>
      <c r="N923" s="4" t="str">
        <f ca="1">IFERROR(VLOOKUP($L923,Calculation!$H$6:$S$1005,HLOOKUP(N$2,Calculation!$M$4:$S$5,2,FALSE)+5,FALSE),"")</f>
        <v/>
      </c>
      <c r="O923" s="4" t="str">
        <f ca="1">IFERROR(VLOOKUP($L923,Calculation!$H$6:$S$1005,HLOOKUP(O$2,Calculation!$M$4:$S$5,2,FALSE)+5,FALSE),"")</f>
        <v/>
      </c>
      <c r="P923" s="4" t="str">
        <f ca="1">IFERROR(VLOOKUP($L923,Calculation!$H$6:$S$1005,HLOOKUP(P$2,Calculation!$M$4:$S$5,2,FALSE)+5,FALSE),"")</f>
        <v/>
      </c>
      <c r="Q923" s="4" t="str">
        <f ca="1">IFERROR(VLOOKUP($L923,Calculation!$H$6:$S$1005,HLOOKUP(Q$2,Calculation!$M$4:$S$5,2,FALSE)+5,FALSE),"")</f>
        <v/>
      </c>
      <c r="R923" s="27" t="str">
        <f ca="1">IFERROR(VLOOKUP($L923,Calculation!$H$6:$S$1005,HLOOKUP(R$2,Calculation!$M$4:$S$5,2,FALSE)+5,FALSE),"")</f>
        <v/>
      </c>
      <c r="S923" s="4" t="str">
        <f ca="1">IFERROR(VLOOKUP($L923,Calculation!$H$6:$S$1005,HLOOKUP(S$2,Calculation!$M$4:$S$5,2,FALSE)+5,FALSE),"")</f>
        <v/>
      </c>
      <c r="T923" s="29"/>
      <c r="U923" s="43" t="str">
        <f>IFERROR(VLOOKUP(T923,Calculation!$U$6:$V$11,2,FALSE),"")</f>
        <v/>
      </c>
    </row>
    <row r="924" spans="1:21" ht="14.25" customHeight="1" x14ac:dyDescent="0.3">
      <c r="A924" s="26" t="str">
        <f ca="1">IF(Calculation!T927&lt;=Calculation!$H$4,Calculation!T927,"")</f>
        <v/>
      </c>
      <c r="B924" s="4" t="str">
        <f ca="1">VLOOKUP(A924,Calculation!$E$6:$J$1004,4,FALSE)</f>
        <v/>
      </c>
      <c r="C924" s="4" t="str">
        <f ca="1">VLOOKUP(A924,Calculation!$E$6:$J$1004,5,FALSE)</f>
        <v/>
      </c>
      <c r="D924" s="4" t="str">
        <f ca="1">VLOOKUP(A924,Calculation!$E$6:$J$1004,6,FALSE)</f>
        <v/>
      </c>
      <c r="E924" s="42" t="str">
        <f t="shared" ca="1" si="6"/>
        <v/>
      </c>
      <c r="G924" s="29" t="str">
        <f ca="1">VLOOKUP(A924,Calculation!$F$6:$J$1004,3,FALSE)</f>
        <v/>
      </c>
      <c r="H924" s="4" t="str">
        <f ca="1">VLOOKUP(A924,Calculation!$F$6:$J$1004,4,FALSE)</f>
        <v/>
      </c>
      <c r="I924" s="4" t="str">
        <f ca="1">VLOOKUP(A924,Calculation!$F$6:$J$1004,5,FALSE)</f>
        <v/>
      </c>
      <c r="J924" s="43" t="str">
        <f t="shared" ca="1" si="7"/>
        <v/>
      </c>
      <c r="L924" s="29" t="str">
        <f ca="1">VLOOKUP(A924,Calculation!$G$6:$S$1004,2,FALSE)</f>
        <v/>
      </c>
      <c r="M924" s="4" t="str">
        <f ca="1">IFERROR(VLOOKUP($L924,Calculation!$H$6:$S$1005,HLOOKUP(M$2,Calculation!$M$4:$S$5,2,FALSE)+5,FALSE),"")</f>
        <v/>
      </c>
      <c r="N924" s="4" t="str">
        <f ca="1">IFERROR(VLOOKUP($L924,Calculation!$H$6:$S$1005,HLOOKUP(N$2,Calculation!$M$4:$S$5,2,FALSE)+5,FALSE),"")</f>
        <v/>
      </c>
      <c r="O924" s="4" t="str">
        <f ca="1">IFERROR(VLOOKUP($L924,Calculation!$H$6:$S$1005,HLOOKUP(O$2,Calculation!$M$4:$S$5,2,FALSE)+5,FALSE),"")</f>
        <v/>
      </c>
      <c r="P924" s="4" t="str">
        <f ca="1">IFERROR(VLOOKUP($L924,Calculation!$H$6:$S$1005,HLOOKUP(P$2,Calculation!$M$4:$S$5,2,FALSE)+5,FALSE),"")</f>
        <v/>
      </c>
      <c r="Q924" s="4" t="str">
        <f ca="1">IFERROR(VLOOKUP($L924,Calculation!$H$6:$S$1005,HLOOKUP(Q$2,Calculation!$M$4:$S$5,2,FALSE)+5,FALSE),"")</f>
        <v/>
      </c>
      <c r="R924" s="27" t="str">
        <f ca="1">IFERROR(VLOOKUP($L924,Calculation!$H$6:$S$1005,HLOOKUP(R$2,Calculation!$M$4:$S$5,2,FALSE)+5,FALSE),"")</f>
        <v/>
      </c>
      <c r="S924" s="4" t="str">
        <f ca="1">IFERROR(VLOOKUP($L924,Calculation!$H$6:$S$1005,HLOOKUP(S$2,Calculation!$M$4:$S$5,2,FALSE)+5,FALSE),"")</f>
        <v/>
      </c>
      <c r="T924" s="29"/>
      <c r="U924" s="43" t="str">
        <f>IFERROR(VLOOKUP(T924,Calculation!$U$6:$V$11,2,FALSE),"")</f>
        <v/>
      </c>
    </row>
    <row r="925" spans="1:21" ht="14.25" customHeight="1" x14ac:dyDescent="0.3">
      <c r="A925" s="26" t="str">
        <f ca="1">IF(Calculation!T928&lt;=Calculation!$H$4,Calculation!T928,"")</f>
        <v/>
      </c>
      <c r="B925" s="4" t="str">
        <f ca="1">VLOOKUP(A925,Calculation!$E$6:$J$1004,4,FALSE)</f>
        <v/>
      </c>
      <c r="C925" s="4" t="str">
        <f ca="1">VLOOKUP(A925,Calculation!$E$6:$J$1004,5,FALSE)</f>
        <v/>
      </c>
      <c r="D925" s="4" t="str">
        <f ca="1">VLOOKUP(A925,Calculation!$E$6:$J$1004,6,FALSE)</f>
        <v/>
      </c>
      <c r="E925" s="42" t="str">
        <f t="shared" ca="1" si="6"/>
        <v/>
      </c>
      <c r="G925" s="29" t="str">
        <f ca="1">VLOOKUP(A925,Calculation!$F$6:$J$1004,3,FALSE)</f>
        <v/>
      </c>
      <c r="H925" s="4" t="str">
        <f ca="1">VLOOKUP(A925,Calculation!$F$6:$J$1004,4,FALSE)</f>
        <v/>
      </c>
      <c r="I925" s="4" t="str">
        <f ca="1">VLOOKUP(A925,Calculation!$F$6:$J$1004,5,FALSE)</f>
        <v/>
      </c>
      <c r="J925" s="43" t="str">
        <f t="shared" ca="1" si="7"/>
        <v/>
      </c>
      <c r="L925" s="29" t="str">
        <f ca="1">VLOOKUP(A925,Calculation!$G$6:$S$1004,2,FALSE)</f>
        <v/>
      </c>
      <c r="M925" s="4" t="str">
        <f ca="1">IFERROR(VLOOKUP($L925,Calculation!$H$6:$S$1005,HLOOKUP(M$2,Calculation!$M$4:$S$5,2,FALSE)+5,FALSE),"")</f>
        <v/>
      </c>
      <c r="N925" s="4" t="str">
        <f ca="1">IFERROR(VLOOKUP($L925,Calculation!$H$6:$S$1005,HLOOKUP(N$2,Calculation!$M$4:$S$5,2,FALSE)+5,FALSE),"")</f>
        <v/>
      </c>
      <c r="O925" s="4" t="str">
        <f ca="1">IFERROR(VLOOKUP($L925,Calculation!$H$6:$S$1005,HLOOKUP(O$2,Calculation!$M$4:$S$5,2,FALSE)+5,FALSE),"")</f>
        <v/>
      </c>
      <c r="P925" s="4" t="str">
        <f ca="1">IFERROR(VLOOKUP($L925,Calculation!$H$6:$S$1005,HLOOKUP(P$2,Calculation!$M$4:$S$5,2,FALSE)+5,FALSE),"")</f>
        <v/>
      </c>
      <c r="Q925" s="4" t="str">
        <f ca="1">IFERROR(VLOOKUP($L925,Calculation!$H$6:$S$1005,HLOOKUP(Q$2,Calculation!$M$4:$S$5,2,FALSE)+5,FALSE),"")</f>
        <v/>
      </c>
      <c r="R925" s="27" t="str">
        <f ca="1">IFERROR(VLOOKUP($L925,Calculation!$H$6:$S$1005,HLOOKUP(R$2,Calculation!$M$4:$S$5,2,FALSE)+5,FALSE),"")</f>
        <v/>
      </c>
      <c r="S925" s="4" t="str">
        <f ca="1">IFERROR(VLOOKUP($L925,Calculation!$H$6:$S$1005,HLOOKUP(S$2,Calculation!$M$4:$S$5,2,FALSE)+5,FALSE),"")</f>
        <v/>
      </c>
      <c r="T925" s="29"/>
      <c r="U925" s="43" t="str">
        <f>IFERROR(VLOOKUP(T925,Calculation!$U$6:$V$11,2,FALSE),"")</f>
        <v/>
      </c>
    </row>
    <row r="926" spans="1:21" ht="14.25" customHeight="1" x14ac:dyDescent="0.3">
      <c r="A926" s="26" t="str">
        <f ca="1">IF(Calculation!T929&lt;=Calculation!$H$4,Calculation!T929,"")</f>
        <v/>
      </c>
      <c r="B926" s="4" t="str">
        <f ca="1">VLOOKUP(A926,Calculation!$E$6:$J$1004,4,FALSE)</f>
        <v/>
      </c>
      <c r="C926" s="4" t="str">
        <f ca="1">VLOOKUP(A926,Calculation!$E$6:$J$1004,5,FALSE)</f>
        <v/>
      </c>
      <c r="D926" s="4" t="str">
        <f ca="1">VLOOKUP(A926,Calculation!$E$6:$J$1004,6,FALSE)</f>
        <v/>
      </c>
      <c r="E926" s="42" t="str">
        <f t="shared" ca="1" si="6"/>
        <v/>
      </c>
      <c r="G926" s="29" t="str">
        <f ca="1">VLOOKUP(A926,Calculation!$F$6:$J$1004,3,FALSE)</f>
        <v/>
      </c>
      <c r="H926" s="4" t="str">
        <f ca="1">VLOOKUP(A926,Calculation!$F$6:$J$1004,4,FALSE)</f>
        <v/>
      </c>
      <c r="I926" s="4" t="str">
        <f ca="1">VLOOKUP(A926,Calculation!$F$6:$J$1004,5,FALSE)</f>
        <v/>
      </c>
      <c r="J926" s="43" t="str">
        <f t="shared" ca="1" si="7"/>
        <v/>
      </c>
      <c r="L926" s="29" t="str">
        <f ca="1">VLOOKUP(A926,Calculation!$G$6:$S$1004,2,FALSE)</f>
        <v/>
      </c>
      <c r="M926" s="4" t="str">
        <f ca="1">IFERROR(VLOOKUP($L926,Calculation!$H$6:$S$1005,HLOOKUP(M$2,Calculation!$M$4:$S$5,2,FALSE)+5,FALSE),"")</f>
        <v/>
      </c>
      <c r="N926" s="4" t="str">
        <f ca="1">IFERROR(VLOOKUP($L926,Calculation!$H$6:$S$1005,HLOOKUP(N$2,Calculation!$M$4:$S$5,2,FALSE)+5,FALSE),"")</f>
        <v/>
      </c>
      <c r="O926" s="4" t="str">
        <f ca="1">IFERROR(VLOOKUP($L926,Calculation!$H$6:$S$1005,HLOOKUP(O$2,Calculation!$M$4:$S$5,2,FALSE)+5,FALSE),"")</f>
        <v/>
      </c>
      <c r="P926" s="4" t="str">
        <f ca="1">IFERROR(VLOOKUP($L926,Calculation!$H$6:$S$1005,HLOOKUP(P$2,Calculation!$M$4:$S$5,2,FALSE)+5,FALSE),"")</f>
        <v/>
      </c>
      <c r="Q926" s="4" t="str">
        <f ca="1">IFERROR(VLOOKUP($L926,Calculation!$H$6:$S$1005,HLOOKUP(Q$2,Calculation!$M$4:$S$5,2,FALSE)+5,FALSE),"")</f>
        <v/>
      </c>
      <c r="R926" s="27" t="str">
        <f ca="1">IFERROR(VLOOKUP($L926,Calculation!$H$6:$S$1005,HLOOKUP(R$2,Calculation!$M$4:$S$5,2,FALSE)+5,FALSE),"")</f>
        <v/>
      </c>
      <c r="S926" s="4" t="str">
        <f ca="1">IFERROR(VLOOKUP($L926,Calculation!$H$6:$S$1005,HLOOKUP(S$2,Calculation!$M$4:$S$5,2,FALSE)+5,FALSE),"")</f>
        <v/>
      </c>
      <c r="T926" s="29"/>
      <c r="U926" s="43" t="str">
        <f>IFERROR(VLOOKUP(T926,Calculation!$U$6:$V$11,2,FALSE),"")</f>
        <v/>
      </c>
    </row>
    <row r="927" spans="1:21" ht="14.25" customHeight="1" x14ac:dyDescent="0.3">
      <c r="A927" s="26" t="str">
        <f ca="1">IF(Calculation!T930&lt;=Calculation!$H$4,Calculation!T930,"")</f>
        <v/>
      </c>
      <c r="B927" s="4" t="str">
        <f ca="1">VLOOKUP(A927,Calculation!$E$6:$J$1004,4,FALSE)</f>
        <v/>
      </c>
      <c r="C927" s="4" t="str">
        <f ca="1">VLOOKUP(A927,Calculation!$E$6:$J$1004,5,FALSE)</f>
        <v/>
      </c>
      <c r="D927" s="4" t="str">
        <f ca="1">VLOOKUP(A927,Calculation!$E$6:$J$1004,6,FALSE)</f>
        <v/>
      </c>
      <c r="E927" s="42" t="str">
        <f t="shared" ca="1" si="6"/>
        <v/>
      </c>
      <c r="G927" s="29" t="str">
        <f ca="1">VLOOKUP(A927,Calculation!$F$6:$J$1004,3,FALSE)</f>
        <v/>
      </c>
      <c r="H927" s="4" t="str">
        <f ca="1">VLOOKUP(A927,Calculation!$F$6:$J$1004,4,FALSE)</f>
        <v/>
      </c>
      <c r="I927" s="4" t="str">
        <f ca="1">VLOOKUP(A927,Calculation!$F$6:$J$1004,5,FALSE)</f>
        <v/>
      </c>
      <c r="J927" s="43" t="str">
        <f t="shared" ca="1" si="7"/>
        <v/>
      </c>
      <c r="L927" s="29" t="str">
        <f ca="1">VLOOKUP(A927,Calculation!$G$6:$S$1004,2,FALSE)</f>
        <v/>
      </c>
      <c r="M927" s="4" t="str">
        <f ca="1">IFERROR(VLOOKUP($L927,Calculation!$H$6:$S$1005,HLOOKUP(M$2,Calculation!$M$4:$S$5,2,FALSE)+5,FALSE),"")</f>
        <v/>
      </c>
      <c r="N927" s="4" t="str">
        <f ca="1">IFERROR(VLOOKUP($L927,Calculation!$H$6:$S$1005,HLOOKUP(N$2,Calculation!$M$4:$S$5,2,FALSE)+5,FALSE),"")</f>
        <v/>
      </c>
      <c r="O927" s="4" t="str">
        <f ca="1">IFERROR(VLOOKUP($L927,Calculation!$H$6:$S$1005,HLOOKUP(O$2,Calculation!$M$4:$S$5,2,FALSE)+5,FALSE),"")</f>
        <v/>
      </c>
      <c r="P927" s="4" t="str">
        <f ca="1">IFERROR(VLOOKUP($L927,Calculation!$H$6:$S$1005,HLOOKUP(P$2,Calculation!$M$4:$S$5,2,FALSE)+5,FALSE),"")</f>
        <v/>
      </c>
      <c r="Q927" s="4" t="str">
        <f ca="1">IFERROR(VLOOKUP($L927,Calculation!$H$6:$S$1005,HLOOKUP(Q$2,Calculation!$M$4:$S$5,2,FALSE)+5,FALSE),"")</f>
        <v/>
      </c>
      <c r="R927" s="27" t="str">
        <f ca="1">IFERROR(VLOOKUP($L927,Calculation!$H$6:$S$1005,HLOOKUP(R$2,Calculation!$M$4:$S$5,2,FALSE)+5,FALSE),"")</f>
        <v/>
      </c>
      <c r="S927" s="4" t="str">
        <f ca="1">IFERROR(VLOOKUP($L927,Calculation!$H$6:$S$1005,HLOOKUP(S$2,Calculation!$M$4:$S$5,2,FALSE)+5,FALSE),"")</f>
        <v/>
      </c>
      <c r="T927" s="29"/>
      <c r="U927" s="43" t="str">
        <f>IFERROR(VLOOKUP(T927,Calculation!$U$6:$V$11,2,FALSE),"")</f>
        <v/>
      </c>
    </row>
    <row r="928" spans="1:21" ht="14.25" customHeight="1" x14ac:dyDescent="0.3">
      <c r="A928" s="26" t="str">
        <f ca="1">IF(Calculation!T931&lt;=Calculation!$H$4,Calculation!T931,"")</f>
        <v/>
      </c>
      <c r="B928" s="4" t="str">
        <f ca="1">VLOOKUP(A928,Calculation!$E$6:$J$1004,4,FALSE)</f>
        <v/>
      </c>
      <c r="C928" s="4" t="str">
        <f ca="1">VLOOKUP(A928,Calculation!$E$6:$J$1004,5,FALSE)</f>
        <v/>
      </c>
      <c r="D928" s="4" t="str">
        <f ca="1">VLOOKUP(A928,Calculation!$E$6:$J$1004,6,FALSE)</f>
        <v/>
      </c>
      <c r="E928" s="42" t="str">
        <f t="shared" ca="1" si="6"/>
        <v/>
      </c>
      <c r="G928" s="29" t="str">
        <f ca="1">VLOOKUP(A928,Calculation!$F$6:$J$1004,3,FALSE)</f>
        <v/>
      </c>
      <c r="H928" s="4" t="str">
        <f ca="1">VLOOKUP(A928,Calculation!$F$6:$J$1004,4,FALSE)</f>
        <v/>
      </c>
      <c r="I928" s="4" t="str">
        <f ca="1">VLOOKUP(A928,Calculation!$F$6:$J$1004,5,FALSE)</f>
        <v/>
      </c>
      <c r="J928" s="43" t="str">
        <f t="shared" ca="1" si="7"/>
        <v/>
      </c>
      <c r="L928" s="29" t="str">
        <f ca="1">VLOOKUP(A928,Calculation!$G$6:$S$1004,2,FALSE)</f>
        <v/>
      </c>
      <c r="M928" s="4" t="str">
        <f ca="1">IFERROR(VLOOKUP($L928,Calculation!$H$6:$S$1005,HLOOKUP(M$2,Calculation!$M$4:$S$5,2,FALSE)+5,FALSE),"")</f>
        <v/>
      </c>
      <c r="N928" s="4" t="str">
        <f ca="1">IFERROR(VLOOKUP($L928,Calculation!$H$6:$S$1005,HLOOKUP(N$2,Calculation!$M$4:$S$5,2,FALSE)+5,FALSE),"")</f>
        <v/>
      </c>
      <c r="O928" s="4" t="str">
        <f ca="1">IFERROR(VLOOKUP($L928,Calculation!$H$6:$S$1005,HLOOKUP(O$2,Calculation!$M$4:$S$5,2,FALSE)+5,FALSE),"")</f>
        <v/>
      </c>
      <c r="P928" s="4" t="str">
        <f ca="1">IFERROR(VLOOKUP($L928,Calculation!$H$6:$S$1005,HLOOKUP(P$2,Calculation!$M$4:$S$5,2,FALSE)+5,FALSE),"")</f>
        <v/>
      </c>
      <c r="Q928" s="4" t="str">
        <f ca="1">IFERROR(VLOOKUP($L928,Calculation!$H$6:$S$1005,HLOOKUP(Q$2,Calculation!$M$4:$S$5,2,FALSE)+5,FALSE),"")</f>
        <v/>
      </c>
      <c r="R928" s="27" t="str">
        <f ca="1">IFERROR(VLOOKUP($L928,Calculation!$H$6:$S$1005,HLOOKUP(R$2,Calculation!$M$4:$S$5,2,FALSE)+5,FALSE),"")</f>
        <v/>
      </c>
      <c r="S928" s="4" t="str">
        <f ca="1">IFERROR(VLOOKUP($L928,Calculation!$H$6:$S$1005,HLOOKUP(S$2,Calculation!$M$4:$S$5,2,FALSE)+5,FALSE),"")</f>
        <v/>
      </c>
      <c r="T928" s="29"/>
      <c r="U928" s="43" t="str">
        <f>IFERROR(VLOOKUP(T928,Calculation!$U$6:$V$11,2,FALSE),"")</f>
        <v/>
      </c>
    </row>
    <row r="929" spans="1:21" ht="14.25" customHeight="1" x14ac:dyDescent="0.3">
      <c r="A929" s="26" t="str">
        <f ca="1">IF(Calculation!T932&lt;=Calculation!$H$4,Calculation!T932,"")</f>
        <v/>
      </c>
      <c r="B929" s="4" t="str">
        <f ca="1">VLOOKUP(A929,Calculation!$E$6:$J$1004,4,FALSE)</f>
        <v/>
      </c>
      <c r="C929" s="4" t="str">
        <f ca="1">VLOOKUP(A929,Calculation!$E$6:$J$1004,5,FALSE)</f>
        <v/>
      </c>
      <c r="D929" s="4" t="str">
        <f ca="1">VLOOKUP(A929,Calculation!$E$6:$J$1004,6,FALSE)</f>
        <v/>
      </c>
      <c r="E929" s="42" t="str">
        <f t="shared" ca="1" si="6"/>
        <v/>
      </c>
      <c r="G929" s="29" t="str">
        <f ca="1">VLOOKUP(A929,Calculation!$F$6:$J$1004,3,FALSE)</f>
        <v/>
      </c>
      <c r="H929" s="4" t="str">
        <f ca="1">VLOOKUP(A929,Calculation!$F$6:$J$1004,4,FALSE)</f>
        <v/>
      </c>
      <c r="I929" s="4" t="str">
        <f ca="1">VLOOKUP(A929,Calculation!$F$6:$J$1004,5,FALSE)</f>
        <v/>
      </c>
      <c r="J929" s="43" t="str">
        <f t="shared" ca="1" si="7"/>
        <v/>
      </c>
      <c r="L929" s="29" t="str">
        <f ca="1">VLOOKUP(A929,Calculation!$G$6:$S$1004,2,FALSE)</f>
        <v/>
      </c>
      <c r="M929" s="4" t="str">
        <f ca="1">IFERROR(VLOOKUP($L929,Calculation!$H$6:$S$1005,HLOOKUP(M$2,Calculation!$M$4:$S$5,2,FALSE)+5,FALSE),"")</f>
        <v/>
      </c>
      <c r="N929" s="4" t="str">
        <f ca="1">IFERROR(VLOOKUP($L929,Calculation!$H$6:$S$1005,HLOOKUP(N$2,Calculation!$M$4:$S$5,2,FALSE)+5,FALSE),"")</f>
        <v/>
      </c>
      <c r="O929" s="4" t="str">
        <f ca="1">IFERROR(VLOOKUP($L929,Calculation!$H$6:$S$1005,HLOOKUP(O$2,Calculation!$M$4:$S$5,2,FALSE)+5,FALSE),"")</f>
        <v/>
      </c>
      <c r="P929" s="4" t="str">
        <f ca="1">IFERROR(VLOOKUP($L929,Calculation!$H$6:$S$1005,HLOOKUP(P$2,Calculation!$M$4:$S$5,2,FALSE)+5,FALSE),"")</f>
        <v/>
      </c>
      <c r="Q929" s="4" t="str">
        <f ca="1">IFERROR(VLOOKUP($L929,Calculation!$H$6:$S$1005,HLOOKUP(Q$2,Calculation!$M$4:$S$5,2,FALSE)+5,FALSE),"")</f>
        <v/>
      </c>
      <c r="R929" s="27" t="str">
        <f ca="1">IFERROR(VLOOKUP($L929,Calculation!$H$6:$S$1005,HLOOKUP(R$2,Calculation!$M$4:$S$5,2,FALSE)+5,FALSE),"")</f>
        <v/>
      </c>
      <c r="S929" s="4" t="str">
        <f ca="1">IFERROR(VLOOKUP($L929,Calculation!$H$6:$S$1005,HLOOKUP(S$2,Calculation!$M$4:$S$5,2,FALSE)+5,FALSE),"")</f>
        <v/>
      </c>
      <c r="T929" s="29"/>
      <c r="U929" s="43" t="str">
        <f>IFERROR(VLOOKUP(T929,Calculation!$U$6:$V$11,2,FALSE),"")</f>
        <v/>
      </c>
    </row>
    <row r="930" spans="1:21" ht="14.25" customHeight="1" x14ac:dyDescent="0.3">
      <c r="A930" s="26" t="str">
        <f ca="1">IF(Calculation!T933&lt;=Calculation!$H$4,Calculation!T933,"")</f>
        <v/>
      </c>
      <c r="B930" s="4" t="str">
        <f ca="1">VLOOKUP(A930,Calculation!$E$6:$J$1004,4,FALSE)</f>
        <v/>
      </c>
      <c r="C930" s="4" t="str">
        <f ca="1">VLOOKUP(A930,Calculation!$E$6:$J$1004,5,FALSE)</f>
        <v/>
      </c>
      <c r="D930" s="4" t="str">
        <f ca="1">VLOOKUP(A930,Calculation!$E$6:$J$1004,6,FALSE)</f>
        <v/>
      </c>
      <c r="E930" s="42" t="str">
        <f t="shared" ca="1" si="6"/>
        <v/>
      </c>
      <c r="G930" s="29" t="str">
        <f ca="1">VLOOKUP(A930,Calculation!$F$6:$J$1004,3,FALSE)</f>
        <v/>
      </c>
      <c r="H930" s="4" t="str">
        <f ca="1">VLOOKUP(A930,Calculation!$F$6:$J$1004,4,FALSE)</f>
        <v/>
      </c>
      <c r="I930" s="4" t="str">
        <f ca="1">VLOOKUP(A930,Calculation!$F$6:$J$1004,5,FALSE)</f>
        <v/>
      </c>
      <c r="J930" s="43" t="str">
        <f t="shared" ca="1" si="7"/>
        <v/>
      </c>
      <c r="L930" s="29" t="str">
        <f ca="1">VLOOKUP(A930,Calculation!$G$6:$S$1004,2,FALSE)</f>
        <v/>
      </c>
      <c r="M930" s="4" t="str">
        <f ca="1">IFERROR(VLOOKUP($L930,Calculation!$H$6:$S$1005,HLOOKUP(M$2,Calculation!$M$4:$S$5,2,FALSE)+5,FALSE),"")</f>
        <v/>
      </c>
      <c r="N930" s="4" t="str">
        <f ca="1">IFERROR(VLOOKUP($L930,Calculation!$H$6:$S$1005,HLOOKUP(N$2,Calculation!$M$4:$S$5,2,FALSE)+5,FALSE),"")</f>
        <v/>
      </c>
      <c r="O930" s="4" t="str">
        <f ca="1">IFERROR(VLOOKUP($L930,Calculation!$H$6:$S$1005,HLOOKUP(O$2,Calculation!$M$4:$S$5,2,FALSE)+5,FALSE),"")</f>
        <v/>
      </c>
      <c r="P930" s="4" t="str">
        <f ca="1">IFERROR(VLOOKUP($L930,Calculation!$H$6:$S$1005,HLOOKUP(P$2,Calculation!$M$4:$S$5,2,FALSE)+5,FALSE),"")</f>
        <v/>
      </c>
      <c r="Q930" s="4" t="str">
        <f ca="1">IFERROR(VLOOKUP($L930,Calculation!$H$6:$S$1005,HLOOKUP(Q$2,Calculation!$M$4:$S$5,2,FALSE)+5,FALSE),"")</f>
        <v/>
      </c>
      <c r="R930" s="27" t="str">
        <f ca="1">IFERROR(VLOOKUP($L930,Calculation!$H$6:$S$1005,HLOOKUP(R$2,Calculation!$M$4:$S$5,2,FALSE)+5,FALSE),"")</f>
        <v/>
      </c>
      <c r="S930" s="4" t="str">
        <f ca="1">IFERROR(VLOOKUP($L930,Calculation!$H$6:$S$1005,HLOOKUP(S$2,Calculation!$M$4:$S$5,2,FALSE)+5,FALSE),"")</f>
        <v/>
      </c>
      <c r="T930" s="29"/>
      <c r="U930" s="43" t="str">
        <f>IFERROR(VLOOKUP(T930,Calculation!$U$6:$V$11,2,FALSE),"")</f>
        <v/>
      </c>
    </row>
    <row r="931" spans="1:21" ht="14.25" customHeight="1" x14ac:dyDescent="0.3">
      <c r="A931" s="26" t="str">
        <f ca="1">IF(Calculation!T934&lt;=Calculation!$H$4,Calculation!T934,"")</f>
        <v/>
      </c>
      <c r="B931" s="4" t="str">
        <f ca="1">VLOOKUP(A931,Calculation!$E$6:$J$1004,4,FALSE)</f>
        <v/>
      </c>
      <c r="C931" s="4" t="str">
        <f ca="1">VLOOKUP(A931,Calculation!$E$6:$J$1004,5,FALSE)</f>
        <v/>
      </c>
      <c r="D931" s="4" t="str">
        <f ca="1">VLOOKUP(A931,Calculation!$E$6:$J$1004,6,FALSE)</f>
        <v/>
      </c>
      <c r="E931" s="42" t="str">
        <f t="shared" ca="1" si="6"/>
        <v/>
      </c>
      <c r="G931" s="29" t="str">
        <f ca="1">VLOOKUP(A931,Calculation!$F$6:$J$1004,3,FALSE)</f>
        <v/>
      </c>
      <c r="H931" s="4" t="str">
        <f ca="1">VLOOKUP(A931,Calculation!$F$6:$J$1004,4,FALSE)</f>
        <v/>
      </c>
      <c r="I931" s="4" t="str">
        <f ca="1">VLOOKUP(A931,Calculation!$F$6:$J$1004,5,FALSE)</f>
        <v/>
      </c>
      <c r="J931" s="43" t="str">
        <f t="shared" ca="1" si="7"/>
        <v/>
      </c>
      <c r="L931" s="29" t="str">
        <f ca="1">VLOOKUP(A931,Calculation!$G$6:$S$1004,2,FALSE)</f>
        <v/>
      </c>
      <c r="M931" s="4" t="str">
        <f ca="1">IFERROR(VLOOKUP($L931,Calculation!$H$6:$S$1005,HLOOKUP(M$2,Calculation!$M$4:$S$5,2,FALSE)+5,FALSE),"")</f>
        <v/>
      </c>
      <c r="N931" s="4" t="str">
        <f ca="1">IFERROR(VLOOKUP($L931,Calculation!$H$6:$S$1005,HLOOKUP(N$2,Calculation!$M$4:$S$5,2,FALSE)+5,FALSE),"")</f>
        <v/>
      </c>
      <c r="O931" s="4" t="str">
        <f ca="1">IFERROR(VLOOKUP($L931,Calculation!$H$6:$S$1005,HLOOKUP(O$2,Calculation!$M$4:$S$5,2,FALSE)+5,FALSE),"")</f>
        <v/>
      </c>
      <c r="P931" s="4" t="str">
        <f ca="1">IFERROR(VLOOKUP($L931,Calculation!$H$6:$S$1005,HLOOKUP(P$2,Calculation!$M$4:$S$5,2,FALSE)+5,FALSE),"")</f>
        <v/>
      </c>
      <c r="Q931" s="4" t="str">
        <f ca="1">IFERROR(VLOOKUP($L931,Calculation!$H$6:$S$1005,HLOOKUP(Q$2,Calculation!$M$4:$S$5,2,FALSE)+5,FALSE),"")</f>
        <v/>
      </c>
      <c r="R931" s="27" t="str">
        <f ca="1">IFERROR(VLOOKUP($L931,Calculation!$H$6:$S$1005,HLOOKUP(R$2,Calculation!$M$4:$S$5,2,FALSE)+5,FALSE),"")</f>
        <v/>
      </c>
      <c r="S931" s="4" t="str">
        <f ca="1">IFERROR(VLOOKUP($L931,Calculation!$H$6:$S$1005,HLOOKUP(S$2,Calculation!$M$4:$S$5,2,FALSE)+5,FALSE),"")</f>
        <v/>
      </c>
      <c r="T931" s="29"/>
      <c r="U931" s="43" t="str">
        <f>IFERROR(VLOOKUP(T931,Calculation!$U$6:$V$11,2,FALSE),"")</f>
        <v/>
      </c>
    </row>
    <row r="932" spans="1:21" ht="14.25" customHeight="1" x14ac:dyDescent="0.3">
      <c r="A932" s="26" t="str">
        <f ca="1">IF(Calculation!T935&lt;=Calculation!$H$4,Calculation!T935,"")</f>
        <v/>
      </c>
      <c r="B932" s="4" t="str">
        <f ca="1">VLOOKUP(A932,Calculation!$E$6:$J$1004,4,FALSE)</f>
        <v/>
      </c>
      <c r="C932" s="4" t="str">
        <f ca="1">VLOOKUP(A932,Calculation!$E$6:$J$1004,5,FALSE)</f>
        <v/>
      </c>
      <c r="D932" s="4" t="str">
        <f ca="1">VLOOKUP(A932,Calculation!$E$6:$J$1004,6,FALSE)</f>
        <v/>
      </c>
      <c r="E932" s="42" t="str">
        <f t="shared" ca="1" si="6"/>
        <v/>
      </c>
      <c r="G932" s="29" t="str">
        <f ca="1">VLOOKUP(A932,Calculation!$F$6:$J$1004,3,FALSE)</f>
        <v/>
      </c>
      <c r="H932" s="4" t="str">
        <f ca="1">VLOOKUP(A932,Calculation!$F$6:$J$1004,4,FALSE)</f>
        <v/>
      </c>
      <c r="I932" s="4" t="str">
        <f ca="1">VLOOKUP(A932,Calculation!$F$6:$J$1004,5,FALSE)</f>
        <v/>
      </c>
      <c r="J932" s="43" t="str">
        <f t="shared" ca="1" si="7"/>
        <v/>
      </c>
      <c r="L932" s="29" t="str">
        <f ca="1">VLOOKUP(A932,Calculation!$G$6:$S$1004,2,FALSE)</f>
        <v/>
      </c>
      <c r="M932" s="4" t="str">
        <f ca="1">IFERROR(VLOOKUP($L932,Calculation!$H$6:$S$1005,HLOOKUP(M$2,Calculation!$M$4:$S$5,2,FALSE)+5,FALSE),"")</f>
        <v/>
      </c>
      <c r="N932" s="4" t="str">
        <f ca="1">IFERROR(VLOOKUP($L932,Calculation!$H$6:$S$1005,HLOOKUP(N$2,Calculation!$M$4:$S$5,2,FALSE)+5,FALSE),"")</f>
        <v/>
      </c>
      <c r="O932" s="4" t="str">
        <f ca="1">IFERROR(VLOOKUP($L932,Calculation!$H$6:$S$1005,HLOOKUP(O$2,Calculation!$M$4:$S$5,2,FALSE)+5,FALSE),"")</f>
        <v/>
      </c>
      <c r="P932" s="4" t="str">
        <f ca="1">IFERROR(VLOOKUP($L932,Calculation!$H$6:$S$1005,HLOOKUP(P$2,Calculation!$M$4:$S$5,2,FALSE)+5,FALSE),"")</f>
        <v/>
      </c>
      <c r="Q932" s="4" t="str">
        <f ca="1">IFERROR(VLOOKUP($L932,Calculation!$H$6:$S$1005,HLOOKUP(Q$2,Calculation!$M$4:$S$5,2,FALSE)+5,FALSE),"")</f>
        <v/>
      </c>
      <c r="R932" s="27" t="str">
        <f ca="1">IFERROR(VLOOKUP($L932,Calculation!$H$6:$S$1005,HLOOKUP(R$2,Calculation!$M$4:$S$5,2,FALSE)+5,FALSE),"")</f>
        <v/>
      </c>
      <c r="S932" s="4" t="str">
        <f ca="1">IFERROR(VLOOKUP($L932,Calculation!$H$6:$S$1005,HLOOKUP(S$2,Calculation!$M$4:$S$5,2,FALSE)+5,FALSE),"")</f>
        <v/>
      </c>
      <c r="T932" s="29"/>
      <c r="U932" s="43" t="str">
        <f>IFERROR(VLOOKUP(T932,Calculation!$U$6:$V$11,2,FALSE),"")</f>
        <v/>
      </c>
    </row>
    <row r="933" spans="1:21" ht="14.25" customHeight="1" x14ac:dyDescent="0.3">
      <c r="A933" s="26" t="str">
        <f ca="1">IF(Calculation!T936&lt;=Calculation!$H$4,Calculation!T936,"")</f>
        <v/>
      </c>
      <c r="B933" s="4" t="str">
        <f ca="1">VLOOKUP(A933,Calculation!$E$6:$J$1004,4,FALSE)</f>
        <v/>
      </c>
      <c r="C933" s="4" t="str">
        <f ca="1">VLOOKUP(A933,Calculation!$E$6:$J$1004,5,FALSE)</f>
        <v/>
      </c>
      <c r="D933" s="4" t="str">
        <f ca="1">VLOOKUP(A933,Calculation!$E$6:$J$1004,6,FALSE)</f>
        <v/>
      </c>
      <c r="E933" s="42" t="str">
        <f t="shared" ca="1" si="6"/>
        <v/>
      </c>
      <c r="G933" s="29" t="str">
        <f ca="1">VLOOKUP(A933,Calculation!$F$6:$J$1004,3,FALSE)</f>
        <v/>
      </c>
      <c r="H933" s="4" t="str">
        <f ca="1">VLOOKUP(A933,Calculation!$F$6:$J$1004,4,FALSE)</f>
        <v/>
      </c>
      <c r="I933" s="4" t="str">
        <f ca="1">VLOOKUP(A933,Calculation!$F$6:$J$1004,5,FALSE)</f>
        <v/>
      </c>
      <c r="J933" s="43" t="str">
        <f t="shared" ca="1" si="7"/>
        <v/>
      </c>
      <c r="L933" s="29" t="str">
        <f ca="1">VLOOKUP(A933,Calculation!$G$6:$S$1004,2,FALSE)</f>
        <v/>
      </c>
      <c r="M933" s="4" t="str">
        <f ca="1">IFERROR(VLOOKUP($L933,Calculation!$H$6:$S$1005,HLOOKUP(M$2,Calculation!$M$4:$S$5,2,FALSE)+5,FALSE),"")</f>
        <v/>
      </c>
      <c r="N933" s="4" t="str">
        <f ca="1">IFERROR(VLOOKUP($L933,Calculation!$H$6:$S$1005,HLOOKUP(N$2,Calculation!$M$4:$S$5,2,FALSE)+5,FALSE),"")</f>
        <v/>
      </c>
      <c r="O933" s="4" t="str">
        <f ca="1">IFERROR(VLOOKUP($L933,Calculation!$H$6:$S$1005,HLOOKUP(O$2,Calculation!$M$4:$S$5,2,FALSE)+5,FALSE),"")</f>
        <v/>
      </c>
      <c r="P933" s="4" t="str">
        <f ca="1">IFERROR(VLOOKUP($L933,Calculation!$H$6:$S$1005,HLOOKUP(P$2,Calculation!$M$4:$S$5,2,FALSE)+5,FALSE),"")</f>
        <v/>
      </c>
      <c r="Q933" s="4" t="str">
        <f ca="1">IFERROR(VLOOKUP($L933,Calculation!$H$6:$S$1005,HLOOKUP(Q$2,Calculation!$M$4:$S$5,2,FALSE)+5,FALSE),"")</f>
        <v/>
      </c>
      <c r="R933" s="27" t="str">
        <f ca="1">IFERROR(VLOOKUP($L933,Calculation!$H$6:$S$1005,HLOOKUP(R$2,Calculation!$M$4:$S$5,2,FALSE)+5,FALSE),"")</f>
        <v/>
      </c>
      <c r="S933" s="4" t="str">
        <f ca="1">IFERROR(VLOOKUP($L933,Calculation!$H$6:$S$1005,HLOOKUP(S$2,Calculation!$M$4:$S$5,2,FALSE)+5,FALSE),"")</f>
        <v/>
      </c>
      <c r="T933" s="29"/>
      <c r="U933" s="43" t="str">
        <f>IFERROR(VLOOKUP(T933,Calculation!$U$6:$V$11,2,FALSE),"")</f>
        <v/>
      </c>
    </row>
    <row r="934" spans="1:21" ht="14.25" customHeight="1" x14ac:dyDescent="0.3">
      <c r="A934" s="26" t="str">
        <f ca="1">IF(Calculation!T937&lt;=Calculation!$H$4,Calculation!T937,"")</f>
        <v/>
      </c>
      <c r="B934" s="4" t="str">
        <f ca="1">VLOOKUP(A934,Calculation!$E$6:$J$1004,4,FALSE)</f>
        <v/>
      </c>
      <c r="C934" s="4" t="str">
        <f ca="1">VLOOKUP(A934,Calculation!$E$6:$J$1004,5,FALSE)</f>
        <v/>
      </c>
      <c r="D934" s="4" t="str">
        <f ca="1">VLOOKUP(A934,Calculation!$E$6:$J$1004,6,FALSE)</f>
        <v/>
      </c>
      <c r="E934" s="42" t="str">
        <f t="shared" ca="1" si="6"/>
        <v/>
      </c>
      <c r="G934" s="29" t="str">
        <f ca="1">VLOOKUP(A934,Calculation!$F$6:$J$1004,3,FALSE)</f>
        <v/>
      </c>
      <c r="H934" s="4" t="str">
        <f ca="1">VLOOKUP(A934,Calculation!$F$6:$J$1004,4,FALSE)</f>
        <v/>
      </c>
      <c r="I934" s="4" t="str">
        <f ca="1">VLOOKUP(A934,Calculation!$F$6:$J$1004,5,FALSE)</f>
        <v/>
      </c>
      <c r="J934" s="43" t="str">
        <f t="shared" ca="1" si="7"/>
        <v/>
      </c>
      <c r="L934" s="29" t="str">
        <f ca="1">VLOOKUP(A934,Calculation!$G$6:$S$1004,2,FALSE)</f>
        <v/>
      </c>
      <c r="M934" s="4" t="str">
        <f ca="1">IFERROR(VLOOKUP($L934,Calculation!$H$6:$S$1005,HLOOKUP(M$2,Calculation!$M$4:$S$5,2,FALSE)+5,FALSE),"")</f>
        <v/>
      </c>
      <c r="N934" s="4" t="str">
        <f ca="1">IFERROR(VLOOKUP($L934,Calculation!$H$6:$S$1005,HLOOKUP(N$2,Calculation!$M$4:$S$5,2,FALSE)+5,FALSE),"")</f>
        <v/>
      </c>
      <c r="O934" s="4" t="str">
        <f ca="1">IFERROR(VLOOKUP($L934,Calculation!$H$6:$S$1005,HLOOKUP(O$2,Calculation!$M$4:$S$5,2,FALSE)+5,FALSE),"")</f>
        <v/>
      </c>
      <c r="P934" s="4" t="str">
        <f ca="1">IFERROR(VLOOKUP($L934,Calculation!$H$6:$S$1005,HLOOKUP(P$2,Calculation!$M$4:$S$5,2,FALSE)+5,FALSE),"")</f>
        <v/>
      </c>
      <c r="Q934" s="4" t="str">
        <f ca="1">IFERROR(VLOOKUP($L934,Calculation!$H$6:$S$1005,HLOOKUP(Q$2,Calculation!$M$4:$S$5,2,FALSE)+5,FALSE),"")</f>
        <v/>
      </c>
      <c r="R934" s="27" t="str">
        <f ca="1">IFERROR(VLOOKUP($L934,Calculation!$H$6:$S$1005,HLOOKUP(R$2,Calculation!$M$4:$S$5,2,FALSE)+5,FALSE),"")</f>
        <v/>
      </c>
      <c r="S934" s="4" t="str">
        <f ca="1">IFERROR(VLOOKUP($L934,Calculation!$H$6:$S$1005,HLOOKUP(S$2,Calculation!$M$4:$S$5,2,FALSE)+5,FALSE),"")</f>
        <v/>
      </c>
      <c r="T934" s="29"/>
      <c r="U934" s="43" t="str">
        <f>IFERROR(VLOOKUP(T934,Calculation!$U$6:$V$11,2,FALSE),"")</f>
        <v/>
      </c>
    </row>
    <row r="935" spans="1:21" ht="14.25" customHeight="1" x14ac:dyDescent="0.3">
      <c r="A935" s="26" t="str">
        <f ca="1">IF(Calculation!T938&lt;=Calculation!$H$4,Calculation!T938,"")</f>
        <v/>
      </c>
      <c r="B935" s="4" t="str">
        <f ca="1">VLOOKUP(A935,Calculation!$E$6:$J$1004,4,FALSE)</f>
        <v/>
      </c>
      <c r="C935" s="4" t="str">
        <f ca="1">VLOOKUP(A935,Calculation!$E$6:$J$1004,5,FALSE)</f>
        <v/>
      </c>
      <c r="D935" s="4" t="str">
        <f ca="1">VLOOKUP(A935,Calculation!$E$6:$J$1004,6,FALSE)</f>
        <v/>
      </c>
      <c r="E935" s="42" t="str">
        <f t="shared" ca="1" si="6"/>
        <v/>
      </c>
      <c r="G935" s="29" t="str">
        <f ca="1">VLOOKUP(A935,Calculation!$F$6:$J$1004,3,FALSE)</f>
        <v/>
      </c>
      <c r="H935" s="4" t="str">
        <f ca="1">VLOOKUP(A935,Calculation!$F$6:$J$1004,4,FALSE)</f>
        <v/>
      </c>
      <c r="I935" s="4" t="str">
        <f ca="1">VLOOKUP(A935,Calculation!$F$6:$J$1004,5,FALSE)</f>
        <v/>
      </c>
      <c r="J935" s="43" t="str">
        <f t="shared" ca="1" si="7"/>
        <v/>
      </c>
      <c r="L935" s="29" t="str">
        <f ca="1">VLOOKUP(A935,Calculation!$G$6:$S$1004,2,FALSE)</f>
        <v/>
      </c>
      <c r="M935" s="4" t="str">
        <f ca="1">IFERROR(VLOOKUP($L935,Calculation!$H$6:$S$1005,HLOOKUP(M$2,Calculation!$M$4:$S$5,2,FALSE)+5,FALSE),"")</f>
        <v/>
      </c>
      <c r="N935" s="4" t="str">
        <f ca="1">IFERROR(VLOOKUP($L935,Calculation!$H$6:$S$1005,HLOOKUP(N$2,Calculation!$M$4:$S$5,2,FALSE)+5,FALSE),"")</f>
        <v/>
      </c>
      <c r="O935" s="4" t="str">
        <f ca="1">IFERROR(VLOOKUP($L935,Calculation!$H$6:$S$1005,HLOOKUP(O$2,Calculation!$M$4:$S$5,2,FALSE)+5,FALSE),"")</f>
        <v/>
      </c>
      <c r="P935" s="4" t="str">
        <f ca="1">IFERROR(VLOOKUP($L935,Calculation!$H$6:$S$1005,HLOOKUP(P$2,Calculation!$M$4:$S$5,2,FALSE)+5,FALSE),"")</f>
        <v/>
      </c>
      <c r="Q935" s="4" t="str">
        <f ca="1">IFERROR(VLOOKUP($L935,Calculation!$H$6:$S$1005,HLOOKUP(Q$2,Calculation!$M$4:$S$5,2,FALSE)+5,FALSE),"")</f>
        <v/>
      </c>
      <c r="R935" s="27" t="str">
        <f ca="1">IFERROR(VLOOKUP($L935,Calculation!$H$6:$S$1005,HLOOKUP(R$2,Calculation!$M$4:$S$5,2,FALSE)+5,FALSE),"")</f>
        <v/>
      </c>
      <c r="S935" s="4" t="str">
        <f ca="1">IFERROR(VLOOKUP($L935,Calculation!$H$6:$S$1005,HLOOKUP(S$2,Calculation!$M$4:$S$5,2,FALSE)+5,FALSE),"")</f>
        <v/>
      </c>
      <c r="T935" s="29"/>
      <c r="U935" s="43" t="str">
        <f>IFERROR(VLOOKUP(T935,Calculation!$U$6:$V$11,2,FALSE),"")</f>
        <v/>
      </c>
    </row>
    <row r="936" spans="1:21" ht="14.25" customHeight="1" x14ac:dyDescent="0.3">
      <c r="A936" s="26" t="str">
        <f ca="1">IF(Calculation!T939&lt;=Calculation!$H$4,Calculation!T939,"")</f>
        <v/>
      </c>
      <c r="B936" s="4" t="str">
        <f ca="1">VLOOKUP(A936,Calculation!$E$6:$J$1004,4,FALSE)</f>
        <v/>
      </c>
      <c r="C936" s="4" t="str">
        <f ca="1">VLOOKUP(A936,Calculation!$E$6:$J$1004,5,FALSE)</f>
        <v/>
      </c>
      <c r="D936" s="4" t="str">
        <f ca="1">VLOOKUP(A936,Calculation!$E$6:$J$1004,6,FALSE)</f>
        <v/>
      </c>
      <c r="E936" s="42" t="str">
        <f t="shared" ca="1" si="6"/>
        <v/>
      </c>
      <c r="G936" s="29" t="str">
        <f ca="1">VLOOKUP(A936,Calculation!$F$6:$J$1004,3,FALSE)</f>
        <v/>
      </c>
      <c r="H936" s="4" t="str">
        <f ca="1">VLOOKUP(A936,Calculation!$F$6:$J$1004,4,FALSE)</f>
        <v/>
      </c>
      <c r="I936" s="4" t="str">
        <f ca="1">VLOOKUP(A936,Calculation!$F$6:$J$1004,5,FALSE)</f>
        <v/>
      </c>
      <c r="J936" s="43" t="str">
        <f t="shared" ca="1" si="7"/>
        <v/>
      </c>
      <c r="L936" s="29" t="str">
        <f ca="1">VLOOKUP(A936,Calculation!$G$6:$S$1004,2,FALSE)</f>
        <v/>
      </c>
      <c r="M936" s="4" t="str">
        <f ca="1">IFERROR(VLOOKUP($L936,Calculation!$H$6:$S$1005,HLOOKUP(M$2,Calculation!$M$4:$S$5,2,FALSE)+5,FALSE),"")</f>
        <v/>
      </c>
      <c r="N936" s="4" t="str">
        <f ca="1">IFERROR(VLOOKUP($L936,Calculation!$H$6:$S$1005,HLOOKUP(N$2,Calculation!$M$4:$S$5,2,FALSE)+5,FALSE),"")</f>
        <v/>
      </c>
      <c r="O936" s="4" t="str">
        <f ca="1">IFERROR(VLOOKUP($L936,Calculation!$H$6:$S$1005,HLOOKUP(O$2,Calculation!$M$4:$S$5,2,FALSE)+5,FALSE),"")</f>
        <v/>
      </c>
      <c r="P936" s="4" t="str">
        <f ca="1">IFERROR(VLOOKUP($L936,Calculation!$H$6:$S$1005,HLOOKUP(P$2,Calculation!$M$4:$S$5,2,FALSE)+5,FALSE),"")</f>
        <v/>
      </c>
      <c r="Q936" s="4" t="str">
        <f ca="1">IFERROR(VLOOKUP($L936,Calculation!$H$6:$S$1005,HLOOKUP(Q$2,Calculation!$M$4:$S$5,2,FALSE)+5,FALSE),"")</f>
        <v/>
      </c>
      <c r="R936" s="27" t="str">
        <f ca="1">IFERROR(VLOOKUP($L936,Calculation!$H$6:$S$1005,HLOOKUP(R$2,Calculation!$M$4:$S$5,2,FALSE)+5,FALSE),"")</f>
        <v/>
      </c>
      <c r="S936" s="4" t="str">
        <f ca="1">IFERROR(VLOOKUP($L936,Calculation!$H$6:$S$1005,HLOOKUP(S$2,Calculation!$M$4:$S$5,2,FALSE)+5,FALSE),"")</f>
        <v/>
      </c>
      <c r="T936" s="29"/>
      <c r="U936" s="43" t="str">
        <f>IFERROR(VLOOKUP(T936,Calculation!$U$6:$V$11,2,FALSE),"")</f>
        <v/>
      </c>
    </row>
    <row r="937" spans="1:21" ht="14.25" customHeight="1" x14ac:dyDescent="0.3">
      <c r="A937" s="26" t="str">
        <f ca="1">IF(Calculation!T940&lt;=Calculation!$H$4,Calculation!T940,"")</f>
        <v/>
      </c>
      <c r="B937" s="4" t="str">
        <f ca="1">VLOOKUP(A937,Calculation!$E$6:$J$1004,4,FALSE)</f>
        <v/>
      </c>
      <c r="C937" s="4" t="str">
        <f ca="1">VLOOKUP(A937,Calculation!$E$6:$J$1004,5,FALSE)</f>
        <v/>
      </c>
      <c r="D937" s="4" t="str">
        <f ca="1">VLOOKUP(A937,Calculation!$E$6:$J$1004,6,FALSE)</f>
        <v/>
      </c>
      <c r="E937" s="42" t="str">
        <f t="shared" ca="1" si="6"/>
        <v/>
      </c>
      <c r="G937" s="29" t="str">
        <f ca="1">VLOOKUP(A937,Calculation!$F$6:$J$1004,3,FALSE)</f>
        <v/>
      </c>
      <c r="H937" s="4" t="str">
        <f ca="1">VLOOKUP(A937,Calculation!$F$6:$J$1004,4,FALSE)</f>
        <v/>
      </c>
      <c r="I937" s="4" t="str">
        <f ca="1">VLOOKUP(A937,Calculation!$F$6:$J$1004,5,FALSE)</f>
        <v/>
      </c>
      <c r="J937" s="43" t="str">
        <f t="shared" ca="1" si="7"/>
        <v/>
      </c>
      <c r="L937" s="29" t="str">
        <f ca="1">VLOOKUP(A937,Calculation!$G$6:$S$1004,2,FALSE)</f>
        <v/>
      </c>
      <c r="M937" s="4" t="str">
        <f ca="1">IFERROR(VLOOKUP($L937,Calculation!$H$6:$S$1005,HLOOKUP(M$2,Calculation!$M$4:$S$5,2,FALSE)+5,FALSE),"")</f>
        <v/>
      </c>
      <c r="N937" s="4" t="str">
        <f ca="1">IFERROR(VLOOKUP($L937,Calculation!$H$6:$S$1005,HLOOKUP(N$2,Calculation!$M$4:$S$5,2,FALSE)+5,FALSE),"")</f>
        <v/>
      </c>
      <c r="O937" s="4" t="str">
        <f ca="1">IFERROR(VLOOKUP($L937,Calculation!$H$6:$S$1005,HLOOKUP(O$2,Calculation!$M$4:$S$5,2,FALSE)+5,FALSE),"")</f>
        <v/>
      </c>
      <c r="P937" s="4" t="str">
        <f ca="1">IFERROR(VLOOKUP($L937,Calculation!$H$6:$S$1005,HLOOKUP(P$2,Calculation!$M$4:$S$5,2,FALSE)+5,FALSE),"")</f>
        <v/>
      </c>
      <c r="Q937" s="4" t="str">
        <f ca="1">IFERROR(VLOOKUP($L937,Calculation!$H$6:$S$1005,HLOOKUP(Q$2,Calculation!$M$4:$S$5,2,FALSE)+5,FALSE),"")</f>
        <v/>
      </c>
      <c r="R937" s="27" t="str">
        <f ca="1">IFERROR(VLOOKUP($L937,Calculation!$H$6:$S$1005,HLOOKUP(R$2,Calculation!$M$4:$S$5,2,FALSE)+5,FALSE),"")</f>
        <v/>
      </c>
      <c r="S937" s="4" t="str">
        <f ca="1">IFERROR(VLOOKUP($L937,Calculation!$H$6:$S$1005,HLOOKUP(S$2,Calculation!$M$4:$S$5,2,FALSE)+5,FALSE),"")</f>
        <v/>
      </c>
      <c r="T937" s="29"/>
      <c r="U937" s="43" t="str">
        <f>IFERROR(VLOOKUP(T937,Calculation!$U$6:$V$11,2,FALSE),"")</f>
        <v/>
      </c>
    </row>
    <row r="938" spans="1:21" ht="14.25" customHeight="1" x14ac:dyDescent="0.3">
      <c r="A938" s="26" t="str">
        <f ca="1">IF(Calculation!T941&lt;=Calculation!$H$4,Calculation!T941,"")</f>
        <v/>
      </c>
      <c r="B938" s="4" t="str">
        <f ca="1">VLOOKUP(A938,Calculation!$E$6:$J$1004,4,FALSE)</f>
        <v/>
      </c>
      <c r="C938" s="4" t="str">
        <f ca="1">VLOOKUP(A938,Calculation!$E$6:$J$1004,5,FALSE)</f>
        <v/>
      </c>
      <c r="D938" s="4" t="str">
        <f ca="1">VLOOKUP(A938,Calculation!$E$6:$J$1004,6,FALSE)</f>
        <v/>
      </c>
      <c r="E938" s="42" t="str">
        <f t="shared" ca="1" si="6"/>
        <v/>
      </c>
      <c r="G938" s="29" t="str">
        <f ca="1">VLOOKUP(A938,Calculation!$F$6:$J$1004,3,FALSE)</f>
        <v/>
      </c>
      <c r="H938" s="4" t="str">
        <f ca="1">VLOOKUP(A938,Calculation!$F$6:$J$1004,4,FALSE)</f>
        <v/>
      </c>
      <c r="I938" s="4" t="str">
        <f ca="1">VLOOKUP(A938,Calculation!$F$6:$J$1004,5,FALSE)</f>
        <v/>
      </c>
      <c r="J938" s="43" t="str">
        <f t="shared" ca="1" si="7"/>
        <v/>
      </c>
      <c r="L938" s="29" t="str">
        <f ca="1">VLOOKUP(A938,Calculation!$G$6:$S$1004,2,FALSE)</f>
        <v/>
      </c>
      <c r="M938" s="4" t="str">
        <f ca="1">IFERROR(VLOOKUP($L938,Calculation!$H$6:$S$1005,HLOOKUP(M$2,Calculation!$M$4:$S$5,2,FALSE)+5,FALSE),"")</f>
        <v/>
      </c>
      <c r="N938" s="4" t="str">
        <f ca="1">IFERROR(VLOOKUP($L938,Calculation!$H$6:$S$1005,HLOOKUP(N$2,Calculation!$M$4:$S$5,2,FALSE)+5,FALSE),"")</f>
        <v/>
      </c>
      <c r="O938" s="4" t="str">
        <f ca="1">IFERROR(VLOOKUP($L938,Calculation!$H$6:$S$1005,HLOOKUP(O$2,Calculation!$M$4:$S$5,2,FALSE)+5,FALSE),"")</f>
        <v/>
      </c>
      <c r="P938" s="4" t="str">
        <f ca="1">IFERROR(VLOOKUP($L938,Calculation!$H$6:$S$1005,HLOOKUP(P$2,Calculation!$M$4:$S$5,2,FALSE)+5,FALSE),"")</f>
        <v/>
      </c>
      <c r="Q938" s="4" t="str">
        <f ca="1">IFERROR(VLOOKUP($L938,Calculation!$H$6:$S$1005,HLOOKUP(Q$2,Calculation!$M$4:$S$5,2,FALSE)+5,FALSE),"")</f>
        <v/>
      </c>
      <c r="R938" s="27" t="str">
        <f ca="1">IFERROR(VLOOKUP($L938,Calculation!$H$6:$S$1005,HLOOKUP(R$2,Calculation!$M$4:$S$5,2,FALSE)+5,FALSE),"")</f>
        <v/>
      </c>
      <c r="S938" s="4" t="str">
        <f ca="1">IFERROR(VLOOKUP($L938,Calculation!$H$6:$S$1005,HLOOKUP(S$2,Calculation!$M$4:$S$5,2,FALSE)+5,FALSE),"")</f>
        <v/>
      </c>
      <c r="T938" s="29"/>
      <c r="U938" s="43" t="str">
        <f>IFERROR(VLOOKUP(T938,Calculation!$U$6:$V$11,2,FALSE),"")</f>
        <v/>
      </c>
    </row>
    <row r="939" spans="1:21" ht="14.25" customHeight="1" x14ac:dyDescent="0.3">
      <c r="A939" s="26" t="str">
        <f ca="1">IF(Calculation!T942&lt;=Calculation!$H$4,Calculation!T942,"")</f>
        <v/>
      </c>
      <c r="B939" s="4" t="str">
        <f ca="1">VLOOKUP(A939,Calculation!$E$6:$J$1004,4,FALSE)</f>
        <v/>
      </c>
      <c r="C939" s="4" t="str">
        <f ca="1">VLOOKUP(A939,Calculation!$E$6:$J$1004,5,FALSE)</f>
        <v/>
      </c>
      <c r="D939" s="4" t="str">
        <f ca="1">VLOOKUP(A939,Calculation!$E$6:$J$1004,6,FALSE)</f>
        <v/>
      </c>
      <c r="E939" s="42" t="str">
        <f t="shared" ca="1" si="6"/>
        <v/>
      </c>
      <c r="G939" s="29" t="str">
        <f ca="1">VLOOKUP(A939,Calculation!$F$6:$J$1004,3,FALSE)</f>
        <v/>
      </c>
      <c r="H939" s="4" t="str">
        <f ca="1">VLOOKUP(A939,Calculation!$F$6:$J$1004,4,FALSE)</f>
        <v/>
      </c>
      <c r="I939" s="4" t="str">
        <f ca="1">VLOOKUP(A939,Calculation!$F$6:$J$1004,5,FALSE)</f>
        <v/>
      </c>
      <c r="J939" s="43" t="str">
        <f t="shared" ca="1" si="7"/>
        <v/>
      </c>
      <c r="L939" s="29" t="str">
        <f ca="1">VLOOKUP(A939,Calculation!$G$6:$S$1004,2,FALSE)</f>
        <v/>
      </c>
      <c r="M939" s="4" t="str">
        <f ca="1">IFERROR(VLOOKUP($L939,Calculation!$H$6:$S$1005,HLOOKUP(M$2,Calculation!$M$4:$S$5,2,FALSE)+5,FALSE),"")</f>
        <v/>
      </c>
      <c r="N939" s="4" t="str">
        <f ca="1">IFERROR(VLOOKUP($L939,Calculation!$H$6:$S$1005,HLOOKUP(N$2,Calculation!$M$4:$S$5,2,FALSE)+5,FALSE),"")</f>
        <v/>
      </c>
      <c r="O939" s="4" t="str">
        <f ca="1">IFERROR(VLOOKUP($L939,Calculation!$H$6:$S$1005,HLOOKUP(O$2,Calculation!$M$4:$S$5,2,FALSE)+5,FALSE),"")</f>
        <v/>
      </c>
      <c r="P939" s="4" t="str">
        <f ca="1">IFERROR(VLOOKUP($L939,Calculation!$H$6:$S$1005,HLOOKUP(P$2,Calculation!$M$4:$S$5,2,FALSE)+5,FALSE),"")</f>
        <v/>
      </c>
      <c r="Q939" s="4" t="str">
        <f ca="1">IFERROR(VLOOKUP($L939,Calculation!$H$6:$S$1005,HLOOKUP(Q$2,Calculation!$M$4:$S$5,2,FALSE)+5,FALSE),"")</f>
        <v/>
      </c>
      <c r="R939" s="27" t="str">
        <f ca="1">IFERROR(VLOOKUP($L939,Calculation!$H$6:$S$1005,HLOOKUP(R$2,Calculation!$M$4:$S$5,2,FALSE)+5,FALSE),"")</f>
        <v/>
      </c>
      <c r="S939" s="4" t="str">
        <f ca="1">IFERROR(VLOOKUP($L939,Calculation!$H$6:$S$1005,HLOOKUP(S$2,Calculation!$M$4:$S$5,2,FALSE)+5,FALSE),"")</f>
        <v/>
      </c>
      <c r="T939" s="29"/>
      <c r="U939" s="43" t="str">
        <f>IFERROR(VLOOKUP(T939,Calculation!$U$6:$V$11,2,FALSE),"")</f>
        <v/>
      </c>
    </row>
    <row r="940" spans="1:21" ht="14.25" customHeight="1" x14ac:dyDescent="0.3">
      <c r="A940" s="26" t="str">
        <f ca="1">IF(Calculation!T943&lt;=Calculation!$H$4,Calculation!T943,"")</f>
        <v/>
      </c>
      <c r="B940" s="4" t="str">
        <f ca="1">VLOOKUP(A940,Calculation!$E$6:$J$1004,4,FALSE)</f>
        <v/>
      </c>
      <c r="C940" s="4" t="str">
        <f ca="1">VLOOKUP(A940,Calculation!$E$6:$J$1004,5,FALSE)</f>
        <v/>
      </c>
      <c r="D940" s="4" t="str">
        <f ca="1">VLOOKUP(A940,Calculation!$E$6:$J$1004,6,FALSE)</f>
        <v/>
      </c>
      <c r="E940" s="42" t="str">
        <f t="shared" ca="1" si="6"/>
        <v/>
      </c>
      <c r="G940" s="29" t="str">
        <f ca="1">VLOOKUP(A940,Calculation!$F$6:$J$1004,3,FALSE)</f>
        <v/>
      </c>
      <c r="H940" s="4" t="str">
        <f ca="1">VLOOKUP(A940,Calculation!$F$6:$J$1004,4,FALSE)</f>
        <v/>
      </c>
      <c r="I940" s="4" t="str">
        <f ca="1">VLOOKUP(A940,Calculation!$F$6:$J$1004,5,FALSE)</f>
        <v/>
      </c>
      <c r="J940" s="43" t="str">
        <f t="shared" ca="1" si="7"/>
        <v/>
      </c>
      <c r="L940" s="29" t="str">
        <f ca="1">VLOOKUP(A940,Calculation!$G$6:$S$1004,2,FALSE)</f>
        <v/>
      </c>
      <c r="M940" s="4" t="str">
        <f ca="1">IFERROR(VLOOKUP($L940,Calculation!$H$6:$S$1005,HLOOKUP(M$2,Calculation!$M$4:$S$5,2,FALSE)+5,FALSE),"")</f>
        <v/>
      </c>
      <c r="N940" s="4" t="str">
        <f ca="1">IFERROR(VLOOKUP($L940,Calculation!$H$6:$S$1005,HLOOKUP(N$2,Calculation!$M$4:$S$5,2,FALSE)+5,FALSE),"")</f>
        <v/>
      </c>
      <c r="O940" s="4" t="str">
        <f ca="1">IFERROR(VLOOKUP($L940,Calculation!$H$6:$S$1005,HLOOKUP(O$2,Calculation!$M$4:$S$5,2,FALSE)+5,FALSE),"")</f>
        <v/>
      </c>
      <c r="P940" s="4" t="str">
        <f ca="1">IFERROR(VLOOKUP($L940,Calculation!$H$6:$S$1005,HLOOKUP(P$2,Calculation!$M$4:$S$5,2,FALSE)+5,FALSE),"")</f>
        <v/>
      </c>
      <c r="Q940" s="4" t="str">
        <f ca="1">IFERROR(VLOOKUP($L940,Calculation!$H$6:$S$1005,HLOOKUP(Q$2,Calculation!$M$4:$S$5,2,FALSE)+5,FALSE),"")</f>
        <v/>
      </c>
      <c r="R940" s="27" t="str">
        <f ca="1">IFERROR(VLOOKUP($L940,Calculation!$H$6:$S$1005,HLOOKUP(R$2,Calculation!$M$4:$S$5,2,FALSE)+5,FALSE),"")</f>
        <v/>
      </c>
      <c r="S940" s="4" t="str">
        <f ca="1">IFERROR(VLOOKUP($L940,Calculation!$H$6:$S$1005,HLOOKUP(S$2,Calculation!$M$4:$S$5,2,FALSE)+5,FALSE),"")</f>
        <v/>
      </c>
      <c r="T940" s="29"/>
      <c r="U940" s="43" t="str">
        <f>IFERROR(VLOOKUP(T940,Calculation!$U$6:$V$11,2,FALSE),"")</f>
        <v/>
      </c>
    </row>
    <row r="941" spans="1:21" ht="14.25" customHeight="1" x14ac:dyDescent="0.3">
      <c r="A941" s="26" t="str">
        <f ca="1">IF(Calculation!T944&lt;=Calculation!$H$4,Calculation!T944,"")</f>
        <v/>
      </c>
      <c r="B941" s="4" t="str">
        <f ca="1">VLOOKUP(A941,Calculation!$E$6:$J$1004,4,FALSE)</f>
        <v/>
      </c>
      <c r="C941" s="4" t="str">
        <f ca="1">VLOOKUP(A941,Calculation!$E$6:$J$1004,5,FALSE)</f>
        <v/>
      </c>
      <c r="D941" s="4" t="str">
        <f ca="1">VLOOKUP(A941,Calculation!$E$6:$J$1004,6,FALSE)</f>
        <v/>
      </c>
      <c r="E941" s="42" t="str">
        <f t="shared" ca="1" si="6"/>
        <v/>
      </c>
      <c r="G941" s="29" t="str">
        <f ca="1">VLOOKUP(A941,Calculation!$F$6:$J$1004,3,FALSE)</f>
        <v/>
      </c>
      <c r="H941" s="4" t="str">
        <f ca="1">VLOOKUP(A941,Calculation!$F$6:$J$1004,4,FALSE)</f>
        <v/>
      </c>
      <c r="I941" s="4" t="str">
        <f ca="1">VLOOKUP(A941,Calculation!$F$6:$J$1004,5,FALSE)</f>
        <v/>
      </c>
      <c r="J941" s="43" t="str">
        <f t="shared" ca="1" si="7"/>
        <v/>
      </c>
      <c r="L941" s="29" t="str">
        <f ca="1">VLOOKUP(A941,Calculation!$G$6:$S$1004,2,FALSE)</f>
        <v/>
      </c>
      <c r="M941" s="4" t="str">
        <f ca="1">IFERROR(VLOOKUP($L941,Calculation!$H$6:$S$1005,HLOOKUP(M$2,Calculation!$M$4:$S$5,2,FALSE)+5,FALSE),"")</f>
        <v/>
      </c>
      <c r="N941" s="4" t="str">
        <f ca="1">IFERROR(VLOOKUP($L941,Calculation!$H$6:$S$1005,HLOOKUP(N$2,Calculation!$M$4:$S$5,2,FALSE)+5,FALSE),"")</f>
        <v/>
      </c>
      <c r="O941" s="4" t="str">
        <f ca="1">IFERROR(VLOOKUP($L941,Calculation!$H$6:$S$1005,HLOOKUP(O$2,Calculation!$M$4:$S$5,2,FALSE)+5,FALSE),"")</f>
        <v/>
      </c>
      <c r="P941" s="4" t="str">
        <f ca="1">IFERROR(VLOOKUP($L941,Calculation!$H$6:$S$1005,HLOOKUP(P$2,Calculation!$M$4:$S$5,2,FALSE)+5,FALSE),"")</f>
        <v/>
      </c>
      <c r="Q941" s="4" t="str">
        <f ca="1">IFERROR(VLOOKUP($L941,Calculation!$H$6:$S$1005,HLOOKUP(Q$2,Calculation!$M$4:$S$5,2,FALSE)+5,FALSE),"")</f>
        <v/>
      </c>
      <c r="R941" s="27" t="str">
        <f ca="1">IFERROR(VLOOKUP($L941,Calculation!$H$6:$S$1005,HLOOKUP(R$2,Calculation!$M$4:$S$5,2,FALSE)+5,FALSE),"")</f>
        <v/>
      </c>
      <c r="S941" s="4" t="str">
        <f ca="1">IFERROR(VLOOKUP($L941,Calculation!$H$6:$S$1005,HLOOKUP(S$2,Calculation!$M$4:$S$5,2,FALSE)+5,FALSE),"")</f>
        <v/>
      </c>
      <c r="T941" s="29"/>
      <c r="U941" s="43" t="str">
        <f>IFERROR(VLOOKUP(T941,Calculation!$U$6:$V$11,2,FALSE),"")</f>
        <v/>
      </c>
    </row>
    <row r="942" spans="1:21" ht="14.25" customHeight="1" x14ac:dyDescent="0.3">
      <c r="A942" s="26" t="str">
        <f ca="1">IF(Calculation!T945&lt;=Calculation!$H$4,Calculation!T945,"")</f>
        <v/>
      </c>
      <c r="B942" s="4" t="str">
        <f ca="1">VLOOKUP(A942,Calculation!$E$6:$J$1004,4,FALSE)</f>
        <v/>
      </c>
      <c r="C942" s="4" t="str">
        <f ca="1">VLOOKUP(A942,Calculation!$E$6:$J$1004,5,FALSE)</f>
        <v/>
      </c>
      <c r="D942" s="4" t="str">
        <f ca="1">VLOOKUP(A942,Calculation!$E$6:$J$1004,6,FALSE)</f>
        <v/>
      </c>
      <c r="E942" s="42" t="str">
        <f t="shared" ca="1" si="6"/>
        <v/>
      </c>
      <c r="G942" s="29" t="str">
        <f ca="1">VLOOKUP(A942,Calculation!$F$6:$J$1004,3,FALSE)</f>
        <v/>
      </c>
      <c r="H942" s="4" t="str">
        <f ca="1">VLOOKUP(A942,Calculation!$F$6:$J$1004,4,FALSE)</f>
        <v/>
      </c>
      <c r="I942" s="4" t="str">
        <f ca="1">VLOOKUP(A942,Calculation!$F$6:$J$1004,5,FALSE)</f>
        <v/>
      </c>
      <c r="J942" s="43" t="str">
        <f t="shared" ca="1" si="7"/>
        <v/>
      </c>
      <c r="L942" s="29" t="str">
        <f ca="1">VLOOKUP(A942,Calculation!$G$6:$S$1004,2,FALSE)</f>
        <v/>
      </c>
      <c r="M942" s="4" t="str">
        <f ca="1">IFERROR(VLOOKUP($L942,Calculation!$H$6:$S$1005,HLOOKUP(M$2,Calculation!$M$4:$S$5,2,FALSE)+5,FALSE),"")</f>
        <v/>
      </c>
      <c r="N942" s="4" t="str">
        <f ca="1">IFERROR(VLOOKUP($L942,Calculation!$H$6:$S$1005,HLOOKUP(N$2,Calculation!$M$4:$S$5,2,FALSE)+5,FALSE),"")</f>
        <v/>
      </c>
      <c r="O942" s="4" t="str">
        <f ca="1">IFERROR(VLOOKUP($L942,Calculation!$H$6:$S$1005,HLOOKUP(O$2,Calculation!$M$4:$S$5,2,FALSE)+5,FALSE),"")</f>
        <v/>
      </c>
      <c r="P942" s="4" t="str">
        <f ca="1">IFERROR(VLOOKUP($L942,Calculation!$H$6:$S$1005,HLOOKUP(P$2,Calculation!$M$4:$S$5,2,FALSE)+5,FALSE),"")</f>
        <v/>
      </c>
      <c r="Q942" s="4" t="str">
        <f ca="1">IFERROR(VLOOKUP($L942,Calculation!$H$6:$S$1005,HLOOKUP(Q$2,Calculation!$M$4:$S$5,2,FALSE)+5,FALSE),"")</f>
        <v/>
      </c>
      <c r="R942" s="27" t="str">
        <f ca="1">IFERROR(VLOOKUP($L942,Calculation!$H$6:$S$1005,HLOOKUP(R$2,Calculation!$M$4:$S$5,2,FALSE)+5,FALSE),"")</f>
        <v/>
      </c>
      <c r="S942" s="4" t="str">
        <f ca="1">IFERROR(VLOOKUP($L942,Calculation!$H$6:$S$1005,HLOOKUP(S$2,Calculation!$M$4:$S$5,2,FALSE)+5,FALSE),"")</f>
        <v/>
      </c>
      <c r="T942" s="29"/>
      <c r="U942" s="43" t="str">
        <f>IFERROR(VLOOKUP(T942,Calculation!$U$6:$V$11,2,FALSE),"")</f>
        <v/>
      </c>
    </row>
    <row r="943" spans="1:21" ht="14.25" customHeight="1" x14ac:dyDescent="0.3">
      <c r="A943" s="26" t="str">
        <f ca="1">IF(Calculation!T946&lt;=Calculation!$H$4,Calculation!T946,"")</f>
        <v/>
      </c>
      <c r="B943" s="4" t="str">
        <f ca="1">VLOOKUP(A943,Calculation!$E$6:$J$1004,4,FALSE)</f>
        <v/>
      </c>
      <c r="C943" s="4" t="str">
        <f ca="1">VLOOKUP(A943,Calculation!$E$6:$J$1004,5,FALSE)</f>
        <v/>
      </c>
      <c r="D943" s="4" t="str">
        <f ca="1">VLOOKUP(A943,Calculation!$E$6:$J$1004,6,FALSE)</f>
        <v/>
      </c>
      <c r="E943" s="42" t="str">
        <f t="shared" ca="1" si="6"/>
        <v/>
      </c>
      <c r="G943" s="29" t="str">
        <f ca="1">VLOOKUP(A943,Calculation!$F$6:$J$1004,3,FALSE)</f>
        <v/>
      </c>
      <c r="H943" s="4" t="str">
        <f ca="1">VLOOKUP(A943,Calculation!$F$6:$J$1004,4,FALSE)</f>
        <v/>
      </c>
      <c r="I943" s="4" t="str">
        <f ca="1">VLOOKUP(A943,Calculation!$F$6:$J$1004,5,FALSE)</f>
        <v/>
      </c>
      <c r="J943" s="43" t="str">
        <f t="shared" ca="1" si="7"/>
        <v/>
      </c>
      <c r="L943" s="29" t="str">
        <f ca="1">VLOOKUP(A943,Calculation!$G$6:$S$1004,2,FALSE)</f>
        <v/>
      </c>
      <c r="M943" s="4" t="str">
        <f ca="1">IFERROR(VLOOKUP($L943,Calculation!$H$6:$S$1005,HLOOKUP(M$2,Calculation!$M$4:$S$5,2,FALSE)+5,FALSE),"")</f>
        <v/>
      </c>
      <c r="N943" s="4" t="str">
        <f ca="1">IFERROR(VLOOKUP($L943,Calculation!$H$6:$S$1005,HLOOKUP(N$2,Calculation!$M$4:$S$5,2,FALSE)+5,FALSE),"")</f>
        <v/>
      </c>
      <c r="O943" s="4" t="str">
        <f ca="1">IFERROR(VLOOKUP($L943,Calculation!$H$6:$S$1005,HLOOKUP(O$2,Calculation!$M$4:$S$5,2,FALSE)+5,FALSE),"")</f>
        <v/>
      </c>
      <c r="P943" s="4" t="str">
        <f ca="1">IFERROR(VLOOKUP($L943,Calculation!$H$6:$S$1005,HLOOKUP(P$2,Calculation!$M$4:$S$5,2,FALSE)+5,FALSE),"")</f>
        <v/>
      </c>
      <c r="Q943" s="4" t="str">
        <f ca="1">IFERROR(VLOOKUP($L943,Calculation!$H$6:$S$1005,HLOOKUP(Q$2,Calculation!$M$4:$S$5,2,FALSE)+5,FALSE),"")</f>
        <v/>
      </c>
      <c r="R943" s="27" t="str">
        <f ca="1">IFERROR(VLOOKUP($L943,Calculation!$H$6:$S$1005,HLOOKUP(R$2,Calculation!$M$4:$S$5,2,FALSE)+5,FALSE),"")</f>
        <v/>
      </c>
      <c r="S943" s="4" t="str">
        <f ca="1">IFERROR(VLOOKUP($L943,Calculation!$H$6:$S$1005,HLOOKUP(S$2,Calculation!$M$4:$S$5,2,FALSE)+5,FALSE),"")</f>
        <v/>
      </c>
      <c r="T943" s="29"/>
      <c r="U943" s="43" t="str">
        <f>IFERROR(VLOOKUP(T943,Calculation!$U$6:$V$11,2,FALSE),"")</f>
        <v/>
      </c>
    </row>
    <row r="944" spans="1:21" ht="14.25" customHeight="1" x14ac:dyDescent="0.3">
      <c r="A944" s="26" t="str">
        <f ca="1">IF(Calculation!T947&lt;=Calculation!$H$4,Calculation!T947,"")</f>
        <v/>
      </c>
      <c r="B944" s="4" t="str">
        <f ca="1">VLOOKUP(A944,Calculation!$E$6:$J$1004,4,FALSE)</f>
        <v/>
      </c>
      <c r="C944" s="4" t="str">
        <f ca="1">VLOOKUP(A944,Calculation!$E$6:$J$1004,5,FALSE)</f>
        <v/>
      </c>
      <c r="D944" s="4" t="str">
        <f ca="1">VLOOKUP(A944,Calculation!$E$6:$J$1004,6,FALSE)</f>
        <v/>
      </c>
      <c r="E944" s="42" t="str">
        <f t="shared" ca="1" si="6"/>
        <v/>
      </c>
      <c r="G944" s="29" t="str">
        <f ca="1">VLOOKUP(A944,Calculation!$F$6:$J$1004,3,FALSE)</f>
        <v/>
      </c>
      <c r="H944" s="4" t="str">
        <f ca="1">VLOOKUP(A944,Calculation!$F$6:$J$1004,4,FALSE)</f>
        <v/>
      </c>
      <c r="I944" s="4" t="str">
        <f ca="1">VLOOKUP(A944,Calculation!$F$6:$J$1004,5,FALSE)</f>
        <v/>
      </c>
      <c r="J944" s="43" t="str">
        <f t="shared" ca="1" si="7"/>
        <v/>
      </c>
      <c r="L944" s="29" t="str">
        <f ca="1">VLOOKUP(A944,Calculation!$G$6:$S$1004,2,FALSE)</f>
        <v/>
      </c>
      <c r="M944" s="4" t="str">
        <f ca="1">IFERROR(VLOOKUP($L944,Calculation!$H$6:$S$1005,HLOOKUP(M$2,Calculation!$M$4:$S$5,2,FALSE)+5,FALSE),"")</f>
        <v/>
      </c>
      <c r="N944" s="4" t="str">
        <f ca="1">IFERROR(VLOOKUP($L944,Calculation!$H$6:$S$1005,HLOOKUP(N$2,Calculation!$M$4:$S$5,2,FALSE)+5,FALSE),"")</f>
        <v/>
      </c>
      <c r="O944" s="4" t="str">
        <f ca="1">IFERROR(VLOOKUP($L944,Calculation!$H$6:$S$1005,HLOOKUP(O$2,Calculation!$M$4:$S$5,2,FALSE)+5,FALSE),"")</f>
        <v/>
      </c>
      <c r="P944" s="4" t="str">
        <f ca="1">IFERROR(VLOOKUP($L944,Calculation!$H$6:$S$1005,HLOOKUP(P$2,Calculation!$M$4:$S$5,2,FALSE)+5,FALSE),"")</f>
        <v/>
      </c>
      <c r="Q944" s="4" t="str">
        <f ca="1">IFERROR(VLOOKUP($L944,Calculation!$H$6:$S$1005,HLOOKUP(Q$2,Calculation!$M$4:$S$5,2,FALSE)+5,FALSE),"")</f>
        <v/>
      </c>
      <c r="R944" s="27" t="str">
        <f ca="1">IFERROR(VLOOKUP($L944,Calculation!$H$6:$S$1005,HLOOKUP(R$2,Calculation!$M$4:$S$5,2,FALSE)+5,FALSE),"")</f>
        <v/>
      </c>
      <c r="S944" s="4" t="str">
        <f ca="1">IFERROR(VLOOKUP($L944,Calculation!$H$6:$S$1005,HLOOKUP(S$2,Calculation!$M$4:$S$5,2,FALSE)+5,FALSE),"")</f>
        <v/>
      </c>
      <c r="T944" s="29"/>
      <c r="U944" s="43" t="str">
        <f>IFERROR(VLOOKUP(T944,Calculation!$U$6:$V$11,2,FALSE),"")</f>
        <v/>
      </c>
    </row>
    <row r="945" spans="1:21" ht="14.25" customHeight="1" x14ac:dyDescent="0.3">
      <c r="A945" s="26" t="str">
        <f ca="1">IF(Calculation!T948&lt;=Calculation!$H$4,Calculation!T948,"")</f>
        <v/>
      </c>
      <c r="B945" s="4" t="str">
        <f ca="1">VLOOKUP(A945,Calculation!$E$6:$J$1004,4,FALSE)</f>
        <v/>
      </c>
      <c r="C945" s="4" t="str">
        <f ca="1">VLOOKUP(A945,Calculation!$E$6:$J$1004,5,FALSE)</f>
        <v/>
      </c>
      <c r="D945" s="4" t="str">
        <f ca="1">VLOOKUP(A945,Calculation!$E$6:$J$1004,6,FALSE)</f>
        <v/>
      </c>
      <c r="E945" s="42" t="str">
        <f t="shared" ca="1" si="6"/>
        <v/>
      </c>
      <c r="G945" s="29" t="str">
        <f ca="1">VLOOKUP(A945,Calculation!$F$6:$J$1004,3,FALSE)</f>
        <v/>
      </c>
      <c r="H945" s="4" t="str">
        <f ca="1">VLOOKUP(A945,Calculation!$F$6:$J$1004,4,FALSE)</f>
        <v/>
      </c>
      <c r="I945" s="4" t="str">
        <f ca="1">VLOOKUP(A945,Calculation!$F$6:$J$1004,5,FALSE)</f>
        <v/>
      </c>
      <c r="J945" s="43" t="str">
        <f t="shared" ca="1" si="7"/>
        <v/>
      </c>
      <c r="L945" s="29" t="str">
        <f ca="1">VLOOKUP(A945,Calculation!$G$6:$S$1004,2,FALSE)</f>
        <v/>
      </c>
      <c r="M945" s="4" t="str">
        <f ca="1">IFERROR(VLOOKUP($L945,Calculation!$H$6:$S$1005,HLOOKUP(M$2,Calculation!$M$4:$S$5,2,FALSE)+5,FALSE),"")</f>
        <v/>
      </c>
      <c r="N945" s="4" t="str">
        <f ca="1">IFERROR(VLOOKUP($L945,Calculation!$H$6:$S$1005,HLOOKUP(N$2,Calculation!$M$4:$S$5,2,FALSE)+5,FALSE),"")</f>
        <v/>
      </c>
      <c r="O945" s="4" t="str">
        <f ca="1">IFERROR(VLOOKUP($L945,Calculation!$H$6:$S$1005,HLOOKUP(O$2,Calculation!$M$4:$S$5,2,FALSE)+5,FALSE),"")</f>
        <v/>
      </c>
      <c r="P945" s="4" t="str">
        <f ca="1">IFERROR(VLOOKUP($L945,Calculation!$H$6:$S$1005,HLOOKUP(P$2,Calculation!$M$4:$S$5,2,FALSE)+5,FALSE),"")</f>
        <v/>
      </c>
      <c r="Q945" s="4" t="str">
        <f ca="1">IFERROR(VLOOKUP($L945,Calculation!$H$6:$S$1005,HLOOKUP(Q$2,Calculation!$M$4:$S$5,2,FALSE)+5,FALSE),"")</f>
        <v/>
      </c>
      <c r="R945" s="27" t="str">
        <f ca="1">IFERROR(VLOOKUP($L945,Calculation!$H$6:$S$1005,HLOOKUP(R$2,Calculation!$M$4:$S$5,2,FALSE)+5,FALSE),"")</f>
        <v/>
      </c>
      <c r="S945" s="4" t="str">
        <f ca="1">IFERROR(VLOOKUP($L945,Calculation!$H$6:$S$1005,HLOOKUP(S$2,Calculation!$M$4:$S$5,2,FALSE)+5,FALSE),"")</f>
        <v/>
      </c>
      <c r="T945" s="29"/>
      <c r="U945" s="43" t="str">
        <f>IFERROR(VLOOKUP(T945,Calculation!$U$6:$V$11,2,FALSE),"")</f>
        <v/>
      </c>
    </row>
    <row r="946" spans="1:21" ht="14.25" customHeight="1" x14ac:dyDescent="0.3">
      <c r="A946" s="26" t="str">
        <f ca="1">IF(Calculation!T949&lt;=Calculation!$H$4,Calculation!T949,"")</f>
        <v/>
      </c>
      <c r="B946" s="4" t="str">
        <f ca="1">VLOOKUP(A946,Calculation!$E$6:$J$1004,4,FALSE)</f>
        <v/>
      </c>
      <c r="C946" s="4" t="str">
        <f ca="1">VLOOKUP(A946,Calculation!$E$6:$J$1004,5,FALSE)</f>
        <v/>
      </c>
      <c r="D946" s="4" t="str">
        <f ca="1">VLOOKUP(A946,Calculation!$E$6:$J$1004,6,FALSE)</f>
        <v/>
      </c>
      <c r="E946" s="42" t="str">
        <f t="shared" ca="1" si="6"/>
        <v/>
      </c>
      <c r="G946" s="29" t="str">
        <f ca="1">VLOOKUP(A946,Calculation!$F$6:$J$1004,3,FALSE)</f>
        <v/>
      </c>
      <c r="H946" s="4" t="str">
        <f ca="1">VLOOKUP(A946,Calculation!$F$6:$J$1004,4,FALSE)</f>
        <v/>
      </c>
      <c r="I946" s="4" t="str">
        <f ca="1">VLOOKUP(A946,Calculation!$F$6:$J$1004,5,FALSE)</f>
        <v/>
      </c>
      <c r="J946" s="43" t="str">
        <f t="shared" ca="1" si="7"/>
        <v/>
      </c>
      <c r="L946" s="29" t="str">
        <f ca="1">VLOOKUP(A946,Calculation!$G$6:$S$1004,2,FALSE)</f>
        <v/>
      </c>
      <c r="M946" s="4" t="str">
        <f ca="1">IFERROR(VLOOKUP($L946,Calculation!$H$6:$S$1005,HLOOKUP(M$2,Calculation!$M$4:$S$5,2,FALSE)+5,FALSE),"")</f>
        <v/>
      </c>
      <c r="N946" s="4" t="str">
        <f ca="1">IFERROR(VLOOKUP($L946,Calculation!$H$6:$S$1005,HLOOKUP(N$2,Calculation!$M$4:$S$5,2,FALSE)+5,FALSE),"")</f>
        <v/>
      </c>
      <c r="O946" s="4" t="str">
        <f ca="1">IFERROR(VLOOKUP($L946,Calculation!$H$6:$S$1005,HLOOKUP(O$2,Calculation!$M$4:$S$5,2,FALSE)+5,FALSE),"")</f>
        <v/>
      </c>
      <c r="P946" s="4" t="str">
        <f ca="1">IFERROR(VLOOKUP($L946,Calculation!$H$6:$S$1005,HLOOKUP(P$2,Calculation!$M$4:$S$5,2,FALSE)+5,FALSE),"")</f>
        <v/>
      </c>
      <c r="Q946" s="4" t="str">
        <f ca="1">IFERROR(VLOOKUP($L946,Calculation!$H$6:$S$1005,HLOOKUP(Q$2,Calculation!$M$4:$S$5,2,FALSE)+5,FALSE),"")</f>
        <v/>
      </c>
      <c r="R946" s="27" t="str">
        <f ca="1">IFERROR(VLOOKUP($L946,Calculation!$H$6:$S$1005,HLOOKUP(R$2,Calculation!$M$4:$S$5,2,FALSE)+5,FALSE),"")</f>
        <v/>
      </c>
      <c r="S946" s="4" t="str">
        <f ca="1">IFERROR(VLOOKUP($L946,Calculation!$H$6:$S$1005,HLOOKUP(S$2,Calculation!$M$4:$S$5,2,FALSE)+5,FALSE),"")</f>
        <v/>
      </c>
      <c r="T946" s="29"/>
      <c r="U946" s="43" t="str">
        <f>IFERROR(VLOOKUP(T946,Calculation!$U$6:$V$11,2,FALSE),"")</f>
        <v/>
      </c>
    </row>
    <row r="947" spans="1:21" ht="14.25" customHeight="1" x14ac:dyDescent="0.3">
      <c r="A947" s="26" t="str">
        <f ca="1">IF(Calculation!T950&lt;=Calculation!$H$4,Calculation!T950,"")</f>
        <v/>
      </c>
      <c r="B947" s="4" t="str">
        <f ca="1">VLOOKUP(A947,Calculation!$E$6:$J$1004,4,FALSE)</f>
        <v/>
      </c>
      <c r="C947" s="4" t="str">
        <f ca="1">VLOOKUP(A947,Calculation!$E$6:$J$1004,5,FALSE)</f>
        <v/>
      </c>
      <c r="D947" s="4" t="str">
        <f ca="1">VLOOKUP(A947,Calculation!$E$6:$J$1004,6,FALSE)</f>
        <v/>
      </c>
      <c r="E947" s="42" t="str">
        <f t="shared" ca="1" si="6"/>
        <v/>
      </c>
      <c r="G947" s="29" t="str">
        <f ca="1">VLOOKUP(A947,Calculation!$F$6:$J$1004,3,FALSE)</f>
        <v/>
      </c>
      <c r="H947" s="4" t="str">
        <f ca="1">VLOOKUP(A947,Calculation!$F$6:$J$1004,4,FALSE)</f>
        <v/>
      </c>
      <c r="I947" s="4" t="str">
        <f ca="1">VLOOKUP(A947,Calculation!$F$6:$J$1004,5,FALSE)</f>
        <v/>
      </c>
      <c r="J947" s="43" t="str">
        <f t="shared" ca="1" si="7"/>
        <v/>
      </c>
      <c r="L947" s="29" t="str">
        <f ca="1">VLOOKUP(A947,Calculation!$G$6:$S$1004,2,FALSE)</f>
        <v/>
      </c>
      <c r="M947" s="4" t="str">
        <f ca="1">IFERROR(VLOOKUP($L947,Calculation!$H$6:$S$1005,HLOOKUP(M$2,Calculation!$M$4:$S$5,2,FALSE)+5,FALSE),"")</f>
        <v/>
      </c>
      <c r="N947" s="4" t="str">
        <f ca="1">IFERROR(VLOOKUP($L947,Calculation!$H$6:$S$1005,HLOOKUP(N$2,Calculation!$M$4:$S$5,2,FALSE)+5,FALSE),"")</f>
        <v/>
      </c>
      <c r="O947" s="4" t="str">
        <f ca="1">IFERROR(VLOOKUP($L947,Calculation!$H$6:$S$1005,HLOOKUP(O$2,Calculation!$M$4:$S$5,2,FALSE)+5,FALSE),"")</f>
        <v/>
      </c>
      <c r="P947" s="4" t="str">
        <f ca="1">IFERROR(VLOOKUP($L947,Calculation!$H$6:$S$1005,HLOOKUP(P$2,Calculation!$M$4:$S$5,2,FALSE)+5,FALSE),"")</f>
        <v/>
      </c>
      <c r="Q947" s="4" t="str">
        <f ca="1">IFERROR(VLOOKUP($L947,Calculation!$H$6:$S$1005,HLOOKUP(Q$2,Calculation!$M$4:$S$5,2,FALSE)+5,FALSE),"")</f>
        <v/>
      </c>
      <c r="R947" s="27" t="str">
        <f ca="1">IFERROR(VLOOKUP($L947,Calculation!$H$6:$S$1005,HLOOKUP(R$2,Calculation!$M$4:$S$5,2,FALSE)+5,FALSE),"")</f>
        <v/>
      </c>
      <c r="S947" s="4" t="str">
        <f ca="1">IFERROR(VLOOKUP($L947,Calculation!$H$6:$S$1005,HLOOKUP(S$2,Calculation!$M$4:$S$5,2,FALSE)+5,FALSE),"")</f>
        <v/>
      </c>
      <c r="T947" s="29"/>
      <c r="U947" s="43" t="str">
        <f>IFERROR(VLOOKUP(T947,Calculation!$U$6:$V$11,2,FALSE),"")</f>
        <v/>
      </c>
    </row>
    <row r="948" spans="1:21" ht="14.25" customHeight="1" x14ac:dyDescent="0.3">
      <c r="A948" s="26" t="str">
        <f ca="1">IF(Calculation!T951&lt;=Calculation!$H$4,Calculation!T951,"")</f>
        <v/>
      </c>
      <c r="B948" s="4" t="str">
        <f ca="1">VLOOKUP(A948,Calculation!$E$6:$J$1004,4,FALSE)</f>
        <v/>
      </c>
      <c r="C948" s="4" t="str">
        <f ca="1">VLOOKUP(A948,Calculation!$E$6:$J$1004,5,FALSE)</f>
        <v/>
      </c>
      <c r="D948" s="4" t="str">
        <f ca="1">VLOOKUP(A948,Calculation!$E$6:$J$1004,6,FALSE)</f>
        <v/>
      </c>
      <c r="E948" s="42" t="str">
        <f t="shared" ca="1" si="6"/>
        <v/>
      </c>
      <c r="G948" s="29" t="str">
        <f ca="1">VLOOKUP(A948,Calculation!$F$6:$J$1004,3,FALSE)</f>
        <v/>
      </c>
      <c r="H948" s="4" t="str">
        <f ca="1">VLOOKUP(A948,Calculation!$F$6:$J$1004,4,FALSE)</f>
        <v/>
      </c>
      <c r="I948" s="4" t="str">
        <f ca="1">VLOOKUP(A948,Calculation!$F$6:$J$1004,5,FALSE)</f>
        <v/>
      </c>
      <c r="J948" s="43" t="str">
        <f t="shared" ca="1" si="7"/>
        <v/>
      </c>
      <c r="L948" s="29" t="str">
        <f ca="1">VLOOKUP(A948,Calculation!$G$6:$S$1004,2,FALSE)</f>
        <v/>
      </c>
      <c r="M948" s="4" t="str">
        <f ca="1">IFERROR(VLOOKUP($L948,Calculation!$H$6:$S$1005,HLOOKUP(M$2,Calculation!$M$4:$S$5,2,FALSE)+5,FALSE),"")</f>
        <v/>
      </c>
      <c r="N948" s="4" t="str">
        <f ca="1">IFERROR(VLOOKUP($L948,Calculation!$H$6:$S$1005,HLOOKUP(N$2,Calculation!$M$4:$S$5,2,FALSE)+5,FALSE),"")</f>
        <v/>
      </c>
      <c r="O948" s="4" t="str">
        <f ca="1">IFERROR(VLOOKUP($L948,Calculation!$H$6:$S$1005,HLOOKUP(O$2,Calculation!$M$4:$S$5,2,FALSE)+5,FALSE),"")</f>
        <v/>
      </c>
      <c r="P948" s="4" t="str">
        <f ca="1">IFERROR(VLOOKUP($L948,Calculation!$H$6:$S$1005,HLOOKUP(P$2,Calculation!$M$4:$S$5,2,FALSE)+5,FALSE),"")</f>
        <v/>
      </c>
      <c r="Q948" s="4" t="str">
        <f ca="1">IFERROR(VLOOKUP($L948,Calculation!$H$6:$S$1005,HLOOKUP(Q$2,Calculation!$M$4:$S$5,2,FALSE)+5,FALSE),"")</f>
        <v/>
      </c>
      <c r="R948" s="27" t="str">
        <f ca="1">IFERROR(VLOOKUP($L948,Calculation!$H$6:$S$1005,HLOOKUP(R$2,Calculation!$M$4:$S$5,2,FALSE)+5,FALSE),"")</f>
        <v/>
      </c>
      <c r="S948" s="4" t="str">
        <f ca="1">IFERROR(VLOOKUP($L948,Calculation!$H$6:$S$1005,HLOOKUP(S$2,Calculation!$M$4:$S$5,2,FALSE)+5,FALSE),"")</f>
        <v/>
      </c>
      <c r="T948" s="29"/>
      <c r="U948" s="43" t="str">
        <f>IFERROR(VLOOKUP(T948,Calculation!$U$6:$V$11,2,FALSE),"")</f>
        <v/>
      </c>
    </row>
    <row r="949" spans="1:21" ht="14.25" customHeight="1" x14ac:dyDescent="0.3">
      <c r="A949" s="26" t="str">
        <f ca="1">IF(Calculation!T952&lt;=Calculation!$H$4,Calculation!T952,"")</f>
        <v/>
      </c>
      <c r="B949" s="4" t="str">
        <f ca="1">VLOOKUP(A949,Calculation!$E$6:$J$1004,4,FALSE)</f>
        <v/>
      </c>
      <c r="C949" s="4" t="str">
        <f ca="1">VLOOKUP(A949,Calculation!$E$6:$J$1004,5,FALSE)</f>
        <v/>
      </c>
      <c r="D949" s="4" t="str">
        <f ca="1">VLOOKUP(A949,Calculation!$E$6:$J$1004,6,FALSE)</f>
        <v/>
      </c>
      <c r="E949" s="42" t="str">
        <f t="shared" ca="1" si="6"/>
        <v/>
      </c>
      <c r="G949" s="29" t="str">
        <f ca="1">VLOOKUP(A949,Calculation!$F$6:$J$1004,3,FALSE)</f>
        <v/>
      </c>
      <c r="H949" s="4" t="str">
        <f ca="1">VLOOKUP(A949,Calculation!$F$6:$J$1004,4,FALSE)</f>
        <v/>
      </c>
      <c r="I949" s="4" t="str">
        <f ca="1">VLOOKUP(A949,Calculation!$F$6:$J$1004,5,FALSE)</f>
        <v/>
      </c>
      <c r="J949" s="43" t="str">
        <f t="shared" ca="1" si="7"/>
        <v/>
      </c>
      <c r="L949" s="29" t="str">
        <f ca="1">VLOOKUP(A949,Calculation!$G$6:$S$1004,2,FALSE)</f>
        <v/>
      </c>
      <c r="M949" s="4" t="str">
        <f ca="1">IFERROR(VLOOKUP($L949,Calculation!$H$6:$S$1005,HLOOKUP(M$2,Calculation!$M$4:$S$5,2,FALSE)+5,FALSE),"")</f>
        <v/>
      </c>
      <c r="N949" s="4" t="str">
        <f ca="1">IFERROR(VLOOKUP($L949,Calculation!$H$6:$S$1005,HLOOKUP(N$2,Calculation!$M$4:$S$5,2,FALSE)+5,FALSE),"")</f>
        <v/>
      </c>
      <c r="O949" s="4" t="str">
        <f ca="1">IFERROR(VLOOKUP($L949,Calculation!$H$6:$S$1005,HLOOKUP(O$2,Calculation!$M$4:$S$5,2,FALSE)+5,FALSE),"")</f>
        <v/>
      </c>
      <c r="P949" s="4" t="str">
        <f ca="1">IFERROR(VLOOKUP($L949,Calculation!$H$6:$S$1005,HLOOKUP(P$2,Calculation!$M$4:$S$5,2,FALSE)+5,FALSE),"")</f>
        <v/>
      </c>
      <c r="Q949" s="4" t="str">
        <f ca="1">IFERROR(VLOOKUP($L949,Calculation!$H$6:$S$1005,HLOOKUP(Q$2,Calculation!$M$4:$S$5,2,FALSE)+5,FALSE),"")</f>
        <v/>
      </c>
      <c r="R949" s="27" t="str">
        <f ca="1">IFERROR(VLOOKUP($L949,Calculation!$H$6:$S$1005,HLOOKUP(R$2,Calculation!$M$4:$S$5,2,FALSE)+5,FALSE),"")</f>
        <v/>
      </c>
      <c r="S949" s="4" t="str">
        <f ca="1">IFERROR(VLOOKUP($L949,Calculation!$H$6:$S$1005,HLOOKUP(S$2,Calculation!$M$4:$S$5,2,FALSE)+5,FALSE),"")</f>
        <v/>
      </c>
      <c r="T949" s="29"/>
      <c r="U949" s="43" t="str">
        <f>IFERROR(VLOOKUP(T949,Calculation!$U$6:$V$11,2,FALSE),"")</f>
        <v/>
      </c>
    </row>
    <row r="950" spans="1:21" ht="14.25" customHeight="1" x14ac:dyDescent="0.3">
      <c r="A950" s="26" t="str">
        <f ca="1">IF(Calculation!T953&lt;=Calculation!$H$4,Calculation!T953,"")</f>
        <v/>
      </c>
      <c r="B950" s="4" t="str">
        <f ca="1">VLOOKUP(A950,Calculation!$E$6:$J$1004,4,FALSE)</f>
        <v/>
      </c>
      <c r="C950" s="4" t="str">
        <f ca="1">VLOOKUP(A950,Calculation!$E$6:$J$1004,5,FALSE)</f>
        <v/>
      </c>
      <c r="D950" s="4" t="str">
        <f ca="1">VLOOKUP(A950,Calculation!$E$6:$J$1004,6,FALSE)</f>
        <v/>
      </c>
      <c r="E950" s="42" t="str">
        <f t="shared" ca="1" si="6"/>
        <v/>
      </c>
      <c r="G950" s="29" t="str">
        <f ca="1">VLOOKUP(A950,Calculation!$F$6:$J$1004,3,FALSE)</f>
        <v/>
      </c>
      <c r="H950" s="4" t="str">
        <f ca="1">VLOOKUP(A950,Calculation!$F$6:$J$1004,4,FALSE)</f>
        <v/>
      </c>
      <c r="I950" s="4" t="str">
        <f ca="1">VLOOKUP(A950,Calculation!$F$6:$J$1004,5,FALSE)</f>
        <v/>
      </c>
      <c r="J950" s="43" t="str">
        <f t="shared" ca="1" si="7"/>
        <v/>
      </c>
      <c r="L950" s="29" t="str">
        <f ca="1">VLOOKUP(A950,Calculation!$G$6:$S$1004,2,FALSE)</f>
        <v/>
      </c>
      <c r="M950" s="4" t="str">
        <f ca="1">IFERROR(VLOOKUP($L950,Calculation!$H$6:$S$1005,HLOOKUP(M$2,Calculation!$M$4:$S$5,2,FALSE)+5,FALSE),"")</f>
        <v/>
      </c>
      <c r="N950" s="4" t="str">
        <f ca="1">IFERROR(VLOOKUP($L950,Calculation!$H$6:$S$1005,HLOOKUP(N$2,Calculation!$M$4:$S$5,2,FALSE)+5,FALSE),"")</f>
        <v/>
      </c>
      <c r="O950" s="4" t="str">
        <f ca="1">IFERROR(VLOOKUP($L950,Calculation!$H$6:$S$1005,HLOOKUP(O$2,Calculation!$M$4:$S$5,2,FALSE)+5,FALSE),"")</f>
        <v/>
      </c>
      <c r="P950" s="4" t="str">
        <f ca="1">IFERROR(VLOOKUP($L950,Calculation!$H$6:$S$1005,HLOOKUP(P$2,Calculation!$M$4:$S$5,2,FALSE)+5,FALSE),"")</f>
        <v/>
      </c>
      <c r="Q950" s="4" t="str">
        <f ca="1">IFERROR(VLOOKUP($L950,Calculation!$H$6:$S$1005,HLOOKUP(Q$2,Calculation!$M$4:$S$5,2,FALSE)+5,FALSE),"")</f>
        <v/>
      </c>
      <c r="R950" s="27" t="str">
        <f ca="1">IFERROR(VLOOKUP($L950,Calculation!$H$6:$S$1005,HLOOKUP(R$2,Calculation!$M$4:$S$5,2,FALSE)+5,FALSE),"")</f>
        <v/>
      </c>
      <c r="S950" s="4" t="str">
        <f ca="1">IFERROR(VLOOKUP($L950,Calculation!$H$6:$S$1005,HLOOKUP(S$2,Calculation!$M$4:$S$5,2,FALSE)+5,FALSE),"")</f>
        <v/>
      </c>
      <c r="T950" s="29"/>
      <c r="U950" s="43" t="str">
        <f>IFERROR(VLOOKUP(T950,Calculation!$U$6:$V$11,2,FALSE),"")</f>
        <v/>
      </c>
    </row>
    <row r="951" spans="1:21" ht="14.25" customHeight="1" x14ac:dyDescent="0.3">
      <c r="A951" s="26" t="str">
        <f ca="1">IF(Calculation!T954&lt;=Calculation!$H$4,Calculation!T954,"")</f>
        <v/>
      </c>
      <c r="B951" s="4" t="str">
        <f ca="1">VLOOKUP(A951,Calculation!$E$6:$J$1004,4,FALSE)</f>
        <v/>
      </c>
      <c r="C951" s="4" t="str">
        <f ca="1">VLOOKUP(A951,Calculation!$E$6:$J$1004,5,FALSE)</f>
        <v/>
      </c>
      <c r="D951" s="4" t="str">
        <f ca="1">VLOOKUP(A951,Calculation!$E$6:$J$1004,6,FALSE)</f>
        <v/>
      </c>
      <c r="E951" s="42" t="str">
        <f t="shared" ca="1" si="6"/>
        <v/>
      </c>
      <c r="G951" s="29" t="str">
        <f ca="1">VLOOKUP(A951,Calculation!$F$6:$J$1004,3,FALSE)</f>
        <v/>
      </c>
      <c r="H951" s="4" t="str">
        <f ca="1">VLOOKUP(A951,Calculation!$F$6:$J$1004,4,FALSE)</f>
        <v/>
      </c>
      <c r="I951" s="4" t="str">
        <f ca="1">VLOOKUP(A951,Calculation!$F$6:$J$1004,5,FALSE)</f>
        <v/>
      </c>
      <c r="J951" s="43" t="str">
        <f t="shared" ca="1" si="7"/>
        <v/>
      </c>
      <c r="L951" s="29" t="str">
        <f ca="1">VLOOKUP(A951,Calculation!$G$6:$S$1004,2,FALSE)</f>
        <v/>
      </c>
      <c r="M951" s="4" t="str">
        <f ca="1">IFERROR(VLOOKUP($L951,Calculation!$H$6:$S$1005,HLOOKUP(M$2,Calculation!$M$4:$S$5,2,FALSE)+5,FALSE),"")</f>
        <v/>
      </c>
      <c r="N951" s="4" t="str">
        <f ca="1">IFERROR(VLOOKUP($L951,Calculation!$H$6:$S$1005,HLOOKUP(N$2,Calculation!$M$4:$S$5,2,FALSE)+5,FALSE),"")</f>
        <v/>
      </c>
      <c r="O951" s="4" t="str">
        <f ca="1">IFERROR(VLOOKUP($L951,Calculation!$H$6:$S$1005,HLOOKUP(O$2,Calculation!$M$4:$S$5,2,FALSE)+5,FALSE),"")</f>
        <v/>
      </c>
      <c r="P951" s="4" t="str">
        <f ca="1">IFERROR(VLOOKUP($L951,Calculation!$H$6:$S$1005,HLOOKUP(P$2,Calculation!$M$4:$S$5,2,FALSE)+5,FALSE),"")</f>
        <v/>
      </c>
      <c r="Q951" s="4" t="str">
        <f ca="1">IFERROR(VLOOKUP($L951,Calculation!$H$6:$S$1005,HLOOKUP(Q$2,Calculation!$M$4:$S$5,2,FALSE)+5,FALSE),"")</f>
        <v/>
      </c>
      <c r="R951" s="27" t="str">
        <f ca="1">IFERROR(VLOOKUP($L951,Calculation!$H$6:$S$1005,HLOOKUP(R$2,Calculation!$M$4:$S$5,2,FALSE)+5,FALSE),"")</f>
        <v/>
      </c>
      <c r="S951" s="4" t="str">
        <f ca="1">IFERROR(VLOOKUP($L951,Calculation!$H$6:$S$1005,HLOOKUP(S$2,Calculation!$M$4:$S$5,2,FALSE)+5,FALSE),"")</f>
        <v/>
      </c>
      <c r="T951" s="29"/>
      <c r="U951" s="43" t="str">
        <f>IFERROR(VLOOKUP(T951,Calculation!$U$6:$V$11,2,FALSE),"")</f>
        <v/>
      </c>
    </row>
    <row r="952" spans="1:21" ht="14.25" customHeight="1" x14ac:dyDescent="0.3">
      <c r="A952" s="26" t="str">
        <f ca="1">IF(Calculation!T955&lt;=Calculation!$H$4,Calculation!T955,"")</f>
        <v/>
      </c>
      <c r="B952" s="4" t="str">
        <f ca="1">VLOOKUP(A952,Calculation!$E$6:$J$1004,4,FALSE)</f>
        <v/>
      </c>
      <c r="C952" s="4" t="str">
        <f ca="1">VLOOKUP(A952,Calculation!$E$6:$J$1004,5,FALSE)</f>
        <v/>
      </c>
      <c r="D952" s="4" t="str">
        <f ca="1">VLOOKUP(A952,Calculation!$E$6:$J$1004,6,FALSE)</f>
        <v/>
      </c>
      <c r="E952" s="42" t="str">
        <f t="shared" ca="1" si="6"/>
        <v/>
      </c>
      <c r="G952" s="29" t="str">
        <f ca="1">VLOOKUP(A952,Calculation!$F$6:$J$1004,3,FALSE)</f>
        <v/>
      </c>
      <c r="H952" s="4" t="str">
        <f ca="1">VLOOKUP(A952,Calculation!$F$6:$J$1004,4,FALSE)</f>
        <v/>
      </c>
      <c r="I952" s="4" t="str">
        <f ca="1">VLOOKUP(A952,Calculation!$F$6:$J$1004,5,FALSE)</f>
        <v/>
      </c>
      <c r="J952" s="43" t="str">
        <f t="shared" ca="1" si="7"/>
        <v/>
      </c>
      <c r="L952" s="29" t="str">
        <f ca="1">VLOOKUP(A952,Calculation!$G$6:$S$1004,2,FALSE)</f>
        <v/>
      </c>
      <c r="M952" s="4" t="str">
        <f ca="1">IFERROR(VLOOKUP($L952,Calculation!$H$6:$S$1005,HLOOKUP(M$2,Calculation!$M$4:$S$5,2,FALSE)+5,FALSE),"")</f>
        <v/>
      </c>
      <c r="N952" s="4" t="str">
        <f ca="1">IFERROR(VLOOKUP($L952,Calculation!$H$6:$S$1005,HLOOKUP(N$2,Calculation!$M$4:$S$5,2,FALSE)+5,FALSE),"")</f>
        <v/>
      </c>
      <c r="O952" s="4" t="str">
        <f ca="1">IFERROR(VLOOKUP($L952,Calculation!$H$6:$S$1005,HLOOKUP(O$2,Calculation!$M$4:$S$5,2,FALSE)+5,FALSE),"")</f>
        <v/>
      </c>
      <c r="P952" s="4" t="str">
        <f ca="1">IFERROR(VLOOKUP($L952,Calculation!$H$6:$S$1005,HLOOKUP(P$2,Calculation!$M$4:$S$5,2,FALSE)+5,FALSE),"")</f>
        <v/>
      </c>
      <c r="Q952" s="4" t="str">
        <f ca="1">IFERROR(VLOOKUP($L952,Calculation!$H$6:$S$1005,HLOOKUP(Q$2,Calculation!$M$4:$S$5,2,FALSE)+5,FALSE),"")</f>
        <v/>
      </c>
      <c r="R952" s="27" t="str">
        <f ca="1">IFERROR(VLOOKUP($L952,Calculation!$H$6:$S$1005,HLOOKUP(R$2,Calculation!$M$4:$S$5,2,FALSE)+5,FALSE),"")</f>
        <v/>
      </c>
      <c r="S952" s="4" t="str">
        <f ca="1">IFERROR(VLOOKUP($L952,Calculation!$H$6:$S$1005,HLOOKUP(S$2,Calculation!$M$4:$S$5,2,FALSE)+5,FALSE),"")</f>
        <v/>
      </c>
      <c r="T952" s="29"/>
      <c r="U952" s="43" t="str">
        <f>IFERROR(VLOOKUP(T952,Calculation!$U$6:$V$11,2,FALSE),"")</f>
        <v/>
      </c>
    </row>
    <row r="953" spans="1:21" ht="14.25" customHeight="1" x14ac:dyDescent="0.3">
      <c r="A953" s="26" t="str">
        <f ca="1">IF(Calculation!T956&lt;=Calculation!$H$4,Calculation!T956,"")</f>
        <v/>
      </c>
      <c r="B953" s="4" t="str">
        <f ca="1">VLOOKUP(A953,Calculation!$E$6:$J$1004,4,FALSE)</f>
        <v/>
      </c>
      <c r="C953" s="4" t="str">
        <f ca="1">VLOOKUP(A953,Calculation!$E$6:$J$1004,5,FALSE)</f>
        <v/>
      </c>
      <c r="D953" s="4" t="str">
        <f ca="1">VLOOKUP(A953,Calculation!$E$6:$J$1004,6,FALSE)</f>
        <v/>
      </c>
      <c r="E953" s="42" t="str">
        <f t="shared" ca="1" si="6"/>
        <v/>
      </c>
      <c r="G953" s="29" t="str">
        <f ca="1">VLOOKUP(A953,Calculation!$F$6:$J$1004,3,FALSE)</f>
        <v/>
      </c>
      <c r="H953" s="4" t="str">
        <f ca="1">VLOOKUP(A953,Calculation!$F$6:$J$1004,4,FALSE)</f>
        <v/>
      </c>
      <c r="I953" s="4" t="str">
        <f ca="1">VLOOKUP(A953,Calculation!$F$6:$J$1004,5,FALSE)</f>
        <v/>
      </c>
      <c r="J953" s="43" t="str">
        <f t="shared" ca="1" si="7"/>
        <v/>
      </c>
      <c r="L953" s="29" t="str">
        <f ca="1">VLOOKUP(A953,Calculation!$G$6:$S$1004,2,FALSE)</f>
        <v/>
      </c>
      <c r="M953" s="4" t="str">
        <f ca="1">IFERROR(VLOOKUP($L953,Calculation!$H$6:$S$1005,HLOOKUP(M$2,Calculation!$M$4:$S$5,2,FALSE)+5,FALSE),"")</f>
        <v/>
      </c>
      <c r="N953" s="4" t="str">
        <f ca="1">IFERROR(VLOOKUP($L953,Calculation!$H$6:$S$1005,HLOOKUP(N$2,Calculation!$M$4:$S$5,2,FALSE)+5,FALSE),"")</f>
        <v/>
      </c>
      <c r="O953" s="4" t="str">
        <f ca="1">IFERROR(VLOOKUP($L953,Calculation!$H$6:$S$1005,HLOOKUP(O$2,Calculation!$M$4:$S$5,2,FALSE)+5,FALSE),"")</f>
        <v/>
      </c>
      <c r="P953" s="4" t="str">
        <f ca="1">IFERROR(VLOOKUP($L953,Calculation!$H$6:$S$1005,HLOOKUP(P$2,Calculation!$M$4:$S$5,2,FALSE)+5,FALSE),"")</f>
        <v/>
      </c>
      <c r="Q953" s="4" t="str">
        <f ca="1">IFERROR(VLOOKUP($L953,Calculation!$H$6:$S$1005,HLOOKUP(Q$2,Calculation!$M$4:$S$5,2,FALSE)+5,FALSE),"")</f>
        <v/>
      </c>
      <c r="R953" s="27" t="str">
        <f ca="1">IFERROR(VLOOKUP($L953,Calculation!$H$6:$S$1005,HLOOKUP(R$2,Calculation!$M$4:$S$5,2,FALSE)+5,FALSE),"")</f>
        <v/>
      </c>
      <c r="S953" s="4" t="str">
        <f ca="1">IFERROR(VLOOKUP($L953,Calculation!$H$6:$S$1005,HLOOKUP(S$2,Calculation!$M$4:$S$5,2,FALSE)+5,FALSE),"")</f>
        <v/>
      </c>
      <c r="T953" s="29"/>
      <c r="U953" s="43" t="str">
        <f>IFERROR(VLOOKUP(T953,Calculation!$U$6:$V$11,2,FALSE),"")</f>
        <v/>
      </c>
    </row>
    <row r="954" spans="1:21" ht="14.25" customHeight="1" x14ac:dyDescent="0.3">
      <c r="A954" s="26" t="str">
        <f ca="1">IF(Calculation!T957&lt;=Calculation!$H$4,Calculation!T957,"")</f>
        <v/>
      </c>
      <c r="B954" s="4" t="str">
        <f ca="1">VLOOKUP(A954,Calculation!$E$6:$J$1004,4,FALSE)</f>
        <v/>
      </c>
      <c r="C954" s="4" t="str">
        <f ca="1">VLOOKUP(A954,Calculation!$E$6:$J$1004,5,FALSE)</f>
        <v/>
      </c>
      <c r="D954" s="4" t="str">
        <f ca="1">VLOOKUP(A954,Calculation!$E$6:$J$1004,6,FALSE)</f>
        <v/>
      </c>
      <c r="E954" s="42" t="str">
        <f t="shared" ca="1" si="6"/>
        <v/>
      </c>
      <c r="G954" s="29" t="str">
        <f ca="1">VLOOKUP(A954,Calculation!$F$6:$J$1004,3,FALSE)</f>
        <v/>
      </c>
      <c r="H954" s="4" t="str">
        <f ca="1">VLOOKUP(A954,Calculation!$F$6:$J$1004,4,FALSE)</f>
        <v/>
      </c>
      <c r="I954" s="4" t="str">
        <f ca="1">VLOOKUP(A954,Calculation!$F$6:$J$1004,5,FALSE)</f>
        <v/>
      </c>
      <c r="J954" s="43" t="str">
        <f t="shared" ca="1" si="7"/>
        <v/>
      </c>
      <c r="L954" s="29" t="str">
        <f ca="1">VLOOKUP(A954,Calculation!$G$6:$S$1004,2,FALSE)</f>
        <v/>
      </c>
      <c r="M954" s="4" t="str">
        <f ca="1">IFERROR(VLOOKUP($L954,Calculation!$H$6:$S$1005,HLOOKUP(M$2,Calculation!$M$4:$S$5,2,FALSE)+5,FALSE),"")</f>
        <v/>
      </c>
      <c r="N954" s="4" t="str">
        <f ca="1">IFERROR(VLOOKUP($L954,Calculation!$H$6:$S$1005,HLOOKUP(N$2,Calculation!$M$4:$S$5,2,FALSE)+5,FALSE),"")</f>
        <v/>
      </c>
      <c r="O954" s="4" t="str">
        <f ca="1">IFERROR(VLOOKUP($L954,Calculation!$H$6:$S$1005,HLOOKUP(O$2,Calculation!$M$4:$S$5,2,FALSE)+5,FALSE),"")</f>
        <v/>
      </c>
      <c r="P954" s="4" t="str">
        <f ca="1">IFERROR(VLOOKUP($L954,Calculation!$H$6:$S$1005,HLOOKUP(P$2,Calculation!$M$4:$S$5,2,FALSE)+5,FALSE),"")</f>
        <v/>
      </c>
      <c r="Q954" s="4" t="str">
        <f ca="1">IFERROR(VLOOKUP($L954,Calculation!$H$6:$S$1005,HLOOKUP(Q$2,Calculation!$M$4:$S$5,2,FALSE)+5,FALSE),"")</f>
        <v/>
      </c>
      <c r="R954" s="27" t="str">
        <f ca="1">IFERROR(VLOOKUP($L954,Calculation!$H$6:$S$1005,HLOOKUP(R$2,Calculation!$M$4:$S$5,2,FALSE)+5,FALSE),"")</f>
        <v/>
      </c>
      <c r="S954" s="4" t="str">
        <f ca="1">IFERROR(VLOOKUP($L954,Calculation!$H$6:$S$1005,HLOOKUP(S$2,Calculation!$M$4:$S$5,2,FALSE)+5,FALSE),"")</f>
        <v/>
      </c>
      <c r="T954" s="29"/>
      <c r="U954" s="43" t="str">
        <f>IFERROR(VLOOKUP(T954,Calculation!$U$6:$V$11,2,FALSE),"")</f>
        <v/>
      </c>
    </row>
    <row r="955" spans="1:21" ht="14.25" customHeight="1" x14ac:dyDescent="0.3">
      <c r="A955" s="26" t="str">
        <f ca="1">IF(Calculation!T958&lt;=Calculation!$H$4,Calculation!T958,"")</f>
        <v/>
      </c>
      <c r="B955" s="4" t="str">
        <f ca="1">VLOOKUP(A955,Calculation!$E$6:$J$1004,4,FALSE)</f>
        <v/>
      </c>
      <c r="C955" s="4" t="str">
        <f ca="1">VLOOKUP(A955,Calculation!$E$6:$J$1004,5,FALSE)</f>
        <v/>
      </c>
      <c r="D955" s="4" t="str">
        <f ca="1">VLOOKUP(A955,Calculation!$E$6:$J$1004,6,FALSE)</f>
        <v/>
      </c>
      <c r="E955" s="42" t="str">
        <f t="shared" ca="1" si="6"/>
        <v/>
      </c>
      <c r="G955" s="29" t="str">
        <f ca="1">VLOOKUP(A955,Calculation!$F$6:$J$1004,3,FALSE)</f>
        <v/>
      </c>
      <c r="H955" s="4" t="str">
        <f ca="1">VLOOKUP(A955,Calculation!$F$6:$J$1004,4,FALSE)</f>
        <v/>
      </c>
      <c r="I955" s="4" t="str">
        <f ca="1">VLOOKUP(A955,Calculation!$F$6:$J$1004,5,FALSE)</f>
        <v/>
      </c>
      <c r="J955" s="43" t="str">
        <f t="shared" ca="1" si="7"/>
        <v/>
      </c>
      <c r="L955" s="29" t="str">
        <f ca="1">VLOOKUP(A955,Calculation!$G$6:$S$1004,2,FALSE)</f>
        <v/>
      </c>
      <c r="M955" s="4" t="str">
        <f ca="1">IFERROR(VLOOKUP($L955,Calculation!$H$6:$S$1005,HLOOKUP(M$2,Calculation!$M$4:$S$5,2,FALSE)+5,FALSE),"")</f>
        <v/>
      </c>
      <c r="N955" s="4" t="str">
        <f ca="1">IFERROR(VLOOKUP($L955,Calculation!$H$6:$S$1005,HLOOKUP(N$2,Calculation!$M$4:$S$5,2,FALSE)+5,FALSE),"")</f>
        <v/>
      </c>
      <c r="O955" s="4" t="str">
        <f ca="1">IFERROR(VLOOKUP($L955,Calculation!$H$6:$S$1005,HLOOKUP(O$2,Calculation!$M$4:$S$5,2,FALSE)+5,FALSE),"")</f>
        <v/>
      </c>
      <c r="P955" s="4" t="str">
        <f ca="1">IFERROR(VLOOKUP($L955,Calculation!$H$6:$S$1005,HLOOKUP(P$2,Calculation!$M$4:$S$5,2,FALSE)+5,FALSE),"")</f>
        <v/>
      </c>
      <c r="Q955" s="4" t="str">
        <f ca="1">IFERROR(VLOOKUP($L955,Calculation!$H$6:$S$1005,HLOOKUP(Q$2,Calculation!$M$4:$S$5,2,FALSE)+5,FALSE),"")</f>
        <v/>
      </c>
      <c r="R955" s="27" t="str">
        <f ca="1">IFERROR(VLOOKUP($L955,Calculation!$H$6:$S$1005,HLOOKUP(R$2,Calculation!$M$4:$S$5,2,FALSE)+5,FALSE),"")</f>
        <v/>
      </c>
      <c r="S955" s="4" t="str">
        <f ca="1">IFERROR(VLOOKUP($L955,Calculation!$H$6:$S$1005,HLOOKUP(S$2,Calculation!$M$4:$S$5,2,FALSE)+5,FALSE),"")</f>
        <v/>
      </c>
      <c r="T955" s="29"/>
      <c r="U955" s="43" t="str">
        <f>IFERROR(VLOOKUP(T955,Calculation!$U$6:$V$11,2,FALSE),"")</f>
        <v/>
      </c>
    </row>
    <row r="956" spans="1:21" ht="14.25" customHeight="1" x14ac:dyDescent="0.3">
      <c r="A956" s="26" t="str">
        <f ca="1">IF(Calculation!T959&lt;=Calculation!$H$4,Calculation!T959,"")</f>
        <v/>
      </c>
      <c r="B956" s="4" t="str">
        <f ca="1">VLOOKUP(A956,Calculation!$E$6:$J$1004,4,FALSE)</f>
        <v/>
      </c>
      <c r="C956" s="4" t="str">
        <f ca="1">VLOOKUP(A956,Calculation!$E$6:$J$1004,5,FALSE)</f>
        <v/>
      </c>
      <c r="D956" s="4" t="str">
        <f ca="1">VLOOKUP(A956,Calculation!$E$6:$J$1004,6,FALSE)</f>
        <v/>
      </c>
      <c r="E956" s="42" t="str">
        <f t="shared" ca="1" si="6"/>
        <v/>
      </c>
      <c r="G956" s="29" t="str">
        <f ca="1">VLOOKUP(A956,Calculation!$F$6:$J$1004,3,FALSE)</f>
        <v/>
      </c>
      <c r="H956" s="4" t="str">
        <f ca="1">VLOOKUP(A956,Calculation!$F$6:$J$1004,4,FALSE)</f>
        <v/>
      </c>
      <c r="I956" s="4" t="str">
        <f ca="1">VLOOKUP(A956,Calculation!$F$6:$J$1004,5,FALSE)</f>
        <v/>
      </c>
      <c r="J956" s="43" t="str">
        <f t="shared" ca="1" si="7"/>
        <v/>
      </c>
      <c r="L956" s="29" t="str">
        <f ca="1">VLOOKUP(A956,Calculation!$G$6:$S$1004,2,FALSE)</f>
        <v/>
      </c>
      <c r="M956" s="4" t="str">
        <f ca="1">IFERROR(VLOOKUP($L956,Calculation!$H$6:$S$1005,HLOOKUP(M$2,Calculation!$M$4:$S$5,2,FALSE)+5,FALSE),"")</f>
        <v/>
      </c>
      <c r="N956" s="4" t="str">
        <f ca="1">IFERROR(VLOOKUP($L956,Calculation!$H$6:$S$1005,HLOOKUP(N$2,Calculation!$M$4:$S$5,2,FALSE)+5,FALSE),"")</f>
        <v/>
      </c>
      <c r="O956" s="4" t="str">
        <f ca="1">IFERROR(VLOOKUP($L956,Calculation!$H$6:$S$1005,HLOOKUP(O$2,Calculation!$M$4:$S$5,2,FALSE)+5,FALSE),"")</f>
        <v/>
      </c>
      <c r="P956" s="4" t="str">
        <f ca="1">IFERROR(VLOOKUP($L956,Calculation!$H$6:$S$1005,HLOOKUP(P$2,Calculation!$M$4:$S$5,2,FALSE)+5,FALSE),"")</f>
        <v/>
      </c>
      <c r="Q956" s="4" t="str">
        <f ca="1">IFERROR(VLOOKUP($L956,Calculation!$H$6:$S$1005,HLOOKUP(Q$2,Calculation!$M$4:$S$5,2,FALSE)+5,FALSE),"")</f>
        <v/>
      </c>
      <c r="R956" s="27" t="str">
        <f ca="1">IFERROR(VLOOKUP($L956,Calculation!$H$6:$S$1005,HLOOKUP(R$2,Calculation!$M$4:$S$5,2,FALSE)+5,FALSE),"")</f>
        <v/>
      </c>
      <c r="S956" s="4" t="str">
        <f ca="1">IFERROR(VLOOKUP($L956,Calculation!$H$6:$S$1005,HLOOKUP(S$2,Calculation!$M$4:$S$5,2,FALSE)+5,FALSE),"")</f>
        <v/>
      </c>
      <c r="T956" s="29"/>
      <c r="U956" s="43" t="str">
        <f>IFERROR(VLOOKUP(T956,Calculation!$U$6:$V$11,2,FALSE),"")</f>
        <v/>
      </c>
    </row>
    <row r="957" spans="1:21" ht="14.25" customHeight="1" x14ac:dyDescent="0.3">
      <c r="A957" s="26" t="str">
        <f ca="1">IF(Calculation!T960&lt;=Calculation!$H$4,Calculation!T960,"")</f>
        <v/>
      </c>
      <c r="B957" s="4" t="str">
        <f ca="1">VLOOKUP(A957,Calculation!$E$6:$J$1004,4,FALSE)</f>
        <v/>
      </c>
      <c r="C957" s="4" t="str">
        <f ca="1">VLOOKUP(A957,Calculation!$E$6:$J$1004,5,FALSE)</f>
        <v/>
      </c>
      <c r="D957" s="4" t="str">
        <f ca="1">VLOOKUP(A957,Calculation!$E$6:$J$1004,6,FALSE)</f>
        <v/>
      </c>
      <c r="E957" s="42" t="str">
        <f t="shared" ca="1" si="6"/>
        <v/>
      </c>
      <c r="G957" s="29" t="str">
        <f ca="1">VLOOKUP(A957,Calculation!$F$6:$J$1004,3,FALSE)</f>
        <v/>
      </c>
      <c r="H957" s="4" t="str">
        <f ca="1">VLOOKUP(A957,Calculation!$F$6:$J$1004,4,FALSE)</f>
        <v/>
      </c>
      <c r="I957" s="4" t="str">
        <f ca="1">VLOOKUP(A957,Calculation!$F$6:$J$1004,5,FALSE)</f>
        <v/>
      </c>
      <c r="J957" s="43" t="str">
        <f t="shared" ca="1" si="7"/>
        <v/>
      </c>
      <c r="L957" s="29" t="str">
        <f ca="1">VLOOKUP(A957,Calculation!$G$6:$S$1004,2,FALSE)</f>
        <v/>
      </c>
      <c r="M957" s="4" t="str">
        <f ca="1">IFERROR(VLOOKUP($L957,Calculation!$H$6:$S$1005,HLOOKUP(M$2,Calculation!$M$4:$S$5,2,FALSE)+5,FALSE),"")</f>
        <v/>
      </c>
      <c r="N957" s="4" t="str">
        <f ca="1">IFERROR(VLOOKUP($L957,Calculation!$H$6:$S$1005,HLOOKUP(N$2,Calculation!$M$4:$S$5,2,FALSE)+5,FALSE),"")</f>
        <v/>
      </c>
      <c r="O957" s="4" t="str">
        <f ca="1">IFERROR(VLOOKUP($L957,Calculation!$H$6:$S$1005,HLOOKUP(O$2,Calculation!$M$4:$S$5,2,FALSE)+5,FALSE),"")</f>
        <v/>
      </c>
      <c r="P957" s="4" t="str">
        <f ca="1">IFERROR(VLOOKUP($L957,Calculation!$H$6:$S$1005,HLOOKUP(P$2,Calculation!$M$4:$S$5,2,FALSE)+5,FALSE),"")</f>
        <v/>
      </c>
      <c r="Q957" s="4" t="str">
        <f ca="1">IFERROR(VLOOKUP($L957,Calculation!$H$6:$S$1005,HLOOKUP(Q$2,Calculation!$M$4:$S$5,2,FALSE)+5,FALSE),"")</f>
        <v/>
      </c>
      <c r="R957" s="27" t="str">
        <f ca="1">IFERROR(VLOOKUP($L957,Calculation!$H$6:$S$1005,HLOOKUP(R$2,Calculation!$M$4:$S$5,2,FALSE)+5,FALSE),"")</f>
        <v/>
      </c>
      <c r="S957" s="4" t="str">
        <f ca="1">IFERROR(VLOOKUP($L957,Calculation!$H$6:$S$1005,HLOOKUP(S$2,Calculation!$M$4:$S$5,2,FALSE)+5,FALSE),"")</f>
        <v/>
      </c>
      <c r="T957" s="29"/>
      <c r="U957" s="43" t="str">
        <f>IFERROR(VLOOKUP(T957,Calculation!$U$6:$V$11,2,FALSE),"")</f>
        <v/>
      </c>
    </row>
    <row r="958" spans="1:21" ht="14.25" customHeight="1" x14ac:dyDescent="0.3">
      <c r="A958" s="26" t="str">
        <f ca="1">IF(Calculation!T961&lt;=Calculation!$H$4,Calculation!T961,"")</f>
        <v/>
      </c>
      <c r="B958" s="4" t="str">
        <f ca="1">VLOOKUP(A958,Calculation!$E$6:$J$1004,4,FALSE)</f>
        <v/>
      </c>
      <c r="C958" s="4" t="str">
        <f ca="1">VLOOKUP(A958,Calculation!$E$6:$J$1004,5,FALSE)</f>
        <v/>
      </c>
      <c r="D958" s="4" t="str">
        <f ca="1">VLOOKUP(A958,Calculation!$E$6:$J$1004,6,FALSE)</f>
        <v/>
      </c>
      <c r="E958" s="42" t="str">
        <f t="shared" ca="1" si="6"/>
        <v/>
      </c>
      <c r="G958" s="29" t="str">
        <f ca="1">VLOOKUP(A958,Calculation!$F$6:$J$1004,3,FALSE)</f>
        <v/>
      </c>
      <c r="H958" s="4" t="str">
        <f ca="1">VLOOKUP(A958,Calculation!$F$6:$J$1004,4,FALSE)</f>
        <v/>
      </c>
      <c r="I958" s="4" t="str">
        <f ca="1">VLOOKUP(A958,Calculation!$F$6:$J$1004,5,FALSE)</f>
        <v/>
      </c>
      <c r="J958" s="43" t="str">
        <f t="shared" ca="1" si="7"/>
        <v/>
      </c>
      <c r="L958" s="29" t="str">
        <f ca="1">VLOOKUP(A958,Calculation!$G$6:$S$1004,2,FALSE)</f>
        <v/>
      </c>
      <c r="M958" s="4" t="str">
        <f ca="1">IFERROR(VLOOKUP($L958,Calculation!$H$6:$S$1005,HLOOKUP(M$2,Calculation!$M$4:$S$5,2,FALSE)+5,FALSE),"")</f>
        <v/>
      </c>
      <c r="N958" s="4" t="str">
        <f ca="1">IFERROR(VLOOKUP($L958,Calculation!$H$6:$S$1005,HLOOKUP(N$2,Calculation!$M$4:$S$5,2,FALSE)+5,FALSE),"")</f>
        <v/>
      </c>
      <c r="O958" s="4" t="str">
        <f ca="1">IFERROR(VLOOKUP($L958,Calculation!$H$6:$S$1005,HLOOKUP(O$2,Calculation!$M$4:$S$5,2,FALSE)+5,FALSE),"")</f>
        <v/>
      </c>
      <c r="P958" s="4" t="str">
        <f ca="1">IFERROR(VLOOKUP($L958,Calculation!$H$6:$S$1005,HLOOKUP(P$2,Calculation!$M$4:$S$5,2,FALSE)+5,FALSE),"")</f>
        <v/>
      </c>
      <c r="Q958" s="4" t="str">
        <f ca="1">IFERROR(VLOOKUP($L958,Calculation!$H$6:$S$1005,HLOOKUP(Q$2,Calculation!$M$4:$S$5,2,FALSE)+5,FALSE),"")</f>
        <v/>
      </c>
      <c r="R958" s="27" t="str">
        <f ca="1">IFERROR(VLOOKUP($L958,Calculation!$H$6:$S$1005,HLOOKUP(R$2,Calculation!$M$4:$S$5,2,FALSE)+5,FALSE),"")</f>
        <v/>
      </c>
      <c r="S958" s="4" t="str">
        <f ca="1">IFERROR(VLOOKUP($L958,Calculation!$H$6:$S$1005,HLOOKUP(S$2,Calculation!$M$4:$S$5,2,FALSE)+5,FALSE),"")</f>
        <v/>
      </c>
      <c r="T958" s="29"/>
      <c r="U958" s="43" t="str">
        <f>IFERROR(VLOOKUP(T958,Calculation!$U$6:$V$11,2,FALSE),"")</f>
        <v/>
      </c>
    </row>
    <row r="959" spans="1:21" ht="14.25" customHeight="1" x14ac:dyDescent="0.3">
      <c r="A959" s="26" t="str">
        <f ca="1">IF(Calculation!T962&lt;=Calculation!$H$4,Calculation!T962,"")</f>
        <v/>
      </c>
      <c r="B959" s="4" t="str">
        <f ca="1">VLOOKUP(A959,Calculation!$E$6:$J$1004,4,FALSE)</f>
        <v/>
      </c>
      <c r="C959" s="4" t="str">
        <f ca="1">VLOOKUP(A959,Calculation!$E$6:$J$1004,5,FALSE)</f>
        <v/>
      </c>
      <c r="D959" s="4" t="str">
        <f ca="1">VLOOKUP(A959,Calculation!$E$6:$J$1004,6,FALSE)</f>
        <v/>
      </c>
      <c r="E959" s="42" t="str">
        <f t="shared" ca="1" si="6"/>
        <v/>
      </c>
      <c r="G959" s="29" t="str">
        <f ca="1">VLOOKUP(A959,Calculation!$F$6:$J$1004,3,FALSE)</f>
        <v/>
      </c>
      <c r="H959" s="4" t="str">
        <f ca="1">VLOOKUP(A959,Calculation!$F$6:$J$1004,4,FALSE)</f>
        <v/>
      </c>
      <c r="I959" s="4" t="str">
        <f ca="1">VLOOKUP(A959,Calculation!$F$6:$J$1004,5,FALSE)</f>
        <v/>
      </c>
      <c r="J959" s="43" t="str">
        <f t="shared" ca="1" si="7"/>
        <v/>
      </c>
      <c r="L959" s="29" t="str">
        <f ca="1">VLOOKUP(A959,Calculation!$G$6:$S$1004,2,FALSE)</f>
        <v/>
      </c>
      <c r="M959" s="4" t="str">
        <f ca="1">IFERROR(VLOOKUP($L959,Calculation!$H$6:$S$1005,HLOOKUP(M$2,Calculation!$M$4:$S$5,2,FALSE)+5,FALSE),"")</f>
        <v/>
      </c>
      <c r="N959" s="4" t="str">
        <f ca="1">IFERROR(VLOOKUP($L959,Calculation!$H$6:$S$1005,HLOOKUP(N$2,Calculation!$M$4:$S$5,2,FALSE)+5,FALSE),"")</f>
        <v/>
      </c>
      <c r="O959" s="4" t="str">
        <f ca="1">IFERROR(VLOOKUP($L959,Calculation!$H$6:$S$1005,HLOOKUP(O$2,Calculation!$M$4:$S$5,2,FALSE)+5,FALSE),"")</f>
        <v/>
      </c>
      <c r="P959" s="4" t="str">
        <f ca="1">IFERROR(VLOOKUP($L959,Calculation!$H$6:$S$1005,HLOOKUP(P$2,Calculation!$M$4:$S$5,2,FALSE)+5,FALSE),"")</f>
        <v/>
      </c>
      <c r="Q959" s="4" t="str">
        <f ca="1">IFERROR(VLOOKUP($L959,Calculation!$H$6:$S$1005,HLOOKUP(Q$2,Calculation!$M$4:$S$5,2,FALSE)+5,FALSE),"")</f>
        <v/>
      </c>
      <c r="R959" s="27" t="str">
        <f ca="1">IFERROR(VLOOKUP($L959,Calculation!$H$6:$S$1005,HLOOKUP(R$2,Calculation!$M$4:$S$5,2,FALSE)+5,FALSE),"")</f>
        <v/>
      </c>
      <c r="S959" s="4" t="str">
        <f ca="1">IFERROR(VLOOKUP($L959,Calculation!$H$6:$S$1005,HLOOKUP(S$2,Calculation!$M$4:$S$5,2,FALSE)+5,FALSE),"")</f>
        <v/>
      </c>
      <c r="T959" s="29"/>
      <c r="U959" s="43" t="str">
        <f>IFERROR(VLOOKUP(T959,Calculation!$U$6:$V$11,2,FALSE),"")</f>
        <v/>
      </c>
    </row>
    <row r="960" spans="1:21" ht="14.25" customHeight="1" x14ac:dyDescent="0.3">
      <c r="A960" s="26" t="str">
        <f ca="1">IF(Calculation!T963&lt;=Calculation!$H$4,Calculation!T963,"")</f>
        <v/>
      </c>
      <c r="B960" s="4" t="str">
        <f ca="1">VLOOKUP(A960,Calculation!$E$6:$J$1004,4,FALSE)</f>
        <v/>
      </c>
      <c r="C960" s="4" t="str">
        <f ca="1">VLOOKUP(A960,Calculation!$E$6:$J$1004,5,FALSE)</f>
        <v/>
      </c>
      <c r="D960" s="4" t="str">
        <f ca="1">VLOOKUP(A960,Calculation!$E$6:$J$1004,6,FALSE)</f>
        <v/>
      </c>
      <c r="E960" s="42" t="str">
        <f t="shared" ca="1" si="6"/>
        <v/>
      </c>
      <c r="G960" s="29" t="str">
        <f ca="1">VLOOKUP(A960,Calculation!$F$6:$J$1004,3,FALSE)</f>
        <v/>
      </c>
      <c r="H960" s="4" t="str">
        <f ca="1">VLOOKUP(A960,Calculation!$F$6:$J$1004,4,FALSE)</f>
        <v/>
      </c>
      <c r="I960" s="4" t="str">
        <f ca="1">VLOOKUP(A960,Calculation!$F$6:$J$1004,5,FALSE)</f>
        <v/>
      </c>
      <c r="J960" s="43" t="str">
        <f t="shared" ca="1" si="7"/>
        <v/>
      </c>
      <c r="L960" s="29" t="str">
        <f ca="1">VLOOKUP(A960,Calculation!$G$6:$S$1004,2,FALSE)</f>
        <v/>
      </c>
      <c r="M960" s="4" t="str">
        <f ca="1">IFERROR(VLOOKUP($L960,Calculation!$H$6:$S$1005,HLOOKUP(M$2,Calculation!$M$4:$S$5,2,FALSE)+5,FALSE),"")</f>
        <v/>
      </c>
      <c r="N960" s="4" t="str">
        <f ca="1">IFERROR(VLOOKUP($L960,Calculation!$H$6:$S$1005,HLOOKUP(N$2,Calculation!$M$4:$S$5,2,FALSE)+5,FALSE),"")</f>
        <v/>
      </c>
      <c r="O960" s="4" t="str">
        <f ca="1">IFERROR(VLOOKUP($L960,Calculation!$H$6:$S$1005,HLOOKUP(O$2,Calculation!$M$4:$S$5,2,FALSE)+5,FALSE),"")</f>
        <v/>
      </c>
      <c r="P960" s="4" t="str">
        <f ca="1">IFERROR(VLOOKUP($L960,Calculation!$H$6:$S$1005,HLOOKUP(P$2,Calculation!$M$4:$S$5,2,FALSE)+5,FALSE),"")</f>
        <v/>
      </c>
      <c r="Q960" s="4" t="str">
        <f ca="1">IFERROR(VLOOKUP($L960,Calculation!$H$6:$S$1005,HLOOKUP(Q$2,Calculation!$M$4:$S$5,2,FALSE)+5,FALSE),"")</f>
        <v/>
      </c>
      <c r="R960" s="27" t="str">
        <f ca="1">IFERROR(VLOOKUP($L960,Calculation!$H$6:$S$1005,HLOOKUP(R$2,Calculation!$M$4:$S$5,2,FALSE)+5,FALSE),"")</f>
        <v/>
      </c>
      <c r="S960" s="4" t="str">
        <f ca="1">IFERROR(VLOOKUP($L960,Calculation!$H$6:$S$1005,HLOOKUP(S$2,Calculation!$M$4:$S$5,2,FALSE)+5,FALSE),"")</f>
        <v/>
      </c>
      <c r="T960" s="29"/>
      <c r="U960" s="43" t="str">
        <f>IFERROR(VLOOKUP(T960,Calculation!$U$6:$V$11,2,FALSE),"")</f>
        <v/>
      </c>
    </row>
    <row r="961" spans="1:21" ht="14.25" customHeight="1" x14ac:dyDescent="0.3">
      <c r="A961" s="26" t="str">
        <f ca="1">IF(Calculation!T964&lt;=Calculation!$H$4,Calculation!T964,"")</f>
        <v/>
      </c>
      <c r="B961" s="4" t="str">
        <f ca="1">VLOOKUP(A961,Calculation!$E$6:$J$1004,4,FALSE)</f>
        <v/>
      </c>
      <c r="C961" s="4" t="str">
        <f ca="1">VLOOKUP(A961,Calculation!$E$6:$J$1004,5,FALSE)</f>
        <v/>
      </c>
      <c r="D961" s="4" t="str">
        <f ca="1">VLOOKUP(A961,Calculation!$E$6:$J$1004,6,FALSE)</f>
        <v/>
      </c>
      <c r="E961" s="42" t="str">
        <f t="shared" ca="1" si="6"/>
        <v/>
      </c>
      <c r="G961" s="29" t="str">
        <f ca="1">VLOOKUP(A961,Calculation!$F$6:$J$1004,3,FALSE)</f>
        <v/>
      </c>
      <c r="H961" s="4" t="str">
        <f ca="1">VLOOKUP(A961,Calculation!$F$6:$J$1004,4,FALSE)</f>
        <v/>
      </c>
      <c r="I961" s="4" t="str">
        <f ca="1">VLOOKUP(A961,Calculation!$F$6:$J$1004,5,FALSE)</f>
        <v/>
      </c>
      <c r="J961" s="43" t="str">
        <f t="shared" ca="1" si="7"/>
        <v/>
      </c>
      <c r="L961" s="29" t="str">
        <f ca="1">VLOOKUP(A961,Calculation!$G$6:$S$1004,2,FALSE)</f>
        <v/>
      </c>
      <c r="M961" s="4" t="str">
        <f ca="1">IFERROR(VLOOKUP($L961,Calculation!$H$6:$S$1005,HLOOKUP(M$2,Calculation!$M$4:$S$5,2,FALSE)+5,FALSE),"")</f>
        <v/>
      </c>
      <c r="N961" s="4" t="str">
        <f ca="1">IFERROR(VLOOKUP($L961,Calculation!$H$6:$S$1005,HLOOKUP(N$2,Calculation!$M$4:$S$5,2,FALSE)+5,FALSE),"")</f>
        <v/>
      </c>
      <c r="O961" s="4" t="str">
        <f ca="1">IFERROR(VLOOKUP($L961,Calculation!$H$6:$S$1005,HLOOKUP(O$2,Calculation!$M$4:$S$5,2,FALSE)+5,FALSE),"")</f>
        <v/>
      </c>
      <c r="P961" s="4" t="str">
        <f ca="1">IFERROR(VLOOKUP($L961,Calculation!$H$6:$S$1005,HLOOKUP(P$2,Calculation!$M$4:$S$5,2,FALSE)+5,FALSE),"")</f>
        <v/>
      </c>
      <c r="Q961" s="4" t="str">
        <f ca="1">IFERROR(VLOOKUP($L961,Calculation!$H$6:$S$1005,HLOOKUP(Q$2,Calculation!$M$4:$S$5,2,FALSE)+5,FALSE),"")</f>
        <v/>
      </c>
      <c r="R961" s="27" t="str">
        <f ca="1">IFERROR(VLOOKUP($L961,Calculation!$H$6:$S$1005,HLOOKUP(R$2,Calculation!$M$4:$S$5,2,FALSE)+5,FALSE),"")</f>
        <v/>
      </c>
      <c r="S961" s="4" t="str">
        <f ca="1">IFERROR(VLOOKUP($L961,Calculation!$H$6:$S$1005,HLOOKUP(S$2,Calculation!$M$4:$S$5,2,FALSE)+5,FALSE),"")</f>
        <v/>
      </c>
      <c r="T961" s="29"/>
      <c r="U961" s="43" t="str">
        <f>IFERROR(VLOOKUP(T961,Calculation!$U$6:$V$11,2,FALSE),"")</f>
        <v/>
      </c>
    </row>
    <row r="962" spans="1:21" ht="14.25" customHeight="1" x14ac:dyDescent="0.3">
      <c r="A962" s="26" t="str">
        <f ca="1">IF(Calculation!T965&lt;=Calculation!$H$4,Calculation!T965,"")</f>
        <v/>
      </c>
      <c r="B962" s="4" t="str">
        <f ca="1">VLOOKUP(A962,Calculation!$E$6:$J$1004,4,FALSE)</f>
        <v/>
      </c>
      <c r="C962" s="4" t="str">
        <f ca="1">VLOOKUP(A962,Calculation!$E$6:$J$1004,5,FALSE)</f>
        <v/>
      </c>
      <c r="D962" s="4" t="str">
        <f ca="1">VLOOKUP(A962,Calculation!$E$6:$J$1004,6,FALSE)</f>
        <v/>
      </c>
      <c r="E962" s="42" t="str">
        <f t="shared" ca="1" si="6"/>
        <v/>
      </c>
      <c r="G962" s="29" t="str">
        <f ca="1">VLOOKUP(A962,Calculation!$F$6:$J$1004,3,FALSE)</f>
        <v/>
      </c>
      <c r="H962" s="4" t="str">
        <f ca="1">VLOOKUP(A962,Calculation!$F$6:$J$1004,4,FALSE)</f>
        <v/>
      </c>
      <c r="I962" s="4" t="str">
        <f ca="1">VLOOKUP(A962,Calculation!$F$6:$J$1004,5,FALSE)</f>
        <v/>
      </c>
      <c r="J962" s="43" t="str">
        <f t="shared" ca="1" si="7"/>
        <v/>
      </c>
      <c r="L962" s="29" t="str">
        <f ca="1">VLOOKUP(A962,Calculation!$G$6:$S$1004,2,FALSE)</f>
        <v/>
      </c>
      <c r="M962" s="4" t="str">
        <f ca="1">IFERROR(VLOOKUP($L962,Calculation!$H$6:$S$1005,HLOOKUP(M$2,Calculation!$M$4:$S$5,2,FALSE)+5,FALSE),"")</f>
        <v/>
      </c>
      <c r="N962" s="4" t="str">
        <f ca="1">IFERROR(VLOOKUP($L962,Calculation!$H$6:$S$1005,HLOOKUP(N$2,Calculation!$M$4:$S$5,2,FALSE)+5,FALSE),"")</f>
        <v/>
      </c>
      <c r="O962" s="4" t="str">
        <f ca="1">IFERROR(VLOOKUP($L962,Calculation!$H$6:$S$1005,HLOOKUP(O$2,Calculation!$M$4:$S$5,2,FALSE)+5,FALSE),"")</f>
        <v/>
      </c>
      <c r="P962" s="4" t="str">
        <f ca="1">IFERROR(VLOOKUP($L962,Calculation!$H$6:$S$1005,HLOOKUP(P$2,Calculation!$M$4:$S$5,2,FALSE)+5,FALSE),"")</f>
        <v/>
      </c>
      <c r="Q962" s="4" t="str">
        <f ca="1">IFERROR(VLOOKUP($L962,Calculation!$H$6:$S$1005,HLOOKUP(Q$2,Calculation!$M$4:$S$5,2,FALSE)+5,FALSE),"")</f>
        <v/>
      </c>
      <c r="R962" s="27" t="str">
        <f ca="1">IFERROR(VLOOKUP($L962,Calculation!$H$6:$S$1005,HLOOKUP(R$2,Calculation!$M$4:$S$5,2,FALSE)+5,FALSE),"")</f>
        <v/>
      </c>
      <c r="S962" s="4" t="str">
        <f ca="1">IFERROR(VLOOKUP($L962,Calculation!$H$6:$S$1005,HLOOKUP(S$2,Calculation!$M$4:$S$5,2,FALSE)+5,FALSE),"")</f>
        <v/>
      </c>
      <c r="T962" s="29"/>
      <c r="U962" s="43" t="str">
        <f>IFERROR(VLOOKUP(T962,Calculation!$U$6:$V$11,2,FALSE),"")</f>
        <v/>
      </c>
    </row>
    <row r="963" spans="1:21" ht="14.25" customHeight="1" x14ac:dyDescent="0.3">
      <c r="A963" s="26" t="str">
        <f ca="1">IF(Calculation!T966&lt;=Calculation!$H$4,Calculation!T966,"")</f>
        <v/>
      </c>
      <c r="B963" s="4" t="str">
        <f ca="1">VLOOKUP(A963,Calculation!$E$6:$J$1004,4,FALSE)</f>
        <v/>
      </c>
      <c r="C963" s="4" t="str">
        <f ca="1">VLOOKUP(A963,Calculation!$E$6:$J$1004,5,FALSE)</f>
        <v/>
      </c>
      <c r="D963" s="4" t="str">
        <f ca="1">VLOOKUP(A963,Calculation!$E$6:$J$1004,6,FALSE)</f>
        <v/>
      </c>
      <c r="E963" s="42" t="str">
        <f t="shared" ca="1" si="6"/>
        <v/>
      </c>
      <c r="G963" s="29" t="str">
        <f ca="1">VLOOKUP(A963,Calculation!$F$6:$J$1004,3,FALSE)</f>
        <v/>
      </c>
      <c r="H963" s="4" t="str">
        <f ca="1">VLOOKUP(A963,Calculation!$F$6:$J$1004,4,FALSE)</f>
        <v/>
      </c>
      <c r="I963" s="4" t="str">
        <f ca="1">VLOOKUP(A963,Calculation!$F$6:$J$1004,5,FALSE)</f>
        <v/>
      </c>
      <c r="J963" s="43" t="str">
        <f t="shared" ca="1" si="7"/>
        <v/>
      </c>
      <c r="L963" s="29" t="str">
        <f ca="1">VLOOKUP(A963,Calculation!$G$6:$S$1004,2,FALSE)</f>
        <v/>
      </c>
      <c r="M963" s="4" t="str">
        <f ca="1">IFERROR(VLOOKUP($L963,Calculation!$H$6:$S$1005,HLOOKUP(M$2,Calculation!$M$4:$S$5,2,FALSE)+5,FALSE),"")</f>
        <v/>
      </c>
      <c r="N963" s="4" t="str">
        <f ca="1">IFERROR(VLOOKUP($L963,Calculation!$H$6:$S$1005,HLOOKUP(N$2,Calculation!$M$4:$S$5,2,FALSE)+5,FALSE),"")</f>
        <v/>
      </c>
      <c r="O963" s="4" t="str">
        <f ca="1">IFERROR(VLOOKUP($L963,Calculation!$H$6:$S$1005,HLOOKUP(O$2,Calculation!$M$4:$S$5,2,FALSE)+5,FALSE),"")</f>
        <v/>
      </c>
      <c r="P963" s="4" t="str">
        <f ca="1">IFERROR(VLOOKUP($L963,Calculation!$H$6:$S$1005,HLOOKUP(P$2,Calculation!$M$4:$S$5,2,FALSE)+5,FALSE),"")</f>
        <v/>
      </c>
      <c r="Q963" s="4" t="str">
        <f ca="1">IFERROR(VLOOKUP($L963,Calculation!$H$6:$S$1005,HLOOKUP(Q$2,Calculation!$M$4:$S$5,2,FALSE)+5,FALSE),"")</f>
        <v/>
      </c>
      <c r="R963" s="27" t="str">
        <f ca="1">IFERROR(VLOOKUP($L963,Calculation!$H$6:$S$1005,HLOOKUP(R$2,Calculation!$M$4:$S$5,2,FALSE)+5,FALSE),"")</f>
        <v/>
      </c>
      <c r="S963" s="4" t="str">
        <f ca="1">IFERROR(VLOOKUP($L963,Calculation!$H$6:$S$1005,HLOOKUP(S$2,Calculation!$M$4:$S$5,2,FALSE)+5,FALSE),"")</f>
        <v/>
      </c>
      <c r="T963" s="29"/>
      <c r="U963" s="43" t="str">
        <f>IFERROR(VLOOKUP(T963,Calculation!$U$6:$V$11,2,FALSE),"")</f>
        <v/>
      </c>
    </row>
    <row r="964" spans="1:21" ht="14.25" customHeight="1" x14ac:dyDescent="0.3">
      <c r="A964" s="26" t="str">
        <f ca="1">IF(Calculation!T967&lt;=Calculation!$H$4,Calculation!T967,"")</f>
        <v/>
      </c>
      <c r="B964" s="4" t="str">
        <f ca="1">VLOOKUP(A964,Calculation!$E$6:$J$1004,4,FALSE)</f>
        <v/>
      </c>
      <c r="C964" s="4" t="str">
        <f ca="1">VLOOKUP(A964,Calculation!$E$6:$J$1004,5,FALSE)</f>
        <v/>
      </c>
      <c r="D964" s="4" t="str">
        <f ca="1">VLOOKUP(A964,Calculation!$E$6:$J$1004,6,FALSE)</f>
        <v/>
      </c>
      <c r="E964" s="42" t="str">
        <f t="shared" ca="1" si="6"/>
        <v/>
      </c>
      <c r="G964" s="29" t="str">
        <f ca="1">VLOOKUP(A964,Calculation!$F$6:$J$1004,3,FALSE)</f>
        <v/>
      </c>
      <c r="H964" s="4" t="str">
        <f ca="1">VLOOKUP(A964,Calculation!$F$6:$J$1004,4,FALSE)</f>
        <v/>
      </c>
      <c r="I964" s="4" t="str">
        <f ca="1">VLOOKUP(A964,Calculation!$F$6:$J$1004,5,FALSE)</f>
        <v/>
      </c>
      <c r="J964" s="43" t="str">
        <f t="shared" ca="1" si="7"/>
        <v/>
      </c>
      <c r="L964" s="29" t="str">
        <f ca="1">VLOOKUP(A964,Calculation!$G$6:$S$1004,2,FALSE)</f>
        <v/>
      </c>
      <c r="M964" s="4" t="str">
        <f ca="1">IFERROR(VLOOKUP($L964,Calculation!$H$6:$S$1005,HLOOKUP(M$2,Calculation!$M$4:$S$5,2,FALSE)+5,FALSE),"")</f>
        <v/>
      </c>
      <c r="N964" s="4" t="str">
        <f ca="1">IFERROR(VLOOKUP($L964,Calculation!$H$6:$S$1005,HLOOKUP(N$2,Calculation!$M$4:$S$5,2,FALSE)+5,FALSE),"")</f>
        <v/>
      </c>
      <c r="O964" s="4" t="str">
        <f ca="1">IFERROR(VLOOKUP($L964,Calculation!$H$6:$S$1005,HLOOKUP(O$2,Calculation!$M$4:$S$5,2,FALSE)+5,FALSE),"")</f>
        <v/>
      </c>
      <c r="P964" s="4" t="str">
        <f ca="1">IFERROR(VLOOKUP($L964,Calculation!$H$6:$S$1005,HLOOKUP(P$2,Calculation!$M$4:$S$5,2,FALSE)+5,FALSE),"")</f>
        <v/>
      </c>
      <c r="Q964" s="4" t="str">
        <f ca="1">IFERROR(VLOOKUP($L964,Calculation!$H$6:$S$1005,HLOOKUP(Q$2,Calculation!$M$4:$S$5,2,FALSE)+5,FALSE),"")</f>
        <v/>
      </c>
      <c r="R964" s="27" t="str">
        <f ca="1">IFERROR(VLOOKUP($L964,Calculation!$H$6:$S$1005,HLOOKUP(R$2,Calculation!$M$4:$S$5,2,FALSE)+5,FALSE),"")</f>
        <v/>
      </c>
      <c r="S964" s="4" t="str">
        <f ca="1">IFERROR(VLOOKUP($L964,Calculation!$H$6:$S$1005,HLOOKUP(S$2,Calculation!$M$4:$S$5,2,FALSE)+5,FALSE),"")</f>
        <v/>
      </c>
      <c r="T964" s="29"/>
      <c r="U964" s="43" t="str">
        <f>IFERROR(VLOOKUP(T964,Calculation!$U$6:$V$11,2,FALSE),"")</f>
        <v/>
      </c>
    </row>
    <row r="965" spans="1:21" ht="14.25" customHeight="1" x14ac:dyDescent="0.3">
      <c r="A965" s="26" t="str">
        <f ca="1">IF(Calculation!T968&lt;=Calculation!$H$4,Calculation!T968,"")</f>
        <v/>
      </c>
      <c r="B965" s="4" t="str">
        <f ca="1">VLOOKUP(A965,Calculation!$E$6:$J$1004,4,FALSE)</f>
        <v/>
      </c>
      <c r="C965" s="4" t="str">
        <f ca="1">VLOOKUP(A965,Calculation!$E$6:$J$1004,5,FALSE)</f>
        <v/>
      </c>
      <c r="D965" s="4" t="str">
        <f ca="1">VLOOKUP(A965,Calculation!$E$6:$J$1004,6,FALSE)</f>
        <v/>
      </c>
      <c r="E965" s="42" t="str">
        <f t="shared" ca="1" si="6"/>
        <v/>
      </c>
      <c r="G965" s="29" t="str">
        <f ca="1">VLOOKUP(A965,Calculation!$F$6:$J$1004,3,FALSE)</f>
        <v/>
      </c>
      <c r="H965" s="4" t="str">
        <f ca="1">VLOOKUP(A965,Calculation!$F$6:$J$1004,4,FALSE)</f>
        <v/>
      </c>
      <c r="I965" s="4" t="str">
        <f ca="1">VLOOKUP(A965,Calculation!$F$6:$J$1004,5,FALSE)</f>
        <v/>
      </c>
      <c r="J965" s="43" t="str">
        <f t="shared" ca="1" si="7"/>
        <v/>
      </c>
      <c r="L965" s="29" t="str">
        <f ca="1">VLOOKUP(A965,Calculation!$G$6:$S$1004,2,FALSE)</f>
        <v/>
      </c>
      <c r="M965" s="4" t="str">
        <f ca="1">IFERROR(VLOOKUP($L965,Calculation!$H$6:$S$1005,HLOOKUP(M$2,Calculation!$M$4:$S$5,2,FALSE)+5,FALSE),"")</f>
        <v/>
      </c>
      <c r="N965" s="4" t="str">
        <f ca="1">IFERROR(VLOOKUP($L965,Calculation!$H$6:$S$1005,HLOOKUP(N$2,Calculation!$M$4:$S$5,2,FALSE)+5,FALSE),"")</f>
        <v/>
      </c>
      <c r="O965" s="4" t="str">
        <f ca="1">IFERROR(VLOOKUP($L965,Calculation!$H$6:$S$1005,HLOOKUP(O$2,Calculation!$M$4:$S$5,2,FALSE)+5,FALSE),"")</f>
        <v/>
      </c>
      <c r="P965" s="4" t="str">
        <f ca="1">IFERROR(VLOOKUP($L965,Calculation!$H$6:$S$1005,HLOOKUP(P$2,Calculation!$M$4:$S$5,2,FALSE)+5,FALSE),"")</f>
        <v/>
      </c>
      <c r="Q965" s="4" t="str">
        <f ca="1">IFERROR(VLOOKUP($L965,Calculation!$H$6:$S$1005,HLOOKUP(Q$2,Calculation!$M$4:$S$5,2,FALSE)+5,FALSE),"")</f>
        <v/>
      </c>
      <c r="R965" s="27" t="str">
        <f ca="1">IFERROR(VLOOKUP($L965,Calculation!$H$6:$S$1005,HLOOKUP(R$2,Calculation!$M$4:$S$5,2,FALSE)+5,FALSE),"")</f>
        <v/>
      </c>
      <c r="S965" s="4" t="str">
        <f ca="1">IFERROR(VLOOKUP($L965,Calculation!$H$6:$S$1005,HLOOKUP(S$2,Calculation!$M$4:$S$5,2,FALSE)+5,FALSE),"")</f>
        <v/>
      </c>
      <c r="T965" s="29"/>
      <c r="U965" s="43" t="str">
        <f>IFERROR(VLOOKUP(T965,Calculation!$U$6:$V$11,2,FALSE),"")</f>
        <v/>
      </c>
    </row>
    <row r="966" spans="1:21" ht="14.25" customHeight="1" x14ac:dyDescent="0.3">
      <c r="A966" s="26" t="str">
        <f ca="1">IF(Calculation!T969&lt;=Calculation!$H$4,Calculation!T969,"")</f>
        <v/>
      </c>
      <c r="B966" s="4" t="str">
        <f ca="1">VLOOKUP(A966,Calculation!$E$6:$J$1004,4,FALSE)</f>
        <v/>
      </c>
      <c r="C966" s="4" t="str">
        <f ca="1">VLOOKUP(A966,Calculation!$E$6:$J$1004,5,FALSE)</f>
        <v/>
      </c>
      <c r="D966" s="4" t="str">
        <f ca="1">VLOOKUP(A966,Calculation!$E$6:$J$1004,6,FALSE)</f>
        <v/>
      </c>
      <c r="E966" s="42" t="str">
        <f t="shared" ca="1" si="6"/>
        <v/>
      </c>
      <c r="G966" s="29" t="str">
        <f ca="1">VLOOKUP(A966,Calculation!$F$6:$J$1004,3,FALSE)</f>
        <v/>
      </c>
      <c r="H966" s="4" t="str">
        <f ca="1">VLOOKUP(A966,Calculation!$F$6:$J$1004,4,FALSE)</f>
        <v/>
      </c>
      <c r="I966" s="4" t="str">
        <f ca="1">VLOOKUP(A966,Calculation!$F$6:$J$1004,5,FALSE)</f>
        <v/>
      </c>
      <c r="J966" s="43" t="str">
        <f t="shared" ca="1" si="7"/>
        <v/>
      </c>
      <c r="L966" s="29" t="str">
        <f ca="1">VLOOKUP(A966,Calculation!$G$6:$S$1004,2,FALSE)</f>
        <v/>
      </c>
      <c r="M966" s="4" t="str">
        <f ca="1">IFERROR(VLOOKUP($L966,Calculation!$H$6:$S$1005,HLOOKUP(M$2,Calculation!$M$4:$S$5,2,FALSE)+5,FALSE),"")</f>
        <v/>
      </c>
      <c r="N966" s="4" t="str">
        <f ca="1">IFERROR(VLOOKUP($L966,Calculation!$H$6:$S$1005,HLOOKUP(N$2,Calculation!$M$4:$S$5,2,FALSE)+5,FALSE),"")</f>
        <v/>
      </c>
      <c r="O966" s="4" t="str">
        <f ca="1">IFERROR(VLOOKUP($L966,Calculation!$H$6:$S$1005,HLOOKUP(O$2,Calculation!$M$4:$S$5,2,FALSE)+5,FALSE),"")</f>
        <v/>
      </c>
      <c r="P966" s="4" t="str">
        <f ca="1">IFERROR(VLOOKUP($L966,Calculation!$H$6:$S$1005,HLOOKUP(P$2,Calculation!$M$4:$S$5,2,FALSE)+5,FALSE),"")</f>
        <v/>
      </c>
      <c r="Q966" s="4" t="str">
        <f ca="1">IFERROR(VLOOKUP($L966,Calculation!$H$6:$S$1005,HLOOKUP(Q$2,Calculation!$M$4:$S$5,2,FALSE)+5,FALSE),"")</f>
        <v/>
      </c>
      <c r="R966" s="27" t="str">
        <f ca="1">IFERROR(VLOOKUP($L966,Calculation!$H$6:$S$1005,HLOOKUP(R$2,Calculation!$M$4:$S$5,2,FALSE)+5,FALSE),"")</f>
        <v/>
      </c>
      <c r="S966" s="4" t="str">
        <f ca="1">IFERROR(VLOOKUP($L966,Calculation!$H$6:$S$1005,HLOOKUP(S$2,Calculation!$M$4:$S$5,2,FALSE)+5,FALSE),"")</f>
        <v/>
      </c>
      <c r="T966" s="29"/>
      <c r="U966" s="43" t="str">
        <f>IFERROR(VLOOKUP(T966,Calculation!$U$6:$V$11,2,FALSE),"")</f>
        <v/>
      </c>
    </row>
    <row r="967" spans="1:21" ht="14.25" customHeight="1" x14ac:dyDescent="0.3">
      <c r="A967" s="26" t="str">
        <f ca="1">IF(Calculation!T970&lt;=Calculation!$H$4,Calculation!T970,"")</f>
        <v/>
      </c>
      <c r="B967" s="4" t="str">
        <f ca="1">VLOOKUP(A967,Calculation!$E$6:$J$1004,4,FALSE)</f>
        <v/>
      </c>
      <c r="C967" s="4" t="str">
        <f ca="1">VLOOKUP(A967,Calculation!$E$6:$J$1004,5,FALSE)</f>
        <v/>
      </c>
      <c r="D967" s="4" t="str">
        <f ca="1">VLOOKUP(A967,Calculation!$E$6:$J$1004,6,FALSE)</f>
        <v/>
      </c>
      <c r="E967" s="42" t="str">
        <f t="shared" ca="1" si="6"/>
        <v/>
      </c>
      <c r="G967" s="29" t="str">
        <f ca="1">VLOOKUP(A967,Calculation!$F$6:$J$1004,3,FALSE)</f>
        <v/>
      </c>
      <c r="H967" s="4" t="str">
        <f ca="1">VLOOKUP(A967,Calculation!$F$6:$J$1004,4,FALSE)</f>
        <v/>
      </c>
      <c r="I967" s="4" t="str">
        <f ca="1">VLOOKUP(A967,Calculation!$F$6:$J$1004,5,FALSE)</f>
        <v/>
      </c>
      <c r="J967" s="43" t="str">
        <f t="shared" ca="1" si="7"/>
        <v/>
      </c>
      <c r="L967" s="29" t="str">
        <f ca="1">VLOOKUP(A967,Calculation!$G$6:$S$1004,2,FALSE)</f>
        <v/>
      </c>
      <c r="M967" s="4" t="str">
        <f ca="1">IFERROR(VLOOKUP($L967,Calculation!$H$6:$S$1005,HLOOKUP(M$2,Calculation!$M$4:$S$5,2,FALSE)+5,FALSE),"")</f>
        <v/>
      </c>
      <c r="N967" s="4" t="str">
        <f ca="1">IFERROR(VLOOKUP($L967,Calculation!$H$6:$S$1005,HLOOKUP(N$2,Calculation!$M$4:$S$5,2,FALSE)+5,FALSE),"")</f>
        <v/>
      </c>
      <c r="O967" s="4" t="str">
        <f ca="1">IFERROR(VLOOKUP($L967,Calculation!$H$6:$S$1005,HLOOKUP(O$2,Calculation!$M$4:$S$5,2,FALSE)+5,FALSE),"")</f>
        <v/>
      </c>
      <c r="P967" s="4" t="str">
        <f ca="1">IFERROR(VLOOKUP($L967,Calculation!$H$6:$S$1005,HLOOKUP(P$2,Calculation!$M$4:$S$5,2,FALSE)+5,FALSE),"")</f>
        <v/>
      </c>
      <c r="Q967" s="4" t="str">
        <f ca="1">IFERROR(VLOOKUP($L967,Calculation!$H$6:$S$1005,HLOOKUP(Q$2,Calculation!$M$4:$S$5,2,FALSE)+5,FALSE),"")</f>
        <v/>
      </c>
      <c r="R967" s="27" t="str">
        <f ca="1">IFERROR(VLOOKUP($L967,Calculation!$H$6:$S$1005,HLOOKUP(R$2,Calculation!$M$4:$S$5,2,FALSE)+5,FALSE),"")</f>
        <v/>
      </c>
      <c r="S967" s="4" t="str">
        <f ca="1">IFERROR(VLOOKUP($L967,Calculation!$H$6:$S$1005,HLOOKUP(S$2,Calculation!$M$4:$S$5,2,FALSE)+5,FALSE),"")</f>
        <v/>
      </c>
      <c r="T967" s="29"/>
      <c r="U967" s="43" t="str">
        <f>IFERROR(VLOOKUP(T967,Calculation!$U$6:$V$11,2,FALSE),"")</f>
        <v/>
      </c>
    </row>
    <row r="968" spans="1:21" ht="14.25" customHeight="1" x14ac:dyDescent="0.3">
      <c r="A968" s="26" t="str">
        <f ca="1">IF(Calculation!T971&lt;=Calculation!$H$4,Calculation!T971,"")</f>
        <v/>
      </c>
      <c r="B968" s="4" t="str">
        <f ca="1">VLOOKUP(A968,Calculation!$E$6:$J$1004,4,FALSE)</f>
        <v/>
      </c>
      <c r="C968" s="4" t="str">
        <f ca="1">VLOOKUP(A968,Calculation!$E$6:$J$1004,5,FALSE)</f>
        <v/>
      </c>
      <c r="D968" s="4" t="str">
        <f ca="1">VLOOKUP(A968,Calculation!$E$6:$J$1004,6,FALSE)</f>
        <v/>
      </c>
      <c r="E968" s="42" t="str">
        <f t="shared" ca="1" si="6"/>
        <v/>
      </c>
      <c r="G968" s="29" t="str">
        <f ca="1">VLOOKUP(A968,Calculation!$F$6:$J$1004,3,FALSE)</f>
        <v/>
      </c>
      <c r="H968" s="4" t="str">
        <f ca="1">VLOOKUP(A968,Calculation!$F$6:$J$1004,4,FALSE)</f>
        <v/>
      </c>
      <c r="I968" s="4" t="str">
        <f ca="1">VLOOKUP(A968,Calculation!$F$6:$J$1004,5,FALSE)</f>
        <v/>
      </c>
      <c r="J968" s="43" t="str">
        <f t="shared" ca="1" si="7"/>
        <v/>
      </c>
      <c r="L968" s="29" t="str">
        <f ca="1">VLOOKUP(A968,Calculation!$G$6:$S$1004,2,FALSE)</f>
        <v/>
      </c>
      <c r="M968" s="4" t="str">
        <f ca="1">IFERROR(VLOOKUP($L968,Calculation!$H$6:$S$1005,HLOOKUP(M$2,Calculation!$M$4:$S$5,2,FALSE)+5,FALSE),"")</f>
        <v/>
      </c>
      <c r="N968" s="4" t="str">
        <f ca="1">IFERROR(VLOOKUP($L968,Calculation!$H$6:$S$1005,HLOOKUP(N$2,Calculation!$M$4:$S$5,2,FALSE)+5,FALSE),"")</f>
        <v/>
      </c>
      <c r="O968" s="4" t="str">
        <f ca="1">IFERROR(VLOOKUP($L968,Calculation!$H$6:$S$1005,HLOOKUP(O$2,Calculation!$M$4:$S$5,2,FALSE)+5,FALSE),"")</f>
        <v/>
      </c>
      <c r="P968" s="4" t="str">
        <f ca="1">IFERROR(VLOOKUP($L968,Calculation!$H$6:$S$1005,HLOOKUP(P$2,Calculation!$M$4:$S$5,2,FALSE)+5,FALSE),"")</f>
        <v/>
      </c>
      <c r="Q968" s="4" t="str">
        <f ca="1">IFERROR(VLOOKUP($L968,Calculation!$H$6:$S$1005,HLOOKUP(Q$2,Calculation!$M$4:$S$5,2,FALSE)+5,FALSE),"")</f>
        <v/>
      </c>
      <c r="R968" s="27" t="str">
        <f ca="1">IFERROR(VLOOKUP($L968,Calculation!$H$6:$S$1005,HLOOKUP(R$2,Calculation!$M$4:$S$5,2,FALSE)+5,FALSE),"")</f>
        <v/>
      </c>
      <c r="S968" s="4" t="str">
        <f ca="1">IFERROR(VLOOKUP($L968,Calculation!$H$6:$S$1005,HLOOKUP(S$2,Calculation!$M$4:$S$5,2,FALSE)+5,FALSE),"")</f>
        <v/>
      </c>
      <c r="T968" s="29"/>
      <c r="U968" s="43" t="str">
        <f>IFERROR(VLOOKUP(T968,Calculation!$U$6:$V$11,2,FALSE),"")</f>
        <v/>
      </c>
    </row>
    <row r="969" spans="1:21" ht="14.25" customHeight="1" x14ac:dyDescent="0.3">
      <c r="A969" s="26" t="str">
        <f ca="1">IF(Calculation!T972&lt;=Calculation!$H$4,Calculation!T972,"")</f>
        <v/>
      </c>
      <c r="B969" s="4" t="str">
        <f ca="1">VLOOKUP(A969,Calculation!$E$6:$J$1004,4,FALSE)</f>
        <v/>
      </c>
      <c r="C969" s="4" t="str">
        <f ca="1">VLOOKUP(A969,Calculation!$E$6:$J$1004,5,FALSE)</f>
        <v/>
      </c>
      <c r="D969" s="4" t="str">
        <f ca="1">VLOOKUP(A969,Calculation!$E$6:$J$1004,6,FALSE)</f>
        <v/>
      </c>
      <c r="E969" s="42" t="str">
        <f t="shared" ca="1" si="6"/>
        <v/>
      </c>
      <c r="G969" s="29" t="str">
        <f ca="1">VLOOKUP(A969,Calculation!$F$6:$J$1004,3,FALSE)</f>
        <v/>
      </c>
      <c r="H969" s="4" t="str">
        <f ca="1">VLOOKUP(A969,Calculation!$F$6:$J$1004,4,FALSE)</f>
        <v/>
      </c>
      <c r="I969" s="4" t="str">
        <f ca="1">VLOOKUP(A969,Calculation!$F$6:$J$1004,5,FALSE)</f>
        <v/>
      </c>
      <c r="J969" s="43" t="str">
        <f t="shared" ca="1" si="7"/>
        <v/>
      </c>
      <c r="L969" s="29" t="str">
        <f ca="1">VLOOKUP(A969,Calculation!$G$6:$S$1004,2,FALSE)</f>
        <v/>
      </c>
      <c r="M969" s="4" t="str">
        <f ca="1">IFERROR(VLOOKUP($L969,Calculation!$H$6:$S$1005,HLOOKUP(M$2,Calculation!$M$4:$S$5,2,FALSE)+5,FALSE),"")</f>
        <v/>
      </c>
      <c r="N969" s="4" t="str">
        <f ca="1">IFERROR(VLOOKUP($L969,Calculation!$H$6:$S$1005,HLOOKUP(N$2,Calculation!$M$4:$S$5,2,FALSE)+5,FALSE),"")</f>
        <v/>
      </c>
      <c r="O969" s="4" t="str">
        <f ca="1">IFERROR(VLOOKUP($L969,Calculation!$H$6:$S$1005,HLOOKUP(O$2,Calculation!$M$4:$S$5,2,FALSE)+5,FALSE),"")</f>
        <v/>
      </c>
      <c r="P969" s="4" t="str">
        <f ca="1">IFERROR(VLOOKUP($L969,Calculation!$H$6:$S$1005,HLOOKUP(P$2,Calculation!$M$4:$S$5,2,FALSE)+5,FALSE),"")</f>
        <v/>
      </c>
      <c r="Q969" s="4" t="str">
        <f ca="1">IFERROR(VLOOKUP($L969,Calculation!$H$6:$S$1005,HLOOKUP(Q$2,Calculation!$M$4:$S$5,2,FALSE)+5,FALSE),"")</f>
        <v/>
      </c>
      <c r="R969" s="27" t="str">
        <f ca="1">IFERROR(VLOOKUP($L969,Calculation!$H$6:$S$1005,HLOOKUP(R$2,Calculation!$M$4:$S$5,2,FALSE)+5,FALSE),"")</f>
        <v/>
      </c>
      <c r="S969" s="4" t="str">
        <f ca="1">IFERROR(VLOOKUP($L969,Calculation!$H$6:$S$1005,HLOOKUP(S$2,Calculation!$M$4:$S$5,2,FALSE)+5,FALSE),"")</f>
        <v/>
      </c>
      <c r="T969" s="29"/>
      <c r="U969" s="43" t="str">
        <f>IFERROR(VLOOKUP(T969,Calculation!$U$6:$V$11,2,FALSE),"")</f>
        <v/>
      </c>
    </row>
    <row r="970" spans="1:21" ht="14.25" customHeight="1" x14ac:dyDescent="0.3">
      <c r="A970" s="26" t="str">
        <f ca="1">IF(Calculation!T973&lt;=Calculation!$H$4,Calculation!T973,"")</f>
        <v/>
      </c>
      <c r="B970" s="4" t="str">
        <f ca="1">VLOOKUP(A970,Calculation!$E$6:$J$1004,4,FALSE)</f>
        <v/>
      </c>
      <c r="C970" s="4" t="str">
        <f ca="1">VLOOKUP(A970,Calculation!$E$6:$J$1004,5,FALSE)</f>
        <v/>
      </c>
      <c r="D970" s="4" t="str">
        <f ca="1">VLOOKUP(A970,Calculation!$E$6:$J$1004,6,FALSE)</f>
        <v/>
      </c>
      <c r="E970" s="42" t="str">
        <f t="shared" ca="1" si="6"/>
        <v/>
      </c>
      <c r="G970" s="29" t="str">
        <f ca="1">VLOOKUP(A970,Calculation!$F$6:$J$1004,3,FALSE)</f>
        <v/>
      </c>
      <c r="H970" s="4" t="str">
        <f ca="1">VLOOKUP(A970,Calculation!$F$6:$J$1004,4,FALSE)</f>
        <v/>
      </c>
      <c r="I970" s="4" t="str">
        <f ca="1">VLOOKUP(A970,Calculation!$F$6:$J$1004,5,FALSE)</f>
        <v/>
      </c>
      <c r="J970" s="43" t="str">
        <f t="shared" ca="1" si="7"/>
        <v/>
      </c>
      <c r="L970" s="29" t="str">
        <f ca="1">VLOOKUP(A970,Calculation!$G$6:$S$1004,2,FALSE)</f>
        <v/>
      </c>
      <c r="M970" s="4" t="str">
        <f ca="1">IFERROR(VLOOKUP($L970,Calculation!$H$6:$S$1005,HLOOKUP(M$2,Calculation!$M$4:$S$5,2,FALSE)+5,FALSE),"")</f>
        <v/>
      </c>
      <c r="N970" s="4" t="str">
        <f ca="1">IFERROR(VLOOKUP($L970,Calculation!$H$6:$S$1005,HLOOKUP(N$2,Calculation!$M$4:$S$5,2,FALSE)+5,FALSE),"")</f>
        <v/>
      </c>
      <c r="O970" s="4" t="str">
        <f ca="1">IFERROR(VLOOKUP($L970,Calculation!$H$6:$S$1005,HLOOKUP(O$2,Calculation!$M$4:$S$5,2,FALSE)+5,FALSE),"")</f>
        <v/>
      </c>
      <c r="P970" s="4" t="str">
        <f ca="1">IFERROR(VLOOKUP($L970,Calculation!$H$6:$S$1005,HLOOKUP(P$2,Calculation!$M$4:$S$5,2,FALSE)+5,FALSE),"")</f>
        <v/>
      </c>
      <c r="Q970" s="4" t="str">
        <f ca="1">IFERROR(VLOOKUP($L970,Calculation!$H$6:$S$1005,HLOOKUP(Q$2,Calculation!$M$4:$S$5,2,FALSE)+5,FALSE),"")</f>
        <v/>
      </c>
      <c r="R970" s="27" t="str">
        <f ca="1">IFERROR(VLOOKUP($L970,Calculation!$H$6:$S$1005,HLOOKUP(R$2,Calculation!$M$4:$S$5,2,FALSE)+5,FALSE),"")</f>
        <v/>
      </c>
      <c r="S970" s="4" t="str">
        <f ca="1">IFERROR(VLOOKUP($L970,Calculation!$H$6:$S$1005,HLOOKUP(S$2,Calculation!$M$4:$S$5,2,FALSE)+5,FALSE),"")</f>
        <v/>
      </c>
      <c r="T970" s="29"/>
      <c r="U970" s="43" t="str">
        <f>IFERROR(VLOOKUP(T970,Calculation!$U$6:$V$11,2,FALSE),"")</f>
        <v/>
      </c>
    </row>
    <row r="971" spans="1:21" ht="14.25" customHeight="1" x14ac:dyDescent="0.3">
      <c r="A971" s="26" t="str">
        <f ca="1">IF(Calculation!T974&lt;=Calculation!$H$4,Calculation!T974,"")</f>
        <v/>
      </c>
      <c r="B971" s="4" t="str">
        <f ca="1">VLOOKUP(A971,Calculation!$E$6:$J$1004,4,FALSE)</f>
        <v/>
      </c>
      <c r="C971" s="4" t="str">
        <f ca="1">VLOOKUP(A971,Calculation!$E$6:$J$1004,5,FALSE)</f>
        <v/>
      </c>
      <c r="D971" s="4" t="str">
        <f ca="1">VLOOKUP(A971,Calculation!$E$6:$J$1004,6,FALSE)</f>
        <v/>
      </c>
      <c r="E971" s="42" t="str">
        <f t="shared" ca="1" si="6"/>
        <v/>
      </c>
      <c r="G971" s="29" t="str">
        <f ca="1">VLOOKUP(A971,Calculation!$F$6:$J$1004,3,FALSE)</f>
        <v/>
      </c>
      <c r="H971" s="4" t="str">
        <f ca="1">VLOOKUP(A971,Calculation!$F$6:$J$1004,4,FALSE)</f>
        <v/>
      </c>
      <c r="I971" s="4" t="str">
        <f ca="1">VLOOKUP(A971,Calculation!$F$6:$J$1004,5,FALSE)</f>
        <v/>
      </c>
      <c r="J971" s="43" t="str">
        <f t="shared" ca="1" si="7"/>
        <v/>
      </c>
      <c r="L971" s="29" t="str">
        <f ca="1">VLOOKUP(A971,Calculation!$G$6:$S$1004,2,FALSE)</f>
        <v/>
      </c>
      <c r="M971" s="4" t="str">
        <f ca="1">IFERROR(VLOOKUP($L971,Calculation!$H$6:$S$1005,HLOOKUP(M$2,Calculation!$M$4:$S$5,2,FALSE)+5,FALSE),"")</f>
        <v/>
      </c>
      <c r="N971" s="4" t="str">
        <f ca="1">IFERROR(VLOOKUP($L971,Calculation!$H$6:$S$1005,HLOOKUP(N$2,Calculation!$M$4:$S$5,2,FALSE)+5,FALSE),"")</f>
        <v/>
      </c>
      <c r="O971" s="4" t="str">
        <f ca="1">IFERROR(VLOOKUP($L971,Calculation!$H$6:$S$1005,HLOOKUP(O$2,Calculation!$M$4:$S$5,2,FALSE)+5,FALSE),"")</f>
        <v/>
      </c>
      <c r="P971" s="4" t="str">
        <f ca="1">IFERROR(VLOOKUP($L971,Calculation!$H$6:$S$1005,HLOOKUP(P$2,Calculation!$M$4:$S$5,2,FALSE)+5,FALSE),"")</f>
        <v/>
      </c>
      <c r="Q971" s="4" t="str">
        <f ca="1">IFERROR(VLOOKUP($L971,Calculation!$H$6:$S$1005,HLOOKUP(Q$2,Calculation!$M$4:$S$5,2,FALSE)+5,FALSE),"")</f>
        <v/>
      </c>
      <c r="R971" s="27" t="str">
        <f ca="1">IFERROR(VLOOKUP($L971,Calculation!$H$6:$S$1005,HLOOKUP(R$2,Calculation!$M$4:$S$5,2,FALSE)+5,FALSE),"")</f>
        <v/>
      </c>
      <c r="S971" s="4" t="str">
        <f ca="1">IFERROR(VLOOKUP($L971,Calculation!$H$6:$S$1005,HLOOKUP(S$2,Calculation!$M$4:$S$5,2,FALSE)+5,FALSE),"")</f>
        <v/>
      </c>
      <c r="T971" s="29"/>
      <c r="U971" s="43" t="str">
        <f>IFERROR(VLOOKUP(T971,Calculation!$U$6:$V$11,2,FALSE),"")</f>
        <v/>
      </c>
    </row>
    <row r="972" spans="1:21" ht="14.25" customHeight="1" x14ac:dyDescent="0.3">
      <c r="A972" s="26" t="str">
        <f ca="1">IF(Calculation!T975&lt;=Calculation!$H$4,Calculation!T975,"")</f>
        <v/>
      </c>
      <c r="B972" s="4" t="str">
        <f ca="1">VLOOKUP(A972,Calculation!$E$6:$J$1004,4,FALSE)</f>
        <v/>
      </c>
      <c r="C972" s="4" t="str">
        <f ca="1">VLOOKUP(A972,Calculation!$E$6:$J$1004,5,FALSE)</f>
        <v/>
      </c>
      <c r="D972" s="4" t="str">
        <f ca="1">VLOOKUP(A972,Calculation!$E$6:$J$1004,6,FALSE)</f>
        <v/>
      </c>
      <c r="E972" s="42" t="str">
        <f t="shared" ca="1" si="6"/>
        <v/>
      </c>
      <c r="G972" s="29" t="str">
        <f ca="1">VLOOKUP(A972,Calculation!$F$6:$J$1004,3,FALSE)</f>
        <v/>
      </c>
      <c r="H972" s="4" t="str">
        <f ca="1">VLOOKUP(A972,Calculation!$F$6:$J$1004,4,FALSE)</f>
        <v/>
      </c>
      <c r="I972" s="4" t="str">
        <f ca="1">VLOOKUP(A972,Calculation!$F$6:$J$1004,5,FALSE)</f>
        <v/>
      </c>
      <c r="J972" s="43" t="str">
        <f t="shared" ca="1" si="7"/>
        <v/>
      </c>
      <c r="L972" s="29" t="str">
        <f ca="1">VLOOKUP(A972,Calculation!$G$6:$S$1004,2,FALSE)</f>
        <v/>
      </c>
      <c r="M972" s="4" t="str">
        <f ca="1">IFERROR(VLOOKUP($L972,Calculation!$H$6:$S$1005,HLOOKUP(M$2,Calculation!$M$4:$S$5,2,FALSE)+5,FALSE),"")</f>
        <v/>
      </c>
      <c r="N972" s="4" t="str">
        <f ca="1">IFERROR(VLOOKUP($L972,Calculation!$H$6:$S$1005,HLOOKUP(N$2,Calculation!$M$4:$S$5,2,FALSE)+5,FALSE),"")</f>
        <v/>
      </c>
      <c r="O972" s="4" t="str">
        <f ca="1">IFERROR(VLOOKUP($L972,Calculation!$H$6:$S$1005,HLOOKUP(O$2,Calculation!$M$4:$S$5,2,FALSE)+5,FALSE),"")</f>
        <v/>
      </c>
      <c r="P972" s="4" t="str">
        <f ca="1">IFERROR(VLOOKUP($L972,Calculation!$H$6:$S$1005,HLOOKUP(P$2,Calculation!$M$4:$S$5,2,FALSE)+5,FALSE),"")</f>
        <v/>
      </c>
      <c r="Q972" s="4" t="str">
        <f ca="1">IFERROR(VLOOKUP($L972,Calculation!$H$6:$S$1005,HLOOKUP(Q$2,Calculation!$M$4:$S$5,2,FALSE)+5,FALSE),"")</f>
        <v/>
      </c>
      <c r="R972" s="27" t="str">
        <f ca="1">IFERROR(VLOOKUP($L972,Calculation!$H$6:$S$1005,HLOOKUP(R$2,Calculation!$M$4:$S$5,2,FALSE)+5,FALSE),"")</f>
        <v/>
      </c>
      <c r="S972" s="4" t="str">
        <f ca="1">IFERROR(VLOOKUP($L972,Calculation!$H$6:$S$1005,HLOOKUP(S$2,Calculation!$M$4:$S$5,2,FALSE)+5,FALSE),"")</f>
        <v/>
      </c>
      <c r="T972" s="29"/>
      <c r="U972" s="43" t="str">
        <f>IFERROR(VLOOKUP(T972,Calculation!$U$6:$V$11,2,FALSE),"")</f>
        <v/>
      </c>
    </row>
    <row r="973" spans="1:21" ht="14.25" customHeight="1" x14ac:dyDescent="0.3">
      <c r="A973" s="26" t="str">
        <f ca="1">IF(Calculation!T976&lt;=Calculation!$H$4,Calculation!T976,"")</f>
        <v/>
      </c>
      <c r="B973" s="4" t="str">
        <f ca="1">VLOOKUP(A973,Calculation!$E$6:$J$1004,4,FALSE)</f>
        <v/>
      </c>
      <c r="C973" s="4" t="str">
        <f ca="1">VLOOKUP(A973,Calculation!$E$6:$J$1004,5,FALSE)</f>
        <v/>
      </c>
      <c r="D973" s="4" t="str">
        <f ca="1">VLOOKUP(A973,Calculation!$E$6:$J$1004,6,FALSE)</f>
        <v/>
      </c>
      <c r="E973" s="42" t="str">
        <f t="shared" ca="1" si="6"/>
        <v/>
      </c>
      <c r="G973" s="29" t="str">
        <f ca="1">VLOOKUP(A973,Calculation!$F$6:$J$1004,3,FALSE)</f>
        <v/>
      </c>
      <c r="H973" s="4" t="str">
        <f ca="1">VLOOKUP(A973,Calculation!$F$6:$J$1004,4,FALSE)</f>
        <v/>
      </c>
      <c r="I973" s="4" t="str">
        <f ca="1">VLOOKUP(A973,Calculation!$F$6:$J$1004,5,FALSE)</f>
        <v/>
      </c>
      <c r="J973" s="43" t="str">
        <f t="shared" ca="1" si="7"/>
        <v/>
      </c>
      <c r="L973" s="29" t="str">
        <f ca="1">VLOOKUP(A973,Calculation!$G$6:$S$1004,2,FALSE)</f>
        <v/>
      </c>
      <c r="M973" s="4" t="str">
        <f ca="1">IFERROR(VLOOKUP($L973,Calculation!$H$6:$S$1005,HLOOKUP(M$2,Calculation!$M$4:$S$5,2,FALSE)+5,FALSE),"")</f>
        <v/>
      </c>
      <c r="N973" s="4" t="str">
        <f ca="1">IFERROR(VLOOKUP($L973,Calculation!$H$6:$S$1005,HLOOKUP(N$2,Calculation!$M$4:$S$5,2,FALSE)+5,FALSE),"")</f>
        <v/>
      </c>
      <c r="O973" s="4" t="str">
        <f ca="1">IFERROR(VLOOKUP($L973,Calculation!$H$6:$S$1005,HLOOKUP(O$2,Calculation!$M$4:$S$5,2,FALSE)+5,FALSE),"")</f>
        <v/>
      </c>
      <c r="P973" s="4" t="str">
        <f ca="1">IFERROR(VLOOKUP($L973,Calculation!$H$6:$S$1005,HLOOKUP(P$2,Calculation!$M$4:$S$5,2,FALSE)+5,FALSE),"")</f>
        <v/>
      </c>
      <c r="Q973" s="4" t="str">
        <f ca="1">IFERROR(VLOOKUP($L973,Calculation!$H$6:$S$1005,HLOOKUP(Q$2,Calculation!$M$4:$S$5,2,FALSE)+5,FALSE),"")</f>
        <v/>
      </c>
      <c r="R973" s="27" t="str">
        <f ca="1">IFERROR(VLOOKUP($L973,Calculation!$H$6:$S$1005,HLOOKUP(R$2,Calculation!$M$4:$S$5,2,FALSE)+5,FALSE),"")</f>
        <v/>
      </c>
      <c r="S973" s="4" t="str">
        <f ca="1">IFERROR(VLOOKUP($L973,Calculation!$H$6:$S$1005,HLOOKUP(S$2,Calculation!$M$4:$S$5,2,FALSE)+5,FALSE),"")</f>
        <v/>
      </c>
      <c r="T973" s="29"/>
      <c r="U973" s="43" t="str">
        <f>IFERROR(VLOOKUP(T973,Calculation!$U$6:$V$11,2,FALSE),"")</f>
        <v/>
      </c>
    </row>
    <row r="974" spans="1:21" ht="14.25" customHeight="1" x14ac:dyDescent="0.3">
      <c r="A974" s="26" t="str">
        <f ca="1">IF(Calculation!T977&lt;=Calculation!$H$4,Calculation!T977,"")</f>
        <v/>
      </c>
      <c r="B974" s="4" t="str">
        <f ca="1">VLOOKUP(A974,Calculation!$E$6:$J$1004,4,FALSE)</f>
        <v/>
      </c>
      <c r="C974" s="4" t="str">
        <f ca="1">VLOOKUP(A974,Calculation!$E$6:$J$1004,5,FALSE)</f>
        <v/>
      </c>
      <c r="D974" s="4" t="str">
        <f ca="1">VLOOKUP(A974,Calculation!$E$6:$J$1004,6,FALSE)</f>
        <v/>
      </c>
      <c r="E974" s="42" t="str">
        <f t="shared" ca="1" si="6"/>
        <v/>
      </c>
      <c r="G974" s="29" t="str">
        <f ca="1">VLOOKUP(A974,Calculation!$F$6:$J$1004,3,FALSE)</f>
        <v/>
      </c>
      <c r="H974" s="4" t="str">
        <f ca="1">VLOOKUP(A974,Calculation!$F$6:$J$1004,4,FALSE)</f>
        <v/>
      </c>
      <c r="I974" s="4" t="str">
        <f ca="1">VLOOKUP(A974,Calculation!$F$6:$J$1004,5,FALSE)</f>
        <v/>
      </c>
      <c r="J974" s="43" t="str">
        <f t="shared" ca="1" si="7"/>
        <v/>
      </c>
      <c r="L974" s="29" t="str">
        <f ca="1">VLOOKUP(A974,Calculation!$G$6:$S$1004,2,FALSE)</f>
        <v/>
      </c>
      <c r="M974" s="4" t="str">
        <f ca="1">IFERROR(VLOOKUP($L974,Calculation!$H$6:$S$1005,HLOOKUP(M$2,Calculation!$M$4:$S$5,2,FALSE)+5,FALSE),"")</f>
        <v/>
      </c>
      <c r="N974" s="4" t="str">
        <f ca="1">IFERROR(VLOOKUP($L974,Calculation!$H$6:$S$1005,HLOOKUP(N$2,Calculation!$M$4:$S$5,2,FALSE)+5,FALSE),"")</f>
        <v/>
      </c>
      <c r="O974" s="4" t="str">
        <f ca="1">IFERROR(VLOOKUP($L974,Calculation!$H$6:$S$1005,HLOOKUP(O$2,Calculation!$M$4:$S$5,2,FALSE)+5,FALSE),"")</f>
        <v/>
      </c>
      <c r="P974" s="4" t="str">
        <f ca="1">IFERROR(VLOOKUP($L974,Calculation!$H$6:$S$1005,HLOOKUP(P$2,Calculation!$M$4:$S$5,2,FALSE)+5,FALSE),"")</f>
        <v/>
      </c>
      <c r="Q974" s="4" t="str">
        <f ca="1">IFERROR(VLOOKUP($L974,Calculation!$H$6:$S$1005,HLOOKUP(Q$2,Calculation!$M$4:$S$5,2,FALSE)+5,FALSE),"")</f>
        <v/>
      </c>
      <c r="R974" s="27" t="str">
        <f ca="1">IFERROR(VLOOKUP($L974,Calculation!$H$6:$S$1005,HLOOKUP(R$2,Calculation!$M$4:$S$5,2,FALSE)+5,FALSE),"")</f>
        <v/>
      </c>
      <c r="S974" s="4" t="str">
        <f ca="1">IFERROR(VLOOKUP($L974,Calculation!$H$6:$S$1005,HLOOKUP(S$2,Calculation!$M$4:$S$5,2,FALSE)+5,FALSE),"")</f>
        <v/>
      </c>
      <c r="T974" s="29"/>
      <c r="U974" s="43" t="str">
        <f>IFERROR(VLOOKUP(T974,Calculation!$U$6:$V$11,2,FALSE),"")</f>
        <v/>
      </c>
    </row>
    <row r="975" spans="1:21" ht="14.25" customHeight="1" x14ac:dyDescent="0.3">
      <c r="A975" s="26" t="str">
        <f ca="1">IF(Calculation!T978&lt;=Calculation!$H$4,Calculation!T978,"")</f>
        <v/>
      </c>
      <c r="B975" s="4" t="str">
        <f ca="1">VLOOKUP(A975,Calculation!$E$6:$J$1004,4,FALSE)</f>
        <v/>
      </c>
      <c r="C975" s="4" t="str">
        <f ca="1">VLOOKUP(A975,Calculation!$E$6:$J$1004,5,FALSE)</f>
        <v/>
      </c>
      <c r="D975" s="4" t="str">
        <f ca="1">VLOOKUP(A975,Calculation!$E$6:$J$1004,6,FALSE)</f>
        <v/>
      </c>
      <c r="E975" s="42" t="str">
        <f t="shared" ca="1" si="6"/>
        <v/>
      </c>
      <c r="G975" s="29" t="str">
        <f ca="1">VLOOKUP(A975,Calculation!$F$6:$J$1004,3,FALSE)</f>
        <v/>
      </c>
      <c r="H975" s="4" t="str">
        <f ca="1">VLOOKUP(A975,Calculation!$F$6:$J$1004,4,FALSE)</f>
        <v/>
      </c>
      <c r="I975" s="4" t="str">
        <f ca="1">VLOOKUP(A975,Calculation!$F$6:$J$1004,5,FALSE)</f>
        <v/>
      </c>
      <c r="J975" s="43" t="str">
        <f t="shared" ca="1" si="7"/>
        <v/>
      </c>
      <c r="L975" s="29" t="str">
        <f ca="1">VLOOKUP(A975,Calculation!$G$6:$S$1004,2,FALSE)</f>
        <v/>
      </c>
      <c r="M975" s="4" t="str">
        <f ca="1">IFERROR(VLOOKUP($L975,Calculation!$H$6:$S$1005,HLOOKUP(M$2,Calculation!$M$4:$S$5,2,FALSE)+5,FALSE),"")</f>
        <v/>
      </c>
      <c r="N975" s="4" t="str">
        <f ca="1">IFERROR(VLOOKUP($L975,Calculation!$H$6:$S$1005,HLOOKUP(N$2,Calculation!$M$4:$S$5,2,FALSE)+5,FALSE),"")</f>
        <v/>
      </c>
      <c r="O975" s="4" t="str">
        <f ca="1">IFERROR(VLOOKUP($L975,Calculation!$H$6:$S$1005,HLOOKUP(O$2,Calculation!$M$4:$S$5,2,FALSE)+5,FALSE),"")</f>
        <v/>
      </c>
      <c r="P975" s="4" t="str">
        <f ca="1">IFERROR(VLOOKUP($L975,Calculation!$H$6:$S$1005,HLOOKUP(P$2,Calculation!$M$4:$S$5,2,FALSE)+5,FALSE),"")</f>
        <v/>
      </c>
      <c r="Q975" s="4" t="str">
        <f ca="1">IFERROR(VLOOKUP($L975,Calculation!$H$6:$S$1005,HLOOKUP(Q$2,Calculation!$M$4:$S$5,2,FALSE)+5,FALSE),"")</f>
        <v/>
      </c>
      <c r="R975" s="27" t="str">
        <f ca="1">IFERROR(VLOOKUP($L975,Calculation!$H$6:$S$1005,HLOOKUP(R$2,Calculation!$M$4:$S$5,2,FALSE)+5,FALSE),"")</f>
        <v/>
      </c>
      <c r="S975" s="4" t="str">
        <f ca="1">IFERROR(VLOOKUP($L975,Calculation!$H$6:$S$1005,HLOOKUP(S$2,Calculation!$M$4:$S$5,2,FALSE)+5,FALSE),"")</f>
        <v/>
      </c>
      <c r="T975" s="29"/>
      <c r="U975" s="43" t="str">
        <f>IFERROR(VLOOKUP(T975,Calculation!$U$6:$V$11,2,FALSE),"")</f>
        <v/>
      </c>
    </row>
    <row r="976" spans="1:21" ht="14.25" customHeight="1" x14ac:dyDescent="0.3">
      <c r="A976" s="26" t="str">
        <f ca="1">IF(Calculation!T979&lt;=Calculation!$H$4,Calculation!T979,"")</f>
        <v/>
      </c>
      <c r="B976" s="4" t="str">
        <f ca="1">VLOOKUP(A976,Calculation!$E$6:$J$1004,4,FALSE)</f>
        <v/>
      </c>
      <c r="C976" s="4" t="str">
        <f ca="1">VLOOKUP(A976,Calculation!$E$6:$J$1004,5,FALSE)</f>
        <v/>
      </c>
      <c r="D976" s="4" t="str">
        <f ca="1">VLOOKUP(A976,Calculation!$E$6:$J$1004,6,FALSE)</f>
        <v/>
      </c>
      <c r="E976" s="42" t="str">
        <f t="shared" ca="1" si="6"/>
        <v/>
      </c>
      <c r="G976" s="29" t="str">
        <f ca="1">VLOOKUP(A976,Calculation!$F$6:$J$1004,3,FALSE)</f>
        <v/>
      </c>
      <c r="H976" s="4" t="str">
        <f ca="1">VLOOKUP(A976,Calculation!$F$6:$J$1004,4,FALSE)</f>
        <v/>
      </c>
      <c r="I976" s="4" t="str">
        <f ca="1">VLOOKUP(A976,Calculation!$F$6:$J$1004,5,FALSE)</f>
        <v/>
      </c>
      <c r="J976" s="43" t="str">
        <f t="shared" ca="1" si="7"/>
        <v/>
      </c>
      <c r="L976" s="29" t="str">
        <f ca="1">VLOOKUP(A976,Calculation!$G$6:$S$1004,2,FALSE)</f>
        <v/>
      </c>
      <c r="M976" s="4" t="str">
        <f ca="1">IFERROR(VLOOKUP($L976,Calculation!$H$6:$S$1005,HLOOKUP(M$2,Calculation!$M$4:$S$5,2,FALSE)+5,FALSE),"")</f>
        <v/>
      </c>
      <c r="N976" s="4" t="str">
        <f ca="1">IFERROR(VLOOKUP($L976,Calculation!$H$6:$S$1005,HLOOKUP(N$2,Calculation!$M$4:$S$5,2,FALSE)+5,FALSE),"")</f>
        <v/>
      </c>
      <c r="O976" s="4" t="str">
        <f ca="1">IFERROR(VLOOKUP($L976,Calculation!$H$6:$S$1005,HLOOKUP(O$2,Calculation!$M$4:$S$5,2,FALSE)+5,FALSE),"")</f>
        <v/>
      </c>
      <c r="P976" s="4" t="str">
        <f ca="1">IFERROR(VLOOKUP($L976,Calculation!$H$6:$S$1005,HLOOKUP(P$2,Calculation!$M$4:$S$5,2,FALSE)+5,FALSE),"")</f>
        <v/>
      </c>
      <c r="Q976" s="4" t="str">
        <f ca="1">IFERROR(VLOOKUP($L976,Calculation!$H$6:$S$1005,HLOOKUP(Q$2,Calculation!$M$4:$S$5,2,FALSE)+5,FALSE),"")</f>
        <v/>
      </c>
      <c r="R976" s="27" t="str">
        <f ca="1">IFERROR(VLOOKUP($L976,Calculation!$H$6:$S$1005,HLOOKUP(R$2,Calculation!$M$4:$S$5,2,FALSE)+5,FALSE),"")</f>
        <v/>
      </c>
      <c r="S976" s="4" t="str">
        <f ca="1">IFERROR(VLOOKUP($L976,Calculation!$H$6:$S$1005,HLOOKUP(S$2,Calculation!$M$4:$S$5,2,FALSE)+5,FALSE),"")</f>
        <v/>
      </c>
      <c r="T976" s="29"/>
      <c r="U976" s="43" t="str">
        <f>IFERROR(VLOOKUP(T976,Calculation!$U$6:$V$11,2,FALSE),"")</f>
        <v/>
      </c>
    </row>
    <row r="977" spans="1:21" ht="14.25" customHeight="1" x14ac:dyDescent="0.3">
      <c r="A977" s="26" t="str">
        <f ca="1">IF(Calculation!T980&lt;=Calculation!$H$4,Calculation!T980,"")</f>
        <v/>
      </c>
      <c r="B977" s="4" t="str">
        <f ca="1">VLOOKUP(A977,Calculation!$E$6:$J$1004,4,FALSE)</f>
        <v/>
      </c>
      <c r="C977" s="4" t="str">
        <f ca="1">VLOOKUP(A977,Calculation!$E$6:$J$1004,5,FALSE)</f>
        <v/>
      </c>
      <c r="D977" s="4" t="str">
        <f ca="1">VLOOKUP(A977,Calculation!$E$6:$J$1004,6,FALSE)</f>
        <v/>
      </c>
      <c r="E977" s="42" t="str">
        <f t="shared" ca="1" si="6"/>
        <v/>
      </c>
      <c r="G977" s="29" t="str">
        <f ca="1">VLOOKUP(A977,Calculation!$F$6:$J$1004,3,FALSE)</f>
        <v/>
      </c>
      <c r="H977" s="4" t="str">
        <f ca="1">VLOOKUP(A977,Calculation!$F$6:$J$1004,4,FALSE)</f>
        <v/>
      </c>
      <c r="I977" s="4" t="str">
        <f ca="1">VLOOKUP(A977,Calculation!$F$6:$J$1004,5,FALSE)</f>
        <v/>
      </c>
      <c r="J977" s="43" t="str">
        <f t="shared" ca="1" si="7"/>
        <v/>
      </c>
      <c r="L977" s="29" t="str">
        <f ca="1">VLOOKUP(A977,Calculation!$G$6:$S$1004,2,FALSE)</f>
        <v/>
      </c>
      <c r="M977" s="4" t="str">
        <f ca="1">IFERROR(VLOOKUP($L977,Calculation!$H$6:$S$1005,HLOOKUP(M$2,Calculation!$M$4:$S$5,2,FALSE)+5,FALSE),"")</f>
        <v/>
      </c>
      <c r="N977" s="4" t="str">
        <f ca="1">IFERROR(VLOOKUP($L977,Calculation!$H$6:$S$1005,HLOOKUP(N$2,Calculation!$M$4:$S$5,2,FALSE)+5,FALSE),"")</f>
        <v/>
      </c>
      <c r="O977" s="4" t="str">
        <f ca="1">IFERROR(VLOOKUP($L977,Calculation!$H$6:$S$1005,HLOOKUP(O$2,Calculation!$M$4:$S$5,2,FALSE)+5,FALSE),"")</f>
        <v/>
      </c>
      <c r="P977" s="4" t="str">
        <f ca="1">IFERROR(VLOOKUP($L977,Calculation!$H$6:$S$1005,HLOOKUP(P$2,Calculation!$M$4:$S$5,2,FALSE)+5,FALSE),"")</f>
        <v/>
      </c>
      <c r="Q977" s="4" t="str">
        <f ca="1">IFERROR(VLOOKUP($L977,Calculation!$H$6:$S$1005,HLOOKUP(Q$2,Calculation!$M$4:$S$5,2,FALSE)+5,FALSE),"")</f>
        <v/>
      </c>
      <c r="R977" s="27" t="str">
        <f ca="1">IFERROR(VLOOKUP($L977,Calculation!$H$6:$S$1005,HLOOKUP(R$2,Calculation!$M$4:$S$5,2,FALSE)+5,FALSE),"")</f>
        <v/>
      </c>
      <c r="S977" s="4" t="str">
        <f ca="1">IFERROR(VLOOKUP($L977,Calculation!$H$6:$S$1005,HLOOKUP(S$2,Calculation!$M$4:$S$5,2,FALSE)+5,FALSE),"")</f>
        <v/>
      </c>
      <c r="T977" s="29"/>
      <c r="U977" s="43" t="str">
        <f>IFERROR(VLOOKUP(T977,Calculation!$U$6:$V$11,2,FALSE),"")</f>
        <v/>
      </c>
    </row>
    <row r="978" spans="1:21" ht="14.25" customHeight="1" x14ac:dyDescent="0.3">
      <c r="A978" s="26" t="str">
        <f ca="1">IF(Calculation!T981&lt;=Calculation!$H$4,Calculation!T981,"")</f>
        <v/>
      </c>
      <c r="B978" s="4" t="str">
        <f ca="1">VLOOKUP(A978,Calculation!$E$6:$J$1004,4,FALSE)</f>
        <v/>
      </c>
      <c r="C978" s="4" t="str">
        <f ca="1">VLOOKUP(A978,Calculation!$E$6:$J$1004,5,FALSE)</f>
        <v/>
      </c>
      <c r="D978" s="4" t="str">
        <f ca="1">VLOOKUP(A978,Calculation!$E$6:$J$1004,6,FALSE)</f>
        <v/>
      </c>
      <c r="E978" s="42" t="str">
        <f t="shared" ca="1" si="6"/>
        <v/>
      </c>
      <c r="G978" s="29" t="str">
        <f ca="1">VLOOKUP(A978,Calculation!$F$6:$J$1004,3,FALSE)</f>
        <v/>
      </c>
      <c r="H978" s="4" t="str">
        <f ca="1">VLOOKUP(A978,Calculation!$F$6:$J$1004,4,FALSE)</f>
        <v/>
      </c>
      <c r="I978" s="4" t="str">
        <f ca="1">VLOOKUP(A978,Calculation!$F$6:$J$1004,5,FALSE)</f>
        <v/>
      </c>
      <c r="J978" s="43" t="str">
        <f t="shared" ca="1" si="7"/>
        <v/>
      </c>
      <c r="L978" s="29" t="str">
        <f ca="1">VLOOKUP(A978,Calculation!$G$6:$S$1004,2,FALSE)</f>
        <v/>
      </c>
      <c r="M978" s="4" t="str">
        <f ca="1">IFERROR(VLOOKUP($L978,Calculation!$H$6:$S$1005,HLOOKUP(M$2,Calculation!$M$4:$S$5,2,FALSE)+5,FALSE),"")</f>
        <v/>
      </c>
      <c r="N978" s="4" t="str">
        <f ca="1">IFERROR(VLOOKUP($L978,Calculation!$H$6:$S$1005,HLOOKUP(N$2,Calculation!$M$4:$S$5,2,FALSE)+5,FALSE),"")</f>
        <v/>
      </c>
      <c r="O978" s="4" t="str">
        <f ca="1">IFERROR(VLOOKUP($L978,Calculation!$H$6:$S$1005,HLOOKUP(O$2,Calculation!$M$4:$S$5,2,FALSE)+5,FALSE),"")</f>
        <v/>
      </c>
      <c r="P978" s="4" t="str">
        <f ca="1">IFERROR(VLOOKUP($L978,Calculation!$H$6:$S$1005,HLOOKUP(P$2,Calculation!$M$4:$S$5,2,FALSE)+5,FALSE),"")</f>
        <v/>
      </c>
      <c r="Q978" s="4" t="str">
        <f ca="1">IFERROR(VLOOKUP($L978,Calculation!$H$6:$S$1005,HLOOKUP(Q$2,Calculation!$M$4:$S$5,2,FALSE)+5,FALSE),"")</f>
        <v/>
      </c>
      <c r="R978" s="27" t="str">
        <f ca="1">IFERROR(VLOOKUP($L978,Calculation!$H$6:$S$1005,HLOOKUP(R$2,Calculation!$M$4:$S$5,2,FALSE)+5,FALSE),"")</f>
        <v/>
      </c>
      <c r="S978" s="4" t="str">
        <f ca="1">IFERROR(VLOOKUP($L978,Calculation!$H$6:$S$1005,HLOOKUP(S$2,Calculation!$M$4:$S$5,2,FALSE)+5,FALSE),"")</f>
        <v/>
      </c>
      <c r="T978" s="29"/>
      <c r="U978" s="43" t="str">
        <f>IFERROR(VLOOKUP(T978,Calculation!$U$6:$V$11,2,FALSE),"")</f>
        <v/>
      </c>
    </row>
    <row r="979" spans="1:21" ht="14.25" customHeight="1" x14ac:dyDescent="0.3">
      <c r="A979" s="26" t="str">
        <f ca="1">IF(Calculation!T982&lt;=Calculation!$H$4,Calculation!T982,"")</f>
        <v/>
      </c>
      <c r="B979" s="4" t="str">
        <f ca="1">VLOOKUP(A979,Calculation!$E$6:$J$1004,4,FALSE)</f>
        <v/>
      </c>
      <c r="C979" s="4" t="str">
        <f ca="1">VLOOKUP(A979,Calculation!$E$6:$J$1004,5,FALSE)</f>
        <v/>
      </c>
      <c r="D979" s="4" t="str">
        <f ca="1">VLOOKUP(A979,Calculation!$E$6:$J$1004,6,FALSE)</f>
        <v/>
      </c>
      <c r="E979" s="42" t="str">
        <f t="shared" ca="1" si="6"/>
        <v/>
      </c>
      <c r="G979" s="29" t="str">
        <f ca="1">VLOOKUP(A979,Calculation!$F$6:$J$1004,3,FALSE)</f>
        <v/>
      </c>
      <c r="H979" s="4" t="str">
        <f ca="1">VLOOKUP(A979,Calculation!$F$6:$J$1004,4,FALSE)</f>
        <v/>
      </c>
      <c r="I979" s="4" t="str">
        <f ca="1">VLOOKUP(A979,Calculation!$F$6:$J$1004,5,FALSE)</f>
        <v/>
      </c>
      <c r="J979" s="43" t="str">
        <f t="shared" ca="1" si="7"/>
        <v/>
      </c>
      <c r="L979" s="29" t="str">
        <f ca="1">VLOOKUP(A979,Calculation!$G$6:$S$1004,2,FALSE)</f>
        <v/>
      </c>
      <c r="M979" s="4" t="str">
        <f ca="1">IFERROR(VLOOKUP($L979,Calculation!$H$6:$S$1005,HLOOKUP(M$2,Calculation!$M$4:$S$5,2,FALSE)+5,FALSE),"")</f>
        <v/>
      </c>
      <c r="N979" s="4" t="str">
        <f ca="1">IFERROR(VLOOKUP($L979,Calculation!$H$6:$S$1005,HLOOKUP(N$2,Calculation!$M$4:$S$5,2,FALSE)+5,FALSE),"")</f>
        <v/>
      </c>
      <c r="O979" s="4" t="str">
        <f ca="1">IFERROR(VLOOKUP($L979,Calculation!$H$6:$S$1005,HLOOKUP(O$2,Calculation!$M$4:$S$5,2,FALSE)+5,FALSE),"")</f>
        <v/>
      </c>
      <c r="P979" s="4" t="str">
        <f ca="1">IFERROR(VLOOKUP($L979,Calculation!$H$6:$S$1005,HLOOKUP(P$2,Calculation!$M$4:$S$5,2,FALSE)+5,FALSE),"")</f>
        <v/>
      </c>
      <c r="Q979" s="4" t="str">
        <f ca="1">IFERROR(VLOOKUP($L979,Calculation!$H$6:$S$1005,HLOOKUP(Q$2,Calculation!$M$4:$S$5,2,FALSE)+5,FALSE),"")</f>
        <v/>
      </c>
      <c r="R979" s="27" t="str">
        <f ca="1">IFERROR(VLOOKUP($L979,Calculation!$H$6:$S$1005,HLOOKUP(R$2,Calculation!$M$4:$S$5,2,FALSE)+5,FALSE),"")</f>
        <v/>
      </c>
      <c r="S979" s="4" t="str">
        <f ca="1">IFERROR(VLOOKUP($L979,Calculation!$H$6:$S$1005,HLOOKUP(S$2,Calculation!$M$4:$S$5,2,FALSE)+5,FALSE),"")</f>
        <v/>
      </c>
      <c r="T979" s="29"/>
      <c r="U979" s="43" t="str">
        <f>IFERROR(VLOOKUP(T979,Calculation!$U$6:$V$11,2,FALSE),"")</f>
        <v/>
      </c>
    </row>
    <row r="980" spans="1:21" ht="14.25" customHeight="1" x14ac:dyDescent="0.3">
      <c r="A980" s="26" t="str">
        <f ca="1">IF(Calculation!T983&lt;=Calculation!$H$4,Calculation!T983,"")</f>
        <v/>
      </c>
      <c r="B980" s="4" t="str">
        <f ca="1">VLOOKUP(A980,Calculation!$E$6:$J$1004,4,FALSE)</f>
        <v/>
      </c>
      <c r="C980" s="4" t="str">
        <f ca="1">VLOOKUP(A980,Calculation!$E$6:$J$1004,5,FALSE)</f>
        <v/>
      </c>
      <c r="D980" s="4" t="str">
        <f ca="1">VLOOKUP(A980,Calculation!$E$6:$J$1004,6,FALSE)</f>
        <v/>
      </c>
      <c r="E980" s="42" t="str">
        <f t="shared" ca="1" si="6"/>
        <v/>
      </c>
      <c r="G980" s="29" t="str">
        <f ca="1">VLOOKUP(A980,Calculation!$F$6:$J$1004,3,FALSE)</f>
        <v/>
      </c>
      <c r="H980" s="4" t="str">
        <f ca="1">VLOOKUP(A980,Calculation!$F$6:$J$1004,4,FALSE)</f>
        <v/>
      </c>
      <c r="I980" s="4" t="str">
        <f ca="1">VLOOKUP(A980,Calculation!$F$6:$J$1004,5,FALSE)</f>
        <v/>
      </c>
      <c r="J980" s="43" t="str">
        <f t="shared" ca="1" si="7"/>
        <v/>
      </c>
      <c r="L980" s="29" t="str">
        <f ca="1">VLOOKUP(A980,Calculation!$G$6:$S$1004,2,FALSE)</f>
        <v/>
      </c>
      <c r="M980" s="4" t="str">
        <f ca="1">IFERROR(VLOOKUP($L980,Calculation!$H$6:$S$1005,HLOOKUP(M$2,Calculation!$M$4:$S$5,2,FALSE)+5,FALSE),"")</f>
        <v/>
      </c>
      <c r="N980" s="4" t="str">
        <f ca="1">IFERROR(VLOOKUP($L980,Calculation!$H$6:$S$1005,HLOOKUP(N$2,Calculation!$M$4:$S$5,2,FALSE)+5,FALSE),"")</f>
        <v/>
      </c>
      <c r="O980" s="4" t="str">
        <f ca="1">IFERROR(VLOOKUP($L980,Calculation!$H$6:$S$1005,HLOOKUP(O$2,Calculation!$M$4:$S$5,2,FALSE)+5,FALSE),"")</f>
        <v/>
      </c>
      <c r="P980" s="4" t="str">
        <f ca="1">IFERROR(VLOOKUP($L980,Calculation!$H$6:$S$1005,HLOOKUP(P$2,Calculation!$M$4:$S$5,2,FALSE)+5,FALSE),"")</f>
        <v/>
      </c>
      <c r="Q980" s="4" t="str">
        <f ca="1">IFERROR(VLOOKUP($L980,Calculation!$H$6:$S$1005,HLOOKUP(Q$2,Calculation!$M$4:$S$5,2,FALSE)+5,FALSE),"")</f>
        <v/>
      </c>
      <c r="R980" s="27" t="str">
        <f ca="1">IFERROR(VLOOKUP($L980,Calculation!$H$6:$S$1005,HLOOKUP(R$2,Calculation!$M$4:$S$5,2,FALSE)+5,FALSE),"")</f>
        <v/>
      </c>
      <c r="S980" s="4" t="str">
        <f ca="1">IFERROR(VLOOKUP($L980,Calculation!$H$6:$S$1005,HLOOKUP(S$2,Calculation!$M$4:$S$5,2,FALSE)+5,FALSE),"")</f>
        <v/>
      </c>
      <c r="T980" s="29"/>
      <c r="U980" s="43" t="str">
        <f>IFERROR(VLOOKUP(T980,Calculation!$U$6:$V$11,2,FALSE),"")</f>
        <v/>
      </c>
    </row>
    <row r="981" spans="1:21" ht="14.25" customHeight="1" x14ac:dyDescent="0.3">
      <c r="A981" s="26" t="str">
        <f ca="1">IF(Calculation!T984&lt;=Calculation!$H$4,Calculation!T984,"")</f>
        <v/>
      </c>
      <c r="B981" s="4" t="str">
        <f ca="1">VLOOKUP(A981,Calculation!$E$6:$J$1004,4,FALSE)</f>
        <v/>
      </c>
      <c r="C981" s="4" t="str">
        <f ca="1">VLOOKUP(A981,Calculation!$E$6:$J$1004,5,FALSE)</f>
        <v/>
      </c>
      <c r="D981" s="4" t="str">
        <f ca="1">VLOOKUP(A981,Calculation!$E$6:$J$1004,6,FALSE)</f>
        <v/>
      </c>
      <c r="E981" s="42" t="str">
        <f t="shared" ca="1" si="6"/>
        <v/>
      </c>
      <c r="G981" s="29" t="str">
        <f ca="1">VLOOKUP(A981,Calculation!$F$6:$J$1004,3,FALSE)</f>
        <v/>
      </c>
      <c r="H981" s="4" t="str">
        <f ca="1">VLOOKUP(A981,Calculation!$F$6:$J$1004,4,FALSE)</f>
        <v/>
      </c>
      <c r="I981" s="4" t="str">
        <f ca="1">VLOOKUP(A981,Calculation!$F$6:$J$1004,5,FALSE)</f>
        <v/>
      </c>
      <c r="J981" s="43" t="str">
        <f t="shared" ca="1" si="7"/>
        <v/>
      </c>
      <c r="L981" s="29" t="str">
        <f ca="1">VLOOKUP(A981,Calculation!$G$6:$S$1004,2,FALSE)</f>
        <v/>
      </c>
      <c r="M981" s="4" t="str">
        <f ca="1">IFERROR(VLOOKUP($L981,Calculation!$H$6:$S$1005,HLOOKUP(M$2,Calculation!$M$4:$S$5,2,FALSE)+5,FALSE),"")</f>
        <v/>
      </c>
      <c r="N981" s="4" t="str">
        <f ca="1">IFERROR(VLOOKUP($L981,Calculation!$H$6:$S$1005,HLOOKUP(N$2,Calculation!$M$4:$S$5,2,FALSE)+5,FALSE),"")</f>
        <v/>
      </c>
      <c r="O981" s="4" t="str">
        <f ca="1">IFERROR(VLOOKUP($L981,Calculation!$H$6:$S$1005,HLOOKUP(O$2,Calculation!$M$4:$S$5,2,FALSE)+5,FALSE),"")</f>
        <v/>
      </c>
      <c r="P981" s="4" t="str">
        <f ca="1">IFERROR(VLOOKUP($L981,Calculation!$H$6:$S$1005,HLOOKUP(P$2,Calculation!$M$4:$S$5,2,FALSE)+5,FALSE),"")</f>
        <v/>
      </c>
      <c r="Q981" s="4" t="str">
        <f ca="1">IFERROR(VLOOKUP($L981,Calculation!$H$6:$S$1005,HLOOKUP(Q$2,Calculation!$M$4:$S$5,2,FALSE)+5,FALSE),"")</f>
        <v/>
      </c>
      <c r="R981" s="27" t="str">
        <f ca="1">IFERROR(VLOOKUP($L981,Calculation!$H$6:$S$1005,HLOOKUP(R$2,Calculation!$M$4:$S$5,2,FALSE)+5,FALSE),"")</f>
        <v/>
      </c>
      <c r="S981" s="4" t="str">
        <f ca="1">IFERROR(VLOOKUP($L981,Calculation!$H$6:$S$1005,HLOOKUP(S$2,Calculation!$M$4:$S$5,2,FALSE)+5,FALSE),"")</f>
        <v/>
      </c>
      <c r="T981" s="29"/>
      <c r="U981" s="43" t="str">
        <f>IFERROR(VLOOKUP(T981,Calculation!$U$6:$V$11,2,FALSE),"")</f>
        <v/>
      </c>
    </row>
    <row r="982" spans="1:21" ht="14.25" customHeight="1" x14ac:dyDescent="0.3">
      <c r="A982" s="26" t="str">
        <f ca="1">IF(Calculation!T985&lt;=Calculation!$H$4,Calculation!T985,"")</f>
        <v/>
      </c>
      <c r="B982" s="4" t="str">
        <f ca="1">VLOOKUP(A982,Calculation!$E$6:$J$1004,4,FALSE)</f>
        <v/>
      </c>
      <c r="C982" s="4" t="str">
        <f ca="1">VLOOKUP(A982,Calculation!$E$6:$J$1004,5,FALSE)</f>
        <v/>
      </c>
      <c r="D982" s="4" t="str">
        <f ca="1">VLOOKUP(A982,Calculation!$E$6:$J$1004,6,FALSE)</f>
        <v/>
      </c>
      <c r="E982" s="42" t="str">
        <f t="shared" ca="1" si="6"/>
        <v/>
      </c>
      <c r="G982" s="29" t="str">
        <f ca="1">VLOOKUP(A982,Calculation!$F$6:$J$1004,3,FALSE)</f>
        <v/>
      </c>
      <c r="H982" s="4" t="str">
        <f ca="1">VLOOKUP(A982,Calculation!$F$6:$J$1004,4,FALSE)</f>
        <v/>
      </c>
      <c r="I982" s="4" t="str">
        <f ca="1">VLOOKUP(A982,Calculation!$F$6:$J$1004,5,FALSE)</f>
        <v/>
      </c>
      <c r="J982" s="43" t="str">
        <f t="shared" ca="1" si="7"/>
        <v/>
      </c>
      <c r="L982" s="29" t="str">
        <f ca="1">VLOOKUP(A982,Calculation!$G$6:$S$1004,2,FALSE)</f>
        <v/>
      </c>
      <c r="M982" s="4" t="str">
        <f ca="1">IFERROR(VLOOKUP($L982,Calculation!$H$6:$S$1005,HLOOKUP(M$2,Calculation!$M$4:$S$5,2,FALSE)+5,FALSE),"")</f>
        <v/>
      </c>
      <c r="N982" s="4" t="str">
        <f ca="1">IFERROR(VLOOKUP($L982,Calculation!$H$6:$S$1005,HLOOKUP(N$2,Calculation!$M$4:$S$5,2,FALSE)+5,FALSE),"")</f>
        <v/>
      </c>
      <c r="O982" s="4" t="str">
        <f ca="1">IFERROR(VLOOKUP($L982,Calculation!$H$6:$S$1005,HLOOKUP(O$2,Calculation!$M$4:$S$5,2,FALSE)+5,FALSE),"")</f>
        <v/>
      </c>
      <c r="P982" s="4" t="str">
        <f ca="1">IFERROR(VLOOKUP($L982,Calculation!$H$6:$S$1005,HLOOKUP(P$2,Calculation!$M$4:$S$5,2,FALSE)+5,FALSE),"")</f>
        <v/>
      </c>
      <c r="Q982" s="4" t="str">
        <f ca="1">IFERROR(VLOOKUP($L982,Calculation!$H$6:$S$1005,HLOOKUP(Q$2,Calculation!$M$4:$S$5,2,FALSE)+5,FALSE),"")</f>
        <v/>
      </c>
      <c r="R982" s="27" t="str">
        <f ca="1">IFERROR(VLOOKUP($L982,Calculation!$H$6:$S$1005,HLOOKUP(R$2,Calculation!$M$4:$S$5,2,FALSE)+5,FALSE),"")</f>
        <v/>
      </c>
      <c r="S982" s="4" t="str">
        <f ca="1">IFERROR(VLOOKUP($L982,Calculation!$H$6:$S$1005,HLOOKUP(S$2,Calculation!$M$4:$S$5,2,FALSE)+5,FALSE),"")</f>
        <v/>
      </c>
      <c r="T982" s="29"/>
      <c r="U982" s="43" t="str">
        <f>IFERROR(VLOOKUP(T982,Calculation!$U$6:$V$11,2,FALSE),"")</f>
        <v/>
      </c>
    </row>
    <row r="983" spans="1:21" ht="14.25" customHeight="1" x14ac:dyDescent="0.3">
      <c r="A983" s="26" t="str">
        <f ca="1">IF(Calculation!T986&lt;=Calculation!$H$4,Calculation!T986,"")</f>
        <v/>
      </c>
      <c r="B983" s="4" t="str">
        <f ca="1">VLOOKUP(A983,Calculation!$E$6:$J$1004,4,FALSE)</f>
        <v/>
      </c>
      <c r="C983" s="4" t="str">
        <f ca="1">VLOOKUP(A983,Calculation!$E$6:$J$1004,5,FALSE)</f>
        <v/>
      </c>
      <c r="D983" s="4" t="str">
        <f ca="1">VLOOKUP(A983,Calculation!$E$6:$J$1004,6,FALSE)</f>
        <v/>
      </c>
      <c r="E983" s="42" t="str">
        <f t="shared" ca="1" si="6"/>
        <v/>
      </c>
      <c r="G983" s="29" t="str">
        <f ca="1">VLOOKUP(A983,Calculation!$F$6:$J$1004,3,FALSE)</f>
        <v/>
      </c>
      <c r="H983" s="4" t="str">
        <f ca="1">VLOOKUP(A983,Calculation!$F$6:$J$1004,4,FALSE)</f>
        <v/>
      </c>
      <c r="I983" s="4" t="str">
        <f ca="1">VLOOKUP(A983,Calculation!$F$6:$J$1004,5,FALSE)</f>
        <v/>
      </c>
      <c r="J983" s="43" t="str">
        <f t="shared" ca="1" si="7"/>
        <v/>
      </c>
      <c r="L983" s="29" t="str">
        <f ca="1">VLOOKUP(A983,Calculation!$G$6:$S$1004,2,FALSE)</f>
        <v/>
      </c>
      <c r="M983" s="4" t="str">
        <f ca="1">IFERROR(VLOOKUP($L983,Calculation!$H$6:$S$1005,HLOOKUP(M$2,Calculation!$M$4:$S$5,2,FALSE)+5,FALSE),"")</f>
        <v/>
      </c>
      <c r="N983" s="4" t="str">
        <f ca="1">IFERROR(VLOOKUP($L983,Calculation!$H$6:$S$1005,HLOOKUP(N$2,Calculation!$M$4:$S$5,2,FALSE)+5,FALSE),"")</f>
        <v/>
      </c>
      <c r="O983" s="4" t="str">
        <f ca="1">IFERROR(VLOOKUP($L983,Calculation!$H$6:$S$1005,HLOOKUP(O$2,Calculation!$M$4:$S$5,2,FALSE)+5,FALSE),"")</f>
        <v/>
      </c>
      <c r="P983" s="4" t="str">
        <f ca="1">IFERROR(VLOOKUP($L983,Calculation!$H$6:$S$1005,HLOOKUP(P$2,Calculation!$M$4:$S$5,2,FALSE)+5,FALSE),"")</f>
        <v/>
      </c>
      <c r="Q983" s="4" t="str">
        <f ca="1">IFERROR(VLOOKUP($L983,Calculation!$H$6:$S$1005,HLOOKUP(Q$2,Calculation!$M$4:$S$5,2,FALSE)+5,FALSE),"")</f>
        <v/>
      </c>
      <c r="R983" s="27" t="str">
        <f ca="1">IFERROR(VLOOKUP($L983,Calculation!$H$6:$S$1005,HLOOKUP(R$2,Calculation!$M$4:$S$5,2,FALSE)+5,FALSE),"")</f>
        <v/>
      </c>
      <c r="S983" s="4" t="str">
        <f ca="1">IFERROR(VLOOKUP($L983,Calculation!$H$6:$S$1005,HLOOKUP(S$2,Calculation!$M$4:$S$5,2,FALSE)+5,FALSE),"")</f>
        <v/>
      </c>
      <c r="T983" s="29"/>
      <c r="U983" s="43" t="str">
        <f>IFERROR(VLOOKUP(T983,Calculation!$U$6:$V$11,2,FALSE),"")</f>
        <v/>
      </c>
    </row>
    <row r="984" spans="1:21" ht="14.25" customHeight="1" x14ac:dyDescent="0.3">
      <c r="A984" s="26" t="str">
        <f ca="1">IF(Calculation!T987&lt;=Calculation!$H$4,Calculation!T987,"")</f>
        <v/>
      </c>
      <c r="B984" s="4" t="str">
        <f ca="1">VLOOKUP(A984,Calculation!$E$6:$J$1004,4,FALSE)</f>
        <v/>
      </c>
      <c r="C984" s="4" t="str">
        <f ca="1">VLOOKUP(A984,Calculation!$E$6:$J$1004,5,FALSE)</f>
        <v/>
      </c>
      <c r="D984" s="4" t="str">
        <f ca="1">VLOOKUP(A984,Calculation!$E$6:$J$1004,6,FALSE)</f>
        <v/>
      </c>
      <c r="E984" s="42" t="str">
        <f t="shared" ca="1" si="6"/>
        <v/>
      </c>
      <c r="G984" s="29" t="str">
        <f ca="1">VLOOKUP(A984,Calculation!$F$6:$J$1004,3,FALSE)</f>
        <v/>
      </c>
      <c r="H984" s="4" t="str">
        <f ca="1">VLOOKUP(A984,Calculation!$F$6:$J$1004,4,FALSE)</f>
        <v/>
      </c>
      <c r="I984" s="4" t="str">
        <f ca="1">VLOOKUP(A984,Calculation!$F$6:$J$1004,5,FALSE)</f>
        <v/>
      </c>
      <c r="J984" s="43" t="str">
        <f t="shared" ca="1" si="7"/>
        <v/>
      </c>
      <c r="L984" s="29" t="str">
        <f ca="1">VLOOKUP(A984,Calculation!$G$6:$S$1004,2,FALSE)</f>
        <v/>
      </c>
      <c r="M984" s="4" t="str">
        <f ca="1">IFERROR(VLOOKUP($L984,Calculation!$H$6:$S$1005,HLOOKUP(M$2,Calculation!$M$4:$S$5,2,FALSE)+5,FALSE),"")</f>
        <v/>
      </c>
      <c r="N984" s="4" t="str">
        <f ca="1">IFERROR(VLOOKUP($L984,Calculation!$H$6:$S$1005,HLOOKUP(N$2,Calculation!$M$4:$S$5,2,FALSE)+5,FALSE),"")</f>
        <v/>
      </c>
      <c r="O984" s="4" t="str">
        <f ca="1">IFERROR(VLOOKUP($L984,Calculation!$H$6:$S$1005,HLOOKUP(O$2,Calculation!$M$4:$S$5,2,FALSE)+5,FALSE),"")</f>
        <v/>
      </c>
      <c r="P984" s="4" t="str">
        <f ca="1">IFERROR(VLOOKUP($L984,Calculation!$H$6:$S$1005,HLOOKUP(P$2,Calculation!$M$4:$S$5,2,FALSE)+5,FALSE),"")</f>
        <v/>
      </c>
      <c r="Q984" s="4" t="str">
        <f ca="1">IFERROR(VLOOKUP($L984,Calculation!$H$6:$S$1005,HLOOKUP(Q$2,Calculation!$M$4:$S$5,2,FALSE)+5,FALSE),"")</f>
        <v/>
      </c>
      <c r="R984" s="27" t="str">
        <f ca="1">IFERROR(VLOOKUP($L984,Calculation!$H$6:$S$1005,HLOOKUP(R$2,Calculation!$M$4:$S$5,2,FALSE)+5,FALSE),"")</f>
        <v/>
      </c>
      <c r="S984" s="4" t="str">
        <f ca="1">IFERROR(VLOOKUP($L984,Calculation!$H$6:$S$1005,HLOOKUP(S$2,Calculation!$M$4:$S$5,2,FALSE)+5,FALSE),"")</f>
        <v/>
      </c>
      <c r="T984" s="29"/>
      <c r="U984" s="43" t="str">
        <f>IFERROR(VLOOKUP(T984,Calculation!$U$6:$V$11,2,FALSE),"")</f>
        <v/>
      </c>
    </row>
    <row r="985" spans="1:21" ht="14.25" customHeight="1" x14ac:dyDescent="0.3">
      <c r="A985" s="26" t="str">
        <f ca="1">IF(Calculation!T988&lt;=Calculation!$H$4,Calculation!T988,"")</f>
        <v/>
      </c>
      <c r="B985" s="4" t="str">
        <f ca="1">VLOOKUP(A985,Calculation!$E$6:$J$1004,4,FALSE)</f>
        <v/>
      </c>
      <c r="C985" s="4" t="str">
        <f ca="1">VLOOKUP(A985,Calculation!$E$6:$J$1004,5,FALSE)</f>
        <v/>
      </c>
      <c r="D985" s="4" t="str">
        <f ca="1">VLOOKUP(A985,Calculation!$E$6:$J$1004,6,FALSE)</f>
        <v/>
      </c>
      <c r="E985" s="42" t="str">
        <f t="shared" ca="1" si="6"/>
        <v/>
      </c>
      <c r="G985" s="29" t="str">
        <f ca="1">VLOOKUP(A985,Calculation!$F$6:$J$1004,3,FALSE)</f>
        <v/>
      </c>
      <c r="H985" s="4" t="str">
        <f ca="1">VLOOKUP(A985,Calculation!$F$6:$J$1004,4,FALSE)</f>
        <v/>
      </c>
      <c r="I985" s="4" t="str">
        <f ca="1">VLOOKUP(A985,Calculation!$F$6:$J$1004,5,FALSE)</f>
        <v/>
      </c>
      <c r="J985" s="43" t="str">
        <f t="shared" ca="1" si="7"/>
        <v/>
      </c>
      <c r="L985" s="29" t="str">
        <f ca="1">VLOOKUP(A985,Calculation!$G$6:$S$1004,2,FALSE)</f>
        <v/>
      </c>
      <c r="M985" s="4" t="str">
        <f ca="1">IFERROR(VLOOKUP($L985,Calculation!$H$6:$S$1005,HLOOKUP(M$2,Calculation!$M$4:$S$5,2,FALSE)+5,FALSE),"")</f>
        <v/>
      </c>
      <c r="N985" s="4" t="str">
        <f ca="1">IFERROR(VLOOKUP($L985,Calculation!$H$6:$S$1005,HLOOKUP(N$2,Calculation!$M$4:$S$5,2,FALSE)+5,FALSE),"")</f>
        <v/>
      </c>
      <c r="O985" s="4" t="str">
        <f ca="1">IFERROR(VLOOKUP($L985,Calculation!$H$6:$S$1005,HLOOKUP(O$2,Calculation!$M$4:$S$5,2,FALSE)+5,FALSE),"")</f>
        <v/>
      </c>
      <c r="P985" s="4" t="str">
        <f ca="1">IFERROR(VLOOKUP($L985,Calculation!$H$6:$S$1005,HLOOKUP(P$2,Calculation!$M$4:$S$5,2,FALSE)+5,FALSE),"")</f>
        <v/>
      </c>
      <c r="Q985" s="4" t="str">
        <f ca="1">IFERROR(VLOOKUP($L985,Calculation!$H$6:$S$1005,HLOOKUP(Q$2,Calculation!$M$4:$S$5,2,FALSE)+5,FALSE),"")</f>
        <v/>
      </c>
      <c r="R985" s="27" t="str">
        <f ca="1">IFERROR(VLOOKUP($L985,Calculation!$H$6:$S$1005,HLOOKUP(R$2,Calculation!$M$4:$S$5,2,FALSE)+5,FALSE),"")</f>
        <v/>
      </c>
      <c r="S985" s="4" t="str">
        <f ca="1">IFERROR(VLOOKUP($L985,Calculation!$H$6:$S$1005,HLOOKUP(S$2,Calculation!$M$4:$S$5,2,FALSE)+5,FALSE),"")</f>
        <v/>
      </c>
      <c r="T985" s="29"/>
      <c r="U985" s="43" t="str">
        <f>IFERROR(VLOOKUP(T985,Calculation!$U$6:$V$11,2,FALSE),"")</f>
        <v/>
      </c>
    </row>
    <row r="986" spans="1:21" ht="14.25" customHeight="1" x14ac:dyDescent="0.3">
      <c r="A986" s="26" t="str">
        <f ca="1">IF(Calculation!T989&lt;=Calculation!$H$4,Calculation!T989,"")</f>
        <v/>
      </c>
      <c r="B986" s="4" t="str">
        <f ca="1">VLOOKUP(A986,Calculation!$E$6:$J$1004,4,FALSE)</f>
        <v/>
      </c>
      <c r="C986" s="4" t="str">
        <f ca="1">VLOOKUP(A986,Calculation!$E$6:$J$1004,5,FALSE)</f>
        <v/>
      </c>
      <c r="D986" s="4" t="str">
        <f ca="1">VLOOKUP(A986,Calculation!$E$6:$J$1004,6,FALSE)</f>
        <v/>
      </c>
      <c r="E986" s="42" t="str">
        <f t="shared" ca="1" si="6"/>
        <v/>
      </c>
      <c r="G986" s="29" t="str">
        <f ca="1">VLOOKUP(A986,Calculation!$F$6:$J$1004,3,FALSE)</f>
        <v/>
      </c>
      <c r="H986" s="4" t="str">
        <f ca="1">VLOOKUP(A986,Calculation!$F$6:$J$1004,4,FALSE)</f>
        <v/>
      </c>
      <c r="I986" s="4" t="str">
        <f ca="1">VLOOKUP(A986,Calculation!$F$6:$J$1004,5,FALSE)</f>
        <v/>
      </c>
      <c r="J986" s="43" t="str">
        <f t="shared" ca="1" si="7"/>
        <v/>
      </c>
      <c r="L986" s="29" t="str">
        <f ca="1">VLOOKUP(A986,Calculation!$G$6:$S$1004,2,FALSE)</f>
        <v/>
      </c>
      <c r="M986" s="4" t="str">
        <f ca="1">IFERROR(VLOOKUP($L986,Calculation!$H$6:$S$1005,HLOOKUP(M$2,Calculation!$M$4:$S$5,2,FALSE)+5,FALSE),"")</f>
        <v/>
      </c>
      <c r="N986" s="4" t="str">
        <f ca="1">IFERROR(VLOOKUP($L986,Calculation!$H$6:$S$1005,HLOOKUP(N$2,Calculation!$M$4:$S$5,2,FALSE)+5,FALSE),"")</f>
        <v/>
      </c>
      <c r="O986" s="4" t="str">
        <f ca="1">IFERROR(VLOOKUP($L986,Calculation!$H$6:$S$1005,HLOOKUP(O$2,Calculation!$M$4:$S$5,2,FALSE)+5,FALSE),"")</f>
        <v/>
      </c>
      <c r="P986" s="4" t="str">
        <f ca="1">IFERROR(VLOOKUP($L986,Calculation!$H$6:$S$1005,HLOOKUP(P$2,Calculation!$M$4:$S$5,2,FALSE)+5,FALSE),"")</f>
        <v/>
      </c>
      <c r="Q986" s="4" t="str">
        <f ca="1">IFERROR(VLOOKUP($L986,Calculation!$H$6:$S$1005,HLOOKUP(Q$2,Calculation!$M$4:$S$5,2,FALSE)+5,FALSE),"")</f>
        <v/>
      </c>
      <c r="R986" s="27" t="str">
        <f ca="1">IFERROR(VLOOKUP($L986,Calculation!$H$6:$S$1005,HLOOKUP(R$2,Calculation!$M$4:$S$5,2,FALSE)+5,FALSE),"")</f>
        <v/>
      </c>
      <c r="S986" s="4" t="str">
        <f ca="1">IFERROR(VLOOKUP($L986,Calculation!$H$6:$S$1005,HLOOKUP(S$2,Calculation!$M$4:$S$5,2,FALSE)+5,FALSE),"")</f>
        <v/>
      </c>
      <c r="T986" s="29"/>
      <c r="U986" s="43" t="str">
        <f>IFERROR(VLOOKUP(T986,Calculation!$U$6:$V$11,2,FALSE),"")</f>
        <v/>
      </c>
    </row>
    <row r="987" spans="1:21" ht="14.25" customHeight="1" x14ac:dyDescent="0.3">
      <c r="A987" s="26" t="str">
        <f ca="1">IF(Calculation!T990&lt;=Calculation!$H$4,Calculation!T990,"")</f>
        <v/>
      </c>
      <c r="B987" s="4" t="str">
        <f ca="1">VLOOKUP(A987,Calculation!$E$6:$J$1004,4,FALSE)</f>
        <v/>
      </c>
      <c r="C987" s="4" t="str">
        <f ca="1">VLOOKUP(A987,Calculation!$E$6:$J$1004,5,FALSE)</f>
        <v/>
      </c>
      <c r="D987" s="4" t="str">
        <f ca="1">VLOOKUP(A987,Calculation!$E$6:$J$1004,6,FALSE)</f>
        <v/>
      </c>
      <c r="E987" s="42" t="str">
        <f t="shared" ca="1" si="6"/>
        <v/>
      </c>
      <c r="G987" s="29" t="str">
        <f ca="1">VLOOKUP(A987,Calculation!$F$6:$J$1004,3,FALSE)</f>
        <v/>
      </c>
      <c r="H987" s="4" t="str">
        <f ca="1">VLOOKUP(A987,Calculation!$F$6:$J$1004,4,FALSE)</f>
        <v/>
      </c>
      <c r="I987" s="4" t="str">
        <f ca="1">VLOOKUP(A987,Calculation!$F$6:$J$1004,5,FALSE)</f>
        <v/>
      </c>
      <c r="J987" s="43" t="str">
        <f t="shared" ca="1" si="7"/>
        <v/>
      </c>
      <c r="L987" s="29" t="str">
        <f ca="1">VLOOKUP(A987,Calculation!$G$6:$S$1004,2,FALSE)</f>
        <v/>
      </c>
      <c r="M987" s="4" t="str">
        <f ca="1">IFERROR(VLOOKUP($L987,Calculation!$H$6:$S$1005,HLOOKUP(M$2,Calculation!$M$4:$S$5,2,FALSE)+5,FALSE),"")</f>
        <v/>
      </c>
      <c r="N987" s="4" t="str">
        <f ca="1">IFERROR(VLOOKUP($L987,Calculation!$H$6:$S$1005,HLOOKUP(N$2,Calculation!$M$4:$S$5,2,FALSE)+5,FALSE),"")</f>
        <v/>
      </c>
      <c r="O987" s="4" t="str">
        <f ca="1">IFERROR(VLOOKUP($L987,Calculation!$H$6:$S$1005,HLOOKUP(O$2,Calculation!$M$4:$S$5,2,FALSE)+5,FALSE),"")</f>
        <v/>
      </c>
      <c r="P987" s="4" t="str">
        <f ca="1">IFERROR(VLOOKUP($L987,Calculation!$H$6:$S$1005,HLOOKUP(P$2,Calculation!$M$4:$S$5,2,FALSE)+5,FALSE),"")</f>
        <v/>
      </c>
      <c r="Q987" s="4" t="str">
        <f ca="1">IFERROR(VLOOKUP($L987,Calculation!$H$6:$S$1005,HLOOKUP(Q$2,Calculation!$M$4:$S$5,2,FALSE)+5,FALSE),"")</f>
        <v/>
      </c>
      <c r="R987" s="27" t="str">
        <f ca="1">IFERROR(VLOOKUP($L987,Calculation!$H$6:$S$1005,HLOOKUP(R$2,Calculation!$M$4:$S$5,2,FALSE)+5,FALSE),"")</f>
        <v/>
      </c>
      <c r="S987" s="4" t="str">
        <f ca="1">IFERROR(VLOOKUP($L987,Calculation!$H$6:$S$1005,HLOOKUP(S$2,Calculation!$M$4:$S$5,2,FALSE)+5,FALSE),"")</f>
        <v/>
      </c>
      <c r="T987" s="29"/>
      <c r="U987" s="43" t="str">
        <f>IFERROR(VLOOKUP(T987,Calculation!$U$6:$V$11,2,FALSE),"")</f>
        <v/>
      </c>
    </row>
    <row r="988" spans="1:21" ht="14.25" customHeight="1" x14ac:dyDescent="0.3">
      <c r="A988" s="26" t="str">
        <f ca="1">IF(Calculation!T991&lt;=Calculation!$H$4,Calculation!T991,"")</f>
        <v/>
      </c>
      <c r="B988" s="4" t="str">
        <f ca="1">VLOOKUP(A988,Calculation!$E$6:$J$1004,4,FALSE)</f>
        <v/>
      </c>
      <c r="C988" s="4" t="str">
        <f ca="1">VLOOKUP(A988,Calculation!$E$6:$J$1004,5,FALSE)</f>
        <v/>
      </c>
      <c r="D988" s="4" t="str">
        <f ca="1">VLOOKUP(A988,Calculation!$E$6:$J$1004,6,FALSE)</f>
        <v/>
      </c>
      <c r="E988" s="42" t="str">
        <f t="shared" ca="1" si="6"/>
        <v/>
      </c>
      <c r="G988" s="29" t="str">
        <f ca="1">VLOOKUP(A988,Calculation!$F$6:$J$1004,3,FALSE)</f>
        <v/>
      </c>
      <c r="H988" s="4" t="str">
        <f ca="1">VLOOKUP(A988,Calculation!$F$6:$J$1004,4,FALSE)</f>
        <v/>
      </c>
      <c r="I988" s="4" t="str">
        <f ca="1">VLOOKUP(A988,Calculation!$F$6:$J$1004,5,FALSE)</f>
        <v/>
      </c>
      <c r="J988" s="43" t="str">
        <f t="shared" ca="1" si="7"/>
        <v/>
      </c>
      <c r="L988" s="29" t="str">
        <f ca="1">VLOOKUP(A988,Calculation!$G$6:$S$1004,2,FALSE)</f>
        <v/>
      </c>
      <c r="M988" s="4" t="str">
        <f ca="1">IFERROR(VLOOKUP($L988,Calculation!$H$6:$S$1005,HLOOKUP(M$2,Calculation!$M$4:$S$5,2,FALSE)+5,FALSE),"")</f>
        <v/>
      </c>
      <c r="N988" s="4" t="str">
        <f ca="1">IFERROR(VLOOKUP($L988,Calculation!$H$6:$S$1005,HLOOKUP(N$2,Calculation!$M$4:$S$5,2,FALSE)+5,FALSE),"")</f>
        <v/>
      </c>
      <c r="O988" s="4" t="str">
        <f ca="1">IFERROR(VLOOKUP($L988,Calculation!$H$6:$S$1005,HLOOKUP(O$2,Calculation!$M$4:$S$5,2,FALSE)+5,FALSE),"")</f>
        <v/>
      </c>
      <c r="P988" s="4" t="str">
        <f ca="1">IFERROR(VLOOKUP($L988,Calculation!$H$6:$S$1005,HLOOKUP(P$2,Calculation!$M$4:$S$5,2,FALSE)+5,FALSE),"")</f>
        <v/>
      </c>
      <c r="Q988" s="4" t="str">
        <f ca="1">IFERROR(VLOOKUP($L988,Calculation!$H$6:$S$1005,HLOOKUP(Q$2,Calculation!$M$4:$S$5,2,FALSE)+5,FALSE),"")</f>
        <v/>
      </c>
      <c r="R988" s="27" t="str">
        <f ca="1">IFERROR(VLOOKUP($L988,Calculation!$H$6:$S$1005,HLOOKUP(R$2,Calculation!$M$4:$S$5,2,FALSE)+5,FALSE),"")</f>
        <v/>
      </c>
      <c r="S988" s="4" t="str">
        <f ca="1">IFERROR(VLOOKUP($L988,Calculation!$H$6:$S$1005,HLOOKUP(S$2,Calculation!$M$4:$S$5,2,FALSE)+5,FALSE),"")</f>
        <v/>
      </c>
      <c r="T988" s="29"/>
      <c r="U988" s="43" t="str">
        <f>IFERROR(VLOOKUP(T988,Calculation!$U$6:$V$11,2,FALSE),"")</f>
        <v/>
      </c>
    </row>
    <row r="989" spans="1:21" ht="14.25" customHeight="1" x14ac:dyDescent="0.3">
      <c r="A989" s="26" t="str">
        <f ca="1">IF(Calculation!T992&lt;=Calculation!$H$4,Calculation!T992,"")</f>
        <v/>
      </c>
      <c r="B989" s="4" t="str">
        <f ca="1">VLOOKUP(A989,Calculation!$E$6:$J$1004,4,FALSE)</f>
        <v/>
      </c>
      <c r="C989" s="4" t="str">
        <f ca="1">VLOOKUP(A989,Calculation!$E$6:$J$1004,5,FALSE)</f>
        <v/>
      </c>
      <c r="D989" s="4" t="str">
        <f ca="1">VLOOKUP(A989,Calculation!$E$6:$J$1004,6,FALSE)</f>
        <v/>
      </c>
      <c r="E989" s="42" t="str">
        <f t="shared" ca="1" si="6"/>
        <v/>
      </c>
      <c r="G989" s="29" t="str">
        <f ca="1">VLOOKUP(A989,Calculation!$F$6:$J$1004,3,FALSE)</f>
        <v/>
      </c>
      <c r="H989" s="4" t="str">
        <f ca="1">VLOOKUP(A989,Calculation!$F$6:$J$1004,4,FALSE)</f>
        <v/>
      </c>
      <c r="I989" s="4" t="str">
        <f ca="1">VLOOKUP(A989,Calculation!$F$6:$J$1004,5,FALSE)</f>
        <v/>
      </c>
      <c r="J989" s="43" t="str">
        <f t="shared" ca="1" si="7"/>
        <v/>
      </c>
      <c r="L989" s="29" t="str">
        <f ca="1">VLOOKUP(A989,Calculation!$G$6:$S$1004,2,FALSE)</f>
        <v/>
      </c>
      <c r="M989" s="4" t="str">
        <f ca="1">IFERROR(VLOOKUP($L989,Calculation!$H$6:$S$1005,HLOOKUP(M$2,Calculation!$M$4:$S$5,2,FALSE)+5,FALSE),"")</f>
        <v/>
      </c>
      <c r="N989" s="4" t="str">
        <f ca="1">IFERROR(VLOOKUP($L989,Calculation!$H$6:$S$1005,HLOOKUP(N$2,Calculation!$M$4:$S$5,2,FALSE)+5,FALSE),"")</f>
        <v/>
      </c>
      <c r="O989" s="4" t="str">
        <f ca="1">IFERROR(VLOOKUP($L989,Calculation!$H$6:$S$1005,HLOOKUP(O$2,Calculation!$M$4:$S$5,2,FALSE)+5,FALSE),"")</f>
        <v/>
      </c>
      <c r="P989" s="4" t="str">
        <f ca="1">IFERROR(VLOOKUP($L989,Calculation!$H$6:$S$1005,HLOOKUP(P$2,Calculation!$M$4:$S$5,2,FALSE)+5,FALSE),"")</f>
        <v/>
      </c>
      <c r="Q989" s="4" t="str">
        <f ca="1">IFERROR(VLOOKUP($L989,Calculation!$H$6:$S$1005,HLOOKUP(Q$2,Calculation!$M$4:$S$5,2,FALSE)+5,FALSE),"")</f>
        <v/>
      </c>
      <c r="R989" s="27" t="str">
        <f ca="1">IFERROR(VLOOKUP($L989,Calculation!$H$6:$S$1005,HLOOKUP(R$2,Calculation!$M$4:$S$5,2,FALSE)+5,FALSE),"")</f>
        <v/>
      </c>
      <c r="S989" s="4" t="str">
        <f ca="1">IFERROR(VLOOKUP($L989,Calculation!$H$6:$S$1005,HLOOKUP(S$2,Calculation!$M$4:$S$5,2,FALSE)+5,FALSE),"")</f>
        <v/>
      </c>
      <c r="T989" s="29"/>
      <c r="U989" s="43" t="str">
        <f>IFERROR(VLOOKUP(T989,Calculation!$U$6:$V$11,2,FALSE),"")</f>
        <v/>
      </c>
    </row>
    <row r="990" spans="1:21" ht="14.25" customHeight="1" x14ac:dyDescent="0.3">
      <c r="A990" s="26" t="str">
        <f ca="1">IF(Calculation!T993&lt;=Calculation!$H$4,Calculation!T993,"")</f>
        <v/>
      </c>
      <c r="B990" s="4" t="str">
        <f ca="1">VLOOKUP(A990,Calculation!$E$6:$J$1004,4,FALSE)</f>
        <v/>
      </c>
      <c r="C990" s="4" t="str">
        <f ca="1">VLOOKUP(A990,Calculation!$E$6:$J$1004,5,FALSE)</f>
        <v/>
      </c>
      <c r="D990" s="4" t="str">
        <f ca="1">VLOOKUP(A990,Calculation!$E$6:$J$1004,6,FALSE)</f>
        <v/>
      </c>
      <c r="E990" s="42" t="str">
        <f t="shared" ca="1" si="6"/>
        <v/>
      </c>
      <c r="G990" s="29" t="str">
        <f ca="1">VLOOKUP(A990,Calculation!$F$6:$J$1004,3,FALSE)</f>
        <v/>
      </c>
      <c r="H990" s="4" t="str">
        <f ca="1">VLOOKUP(A990,Calculation!$F$6:$J$1004,4,FALSE)</f>
        <v/>
      </c>
      <c r="I990" s="4" t="str">
        <f ca="1">VLOOKUP(A990,Calculation!$F$6:$J$1004,5,FALSE)</f>
        <v/>
      </c>
      <c r="J990" s="43" t="str">
        <f t="shared" ca="1" si="7"/>
        <v/>
      </c>
      <c r="L990" s="29" t="str">
        <f ca="1">VLOOKUP(A990,Calculation!$G$6:$S$1004,2,FALSE)</f>
        <v/>
      </c>
      <c r="M990" s="4" t="str">
        <f ca="1">IFERROR(VLOOKUP($L990,Calculation!$H$6:$S$1005,HLOOKUP(M$2,Calculation!$M$4:$S$5,2,FALSE)+5,FALSE),"")</f>
        <v/>
      </c>
      <c r="N990" s="4" t="str">
        <f ca="1">IFERROR(VLOOKUP($L990,Calculation!$H$6:$S$1005,HLOOKUP(N$2,Calculation!$M$4:$S$5,2,FALSE)+5,FALSE),"")</f>
        <v/>
      </c>
      <c r="O990" s="4" t="str">
        <f ca="1">IFERROR(VLOOKUP($L990,Calculation!$H$6:$S$1005,HLOOKUP(O$2,Calculation!$M$4:$S$5,2,FALSE)+5,FALSE),"")</f>
        <v/>
      </c>
      <c r="P990" s="4" t="str">
        <f ca="1">IFERROR(VLOOKUP($L990,Calculation!$H$6:$S$1005,HLOOKUP(P$2,Calculation!$M$4:$S$5,2,FALSE)+5,FALSE),"")</f>
        <v/>
      </c>
      <c r="Q990" s="4" t="str">
        <f ca="1">IFERROR(VLOOKUP($L990,Calculation!$H$6:$S$1005,HLOOKUP(Q$2,Calculation!$M$4:$S$5,2,FALSE)+5,FALSE),"")</f>
        <v/>
      </c>
      <c r="R990" s="27" t="str">
        <f ca="1">IFERROR(VLOOKUP($L990,Calculation!$H$6:$S$1005,HLOOKUP(R$2,Calculation!$M$4:$S$5,2,FALSE)+5,FALSE),"")</f>
        <v/>
      </c>
      <c r="S990" s="4" t="str">
        <f ca="1">IFERROR(VLOOKUP($L990,Calculation!$H$6:$S$1005,HLOOKUP(S$2,Calculation!$M$4:$S$5,2,FALSE)+5,FALSE),"")</f>
        <v/>
      </c>
      <c r="T990" s="29"/>
      <c r="U990" s="43" t="str">
        <f>IFERROR(VLOOKUP(T990,Calculation!$U$6:$V$11,2,FALSE),"")</f>
        <v/>
      </c>
    </row>
    <row r="991" spans="1:21" ht="14.25" customHeight="1" x14ac:dyDescent="0.3">
      <c r="A991" s="26" t="str">
        <f ca="1">IF(Calculation!T994&lt;=Calculation!$H$4,Calculation!T994,"")</f>
        <v/>
      </c>
      <c r="B991" s="4" t="str">
        <f ca="1">VLOOKUP(A991,Calculation!$E$6:$J$1004,4,FALSE)</f>
        <v/>
      </c>
      <c r="C991" s="4" t="str">
        <f ca="1">VLOOKUP(A991,Calculation!$E$6:$J$1004,5,FALSE)</f>
        <v/>
      </c>
      <c r="D991" s="4" t="str">
        <f ca="1">VLOOKUP(A991,Calculation!$E$6:$J$1004,6,FALSE)</f>
        <v/>
      </c>
      <c r="E991" s="42" t="str">
        <f t="shared" ca="1" si="6"/>
        <v/>
      </c>
      <c r="G991" s="29" t="str">
        <f ca="1">VLOOKUP(A991,Calculation!$F$6:$J$1004,3,FALSE)</f>
        <v/>
      </c>
      <c r="H991" s="4" t="str">
        <f ca="1">VLOOKUP(A991,Calculation!$F$6:$J$1004,4,FALSE)</f>
        <v/>
      </c>
      <c r="I991" s="4" t="str">
        <f ca="1">VLOOKUP(A991,Calculation!$F$6:$J$1004,5,FALSE)</f>
        <v/>
      </c>
      <c r="J991" s="43" t="str">
        <f t="shared" ca="1" si="7"/>
        <v/>
      </c>
      <c r="L991" s="29" t="str">
        <f ca="1">VLOOKUP(A991,Calculation!$G$6:$S$1004,2,FALSE)</f>
        <v/>
      </c>
      <c r="M991" s="4" t="str">
        <f ca="1">IFERROR(VLOOKUP($L991,Calculation!$H$6:$S$1005,HLOOKUP(M$2,Calculation!$M$4:$S$5,2,FALSE)+5,FALSE),"")</f>
        <v/>
      </c>
      <c r="N991" s="4" t="str">
        <f ca="1">IFERROR(VLOOKUP($L991,Calculation!$H$6:$S$1005,HLOOKUP(N$2,Calculation!$M$4:$S$5,2,FALSE)+5,FALSE),"")</f>
        <v/>
      </c>
      <c r="O991" s="4" t="str">
        <f ca="1">IFERROR(VLOOKUP($L991,Calculation!$H$6:$S$1005,HLOOKUP(O$2,Calculation!$M$4:$S$5,2,FALSE)+5,FALSE),"")</f>
        <v/>
      </c>
      <c r="P991" s="4" t="str">
        <f ca="1">IFERROR(VLOOKUP($L991,Calculation!$H$6:$S$1005,HLOOKUP(P$2,Calculation!$M$4:$S$5,2,FALSE)+5,FALSE),"")</f>
        <v/>
      </c>
      <c r="Q991" s="4" t="str">
        <f ca="1">IFERROR(VLOOKUP($L991,Calculation!$H$6:$S$1005,HLOOKUP(Q$2,Calculation!$M$4:$S$5,2,FALSE)+5,FALSE),"")</f>
        <v/>
      </c>
      <c r="R991" s="27" t="str">
        <f ca="1">IFERROR(VLOOKUP($L991,Calculation!$H$6:$S$1005,HLOOKUP(R$2,Calculation!$M$4:$S$5,2,FALSE)+5,FALSE),"")</f>
        <v/>
      </c>
      <c r="S991" s="4" t="str">
        <f ca="1">IFERROR(VLOOKUP($L991,Calculation!$H$6:$S$1005,HLOOKUP(S$2,Calculation!$M$4:$S$5,2,FALSE)+5,FALSE),"")</f>
        <v/>
      </c>
      <c r="T991" s="29"/>
      <c r="U991" s="43" t="str">
        <f>IFERROR(VLOOKUP(T991,Calculation!$U$6:$V$11,2,FALSE),"")</f>
        <v/>
      </c>
    </row>
    <row r="992" spans="1:21" ht="14.25" customHeight="1" x14ac:dyDescent="0.3">
      <c r="A992" s="26" t="str">
        <f ca="1">IF(Calculation!T995&lt;=Calculation!$H$4,Calculation!T995,"")</f>
        <v/>
      </c>
      <c r="B992" s="4" t="str">
        <f ca="1">VLOOKUP(A992,Calculation!$E$6:$J$1004,4,FALSE)</f>
        <v/>
      </c>
      <c r="C992" s="4" t="str">
        <f ca="1">VLOOKUP(A992,Calculation!$E$6:$J$1004,5,FALSE)</f>
        <v/>
      </c>
      <c r="D992" s="4" t="str">
        <f ca="1">VLOOKUP(A992,Calculation!$E$6:$J$1004,6,FALSE)</f>
        <v/>
      </c>
      <c r="E992" s="42" t="str">
        <f t="shared" ca="1" si="6"/>
        <v/>
      </c>
      <c r="G992" s="29" t="str">
        <f ca="1">VLOOKUP(A992,Calculation!$F$6:$J$1004,3,FALSE)</f>
        <v/>
      </c>
      <c r="H992" s="4" t="str">
        <f ca="1">VLOOKUP(A992,Calculation!$F$6:$J$1004,4,FALSE)</f>
        <v/>
      </c>
      <c r="I992" s="4" t="str">
        <f ca="1">VLOOKUP(A992,Calculation!$F$6:$J$1004,5,FALSE)</f>
        <v/>
      </c>
      <c r="J992" s="43" t="str">
        <f t="shared" ca="1" si="7"/>
        <v/>
      </c>
      <c r="L992" s="29" t="str">
        <f ca="1">VLOOKUP(A992,Calculation!$G$6:$S$1004,2,FALSE)</f>
        <v/>
      </c>
      <c r="M992" s="4" t="str">
        <f ca="1">IFERROR(VLOOKUP($L992,Calculation!$H$6:$S$1005,HLOOKUP(M$2,Calculation!$M$4:$S$5,2,FALSE)+5,FALSE),"")</f>
        <v/>
      </c>
      <c r="N992" s="4" t="str">
        <f ca="1">IFERROR(VLOOKUP($L992,Calculation!$H$6:$S$1005,HLOOKUP(N$2,Calculation!$M$4:$S$5,2,FALSE)+5,FALSE),"")</f>
        <v/>
      </c>
      <c r="O992" s="4" t="str">
        <f ca="1">IFERROR(VLOOKUP($L992,Calculation!$H$6:$S$1005,HLOOKUP(O$2,Calculation!$M$4:$S$5,2,FALSE)+5,FALSE),"")</f>
        <v/>
      </c>
      <c r="P992" s="4" t="str">
        <f ca="1">IFERROR(VLOOKUP($L992,Calculation!$H$6:$S$1005,HLOOKUP(P$2,Calculation!$M$4:$S$5,2,FALSE)+5,FALSE),"")</f>
        <v/>
      </c>
      <c r="Q992" s="4" t="str">
        <f ca="1">IFERROR(VLOOKUP($L992,Calculation!$H$6:$S$1005,HLOOKUP(Q$2,Calculation!$M$4:$S$5,2,FALSE)+5,FALSE),"")</f>
        <v/>
      </c>
      <c r="R992" s="27" t="str">
        <f ca="1">IFERROR(VLOOKUP($L992,Calculation!$H$6:$S$1005,HLOOKUP(R$2,Calculation!$M$4:$S$5,2,FALSE)+5,FALSE),"")</f>
        <v/>
      </c>
      <c r="S992" s="4" t="str">
        <f ca="1">IFERROR(VLOOKUP($L992,Calculation!$H$6:$S$1005,HLOOKUP(S$2,Calculation!$M$4:$S$5,2,FALSE)+5,FALSE),"")</f>
        <v/>
      </c>
      <c r="T992" s="29"/>
      <c r="U992" s="43" t="str">
        <f>IFERROR(VLOOKUP(T992,Calculation!$U$6:$V$11,2,FALSE),"")</f>
        <v/>
      </c>
    </row>
    <row r="993" spans="1:21" ht="14.25" customHeight="1" x14ac:dyDescent="0.3">
      <c r="A993" s="26" t="str">
        <f ca="1">IF(Calculation!T996&lt;=Calculation!$H$4,Calculation!T996,"")</f>
        <v/>
      </c>
      <c r="B993" s="4" t="str">
        <f ca="1">VLOOKUP(A993,Calculation!$E$6:$J$1004,4,FALSE)</f>
        <v/>
      </c>
      <c r="C993" s="4" t="str">
        <f ca="1">VLOOKUP(A993,Calculation!$E$6:$J$1004,5,FALSE)</f>
        <v/>
      </c>
      <c r="D993" s="4" t="str">
        <f ca="1">VLOOKUP(A993,Calculation!$E$6:$J$1004,6,FALSE)</f>
        <v/>
      </c>
      <c r="E993" s="42" t="str">
        <f t="shared" ca="1" si="6"/>
        <v/>
      </c>
      <c r="G993" s="29" t="str">
        <f ca="1">VLOOKUP(A993,Calculation!$F$6:$J$1004,3,FALSE)</f>
        <v/>
      </c>
      <c r="H993" s="4" t="str">
        <f ca="1">VLOOKUP(A993,Calculation!$F$6:$J$1004,4,FALSE)</f>
        <v/>
      </c>
      <c r="I993" s="4" t="str">
        <f ca="1">VLOOKUP(A993,Calculation!$F$6:$J$1004,5,FALSE)</f>
        <v/>
      </c>
      <c r="J993" s="43" t="str">
        <f t="shared" ca="1" si="7"/>
        <v/>
      </c>
      <c r="L993" s="29" t="str">
        <f ca="1">VLOOKUP(A993,Calculation!$G$6:$S$1004,2,FALSE)</f>
        <v/>
      </c>
      <c r="M993" s="4" t="str">
        <f ca="1">IFERROR(VLOOKUP($L993,Calculation!$H$6:$S$1005,HLOOKUP(M$2,Calculation!$M$4:$S$5,2,FALSE)+5,FALSE),"")</f>
        <v/>
      </c>
      <c r="N993" s="4" t="str">
        <f ca="1">IFERROR(VLOOKUP($L993,Calculation!$H$6:$S$1005,HLOOKUP(N$2,Calculation!$M$4:$S$5,2,FALSE)+5,FALSE),"")</f>
        <v/>
      </c>
      <c r="O993" s="4" t="str">
        <f ca="1">IFERROR(VLOOKUP($L993,Calculation!$H$6:$S$1005,HLOOKUP(O$2,Calculation!$M$4:$S$5,2,FALSE)+5,FALSE),"")</f>
        <v/>
      </c>
      <c r="P993" s="4" t="str">
        <f ca="1">IFERROR(VLOOKUP($L993,Calculation!$H$6:$S$1005,HLOOKUP(P$2,Calculation!$M$4:$S$5,2,FALSE)+5,FALSE),"")</f>
        <v/>
      </c>
      <c r="Q993" s="4" t="str">
        <f ca="1">IFERROR(VLOOKUP($L993,Calculation!$H$6:$S$1005,HLOOKUP(Q$2,Calculation!$M$4:$S$5,2,FALSE)+5,FALSE),"")</f>
        <v/>
      </c>
      <c r="R993" s="27" t="str">
        <f ca="1">IFERROR(VLOOKUP($L993,Calculation!$H$6:$S$1005,HLOOKUP(R$2,Calculation!$M$4:$S$5,2,FALSE)+5,FALSE),"")</f>
        <v/>
      </c>
      <c r="S993" s="4" t="str">
        <f ca="1">IFERROR(VLOOKUP($L993,Calculation!$H$6:$S$1005,HLOOKUP(S$2,Calculation!$M$4:$S$5,2,FALSE)+5,FALSE),"")</f>
        <v/>
      </c>
      <c r="T993" s="29"/>
      <c r="U993" s="43" t="str">
        <f>IFERROR(VLOOKUP(T993,Calculation!$U$6:$V$11,2,FALSE),"")</f>
        <v/>
      </c>
    </row>
    <row r="994" spans="1:21" ht="14.25" customHeight="1" x14ac:dyDescent="0.3">
      <c r="A994" s="26" t="str">
        <f ca="1">IF(Calculation!T997&lt;=Calculation!$H$4,Calculation!T997,"")</f>
        <v/>
      </c>
      <c r="B994" s="4" t="str">
        <f ca="1">VLOOKUP(A994,Calculation!$E$6:$J$1004,4,FALSE)</f>
        <v/>
      </c>
      <c r="C994" s="4" t="str">
        <f ca="1">VLOOKUP(A994,Calculation!$E$6:$J$1004,5,FALSE)</f>
        <v/>
      </c>
      <c r="D994" s="4" t="str">
        <f ca="1">VLOOKUP(A994,Calculation!$E$6:$J$1004,6,FALSE)</f>
        <v/>
      </c>
      <c r="E994" s="42" t="str">
        <f t="shared" ca="1" si="6"/>
        <v/>
      </c>
      <c r="G994" s="29" t="str">
        <f ca="1">VLOOKUP(A994,Calculation!$F$6:$J$1004,3,FALSE)</f>
        <v/>
      </c>
      <c r="H994" s="4" t="str">
        <f ca="1">VLOOKUP(A994,Calculation!$F$6:$J$1004,4,FALSE)</f>
        <v/>
      </c>
      <c r="I994" s="4" t="str">
        <f ca="1">VLOOKUP(A994,Calculation!$F$6:$J$1004,5,FALSE)</f>
        <v/>
      </c>
      <c r="J994" s="43" t="str">
        <f t="shared" ca="1" si="7"/>
        <v/>
      </c>
      <c r="L994" s="29" t="str">
        <f ca="1">VLOOKUP(A994,Calculation!$G$6:$S$1004,2,FALSE)</f>
        <v/>
      </c>
      <c r="M994" s="4" t="str">
        <f ca="1">IFERROR(VLOOKUP($L994,Calculation!$H$6:$S$1005,HLOOKUP(M$2,Calculation!$M$4:$S$5,2,FALSE)+5,FALSE),"")</f>
        <v/>
      </c>
      <c r="N994" s="4" t="str">
        <f ca="1">IFERROR(VLOOKUP($L994,Calculation!$H$6:$S$1005,HLOOKUP(N$2,Calculation!$M$4:$S$5,2,FALSE)+5,FALSE),"")</f>
        <v/>
      </c>
      <c r="O994" s="4" t="str">
        <f ca="1">IFERROR(VLOOKUP($L994,Calculation!$H$6:$S$1005,HLOOKUP(O$2,Calculation!$M$4:$S$5,2,FALSE)+5,FALSE),"")</f>
        <v/>
      </c>
      <c r="P994" s="4" t="str">
        <f ca="1">IFERROR(VLOOKUP($L994,Calculation!$H$6:$S$1005,HLOOKUP(P$2,Calculation!$M$4:$S$5,2,FALSE)+5,FALSE),"")</f>
        <v/>
      </c>
      <c r="Q994" s="4" t="str">
        <f ca="1">IFERROR(VLOOKUP($L994,Calculation!$H$6:$S$1005,HLOOKUP(Q$2,Calculation!$M$4:$S$5,2,FALSE)+5,FALSE),"")</f>
        <v/>
      </c>
      <c r="R994" s="27" t="str">
        <f ca="1">IFERROR(VLOOKUP($L994,Calculation!$H$6:$S$1005,HLOOKUP(R$2,Calculation!$M$4:$S$5,2,FALSE)+5,FALSE),"")</f>
        <v/>
      </c>
      <c r="S994" s="4" t="str">
        <f ca="1">IFERROR(VLOOKUP($L994,Calculation!$H$6:$S$1005,HLOOKUP(S$2,Calculation!$M$4:$S$5,2,FALSE)+5,FALSE),"")</f>
        <v/>
      </c>
      <c r="T994" s="29"/>
      <c r="U994" s="43" t="str">
        <f>IFERROR(VLOOKUP(T994,Calculation!$U$6:$V$11,2,FALSE),"")</f>
        <v/>
      </c>
    </row>
    <row r="995" spans="1:21" ht="14.25" customHeight="1" x14ac:dyDescent="0.3">
      <c r="A995" s="26" t="str">
        <f ca="1">IF(Calculation!T998&lt;=Calculation!$H$4,Calculation!T998,"")</f>
        <v/>
      </c>
      <c r="B995" s="4" t="str">
        <f ca="1">VLOOKUP(A995,Calculation!$E$6:$J$1004,4,FALSE)</f>
        <v/>
      </c>
      <c r="C995" s="4" t="str">
        <f ca="1">VLOOKUP(A995,Calculation!$E$6:$J$1004,5,FALSE)</f>
        <v/>
      </c>
      <c r="D995" s="4" t="str">
        <f ca="1">VLOOKUP(A995,Calculation!$E$6:$J$1004,6,FALSE)</f>
        <v/>
      </c>
      <c r="E995" s="42" t="str">
        <f t="shared" ca="1" si="6"/>
        <v/>
      </c>
      <c r="G995" s="29" t="str">
        <f ca="1">VLOOKUP(A995,Calculation!$F$6:$J$1004,3,FALSE)</f>
        <v/>
      </c>
      <c r="H995" s="4" t="str">
        <f ca="1">VLOOKUP(A995,Calculation!$F$6:$J$1004,4,FALSE)</f>
        <v/>
      </c>
      <c r="I995" s="4" t="str">
        <f ca="1">VLOOKUP(A995,Calculation!$F$6:$J$1004,5,FALSE)</f>
        <v/>
      </c>
      <c r="J995" s="43" t="str">
        <f t="shared" ca="1" si="7"/>
        <v/>
      </c>
      <c r="L995" s="29" t="str">
        <f ca="1">VLOOKUP(A995,Calculation!$G$6:$S$1004,2,FALSE)</f>
        <v/>
      </c>
      <c r="M995" s="4" t="str">
        <f ca="1">IFERROR(VLOOKUP($L995,Calculation!$H$6:$S$1005,HLOOKUP(M$2,Calculation!$M$4:$S$5,2,FALSE)+5,FALSE),"")</f>
        <v/>
      </c>
      <c r="N995" s="4" t="str">
        <f ca="1">IFERROR(VLOOKUP($L995,Calculation!$H$6:$S$1005,HLOOKUP(N$2,Calculation!$M$4:$S$5,2,FALSE)+5,FALSE),"")</f>
        <v/>
      </c>
      <c r="O995" s="4" t="str">
        <f ca="1">IFERROR(VLOOKUP($L995,Calculation!$H$6:$S$1005,HLOOKUP(O$2,Calculation!$M$4:$S$5,2,FALSE)+5,FALSE),"")</f>
        <v/>
      </c>
      <c r="P995" s="4" t="str">
        <f ca="1">IFERROR(VLOOKUP($L995,Calculation!$H$6:$S$1005,HLOOKUP(P$2,Calculation!$M$4:$S$5,2,FALSE)+5,FALSE),"")</f>
        <v/>
      </c>
      <c r="Q995" s="4" t="str">
        <f ca="1">IFERROR(VLOOKUP($L995,Calculation!$H$6:$S$1005,HLOOKUP(Q$2,Calculation!$M$4:$S$5,2,FALSE)+5,FALSE),"")</f>
        <v/>
      </c>
      <c r="R995" s="27" t="str">
        <f ca="1">IFERROR(VLOOKUP($L995,Calculation!$H$6:$S$1005,HLOOKUP(R$2,Calculation!$M$4:$S$5,2,FALSE)+5,FALSE),"")</f>
        <v/>
      </c>
      <c r="S995" s="4" t="str">
        <f ca="1">IFERROR(VLOOKUP($L995,Calculation!$H$6:$S$1005,HLOOKUP(S$2,Calculation!$M$4:$S$5,2,FALSE)+5,FALSE),"")</f>
        <v/>
      </c>
      <c r="T995" s="29"/>
      <c r="U995" s="43" t="str">
        <f>IFERROR(VLOOKUP(T995,Calculation!$U$6:$V$11,2,FALSE),"")</f>
        <v/>
      </c>
    </row>
    <row r="996" spans="1:21" ht="14.25" customHeight="1" x14ac:dyDescent="0.3">
      <c r="A996" s="26" t="str">
        <f ca="1">IF(Calculation!T999&lt;=Calculation!$H$4,Calculation!T999,"")</f>
        <v/>
      </c>
      <c r="B996" s="4" t="str">
        <f ca="1">VLOOKUP(A996,Calculation!$E$6:$J$1004,4,FALSE)</f>
        <v/>
      </c>
      <c r="C996" s="4" t="str">
        <f ca="1">VLOOKUP(A996,Calculation!$E$6:$J$1004,5,FALSE)</f>
        <v/>
      </c>
      <c r="D996" s="4" t="str">
        <f ca="1">VLOOKUP(A996,Calculation!$E$6:$J$1004,6,FALSE)</f>
        <v/>
      </c>
      <c r="E996" s="42" t="str">
        <f t="shared" ca="1" si="6"/>
        <v/>
      </c>
      <c r="G996" s="29" t="str">
        <f ca="1">VLOOKUP(A996,Calculation!$F$6:$J$1004,3,FALSE)</f>
        <v/>
      </c>
      <c r="H996" s="4" t="str">
        <f ca="1">VLOOKUP(A996,Calculation!$F$6:$J$1004,4,FALSE)</f>
        <v/>
      </c>
      <c r="I996" s="4" t="str">
        <f ca="1">VLOOKUP(A996,Calculation!$F$6:$J$1004,5,FALSE)</f>
        <v/>
      </c>
      <c r="J996" s="43" t="str">
        <f t="shared" ca="1" si="7"/>
        <v/>
      </c>
      <c r="L996" s="29" t="str">
        <f ca="1">VLOOKUP(A996,Calculation!$G$6:$S$1004,2,FALSE)</f>
        <v/>
      </c>
      <c r="M996" s="4" t="str">
        <f ca="1">IFERROR(VLOOKUP($L996,Calculation!$H$6:$S$1005,HLOOKUP(M$2,Calculation!$M$4:$S$5,2,FALSE)+5,FALSE),"")</f>
        <v/>
      </c>
      <c r="N996" s="4" t="str">
        <f ca="1">IFERROR(VLOOKUP($L996,Calculation!$H$6:$S$1005,HLOOKUP(N$2,Calculation!$M$4:$S$5,2,FALSE)+5,FALSE),"")</f>
        <v/>
      </c>
      <c r="O996" s="4" t="str">
        <f ca="1">IFERROR(VLOOKUP($L996,Calculation!$H$6:$S$1005,HLOOKUP(O$2,Calculation!$M$4:$S$5,2,FALSE)+5,FALSE),"")</f>
        <v/>
      </c>
      <c r="P996" s="4" t="str">
        <f ca="1">IFERROR(VLOOKUP($L996,Calculation!$H$6:$S$1005,HLOOKUP(P$2,Calculation!$M$4:$S$5,2,FALSE)+5,FALSE),"")</f>
        <v/>
      </c>
      <c r="Q996" s="4" t="str">
        <f ca="1">IFERROR(VLOOKUP($L996,Calculation!$H$6:$S$1005,HLOOKUP(Q$2,Calculation!$M$4:$S$5,2,FALSE)+5,FALSE),"")</f>
        <v/>
      </c>
      <c r="R996" s="27" t="str">
        <f ca="1">IFERROR(VLOOKUP($L996,Calculation!$H$6:$S$1005,HLOOKUP(R$2,Calculation!$M$4:$S$5,2,FALSE)+5,FALSE),"")</f>
        <v/>
      </c>
      <c r="S996" s="4" t="str">
        <f ca="1">IFERROR(VLOOKUP($L996,Calculation!$H$6:$S$1005,HLOOKUP(S$2,Calculation!$M$4:$S$5,2,FALSE)+5,FALSE),"")</f>
        <v/>
      </c>
      <c r="T996" s="29"/>
      <c r="U996" s="43" t="str">
        <f>IFERROR(VLOOKUP(T996,Calculation!$U$6:$V$11,2,FALSE),"")</f>
        <v/>
      </c>
    </row>
    <row r="997" spans="1:21" ht="14.25" customHeight="1" x14ac:dyDescent="0.3">
      <c r="A997" s="26" t="str">
        <f ca="1">IF(Calculation!T1000&lt;=Calculation!$H$4,Calculation!T1000,"")</f>
        <v/>
      </c>
      <c r="B997" s="4" t="str">
        <f ca="1">VLOOKUP(A997,Calculation!$E$6:$J$1004,4,FALSE)</f>
        <v/>
      </c>
      <c r="C997" s="4" t="str">
        <f ca="1">VLOOKUP(A997,Calculation!$E$6:$J$1004,5,FALSE)</f>
        <v/>
      </c>
      <c r="D997" s="4" t="str">
        <f ca="1">VLOOKUP(A997,Calculation!$E$6:$J$1004,6,FALSE)</f>
        <v/>
      </c>
      <c r="E997" s="42" t="str">
        <f t="shared" ca="1" si="6"/>
        <v/>
      </c>
      <c r="G997" s="29" t="str">
        <f ca="1">VLOOKUP(A997,Calculation!$F$6:$J$1004,3,FALSE)</f>
        <v/>
      </c>
      <c r="H997" s="4" t="str">
        <f ca="1">VLOOKUP(A997,Calculation!$F$6:$J$1004,4,FALSE)</f>
        <v/>
      </c>
      <c r="I997" s="4" t="str">
        <f ca="1">VLOOKUP(A997,Calculation!$F$6:$J$1004,5,FALSE)</f>
        <v/>
      </c>
      <c r="J997" s="43" t="str">
        <f t="shared" ca="1" si="7"/>
        <v/>
      </c>
      <c r="L997" s="29" t="str">
        <f ca="1">VLOOKUP(A997,Calculation!$G$6:$S$1004,2,FALSE)</f>
        <v/>
      </c>
      <c r="M997" s="4" t="str">
        <f ca="1">IFERROR(VLOOKUP($L997,Calculation!$H$6:$S$1005,HLOOKUP(M$2,Calculation!$M$4:$S$5,2,FALSE)+5,FALSE),"")</f>
        <v/>
      </c>
      <c r="N997" s="4" t="str">
        <f ca="1">IFERROR(VLOOKUP($L997,Calculation!$H$6:$S$1005,HLOOKUP(N$2,Calculation!$M$4:$S$5,2,FALSE)+5,FALSE),"")</f>
        <v/>
      </c>
      <c r="O997" s="4" t="str">
        <f ca="1">IFERROR(VLOOKUP($L997,Calculation!$H$6:$S$1005,HLOOKUP(O$2,Calculation!$M$4:$S$5,2,FALSE)+5,FALSE),"")</f>
        <v/>
      </c>
      <c r="P997" s="4" t="str">
        <f ca="1">IFERROR(VLOOKUP($L997,Calculation!$H$6:$S$1005,HLOOKUP(P$2,Calculation!$M$4:$S$5,2,FALSE)+5,FALSE),"")</f>
        <v/>
      </c>
      <c r="Q997" s="4" t="str">
        <f ca="1">IFERROR(VLOOKUP($L997,Calculation!$H$6:$S$1005,HLOOKUP(Q$2,Calculation!$M$4:$S$5,2,FALSE)+5,FALSE),"")</f>
        <v/>
      </c>
      <c r="R997" s="27" t="str">
        <f ca="1">IFERROR(VLOOKUP($L997,Calculation!$H$6:$S$1005,HLOOKUP(R$2,Calculation!$M$4:$S$5,2,FALSE)+5,FALSE),"")</f>
        <v/>
      </c>
      <c r="S997" s="4" t="str">
        <f ca="1">IFERROR(VLOOKUP($L997,Calculation!$H$6:$S$1005,HLOOKUP(S$2,Calculation!$M$4:$S$5,2,FALSE)+5,FALSE),"")</f>
        <v/>
      </c>
      <c r="T997" s="29"/>
      <c r="U997" s="43" t="str">
        <f>IFERROR(VLOOKUP(T997,Calculation!$U$6:$V$11,2,FALSE),"")</f>
        <v/>
      </c>
    </row>
    <row r="998" spans="1:21" ht="14.25" customHeight="1" x14ac:dyDescent="0.3">
      <c r="A998" s="26" t="str">
        <f ca="1">IF(Calculation!T1001&lt;=Calculation!$H$4,Calculation!T1001,"")</f>
        <v/>
      </c>
      <c r="B998" s="4" t="str">
        <f ca="1">VLOOKUP(A998,Calculation!$E$6:$J$1004,4,FALSE)</f>
        <v/>
      </c>
      <c r="C998" s="4" t="str">
        <f ca="1">VLOOKUP(A998,Calculation!$E$6:$J$1004,5,FALSE)</f>
        <v/>
      </c>
      <c r="D998" s="4" t="str">
        <f ca="1">VLOOKUP(A998,Calculation!$E$6:$J$1004,6,FALSE)</f>
        <v/>
      </c>
      <c r="E998" s="42" t="str">
        <f t="shared" ca="1" si="6"/>
        <v/>
      </c>
      <c r="G998" s="29" t="str">
        <f ca="1">VLOOKUP(A998,Calculation!$F$6:$J$1004,3,FALSE)</f>
        <v/>
      </c>
      <c r="H998" s="4" t="str">
        <f ca="1">VLOOKUP(A998,Calculation!$F$6:$J$1004,4,FALSE)</f>
        <v/>
      </c>
      <c r="I998" s="4" t="str">
        <f ca="1">VLOOKUP(A998,Calculation!$F$6:$J$1004,5,FALSE)</f>
        <v/>
      </c>
      <c r="J998" s="43" t="str">
        <f t="shared" ca="1" si="7"/>
        <v/>
      </c>
      <c r="L998" s="29" t="str">
        <f ca="1">VLOOKUP(A998,Calculation!$G$6:$S$1004,2,FALSE)</f>
        <v/>
      </c>
      <c r="M998" s="4" t="str">
        <f ca="1">IFERROR(VLOOKUP($L998,Calculation!$H$6:$S$1005,HLOOKUP(M$2,Calculation!$M$4:$S$5,2,FALSE)+5,FALSE),"")</f>
        <v/>
      </c>
      <c r="N998" s="4" t="str">
        <f ca="1">IFERROR(VLOOKUP($L998,Calculation!$H$6:$S$1005,HLOOKUP(N$2,Calculation!$M$4:$S$5,2,FALSE)+5,FALSE),"")</f>
        <v/>
      </c>
      <c r="O998" s="4" t="str">
        <f ca="1">IFERROR(VLOOKUP($L998,Calculation!$H$6:$S$1005,HLOOKUP(O$2,Calculation!$M$4:$S$5,2,FALSE)+5,FALSE),"")</f>
        <v/>
      </c>
      <c r="P998" s="4" t="str">
        <f ca="1">IFERROR(VLOOKUP($L998,Calculation!$H$6:$S$1005,HLOOKUP(P$2,Calculation!$M$4:$S$5,2,FALSE)+5,FALSE),"")</f>
        <v/>
      </c>
      <c r="Q998" s="4" t="str">
        <f ca="1">IFERROR(VLOOKUP($L998,Calculation!$H$6:$S$1005,HLOOKUP(Q$2,Calculation!$M$4:$S$5,2,FALSE)+5,FALSE),"")</f>
        <v/>
      </c>
      <c r="R998" s="27" t="str">
        <f ca="1">IFERROR(VLOOKUP($L998,Calculation!$H$6:$S$1005,HLOOKUP(R$2,Calculation!$M$4:$S$5,2,FALSE)+5,FALSE),"")</f>
        <v/>
      </c>
      <c r="S998" s="4" t="str">
        <f ca="1">IFERROR(VLOOKUP($L998,Calculation!$H$6:$S$1005,HLOOKUP(S$2,Calculation!$M$4:$S$5,2,FALSE)+5,FALSE),"")</f>
        <v/>
      </c>
      <c r="T998" s="29"/>
      <c r="U998" s="43" t="str">
        <f>IFERROR(VLOOKUP(T998,Calculation!$U$6:$V$11,2,FALSE),"")</f>
        <v/>
      </c>
    </row>
    <row r="999" spans="1:21" ht="14.25" customHeight="1" x14ac:dyDescent="0.3">
      <c r="A999" s="26" t="str">
        <f ca="1">IF(Calculation!T1002&lt;=Calculation!$H$4,Calculation!T1002,"")</f>
        <v/>
      </c>
      <c r="B999" s="4" t="str">
        <f ca="1">VLOOKUP(A999,Calculation!$E$6:$J$1004,4,FALSE)</f>
        <v/>
      </c>
      <c r="C999" s="4" t="str">
        <f ca="1">VLOOKUP(A999,Calculation!$E$6:$J$1004,5,FALSE)</f>
        <v/>
      </c>
      <c r="D999" s="4" t="str">
        <f ca="1">VLOOKUP(A999,Calculation!$E$6:$J$1004,6,FALSE)</f>
        <v/>
      </c>
      <c r="E999" s="42" t="str">
        <f t="shared" ca="1" si="6"/>
        <v/>
      </c>
      <c r="G999" s="29" t="str">
        <f ca="1">VLOOKUP(A999,Calculation!$F$6:$J$1004,3,FALSE)</f>
        <v/>
      </c>
      <c r="H999" s="4" t="str">
        <f ca="1">VLOOKUP(A999,Calculation!$F$6:$J$1004,4,FALSE)</f>
        <v/>
      </c>
      <c r="I999" s="4" t="str">
        <f ca="1">VLOOKUP(A999,Calculation!$F$6:$J$1004,5,FALSE)</f>
        <v/>
      </c>
      <c r="J999" s="43" t="str">
        <f t="shared" ca="1" si="7"/>
        <v/>
      </c>
      <c r="L999" s="29" t="str">
        <f ca="1">VLOOKUP(A999,Calculation!$G$6:$S$1004,2,FALSE)</f>
        <v/>
      </c>
      <c r="M999" s="4" t="str">
        <f ca="1">IFERROR(VLOOKUP($L999,Calculation!$H$6:$S$1005,HLOOKUP(M$2,Calculation!$M$4:$S$5,2,FALSE)+5,FALSE),"")</f>
        <v/>
      </c>
      <c r="N999" s="4" t="str">
        <f ca="1">IFERROR(VLOOKUP($L999,Calculation!$H$6:$S$1005,HLOOKUP(N$2,Calculation!$M$4:$S$5,2,FALSE)+5,FALSE),"")</f>
        <v/>
      </c>
      <c r="O999" s="4" t="str">
        <f ca="1">IFERROR(VLOOKUP($L999,Calculation!$H$6:$S$1005,HLOOKUP(O$2,Calculation!$M$4:$S$5,2,FALSE)+5,FALSE),"")</f>
        <v/>
      </c>
      <c r="P999" s="4" t="str">
        <f ca="1">IFERROR(VLOOKUP($L999,Calculation!$H$6:$S$1005,HLOOKUP(P$2,Calculation!$M$4:$S$5,2,FALSE)+5,FALSE),"")</f>
        <v/>
      </c>
      <c r="Q999" s="4" t="str">
        <f ca="1">IFERROR(VLOOKUP($L999,Calculation!$H$6:$S$1005,HLOOKUP(Q$2,Calculation!$M$4:$S$5,2,FALSE)+5,FALSE),"")</f>
        <v/>
      </c>
      <c r="R999" s="27" t="str">
        <f ca="1">IFERROR(VLOOKUP($L999,Calculation!$H$6:$S$1005,HLOOKUP(R$2,Calculation!$M$4:$S$5,2,FALSE)+5,FALSE),"")</f>
        <v/>
      </c>
      <c r="S999" s="4" t="str">
        <f ca="1">IFERROR(VLOOKUP($L999,Calculation!$H$6:$S$1005,HLOOKUP(S$2,Calculation!$M$4:$S$5,2,FALSE)+5,FALSE),"")</f>
        <v/>
      </c>
      <c r="T999" s="29"/>
      <c r="U999" s="43" t="str">
        <f>IFERROR(VLOOKUP(T999,Calculation!$U$6:$V$11,2,FALSE),"")</f>
        <v/>
      </c>
    </row>
    <row r="1000" spans="1:21" ht="14.25" customHeight="1" x14ac:dyDescent="0.3">
      <c r="A1000" s="26" t="str">
        <f ca="1">IF(Calculation!T1003&lt;=Calculation!$H$4,Calculation!T1003,"")</f>
        <v/>
      </c>
      <c r="B1000" s="4" t="str">
        <f ca="1">VLOOKUP(A1000,Calculation!$E$6:$J$1004,4,FALSE)</f>
        <v/>
      </c>
      <c r="C1000" s="4" t="str">
        <f ca="1">VLOOKUP(A1000,Calculation!$E$6:$J$1004,5,FALSE)</f>
        <v/>
      </c>
      <c r="D1000" s="4" t="str">
        <f ca="1">VLOOKUP(A1000,Calculation!$E$6:$J$1004,6,FALSE)</f>
        <v/>
      </c>
      <c r="E1000" s="42" t="str">
        <f t="shared" ca="1" si="6"/>
        <v/>
      </c>
      <c r="G1000" s="29" t="str">
        <f ca="1">VLOOKUP(A1000,Calculation!$F$6:$J$1004,3,FALSE)</f>
        <v/>
      </c>
      <c r="H1000" s="4" t="str">
        <f ca="1">VLOOKUP(A1000,Calculation!$F$6:$J$1004,4,FALSE)</f>
        <v/>
      </c>
      <c r="I1000" s="4" t="str">
        <f ca="1">VLOOKUP(A1000,Calculation!$F$6:$J$1004,5,FALSE)</f>
        <v/>
      </c>
      <c r="J1000" s="43" t="str">
        <f t="shared" ca="1" si="7"/>
        <v/>
      </c>
      <c r="L1000" s="29" t="str">
        <f ca="1">VLOOKUP(A1000,Calculation!$G$6:$S$1004,2,FALSE)</f>
        <v/>
      </c>
      <c r="M1000" s="4" t="str">
        <f ca="1">IFERROR(VLOOKUP($L1000,Calculation!$H$6:$S$1005,HLOOKUP(M$2,Calculation!$M$4:$S$5,2,FALSE)+5,FALSE),"")</f>
        <v/>
      </c>
      <c r="N1000" s="4" t="str">
        <f ca="1">IFERROR(VLOOKUP($L1000,Calculation!$H$6:$S$1005,HLOOKUP(N$2,Calculation!$M$4:$S$5,2,FALSE)+5,FALSE),"")</f>
        <v/>
      </c>
      <c r="O1000" s="4" t="str">
        <f ca="1">IFERROR(VLOOKUP($L1000,Calculation!$H$6:$S$1005,HLOOKUP(O$2,Calculation!$M$4:$S$5,2,FALSE)+5,FALSE),"")</f>
        <v/>
      </c>
      <c r="P1000" s="4" t="str">
        <f ca="1">IFERROR(VLOOKUP($L1000,Calculation!$H$6:$S$1005,HLOOKUP(P$2,Calculation!$M$4:$S$5,2,FALSE)+5,FALSE),"")</f>
        <v/>
      </c>
      <c r="Q1000" s="4" t="str">
        <f ca="1">IFERROR(VLOOKUP($L1000,Calculation!$H$6:$S$1005,HLOOKUP(Q$2,Calculation!$M$4:$S$5,2,FALSE)+5,FALSE),"")</f>
        <v/>
      </c>
      <c r="R1000" s="27" t="str">
        <f ca="1">IFERROR(VLOOKUP($L1000,Calculation!$H$6:$S$1005,HLOOKUP(R$2,Calculation!$M$4:$S$5,2,FALSE)+5,FALSE),"")</f>
        <v/>
      </c>
      <c r="S1000" s="4" t="str">
        <f ca="1">IFERROR(VLOOKUP($L1000,Calculation!$H$6:$S$1005,HLOOKUP(S$2,Calculation!$M$4:$S$5,2,FALSE)+5,FALSE),"")</f>
        <v/>
      </c>
      <c r="T1000" s="29"/>
      <c r="U1000" s="43" t="str">
        <f>IFERROR(VLOOKUP(T1000,Calculation!$U$6:$V$11,2,FALSE),"")</f>
        <v/>
      </c>
    </row>
    <row r="1001" spans="1:21" ht="14.25" customHeight="1" x14ac:dyDescent="0.3">
      <c r="A1001" s="26" t="str">
        <f ca="1">IF(Calculation!T1004&lt;=Calculation!$H$4,Calculation!T1004,"")</f>
        <v/>
      </c>
      <c r="B1001" s="4" t="str">
        <f ca="1">VLOOKUP(A1001,Calculation!$E$6:$J$1004,4,FALSE)</f>
        <v/>
      </c>
      <c r="C1001" s="4" t="str">
        <f ca="1">VLOOKUP(A1001,Calculation!$E$6:$J$1004,5,FALSE)</f>
        <v/>
      </c>
      <c r="D1001" s="4" t="str">
        <f ca="1">VLOOKUP(A1001,Calculation!$E$6:$J$1004,6,FALSE)</f>
        <v/>
      </c>
      <c r="E1001" s="42" t="str">
        <f t="shared" ca="1" si="6"/>
        <v/>
      </c>
      <c r="G1001" s="29" t="str">
        <f ca="1">VLOOKUP(A1001,Calculation!$F$6:$J$1004,3,FALSE)</f>
        <v/>
      </c>
      <c r="H1001" s="4" t="str">
        <f ca="1">VLOOKUP(A1001,Calculation!$F$6:$J$1004,4,FALSE)</f>
        <v/>
      </c>
      <c r="I1001" s="4" t="str">
        <f ca="1">VLOOKUP(A1001,Calculation!$F$6:$J$1004,5,FALSE)</f>
        <v/>
      </c>
      <c r="J1001" s="43" t="str">
        <f t="shared" ca="1" si="7"/>
        <v/>
      </c>
      <c r="L1001" s="29" t="str">
        <f ca="1">VLOOKUP(A1001,Calculation!$G$6:$S$1004,2,FALSE)</f>
        <v/>
      </c>
      <c r="M1001" s="4" t="str">
        <f ca="1">IFERROR(VLOOKUP($L1001,Calculation!$H$6:$S$1005,HLOOKUP(M$2,Calculation!$M$4:$S$5,2,FALSE)+5,FALSE),"")</f>
        <v/>
      </c>
      <c r="N1001" s="4" t="str">
        <f ca="1">IFERROR(VLOOKUP($L1001,Calculation!$H$6:$S$1005,HLOOKUP(N$2,Calculation!$M$4:$S$5,2,FALSE)+5,FALSE),"")</f>
        <v/>
      </c>
      <c r="O1001" s="4" t="str">
        <f ca="1">IFERROR(VLOOKUP($L1001,Calculation!$H$6:$S$1005,HLOOKUP(O$2,Calculation!$M$4:$S$5,2,FALSE)+5,FALSE),"")</f>
        <v/>
      </c>
      <c r="P1001" s="4" t="str">
        <f ca="1">IFERROR(VLOOKUP($L1001,Calculation!$H$6:$S$1005,HLOOKUP(P$2,Calculation!$M$4:$S$5,2,FALSE)+5,FALSE),"")</f>
        <v/>
      </c>
      <c r="Q1001" s="4" t="str">
        <f ca="1">IFERROR(VLOOKUP($L1001,Calculation!$H$6:$S$1005,HLOOKUP(Q$2,Calculation!$M$4:$S$5,2,FALSE)+5,FALSE),"")</f>
        <v/>
      </c>
      <c r="R1001" s="27" t="str">
        <f ca="1">IFERROR(VLOOKUP($L1001,Calculation!$H$6:$S$1005,HLOOKUP(R$2,Calculation!$M$4:$S$5,2,FALSE)+5,FALSE),"")</f>
        <v/>
      </c>
      <c r="S1001" s="4" t="str">
        <f ca="1">IFERROR(VLOOKUP($L1001,Calculation!$H$6:$S$1005,HLOOKUP(S$2,Calculation!$M$4:$S$5,2,FALSE)+5,FALSE),"")</f>
        <v/>
      </c>
      <c r="T1001" s="29"/>
      <c r="U1001" s="43" t="str">
        <f>IFERROR(VLOOKUP(T1001,Calculation!$U$6:$V$11,2,FALSE),"")</f>
        <v/>
      </c>
    </row>
    <row r="1002" spans="1:21" ht="14.25" customHeight="1" x14ac:dyDescent="0.3">
      <c r="A1002" s="26" t="str">
        <f ca="1">IF(Calculation!T1005&lt;=Calculation!$H$4,Calculation!T1005,"")</f>
        <v/>
      </c>
      <c r="B1002" s="4" t="str">
        <f ca="1">VLOOKUP(A1002,Calculation!$E$6:$J$1004,4,FALSE)</f>
        <v/>
      </c>
      <c r="C1002" s="4" t="str">
        <f ca="1">VLOOKUP(A1002,Calculation!$E$6:$J$1004,5,FALSE)</f>
        <v/>
      </c>
      <c r="D1002" s="4" t="str">
        <f ca="1">VLOOKUP(A1002,Calculation!$E$6:$J$1004,6,FALSE)</f>
        <v/>
      </c>
      <c r="E1002" s="42" t="str">
        <f t="shared" ca="1" si="6"/>
        <v/>
      </c>
      <c r="G1002" s="29" t="str">
        <f ca="1">VLOOKUP(A1002,Calculation!$F$6:$J$1004,3,FALSE)</f>
        <v/>
      </c>
      <c r="H1002" s="4" t="str">
        <f ca="1">VLOOKUP(A1002,Calculation!$F$6:$J$1004,4,FALSE)</f>
        <v/>
      </c>
      <c r="I1002" s="4" t="str">
        <f ca="1">VLOOKUP(A1002,Calculation!$F$6:$J$1004,5,FALSE)</f>
        <v/>
      </c>
      <c r="J1002" s="43" t="str">
        <f t="shared" ca="1" si="7"/>
        <v/>
      </c>
      <c r="L1002" s="29" t="str">
        <f ca="1">VLOOKUP(A1002,Calculation!$G$6:$S$1004,2,FALSE)</f>
        <v/>
      </c>
      <c r="M1002" s="4" t="str">
        <f ca="1">IFERROR(VLOOKUP($L1002,Calculation!$H$6:$S$1005,HLOOKUP(M$2,Calculation!$M$4:$S$5,2,FALSE)+5,FALSE),"")</f>
        <v/>
      </c>
      <c r="N1002" s="4" t="str">
        <f ca="1">IFERROR(VLOOKUP($L1002,Calculation!$H$6:$S$1005,HLOOKUP(N$2,Calculation!$M$4:$S$5,2,FALSE)+5,FALSE),"")</f>
        <v/>
      </c>
      <c r="O1002" s="4" t="str">
        <f ca="1">IFERROR(VLOOKUP($L1002,Calculation!$H$6:$S$1005,HLOOKUP(O$2,Calculation!$M$4:$S$5,2,FALSE)+5,FALSE),"")</f>
        <v/>
      </c>
      <c r="P1002" s="4" t="str">
        <f ca="1">IFERROR(VLOOKUP($L1002,Calculation!$H$6:$S$1005,HLOOKUP(P$2,Calculation!$M$4:$S$5,2,FALSE)+5,FALSE),"")</f>
        <v/>
      </c>
      <c r="Q1002" s="4" t="str">
        <f ca="1">IFERROR(VLOOKUP($L1002,Calculation!$H$6:$S$1005,HLOOKUP(Q$2,Calculation!$M$4:$S$5,2,FALSE)+5,FALSE),"")</f>
        <v/>
      </c>
      <c r="R1002" s="27" t="str">
        <f ca="1">IFERROR(VLOOKUP($L1002,Calculation!$H$6:$S$1005,HLOOKUP(R$2,Calculation!$M$4:$S$5,2,FALSE)+5,FALSE),"")</f>
        <v/>
      </c>
      <c r="S1002" s="4" t="str">
        <f ca="1">IFERROR(VLOOKUP($L1002,Calculation!$H$6:$S$1005,HLOOKUP(S$2,Calculation!$M$4:$S$5,2,FALSE)+5,FALSE),"")</f>
        <v/>
      </c>
      <c r="T1002" s="29"/>
      <c r="U1002" s="43" t="str">
        <f>IFERROR(VLOOKUP(T1002,Calculation!$U$6:$V$11,2,FALSE),"")</f>
        <v/>
      </c>
    </row>
  </sheetData>
  <mergeCells count="4">
    <mergeCell ref="L1:P1"/>
    <mergeCell ref="F2:F31"/>
    <mergeCell ref="K2:K31"/>
    <mergeCell ref="S2:S3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Input Sheet</vt:lpstr>
      <vt:lpstr>Calculation</vt:lpstr>
      <vt:lpstr>Graph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Cook; Yaroslav Marchenko</dc:creator>
  <cp:lastModifiedBy>Mee Towindo</cp:lastModifiedBy>
  <dcterms:created xsi:type="dcterms:W3CDTF">2015-06-05T18:17:20Z</dcterms:created>
  <dcterms:modified xsi:type="dcterms:W3CDTF">2026-04-22T16:52:14Z</dcterms:modified>
</cp:coreProperties>
</file>